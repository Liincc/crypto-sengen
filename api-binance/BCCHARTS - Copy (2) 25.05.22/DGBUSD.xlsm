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E454846-E461-43A5-8381-15C95169ABC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18" i="5"/>
  <c r="C118" i="3"/>
  <c r="C122" i="3"/>
  <c r="C133" i="3" s="1"/>
  <c r="C136" i="3" s="1"/>
  <c r="C122" i="4"/>
  <c r="C133" i="4" s="1"/>
  <c r="D136" i="4" s="1"/>
  <c r="C116" i="4"/>
  <c r="R765" i="1"/>
  <c r="S765" i="1" s="1"/>
  <c r="T765" i="1" s="1"/>
  <c r="C136" i="5"/>
  <c r="D136" i="5"/>
  <c r="D136" i="3" l="1"/>
  <c r="C138" i="3" s="1"/>
  <c r="R764" i="1"/>
  <c r="S764" i="1" s="1"/>
  <c r="T764" i="1" s="1"/>
  <c r="C136" i="4"/>
  <c r="C138" i="4" s="1"/>
  <c r="C138" i="5"/>
  <c r="R763" i="1" l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R392" i="1" l="1"/>
  <c r="S393" i="1"/>
  <c r="T393" i="1" s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S353" i="1" l="1"/>
  <c r="T353" i="1" s="1"/>
  <c r="R352" i="1"/>
  <c r="R351" i="1" l="1"/>
  <c r="S352" i="1"/>
  <c r="T352" i="1" s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R20" i="1" l="1"/>
  <c r="S21" i="1"/>
  <c r="T21" i="1" s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<sst xmlns="http://schemas.openxmlformats.org/spreadsheetml/2006/main" count="5840" uniqueCount="34">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</sst>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2.1770000000000001E-2</c:v>
                </c:pt>
                <c:pt idx="1">
                  <c:v>2.214E-2</c:v>
                </c:pt>
                <c:pt idx="2">
                  <c:v>2.1149999999999999E-2</c:v>
                </c:pt>
                <c:pt idx="3">
                  <c:v>2.034E-2</c:v>
                </c:pt>
                <c:pt idx="4">
                  <c:v>2.1299999999999999E-2</c:v>
                </c:pt>
                <c:pt idx="5">
                  <c:v>2.0420000000000001E-2</c:v>
                </c:pt>
                <c:pt idx="6">
                  <c:v>2.1510000000000001E-2</c:v>
                </c:pt>
                <c:pt idx="7">
                  <c:v>2.6030000000000001E-2</c:v>
                </c:pt>
                <c:pt idx="8">
                  <c:v>2.708E-2</c:v>
                </c:pt>
                <c:pt idx="9">
                  <c:v>2.7789999999999999E-2</c:v>
                </c:pt>
                <c:pt idx="10">
                  <c:v>2.7820000000000001E-2</c:v>
                </c:pt>
                <c:pt idx="11">
                  <c:v>2.962E-2</c:v>
                </c:pt>
                <c:pt idx="12">
                  <c:v>2.997E-2</c:v>
                </c:pt>
                <c:pt idx="13">
                  <c:v>3.0030000000000001E-2</c:v>
                </c:pt>
                <c:pt idx="14">
                  <c:v>2.9080000000000002E-2</c:v>
                </c:pt>
                <c:pt idx="15">
                  <c:v>2.9919999999999999E-2</c:v>
                </c:pt>
                <c:pt idx="16">
                  <c:v>2.861E-2</c:v>
                </c:pt>
                <c:pt idx="17">
                  <c:v>2.7210000000000002E-2</c:v>
                </c:pt>
                <c:pt idx="18">
                  <c:v>2.8629999999999999E-2</c:v>
                </c:pt>
                <c:pt idx="19">
                  <c:v>2.7539999999999999E-2</c:v>
                </c:pt>
                <c:pt idx="20">
                  <c:v>2.8649999999999998E-2</c:v>
                </c:pt>
                <c:pt idx="21">
                  <c:v>3.066E-2</c:v>
                </c:pt>
                <c:pt idx="22">
                  <c:v>3.074E-2</c:v>
                </c:pt>
                <c:pt idx="23">
                  <c:v>3.3230000000000003E-2</c:v>
                </c:pt>
                <c:pt idx="24">
                  <c:v>3.356E-2</c:v>
                </c:pt>
                <c:pt idx="25">
                  <c:v>3.431E-2</c:v>
                </c:pt>
                <c:pt idx="26">
                  <c:v>3.4599999999999999E-2</c:v>
                </c:pt>
                <c:pt idx="27">
                  <c:v>3.32E-2</c:v>
                </c:pt>
                <c:pt idx="28">
                  <c:v>3.3869999999999997E-2</c:v>
                </c:pt>
                <c:pt idx="29">
                  <c:v>3.32E-2</c:v>
                </c:pt>
                <c:pt idx="30">
                  <c:v>3.4410000000000003E-2</c:v>
                </c:pt>
                <c:pt idx="31">
                  <c:v>3.7819999999999999E-2</c:v>
                </c:pt>
                <c:pt idx="32">
                  <c:v>3.85E-2</c:v>
                </c:pt>
                <c:pt idx="33">
                  <c:v>3.6889999999999999E-2</c:v>
                </c:pt>
                <c:pt idx="34">
                  <c:v>3.6889999999999999E-2</c:v>
                </c:pt>
                <c:pt idx="35">
                  <c:v>3.8120000000000001E-2</c:v>
                </c:pt>
                <c:pt idx="36">
                  <c:v>3.5299999999999998E-2</c:v>
                </c:pt>
                <c:pt idx="37">
                  <c:v>3.4950000000000002E-2</c:v>
                </c:pt>
                <c:pt idx="38">
                  <c:v>3.3090000000000001E-2</c:v>
                </c:pt>
                <c:pt idx="39">
                  <c:v>3.397E-2</c:v>
                </c:pt>
                <c:pt idx="40">
                  <c:v>3.5389999999999998E-2</c:v>
                </c:pt>
                <c:pt idx="41">
                  <c:v>3.4419999999999999E-2</c:v>
                </c:pt>
                <c:pt idx="42">
                  <c:v>3.4950000000000002E-2</c:v>
                </c:pt>
                <c:pt idx="43">
                  <c:v>3.5279999999999999E-2</c:v>
                </c:pt>
                <c:pt idx="44">
                  <c:v>3.4410000000000003E-2</c:v>
                </c:pt>
                <c:pt idx="45">
                  <c:v>3.2750000000000001E-2</c:v>
                </c:pt>
                <c:pt idx="46">
                  <c:v>3.6659999999999998E-2</c:v>
                </c:pt>
                <c:pt idx="47">
                  <c:v>3.4099999999999998E-2</c:v>
                </c:pt>
                <c:pt idx="48">
                  <c:v>3.3989999999999999E-2</c:v>
                </c:pt>
                <c:pt idx="49">
                  <c:v>3.585E-2</c:v>
                </c:pt>
                <c:pt idx="50">
                  <c:v>4.0660000000000002E-2</c:v>
                </c:pt>
                <c:pt idx="51">
                  <c:v>3.9039999999999998E-2</c:v>
                </c:pt>
                <c:pt idx="52">
                  <c:v>3.7539999999999997E-2</c:v>
                </c:pt>
                <c:pt idx="53">
                  <c:v>3.7699999999999997E-2</c:v>
                </c:pt>
                <c:pt idx="54">
                  <c:v>3.9370000000000002E-2</c:v>
                </c:pt>
                <c:pt idx="55">
                  <c:v>4.657E-2</c:v>
                </c:pt>
                <c:pt idx="56">
                  <c:v>4.7440000000000003E-2</c:v>
                </c:pt>
                <c:pt idx="57">
                  <c:v>4.7440000000000003E-2</c:v>
                </c:pt>
                <c:pt idx="58">
                  <c:v>4.7919999999999997E-2</c:v>
                </c:pt>
                <c:pt idx="59">
                  <c:v>4.8469999999999999E-2</c:v>
                </c:pt>
                <c:pt idx="60">
                  <c:v>4.6710000000000002E-2</c:v>
                </c:pt>
                <c:pt idx="61">
                  <c:v>4.6379999999999998E-2</c:v>
                </c:pt>
                <c:pt idx="62">
                  <c:v>4.5159999999999999E-2</c:v>
                </c:pt>
                <c:pt idx="63">
                  <c:v>5.0020000000000002E-2</c:v>
                </c:pt>
                <c:pt idx="64">
                  <c:v>5.0130000000000001E-2</c:v>
                </c:pt>
                <c:pt idx="65">
                  <c:v>5.1200000000000002E-2</c:v>
                </c:pt>
                <c:pt idx="66">
                  <c:v>5.1049999999999998E-2</c:v>
                </c:pt>
                <c:pt idx="67">
                  <c:v>5.3080000000000002E-2</c:v>
                </c:pt>
                <c:pt idx="68">
                  <c:v>5.3449999999999998E-2</c:v>
                </c:pt>
                <c:pt idx="69">
                  <c:v>5.0950000000000002E-2</c:v>
                </c:pt>
                <c:pt idx="70">
                  <c:v>4.8169999999999998E-2</c:v>
                </c:pt>
                <c:pt idx="71">
                  <c:v>5.3740000000000003E-2</c:v>
                </c:pt>
                <c:pt idx="72">
                  <c:v>5.3650000000000003E-2</c:v>
                </c:pt>
                <c:pt idx="73">
                  <c:v>5.9479999999999998E-2</c:v>
                </c:pt>
                <c:pt idx="74">
                  <c:v>6.1550000000000001E-2</c:v>
                </c:pt>
                <c:pt idx="75">
                  <c:v>6.3219999999999998E-2</c:v>
                </c:pt>
                <c:pt idx="76">
                  <c:v>6.2530000000000002E-2</c:v>
                </c:pt>
                <c:pt idx="77">
                  <c:v>6.6989999999999994E-2</c:v>
                </c:pt>
                <c:pt idx="78">
                  <c:v>5.4699999999999999E-2</c:v>
                </c:pt>
                <c:pt idx="79">
                  <c:v>5.6259999999999998E-2</c:v>
                </c:pt>
                <c:pt idx="80">
                  <c:v>5.5199999999999999E-2</c:v>
                </c:pt>
                <c:pt idx="81">
                  <c:v>5.4190000000000002E-2</c:v>
                </c:pt>
                <c:pt idx="82">
                  <c:v>5.2850000000000001E-2</c:v>
                </c:pt>
                <c:pt idx="83">
                  <c:v>5.323E-2</c:v>
                </c:pt>
                <c:pt idx="84">
                  <c:v>5.4829999999999997E-2</c:v>
                </c:pt>
                <c:pt idx="85">
                  <c:v>5.4600000000000003E-2</c:v>
                </c:pt>
                <c:pt idx="86">
                  <c:v>5.7299999999999997E-2</c:v>
                </c:pt>
                <c:pt idx="87">
                  <c:v>5.4760000000000003E-2</c:v>
                </c:pt>
                <c:pt idx="88">
                  <c:v>5.7489999999999999E-2</c:v>
                </c:pt>
                <c:pt idx="89">
                  <c:v>4.9889999999999997E-2</c:v>
                </c:pt>
                <c:pt idx="90">
                  <c:v>4.718E-2</c:v>
                </c:pt>
                <c:pt idx="91">
                  <c:v>4.6050000000000001E-2</c:v>
                </c:pt>
                <c:pt idx="92">
                  <c:v>4.4389999999999999E-2</c:v>
                </c:pt>
                <c:pt idx="93">
                  <c:v>5.1020000000000003E-2</c:v>
                </c:pt>
                <c:pt idx="94">
                  <c:v>5.0070000000000003E-2</c:v>
                </c:pt>
                <c:pt idx="95">
                  <c:v>4.8759999999999998E-2</c:v>
                </c:pt>
                <c:pt idx="96">
                  <c:v>5.142E-2</c:v>
                </c:pt>
                <c:pt idx="97">
                  <c:v>5.1450000000000003E-2</c:v>
                </c:pt>
                <c:pt idx="98">
                  <c:v>5.2499999999999998E-2</c:v>
                </c:pt>
                <c:pt idx="99">
                  <c:v>5.0990000000000001E-2</c:v>
                </c:pt>
                <c:pt idx="100">
                  <c:v>4.8370000000000003E-2</c:v>
                </c:pt>
                <c:pt idx="101">
                  <c:v>4.87E-2</c:v>
                </c:pt>
                <c:pt idx="102">
                  <c:v>5.0139999999999997E-2</c:v>
                </c:pt>
                <c:pt idx="103">
                  <c:v>5.0549999999999998E-2</c:v>
                </c:pt>
                <c:pt idx="104">
                  <c:v>5.0029999999999998E-2</c:v>
                </c:pt>
                <c:pt idx="105">
                  <c:v>4.8849999999999998E-2</c:v>
                </c:pt>
                <c:pt idx="106">
                  <c:v>4.8710000000000003E-2</c:v>
                </c:pt>
                <c:pt idx="107">
                  <c:v>4.8059999999999999E-2</c:v>
                </c:pt>
                <c:pt idx="108">
                  <c:v>4.8230000000000002E-2</c:v>
                </c:pt>
                <c:pt idx="109">
                  <c:v>4.7879999999999999E-2</c:v>
                </c:pt>
                <c:pt idx="110">
                  <c:v>5.16E-2</c:v>
                </c:pt>
                <c:pt idx="111">
                  <c:v>5.0410000000000003E-2</c:v>
                </c:pt>
                <c:pt idx="112">
                  <c:v>5.2979999999999999E-2</c:v>
                </c:pt>
                <c:pt idx="113">
                  <c:v>5.1670000000000001E-2</c:v>
                </c:pt>
                <c:pt idx="114">
                  <c:v>5.4100000000000002E-2</c:v>
                </c:pt>
                <c:pt idx="115">
                  <c:v>4.7710000000000002E-2</c:v>
                </c:pt>
                <c:pt idx="116">
                  <c:v>4.829E-2</c:v>
                </c:pt>
                <c:pt idx="117">
                  <c:v>4.9140000000000003E-2</c:v>
                </c:pt>
                <c:pt idx="118">
                  <c:v>4.888E-2</c:v>
                </c:pt>
                <c:pt idx="119">
                  <c:v>4.4720000000000003E-2</c:v>
                </c:pt>
                <c:pt idx="120">
                  <c:v>4.2840000000000003E-2</c:v>
                </c:pt>
                <c:pt idx="121">
                  <c:v>4.1669999999999999E-2</c:v>
                </c:pt>
                <c:pt idx="122">
                  <c:v>4.3200000000000002E-2</c:v>
                </c:pt>
                <c:pt idx="123">
                  <c:v>4.4850000000000001E-2</c:v>
                </c:pt>
                <c:pt idx="124">
                  <c:v>4.6300000000000001E-2</c:v>
                </c:pt>
                <c:pt idx="125">
                  <c:v>4.6989999999999997E-2</c:v>
                </c:pt>
                <c:pt idx="126">
                  <c:v>5.0950000000000002E-2</c:v>
                </c:pt>
                <c:pt idx="127">
                  <c:v>4.9959999999999997E-2</c:v>
                </c:pt>
                <c:pt idx="128">
                  <c:v>4.4040000000000003E-2</c:v>
                </c:pt>
                <c:pt idx="129">
                  <c:v>5.0310000000000001E-2</c:v>
                </c:pt>
                <c:pt idx="130">
                  <c:v>5.5599999999999997E-2</c:v>
                </c:pt>
                <c:pt idx="131">
                  <c:v>5.6840000000000002E-2</c:v>
                </c:pt>
                <c:pt idx="132">
                  <c:v>5.561E-2</c:v>
                </c:pt>
                <c:pt idx="133">
                  <c:v>5.7729999999999997E-2</c:v>
                </c:pt>
                <c:pt idx="134">
                  <c:v>5.9110000000000003E-2</c:v>
                </c:pt>
                <c:pt idx="135">
                  <c:v>5.7709999999999997E-2</c:v>
                </c:pt>
                <c:pt idx="136">
                  <c:v>5.5280000000000003E-2</c:v>
                </c:pt>
                <c:pt idx="137">
                  <c:v>5.9220000000000002E-2</c:v>
                </c:pt>
                <c:pt idx="138">
                  <c:v>5.808E-2</c:v>
                </c:pt>
                <c:pt idx="139">
                  <c:v>5.654E-2</c:v>
                </c:pt>
                <c:pt idx="140">
                  <c:v>6.0729999999999999E-2</c:v>
                </c:pt>
                <c:pt idx="141">
                  <c:v>6.157E-2</c:v>
                </c:pt>
                <c:pt idx="142">
                  <c:v>6.0049999999999999E-2</c:v>
                </c:pt>
                <c:pt idx="143">
                  <c:v>7.85E-2</c:v>
                </c:pt>
                <c:pt idx="144">
                  <c:v>7.1349999999999997E-2</c:v>
                </c:pt>
                <c:pt idx="145">
                  <c:v>6.8890000000000007E-2</c:v>
                </c:pt>
                <c:pt idx="146">
                  <c:v>6.6710000000000005E-2</c:v>
                </c:pt>
                <c:pt idx="147">
                  <c:v>6.633E-2</c:v>
                </c:pt>
                <c:pt idx="148">
                  <c:v>6.7360000000000003E-2</c:v>
                </c:pt>
                <c:pt idx="149">
                  <c:v>6.5430000000000002E-2</c:v>
                </c:pt>
                <c:pt idx="150">
                  <c:v>6.4019999999999994E-2</c:v>
                </c:pt>
                <c:pt idx="151">
                  <c:v>6.368E-2</c:v>
                </c:pt>
                <c:pt idx="152">
                  <c:v>6.4829999999999999E-2</c:v>
                </c:pt>
                <c:pt idx="153">
                  <c:v>6.6900000000000001E-2</c:v>
                </c:pt>
                <c:pt idx="154">
                  <c:v>6.3299999999999995E-2</c:v>
                </c:pt>
                <c:pt idx="155">
                  <c:v>7.0660000000000001E-2</c:v>
                </c:pt>
                <c:pt idx="156">
                  <c:v>6.9279999999999994E-2</c:v>
                </c:pt>
                <c:pt idx="157">
                  <c:v>7.4959999999999999E-2</c:v>
                </c:pt>
                <c:pt idx="158">
                  <c:v>7.3749999999999996E-2</c:v>
                </c:pt>
                <c:pt idx="159">
                  <c:v>7.4550000000000005E-2</c:v>
                </c:pt>
                <c:pt idx="160">
                  <c:v>6.9099999999999995E-2</c:v>
                </c:pt>
                <c:pt idx="161">
                  <c:v>6.497E-2</c:v>
                </c:pt>
                <c:pt idx="162">
                  <c:v>6.3560000000000005E-2</c:v>
                </c:pt>
                <c:pt idx="163">
                  <c:v>6.1949999999999998E-2</c:v>
                </c:pt>
                <c:pt idx="164">
                  <c:v>6.7960000000000007E-2</c:v>
                </c:pt>
                <c:pt idx="165">
                  <c:v>6.9540000000000005E-2</c:v>
                </c:pt>
                <c:pt idx="166">
                  <c:v>6.8959999999999994E-2</c:v>
                </c:pt>
                <c:pt idx="167">
                  <c:v>6.9940000000000002E-2</c:v>
                </c:pt>
                <c:pt idx="168">
                  <c:v>6.0179999999999997E-2</c:v>
                </c:pt>
                <c:pt idx="169">
                  <c:v>6.2300000000000001E-2</c:v>
                </c:pt>
                <c:pt idx="170">
                  <c:v>5.8409999999999997E-2</c:v>
                </c:pt>
                <c:pt idx="171">
                  <c:v>5.6890000000000003E-2</c:v>
                </c:pt>
                <c:pt idx="172">
                  <c:v>5.2269999999999997E-2</c:v>
                </c:pt>
                <c:pt idx="173">
                  <c:v>5.6500000000000002E-2</c:v>
                </c:pt>
                <c:pt idx="174">
                  <c:v>5.4269999999999999E-2</c:v>
                </c:pt>
                <c:pt idx="175">
                  <c:v>5.185E-2</c:v>
                </c:pt>
                <c:pt idx="176">
                  <c:v>5.1749999999999997E-2</c:v>
                </c:pt>
                <c:pt idx="177">
                  <c:v>4.9009999999999998E-2</c:v>
                </c:pt>
                <c:pt idx="178">
                  <c:v>4.9970000000000001E-2</c:v>
                </c:pt>
                <c:pt idx="179">
                  <c:v>5.1670000000000001E-2</c:v>
                </c:pt>
                <c:pt idx="180">
                  <c:v>4.5900000000000003E-2</c:v>
                </c:pt>
                <c:pt idx="181">
                  <c:v>4.5330000000000002E-2</c:v>
                </c:pt>
                <c:pt idx="182">
                  <c:v>4.4089999999999997E-2</c:v>
                </c:pt>
                <c:pt idx="183">
                  <c:v>4.2999999999999997E-2</c:v>
                </c:pt>
                <c:pt idx="184">
                  <c:v>4.3810000000000002E-2</c:v>
                </c:pt>
                <c:pt idx="185">
                  <c:v>4.2279999999999998E-2</c:v>
                </c:pt>
                <c:pt idx="186">
                  <c:v>4.5109999999999997E-2</c:v>
                </c:pt>
                <c:pt idx="187">
                  <c:v>3.9660000000000001E-2</c:v>
                </c:pt>
                <c:pt idx="188">
                  <c:v>3.7850000000000002E-2</c:v>
                </c:pt>
                <c:pt idx="189">
                  <c:v>3.6999999999999998E-2</c:v>
                </c:pt>
                <c:pt idx="190">
                  <c:v>3.6540000000000003E-2</c:v>
                </c:pt>
                <c:pt idx="191">
                  <c:v>3.3860000000000001E-2</c:v>
                </c:pt>
                <c:pt idx="192">
                  <c:v>3.6209999999999999E-2</c:v>
                </c:pt>
                <c:pt idx="193">
                  <c:v>3.9059999999999997E-2</c:v>
                </c:pt>
                <c:pt idx="194">
                  <c:v>3.8030000000000001E-2</c:v>
                </c:pt>
                <c:pt idx="195">
                  <c:v>3.7479999999999999E-2</c:v>
                </c:pt>
                <c:pt idx="196">
                  <c:v>3.8280000000000002E-2</c:v>
                </c:pt>
                <c:pt idx="197">
                  <c:v>3.9289999999999999E-2</c:v>
                </c:pt>
                <c:pt idx="198">
                  <c:v>3.8429999999999999E-2</c:v>
                </c:pt>
                <c:pt idx="199">
                  <c:v>3.9980000000000002E-2</c:v>
                </c:pt>
                <c:pt idx="200">
                  <c:v>4.156E-2</c:v>
                </c:pt>
                <c:pt idx="201">
                  <c:v>4.0680000000000001E-2</c:v>
                </c:pt>
                <c:pt idx="202">
                  <c:v>4.1770000000000002E-2</c:v>
                </c:pt>
                <c:pt idx="203">
                  <c:v>4.0939999999999997E-2</c:v>
                </c:pt>
                <c:pt idx="204">
                  <c:v>4.4330000000000001E-2</c:v>
                </c:pt>
                <c:pt idx="205">
                  <c:v>4.428E-2</c:v>
                </c:pt>
                <c:pt idx="206">
                  <c:v>4.3400000000000001E-2</c:v>
                </c:pt>
                <c:pt idx="207">
                  <c:v>4.5740000000000003E-2</c:v>
                </c:pt>
                <c:pt idx="208">
                  <c:v>4.5289999999999997E-2</c:v>
                </c:pt>
                <c:pt idx="209">
                  <c:v>4.4729999999999999E-2</c:v>
                </c:pt>
                <c:pt idx="210">
                  <c:v>4.4979999999999999E-2</c:v>
                </c:pt>
                <c:pt idx="211">
                  <c:v>4.8649999999999999E-2</c:v>
                </c:pt>
                <c:pt idx="212">
                  <c:v>4.7300000000000002E-2</c:v>
                </c:pt>
                <c:pt idx="213">
                  <c:v>4.3869999999999999E-2</c:v>
                </c:pt>
                <c:pt idx="214">
                  <c:v>4.265E-2</c:v>
                </c:pt>
                <c:pt idx="215">
                  <c:v>4.1680000000000002E-2</c:v>
                </c:pt>
                <c:pt idx="216">
                  <c:v>3.9629999999999999E-2</c:v>
                </c:pt>
                <c:pt idx="217">
                  <c:v>4.4490000000000002E-2</c:v>
                </c:pt>
                <c:pt idx="218">
                  <c:v>4.3799999999999999E-2</c:v>
                </c:pt>
                <c:pt idx="219">
                  <c:v>3.8850000000000003E-2</c:v>
                </c:pt>
                <c:pt idx="220">
                  <c:v>3.7850000000000002E-2</c:v>
                </c:pt>
                <c:pt idx="221">
                  <c:v>4.9680000000000002E-2</c:v>
                </c:pt>
                <c:pt idx="222">
                  <c:v>4.9140000000000003E-2</c:v>
                </c:pt>
                <c:pt idx="223">
                  <c:v>5.0709999999999998E-2</c:v>
                </c:pt>
                <c:pt idx="224">
                  <c:v>5.5739999999999998E-2</c:v>
                </c:pt>
                <c:pt idx="225">
                  <c:v>5.5350000000000003E-2</c:v>
                </c:pt>
                <c:pt idx="226">
                  <c:v>5.808E-2</c:v>
                </c:pt>
                <c:pt idx="227">
                  <c:v>5.8869999999999999E-2</c:v>
                </c:pt>
                <c:pt idx="228">
                  <c:v>5.7910000000000003E-2</c:v>
                </c:pt>
                <c:pt idx="229">
                  <c:v>5.3510000000000002E-2</c:v>
                </c:pt>
                <c:pt idx="230">
                  <c:v>5.645E-2</c:v>
                </c:pt>
                <c:pt idx="231">
                  <c:v>5.9979999999999999E-2</c:v>
                </c:pt>
                <c:pt idx="232">
                  <c:v>6.5930000000000002E-2</c:v>
                </c:pt>
                <c:pt idx="233">
                  <c:v>6.1499999999999999E-2</c:v>
                </c:pt>
                <c:pt idx="234">
                  <c:v>6.053E-2</c:v>
                </c:pt>
                <c:pt idx="235">
                  <c:v>6.5790000000000001E-2</c:v>
                </c:pt>
                <c:pt idx="236">
                  <c:v>6.4630000000000007E-2</c:v>
                </c:pt>
                <c:pt idx="237">
                  <c:v>6.7449999999999996E-2</c:v>
                </c:pt>
                <c:pt idx="238">
                  <c:v>7.689E-2</c:v>
                </c:pt>
                <c:pt idx="239">
                  <c:v>7.2069999999999995E-2</c:v>
                </c:pt>
                <c:pt idx="240">
                  <c:v>6.6040000000000001E-2</c:v>
                </c:pt>
                <c:pt idx="241">
                  <c:v>6.6290000000000002E-2</c:v>
                </c:pt>
                <c:pt idx="242">
                  <c:v>6.0409999999999998E-2</c:v>
                </c:pt>
                <c:pt idx="243">
                  <c:v>5.8959999999999999E-2</c:v>
                </c:pt>
                <c:pt idx="244">
                  <c:v>6.1129999999999997E-2</c:v>
                </c:pt>
                <c:pt idx="245">
                  <c:v>7.0749999999999993E-2</c:v>
                </c:pt>
                <c:pt idx="246">
                  <c:v>7.8570000000000001E-2</c:v>
                </c:pt>
                <c:pt idx="247">
                  <c:v>6.9239999999999996E-2</c:v>
                </c:pt>
                <c:pt idx="248">
                  <c:v>7.1330000000000005E-2</c:v>
                </c:pt>
                <c:pt idx="249">
                  <c:v>6.2030000000000002E-2</c:v>
                </c:pt>
                <c:pt idx="250">
                  <c:v>7.0559999999999998E-2</c:v>
                </c:pt>
                <c:pt idx="251">
                  <c:v>7.707E-2</c:v>
                </c:pt>
                <c:pt idx="252">
                  <c:v>9.0179999999999996E-2</c:v>
                </c:pt>
                <c:pt idx="253">
                  <c:v>7.3270000000000002E-2</c:v>
                </c:pt>
                <c:pt idx="254">
                  <c:v>0.10852000000000001</c:v>
                </c:pt>
                <c:pt idx="255">
                  <c:v>0.10100000000000001</c:v>
                </c:pt>
                <c:pt idx="256">
                  <c:v>0.11123</c:v>
                </c:pt>
                <c:pt idx="257">
                  <c:v>0.10749</c:v>
                </c:pt>
                <c:pt idx="258">
                  <c:v>0.11945</c:v>
                </c:pt>
                <c:pt idx="259">
                  <c:v>0.11565</c:v>
                </c:pt>
                <c:pt idx="260">
                  <c:v>0.10876</c:v>
                </c:pt>
                <c:pt idx="261">
                  <c:v>0.13242999999999999</c:v>
                </c:pt>
                <c:pt idx="262">
                  <c:v>0.12827</c:v>
                </c:pt>
                <c:pt idx="263">
                  <c:v>0.14479</c:v>
                </c:pt>
                <c:pt idx="264">
                  <c:v>0.14718999999999999</c:v>
                </c:pt>
                <c:pt idx="265">
                  <c:v>0.14899999999999999</c:v>
                </c:pt>
                <c:pt idx="266">
                  <c:v>0.14029</c:v>
                </c:pt>
                <c:pt idx="267">
                  <c:v>0.14477000000000001</c:v>
                </c:pt>
                <c:pt idx="268">
                  <c:v>0.13375000000000001</c:v>
                </c:pt>
                <c:pt idx="269">
                  <c:v>0.15062999999999999</c:v>
                </c:pt>
                <c:pt idx="270">
                  <c:v>0.15733</c:v>
                </c:pt>
                <c:pt idx="271">
                  <c:v>0.156</c:v>
                </c:pt>
                <c:pt idx="272">
                  <c:v>0.15071000000000001</c:v>
                </c:pt>
                <c:pt idx="273">
                  <c:v>0.12645999999999999</c:v>
                </c:pt>
                <c:pt idx="274">
                  <c:v>0.12601000000000001</c:v>
                </c:pt>
                <c:pt idx="275">
                  <c:v>0.13295000000000001</c:v>
                </c:pt>
                <c:pt idx="276">
                  <c:v>0.12471</c:v>
                </c:pt>
                <c:pt idx="277">
                  <c:v>0.10614999999999999</c:v>
                </c:pt>
                <c:pt idx="278">
                  <c:v>0.10995000000000001</c:v>
                </c:pt>
                <c:pt idx="279">
                  <c:v>0.12506</c:v>
                </c:pt>
                <c:pt idx="280">
                  <c:v>0.12737000000000001</c:v>
                </c:pt>
                <c:pt idx="281">
                  <c:v>0.153</c:v>
                </c:pt>
                <c:pt idx="282">
                  <c:v>0.12927</c:v>
                </c:pt>
                <c:pt idx="283">
                  <c:v>0.13416</c:v>
                </c:pt>
                <c:pt idx="284">
                  <c:v>0.13309000000000001</c:v>
                </c:pt>
                <c:pt idx="285">
                  <c:v>0.15</c:v>
                </c:pt>
                <c:pt idx="286">
                  <c:v>0.11197</c:v>
                </c:pt>
                <c:pt idx="287">
                  <c:v>0.1021</c:v>
                </c:pt>
                <c:pt idx="288">
                  <c:v>0.10358000000000001</c:v>
                </c:pt>
                <c:pt idx="289">
                  <c:v>8.2540000000000002E-2</c:v>
                </c:pt>
                <c:pt idx="290">
                  <c:v>8.3349999999999994E-2</c:v>
                </c:pt>
                <c:pt idx="291">
                  <c:v>8.7940000000000004E-2</c:v>
                </c:pt>
                <c:pt idx="292">
                  <c:v>8.5680000000000006E-2</c:v>
                </c:pt>
                <c:pt idx="293">
                  <c:v>8.7590000000000001E-2</c:v>
                </c:pt>
                <c:pt idx="294">
                  <c:v>8.5459999999999994E-2</c:v>
                </c:pt>
                <c:pt idx="295">
                  <c:v>8.0790000000000001E-2</c:v>
                </c:pt>
                <c:pt idx="296">
                  <c:v>8.6059999999999998E-2</c:v>
                </c:pt>
                <c:pt idx="297">
                  <c:v>8.8620000000000004E-2</c:v>
                </c:pt>
                <c:pt idx="298">
                  <c:v>9.1679999999999998E-2</c:v>
                </c:pt>
                <c:pt idx="299">
                  <c:v>7.9170000000000004E-2</c:v>
                </c:pt>
                <c:pt idx="300">
                  <c:v>8.0339999999999995E-2</c:v>
                </c:pt>
                <c:pt idx="301">
                  <c:v>8.0879999999999994E-2</c:v>
                </c:pt>
                <c:pt idx="302">
                  <c:v>7.4109999999999995E-2</c:v>
                </c:pt>
                <c:pt idx="303">
                  <c:v>7.0680000000000007E-2</c:v>
                </c:pt>
                <c:pt idx="304">
                  <c:v>7.3899999999999993E-2</c:v>
                </c:pt>
                <c:pt idx="305">
                  <c:v>6.9550000000000001E-2</c:v>
                </c:pt>
                <c:pt idx="306">
                  <c:v>6.6680000000000003E-2</c:v>
                </c:pt>
                <c:pt idx="307">
                  <c:v>6.7220000000000002E-2</c:v>
                </c:pt>
                <c:pt idx="308">
                  <c:v>6.0580000000000002E-2</c:v>
                </c:pt>
                <c:pt idx="309">
                  <c:v>6.5269999999999995E-2</c:v>
                </c:pt>
                <c:pt idx="310">
                  <c:v>6.5000000000000002E-2</c:v>
                </c:pt>
                <c:pt idx="311">
                  <c:v>6.7150000000000001E-2</c:v>
                </c:pt>
                <c:pt idx="312">
                  <c:v>7.0709999999999995E-2</c:v>
                </c:pt>
                <c:pt idx="313">
                  <c:v>7.1620000000000003E-2</c:v>
                </c:pt>
                <c:pt idx="314">
                  <c:v>7.7039999999999997E-2</c:v>
                </c:pt>
                <c:pt idx="315">
                  <c:v>6.8479999999999999E-2</c:v>
                </c:pt>
                <c:pt idx="316">
                  <c:v>6.9849999999999995E-2</c:v>
                </c:pt>
                <c:pt idx="317">
                  <c:v>6.701E-2</c:v>
                </c:pt>
                <c:pt idx="318">
                  <c:v>6.1429999999999998E-2</c:v>
                </c:pt>
                <c:pt idx="319">
                  <c:v>5.8630000000000002E-2</c:v>
                </c:pt>
                <c:pt idx="320">
                  <c:v>6.2710000000000002E-2</c:v>
                </c:pt>
                <c:pt idx="321">
                  <c:v>6.1740000000000003E-2</c:v>
                </c:pt>
                <c:pt idx="322">
                  <c:v>6.3769999999999993E-2</c:v>
                </c:pt>
                <c:pt idx="323">
                  <c:v>5.6349999999999997E-2</c:v>
                </c:pt>
                <c:pt idx="324">
                  <c:v>5.9389999999999998E-2</c:v>
                </c:pt>
                <c:pt idx="325">
                  <c:v>5.5199999999999999E-2</c:v>
                </c:pt>
                <c:pt idx="326">
                  <c:v>5.4899999999999997E-2</c:v>
                </c:pt>
                <c:pt idx="327">
                  <c:v>5.3760000000000002E-2</c:v>
                </c:pt>
                <c:pt idx="328">
                  <c:v>5.4699999999999999E-2</c:v>
                </c:pt>
                <c:pt idx="329">
                  <c:v>5.8500000000000003E-2</c:v>
                </c:pt>
                <c:pt idx="330">
                  <c:v>5.8299999999999998E-2</c:v>
                </c:pt>
                <c:pt idx="331">
                  <c:v>5.7250000000000002E-2</c:v>
                </c:pt>
                <c:pt idx="332">
                  <c:v>5.9339999999999997E-2</c:v>
                </c:pt>
                <c:pt idx="333">
                  <c:v>5.108E-2</c:v>
                </c:pt>
                <c:pt idx="334">
                  <c:v>5.348E-2</c:v>
                </c:pt>
                <c:pt idx="335">
                  <c:v>5.3990000000000003E-2</c:v>
                </c:pt>
                <c:pt idx="336">
                  <c:v>5.5320000000000001E-2</c:v>
                </c:pt>
                <c:pt idx="337">
                  <c:v>5.9310000000000002E-2</c:v>
                </c:pt>
                <c:pt idx="338">
                  <c:v>5.6619999999999997E-2</c:v>
                </c:pt>
                <c:pt idx="339">
                  <c:v>7.009E-2</c:v>
                </c:pt>
                <c:pt idx="340">
                  <c:v>7.8640000000000002E-2</c:v>
                </c:pt>
                <c:pt idx="341">
                  <c:v>8.0320000000000003E-2</c:v>
                </c:pt>
                <c:pt idx="342">
                  <c:v>8.3519999999999997E-2</c:v>
                </c:pt>
                <c:pt idx="343">
                  <c:v>7.5880000000000003E-2</c:v>
                </c:pt>
                <c:pt idx="344">
                  <c:v>8.0439999999999998E-2</c:v>
                </c:pt>
                <c:pt idx="345">
                  <c:v>7.2499999999999995E-2</c:v>
                </c:pt>
                <c:pt idx="346">
                  <c:v>7.9079999999999998E-2</c:v>
                </c:pt>
                <c:pt idx="347">
                  <c:v>5.969E-2</c:v>
                </c:pt>
                <c:pt idx="348">
                  <c:v>6.4019999999999994E-2</c:v>
                </c:pt>
                <c:pt idx="349">
                  <c:v>6.8029999999999993E-2</c:v>
                </c:pt>
                <c:pt idx="350">
                  <c:v>5.3440000000000001E-2</c:v>
                </c:pt>
                <c:pt idx="351">
                  <c:v>4.888E-2</c:v>
                </c:pt>
                <c:pt idx="352">
                  <c:v>5.1560000000000002E-2</c:v>
                </c:pt>
                <c:pt idx="353">
                  <c:v>5.11E-2</c:v>
                </c:pt>
                <c:pt idx="354">
                  <c:v>3.5229999999999997E-2</c:v>
                </c:pt>
                <c:pt idx="355">
                  <c:v>3.6380000000000003E-2</c:v>
                </c:pt>
                <c:pt idx="356">
                  <c:v>3.9039999999999998E-2</c:v>
                </c:pt>
                <c:pt idx="357">
                  <c:v>3.107E-2</c:v>
                </c:pt>
                <c:pt idx="358">
                  <c:v>3.2649999999999998E-2</c:v>
                </c:pt>
                <c:pt idx="359">
                  <c:v>3.0880000000000001E-2</c:v>
                </c:pt>
                <c:pt idx="360">
                  <c:v>2.9090000000000001E-2</c:v>
                </c:pt>
                <c:pt idx="361">
                  <c:v>2.8379999999999999E-2</c:v>
                </c:pt>
                <c:pt idx="362">
                  <c:v>2.861E-2</c:v>
                </c:pt>
                <c:pt idx="363">
                  <c:v>2.962E-2</c:v>
                </c:pt>
                <c:pt idx="364">
                  <c:v>2.623E-2</c:v>
                </c:pt>
                <c:pt idx="365">
                  <c:v>2.239E-2</c:v>
                </c:pt>
                <c:pt idx="366">
                  <c:v>2.4049999999999998E-2</c:v>
                </c:pt>
                <c:pt idx="367">
                  <c:v>2.4670000000000001E-2</c:v>
                </c:pt>
                <c:pt idx="368">
                  <c:v>2.5430000000000001E-2</c:v>
                </c:pt>
                <c:pt idx="369">
                  <c:v>2.478E-2</c:v>
                </c:pt>
                <c:pt idx="370">
                  <c:v>2.426E-2</c:v>
                </c:pt>
                <c:pt idx="371">
                  <c:v>2.3400000000000001E-2</c:v>
                </c:pt>
                <c:pt idx="372">
                  <c:v>2.673E-2</c:v>
                </c:pt>
                <c:pt idx="373">
                  <c:v>2.6870000000000002E-2</c:v>
                </c:pt>
                <c:pt idx="374">
                  <c:v>2.7529999999999999E-2</c:v>
                </c:pt>
                <c:pt idx="375">
                  <c:v>2.6419999999999999E-2</c:v>
                </c:pt>
                <c:pt idx="376">
                  <c:v>2.7140000000000001E-2</c:v>
                </c:pt>
                <c:pt idx="377">
                  <c:v>2.724E-2</c:v>
                </c:pt>
                <c:pt idx="378">
                  <c:v>2.759E-2</c:v>
                </c:pt>
                <c:pt idx="379">
                  <c:v>2.7740000000000001E-2</c:v>
                </c:pt>
                <c:pt idx="380">
                  <c:v>2.5489999999999999E-2</c:v>
                </c:pt>
                <c:pt idx="381">
                  <c:v>2.613E-2</c:v>
                </c:pt>
                <c:pt idx="382">
                  <c:v>3.022E-2</c:v>
                </c:pt>
                <c:pt idx="383">
                  <c:v>3.1390000000000001E-2</c:v>
                </c:pt>
                <c:pt idx="384">
                  <c:v>3.0360000000000002E-2</c:v>
                </c:pt>
                <c:pt idx="385">
                  <c:v>3.1730000000000001E-2</c:v>
                </c:pt>
                <c:pt idx="386">
                  <c:v>2.9430000000000001E-2</c:v>
                </c:pt>
                <c:pt idx="387">
                  <c:v>2.7959999999999999E-2</c:v>
                </c:pt>
                <c:pt idx="388">
                  <c:v>2.844E-2</c:v>
                </c:pt>
                <c:pt idx="389">
                  <c:v>3.2500000000000001E-2</c:v>
                </c:pt>
                <c:pt idx="390">
                  <c:v>2.8629999999999999E-2</c:v>
                </c:pt>
                <c:pt idx="391">
                  <c:v>2.6450000000000001E-2</c:v>
                </c:pt>
                <c:pt idx="392">
                  <c:v>2.4930000000000001E-2</c:v>
                </c:pt>
                <c:pt idx="393">
                  <c:v>2.5360000000000001E-2</c:v>
                </c:pt>
                <c:pt idx="394">
                  <c:v>2.53E-2</c:v>
                </c:pt>
                <c:pt idx="395">
                  <c:v>2.5409999999999999E-2</c:v>
                </c:pt>
                <c:pt idx="396">
                  <c:v>2.6550000000000001E-2</c:v>
                </c:pt>
                <c:pt idx="397">
                  <c:v>2.58E-2</c:v>
                </c:pt>
                <c:pt idx="398">
                  <c:v>2.0299999999999999E-2</c:v>
                </c:pt>
                <c:pt idx="399">
                  <c:v>2.0109999999999999E-2</c:v>
                </c:pt>
                <c:pt idx="400">
                  <c:v>1.866E-2</c:v>
                </c:pt>
                <c:pt idx="401">
                  <c:v>2.1919999999999999E-2</c:v>
                </c:pt>
                <c:pt idx="402">
                  <c:v>2.128E-2</c:v>
                </c:pt>
                <c:pt idx="403">
                  <c:v>2.223E-2</c:v>
                </c:pt>
                <c:pt idx="404">
                  <c:v>2.2950000000000002E-2</c:v>
                </c:pt>
                <c:pt idx="405">
                  <c:v>2.1919999999999999E-2</c:v>
                </c:pt>
                <c:pt idx="406">
                  <c:v>2.1559999999999999E-2</c:v>
                </c:pt>
                <c:pt idx="407">
                  <c:v>2.1590000000000002E-2</c:v>
                </c:pt>
                <c:pt idx="408">
                  <c:v>1.992E-2</c:v>
                </c:pt>
                <c:pt idx="409">
                  <c:v>1.9740000000000001E-2</c:v>
                </c:pt>
                <c:pt idx="410">
                  <c:v>1.9800000000000002E-2</c:v>
                </c:pt>
                <c:pt idx="411">
                  <c:v>1.9900000000000001E-2</c:v>
                </c:pt>
                <c:pt idx="412">
                  <c:v>1.942E-2</c:v>
                </c:pt>
                <c:pt idx="413">
                  <c:v>1.9769999999999999E-2</c:v>
                </c:pt>
                <c:pt idx="414">
                  <c:v>2.034E-2</c:v>
                </c:pt>
                <c:pt idx="415">
                  <c:v>1.9720000000000001E-2</c:v>
                </c:pt>
                <c:pt idx="416">
                  <c:v>2.138E-2</c:v>
                </c:pt>
                <c:pt idx="417">
                  <c:v>2.172E-2</c:v>
                </c:pt>
                <c:pt idx="418">
                  <c:v>2.2210000000000001E-2</c:v>
                </c:pt>
                <c:pt idx="419">
                  <c:v>2.145E-2</c:v>
                </c:pt>
                <c:pt idx="420">
                  <c:v>2.316E-2</c:v>
                </c:pt>
                <c:pt idx="421">
                  <c:v>2.3439999999999999E-2</c:v>
                </c:pt>
                <c:pt idx="422">
                  <c:v>2.2720000000000001E-2</c:v>
                </c:pt>
                <c:pt idx="423">
                  <c:v>2.384E-2</c:v>
                </c:pt>
                <c:pt idx="424">
                  <c:v>2.3699999999999999E-2</c:v>
                </c:pt>
                <c:pt idx="425">
                  <c:v>2.2700000000000001E-2</c:v>
                </c:pt>
                <c:pt idx="426">
                  <c:v>2.1860000000000001E-2</c:v>
                </c:pt>
                <c:pt idx="427">
                  <c:v>2.2950000000000002E-2</c:v>
                </c:pt>
                <c:pt idx="428">
                  <c:v>2.6610000000000002E-2</c:v>
                </c:pt>
                <c:pt idx="429">
                  <c:v>2.596E-2</c:v>
                </c:pt>
                <c:pt idx="430">
                  <c:v>2.3640000000000001E-2</c:v>
                </c:pt>
                <c:pt idx="431">
                  <c:v>2.213E-2</c:v>
                </c:pt>
                <c:pt idx="432">
                  <c:v>2.3210000000000001E-2</c:v>
                </c:pt>
                <c:pt idx="433">
                  <c:v>2.0879999999999999E-2</c:v>
                </c:pt>
                <c:pt idx="434">
                  <c:v>2.0899999999999998E-2</c:v>
                </c:pt>
                <c:pt idx="435">
                  <c:v>2.1489999999999999E-2</c:v>
                </c:pt>
                <c:pt idx="436">
                  <c:v>2.0709999999999999E-2</c:v>
                </c:pt>
                <c:pt idx="437">
                  <c:v>1.9009999999999999E-2</c:v>
                </c:pt>
                <c:pt idx="438">
                  <c:v>1.8550000000000001E-2</c:v>
                </c:pt>
                <c:pt idx="439">
                  <c:v>1.8960000000000001E-2</c:v>
                </c:pt>
                <c:pt idx="440">
                  <c:v>1.9740000000000001E-2</c:v>
                </c:pt>
                <c:pt idx="441">
                  <c:v>1.9380000000000001E-2</c:v>
                </c:pt>
                <c:pt idx="442">
                  <c:v>1.9640000000000001E-2</c:v>
                </c:pt>
                <c:pt idx="443">
                  <c:v>2.0109999999999999E-2</c:v>
                </c:pt>
                <c:pt idx="444">
                  <c:v>2.0930000000000001E-2</c:v>
                </c:pt>
                <c:pt idx="445">
                  <c:v>2.112E-2</c:v>
                </c:pt>
                <c:pt idx="446">
                  <c:v>2.017E-2</c:v>
                </c:pt>
                <c:pt idx="447">
                  <c:v>2.1420000000000002E-2</c:v>
                </c:pt>
                <c:pt idx="448">
                  <c:v>1.9769999999999999E-2</c:v>
                </c:pt>
                <c:pt idx="449">
                  <c:v>1.9369999999999998E-2</c:v>
                </c:pt>
                <c:pt idx="450">
                  <c:v>1.8720000000000001E-2</c:v>
                </c:pt>
                <c:pt idx="451">
                  <c:v>2.0080000000000001E-2</c:v>
                </c:pt>
                <c:pt idx="452">
                  <c:v>2.0539999999999999E-2</c:v>
                </c:pt>
                <c:pt idx="453">
                  <c:v>1.976E-2</c:v>
                </c:pt>
                <c:pt idx="454">
                  <c:v>1.985E-2</c:v>
                </c:pt>
                <c:pt idx="455">
                  <c:v>2.0029999999999999E-2</c:v>
                </c:pt>
                <c:pt idx="456">
                  <c:v>2.1440000000000001E-2</c:v>
                </c:pt>
                <c:pt idx="457">
                  <c:v>1.9439999999999999E-2</c:v>
                </c:pt>
                <c:pt idx="458">
                  <c:v>2.034E-2</c:v>
                </c:pt>
                <c:pt idx="459">
                  <c:v>2.1129999999999999E-2</c:v>
                </c:pt>
                <c:pt idx="460">
                  <c:v>2.1520000000000001E-2</c:v>
                </c:pt>
                <c:pt idx="461">
                  <c:v>2.1950000000000001E-2</c:v>
                </c:pt>
                <c:pt idx="462">
                  <c:v>2.3109999999999999E-2</c:v>
                </c:pt>
                <c:pt idx="463">
                  <c:v>2.1420000000000002E-2</c:v>
                </c:pt>
                <c:pt idx="464">
                  <c:v>2.1399999999999999E-2</c:v>
                </c:pt>
                <c:pt idx="465">
                  <c:v>2.2759999999999999E-2</c:v>
                </c:pt>
                <c:pt idx="466">
                  <c:v>2.2859999999999998E-2</c:v>
                </c:pt>
                <c:pt idx="467">
                  <c:v>2.291E-2</c:v>
                </c:pt>
                <c:pt idx="468">
                  <c:v>2.3400000000000001E-2</c:v>
                </c:pt>
                <c:pt idx="469">
                  <c:v>2.4109999999999999E-2</c:v>
                </c:pt>
                <c:pt idx="470">
                  <c:v>2.3900000000000001E-2</c:v>
                </c:pt>
                <c:pt idx="471">
                  <c:v>2.4299999999999999E-2</c:v>
                </c:pt>
                <c:pt idx="472">
                  <c:v>2.5270000000000001E-2</c:v>
                </c:pt>
                <c:pt idx="473">
                  <c:v>2.5139999999999999E-2</c:v>
                </c:pt>
                <c:pt idx="474">
                  <c:v>2.5170000000000001E-2</c:v>
                </c:pt>
                <c:pt idx="475">
                  <c:v>2.503E-2</c:v>
                </c:pt>
                <c:pt idx="476">
                  <c:v>2.4629999999999999E-2</c:v>
                </c:pt>
                <c:pt idx="477">
                  <c:v>2.3970000000000002E-2</c:v>
                </c:pt>
                <c:pt idx="478">
                  <c:v>2.41E-2</c:v>
                </c:pt>
                <c:pt idx="479">
                  <c:v>2.562E-2</c:v>
                </c:pt>
                <c:pt idx="480">
                  <c:v>2.647E-2</c:v>
                </c:pt>
                <c:pt idx="481">
                  <c:v>2.5899999999999999E-2</c:v>
                </c:pt>
                <c:pt idx="482">
                  <c:v>2.563E-2</c:v>
                </c:pt>
                <c:pt idx="483">
                  <c:v>2.6599999999999999E-2</c:v>
                </c:pt>
                <c:pt idx="484">
                  <c:v>2.657E-2</c:v>
                </c:pt>
                <c:pt idx="485">
                  <c:v>2.4709999999999999E-2</c:v>
                </c:pt>
                <c:pt idx="486">
                  <c:v>2.47E-2</c:v>
                </c:pt>
                <c:pt idx="487">
                  <c:v>2.409E-2</c:v>
                </c:pt>
                <c:pt idx="488">
                  <c:v>2.4389999999999998E-2</c:v>
                </c:pt>
                <c:pt idx="489">
                  <c:v>2.486E-2</c:v>
                </c:pt>
                <c:pt idx="490">
                  <c:v>2.5000000000000001E-2</c:v>
                </c:pt>
                <c:pt idx="491">
                  <c:v>2.3779999999999999E-2</c:v>
                </c:pt>
                <c:pt idx="492">
                  <c:v>2.8000000000000001E-2</c:v>
                </c:pt>
                <c:pt idx="493">
                  <c:v>2.707E-2</c:v>
                </c:pt>
                <c:pt idx="494">
                  <c:v>2.9610000000000001E-2</c:v>
                </c:pt>
                <c:pt idx="495">
                  <c:v>2.6780000000000002E-2</c:v>
                </c:pt>
                <c:pt idx="496">
                  <c:v>2.367E-2</c:v>
                </c:pt>
                <c:pt idx="497">
                  <c:v>2.4539999999999999E-2</c:v>
                </c:pt>
                <c:pt idx="498">
                  <c:v>2.6249999999999999E-2</c:v>
                </c:pt>
                <c:pt idx="499">
                  <c:v>2.0830000000000001E-2</c:v>
                </c:pt>
                <c:pt idx="500">
                  <c:v>2.1690000000000001E-2</c:v>
                </c:pt>
                <c:pt idx="501">
                  <c:v>2.129E-2</c:v>
                </c:pt>
                <c:pt idx="502">
                  <c:v>2.2710000000000001E-2</c:v>
                </c:pt>
                <c:pt idx="503">
                  <c:v>2.264E-2</c:v>
                </c:pt>
                <c:pt idx="504">
                  <c:v>2.2710000000000001E-2</c:v>
                </c:pt>
                <c:pt idx="505">
                  <c:v>2.163E-2</c:v>
                </c:pt>
                <c:pt idx="506">
                  <c:v>2.1659999999999999E-2</c:v>
                </c:pt>
                <c:pt idx="507">
                  <c:v>2.1600000000000001E-2</c:v>
                </c:pt>
                <c:pt idx="508">
                  <c:v>2.2249999999999999E-2</c:v>
                </c:pt>
                <c:pt idx="509">
                  <c:v>2.1399999999999999E-2</c:v>
                </c:pt>
                <c:pt idx="510">
                  <c:v>2.4340000000000001E-2</c:v>
                </c:pt>
                <c:pt idx="511">
                  <c:v>2.3019999999999999E-2</c:v>
                </c:pt>
                <c:pt idx="512">
                  <c:v>2.511E-2</c:v>
                </c:pt>
                <c:pt idx="513">
                  <c:v>2.6089999999999999E-2</c:v>
                </c:pt>
                <c:pt idx="514">
                  <c:v>2.6970000000000001E-2</c:v>
                </c:pt>
                <c:pt idx="515">
                  <c:v>2.6610000000000002E-2</c:v>
                </c:pt>
                <c:pt idx="516">
                  <c:v>2.7550000000000002E-2</c:v>
                </c:pt>
                <c:pt idx="517">
                  <c:v>2.7359999999999999E-2</c:v>
                </c:pt>
                <c:pt idx="518">
                  <c:v>2.7050000000000001E-2</c:v>
                </c:pt>
                <c:pt idx="519">
                  <c:v>2.8639999999999999E-2</c:v>
                </c:pt>
                <c:pt idx="520">
                  <c:v>2.9360000000000001E-2</c:v>
                </c:pt>
                <c:pt idx="521">
                  <c:v>3.0769999999999999E-2</c:v>
                </c:pt>
                <c:pt idx="522">
                  <c:v>2.8629999999999999E-2</c:v>
                </c:pt>
                <c:pt idx="523">
                  <c:v>3.0110000000000001E-2</c:v>
                </c:pt>
                <c:pt idx="524">
                  <c:v>2.9649999999999999E-2</c:v>
                </c:pt>
                <c:pt idx="525">
                  <c:v>3.2120000000000003E-2</c:v>
                </c:pt>
                <c:pt idx="526">
                  <c:v>3.1289999999999998E-2</c:v>
                </c:pt>
                <c:pt idx="527">
                  <c:v>3.3360000000000001E-2</c:v>
                </c:pt>
                <c:pt idx="528">
                  <c:v>3.4720000000000001E-2</c:v>
                </c:pt>
                <c:pt idx="529">
                  <c:v>3.687E-2</c:v>
                </c:pt>
                <c:pt idx="530">
                  <c:v>3.5389999999999998E-2</c:v>
                </c:pt>
                <c:pt idx="531">
                  <c:v>3.4419999999999999E-2</c:v>
                </c:pt>
                <c:pt idx="532">
                  <c:v>3.1350000000000003E-2</c:v>
                </c:pt>
                <c:pt idx="533">
                  <c:v>3.1989999999999998E-2</c:v>
                </c:pt>
                <c:pt idx="534">
                  <c:v>3.032E-2</c:v>
                </c:pt>
                <c:pt idx="535">
                  <c:v>3.2050000000000002E-2</c:v>
                </c:pt>
                <c:pt idx="536">
                  <c:v>2.937E-2</c:v>
                </c:pt>
                <c:pt idx="537">
                  <c:v>2.887E-2</c:v>
                </c:pt>
                <c:pt idx="538">
                  <c:v>2.741E-2</c:v>
                </c:pt>
                <c:pt idx="539">
                  <c:v>2.758E-2</c:v>
                </c:pt>
                <c:pt idx="540">
                  <c:v>2.614E-2</c:v>
                </c:pt>
                <c:pt idx="541">
                  <c:v>2.615E-2</c:v>
                </c:pt>
                <c:pt idx="542">
                  <c:v>2.63E-2</c:v>
                </c:pt>
                <c:pt idx="543">
                  <c:v>2.5149999999999999E-2</c:v>
                </c:pt>
                <c:pt idx="544">
                  <c:v>2.726E-2</c:v>
                </c:pt>
                <c:pt idx="545">
                  <c:v>2.4400000000000002E-2</c:v>
                </c:pt>
                <c:pt idx="546">
                  <c:v>2.53E-2</c:v>
                </c:pt>
                <c:pt idx="547">
                  <c:v>2.3310000000000001E-2</c:v>
                </c:pt>
                <c:pt idx="548">
                  <c:v>2.3820000000000001E-2</c:v>
                </c:pt>
                <c:pt idx="549">
                  <c:v>2.3429999999999999E-2</c:v>
                </c:pt>
                <c:pt idx="550">
                  <c:v>2.4150000000000001E-2</c:v>
                </c:pt>
                <c:pt idx="551">
                  <c:v>2.545E-2</c:v>
                </c:pt>
                <c:pt idx="552">
                  <c:v>2.4219999999999998E-2</c:v>
                </c:pt>
                <c:pt idx="553">
                  <c:v>2.4969999999999999E-2</c:v>
                </c:pt>
                <c:pt idx="554">
                  <c:v>2.2009999999999998E-2</c:v>
                </c:pt>
                <c:pt idx="555">
                  <c:v>2.0660000000000001E-2</c:v>
                </c:pt>
                <c:pt idx="556">
                  <c:v>2.104E-2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B-48A6-AC8D-FC1271433BF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-1.0198979489850306</c:v>
                </c:pt>
                <c:pt idx="1">
                  <c:v>-0.94799870913503081</c:v>
                </c:pt>
                <c:pt idx="2">
                  <c:v>-0.57952391873710796</c:v>
                </c:pt>
                <c:pt idx="3">
                  <c:v>-1.5178182240749443</c:v>
                </c:pt>
                <c:pt idx="4">
                  <c:v>-2.2239721194683861</c:v>
                </c:pt>
                <c:pt idx="5">
                  <c:v>-3.3984900418487558</c:v>
                </c:pt>
                <c:pt idx="6">
                  <c:v>-4.3734143536738106</c:v>
                </c:pt>
                <c:pt idx="7">
                  <c:v>-2.4573873000680959</c:v>
                </c:pt>
                <c:pt idx="8">
                  <c:v>-1.5148873234717337</c:v>
                </c:pt>
                <c:pt idx="9">
                  <c:v>-1.2358130232336391</c:v>
                </c:pt>
                <c:pt idx="10">
                  <c:v>-1.5966105272884306</c:v>
                </c:pt>
                <c:pt idx="11">
                  <c:v>-0.99735508470368506</c:v>
                </c:pt>
                <c:pt idx="12">
                  <c:v>-0.77655226007511546</c:v>
                </c:pt>
                <c:pt idx="13">
                  <c:v>4.667357870919854E-2</c:v>
                </c:pt>
                <c:pt idx="14">
                  <c:v>-0.86015122614080175</c:v>
                </c:pt>
                <c:pt idx="15">
                  <c:v>0.13844597677826986</c:v>
                </c:pt>
                <c:pt idx="16">
                  <c:v>-0.72059210747322522</c:v>
                </c:pt>
                <c:pt idx="17">
                  <c:v>-1.5365117412058449</c:v>
                </c:pt>
                <c:pt idx="18">
                  <c:v>-1.3895322327506976</c:v>
                </c:pt>
                <c:pt idx="19">
                  <c:v>-1.7815036828912372</c:v>
                </c:pt>
                <c:pt idx="20">
                  <c:v>-1.3458540974951965</c:v>
                </c:pt>
                <c:pt idx="21">
                  <c:v>-0.65611712249519427</c:v>
                </c:pt>
                <c:pt idx="22">
                  <c:v>-1.348128231671663</c:v>
                </c:pt>
                <c:pt idx="23">
                  <c:v>-0.50235180254274281</c:v>
                </c:pt>
                <c:pt idx="24">
                  <c:v>7.5552182479476482E-2</c:v>
                </c:pt>
                <c:pt idx="25">
                  <c:v>0.52351720687948122</c:v>
                </c:pt>
                <c:pt idx="26">
                  <c:v>0.49346085506129722</c:v>
                </c:pt>
                <c:pt idx="27">
                  <c:v>-0.12805869007156864</c:v>
                </c:pt>
                <c:pt idx="28">
                  <c:v>0.24444909216797522</c:v>
                </c:pt>
                <c:pt idx="29">
                  <c:v>-0.10890859361419887</c:v>
                </c:pt>
                <c:pt idx="30">
                  <c:v>0.66138807310008929</c:v>
                </c:pt>
                <c:pt idx="31">
                  <c:v>1.8293817286814837</c:v>
                </c:pt>
                <c:pt idx="32">
                  <c:v>2.8836043427080358</c:v>
                </c:pt>
                <c:pt idx="33">
                  <c:v>2.2211158290017425</c:v>
                </c:pt>
                <c:pt idx="34">
                  <c:v>2.3487560552744693</c:v>
                </c:pt>
                <c:pt idx="35">
                  <c:v>3.1922317213647484</c:v>
                </c:pt>
                <c:pt idx="36">
                  <c:v>2.7094871251087471</c:v>
                </c:pt>
                <c:pt idx="37">
                  <c:v>2.8837573359675077</c:v>
                </c:pt>
                <c:pt idx="38">
                  <c:v>2.4785229258221069</c:v>
                </c:pt>
                <c:pt idx="39">
                  <c:v>2.3643480640236563</c:v>
                </c:pt>
                <c:pt idx="40">
                  <c:v>3.0971537966254261</c:v>
                </c:pt>
                <c:pt idx="41">
                  <c:v>2.7619760222734282</c:v>
                </c:pt>
                <c:pt idx="42">
                  <c:v>2.8743909023203011</c:v>
                </c:pt>
                <c:pt idx="43">
                  <c:v>3.4882374216573759</c:v>
                </c:pt>
                <c:pt idx="44">
                  <c:v>2.6645954461085943</c:v>
                </c:pt>
                <c:pt idx="45">
                  <c:v>1.74254498622466</c:v>
                </c:pt>
                <c:pt idx="46">
                  <c:v>2.4700700402490501</c:v>
                </c:pt>
                <c:pt idx="47">
                  <c:v>2.0885690496216016</c:v>
                </c:pt>
                <c:pt idx="48">
                  <c:v>2.0091427789430303</c:v>
                </c:pt>
                <c:pt idx="49">
                  <c:v>3.1275202352878582</c:v>
                </c:pt>
                <c:pt idx="50">
                  <c:v>4.4269835035151326</c:v>
                </c:pt>
                <c:pt idx="51">
                  <c:v>2.7120994617651317</c:v>
                </c:pt>
                <c:pt idx="52">
                  <c:v>2.7465052809071651</c:v>
                </c:pt>
                <c:pt idx="53">
                  <c:v>0.88413305353462102</c:v>
                </c:pt>
                <c:pt idx="54">
                  <c:v>1.340596175128856</c:v>
                </c:pt>
                <c:pt idx="55">
                  <c:v>0.13202882442116232</c:v>
                </c:pt>
                <c:pt idx="56">
                  <c:v>1.1526339517416373</c:v>
                </c:pt>
                <c:pt idx="57">
                  <c:v>0.38935175965072771</c:v>
                </c:pt>
                <c:pt idx="58">
                  <c:v>0.91466053286501148</c:v>
                </c:pt>
                <c:pt idx="59">
                  <c:v>0.87901900377668662</c:v>
                </c:pt>
                <c:pt idx="60">
                  <c:v>4.8719640249081847E-2</c:v>
                </c:pt>
                <c:pt idx="61">
                  <c:v>-1.4532113267188196</c:v>
                </c:pt>
                <c:pt idx="62">
                  <c:v>-1.2966796054350329</c:v>
                </c:pt>
                <c:pt idx="63">
                  <c:v>0.2589417519535025</c:v>
                </c:pt>
                <c:pt idx="64">
                  <c:v>0.34007503904873715</c:v>
                </c:pt>
                <c:pt idx="65">
                  <c:v>0.43119063715754458</c:v>
                </c:pt>
                <c:pt idx="66">
                  <c:v>0.67567348668135163</c:v>
                </c:pt>
                <c:pt idx="67">
                  <c:v>0.95607177205531391</c:v>
                </c:pt>
                <c:pt idx="68">
                  <c:v>1.4853470044033301</c:v>
                </c:pt>
                <c:pt idx="69">
                  <c:v>0.47892067321851495</c:v>
                </c:pt>
                <c:pt idx="70">
                  <c:v>-0.31140150898889224</c:v>
                </c:pt>
                <c:pt idx="71">
                  <c:v>0.80472319789313052</c:v>
                </c:pt>
                <c:pt idx="72">
                  <c:v>-1.0944700488072187E-2</c:v>
                </c:pt>
                <c:pt idx="73">
                  <c:v>0.51182110086076316</c:v>
                </c:pt>
                <c:pt idx="74">
                  <c:v>0.99289840219781256</c:v>
                </c:pt>
                <c:pt idx="75">
                  <c:v>1.5158663631978124</c:v>
                </c:pt>
                <c:pt idx="76">
                  <c:v>2.0682597544445698</c:v>
                </c:pt>
                <c:pt idx="77">
                  <c:v>4.3068640628166577</c:v>
                </c:pt>
                <c:pt idx="78">
                  <c:v>-1.1927239196059549</c:v>
                </c:pt>
                <c:pt idx="79">
                  <c:v>0.27489216835090585</c:v>
                </c:pt>
                <c:pt idx="80">
                  <c:v>0.20575382551090873</c:v>
                </c:pt>
                <c:pt idx="81">
                  <c:v>-0.4435600469801575</c:v>
                </c:pt>
                <c:pt idx="82">
                  <c:v>-0.98879735282631043</c:v>
                </c:pt>
                <c:pt idx="83">
                  <c:v>-1.5350232182875667</c:v>
                </c:pt>
                <c:pt idx="84">
                  <c:v>-0.53006380228473482</c:v>
                </c:pt>
                <c:pt idx="85">
                  <c:v>0.92971651146056533</c:v>
                </c:pt>
                <c:pt idx="86">
                  <c:v>1.4597763287682559</c:v>
                </c:pt>
                <c:pt idx="87">
                  <c:v>1.5105246841105229</c:v>
                </c:pt>
                <c:pt idx="88">
                  <c:v>1.2547377435344826</c:v>
                </c:pt>
                <c:pt idx="89">
                  <c:v>7.9690587549192244</c:v>
                </c:pt>
                <c:pt idx="90">
                  <c:v>6.4770980093789969</c:v>
                </c:pt>
                <c:pt idx="91">
                  <c:v>5.9733499927483651</c:v>
                </c:pt>
                <c:pt idx="92">
                  <c:v>6.1524766324694529</c:v>
                </c:pt>
                <c:pt idx="93">
                  <c:v>8.0222324278125363</c:v>
                </c:pt>
                <c:pt idx="94">
                  <c:v>8.2971769227142662</c:v>
                </c:pt>
                <c:pt idx="95">
                  <c:v>7.5909925427142655</c:v>
                </c:pt>
                <c:pt idx="96">
                  <c:v>8.1935200137142647</c:v>
                </c:pt>
                <c:pt idx="97">
                  <c:v>7.9748101664070772</c:v>
                </c:pt>
                <c:pt idx="98">
                  <c:v>8.3384585404485705</c:v>
                </c:pt>
                <c:pt idx="99">
                  <c:v>7.9887432368642024</c:v>
                </c:pt>
                <c:pt idx="100">
                  <c:v>7.3097088323308697</c:v>
                </c:pt>
                <c:pt idx="101">
                  <c:v>7.2631619665080791</c:v>
                </c:pt>
                <c:pt idx="102">
                  <c:v>7.7288591731011822</c:v>
                </c:pt>
                <c:pt idx="103">
                  <c:v>7.9906846442289279</c:v>
                </c:pt>
                <c:pt idx="104">
                  <c:v>8.4397348614289278</c:v>
                </c:pt>
                <c:pt idx="105">
                  <c:v>7.8196801066124157</c:v>
                </c:pt>
                <c:pt idx="106">
                  <c:v>8.8491386208752782</c:v>
                </c:pt>
                <c:pt idx="107">
                  <c:v>8.0366202986968496</c:v>
                </c:pt>
                <c:pt idx="108">
                  <c:v>7.0066432994526657</c:v>
                </c:pt>
                <c:pt idx="109">
                  <c:v>7.2529116287944015</c:v>
                </c:pt>
                <c:pt idx="110">
                  <c:v>8.2827530714797177</c:v>
                </c:pt>
                <c:pt idx="111">
                  <c:v>7.8850777744208944</c:v>
                </c:pt>
                <c:pt idx="112">
                  <c:v>8.861637362426416</c:v>
                </c:pt>
                <c:pt idx="113">
                  <c:v>7.5223617621817676</c:v>
                </c:pt>
                <c:pt idx="114">
                  <c:v>7.6176504533300573</c:v>
                </c:pt>
                <c:pt idx="115">
                  <c:v>5.9434556505120995</c:v>
                </c:pt>
                <c:pt idx="116">
                  <c:v>5.2888367809863226</c:v>
                </c:pt>
                <c:pt idx="117">
                  <c:v>6.004215954918811</c:v>
                </c:pt>
                <c:pt idx="118">
                  <c:v>6.3174225419642633</c:v>
                </c:pt>
                <c:pt idx="119">
                  <c:v>5.3940287270240264</c:v>
                </c:pt>
                <c:pt idx="120">
                  <c:v>4.8963471003658423</c:v>
                </c:pt>
                <c:pt idx="121">
                  <c:v>4.8450115781158392</c:v>
                </c:pt>
                <c:pt idx="122">
                  <c:v>6.0024316752358429</c:v>
                </c:pt>
                <c:pt idx="123">
                  <c:v>6.8240688380358421</c:v>
                </c:pt>
                <c:pt idx="124">
                  <c:v>6.5737422794481422</c:v>
                </c:pt>
                <c:pt idx="125">
                  <c:v>6.4763114976488332</c:v>
                </c:pt>
                <c:pt idx="126">
                  <c:v>6.5507724069821673</c:v>
                </c:pt>
                <c:pt idx="127">
                  <c:v>5.6941181200825826</c:v>
                </c:pt>
                <c:pt idx="128">
                  <c:v>4.4911604502894793</c:v>
                </c:pt>
                <c:pt idx="129">
                  <c:v>5.1355527088567312</c:v>
                </c:pt>
                <c:pt idx="130">
                  <c:v>5.6058256486580547</c:v>
                </c:pt>
                <c:pt idx="131">
                  <c:v>5.8728056947975906</c:v>
                </c:pt>
                <c:pt idx="132">
                  <c:v>5.7399635412431342</c:v>
                </c:pt>
                <c:pt idx="133">
                  <c:v>6.1579860875563872</c:v>
                </c:pt>
                <c:pt idx="134">
                  <c:v>6.7248196960646522</c:v>
                </c:pt>
                <c:pt idx="135">
                  <c:v>6.0737272433393761</c:v>
                </c:pt>
                <c:pt idx="136">
                  <c:v>5.3467008942003069</c:v>
                </c:pt>
                <c:pt idx="137">
                  <c:v>5.5388152672616968</c:v>
                </c:pt>
                <c:pt idx="138">
                  <c:v>5.2291349905652309</c:v>
                </c:pt>
                <c:pt idx="139">
                  <c:v>5.6332369022662183</c:v>
                </c:pt>
                <c:pt idx="140">
                  <c:v>6.439208834100457</c:v>
                </c:pt>
                <c:pt idx="141">
                  <c:v>6.7345063454284029</c:v>
                </c:pt>
                <c:pt idx="142">
                  <c:v>5.7968335614051476</c:v>
                </c:pt>
                <c:pt idx="143">
                  <c:v>7.1203527697917739</c:v>
                </c:pt>
                <c:pt idx="144">
                  <c:v>4.5910027668917754</c:v>
                </c:pt>
                <c:pt idx="145">
                  <c:v>3.7330368874766844</c:v>
                </c:pt>
                <c:pt idx="146">
                  <c:v>3.3141335983192457</c:v>
                </c:pt>
                <c:pt idx="147">
                  <c:v>3.4904742598577023</c:v>
                </c:pt>
                <c:pt idx="148">
                  <c:v>4.137230786976585</c:v>
                </c:pt>
                <c:pt idx="149">
                  <c:v>3.2695826971024724</c:v>
                </c:pt>
                <c:pt idx="150">
                  <c:v>6.4143419005458036</c:v>
                </c:pt>
                <c:pt idx="151">
                  <c:v>6.7886228463404619</c:v>
                </c:pt>
                <c:pt idx="152">
                  <c:v>7.0606165647083392</c:v>
                </c:pt>
                <c:pt idx="153">
                  <c:v>7.3156443683352821</c:v>
                </c:pt>
                <c:pt idx="154">
                  <c:v>6.6014451244042487</c:v>
                </c:pt>
                <c:pt idx="155">
                  <c:v>7.4644778730127292</c:v>
                </c:pt>
                <c:pt idx="156">
                  <c:v>7.0206037060546223</c:v>
                </c:pt>
                <c:pt idx="157">
                  <c:v>7.7219556370144433</c:v>
                </c:pt>
                <c:pt idx="158">
                  <c:v>7.794497086519117</c:v>
                </c:pt>
                <c:pt idx="159">
                  <c:v>7.9722487573962262</c:v>
                </c:pt>
                <c:pt idx="160">
                  <c:v>6.9104994374323381</c:v>
                </c:pt>
                <c:pt idx="161">
                  <c:v>5.9940533544124177</c:v>
                </c:pt>
                <c:pt idx="162">
                  <c:v>5.2524059592074828</c:v>
                </c:pt>
                <c:pt idx="163">
                  <c:v>4.6038311625691835</c:v>
                </c:pt>
                <c:pt idx="164">
                  <c:v>5.6249980331920737</c:v>
                </c:pt>
                <c:pt idx="165">
                  <c:v>6.4622304562592339</c:v>
                </c:pt>
                <c:pt idx="166">
                  <c:v>5.8204296008410514</c:v>
                </c:pt>
                <c:pt idx="167">
                  <c:v>5.5918757587663652</c:v>
                </c:pt>
                <c:pt idx="168">
                  <c:v>4.0238149295239403</c:v>
                </c:pt>
                <c:pt idx="169">
                  <c:v>4.4342740520273898</c:v>
                </c:pt>
                <c:pt idx="170">
                  <c:v>4.3836423072052799</c:v>
                </c:pt>
                <c:pt idx="171">
                  <c:v>3.7023365142752525</c:v>
                </c:pt>
                <c:pt idx="172">
                  <c:v>3.0692074718022782</c:v>
                </c:pt>
                <c:pt idx="173">
                  <c:v>3.791504188060705</c:v>
                </c:pt>
                <c:pt idx="174">
                  <c:v>2.9591099195991646</c:v>
                </c:pt>
                <c:pt idx="175">
                  <c:v>2.094829530185371</c:v>
                </c:pt>
                <c:pt idx="176">
                  <c:v>1.5373005663507029</c:v>
                </c:pt>
                <c:pt idx="177">
                  <c:v>0.96373394548766411</c:v>
                </c:pt>
                <c:pt idx="178">
                  <c:v>0.9534404087477818</c:v>
                </c:pt>
                <c:pt idx="179">
                  <c:v>2.2152674830444847</c:v>
                </c:pt>
                <c:pt idx="180">
                  <c:v>0.79266915733716814</c:v>
                </c:pt>
                <c:pt idx="181">
                  <c:v>0.78377765850826808</c:v>
                </c:pt>
                <c:pt idx="182">
                  <c:v>0.14299195477965299</c:v>
                </c:pt>
                <c:pt idx="183">
                  <c:v>-0.15193722952889552</c:v>
                </c:pt>
                <c:pt idx="184">
                  <c:v>-3.6935751973338274E-2</c:v>
                </c:pt>
                <c:pt idx="185">
                  <c:v>-0.64124455440646111</c:v>
                </c:pt>
                <c:pt idx="186">
                  <c:v>1.1467362820008813</c:v>
                </c:pt>
                <c:pt idx="187">
                  <c:v>-0.87616238534235302</c:v>
                </c:pt>
                <c:pt idx="188">
                  <c:v>-0.94807582822335967</c:v>
                </c:pt>
                <c:pt idx="189">
                  <c:v>-1.452309635267157</c:v>
                </c:pt>
                <c:pt idx="190">
                  <c:v>-1.7310191816957283</c:v>
                </c:pt>
                <c:pt idx="191">
                  <c:v>-2.1712400271198358</c:v>
                </c:pt>
                <c:pt idx="192">
                  <c:v>-1.8840385929512715</c:v>
                </c:pt>
                <c:pt idx="193">
                  <c:v>-1.3312195203311601</c:v>
                </c:pt>
                <c:pt idx="194">
                  <c:v>-1.2425373561064388</c:v>
                </c:pt>
                <c:pt idx="195">
                  <c:v>-1.1448235141773606</c:v>
                </c:pt>
                <c:pt idx="196">
                  <c:v>-0.77107711496805853</c:v>
                </c:pt>
                <c:pt idx="197">
                  <c:v>-0.1100153933013913</c:v>
                </c:pt>
                <c:pt idx="198">
                  <c:v>-0.56076612132071413</c:v>
                </c:pt>
                <c:pt idx="199">
                  <c:v>-0.11934592355951991</c:v>
                </c:pt>
                <c:pt idx="200">
                  <c:v>0.31826453484047945</c:v>
                </c:pt>
                <c:pt idx="201">
                  <c:v>0.5711436123009106</c:v>
                </c:pt>
                <c:pt idx="202">
                  <c:v>0.80531994444376853</c:v>
                </c:pt>
                <c:pt idx="203">
                  <c:v>0.48906229586043476</c:v>
                </c:pt>
                <c:pt idx="204">
                  <c:v>1.1508556564927221</c:v>
                </c:pt>
                <c:pt idx="205">
                  <c:v>1.7222235663813161</c:v>
                </c:pt>
                <c:pt idx="206">
                  <c:v>1.8718013157764775</c:v>
                </c:pt>
                <c:pt idx="207">
                  <c:v>2.2432135204379358</c:v>
                </c:pt>
                <c:pt idx="208">
                  <c:v>2.0497104684089487</c:v>
                </c:pt>
                <c:pt idx="209">
                  <c:v>1.8216287477684996</c:v>
                </c:pt>
                <c:pt idx="210">
                  <c:v>1.5218584599262284</c:v>
                </c:pt>
                <c:pt idx="211">
                  <c:v>1.8411870513723827</c:v>
                </c:pt>
                <c:pt idx="212">
                  <c:v>0.86371312037238268</c:v>
                </c:pt>
                <c:pt idx="213">
                  <c:v>0.47004805595803922</c:v>
                </c:pt>
                <c:pt idx="214">
                  <c:v>0.31410315509597159</c:v>
                </c:pt>
                <c:pt idx="215">
                  <c:v>-0.33334436171075088</c:v>
                </c:pt>
                <c:pt idx="216">
                  <c:v>-0.98902472391075025</c:v>
                </c:pt>
                <c:pt idx="217">
                  <c:v>5.4738601347313814E-2</c:v>
                </c:pt>
                <c:pt idx="218">
                  <c:v>-0.27952472938023154</c:v>
                </c:pt>
                <c:pt idx="219">
                  <c:v>-1.1013267242970848</c:v>
                </c:pt>
                <c:pt idx="220">
                  <c:v>-2.3867121112140746</c:v>
                </c:pt>
                <c:pt idx="221">
                  <c:v>-0.20378002909753876</c:v>
                </c:pt>
                <c:pt idx="222">
                  <c:v>-0.90800780158076166</c:v>
                </c:pt>
                <c:pt idx="223">
                  <c:v>-0.26152979201355092</c:v>
                </c:pt>
                <c:pt idx="224">
                  <c:v>0.31156805909811242</c:v>
                </c:pt>
                <c:pt idx="225">
                  <c:v>0.39091383972668453</c:v>
                </c:pt>
                <c:pt idx="226">
                  <c:v>0.70981869009689658</c:v>
                </c:pt>
                <c:pt idx="227">
                  <c:v>1.2108690912247169</c:v>
                </c:pt>
                <c:pt idx="228">
                  <c:v>0.63492209386369536</c:v>
                </c:pt>
                <c:pt idx="229">
                  <c:v>-5.4816637582339942E-2</c:v>
                </c:pt>
                <c:pt idx="230">
                  <c:v>1.9743755653341946</c:v>
                </c:pt>
                <c:pt idx="231">
                  <c:v>2.953964046158462</c:v>
                </c:pt>
                <c:pt idx="232">
                  <c:v>3.481257459107276</c:v>
                </c:pt>
                <c:pt idx="233">
                  <c:v>1.5852021928399451</c:v>
                </c:pt>
                <c:pt idx="234">
                  <c:v>-0.22590631506499229</c:v>
                </c:pt>
                <c:pt idx="235">
                  <c:v>3.1177180467477505</c:v>
                </c:pt>
                <c:pt idx="236">
                  <c:v>3.1799385308558583</c:v>
                </c:pt>
                <c:pt idx="237">
                  <c:v>3.6204972576345451</c:v>
                </c:pt>
                <c:pt idx="238">
                  <c:v>4.0194387954118325</c:v>
                </c:pt>
                <c:pt idx="239">
                  <c:v>1.5247692067808225</c:v>
                </c:pt>
                <c:pt idx="240">
                  <c:v>0.54881404533869782</c:v>
                </c:pt>
                <c:pt idx="241">
                  <c:v>1.2970391206985781</c:v>
                </c:pt>
                <c:pt idx="242">
                  <c:v>0.16932243003345529</c:v>
                </c:pt>
                <c:pt idx="243">
                  <c:v>-1.5925144204736966E-2</c:v>
                </c:pt>
                <c:pt idx="244">
                  <c:v>0.10187815482810988</c:v>
                </c:pt>
                <c:pt idx="245">
                  <c:v>0.99301091430992194</c:v>
                </c:pt>
                <c:pt idx="246">
                  <c:v>2.110578808643258</c:v>
                </c:pt>
                <c:pt idx="247">
                  <c:v>0.51851759159062738</c:v>
                </c:pt>
                <c:pt idx="248">
                  <c:v>0.41768584318406998</c:v>
                </c:pt>
                <c:pt idx="249">
                  <c:v>-0.99565681736947442</c:v>
                </c:pt>
                <c:pt idx="250">
                  <c:v>-1.1308271906691347</c:v>
                </c:pt>
                <c:pt idx="251">
                  <c:v>-0.36079593291220136</c:v>
                </c:pt>
                <c:pt idx="252">
                  <c:v>-0.3633376216725463</c:v>
                </c:pt>
                <c:pt idx="253">
                  <c:v>-1.6040417162270757</c:v>
                </c:pt>
                <c:pt idx="254">
                  <c:v>-0.47218385542620617</c:v>
                </c:pt>
                <c:pt idx="255">
                  <c:v>-0.73226289322148264</c:v>
                </c:pt>
                <c:pt idx="256">
                  <c:v>0.42874513160054994</c:v>
                </c:pt>
                <c:pt idx="257">
                  <c:v>0.19646709036710844</c:v>
                </c:pt>
                <c:pt idx="258">
                  <c:v>1.4070066146915863</c:v>
                </c:pt>
                <c:pt idx="259">
                  <c:v>1.5661081645932253</c:v>
                </c:pt>
                <c:pt idx="260">
                  <c:v>1.0160106877956807</c:v>
                </c:pt>
                <c:pt idx="261">
                  <c:v>2.8818946280573949</c:v>
                </c:pt>
                <c:pt idx="262">
                  <c:v>2.4897870344517337</c:v>
                </c:pt>
                <c:pt idx="263">
                  <c:v>3.0917420509859928</c:v>
                </c:pt>
                <c:pt idx="264">
                  <c:v>2.9178250209135279</c:v>
                </c:pt>
                <c:pt idx="265">
                  <c:v>4.1866565122417789</c:v>
                </c:pt>
                <c:pt idx="266">
                  <c:v>3.0088971346733717</c:v>
                </c:pt>
                <c:pt idx="267">
                  <c:v>4.1572539544976141</c:v>
                </c:pt>
                <c:pt idx="268">
                  <c:v>3.8917316776943252</c:v>
                </c:pt>
                <c:pt idx="269">
                  <c:v>6.1085512816647665</c:v>
                </c:pt>
                <c:pt idx="270">
                  <c:v>8.1572255475922564</c:v>
                </c:pt>
                <c:pt idx="271">
                  <c:v>7.2021965484746646</c:v>
                </c:pt>
                <c:pt idx="272">
                  <c:v>12.552242832202399</c:v>
                </c:pt>
                <c:pt idx="273">
                  <c:v>9.9973226538111071</c:v>
                </c:pt>
                <c:pt idx="274">
                  <c:v>9.9632603863377831</c:v>
                </c:pt>
                <c:pt idx="275">
                  <c:v>10.884386484968108</c:v>
                </c:pt>
                <c:pt idx="276">
                  <c:v>10.335194304278678</c:v>
                </c:pt>
                <c:pt idx="277">
                  <c:v>8.5257131467356135</c:v>
                </c:pt>
                <c:pt idx="278">
                  <c:v>9.1166509707705785</c:v>
                </c:pt>
                <c:pt idx="279">
                  <c:v>11.851515649401156</c:v>
                </c:pt>
                <c:pt idx="280">
                  <c:v>8.349824526884527</c:v>
                </c:pt>
                <c:pt idx="281">
                  <c:v>16.754678536099714</c:v>
                </c:pt>
                <c:pt idx="282">
                  <c:v>15.156198771479822</c:v>
                </c:pt>
                <c:pt idx="283">
                  <c:v>15.117267903532531</c:v>
                </c:pt>
                <c:pt idx="284">
                  <c:v>17.401396756869183</c:v>
                </c:pt>
                <c:pt idx="285">
                  <c:v>16.260952325545489</c:v>
                </c:pt>
                <c:pt idx="286">
                  <c:v>9.8050420226679158</c:v>
                </c:pt>
                <c:pt idx="287">
                  <c:v>8.6581123755848868</c:v>
                </c:pt>
                <c:pt idx="288">
                  <c:v>11.381649290560778</c:v>
                </c:pt>
                <c:pt idx="289">
                  <c:v>8.3706056322912552</c:v>
                </c:pt>
                <c:pt idx="290">
                  <c:v>8.6785723478461509</c:v>
                </c:pt>
                <c:pt idx="291">
                  <c:v>9.1198223612743057</c:v>
                </c:pt>
                <c:pt idx="292">
                  <c:v>9.2754416968523863</c:v>
                </c:pt>
                <c:pt idx="293">
                  <c:v>9.3224569358238867</c:v>
                </c:pt>
                <c:pt idx="294">
                  <c:v>8.5542575365937594</c:v>
                </c:pt>
                <c:pt idx="295">
                  <c:v>8.1260137857123027</c:v>
                </c:pt>
                <c:pt idx="296">
                  <c:v>8.1621440437817849</c:v>
                </c:pt>
                <c:pt idx="297">
                  <c:v>8.1987621857826092</c:v>
                </c:pt>
                <c:pt idx="298">
                  <c:v>9.5261283459668977</c:v>
                </c:pt>
                <c:pt idx="299">
                  <c:v>7.9436912108352846</c:v>
                </c:pt>
                <c:pt idx="300">
                  <c:v>9.8153529358910525</c:v>
                </c:pt>
                <c:pt idx="301">
                  <c:v>9.3611773809168621</c:v>
                </c:pt>
                <c:pt idx="302">
                  <c:v>8.4794373158273544</c:v>
                </c:pt>
                <c:pt idx="303">
                  <c:v>7.4568465534177157</c:v>
                </c:pt>
                <c:pt idx="304">
                  <c:v>8.0576491473036178</c:v>
                </c:pt>
                <c:pt idx="305">
                  <c:v>7.1845229455841482</c:v>
                </c:pt>
                <c:pt idx="306">
                  <c:v>6.8897432925709658</c:v>
                </c:pt>
                <c:pt idx="307">
                  <c:v>6.8090167792196112</c:v>
                </c:pt>
                <c:pt idx="308">
                  <c:v>6.2295483780071121</c:v>
                </c:pt>
                <c:pt idx="309">
                  <c:v>6.972338463445146</c:v>
                </c:pt>
                <c:pt idx="310">
                  <c:v>8.1667583919046791</c:v>
                </c:pt>
                <c:pt idx="311">
                  <c:v>8.5590725525515783</c:v>
                </c:pt>
                <c:pt idx="312">
                  <c:v>9.3105287320156904</c:v>
                </c:pt>
                <c:pt idx="313">
                  <c:v>9.5445453132137157</c:v>
                </c:pt>
                <c:pt idx="314">
                  <c:v>11.041373254632218</c:v>
                </c:pt>
                <c:pt idx="315">
                  <c:v>9.6146893611025206</c:v>
                </c:pt>
                <c:pt idx="316">
                  <c:v>10.625235700195603</c:v>
                </c:pt>
                <c:pt idx="317">
                  <c:v>9.5833132522364224</c:v>
                </c:pt>
                <c:pt idx="318">
                  <c:v>7.6967931595296832</c:v>
                </c:pt>
                <c:pt idx="319">
                  <c:v>6.7875528105623033</c:v>
                </c:pt>
                <c:pt idx="320">
                  <c:v>7.7297423819469167</c:v>
                </c:pt>
                <c:pt idx="321">
                  <c:v>7.4572835084147737</c:v>
                </c:pt>
                <c:pt idx="322">
                  <c:v>6.8008254997894957</c:v>
                </c:pt>
                <c:pt idx="323">
                  <c:v>5.4537048499904026</c:v>
                </c:pt>
                <c:pt idx="324">
                  <c:v>6.0995545953456913</c:v>
                </c:pt>
                <c:pt idx="325">
                  <c:v>4.6197636947014162</c:v>
                </c:pt>
                <c:pt idx="326">
                  <c:v>4.1692511909110932</c:v>
                </c:pt>
                <c:pt idx="327">
                  <c:v>4.1335523821653322</c:v>
                </c:pt>
                <c:pt idx="328">
                  <c:v>4.1792491849766522</c:v>
                </c:pt>
                <c:pt idx="329">
                  <c:v>4.8203873982765497</c:v>
                </c:pt>
                <c:pt idx="330">
                  <c:v>5.0350006225093695</c:v>
                </c:pt>
                <c:pt idx="331">
                  <c:v>5.1759081357401389</c:v>
                </c:pt>
                <c:pt idx="332">
                  <c:v>5.3726139789297944</c:v>
                </c:pt>
                <c:pt idx="333">
                  <c:v>4.7094598183674359</c:v>
                </c:pt>
                <c:pt idx="334">
                  <c:v>4.7071999221778933</c:v>
                </c:pt>
                <c:pt idx="335">
                  <c:v>5.191158368360159</c:v>
                </c:pt>
                <c:pt idx="336">
                  <c:v>5.3474103756520242</c:v>
                </c:pt>
                <c:pt idx="337">
                  <c:v>6.2195067944120241</c:v>
                </c:pt>
                <c:pt idx="338">
                  <c:v>6.1841425543653914</c:v>
                </c:pt>
                <c:pt idx="339">
                  <c:v>6.9557085160090804</c:v>
                </c:pt>
                <c:pt idx="340">
                  <c:v>6.5527370100478475</c:v>
                </c:pt>
                <c:pt idx="341">
                  <c:v>6.7389868236368367</c:v>
                </c:pt>
                <c:pt idx="342">
                  <c:v>7.402813079883912</c:v>
                </c:pt>
                <c:pt idx="343">
                  <c:v>6.4616917718645421</c:v>
                </c:pt>
                <c:pt idx="344">
                  <c:v>7.3377996287694423</c:v>
                </c:pt>
                <c:pt idx="345">
                  <c:v>6.7918152562045071</c:v>
                </c:pt>
                <c:pt idx="346">
                  <c:v>8.0305349576586984</c:v>
                </c:pt>
                <c:pt idx="347">
                  <c:v>5.1122150137612952</c:v>
                </c:pt>
                <c:pt idx="348">
                  <c:v>5.6674821486093423</c:v>
                </c:pt>
                <c:pt idx="349">
                  <c:v>5.5920951439185744</c:v>
                </c:pt>
                <c:pt idx="350">
                  <c:v>3.3313818462835751</c:v>
                </c:pt>
                <c:pt idx="351">
                  <c:v>2.7507463514442883</c:v>
                </c:pt>
                <c:pt idx="352">
                  <c:v>2.7821088436077628</c:v>
                </c:pt>
                <c:pt idx="353">
                  <c:v>2.9041099242946844</c:v>
                </c:pt>
                <c:pt idx="354">
                  <c:v>0.38452458259903316</c:v>
                </c:pt>
                <c:pt idx="355">
                  <c:v>0.50307277363933689</c:v>
                </c:pt>
                <c:pt idx="356">
                  <c:v>0.8269676713690628</c:v>
                </c:pt>
                <c:pt idx="357">
                  <c:v>-1.0120225760336203</c:v>
                </c:pt>
                <c:pt idx="358">
                  <c:v>-0.8125148607232765</c:v>
                </c:pt>
                <c:pt idx="359">
                  <c:v>-1.0983600417061812</c:v>
                </c:pt>
                <c:pt idx="360">
                  <c:v>-1.5286348215395145</c:v>
                </c:pt>
                <c:pt idx="361">
                  <c:v>-2.1138971038643026</c:v>
                </c:pt>
                <c:pt idx="362">
                  <c:v>-2.1514345876068175</c:v>
                </c:pt>
                <c:pt idx="363">
                  <c:v>-0.88781146927521259</c:v>
                </c:pt>
                <c:pt idx="364">
                  <c:v>-0.16262223441530929</c:v>
                </c:pt>
                <c:pt idx="365">
                  <c:v>-1.0638304193502097</c:v>
                </c:pt>
                <c:pt idx="366">
                  <c:v>-0.64042763749306708</c:v>
                </c:pt>
                <c:pt idx="367">
                  <c:v>-0.51667214404441797</c:v>
                </c:pt>
                <c:pt idx="368">
                  <c:v>-0.11550529268519499</c:v>
                </c:pt>
                <c:pt idx="369">
                  <c:v>-0.22213571781584895</c:v>
                </c:pt>
                <c:pt idx="370">
                  <c:v>-0.31970994400883074</c:v>
                </c:pt>
                <c:pt idx="371">
                  <c:v>-0.56836745781835507</c:v>
                </c:pt>
                <c:pt idx="372">
                  <c:v>0.18053372023949543</c:v>
                </c:pt>
                <c:pt idx="373">
                  <c:v>-3.9108534386767521E-2</c:v>
                </c:pt>
                <c:pt idx="374">
                  <c:v>0.29654673677037396</c:v>
                </c:pt>
                <c:pt idx="375">
                  <c:v>-0.20112222285105377</c:v>
                </c:pt>
                <c:pt idx="376">
                  <c:v>-0.11163400225105324</c:v>
                </c:pt>
                <c:pt idx="377">
                  <c:v>5.3904734223765995E-2</c:v>
                </c:pt>
                <c:pt idx="378">
                  <c:v>-0.31949766640497634</c:v>
                </c:pt>
                <c:pt idx="379">
                  <c:v>-0.129864834898127</c:v>
                </c:pt>
                <c:pt idx="380">
                  <c:v>-0.63311420417812769</c:v>
                </c:pt>
                <c:pt idx="381">
                  <c:v>-0.41119437941045062</c:v>
                </c:pt>
                <c:pt idx="382">
                  <c:v>-0.52845872355204382</c:v>
                </c:pt>
                <c:pt idx="383">
                  <c:v>-0.47661962993523721</c:v>
                </c:pt>
                <c:pt idx="384">
                  <c:v>-0.49899349615092353</c:v>
                </c:pt>
                <c:pt idx="385">
                  <c:v>-0.46505671368033574</c:v>
                </c:pt>
                <c:pt idx="386">
                  <c:v>-0.95314218484053215</c:v>
                </c:pt>
                <c:pt idx="387">
                  <c:v>-1.5443800242660657</c:v>
                </c:pt>
                <c:pt idx="388">
                  <c:v>-1.5473571463964992</c:v>
                </c:pt>
                <c:pt idx="389">
                  <c:v>-1.1235443915193868</c:v>
                </c:pt>
                <c:pt idx="390">
                  <c:v>-2.3298332459053532</c:v>
                </c:pt>
                <c:pt idx="391">
                  <c:v>-2.7459175881769573</c:v>
                </c:pt>
                <c:pt idx="392">
                  <c:v>-3.0239660102082073</c:v>
                </c:pt>
                <c:pt idx="393">
                  <c:v>-3.1115644417249859</c:v>
                </c:pt>
                <c:pt idx="394">
                  <c:v>-2.3326977433643297</c:v>
                </c:pt>
                <c:pt idx="395">
                  <c:v>-2.720722337552735</c:v>
                </c:pt>
                <c:pt idx="396">
                  <c:v>-1.7313209179832889</c:v>
                </c:pt>
                <c:pt idx="397">
                  <c:v>0.85109734660930192</c:v>
                </c:pt>
                <c:pt idx="398">
                  <c:v>-0.40148319418368816</c:v>
                </c:pt>
                <c:pt idx="399">
                  <c:v>-0.27703101537180636</c:v>
                </c:pt>
                <c:pt idx="400">
                  <c:v>-0.52443263379285832</c:v>
                </c:pt>
                <c:pt idx="401">
                  <c:v>-0.17219420708831229</c:v>
                </c:pt>
                <c:pt idx="402">
                  <c:v>-0.28928407742515361</c:v>
                </c:pt>
                <c:pt idx="403">
                  <c:v>-0.21921640673626477</c:v>
                </c:pt>
                <c:pt idx="404">
                  <c:v>-5.4954096791310462E-2</c:v>
                </c:pt>
                <c:pt idx="405">
                  <c:v>-0.19690547359674196</c:v>
                </c:pt>
                <c:pt idx="406">
                  <c:v>-0.50613368126340819</c:v>
                </c:pt>
                <c:pt idx="407">
                  <c:v>-0.26148917827160434</c:v>
                </c:pt>
                <c:pt idx="408">
                  <c:v>-0.61117392551992744</c:v>
                </c:pt>
                <c:pt idx="409">
                  <c:v>-0.52393796931062553</c:v>
                </c:pt>
                <c:pt idx="410">
                  <c:v>-0.4663798048661813</c:v>
                </c:pt>
                <c:pt idx="411">
                  <c:v>-0.34350130222881997</c:v>
                </c:pt>
                <c:pt idx="412">
                  <c:v>-0.43526651642209785</c:v>
                </c:pt>
                <c:pt idx="413">
                  <c:v>-0.41096860187415285</c:v>
                </c:pt>
                <c:pt idx="414">
                  <c:v>-0.30738277562218452</c:v>
                </c:pt>
                <c:pt idx="415">
                  <c:v>-0.53312174654755695</c:v>
                </c:pt>
                <c:pt idx="416">
                  <c:v>-0.1647646070606465</c:v>
                </c:pt>
                <c:pt idx="417">
                  <c:v>-7.0159990145392467E-2</c:v>
                </c:pt>
                <c:pt idx="418">
                  <c:v>-6.3326850254981207E-2</c:v>
                </c:pt>
                <c:pt idx="419">
                  <c:v>-9.9023024254981051E-2</c:v>
                </c:pt>
                <c:pt idx="420">
                  <c:v>0.21430278852568793</c:v>
                </c:pt>
                <c:pt idx="421">
                  <c:v>0.32038201975149483</c:v>
                </c:pt>
                <c:pt idx="422">
                  <c:v>0.27240777992490522</c:v>
                </c:pt>
                <c:pt idx="423">
                  <c:v>0.45554454380490467</c:v>
                </c:pt>
                <c:pt idx="424">
                  <c:v>0.67298053785290524</c:v>
                </c:pt>
                <c:pt idx="425">
                  <c:v>0.48014391470876128</c:v>
                </c:pt>
                <c:pt idx="426">
                  <c:v>0.31927249791593237</c:v>
                </c:pt>
                <c:pt idx="427">
                  <c:v>0.38532383468851805</c:v>
                </c:pt>
                <c:pt idx="428">
                  <c:v>0.57928729107386767</c:v>
                </c:pt>
                <c:pt idx="429">
                  <c:v>0.96847149560897117</c:v>
                </c:pt>
                <c:pt idx="430">
                  <c:v>0.29205692298076624</c:v>
                </c:pt>
                <c:pt idx="431">
                  <c:v>-5.3175529942311367E-2</c:v>
                </c:pt>
                <c:pt idx="432">
                  <c:v>-3.0934183212353736E-2</c:v>
                </c:pt>
                <c:pt idx="433">
                  <c:v>-0.393024816874326</c:v>
                </c:pt>
                <c:pt idx="434">
                  <c:v>-7.2733778110966804E-2</c:v>
                </c:pt>
                <c:pt idx="435">
                  <c:v>1.7676082147098478E-2</c:v>
                </c:pt>
                <c:pt idx="436">
                  <c:v>5.3795884704242992E-2</c:v>
                </c:pt>
                <c:pt idx="437">
                  <c:v>-1.3782330927941091E-2</c:v>
                </c:pt>
                <c:pt idx="438">
                  <c:v>-9.8411999610867801E-2</c:v>
                </c:pt>
                <c:pt idx="439">
                  <c:v>-4.6695973234056498E-2</c:v>
                </c:pt>
                <c:pt idx="440">
                  <c:v>1.3411417188165188E-2</c:v>
                </c:pt>
                <c:pt idx="441">
                  <c:v>-8.9671553084562691E-2</c:v>
                </c:pt>
                <c:pt idx="442">
                  <c:v>-3.0699470941706022E-2</c:v>
                </c:pt>
                <c:pt idx="443">
                  <c:v>9.6737927690946537E-2</c:v>
                </c:pt>
                <c:pt idx="444">
                  <c:v>0.29786967749582494</c:v>
                </c:pt>
                <c:pt idx="445">
                  <c:v>0.32453163075026248</c:v>
                </c:pt>
                <c:pt idx="446">
                  <c:v>0.23517329312731178</c:v>
                </c:pt>
                <c:pt idx="447">
                  <c:v>0.36363774087886447</c:v>
                </c:pt>
                <c:pt idx="448">
                  <c:v>0.24765189740478999</c:v>
                </c:pt>
                <c:pt idx="449">
                  <c:v>8.6555523823837896E-2</c:v>
                </c:pt>
                <c:pt idx="450">
                  <c:v>0.11934089643436442</c:v>
                </c:pt>
                <c:pt idx="451">
                  <c:v>0.21595466597282573</c:v>
                </c:pt>
                <c:pt idx="452">
                  <c:v>0.23375829241726997</c:v>
                </c:pt>
                <c:pt idx="453">
                  <c:v>0.16023884275689249</c:v>
                </c:pt>
                <c:pt idx="454">
                  <c:v>0.10232544668546374</c:v>
                </c:pt>
                <c:pt idx="455">
                  <c:v>7.3188393982761349E-2</c:v>
                </c:pt>
                <c:pt idx="456">
                  <c:v>0.59760176653178188</c:v>
                </c:pt>
                <c:pt idx="457">
                  <c:v>0.28069392858096204</c:v>
                </c:pt>
                <c:pt idx="458">
                  <c:v>0.4797386550319428</c:v>
                </c:pt>
                <c:pt idx="459">
                  <c:v>0.57973301787638676</c:v>
                </c:pt>
                <c:pt idx="460">
                  <c:v>0.65722817928263644</c:v>
                </c:pt>
                <c:pt idx="461">
                  <c:v>0.69473417894930289</c:v>
                </c:pt>
                <c:pt idx="462">
                  <c:v>0.80322394228263616</c:v>
                </c:pt>
                <c:pt idx="463">
                  <c:v>0.63540223044263633</c:v>
                </c:pt>
                <c:pt idx="464">
                  <c:v>0.69451525957307025</c:v>
                </c:pt>
                <c:pt idx="465">
                  <c:v>0.82512911690195945</c:v>
                </c:pt>
                <c:pt idx="466">
                  <c:v>0.80921945281920127</c:v>
                </c:pt>
                <c:pt idx="467">
                  <c:v>0.84798638922426484</c:v>
                </c:pt>
                <c:pt idx="468">
                  <c:v>0.8893117059135851</c:v>
                </c:pt>
                <c:pt idx="469">
                  <c:v>0.96432505064529217</c:v>
                </c:pt>
                <c:pt idx="470">
                  <c:v>0.95628230428165606</c:v>
                </c:pt>
                <c:pt idx="471">
                  <c:v>1.0015706465038781</c:v>
                </c:pt>
                <c:pt idx="472">
                  <c:v>1.0482586613515608</c:v>
                </c:pt>
                <c:pt idx="473">
                  <c:v>1.0115628057428645</c:v>
                </c:pt>
                <c:pt idx="474">
                  <c:v>1.0377075279280499</c:v>
                </c:pt>
                <c:pt idx="475">
                  <c:v>1.0922163931941045</c:v>
                </c:pt>
                <c:pt idx="476">
                  <c:v>1.0769500622874377</c:v>
                </c:pt>
                <c:pt idx="477">
                  <c:v>1.0520181939229059</c:v>
                </c:pt>
                <c:pt idx="478">
                  <c:v>1.0041244062865413</c:v>
                </c:pt>
                <c:pt idx="479">
                  <c:v>1.1160646634800899</c:v>
                </c:pt>
                <c:pt idx="480">
                  <c:v>1.1706632034800899</c:v>
                </c:pt>
                <c:pt idx="481">
                  <c:v>1.1279142383936698</c:v>
                </c:pt>
                <c:pt idx="482">
                  <c:v>1.0563502586936699</c:v>
                </c:pt>
                <c:pt idx="483">
                  <c:v>1.2290088251147226</c:v>
                </c:pt>
                <c:pt idx="484">
                  <c:v>1.3258847470996478</c:v>
                </c:pt>
                <c:pt idx="485">
                  <c:v>1.0804402225914507</c:v>
                </c:pt>
                <c:pt idx="486">
                  <c:v>1.0610652465858641</c:v>
                </c:pt>
                <c:pt idx="487">
                  <c:v>1.1778036063776449</c:v>
                </c:pt>
                <c:pt idx="488">
                  <c:v>1.1514554701804616</c:v>
                </c:pt>
                <c:pt idx="489">
                  <c:v>1.272956999284534</c:v>
                </c:pt>
                <c:pt idx="490">
                  <c:v>1.1419291526913131</c:v>
                </c:pt>
                <c:pt idx="491">
                  <c:v>0.67052783765943935</c:v>
                </c:pt>
                <c:pt idx="492">
                  <c:v>1.2923807026324126</c:v>
                </c:pt>
                <c:pt idx="493">
                  <c:v>1.1003822834214747</c:v>
                </c:pt>
                <c:pt idx="494">
                  <c:v>2.8202668039001977</c:v>
                </c:pt>
                <c:pt idx="495">
                  <c:v>2.0889450418649038</c:v>
                </c:pt>
                <c:pt idx="496">
                  <c:v>1.7292046667195669</c:v>
                </c:pt>
                <c:pt idx="497">
                  <c:v>1.739557576222329</c:v>
                </c:pt>
                <c:pt idx="498">
                  <c:v>1.865641264888996</c:v>
                </c:pt>
                <c:pt idx="499">
                  <c:v>0.81653040988899594</c:v>
                </c:pt>
                <c:pt idx="500">
                  <c:v>0.95007053622657522</c:v>
                </c:pt>
                <c:pt idx="501">
                  <c:v>1.0012061532523813</c:v>
                </c:pt>
                <c:pt idx="502">
                  <c:v>1.1318670595114491</c:v>
                </c:pt>
                <c:pt idx="503">
                  <c:v>1.0781244538387211</c:v>
                </c:pt>
                <c:pt idx="504">
                  <c:v>0.99104871176975551</c:v>
                </c:pt>
                <c:pt idx="505">
                  <c:v>0.94465907518548564</c:v>
                </c:pt>
                <c:pt idx="506">
                  <c:v>0.93703792083512094</c:v>
                </c:pt>
                <c:pt idx="507">
                  <c:v>0.96712051829426504</c:v>
                </c:pt>
                <c:pt idx="508">
                  <c:v>0.90124389932510163</c:v>
                </c:pt>
                <c:pt idx="509">
                  <c:v>0.83972333601601101</c:v>
                </c:pt>
                <c:pt idx="510">
                  <c:v>0.98705368971166307</c:v>
                </c:pt>
                <c:pt idx="511">
                  <c:v>1.234976419255402</c:v>
                </c:pt>
                <c:pt idx="512">
                  <c:v>1.749606539231042</c:v>
                </c:pt>
                <c:pt idx="513">
                  <c:v>1.6872673040310415</c:v>
                </c:pt>
                <c:pt idx="514">
                  <c:v>1.7855214292724213</c:v>
                </c:pt>
                <c:pt idx="515">
                  <c:v>1.7209574824771448</c:v>
                </c:pt>
                <c:pt idx="516">
                  <c:v>1.8938513563481119</c:v>
                </c:pt>
                <c:pt idx="517">
                  <c:v>1.8352325627871358</c:v>
                </c:pt>
                <c:pt idx="518">
                  <c:v>1.9375510730093586</c:v>
                </c:pt>
                <c:pt idx="519">
                  <c:v>2.0758244836921782</c:v>
                </c:pt>
                <c:pt idx="520">
                  <c:v>2.2437674375419632</c:v>
                </c:pt>
                <c:pt idx="521">
                  <c:v>2.3129287154395133</c:v>
                </c:pt>
                <c:pt idx="522">
                  <c:v>2.1205589209496001</c:v>
                </c:pt>
                <c:pt idx="523">
                  <c:v>2.1996578866106877</c:v>
                </c:pt>
                <c:pt idx="524">
                  <c:v>2.0782200265904858</c:v>
                </c:pt>
                <c:pt idx="525">
                  <c:v>2.2627482023384085</c:v>
                </c:pt>
                <c:pt idx="526">
                  <c:v>2.2674220254873445</c:v>
                </c:pt>
                <c:pt idx="527">
                  <c:v>2.4403136132065426</c:v>
                </c:pt>
                <c:pt idx="528">
                  <c:v>2.513521770238571</c:v>
                </c:pt>
                <c:pt idx="529">
                  <c:v>2.6552451241209236</c:v>
                </c:pt>
                <c:pt idx="530">
                  <c:v>2.2288547931304477</c:v>
                </c:pt>
                <c:pt idx="531">
                  <c:v>2.1240499939142792</c:v>
                </c:pt>
                <c:pt idx="532">
                  <c:v>1.7396773197981503</c:v>
                </c:pt>
                <c:pt idx="533">
                  <c:v>1.6334639018894048</c:v>
                </c:pt>
                <c:pt idx="534">
                  <c:v>1.2023215438861048</c:v>
                </c:pt>
                <c:pt idx="535">
                  <c:v>1.1776636944158343</c:v>
                </c:pt>
                <c:pt idx="536">
                  <c:v>0.55405723366583248</c:v>
                </c:pt>
                <c:pt idx="537">
                  <c:v>0.55166227350002939</c:v>
                </c:pt>
                <c:pt idx="538">
                  <c:v>0.34746702734073726</c:v>
                </c:pt>
                <c:pt idx="539">
                  <c:v>0.30431963431634673</c:v>
                </c:pt>
                <c:pt idx="540">
                  <c:v>8.3083047762206125E-2</c:v>
                </c:pt>
                <c:pt idx="541">
                  <c:v>9.6669686193495558E-3</c:v>
                </c:pt>
                <c:pt idx="542">
                  <c:v>1.4192246816954157E-2</c:v>
                </c:pt>
                <c:pt idx="543">
                  <c:v>-5.4788423067343585E-2</c:v>
                </c:pt>
                <c:pt idx="544">
                  <c:v>9.464555469489469E-2</c:v>
                </c:pt>
                <c:pt idx="545">
                  <c:v>-6.9445552793226242E-2</c:v>
                </c:pt>
                <c:pt idx="546">
                  <c:v>5.8073425769273601E-2</c:v>
                </c:pt>
                <c:pt idx="547">
                  <c:v>-0.20371115107688009</c:v>
                </c:pt>
                <c:pt idx="548">
                  <c:v>-1.828966340038199E-3</c:v>
                </c:pt>
                <c:pt idx="549">
                  <c:v>-0.13693502840900396</c:v>
                </c:pt>
                <c:pt idx="550">
                  <c:v>0.11009211471209672</c:v>
                </c:pt>
                <c:pt idx="551">
                  <c:v>0.19553004954542957</c:v>
                </c:pt>
                <c:pt idx="552">
                  <c:v>-0.10477027159093424</c:v>
                </c:pt>
                <c:pt idx="553">
                  <c:v>0.2609006206090661</c:v>
                </c:pt>
                <c:pt idx="554">
                  <c:v>2.9280611023895776E-2</c:v>
                </c:pt>
                <c:pt idx="555">
                  <c:v>-0.10195752684623398</c:v>
                </c:pt>
                <c:pt idx="556">
                  <c:v>-1.5564840279069812E-2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B-48A6-AC8D-FC127143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95087"/>
        <c:axId val="795583439"/>
      </c:lineChart>
      <c:dateAx>
        <c:axId val="7955950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83439"/>
        <c:crosses val="autoZero"/>
        <c:auto val="1"/>
        <c:lblOffset val="100"/>
        <c:baseTimeUnit val="days"/>
      </c:dateAx>
      <c:valAx>
        <c:axId val="79558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95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6F20B5-4A7D-4028-9013-F5135BB5ECCB}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BBEF9F-26ED-4AA6-979F-C05B630F89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0.184</v>
      </c>
      <c r="D2" s="4">
        <f>MIN(D3:D1912)</f>
        <v>1.7170000000000001E-2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2.2179999999999998E-2</v>
      </c>
      <c r="C5">
        <v>2.2509999999999999E-2</v>
      </c>
      <c r="D5">
        <v>2.171E-2</v>
      </c>
      <c r="E5">
        <v>2.1770000000000001E-2</v>
      </c>
      <c r="F5">
        <v>8458734.0999999996</v>
      </c>
      <c r="G5">
        <v>2.1770000000000001E-2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-0.8499999999999972</v>
      </c>
      <c r="Q5">
        <f t="shared" ref="Q5" si="1">F5*P5</f>
        <v>-7189923.9849999761</v>
      </c>
      <c r="R5">
        <f t="shared" ref="R5" si="2">R6+Q5</f>
        <v>-101989794.89850305</v>
      </c>
      <c r="S5">
        <f t="shared" ref="S5" si="3">R5/100000</f>
        <v>-1019.8979489850306</v>
      </c>
      <c r="T5">
        <f t="shared" ref="T5" si="4">S5/1000</f>
        <v>-1.0198979489850306</v>
      </c>
    </row>
    <row r="6" spans="1:20" x14ac:dyDescent="0.25">
      <c r="A6" s="5">
        <v>44587</v>
      </c>
      <c r="B6">
        <v>2.1149999999999999E-2</v>
      </c>
      <c r="C6">
        <v>2.3859999999999999E-2</v>
      </c>
      <c r="D6">
        <v>2.0969999999999999E-2</v>
      </c>
      <c r="E6">
        <v>2.214E-2</v>
      </c>
      <c r="F6">
        <v>193616753.5</v>
      </c>
      <c r="G6">
        <v>2.214E-2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-0.19031141868512055</v>
      </c>
      <c r="Q6">
        <f t="shared" ref="Q6" si="6">F6*P6</f>
        <v>-36847479.039792277</v>
      </c>
      <c r="R6">
        <f t="shared" ref="R6" si="7">R7+Q6</f>
        <v>-94799870.913503081</v>
      </c>
      <c r="S6">
        <f t="shared" ref="S6" si="8">R6/100000</f>
        <v>-947.99870913503082</v>
      </c>
      <c r="T6">
        <f t="shared" ref="T6" si="9">S6/1000</f>
        <v>-0.94799870913503081</v>
      </c>
    </row>
    <row r="7" spans="1:20" x14ac:dyDescent="0.25">
      <c r="A7" s="5">
        <v>44586</v>
      </c>
      <c r="B7">
        <v>2.036E-2</v>
      </c>
      <c r="C7">
        <v>2.1299999999999999E-2</v>
      </c>
      <c r="D7">
        <v>1.9820000000000001E-2</v>
      </c>
      <c r="E7">
        <v>2.1149999999999999E-2</v>
      </c>
      <c r="F7">
        <v>117684370.5</v>
      </c>
      <c r="G7">
        <v>2.1149999999999999E-2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0.79729729729729604</v>
      </c>
      <c r="Q7">
        <f t="shared" ref="Q7" si="11">F7*P7</f>
        <v>93829430.53378363</v>
      </c>
      <c r="R7">
        <f t="shared" ref="R7" si="12">R8+Q7</f>
        <v>-57952391.873710796</v>
      </c>
      <c r="S7">
        <f t="shared" ref="S7" si="13">R7/100000</f>
        <v>-579.52391873710792</v>
      </c>
      <c r="T7">
        <f t="shared" ref="T7" si="14">S7/1000</f>
        <v>-0.57952391873710796</v>
      </c>
    </row>
    <row r="8" spans="1:20" x14ac:dyDescent="0.25">
      <c r="A8" s="5">
        <v>44585</v>
      </c>
      <c r="B8">
        <v>2.1260000000000001E-2</v>
      </c>
      <c r="C8">
        <v>2.1260000000000001E-2</v>
      </c>
      <c r="D8">
        <v>1.821E-2</v>
      </c>
      <c r="E8">
        <v>2.034E-2</v>
      </c>
      <c r="F8">
        <v>177997469.5</v>
      </c>
      <c r="G8">
        <v>2.034E-2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0.39672131147540951</v>
      </c>
      <c r="Q8">
        <f t="shared" ref="Q8" si="16">F8*P8</f>
        <v>70615389.539344206</v>
      </c>
      <c r="R8">
        <f t="shared" ref="R8" si="17">R9+Q8</f>
        <v>-151781822.40749443</v>
      </c>
      <c r="S8">
        <f t="shared" ref="S8" si="18">R8/100000</f>
        <v>-1517.8182240749443</v>
      </c>
      <c r="T8">
        <f t="shared" ref="T8" si="19">S8/1000</f>
        <v>-1.5178182240749443</v>
      </c>
    </row>
    <row r="9" spans="1:20" x14ac:dyDescent="0.25">
      <c r="A9" s="5">
        <v>44584</v>
      </c>
      <c r="B9">
        <v>2.0410000000000001E-2</v>
      </c>
      <c r="C9">
        <v>2.1659999999999999E-2</v>
      </c>
      <c r="D9">
        <v>2.0029999999999999E-2</v>
      </c>
      <c r="E9">
        <v>2.1299999999999999E-2</v>
      </c>
      <c r="F9">
        <v>210380682.80000001</v>
      </c>
      <c r="G9">
        <v>2.1299999999999999E-2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0.55828220858895794</v>
      </c>
      <c r="Q9">
        <f t="shared" ref="Q9" si="21">F9*P9</f>
        <v>117451792.23803701</v>
      </c>
      <c r="R9">
        <f t="shared" ref="R9" si="22">R10+Q9</f>
        <v>-222397211.94683862</v>
      </c>
      <c r="S9">
        <f t="shared" ref="S9" si="23">R9/100000</f>
        <v>-2223.9721194683862</v>
      </c>
      <c r="T9">
        <f t="shared" ref="T9" si="24">S9/1000</f>
        <v>-2.2239721194683861</v>
      </c>
    </row>
    <row r="10" spans="1:20" x14ac:dyDescent="0.25">
      <c r="A10" s="5">
        <v>44583</v>
      </c>
      <c r="B10">
        <v>2.147E-2</v>
      </c>
      <c r="C10">
        <v>2.2100000000000002E-2</v>
      </c>
      <c r="D10">
        <v>1.7469999999999999E-2</v>
      </c>
      <c r="E10">
        <v>2.0420000000000001E-2</v>
      </c>
      <c r="F10">
        <v>355425162.5</v>
      </c>
      <c r="G10">
        <v>2.0420000000000001E-2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0.27429805615550751</v>
      </c>
      <c r="Q10">
        <f t="shared" ref="Q10" si="26">F10*P10</f>
        <v>97492431.182505384</v>
      </c>
      <c r="R10">
        <f t="shared" ref="R10" si="27">R11+Q10</f>
        <v>-339849004.18487561</v>
      </c>
      <c r="S10">
        <f t="shared" ref="S10" si="28">R10/100000</f>
        <v>-3398.4900418487559</v>
      </c>
      <c r="T10">
        <f t="shared" ref="T10" si="29">S10/1000</f>
        <v>-3.3984900418487558</v>
      </c>
    </row>
    <row r="11" spans="1:20" x14ac:dyDescent="0.25">
      <c r="A11" s="5">
        <v>44582</v>
      </c>
      <c r="B11">
        <v>2.5999999999999999E-2</v>
      </c>
      <c r="C11">
        <v>2.6190000000000001E-2</v>
      </c>
      <c r="D11">
        <v>2.094E-2</v>
      </c>
      <c r="E11">
        <v>2.1510000000000001E-2</v>
      </c>
      <c r="F11">
        <v>244747981.30000001</v>
      </c>
      <c r="G11">
        <v>2.1510000000000001E-2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-0.78285714285714247</v>
      </c>
      <c r="Q11">
        <f t="shared" ref="Q11" si="31">F11*P11</f>
        <v>-191602705.36057135</v>
      </c>
      <c r="R11">
        <f t="shared" ref="R11" si="32">R12+Q11</f>
        <v>-437341435.36738098</v>
      </c>
      <c r="S11">
        <f t="shared" ref="S11" si="33">R11/100000</f>
        <v>-4373.4143536738102</v>
      </c>
      <c r="T11">
        <f t="shared" ref="T11" si="34">S11/1000</f>
        <v>-4.3734143536738106</v>
      </c>
    </row>
    <row r="12" spans="1:20" x14ac:dyDescent="0.25">
      <c r="A12" s="5">
        <v>44581</v>
      </c>
      <c r="B12">
        <v>2.7150000000000001E-2</v>
      </c>
      <c r="C12">
        <v>2.8549999999999999E-2</v>
      </c>
      <c r="D12">
        <v>2.58E-2</v>
      </c>
      <c r="E12">
        <v>2.6030000000000001E-2</v>
      </c>
      <c r="F12">
        <v>113182311.59999999</v>
      </c>
      <c r="G12">
        <v>2.6030000000000001E-2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-0.83272727272727187</v>
      </c>
      <c r="Q12">
        <f t="shared" ref="Q12" si="36">F12*P12</f>
        <v>-94249997.659636259</v>
      </c>
      <c r="R12">
        <f t="shared" ref="R12" si="37">R13+Q12</f>
        <v>-245738730.00680962</v>
      </c>
      <c r="S12">
        <f t="shared" ref="S12" si="38">R12/100000</f>
        <v>-2457.387300068096</v>
      </c>
      <c r="T12">
        <f t="shared" ref="T12" si="39">S12/1000</f>
        <v>-2.4573873000680959</v>
      </c>
    </row>
    <row r="13" spans="1:20" x14ac:dyDescent="0.25">
      <c r="A13" s="5">
        <v>44580</v>
      </c>
      <c r="B13">
        <v>2.7789999999999999E-2</v>
      </c>
      <c r="C13">
        <v>2.7990000000000001E-2</v>
      </c>
      <c r="D13">
        <v>2.6519999999999998E-2</v>
      </c>
      <c r="E13">
        <v>2.708E-2</v>
      </c>
      <c r="F13">
        <v>117211206.09999999</v>
      </c>
      <c r="G13">
        <v>2.708E-2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-0.23809523809523742</v>
      </c>
      <c r="Q13">
        <f t="shared" ref="Q13" si="41">F13*P13</f>
        <v>-27907430.023809444</v>
      </c>
      <c r="R13">
        <f t="shared" ref="R13" si="42">R14+Q13</f>
        <v>-151488732.34717336</v>
      </c>
      <c r="S13">
        <f t="shared" ref="S13" si="43">R13/100000</f>
        <v>-1514.8873234717337</v>
      </c>
      <c r="T13">
        <f t="shared" ref="T13" si="44">S13/1000</f>
        <v>-1.5148873234717337</v>
      </c>
    </row>
    <row r="14" spans="1:20" x14ac:dyDescent="0.25">
      <c r="A14" s="5">
        <v>44579</v>
      </c>
      <c r="B14">
        <v>2.7820000000000001E-2</v>
      </c>
      <c r="C14">
        <v>2.8250000000000001E-2</v>
      </c>
      <c r="D14">
        <v>2.6790000000000001E-2</v>
      </c>
      <c r="E14">
        <v>2.7789999999999999E-2</v>
      </c>
      <c r="F14">
        <v>97548954.799999997</v>
      </c>
      <c r="G14">
        <v>2.7789999999999999E-2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0.36986301369862706</v>
      </c>
      <c r="Q14">
        <f t="shared" ref="Q14" si="46">F14*P14</f>
        <v>36079750.405479148</v>
      </c>
      <c r="R14">
        <f t="shared" ref="R14" si="47">R15+Q14</f>
        <v>-123581302.32336392</v>
      </c>
      <c r="S14">
        <f t="shared" ref="S14" si="48">R14/100000</f>
        <v>-1235.8130232336391</v>
      </c>
      <c r="T14">
        <f t="shared" ref="T14" si="49">S14/1000</f>
        <v>-1.2358130232336391</v>
      </c>
    </row>
    <row r="15" spans="1:20" x14ac:dyDescent="0.25">
      <c r="A15" s="5">
        <v>44578</v>
      </c>
      <c r="B15">
        <v>2.964E-2</v>
      </c>
      <c r="C15">
        <v>2.9749999999999999E-2</v>
      </c>
      <c r="D15">
        <v>2.7390000000000001E-2</v>
      </c>
      <c r="E15">
        <v>2.7820000000000001E-2</v>
      </c>
      <c r="F15">
        <v>94282856.299999997</v>
      </c>
      <c r="G15">
        <v>2.7820000000000001E-2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-0.6355932203389828</v>
      </c>
      <c r="Q15">
        <f t="shared" ref="Q15" si="51">F15*P15</f>
        <v>-59925544.258474551</v>
      </c>
      <c r="R15">
        <f t="shared" ref="R15" si="52">R16+Q15</f>
        <v>-159661052.72884306</v>
      </c>
      <c r="S15">
        <f t="shared" ref="S15" si="53">R15/100000</f>
        <v>-1596.6105272884306</v>
      </c>
      <c r="T15">
        <f t="shared" ref="T15" si="54">S15/1000</f>
        <v>-1.5966105272884306</v>
      </c>
    </row>
    <row r="16" spans="1:20" x14ac:dyDescent="0.25">
      <c r="A16" s="5">
        <v>44577</v>
      </c>
      <c r="B16">
        <v>2.997E-2</v>
      </c>
      <c r="C16">
        <v>3.0079999999999999E-2</v>
      </c>
      <c r="D16">
        <v>2.938E-2</v>
      </c>
      <c r="E16">
        <v>2.962E-2</v>
      </c>
      <c r="F16">
        <v>70255444.200000003</v>
      </c>
      <c r="G16">
        <v>2.962E-2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-0.31428571428571173</v>
      </c>
      <c r="Q16">
        <f t="shared" ref="Q16" si="56">F16*P16</f>
        <v>-22080282.462856963</v>
      </c>
      <c r="R16">
        <f t="shared" ref="R16" si="57">R17+Q16</f>
        <v>-99735508.470368505</v>
      </c>
      <c r="S16">
        <f t="shared" ref="S16" si="58">R16/100000</f>
        <v>-997.35508470368507</v>
      </c>
      <c r="T16">
        <f t="shared" ref="T16" si="59">S16/1000</f>
        <v>-0.99735508470368506</v>
      </c>
    </row>
    <row r="17" spans="1:20" x14ac:dyDescent="0.25">
      <c r="A17" s="5">
        <v>44576</v>
      </c>
      <c r="B17">
        <v>3.0020000000000002E-2</v>
      </c>
      <c r="C17">
        <v>3.175E-2</v>
      </c>
      <c r="D17">
        <v>2.971E-2</v>
      </c>
      <c r="E17">
        <v>2.997E-2</v>
      </c>
      <c r="F17">
        <v>110485573.09999999</v>
      </c>
      <c r="G17">
        <v>2.997E-2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-0.74509803921568651</v>
      </c>
      <c r="Q17">
        <f t="shared" ref="Q17" si="61">F17*P17</f>
        <v>-82322583.878431395</v>
      </c>
      <c r="R17">
        <f t="shared" ref="R17" si="62">R18+Q17</f>
        <v>-77655226.007511541</v>
      </c>
      <c r="S17">
        <f t="shared" ref="S17" si="63">R17/100000</f>
        <v>-776.55226007511544</v>
      </c>
      <c r="T17">
        <f t="shared" ref="T17" si="64">S17/1000</f>
        <v>-0.77655226007511546</v>
      </c>
    </row>
    <row r="18" spans="1:20" x14ac:dyDescent="0.25">
      <c r="A18" s="5">
        <v>44575</v>
      </c>
      <c r="B18">
        <v>2.9069999999999999E-2</v>
      </c>
      <c r="C18">
        <v>3.0120000000000001E-2</v>
      </c>
      <c r="D18">
        <v>2.852E-2</v>
      </c>
      <c r="E18">
        <v>3.0030000000000001E-2</v>
      </c>
      <c r="F18">
        <v>102177442.8</v>
      </c>
      <c r="G18">
        <v>3.0030000000000001E-2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0.88750000000000029</v>
      </c>
      <c r="Q18">
        <f t="shared" ref="Q18" si="66">F18*P18</f>
        <v>90682480.485000029</v>
      </c>
      <c r="R18">
        <f t="shared" ref="R18" si="67">R19+Q18</f>
        <v>4667357.8709198534</v>
      </c>
      <c r="S18">
        <f t="shared" ref="S18" si="68">R18/100000</f>
        <v>46.673578709198537</v>
      </c>
      <c r="T18">
        <f t="shared" ref="T18" si="69">S18/1000</f>
        <v>4.667357870919854E-2</v>
      </c>
    </row>
    <row r="19" spans="1:20" x14ac:dyDescent="0.25">
      <c r="A19" s="5">
        <v>44574</v>
      </c>
      <c r="B19">
        <v>2.9919999999999999E-2</v>
      </c>
      <c r="C19">
        <v>3.0620000000000001E-2</v>
      </c>
      <c r="D19">
        <v>2.8889999999999999E-2</v>
      </c>
      <c r="E19">
        <v>2.9080000000000002E-2</v>
      </c>
      <c r="F19">
        <v>127968382.3</v>
      </c>
      <c r="G19">
        <v>2.9080000000000002E-2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-0.78034682080924578</v>
      </c>
      <c r="Q19">
        <f t="shared" ref="Q19" si="71">F19*P19</f>
        <v>-99859720.291907161</v>
      </c>
      <c r="R19">
        <f t="shared" ref="R19" si="72">R20+Q19</f>
        <v>-86015122.614080176</v>
      </c>
      <c r="S19">
        <f t="shared" ref="S19" si="73">R19/100000</f>
        <v>-860.15122614080178</v>
      </c>
      <c r="T19">
        <f t="shared" ref="T19" si="74">S19/1000</f>
        <v>-0.86015122614080175</v>
      </c>
    </row>
    <row r="20" spans="1:20" x14ac:dyDescent="0.25">
      <c r="A20" s="5">
        <v>44573</v>
      </c>
      <c r="B20">
        <v>2.8590000000000001E-2</v>
      </c>
      <c r="C20">
        <v>3.005E-2</v>
      </c>
      <c r="D20">
        <v>2.8379999999999999E-2</v>
      </c>
      <c r="E20">
        <v>2.9919999999999999E-2</v>
      </c>
      <c r="F20">
        <v>101744227</v>
      </c>
      <c r="G20">
        <v>2.9919999999999999E-2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0.84431137724550709</v>
      </c>
      <c r="Q20">
        <f t="shared" ref="Q20" si="76">F20*P20</f>
        <v>85903808.425149515</v>
      </c>
      <c r="R20">
        <f t="shared" ref="R20" si="77">R21+Q20</f>
        <v>13844597.677826986</v>
      </c>
      <c r="S20">
        <f t="shared" ref="S20" si="78">R20/100000</f>
        <v>138.44597677826985</v>
      </c>
      <c r="T20">
        <f t="shared" ref="T20" si="79">S20/1000</f>
        <v>0.13844597677826986</v>
      </c>
    </row>
    <row r="21" spans="1:20" x14ac:dyDescent="0.25">
      <c r="A21" s="5">
        <v>44572</v>
      </c>
      <c r="B21">
        <v>2.7230000000000001E-2</v>
      </c>
      <c r="C21">
        <v>2.8760000000000001E-2</v>
      </c>
      <c r="D21">
        <v>2.6890000000000001E-2</v>
      </c>
      <c r="E21">
        <v>2.861E-2</v>
      </c>
      <c r="F21">
        <v>97182784.400000006</v>
      </c>
      <c r="G21">
        <v>2.861E-2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0.83957219251336812</v>
      </c>
      <c r="Q21">
        <f t="shared" ref="Q21" si="81">F21*P21</f>
        <v>81591963.373261958</v>
      </c>
      <c r="R21">
        <f t="shared" ref="R21" si="82">R22+Q21</f>
        <v>-72059210.74732253</v>
      </c>
      <c r="S21">
        <f t="shared" ref="S21" si="83">R21/100000</f>
        <v>-720.59210747322527</v>
      </c>
      <c r="T21">
        <f t="shared" ref="T21" si="84">S21/1000</f>
        <v>-0.72059210747322522</v>
      </c>
    </row>
    <row r="22" spans="1:20" x14ac:dyDescent="0.25">
      <c r="A22" s="5">
        <v>44571</v>
      </c>
      <c r="B22">
        <v>2.8629999999999999E-2</v>
      </c>
      <c r="C22">
        <v>2.8850000000000001E-2</v>
      </c>
      <c r="D22">
        <v>2.5839999999999998E-2</v>
      </c>
      <c r="E22">
        <v>2.7210000000000002E-2</v>
      </c>
      <c r="F22">
        <v>163854933.5</v>
      </c>
      <c r="G22">
        <v>2.7210000000000002E-2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-8.9700996677739453E-2</v>
      </c>
      <c r="Q22">
        <f t="shared" ref="Q22" si="86">F22*P22</f>
        <v>-14697950.845514718</v>
      </c>
      <c r="R22">
        <f t="shared" ref="R22" si="87">R23+Q22</f>
        <v>-153651174.12058449</v>
      </c>
      <c r="S22">
        <f t="shared" ref="S22" si="88">R22/100000</f>
        <v>-1536.5117412058448</v>
      </c>
      <c r="T22">
        <f t="shared" ref="T22" si="89">S22/1000</f>
        <v>-1.5365117412058449</v>
      </c>
    </row>
    <row r="23" spans="1:20" x14ac:dyDescent="0.25">
      <c r="A23" s="5">
        <v>44570</v>
      </c>
      <c r="B23">
        <v>2.758E-2</v>
      </c>
      <c r="C23">
        <v>2.9100000000000001E-2</v>
      </c>
      <c r="D23">
        <v>2.725E-2</v>
      </c>
      <c r="E23">
        <v>2.8629999999999999E-2</v>
      </c>
      <c r="F23">
        <v>79686503.599999994</v>
      </c>
      <c r="G23">
        <v>2.8629999999999999E-2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0.49189189189189036</v>
      </c>
      <c r="Q23">
        <f t="shared" ref="Q23" si="91">F23*P23</f>
        <v>39197145.014053926</v>
      </c>
      <c r="R23">
        <f t="shared" ref="R23" si="92">R24+Q23</f>
        <v>-138953223.27506977</v>
      </c>
      <c r="S23">
        <f t="shared" ref="S23" si="93">R23/100000</f>
        <v>-1389.5322327506976</v>
      </c>
      <c r="T23">
        <f t="shared" ref="T23" si="94">S23/1000</f>
        <v>-1.3895322327506976</v>
      </c>
    </row>
    <row r="24" spans="1:20" x14ac:dyDescent="0.25">
      <c r="A24" s="5">
        <v>44569</v>
      </c>
      <c r="B24">
        <v>2.8670000000000001E-2</v>
      </c>
      <c r="C24">
        <v>2.9610000000000001E-2</v>
      </c>
      <c r="D24">
        <v>2.6579999999999999E-2</v>
      </c>
      <c r="E24">
        <v>2.7539999999999999E-2</v>
      </c>
      <c r="F24">
        <v>118920562.5</v>
      </c>
      <c r="G24">
        <v>2.7539999999999999E-2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-0.36633663366336727</v>
      </c>
      <c r="Q24">
        <f t="shared" ref="Q24" si="96">F24*P24</f>
        <v>-43564958.539604075</v>
      </c>
      <c r="R24">
        <f t="shared" ref="R24" si="97">R25+Q24</f>
        <v>-178150368.28912371</v>
      </c>
      <c r="S24">
        <f t="shared" ref="S24" si="98">R24/100000</f>
        <v>-1781.5036828912371</v>
      </c>
      <c r="T24">
        <f t="shared" ref="T24" si="99">S24/1000</f>
        <v>-1.7815036828912372</v>
      </c>
    </row>
    <row r="25" spans="1:20" x14ac:dyDescent="0.25">
      <c r="A25" s="5">
        <v>44568</v>
      </c>
      <c r="B25">
        <v>3.0630000000000001E-2</v>
      </c>
      <c r="C25">
        <v>3.0800000000000001E-2</v>
      </c>
      <c r="D25">
        <v>2.775E-2</v>
      </c>
      <c r="E25">
        <v>2.8649999999999998E-2</v>
      </c>
      <c r="F25">
        <v>168295821.90000001</v>
      </c>
      <c r="G25">
        <v>2.8649999999999998E-2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-0.40983606557377189</v>
      </c>
      <c r="Q25">
        <f t="shared" ref="Q25" si="101">F25*P25</f>
        <v>-68973697.500000238</v>
      </c>
      <c r="R25">
        <f t="shared" ref="R25" si="102">R26+Q25</f>
        <v>-134585409.74951965</v>
      </c>
      <c r="S25">
        <f t="shared" ref="S25" si="103">R25/100000</f>
        <v>-1345.8540974951964</v>
      </c>
      <c r="T25">
        <f t="shared" ref="T25" si="104">S25/1000</f>
        <v>-1.3458540974951965</v>
      </c>
    </row>
    <row r="26" spans="1:20" x14ac:dyDescent="0.25">
      <c r="A26" s="5">
        <v>44567</v>
      </c>
      <c r="B26">
        <v>3.0779999999999998E-2</v>
      </c>
      <c r="C26">
        <v>3.1060000000000001E-2</v>
      </c>
      <c r="D26">
        <v>2.9530000000000001E-2</v>
      </c>
      <c r="E26">
        <v>3.066E-2</v>
      </c>
      <c r="F26">
        <v>145037944.80000001</v>
      </c>
      <c r="G26">
        <v>3.066E-2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0.47712418300653464</v>
      </c>
      <c r="Q26">
        <f t="shared" ref="Q26" si="106">F26*P26</f>
        <v>69201110.91764687</v>
      </c>
      <c r="R26">
        <f t="shared" ref="R26" si="107">R27+Q26</f>
        <v>-65611712.249519423</v>
      </c>
      <c r="S26">
        <f t="shared" ref="S26" si="108">R26/100000</f>
        <v>-656.11712249519428</v>
      </c>
      <c r="T26">
        <f t="shared" ref="T26" si="109">S26/1000</f>
        <v>-0.65611712249519427</v>
      </c>
    </row>
    <row r="27" spans="1:20" x14ac:dyDescent="0.25">
      <c r="A27" s="5">
        <v>44566</v>
      </c>
      <c r="B27">
        <v>3.3210000000000003E-2</v>
      </c>
      <c r="C27">
        <v>3.4759999999999999E-2</v>
      </c>
      <c r="D27">
        <v>2.9020000000000001E-2</v>
      </c>
      <c r="E27">
        <v>3.074E-2</v>
      </c>
      <c r="F27">
        <v>211076378.40000001</v>
      </c>
      <c r="G27">
        <v>3.074E-2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-0.40069686411149835</v>
      </c>
      <c r="Q27">
        <f t="shared" ref="Q27" si="111">F27*P27</f>
        <v>-84577642.912892014</v>
      </c>
      <c r="R27">
        <f t="shared" ref="R27" si="112">R28+Q27</f>
        <v>-134812823.16716629</v>
      </c>
      <c r="S27">
        <f t="shared" ref="S27" si="113">R27/100000</f>
        <v>-1348.1282316716629</v>
      </c>
      <c r="T27">
        <f t="shared" ref="T27" si="114">S27/1000</f>
        <v>-1.348128231671663</v>
      </c>
    </row>
    <row r="28" spans="1:20" x14ac:dyDescent="0.25">
      <c r="A28" s="5">
        <v>44565</v>
      </c>
      <c r="B28">
        <v>3.3579999999999999E-2</v>
      </c>
      <c r="C28">
        <v>3.4500000000000003E-2</v>
      </c>
      <c r="D28">
        <v>3.27E-2</v>
      </c>
      <c r="E28">
        <v>3.3230000000000003E-2</v>
      </c>
      <c r="F28">
        <v>140571239.59999999</v>
      </c>
      <c r="G28">
        <v>3.3230000000000003E-2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-0.4111111111111091</v>
      </c>
      <c r="Q28">
        <f t="shared" ref="Q28" si="116">F28*P28</f>
        <v>-57790398.502221934</v>
      </c>
      <c r="R28">
        <f t="shared" ref="R28" si="117">R29+Q28</f>
        <v>-50235180.254274286</v>
      </c>
      <c r="S28">
        <f t="shared" ref="S28" si="118">R28/100000</f>
        <v>-502.35180254274286</v>
      </c>
      <c r="T28">
        <f t="shared" ref="T28" si="119">S28/1000</f>
        <v>-0.50235180254274281</v>
      </c>
    </row>
    <row r="29" spans="1:20" x14ac:dyDescent="0.25">
      <c r="A29" s="5">
        <v>44564</v>
      </c>
      <c r="B29">
        <v>3.4290000000000001E-2</v>
      </c>
      <c r="C29">
        <v>3.4680000000000002E-2</v>
      </c>
      <c r="D29">
        <v>3.2980000000000002E-2</v>
      </c>
      <c r="E29">
        <v>3.356E-2</v>
      </c>
      <c r="F29">
        <v>141026026.19999999</v>
      </c>
      <c r="G29">
        <v>3.356E-2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-0.31764705882353278</v>
      </c>
      <c r="Q29">
        <f t="shared" ref="Q29" si="121">F29*P29</f>
        <v>-44796502.440000474</v>
      </c>
      <c r="R29">
        <f t="shared" ref="R29" si="122">R30+Q29</f>
        <v>7555218.2479476482</v>
      </c>
      <c r="S29">
        <f t="shared" ref="S29" si="123">R29/100000</f>
        <v>75.552182479476485</v>
      </c>
      <c r="T29">
        <f t="shared" ref="T29" si="124">S29/1000</f>
        <v>7.5552182479476482E-2</v>
      </c>
    </row>
    <row r="30" spans="1:20" x14ac:dyDescent="0.25">
      <c r="A30" s="5">
        <v>44563</v>
      </c>
      <c r="B30">
        <v>3.4610000000000002E-2</v>
      </c>
      <c r="C30">
        <v>3.4939999999999999E-2</v>
      </c>
      <c r="D30">
        <v>3.3619999999999997E-2</v>
      </c>
      <c r="E30">
        <v>3.431E-2</v>
      </c>
      <c r="F30">
        <v>66123974</v>
      </c>
      <c r="G30">
        <v>3.431E-2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4.54545454545488E-2</v>
      </c>
      <c r="Q30">
        <f t="shared" ref="Q30" si="126">F30*P30</f>
        <v>3005635.1818184028</v>
      </c>
      <c r="R30">
        <f t="shared" ref="R30" si="127">R31+Q30</f>
        <v>52351720.687948123</v>
      </c>
      <c r="S30">
        <f t="shared" ref="S30" si="128">R30/100000</f>
        <v>523.51720687948125</v>
      </c>
      <c r="T30">
        <f t="shared" ref="T30" si="129">S30/1000</f>
        <v>0.52351720687948122</v>
      </c>
    </row>
    <row r="31" spans="1:20" x14ac:dyDescent="0.25">
      <c r="A31" s="5">
        <v>44562</v>
      </c>
      <c r="B31">
        <v>3.322E-2</v>
      </c>
      <c r="C31">
        <v>3.465E-2</v>
      </c>
      <c r="D31">
        <v>3.322E-2</v>
      </c>
      <c r="E31">
        <v>3.4599999999999999E-2</v>
      </c>
      <c r="F31">
        <v>66825033.799999997</v>
      </c>
      <c r="G31">
        <v>3.4599999999999999E-2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0.93006993006992811</v>
      </c>
      <c r="Q31">
        <f t="shared" ref="Q31" si="131">F31*P31</f>
        <v>62151954.513286583</v>
      </c>
      <c r="R31">
        <f t="shared" ref="R31" si="132">R32+Q31</f>
        <v>49346085.506129719</v>
      </c>
      <c r="S31">
        <f t="shared" ref="S31" si="133">R31/100000</f>
        <v>493.4608550612972</v>
      </c>
      <c r="T31">
        <f t="shared" ref="T31" si="134">S31/1000</f>
        <v>0.49346085506129722</v>
      </c>
    </row>
    <row r="32" spans="1:20" x14ac:dyDescent="0.25">
      <c r="A32" s="5">
        <v>44561</v>
      </c>
      <c r="B32">
        <v>3.3869999999999997E-2</v>
      </c>
      <c r="C32">
        <v>3.5060000000000001E-2</v>
      </c>
      <c r="D32">
        <v>3.243E-2</v>
      </c>
      <c r="E32">
        <v>3.32E-2</v>
      </c>
      <c r="F32">
        <v>89880318.099999994</v>
      </c>
      <c r="G32">
        <v>3.32E-2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-0.41444866920152112</v>
      </c>
      <c r="Q32">
        <f t="shared" ref="Q32" si="136">F32*P32</f>
        <v>-37250778.223954387</v>
      </c>
      <c r="R32">
        <f t="shared" ref="R32" si="137">R33+Q32</f>
        <v>-12805869.007156864</v>
      </c>
      <c r="S32">
        <f t="shared" ref="S32" si="138">R32/100000</f>
        <v>-128.05869007156863</v>
      </c>
      <c r="T32">
        <f t="shared" ref="T32" si="139">S32/1000</f>
        <v>-0.12805869007156864</v>
      </c>
    </row>
    <row r="33" spans="1:20" x14ac:dyDescent="0.25">
      <c r="A33" s="5">
        <v>44560</v>
      </c>
      <c r="B33">
        <v>3.3210000000000003E-2</v>
      </c>
      <c r="C33">
        <v>3.4410000000000003E-2</v>
      </c>
      <c r="D33">
        <v>3.2390000000000002E-2</v>
      </c>
      <c r="E33">
        <v>3.3869999999999997E-2</v>
      </c>
      <c r="F33">
        <v>75934311.200000003</v>
      </c>
      <c r="G33">
        <v>3.3869999999999997E-2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0.46534653465345993</v>
      </c>
      <c r="Q33">
        <f t="shared" ref="Q33" si="141">F33*P33</f>
        <v>35335768.57821741</v>
      </c>
      <c r="R33">
        <f t="shared" ref="R33" si="142">R34+Q33</f>
        <v>24444909.216797523</v>
      </c>
      <c r="S33">
        <f t="shared" ref="S33" si="143">R33/100000</f>
        <v>244.44909216797524</v>
      </c>
      <c r="T33">
        <f t="shared" ref="T33" si="144">S33/1000</f>
        <v>0.24444909216797522</v>
      </c>
    </row>
    <row r="34" spans="1:20" x14ac:dyDescent="0.25">
      <c r="A34" s="5">
        <v>44559</v>
      </c>
      <c r="B34">
        <v>3.4450000000000001E-2</v>
      </c>
      <c r="C34">
        <v>3.5110000000000002E-2</v>
      </c>
      <c r="D34">
        <v>3.2800000000000003E-2</v>
      </c>
      <c r="E34">
        <v>3.32E-2</v>
      </c>
      <c r="F34">
        <v>117840086.09999999</v>
      </c>
      <c r="G34">
        <v>3.32E-2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-0.65367965367965575</v>
      </c>
      <c r="Q34">
        <f t="shared" ref="Q34" si="146">F34*P34</f>
        <v>-77029666.671428815</v>
      </c>
      <c r="R34">
        <f t="shared" ref="R34" si="147">R35+Q34</f>
        <v>-10890859.361419886</v>
      </c>
      <c r="S34">
        <f t="shared" ref="S34" si="148">R34/100000</f>
        <v>-108.90859361419886</v>
      </c>
      <c r="T34">
        <f t="shared" ref="T34" si="149">S34/1000</f>
        <v>-0.10890859361419887</v>
      </c>
    </row>
    <row r="35" spans="1:20" x14ac:dyDescent="0.25">
      <c r="A35" s="5">
        <v>44558</v>
      </c>
      <c r="B35">
        <v>3.7870000000000001E-2</v>
      </c>
      <c r="C35">
        <v>3.7870000000000001E-2</v>
      </c>
      <c r="D35">
        <v>3.4000000000000002E-2</v>
      </c>
      <c r="E35">
        <v>3.4410000000000003E-2</v>
      </c>
      <c r="F35">
        <v>148201162.19999999</v>
      </c>
      <c r="G35">
        <v>3.4410000000000003E-2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-0.78811369509043883</v>
      </c>
      <c r="Q35">
        <f t="shared" ref="Q35" si="151">F35*P35</f>
        <v>-116799365.55813946</v>
      </c>
      <c r="R35">
        <f t="shared" ref="R35" si="152">R36+Q35</f>
        <v>66138807.310008928</v>
      </c>
      <c r="S35">
        <f t="shared" ref="S35" si="153">R35/100000</f>
        <v>661.38807310008929</v>
      </c>
      <c r="T35">
        <f t="shared" ref="T35" si="154">S35/1000</f>
        <v>0.66138807310008929</v>
      </c>
    </row>
    <row r="36" spans="1:20" x14ac:dyDescent="0.25">
      <c r="A36" s="5">
        <v>44557</v>
      </c>
      <c r="B36">
        <v>3.857E-2</v>
      </c>
      <c r="C36">
        <v>0.04</v>
      </c>
      <c r="D36">
        <v>3.7740000000000003E-2</v>
      </c>
      <c r="E36">
        <v>3.7819999999999999E-2</v>
      </c>
      <c r="F36">
        <v>113454433.7</v>
      </c>
      <c r="G36">
        <v>3.7819999999999999E-2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-0.92920353982301163</v>
      </c>
      <c r="Q36">
        <f t="shared" ref="Q36" si="156">F36*P36</f>
        <v>-105422261.40265518</v>
      </c>
      <c r="R36">
        <f t="shared" ref="R36" si="157">R37+Q36</f>
        <v>182938172.86814839</v>
      </c>
      <c r="S36">
        <f t="shared" ref="S36" si="158">R36/100000</f>
        <v>1829.3817286814838</v>
      </c>
      <c r="T36">
        <f t="shared" ref="T36" si="159">S36/1000</f>
        <v>1.8293817286814837</v>
      </c>
    </row>
    <row r="37" spans="1:20" x14ac:dyDescent="0.25">
      <c r="A37" s="5">
        <v>44556</v>
      </c>
      <c r="B37">
        <v>3.6880000000000003E-2</v>
      </c>
      <c r="C37">
        <v>3.8800000000000001E-2</v>
      </c>
      <c r="D37">
        <v>3.594E-2</v>
      </c>
      <c r="E37">
        <v>3.85E-2</v>
      </c>
      <c r="F37">
        <v>83837042</v>
      </c>
      <c r="G37">
        <v>3.85E-2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0.79020979020978921</v>
      </c>
      <c r="Q37">
        <f t="shared" ref="Q37" si="161">F37*P37</f>
        <v>66248851.370629288</v>
      </c>
      <c r="R37">
        <f t="shared" ref="R37" si="162">R38+Q37</f>
        <v>288360434.27080357</v>
      </c>
      <c r="S37">
        <f t="shared" ref="S37" si="163">R37/100000</f>
        <v>2883.6043427080358</v>
      </c>
      <c r="T37">
        <f t="shared" ref="T37" si="164">S37/1000</f>
        <v>2.8836043427080358</v>
      </c>
    </row>
    <row r="38" spans="1:20" x14ac:dyDescent="0.25">
      <c r="A38" s="5">
        <v>44555</v>
      </c>
      <c r="B38">
        <v>3.6900000000000002E-2</v>
      </c>
      <c r="C38">
        <v>3.7530000000000001E-2</v>
      </c>
      <c r="D38">
        <v>3.6429999999999997E-2</v>
      </c>
      <c r="E38">
        <v>3.6889999999999999E-2</v>
      </c>
      <c r="F38">
        <v>78002360.5</v>
      </c>
      <c r="G38">
        <v>3.6889999999999999E-2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-0.16363636363636272</v>
      </c>
      <c r="Q38">
        <f t="shared" ref="Q38" si="166">F38*P38</f>
        <v>-12764022.627272656</v>
      </c>
      <c r="R38">
        <f t="shared" ref="R38" si="167">R39+Q38</f>
        <v>222111582.90017426</v>
      </c>
      <c r="S38">
        <f t="shared" ref="S38" si="168">R38/100000</f>
        <v>2221.1158290017424</v>
      </c>
      <c r="T38">
        <f t="shared" ref="T38" si="169">S38/1000</f>
        <v>2.2211158290017425</v>
      </c>
    </row>
    <row r="39" spans="1:20" x14ac:dyDescent="0.25">
      <c r="A39" s="5">
        <v>44554</v>
      </c>
      <c r="B39">
        <v>3.8120000000000001E-2</v>
      </c>
      <c r="C39">
        <v>3.9300000000000002E-2</v>
      </c>
      <c r="D39">
        <v>3.6420000000000001E-2</v>
      </c>
      <c r="E39">
        <v>3.6889999999999999E-2</v>
      </c>
      <c r="F39">
        <v>125217006.09999999</v>
      </c>
      <c r="G39">
        <v>3.6889999999999999E-2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-0.67361111111111238</v>
      </c>
      <c r="Q39">
        <f t="shared" ref="Q39" si="171">F39*P39</f>
        <v>-84347566.609027937</v>
      </c>
      <c r="R39">
        <f t="shared" ref="R39" si="172">R40+Q39</f>
        <v>234875605.52744693</v>
      </c>
      <c r="S39">
        <f t="shared" ref="S39" si="173">R39/100000</f>
        <v>2348.7560552744694</v>
      </c>
      <c r="T39">
        <f t="shared" ref="T39" si="174">S39/1000</f>
        <v>2.3487560552744693</v>
      </c>
    </row>
    <row r="40" spans="1:20" x14ac:dyDescent="0.25">
      <c r="A40" s="5">
        <v>44553</v>
      </c>
      <c r="B40">
        <v>3.5310000000000001E-2</v>
      </c>
      <c r="C40">
        <v>3.9579999999999997E-2</v>
      </c>
      <c r="D40">
        <v>3.458E-2</v>
      </c>
      <c r="E40">
        <v>3.8120000000000001E-2</v>
      </c>
      <c r="F40">
        <v>116044374.09999999</v>
      </c>
      <c r="G40">
        <v>3.8120000000000001E-2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0.41600000000000131</v>
      </c>
      <c r="Q40">
        <f t="shared" ref="Q40" si="176">F40*P40</f>
        <v>48274459.625600152</v>
      </c>
      <c r="R40">
        <f t="shared" ref="R40" si="177">R41+Q40</f>
        <v>319223172.13647485</v>
      </c>
      <c r="S40">
        <f t="shared" ref="S40" si="178">R40/100000</f>
        <v>3192.2317213647484</v>
      </c>
      <c r="T40">
        <f t="shared" ref="T40" si="179">S40/1000</f>
        <v>3.1922317213647484</v>
      </c>
    </row>
    <row r="41" spans="1:20" x14ac:dyDescent="0.25">
      <c r="A41" s="5">
        <v>44552</v>
      </c>
      <c r="B41">
        <v>3.4959999999999998E-2</v>
      </c>
      <c r="C41">
        <v>3.6330000000000001E-2</v>
      </c>
      <c r="D41">
        <v>3.456E-2</v>
      </c>
      <c r="E41">
        <v>3.5299999999999998E-2</v>
      </c>
      <c r="F41">
        <v>106364921.8</v>
      </c>
      <c r="G41">
        <v>3.5299999999999998E-2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-0.16384180790960759</v>
      </c>
      <c r="Q41">
        <f t="shared" ref="Q41" si="181">F41*P41</f>
        <v>-17427021.085876033</v>
      </c>
      <c r="R41">
        <f t="shared" ref="R41" si="182">R42+Q41</f>
        <v>270948712.51087469</v>
      </c>
      <c r="S41">
        <f t="shared" ref="S41" si="183">R41/100000</f>
        <v>2709.487125108747</v>
      </c>
      <c r="T41">
        <f t="shared" ref="T41" si="184">S41/1000</f>
        <v>2.7094871251087471</v>
      </c>
    </row>
    <row r="42" spans="1:20" x14ac:dyDescent="0.25">
      <c r="A42" s="5">
        <v>44551</v>
      </c>
      <c r="B42">
        <v>3.3119999999999997E-2</v>
      </c>
      <c r="C42">
        <v>3.5900000000000001E-2</v>
      </c>
      <c r="D42">
        <v>3.2530000000000003E-2</v>
      </c>
      <c r="E42">
        <v>3.4950000000000002E-2</v>
      </c>
      <c r="F42">
        <v>92900677.700000003</v>
      </c>
      <c r="G42">
        <v>3.4950000000000002E-2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0.43620178041543023</v>
      </c>
      <c r="Q42">
        <f t="shared" ref="Q42" si="186">F42*P42</f>
        <v>40523441.014540054</v>
      </c>
      <c r="R42">
        <f t="shared" ref="R42" si="187">R43+Q42</f>
        <v>288375733.59675074</v>
      </c>
      <c r="S42">
        <f t="shared" ref="S42" si="188">R42/100000</f>
        <v>2883.7573359675075</v>
      </c>
      <c r="T42">
        <f t="shared" ref="T42" si="189">S42/1000</f>
        <v>2.8837573359675077</v>
      </c>
    </row>
    <row r="43" spans="1:20" x14ac:dyDescent="0.25">
      <c r="A43" s="5">
        <v>44550</v>
      </c>
      <c r="B43">
        <v>3.3989999999999999E-2</v>
      </c>
      <c r="C43">
        <v>3.424E-2</v>
      </c>
      <c r="D43">
        <v>3.1660000000000001E-2</v>
      </c>
      <c r="E43">
        <v>3.3090000000000001E-2</v>
      </c>
      <c r="F43">
        <v>105203979.8</v>
      </c>
      <c r="G43">
        <v>3.3090000000000001E-2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0.10852713178294673</v>
      </c>
      <c r="Q43">
        <f t="shared" ref="Q43" si="191">F43*P43</f>
        <v>11417486.179845067</v>
      </c>
      <c r="R43">
        <f t="shared" ref="R43" si="192">R44+Q43</f>
        <v>247852292.58221069</v>
      </c>
      <c r="S43">
        <f t="shared" ref="S43" si="193">R43/100000</f>
        <v>2478.522925822107</v>
      </c>
      <c r="T43">
        <f t="shared" ref="T43" si="194">S43/1000</f>
        <v>2.4785229258221069</v>
      </c>
    </row>
    <row r="44" spans="1:20" x14ac:dyDescent="0.25">
      <c r="A44" s="5">
        <v>44549</v>
      </c>
      <c r="B44">
        <v>3.5340000000000003E-2</v>
      </c>
      <c r="C44">
        <v>3.6159999999999998E-2</v>
      </c>
      <c r="D44">
        <v>3.39E-2</v>
      </c>
      <c r="E44">
        <v>3.397E-2</v>
      </c>
      <c r="F44">
        <v>78119856.400000006</v>
      </c>
      <c r="G44">
        <v>3.397E-2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-0.93805309734513209</v>
      </c>
      <c r="Q44">
        <f t="shared" ref="Q44" si="196">F44*P44</f>
        <v>-73280573.260176942</v>
      </c>
      <c r="R44">
        <f t="shared" ref="R44" si="197">R45+Q44</f>
        <v>236434806.40236562</v>
      </c>
      <c r="S44">
        <f t="shared" ref="S44" si="198">R44/100000</f>
        <v>2364.3480640236562</v>
      </c>
      <c r="T44">
        <f t="shared" ref="T44" si="199">S44/1000</f>
        <v>2.3643480640236563</v>
      </c>
    </row>
    <row r="45" spans="1:20" x14ac:dyDescent="0.25">
      <c r="A45" s="5">
        <v>44548</v>
      </c>
      <c r="B45">
        <v>3.4389999999999997E-2</v>
      </c>
      <c r="C45">
        <v>3.6060000000000002E-2</v>
      </c>
      <c r="D45">
        <v>3.356E-2</v>
      </c>
      <c r="E45">
        <v>3.5389999999999998E-2</v>
      </c>
      <c r="F45">
        <v>72236589.299999997</v>
      </c>
      <c r="G45">
        <v>3.5389999999999998E-2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0.46399999999999736</v>
      </c>
      <c r="Q45">
        <f t="shared" ref="Q45" si="201">F45*P45</f>
        <v>33517777.435199808</v>
      </c>
      <c r="R45">
        <f t="shared" ref="R45" si="202">R46+Q45</f>
        <v>309715379.66254258</v>
      </c>
      <c r="S45">
        <f t="shared" ref="S45" si="203">R45/100000</f>
        <v>3097.1537966254259</v>
      </c>
      <c r="T45">
        <f t="shared" ref="T45" si="204">S45/1000</f>
        <v>3.0971537966254261</v>
      </c>
    </row>
    <row r="46" spans="1:20" x14ac:dyDescent="0.25">
      <c r="A46" s="5">
        <v>44547</v>
      </c>
      <c r="B46">
        <v>3.4979999999999997E-2</v>
      </c>
      <c r="C46">
        <v>3.5839999999999997E-2</v>
      </c>
      <c r="D46">
        <v>3.3279999999999997E-2</v>
      </c>
      <c r="E46">
        <v>3.4419999999999999E-2</v>
      </c>
      <c r="F46">
        <v>102779318.90000001</v>
      </c>
      <c r="G46">
        <v>3.4419999999999999E-2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-0.10937499999999827</v>
      </c>
      <c r="Q46">
        <f t="shared" ref="Q46" si="206">F46*P46</f>
        <v>-11241488.004687322</v>
      </c>
      <c r="R46">
        <f t="shared" ref="R46" si="207">R47+Q46</f>
        <v>276197602.22734278</v>
      </c>
      <c r="S46">
        <f t="shared" ref="S46" si="208">R46/100000</f>
        <v>2761.976022273428</v>
      </c>
      <c r="T46">
        <f t="shared" ref="T46" si="209">S46/1000</f>
        <v>2.7619760222734282</v>
      </c>
    </row>
    <row r="47" spans="1:20" x14ac:dyDescent="0.25">
      <c r="A47" s="5">
        <v>44546</v>
      </c>
      <c r="B47">
        <v>3.5340000000000003E-2</v>
      </c>
      <c r="C47">
        <v>3.6510000000000001E-2</v>
      </c>
      <c r="D47">
        <v>3.4729999999999997E-2</v>
      </c>
      <c r="E47">
        <v>3.4950000000000002E-2</v>
      </c>
      <c r="F47">
        <v>81540806.299999997</v>
      </c>
      <c r="G47">
        <v>3.4950000000000002E-2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-0.7528089887640399</v>
      </c>
      <c r="Q47">
        <f t="shared" ref="Q47" si="211">F47*P47</f>
        <v>-61384651.933707453</v>
      </c>
      <c r="R47">
        <f t="shared" ref="R47" si="212">R48+Q47</f>
        <v>287439090.23203009</v>
      </c>
      <c r="S47">
        <f t="shared" ref="S47" si="213">R47/100000</f>
        <v>2874.3909023203009</v>
      </c>
      <c r="T47">
        <f t="shared" ref="T47" si="214">S47/1000</f>
        <v>2.8743909023203011</v>
      </c>
    </row>
    <row r="48" spans="1:20" x14ac:dyDescent="0.25">
      <c r="A48" s="5">
        <v>44545</v>
      </c>
      <c r="B48">
        <v>3.4419999999999999E-2</v>
      </c>
      <c r="C48">
        <v>3.5819999999999998E-2</v>
      </c>
      <c r="D48">
        <v>3.2539999999999999E-2</v>
      </c>
      <c r="E48">
        <v>3.5279999999999999E-2</v>
      </c>
      <c r="F48">
        <v>122797530.90000001</v>
      </c>
      <c r="G48">
        <v>3.5279999999999999E-2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0.67073170731707377</v>
      </c>
      <c r="Q48">
        <f t="shared" ref="Q48" si="216">F48*P48</f>
        <v>82364197.554878131</v>
      </c>
      <c r="R48">
        <f t="shared" ref="R48" si="217">R49+Q48</f>
        <v>348823742.16573757</v>
      </c>
      <c r="S48">
        <f t="shared" ref="S48" si="218">R48/100000</f>
        <v>3488.2374216573758</v>
      </c>
      <c r="T48">
        <f t="shared" ref="T48" si="219">S48/1000</f>
        <v>3.4882374216573759</v>
      </c>
    </row>
    <row r="49" spans="1:20" x14ac:dyDescent="0.25">
      <c r="A49" s="5">
        <v>44544</v>
      </c>
      <c r="B49">
        <v>3.2800000000000003E-2</v>
      </c>
      <c r="C49">
        <v>3.4639999999999997E-2</v>
      </c>
      <c r="D49">
        <v>3.2399999999999998E-2</v>
      </c>
      <c r="E49">
        <v>3.4410000000000003E-2</v>
      </c>
      <c r="F49">
        <v>116033316.3</v>
      </c>
      <c r="G49">
        <v>3.4410000000000003E-2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0.79464285714286231</v>
      </c>
      <c r="Q49">
        <f t="shared" ref="Q49" si="221">F49*P49</f>
        <v>92205045.988393456</v>
      </c>
      <c r="R49">
        <f t="shared" ref="R49" si="222">R50+Q49</f>
        <v>266459544.61085945</v>
      </c>
      <c r="S49">
        <f t="shared" ref="S49" si="223">R49/100000</f>
        <v>2664.5954461085944</v>
      </c>
      <c r="T49">
        <f t="shared" ref="T49" si="224">S49/1000</f>
        <v>2.6645954461085943</v>
      </c>
    </row>
    <row r="50" spans="1:20" x14ac:dyDescent="0.25">
      <c r="A50" s="5">
        <v>44543</v>
      </c>
      <c r="B50">
        <v>3.6630000000000003E-2</v>
      </c>
      <c r="C50">
        <v>3.6920000000000001E-2</v>
      </c>
      <c r="D50">
        <v>3.2000000000000001E-2</v>
      </c>
      <c r="E50">
        <v>3.2750000000000001E-2</v>
      </c>
      <c r="F50">
        <v>104661499</v>
      </c>
      <c r="G50">
        <v>3.2750000000000001E-2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-0.69512195121951192</v>
      </c>
      <c r="Q50">
        <f t="shared" ref="Q50" si="226">F50*P50</f>
        <v>-72752505.402438998</v>
      </c>
      <c r="R50">
        <f t="shared" ref="R50" si="227">R51+Q50</f>
        <v>174254498.622466</v>
      </c>
      <c r="S50">
        <f t="shared" ref="S50" si="228">R50/100000</f>
        <v>1742.5449862246601</v>
      </c>
      <c r="T50">
        <f t="shared" ref="T50" si="229">S50/1000</f>
        <v>1.74254498622466</v>
      </c>
    </row>
    <row r="51" spans="1:20" x14ac:dyDescent="0.25">
      <c r="A51" s="5">
        <v>44542</v>
      </c>
      <c r="B51">
        <v>3.6020000000000003E-2</v>
      </c>
      <c r="C51">
        <v>3.7060000000000003E-2</v>
      </c>
      <c r="D51">
        <v>3.5020000000000003E-2</v>
      </c>
      <c r="E51">
        <v>3.6659999999999998E-2</v>
      </c>
      <c r="F51">
        <v>62763066.200000003</v>
      </c>
      <c r="G51">
        <v>3.6659999999999998E-2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0.60784313725489758</v>
      </c>
      <c r="Q51">
        <f t="shared" ref="Q51" si="231">F51*P51</f>
        <v>38150099.062744826</v>
      </c>
      <c r="R51">
        <f t="shared" ref="R51" si="232">R52+Q51</f>
        <v>247007004.024905</v>
      </c>
      <c r="S51">
        <f t="shared" ref="S51" si="233">R51/100000</f>
        <v>2470.0700402490502</v>
      </c>
      <c r="T51">
        <f t="shared" ref="T51" si="234">S51/1000</f>
        <v>2.4700700402490501</v>
      </c>
    </row>
    <row r="52" spans="1:20" x14ac:dyDescent="0.25">
      <c r="A52" s="5">
        <v>44541</v>
      </c>
      <c r="B52">
        <v>3.3980000000000003E-2</v>
      </c>
      <c r="C52">
        <v>3.4279999999999998E-2</v>
      </c>
      <c r="D52">
        <v>3.3160000000000002E-2</v>
      </c>
      <c r="E52">
        <v>3.4099999999999998E-2</v>
      </c>
      <c r="F52">
        <v>11704924.1</v>
      </c>
      <c r="G52">
        <v>3.4099999999999998E-2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0.67857142857142816</v>
      </c>
      <c r="Q52">
        <f t="shared" ref="Q52" si="236">F52*P52</f>
        <v>7942627.0678571379</v>
      </c>
      <c r="R52">
        <f t="shared" ref="R52" si="237">R53+Q52</f>
        <v>208856904.96216017</v>
      </c>
      <c r="S52">
        <f t="shared" ref="S52" si="238">R52/100000</f>
        <v>2088.5690496216016</v>
      </c>
      <c r="T52">
        <f t="shared" ref="T52" si="239">S52/1000</f>
        <v>2.0885690496216016</v>
      </c>
    </row>
    <row r="53" spans="1:20" x14ac:dyDescent="0.25">
      <c r="A53" s="5">
        <v>44540</v>
      </c>
      <c r="B53">
        <v>3.5839999999999997E-2</v>
      </c>
      <c r="C53">
        <v>3.7289999999999997E-2</v>
      </c>
      <c r="D53">
        <v>3.381E-2</v>
      </c>
      <c r="E53">
        <v>3.3989999999999999E-2</v>
      </c>
      <c r="F53">
        <v>124742100.90000001</v>
      </c>
      <c r="G53">
        <v>3.3989999999999999E-2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-0.89655172413793116</v>
      </c>
      <c r="Q53">
        <f t="shared" ref="Q53" si="241">F53*P53</f>
        <v>-111837745.63448279</v>
      </c>
      <c r="R53">
        <f t="shared" ref="R53" si="242">R54+Q53</f>
        <v>200914277.89430302</v>
      </c>
      <c r="S53">
        <f t="shared" ref="S53" si="243">R53/100000</f>
        <v>2009.1427789430302</v>
      </c>
      <c r="T53">
        <f t="shared" ref="T53" si="244">S53/1000</f>
        <v>2.0091427789430303</v>
      </c>
    </row>
    <row r="54" spans="1:20" x14ac:dyDescent="0.25">
      <c r="A54" s="5">
        <v>44539</v>
      </c>
      <c r="B54">
        <v>4.0669999999999998E-2</v>
      </c>
      <c r="C54">
        <v>4.0980000000000003E-2</v>
      </c>
      <c r="D54">
        <v>3.5700000000000003E-2</v>
      </c>
      <c r="E54">
        <v>3.585E-2</v>
      </c>
      <c r="F54">
        <v>137774418.80000001</v>
      </c>
      <c r="G54">
        <v>3.585E-2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-0.94318181818181923</v>
      </c>
      <c r="Q54">
        <f t="shared" ref="Q54" si="246">F54*P54</f>
        <v>-129946326.82272743</v>
      </c>
      <c r="R54">
        <f t="shared" ref="R54" si="247">R55+Q54</f>
        <v>312752023.52878582</v>
      </c>
      <c r="S54">
        <f t="shared" ref="S54" si="248">R54/100000</f>
        <v>3127.5202352878582</v>
      </c>
      <c r="T54">
        <f t="shared" ref="T54" si="249">S54/1000</f>
        <v>3.1275202352878582</v>
      </c>
    </row>
    <row r="55" spans="1:20" x14ac:dyDescent="0.25">
      <c r="A55" s="5">
        <v>44538</v>
      </c>
      <c r="B55">
        <v>3.9059999999999997E-2</v>
      </c>
      <c r="C55">
        <v>4.0840000000000001E-2</v>
      </c>
      <c r="D55">
        <v>3.6519999999999997E-2</v>
      </c>
      <c r="E55">
        <v>4.0660000000000002E-2</v>
      </c>
      <c r="F55">
        <v>187078259.09999999</v>
      </c>
      <c r="G55">
        <v>4.0660000000000002E-2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0.91666666666666696</v>
      </c>
      <c r="Q55">
        <f t="shared" ref="Q55" si="251">F55*P55</f>
        <v>171488404.17500004</v>
      </c>
      <c r="R55">
        <f t="shared" ref="R55" si="252">R56+Q55</f>
        <v>442698350.35151327</v>
      </c>
      <c r="S55">
        <f t="shared" ref="S55" si="253">R55/100000</f>
        <v>4426.9835035151327</v>
      </c>
      <c r="T55">
        <f t="shared" ref="T55" si="254">S55/1000</f>
        <v>4.4269835035151326</v>
      </c>
    </row>
    <row r="56" spans="1:20" x14ac:dyDescent="0.25">
      <c r="A56" s="5">
        <v>44537</v>
      </c>
      <c r="B56">
        <v>3.755E-2</v>
      </c>
      <c r="C56">
        <v>4.0800000000000003E-2</v>
      </c>
      <c r="D56">
        <v>3.7350000000000001E-2</v>
      </c>
      <c r="E56">
        <v>3.9039999999999998E-2</v>
      </c>
      <c r="F56">
        <v>169571537.19999999</v>
      </c>
      <c r="G56">
        <v>3.9039999999999998E-2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-2.0289855072465949E-2</v>
      </c>
      <c r="Q56">
        <f t="shared" ref="Q56" si="256">F56*P56</f>
        <v>-3440581.914203268</v>
      </c>
      <c r="R56">
        <f t="shared" ref="R56" si="257">R57+Q56</f>
        <v>271209946.1765132</v>
      </c>
      <c r="S56">
        <f t="shared" ref="S56" si="258">R56/100000</f>
        <v>2712.0994617651318</v>
      </c>
      <c r="T56">
        <f t="shared" ref="T56" si="259">S56/1000</f>
        <v>2.7120994617651317</v>
      </c>
    </row>
    <row r="57" spans="1:20" x14ac:dyDescent="0.25">
      <c r="A57" s="5">
        <v>44536</v>
      </c>
      <c r="B57">
        <v>3.7690000000000001E-2</v>
      </c>
      <c r="C57">
        <v>3.7940000000000002E-2</v>
      </c>
      <c r="D57">
        <v>3.3860000000000001E-2</v>
      </c>
      <c r="E57">
        <v>3.7539999999999997E-2</v>
      </c>
      <c r="F57">
        <v>231660935.59999999</v>
      </c>
      <c r="G57">
        <v>3.7539999999999997E-2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0.80392156862744879</v>
      </c>
      <c r="Q57">
        <f t="shared" ref="Q57" si="261">F57*P57</f>
        <v>186237222.73725438</v>
      </c>
      <c r="R57">
        <f t="shared" ref="R57" si="262">R58+Q57</f>
        <v>274650528.09071648</v>
      </c>
      <c r="S57">
        <f t="shared" ref="S57" si="263">R57/100000</f>
        <v>2746.5052809071649</v>
      </c>
      <c r="T57">
        <f t="shared" ref="T57" si="264">S57/1000</f>
        <v>2.7465052809071651</v>
      </c>
    </row>
    <row r="58" spans="1:20" x14ac:dyDescent="0.25">
      <c r="A58" s="5">
        <v>44535</v>
      </c>
      <c r="B58">
        <v>3.9460000000000002E-2</v>
      </c>
      <c r="C58">
        <v>4.0509999999999997E-2</v>
      </c>
      <c r="D58">
        <v>3.5999999999999997E-2</v>
      </c>
      <c r="E58">
        <v>3.7699999999999997E-2</v>
      </c>
      <c r="F58">
        <v>185463844.90000001</v>
      </c>
      <c r="G58">
        <v>3.7699999999999997E-2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-0.24611973392461195</v>
      </c>
      <c r="Q58">
        <f t="shared" ref="Q58" si="266">F58*P58</f>
        <v>-45646312.1594235</v>
      </c>
      <c r="R58">
        <f t="shared" ref="R58" si="267">R59+Q58</f>
        <v>88413305.3534621</v>
      </c>
      <c r="S58">
        <f t="shared" ref="S58" si="268">R58/100000</f>
        <v>884.13305353462101</v>
      </c>
      <c r="T58">
        <f t="shared" ref="T58" si="269">S58/1000</f>
        <v>0.88413305353462102</v>
      </c>
    </row>
    <row r="59" spans="1:20" x14ac:dyDescent="0.25">
      <c r="A59" s="5">
        <v>44534</v>
      </c>
      <c r="B59">
        <v>4.6539999999999998E-2</v>
      </c>
      <c r="C59">
        <v>4.6559999999999997E-2</v>
      </c>
      <c r="D59">
        <v>2.5760000000000002E-2</v>
      </c>
      <c r="E59">
        <v>3.9370000000000002E-2</v>
      </c>
      <c r="F59">
        <v>391560761.60000002</v>
      </c>
      <c r="G59">
        <v>3.9370000000000002E-2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0.3086538461538465</v>
      </c>
      <c r="Q59">
        <f t="shared" ref="Q59" si="271">F59*P59</f>
        <v>120856735.07076937</v>
      </c>
      <c r="R59">
        <f t="shared" ref="R59" si="272">R60+Q59</f>
        <v>134059617.5128856</v>
      </c>
      <c r="S59">
        <f t="shared" ref="S59" si="273">R59/100000</f>
        <v>1340.596175128856</v>
      </c>
      <c r="T59">
        <f t="shared" ref="T59" si="274">S59/1000</f>
        <v>1.340596175128856</v>
      </c>
    </row>
    <row r="60" spans="1:20" x14ac:dyDescent="0.25">
      <c r="A60" s="5">
        <v>44533</v>
      </c>
      <c r="B60">
        <v>4.7460000000000002E-2</v>
      </c>
      <c r="C60">
        <v>5.1450000000000003E-2</v>
      </c>
      <c r="D60">
        <v>4.471E-2</v>
      </c>
      <c r="E60">
        <v>4.657E-2</v>
      </c>
      <c r="F60">
        <v>227777435.69999999</v>
      </c>
      <c r="G60">
        <v>4.657E-2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-0.44807121661721078</v>
      </c>
      <c r="Q60">
        <f t="shared" ref="Q60" si="276">F60*P60</f>
        <v>-102060512.7320475</v>
      </c>
      <c r="R60">
        <f t="shared" ref="R60" si="277">R61+Q60</f>
        <v>13202882.442116231</v>
      </c>
      <c r="S60">
        <f t="shared" ref="S60" si="278">R60/100000</f>
        <v>132.02882442116231</v>
      </c>
      <c r="T60">
        <f t="shared" ref="T60" si="279">S60/1000</f>
        <v>0.13202882442116232</v>
      </c>
    </row>
    <row r="61" spans="1:20" x14ac:dyDescent="0.25">
      <c r="A61" s="5">
        <v>44532</v>
      </c>
      <c r="B61">
        <v>4.7440000000000003E-2</v>
      </c>
      <c r="C61">
        <v>4.7710000000000002E-2</v>
      </c>
      <c r="D61">
        <v>4.4740000000000002E-2</v>
      </c>
      <c r="E61">
        <v>4.7440000000000003E-2</v>
      </c>
      <c r="F61">
        <v>93290045.700000003</v>
      </c>
      <c r="G61">
        <v>4.7440000000000003E-2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0.81818181818181857</v>
      </c>
      <c r="Q61">
        <f t="shared" ref="Q61" si="281">F61*P61</f>
        <v>76328219.209090948</v>
      </c>
      <c r="R61">
        <f t="shared" ref="R61" si="282">R62+Q61</f>
        <v>115263395.17416373</v>
      </c>
      <c r="S61">
        <f t="shared" ref="S61" si="283">R61/100000</f>
        <v>1152.6339517416372</v>
      </c>
      <c r="T61">
        <f t="shared" ref="T61" si="284">S61/1000</f>
        <v>1.1526339517416373</v>
      </c>
    </row>
    <row r="62" spans="1:20" x14ac:dyDescent="0.25">
      <c r="A62" s="5">
        <v>44531</v>
      </c>
      <c r="B62">
        <v>4.7960000000000003E-2</v>
      </c>
      <c r="C62">
        <v>5.0680000000000003E-2</v>
      </c>
      <c r="D62">
        <v>4.6199999999999998E-2</v>
      </c>
      <c r="E62">
        <v>4.7440000000000003E-2</v>
      </c>
      <c r="F62">
        <v>117669165.2</v>
      </c>
      <c r="G62">
        <v>4.7440000000000003E-2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-0.44642857142856979</v>
      </c>
      <c r="Q62">
        <f t="shared" ref="Q62" si="286">F62*P62</f>
        <v>-52530877.321428381</v>
      </c>
      <c r="R62">
        <f t="shared" ref="R62" si="287">R63+Q62</f>
        <v>38935175.965072773</v>
      </c>
      <c r="S62">
        <f t="shared" ref="S62" si="288">R62/100000</f>
        <v>389.35175965072773</v>
      </c>
      <c r="T62">
        <f t="shared" ref="T62" si="289">S62/1000</f>
        <v>0.38935175965072771</v>
      </c>
    </row>
    <row r="63" spans="1:20" x14ac:dyDescent="0.25">
      <c r="A63" s="5">
        <v>44530</v>
      </c>
      <c r="B63">
        <v>4.8480000000000002E-2</v>
      </c>
      <c r="C63">
        <v>4.947E-2</v>
      </c>
      <c r="D63">
        <v>4.6300000000000001E-2</v>
      </c>
      <c r="E63">
        <v>4.7919999999999997E-2</v>
      </c>
      <c r="F63">
        <v>161405210.30000001</v>
      </c>
      <c r="G63">
        <v>4.7919999999999997E-2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2.2082018927442805E-2</v>
      </c>
      <c r="Q63">
        <f t="shared" ref="Q63" si="291">F63*P63</f>
        <v>3564152.9088324867</v>
      </c>
      <c r="R63">
        <f t="shared" ref="R63" si="292">R64+Q63</f>
        <v>91466053.286501154</v>
      </c>
      <c r="S63">
        <f t="shared" ref="S63" si="293">R63/100000</f>
        <v>914.66053286501153</v>
      </c>
      <c r="T63">
        <f t="shared" ref="T63" si="294">S63/1000</f>
        <v>0.91466053286501148</v>
      </c>
    </row>
    <row r="64" spans="1:20" x14ac:dyDescent="0.25">
      <c r="A64" s="5">
        <v>44529</v>
      </c>
      <c r="B64">
        <v>4.6670000000000003E-2</v>
      </c>
      <c r="C64">
        <v>4.9450000000000001E-2</v>
      </c>
      <c r="D64">
        <v>4.6190000000000002E-2</v>
      </c>
      <c r="E64">
        <v>4.8469999999999999E-2</v>
      </c>
      <c r="F64">
        <v>208213532.69999999</v>
      </c>
      <c r="G64">
        <v>4.8469999999999999E-2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0.39877300613496808</v>
      </c>
      <c r="Q64">
        <f t="shared" ref="Q64" si="296">F64*P64</f>
        <v>83029936.352760479</v>
      </c>
      <c r="R64">
        <f t="shared" ref="R64" si="297">R65+Q64</f>
        <v>87901900.377668664</v>
      </c>
      <c r="S64">
        <f t="shared" ref="S64" si="298">R64/100000</f>
        <v>879.01900377668665</v>
      </c>
      <c r="T64">
        <f t="shared" ref="T64" si="299">S64/1000</f>
        <v>0.87901900377668662</v>
      </c>
    </row>
    <row r="65" spans="1:20" x14ac:dyDescent="0.25">
      <c r="A65" s="5">
        <v>44528</v>
      </c>
      <c r="B65">
        <v>4.6359999999999998E-2</v>
      </c>
      <c r="C65">
        <v>4.6730000000000001E-2</v>
      </c>
      <c r="D65">
        <v>4.2680000000000003E-2</v>
      </c>
      <c r="E65">
        <v>4.6710000000000002E-2</v>
      </c>
      <c r="F65">
        <v>151691282.19999999</v>
      </c>
      <c r="G65">
        <v>4.6710000000000002E-2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0.99012345679012381</v>
      </c>
      <c r="Q65">
        <f t="shared" ref="Q65" si="301">F65*P65</f>
        <v>150193096.69679016</v>
      </c>
      <c r="R65">
        <f t="shared" ref="R65" si="302">R66+Q65</f>
        <v>4871964.024908185</v>
      </c>
      <c r="S65">
        <f t="shared" ref="S65" si="303">R65/100000</f>
        <v>48.719640249081849</v>
      </c>
      <c r="T65">
        <f t="shared" ref="T65" si="304">S65/1000</f>
        <v>4.8719640249081847E-2</v>
      </c>
    </row>
    <row r="66" spans="1:20" x14ac:dyDescent="0.25">
      <c r="A66" s="5">
        <v>44527</v>
      </c>
      <c r="B66">
        <v>4.5159999999999999E-2</v>
      </c>
      <c r="C66">
        <v>4.8030000000000003E-2</v>
      </c>
      <c r="D66">
        <v>4.5069999999999999E-2</v>
      </c>
      <c r="E66">
        <v>4.6379999999999998E-2</v>
      </c>
      <c r="F66">
        <v>136274675</v>
      </c>
      <c r="G66">
        <v>4.6379999999999998E-2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-0.11486486486486705</v>
      </c>
      <c r="Q66">
        <f t="shared" ref="Q66" si="306">F66*P66</f>
        <v>-15653172.128378676</v>
      </c>
      <c r="R66">
        <f t="shared" ref="R66" si="307">R67+Q66</f>
        <v>-145321132.67188197</v>
      </c>
      <c r="S66">
        <f t="shared" ref="S66" si="308">R66/100000</f>
        <v>-1453.2113267188197</v>
      </c>
      <c r="T66">
        <f t="shared" ref="T66" si="309">S66/1000</f>
        <v>-1.4532113267188196</v>
      </c>
    </row>
    <row r="67" spans="1:20" x14ac:dyDescent="0.25">
      <c r="A67" s="5">
        <v>44526</v>
      </c>
      <c r="B67">
        <v>5.008E-2</v>
      </c>
      <c r="C67">
        <v>5.1310000000000001E-2</v>
      </c>
      <c r="D67">
        <v>4.3459999999999999E-2</v>
      </c>
      <c r="E67">
        <v>4.5159999999999999E-2</v>
      </c>
      <c r="F67">
        <v>274418599</v>
      </c>
      <c r="G67">
        <v>4.5159999999999999E-2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-0.56687898089171984</v>
      </c>
      <c r="Q67">
        <f t="shared" ref="Q67" si="311">F67*P67</f>
        <v>-155562135.73885354</v>
      </c>
      <c r="R67">
        <f t="shared" ref="R67" si="312">R68+Q67</f>
        <v>-129667960.5435033</v>
      </c>
      <c r="S67">
        <f t="shared" ref="S67" si="313">R67/100000</f>
        <v>-1296.679605435033</v>
      </c>
      <c r="T67">
        <f t="shared" ref="T67" si="314">S67/1000</f>
        <v>-1.2966796054350329</v>
      </c>
    </row>
    <row r="68" spans="1:20" x14ac:dyDescent="0.25">
      <c r="A68" s="5">
        <v>44525</v>
      </c>
      <c r="B68">
        <v>4.9099999999999998E-2</v>
      </c>
      <c r="C68">
        <v>5.1560000000000002E-2</v>
      </c>
      <c r="D68">
        <v>4.8619999999999997E-2</v>
      </c>
      <c r="E68">
        <v>5.0020000000000002E-2</v>
      </c>
      <c r="F68">
        <v>170379902.90000001</v>
      </c>
      <c r="G68">
        <v>5.0020000000000002E-2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-4.7619047619045597E-2</v>
      </c>
      <c r="Q68">
        <f t="shared" ref="Q68" si="316">F68*P68</f>
        <v>-8113328.7095234655</v>
      </c>
      <c r="R68">
        <f t="shared" ref="R68" si="317">R69+Q68</f>
        <v>25894175.195350248</v>
      </c>
      <c r="S68">
        <f t="shared" ref="S68" si="318">R68/100000</f>
        <v>258.94175195350249</v>
      </c>
      <c r="T68">
        <f t="shared" ref="T68" si="319">S68/1000</f>
        <v>0.2589417519535025</v>
      </c>
    </row>
    <row r="69" spans="1:20" x14ac:dyDescent="0.25">
      <c r="A69" s="5">
        <v>44524</v>
      </c>
      <c r="B69">
        <v>5.126E-2</v>
      </c>
      <c r="C69">
        <v>5.1369999999999999E-2</v>
      </c>
      <c r="D69">
        <v>4.9439999999999998E-2</v>
      </c>
      <c r="E69">
        <v>5.0130000000000001E-2</v>
      </c>
      <c r="F69">
        <v>31973291.699999999</v>
      </c>
      <c r="G69">
        <v>5.0130000000000001E-2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-0.28497409326424589</v>
      </c>
      <c r="Q69">
        <f t="shared" ref="Q69" si="321">F69*P69</f>
        <v>-9111559.8108807392</v>
      </c>
      <c r="R69">
        <f t="shared" ref="R69" si="322">R70+Q69</f>
        <v>34007503.904873714</v>
      </c>
      <c r="S69">
        <f t="shared" ref="S69" si="323">R69/100000</f>
        <v>340.07503904873715</v>
      </c>
      <c r="T69">
        <f t="shared" ref="T69" si="324">S69/1000</f>
        <v>0.34007503904873715</v>
      </c>
    </row>
    <row r="70" spans="1:20" x14ac:dyDescent="0.25">
      <c r="A70" s="5">
        <v>44523</v>
      </c>
      <c r="B70">
        <v>5.1049999999999998E-2</v>
      </c>
      <c r="C70">
        <v>5.2990000000000002E-2</v>
      </c>
      <c r="D70">
        <v>5.0049999999999997E-2</v>
      </c>
      <c r="E70">
        <v>5.1200000000000002E-2</v>
      </c>
      <c r="F70">
        <v>112309309</v>
      </c>
      <c r="G70">
        <v>5.1200000000000002E-2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-0.2176870748299298</v>
      </c>
      <c r="Q70">
        <f t="shared" ref="Q70" si="326">F70*P70</f>
        <v>-24448284.952380709</v>
      </c>
      <c r="R70">
        <f t="shared" ref="R70" si="327">R71+Q70</f>
        <v>43119063.715754457</v>
      </c>
      <c r="S70">
        <f t="shared" ref="S70" si="328">R70/100000</f>
        <v>431.19063715754459</v>
      </c>
      <c r="T70">
        <f t="shared" ref="T70" si="329">S70/1000</f>
        <v>0.43119063715754458</v>
      </c>
    </row>
    <row r="71" spans="1:20" x14ac:dyDescent="0.25">
      <c r="A71" s="5">
        <v>44522</v>
      </c>
      <c r="B71">
        <v>5.314E-2</v>
      </c>
      <c r="C71">
        <v>5.3280000000000001E-2</v>
      </c>
      <c r="D71">
        <v>4.9669999999999999E-2</v>
      </c>
      <c r="E71">
        <v>5.1049999999999998E-2</v>
      </c>
      <c r="F71">
        <v>119086801.2</v>
      </c>
      <c r="G71">
        <v>5.1049999999999998E-2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-0.23545706371191219</v>
      </c>
      <c r="Q71">
        <f t="shared" ref="Q71" si="331">F71*P71</f>
        <v>-28039828.537396222</v>
      </c>
      <c r="R71">
        <f t="shared" ref="R71" si="332">R72+Q71</f>
        <v>67567348.668135166</v>
      </c>
      <c r="S71">
        <f t="shared" ref="S71" si="333">R71/100000</f>
        <v>675.67348668135162</v>
      </c>
      <c r="T71">
        <f t="shared" ref="T71" si="334">S71/1000</f>
        <v>0.67567348668135163</v>
      </c>
    </row>
    <row r="72" spans="1:20" x14ac:dyDescent="0.25">
      <c r="A72" s="5">
        <v>44521</v>
      </c>
      <c r="B72">
        <v>5.3460000000000001E-2</v>
      </c>
      <c r="C72">
        <v>5.4620000000000002E-2</v>
      </c>
      <c r="D72">
        <v>5.2350000000000001E-2</v>
      </c>
      <c r="E72">
        <v>5.3080000000000002E-2</v>
      </c>
      <c r="F72">
        <v>148327750.30000001</v>
      </c>
      <c r="G72">
        <v>5.3080000000000002E-2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-0.35682819383259817</v>
      </c>
      <c r="Q72">
        <f t="shared" ref="Q72" si="336">F72*P72</f>
        <v>-52927523.234801628</v>
      </c>
      <c r="R72">
        <f t="shared" ref="R72" si="337">R73+Q72</f>
        <v>95607177.205531389</v>
      </c>
      <c r="S72">
        <f t="shared" ref="S72" si="338">R72/100000</f>
        <v>956.07177205531389</v>
      </c>
      <c r="T72">
        <f t="shared" ref="T72" si="339">S72/1000</f>
        <v>0.95607177205531391</v>
      </c>
    </row>
    <row r="73" spans="1:20" x14ac:dyDescent="0.25">
      <c r="A73" s="5">
        <v>44520</v>
      </c>
      <c r="B73">
        <v>5.0959999999999998E-2</v>
      </c>
      <c r="C73">
        <v>5.3760000000000002E-2</v>
      </c>
      <c r="D73">
        <v>5.0729999999999997E-2</v>
      </c>
      <c r="E73">
        <v>5.3449999999999998E-2</v>
      </c>
      <c r="F73">
        <v>126534098.90000001</v>
      </c>
      <c r="G73">
        <v>5.3449999999999998E-2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0.79537953795379257</v>
      </c>
      <c r="Q73">
        <f t="shared" ref="Q73" si="341">F73*P73</f>
        <v>100642633.1184815</v>
      </c>
      <c r="R73">
        <f t="shared" ref="R73" si="342">R74+Q73</f>
        <v>148534700.44033301</v>
      </c>
      <c r="S73">
        <f t="shared" ref="S73" si="343">R73/100000</f>
        <v>1485.3470044033302</v>
      </c>
      <c r="T73">
        <f t="shared" ref="T73" si="344">S73/1000</f>
        <v>1.4853470044033301</v>
      </c>
    </row>
    <row r="74" spans="1:20" x14ac:dyDescent="0.25">
      <c r="A74" s="5">
        <v>44519</v>
      </c>
      <c r="B74">
        <v>4.8180000000000001E-2</v>
      </c>
      <c r="C74">
        <v>5.1520000000000003E-2</v>
      </c>
      <c r="D74">
        <v>4.7469999999999998E-2</v>
      </c>
      <c r="E74">
        <v>5.0950000000000002E-2</v>
      </c>
      <c r="F74">
        <v>109993293.40000001</v>
      </c>
      <c r="G74">
        <v>5.0950000000000002E-2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0.71851851851851833</v>
      </c>
      <c r="Q74">
        <f t="shared" ref="Q74" si="346">F74*P74</f>
        <v>79032218.220740721</v>
      </c>
      <c r="R74">
        <f t="shared" ref="R74" si="347">R75+Q74</f>
        <v>47892067.321851492</v>
      </c>
      <c r="S74">
        <f t="shared" ref="S74" si="348">R74/100000</f>
        <v>478.92067321851493</v>
      </c>
      <c r="T74">
        <f t="shared" ref="T74" si="349">S74/1000</f>
        <v>0.47892067321851495</v>
      </c>
    </row>
    <row r="75" spans="1:20" x14ac:dyDescent="0.25">
      <c r="A75" s="5">
        <v>44518</v>
      </c>
      <c r="B75">
        <v>5.3749999999999999E-2</v>
      </c>
      <c r="C75">
        <v>5.4429999999999999E-2</v>
      </c>
      <c r="D75">
        <v>4.7309999999999998E-2</v>
      </c>
      <c r="E75">
        <v>4.8169999999999998E-2</v>
      </c>
      <c r="F75">
        <v>147163109.5</v>
      </c>
      <c r="G75">
        <v>4.8169999999999998E-2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-0.75842696629213502</v>
      </c>
      <c r="Q75">
        <f t="shared" ref="Q75" si="351">F75*P75</f>
        <v>-111612470.68820228</v>
      </c>
      <c r="R75">
        <f t="shared" ref="R75" si="352">R76+Q75</f>
        <v>-31140150.898889229</v>
      </c>
      <c r="S75">
        <f t="shared" ref="S75" si="353">R75/100000</f>
        <v>-311.40150898889226</v>
      </c>
      <c r="T75">
        <f t="shared" ref="T75" si="354">S75/1000</f>
        <v>-0.31140150898889224</v>
      </c>
    </row>
    <row r="76" spans="1:20" x14ac:dyDescent="0.25">
      <c r="A76" s="5">
        <v>44517</v>
      </c>
      <c r="B76">
        <v>5.364E-2</v>
      </c>
      <c r="C76">
        <v>5.4480000000000001E-2</v>
      </c>
      <c r="D76">
        <v>5.0650000000000001E-2</v>
      </c>
      <c r="E76">
        <v>5.3740000000000003E-2</v>
      </c>
      <c r="F76">
        <v>132936512.8</v>
      </c>
      <c r="G76">
        <v>5.3740000000000003E-2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0.61357702349869581</v>
      </c>
      <c r="Q76">
        <f t="shared" ref="Q76" si="356">F76*P76</f>
        <v>81566789.838120267</v>
      </c>
      <c r="R76">
        <f t="shared" ref="R76" si="357">R77+Q76</f>
        <v>80472319.789313048</v>
      </c>
      <c r="S76">
        <f t="shared" ref="S76" si="358">R76/100000</f>
        <v>804.72319789313053</v>
      </c>
      <c r="T76">
        <f t="shared" ref="T76" si="359">S76/1000</f>
        <v>0.80472319789313052</v>
      </c>
    </row>
    <row r="77" spans="1:20" x14ac:dyDescent="0.25">
      <c r="A77" s="5">
        <v>44516</v>
      </c>
      <c r="B77">
        <v>5.944E-2</v>
      </c>
      <c r="C77">
        <v>5.9490000000000001E-2</v>
      </c>
      <c r="D77">
        <v>5.0029999999999998E-2</v>
      </c>
      <c r="E77">
        <v>5.3650000000000003E-2</v>
      </c>
      <c r="F77">
        <v>222764165.80000001</v>
      </c>
      <c r="G77">
        <v>5.3650000000000003E-2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-0.23467230443974546</v>
      </c>
      <c r="Q77">
        <f t="shared" ref="Q77" si="361">F77*P77</f>
        <v>-52276580.134883538</v>
      </c>
      <c r="R77">
        <f t="shared" ref="R77" si="362">R78+Q77</f>
        <v>-1094470.0488072187</v>
      </c>
      <c r="S77">
        <f t="shared" ref="S77" si="363">R77/100000</f>
        <v>-10.944700488072186</v>
      </c>
      <c r="T77">
        <f t="shared" ref="T77" si="364">S77/1000</f>
        <v>-1.0944700488072187E-2</v>
      </c>
    </row>
    <row r="78" spans="1:20" x14ac:dyDescent="0.25">
      <c r="A78" s="5">
        <v>44515</v>
      </c>
      <c r="B78">
        <v>6.1600000000000002E-2</v>
      </c>
      <c r="C78">
        <v>6.1949999999999998E-2</v>
      </c>
      <c r="D78">
        <v>5.8360000000000002E-2</v>
      </c>
      <c r="E78">
        <v>5.9479999999999998E-2</v>
      </c>
      <c r="F78">
        <v>127930926.8</v>
      </c>
      <c r="G78">
        <v>5.9479999999999998E-2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-0.37604456824512689</v>
      </c>
      <c r="Q78">
        <f t="shared" ref="Q78" si="366">F78*P78</f>
        <v>-48107730.133704931</v>
      </c>
      <c r="R78">
        <f t="shared" ref="R78" si="367">R79+Q78</f>
        <v>51182110.086076319</v>
      </c>
      <c r="S78">
        <f t="shared" ref="S78" si="368">R78/100000</f>
        <v>511.82110086076318</v>
      </c>
      <c r="T78">
        <f t="shared" ref="T78" si="369">S78/1000</f>
        <v>0.51182110086076316</v>
      </c>
    </row>
    <row r="79" spans="1:20" x14ac:dyDescent="0.25">
      <c r="A79" s="5">
        <v>44514</v>
      </c>
      <c r="B79">
        <v>6.3210000000000002E-2</v>
      </c>
      <c r="C79">
        <v>6.4399999999999999E-2</v>
      </c>
      <c r="D79">
        <v>6.0600000000000001E-2</v>
      </c>
      <c r="E79">
        <v>6.1550000000000001E-2</v>
      </c>
      <c r="F79">
        <v>104593592.2</v>
      </c>
      <c r="G79">
        <v>6.1550000000000001E-2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-0.5</v>
      </c>
      <c r="Q79">
        <f t="shared" ref="Q79" si="371">F79*P79</f>
        <v>-52296796.100000001</v>
      </c>
      <c r="R79">
        <f t="shared" ref="R79" si="372">R80+Q79</f>
        <v>99289840.21978125</v>
      </c>
      <c r="S79">
        <f t="shared" ref="S79" si="373">R79/100000</f>
        <v>992.89840219781252</v>
      </c>
      <c r="T79">
        <f t="shared" ref="T79" si="374">S79/1000</f>
        <v>0.99289840219781256</v>
      </c>
    </row>
    <row r="80" spans="1:20" x14ac:dyDescent="0.25">
      <c r="A80" s="5">
        <v>44513</v>
      </c>
      <c r="B80">
        <v>6.2480000000000001E-2</v>
      </c>
      <c r="C80">
        <v>6.6110000000000002E-2</v>
      </c>
      <c r="D80">
        <v>6.1490000000000003E-2</v>
      </c>
      <c r="E80">
        <v>6.3219999999999998E-2</v>
      </c>
      <c r="F80">
        <v>220004954.09999999</v>
      </c>
      <c r="G80">
        <v>6.3219999999999998E-2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-0.25108225108225291</v>
      </c>
      <c r="Q80">
        <f t="shared" ref="Q80" si="376">F80*P80</f>
        <v>-55239339.124675721</v>
      </c>
      <c r="R80">
        <f t="shared" ref="R80" si="377">R81+Q80</f>
        <v>151586636.31978124</v>
      </c>
      <c r="S80">
        <f t="shared" ref="S80" si="378">R80/100000</f>
        <v>1515.8663631978125</v>
      </c>
      <c r="T80">
        <f t="shared" ref="T80" si="379">S80/1000</f>
        <v>1.5158663631978124</v>
      </c>
    </row>
    <row r="81" spans="1:20" x14ac:dyDescent="0.25">
      <c r="A81" s="5">
        <v>44512</v>
      </c>
      <c r="B81">
        <v>6.6960000000000006E-2</v>
      </c>
      <c r="C81">
        <v>7.009E-2</v>
      </c>
      <c r="D81">
        <v>5.9769999999999997E-2</v>
      </c>
      <c r="E81">
        <v>6.2530000000000002E-2</v>
      </c>
      <c r="F81">
        <v>481299926.30000001</v>
      </c>
      <c r="G81">
        <v>6.2530000000000002E-2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-0.46511627906976649</v>
      </c>
      <c r="Q81">
        <f t="shared" ref="Q81" si="381">F81*P81</f>
        <v>-223860430.83720884</v>
      </c>
      <c r="R81">
        <f t="shared" ref="R81" si="382">R82+Q81</f>
        <v>206825975.44445696</v>
      </c>
      <c r="S81">
        <f t="shared" ref="S81" si="383">R81/100000</f>
        <v>2068.2597544445698</v>
      </c>
      <c r="T81">
        <f t="shared" ref="T81" si="384">S81/1000</f>
        <v>2.0682597544445698</v>
      </c>
    </row>
    <row r="82" spans="1:20" x14ac:dyDescent="0.25">
      <c r="A82" s="5">
        <v>44511</v>
      </c>
      <c r="B82">
        <v>5.4690000000000003E-2</v>
      </c>
      <c r="C82">
        <v>6.8000000000000005E-2</v>
      </c>
      <c r="D82">
        <v>5.3589999999999999E-2</v>
      </c>
      <c r="E82">
        <v>6.6989999999999994E-2</v>
      </c>
      <c r="F82">
        <v>639621168.89999998</v>
      </c>
      <c r="G82">
        <v>6.6989999999999994E-2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0.85981956974323237</v>
      </c>
      <c r="Q82">
        <f t="shared" ref="Q82" si="386">F82*P82</f>
        <v>549958798.24226129</v>
      </c>
      <c r="R82">
        <f t="shared" ref="R82" si="387">R83+Q82</f>
        <v>430686406.2816658</v>
      </c>
      <c r="S82">
        <f t="shared" ref="S82" si="388">R82/100000</f>
        <v>4306.8640628166577</v>
      </c>
      <c r="T82">
        <f t="shared" ref="T82" si="389">S82/1000</f>
        <v>4.3068640628166577</v>
      </c>
    </row>
    <row r="83" spans="1:20" x14ac:dyDescent="0.25">
      <c r="A83" s="5">
        <v>44510</v>
      </c>
      <c r="B83">
        <v>5.6259999999999998E-2</v>
      </c>
      <c r="C83">
        <v>6.2850000000000003E-2</v>
      </c>
      <c r="D83">
        <v>5.126E-2</v>
      </c>
      <c r="E83">
        <v>5.4699999999999999E-2</v>
      </c>
      <c r="F83">
        <v>361139500.19999999</v>
      </c>
      <c r="G83">
        <v>5.4699999999999999E-2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-0.40638481449525493</v>
      </c>
      <c r="Q83">
        <f t="shared" ref="Q83" si="391">F83*P83</f>
        <v>-146761608.79568607</v>
      </c>
      <c r="R83">
        <f t="shared" ref="R83" si="392">R84+Q83</f>
        <v>-119272391.96059549</v>
      </c>
      <c r="S83">
        <f t="shared" ref="S83" si="393">R83/100000</f>
        <v>-1192.723919605955</v>
      </c>
      <c r="T83">
        <f t="shared" ref="T83" si="394">S83/1000</f>
        <v>-1.1927239196059549</v>
      </c>
    </row>
    <row r="84" spans="1:20" x14ac:dyDescent="0.25">
      <c r="A84" s="5">
        <v>44509</v>
      </c>
      <c r="B84">
        <v>5.5169999999999997E-2</v>
      </c>
      <c r="C84">
        <v>5.7700000000000001E-2</v>
      </c>
      <c r="D84">
        <v>5.4699999999999999E-2</v>
      </c>
      <c r="E84">
        <v>5.6259999999999998E-2</v>
      </c>
      <c r="F84">
        <v>172845857.09999999</v>
      </c>
      <c r="G84">
        <v>5.6259999999999998E-2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3.9999999999998335E-2</v>
      </c>
      <c r="Q84">
        <f t="shared" ref="Q84" si="396">F84*P84</f>
        <v>6913834.2839997122</v>
      </c>
      <c r="R84">
        <f t="shared" ref="R84" si="397">R85+Q84</f>
        <v>27489216.835090585</v>
      </c>
      <c r="S84">
        <f t="shared" ref="S84" si="398">R84/100000</f>
        <v>274.89216835090588</v>
      </c>
      <c r="T84">
        <f t="shared" ref="T84" si="399">S84/1000</f>
        <v>0.27489216835090585</v>
      </c>
    </row>
    <row r="85" spans="1:20" x14ac:dyDescent="0.25">
      <c r="A85" s="5">
        <v>44508</v>
      </c>
      <c r="B85">
        <v>5.4199999999999998E-2</v>
      </c>
      <c r="C85">
        <v>5.5890000000000002E-2</v>
      </c>
      <c r="D85">
        <v>5.3650000000000003E-2</v>
      </c>
      <c r="E85">
        <v>5.5199999999999999E-2</v>
      </c>
      <c r="F85">
        <v>169123613.30000001</v>
      </c>
      <c r="G85">
        <v>5.5199999999999999E-2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0.38392857142856834</v>
      </c>
      <c r="Q85">
        <f t="shared" ref="Q85" si="401">F85*P85</f>
        <v>64931387.249106623</v>
      </c>
      <c r="R85">
        <f t="shared" ref="R85" si="402">R86+Q85</f>
        <v>20575382.551090874</v>
      </c>
      <c r="S85">
        <f t="shared" ref="S85" si="403">R85/100000</f>
        <v>205.75382551090874</v>
      </c>
      <c r="T85">
        <f t="shared" ref="T85" si="404">S85/1000</f>
        <v>0.20575382551090873</v>
      </c>
    </row>
    <row r="86" spans="1:20" x14ac:dyDescent="0.25">
      <c r="A86" s="5">
        <v>44507</v>
      </c>
      <c r="B86">
        <v>5.2859999999999997E-2</v>
      </c>
      <c r="C86">
        <v>5.4760000000000003E-2</v>
      </c>
      <c r="D86">
        <v>5.2290000000000003E-2</v>
      </c>
      <c r="E86">
        <v>5.4190000000000002E-2</v>
      </c>
      <c r="F86">
        <v>101258356.8</v>
      </c>
      <c r="G86">
        <v>5.4190000000000002E-2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0.53846153846153755</v>
      </c>
      <c r="Q86">
        <f t="shared" ref="Q86" si="406">F86*P86</f>
        <v>54523730.58461529</v>
      </c>
      <c r="R86">
        <f t="shared" ref="R86" si="407">R87+Q86</f>
        <v>-44356004.698015749</v>
      </c>
      <c r="S86">
        <f t="shared" ref="S86" si="408">R86/100000</f>
        <v>-443.56004698015749</v>
      </c>
      <c r="T86">
        <f t="shared" ref="T86" si="409">S86/1000</f>
        <v>-0.4435600469801575</v>
      </c>
    </row>
    <row r="87" spans="1:20" x14ac:dyDescent="0.25">
      <c r="A87" s="5">
        <v>44506</v>
      </c>
      <c r="B87">
        <v>5.321E-2</v>
      </c>
      <c r="C87">
        <v>5.3679999999999999E-2</v>
      </c>
      <c r="D87">
        <v>5.0970000000000001E-2</v>
      </c>
      <c r="E87">
        <v>5.2850000000000001E-2</v>
      </c>
      <c r="F87">
        <v>140978294.80000001</v>
      </c>
      <c r="G87">
        <v>5.2850000000000001E-2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0.38745387453874663</v>
      </c>
      <c r="Q87">
        <f t="shared" ref="Q87" si="411">F87*P87</f>
        <v>54622586.546125643</v>
      </c>
      <c r="R87">
        <f t="shared" ref="R87" si="412">R88+Q87</f>
        <v>-98879735.28263104</v>
      </c>
      <c r="S87">
        <f t="shared" ref="S87" si="413">R87/100000</f>
        <v>-988.79735282631043</v>
      </c>
      <c r="T87">
        <f t="shared" ref="T87" si="414">S87/1000</f>
        <v>-0.98879735282631043</v>
      </c>
    </row>
    <row r="88" spans="1:20" x14ac:dyDescent="0.25">
      <c r="A88" s="5">
        <v>44505</v>
      </c>
      <c r="B88">
        <v>5.4789999999999998E-2</v>
      </c>
      <c r="C88">
        <v>5.5960000000000003E-2</v>
      </c>
      <c r="D88">
        <v>5.2429999999999997E-2</v>
      </c>
      <c r="E88">
        <v>5.323E-2</v>
      </c>
      <c r="F88">
        <v>183808639.30000001</v>
      </c>
      <c r="G88">
        <v>5.323E-2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-0.54674220963172759</v>
      </c>
      <c r="Q88">
        <f t="shared" ref="Q88" si="416">F88*P88</f>
        <v>-100495941.60028321</v>
      </c>
      <c r="R88">
        <f t="shared" ref="R88" si="417">R89+Q88</f>
        <v>-153502321.82875669</v>
      </c>
      <c r="S88">
        <f t="shared" ref="S88" si="418">R88/100000</f>
        <v>-1535.0232182875668</v>
      </c>
      <c r="T88">
        <f t="shared" ref="T88" si="419">S88/1000</f>
        <v>-1.5350232182875667</v>
      </c>
    </row>
    <row r="89" spans="1:20" x14ac:dyDescent="0.25">
      <c r="A89" s="5">
        <v>44504</v>
      </c>
      <c r="B89">
        <v>5.457E-2</v>
      </c>
      <c r="C89">
        <v>5.9459999999999999E-2</v>
      </c>
      <c r="D89">
        <v>5.3609999999999998E-2</v>
      </c>
      <c r="E89">
        <v>5.4829999999999997E-2</v>
      </c>
      <c r="F89">
        <v>250431520.09999999</v>
      </c>
      <c r="G89">
        <v>5.4829999999999997E-2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-0.58290598290598339</v>
      </c>
      <c r="Q89">
        <f t="shared" ref="Q89" si="421">F89*P89</f>
        <v>-145978031.37453002</v>
      </c>
      <c r="R89">
        <f t="shared" ref="R89" si="422">R90+Q89</f>
        <v>-53006380.228473485</v>
      </c>
      <c r="S89">
        <f t="shared" ref="S89" si="423">R89/100000</f>
        <v>-530.06380228473483</v>
      </c>
      <c r="T89">
        <f t="shared" ref="T89" si="424">S89/1000</f>
        <v>-0.53006380228473482</v>
      </c>
    </row>
    <row r="90" spans="1:20" x14ac:dyDescent="0.25">
      <c r="A90" s="5">
        <v>44503</v>
      </c>
      <c r="B90">
        <v>5.731E-2</v>
      </c>
      <c r="C90">
        <v>5.7689999999999998E-2</v>
      </c>
      <c r="D90">
        <v>5.3010000000000002E-2</v>
      </c>
      <c r="E90">
        <v>5.4600000000000003E-2</v>
      </c>
      <c r="F90">
        <v>165378663</v>
      </c>
      <c r="G90">
        <v>5.4600000000000003E-2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-0.32051282051281954</v>
      </c>
      <c r="Q90">
        <f t="shared" ref="Q90" si="426">F90*P90</f>
        <v>-53005981.730769068</v>
      </c>
      <c r="R90">
        <f t="shared" ref="R90" si="427">R91+Q90</f>
        <v>92971651.146056533</v>
      </c>
      <c r="S90">
        <f t="shared" ref="S90" si="428">R90/100000</f>
        <v>929.71651146056536</v>
      </c>
      <c r="T90">
        <f t="shared" ref="T90" si="429">S90/1000</f>
        <v>0.92971651146056533</v>
      </c>
    </row>
    <row r="91" spans="1:20" x14ac:dyDescent="0.25">
      <c r="A91" s="5">
        <v>44502</v>
      </c>
      <c r="B91">
        <v>5.4760000000000003E-2</v>
      </c>
      <c r="C91">
        <v>6.071E-2</v>
      </c>
      <c r="D91">
        <v>5.3990000000000003E-2</v>
      </c>
      <c r="E91">
        <v>5.7299999999999997E-2</v>
      </c>
      <c r="F91">
        <v>341028947.89999998</v>
      </c>
      <c r="G91">
        <v>5.7299999999999997E-2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-1.4880952380953848E-2</v>
      </c>
      <c r="Q91">
        <f t="shared" ref="Q91" si="431">F91*P91</f>
        <v>-5074835.5342266904</v>
      </c>
      <c r="R91">
        <f t="shared" ref="R91" si="432">R92+Q91</f>
        <v>145977632.8768256</v>
      </c>
      <c r="S91">
        <f t="shared" ref="S91" si="433">R91/100000</f>
        <v>1459.776328768256</v>
      </c>
      <c r="T91">
        <f t="shared" ref="T91" si="434">S91/1000</f>
        <v>1.4597763287682559</v>
      </c>
    </row>
    <row r="92" spans="1:20" x14ac:dyDescent="0.25">
      <c r="A92" s="5">
        <v>44501</v>
      </c>
      <c r="B92">
        <v>5.7500000000000002E-2</v>
      </c>
      <c r="C92">
        <v>5.7790000000000001E-2</v>
      </c>
      <c r="D92">
        <v>5.1279999999999999E-2</v>
      </c>
      <c r="E92">
        <v>5.4760000000000003E-2</v>
      </c>
      <c r="F92">
        <v>370038440.69999999</v>
      </c>
      <c r="G92">
        <v>5.4760000000000003E-2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6.9124423963134535E-2</v>
      </c>
      <c r="Q92">
        <f t="shared" ref="Q92" si="436">F92*P92</f>
        <v>25578694.057604015</v>
      </c>
      <c r="R92">
        <f t="shared" ref="R92" si="437">R93+Q92</f>
        <v>151052468.41105229</v>
      </c>
      <c r="S92">
        <f t="shared" ref="S92" si="438">R92/100000</f>
        <v>1510.5246841105229</v>
      </c>
      <c r="T92">
        <f t="shared" ref="T92" si="439">S92/1000</f>
        <v>1.5105246841105229</v>
      </c>
    </row>
    <row r="93" spans="1:20" x14ac:dyDescent="0.25">
      <c r="A93" s="5">
        <v>44500</v>
      </c>
      <c r="B93">
        <v>4.9889999999999997E-2</v>
      </c>
      <c r="C93">
        <v>7.3999999999999996E-2</v>
      </c>
      <c r="D93">
        <v>4.9230000000000003E-2</v>
      </c>
      <c r="E93">
        <v>5.7489999999999999E-2</v>
      </c>
      <c r="F93">
        <v>2015924017.5999999</v>
      </c>
      <c r="G93">
        <v>5.7489999999999999E-2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-0.3330641905530885</v>
      </c>
      <c r="Q93">
        <f t="shared" ref="Q93" si="441">F93*P93</f>
        <v>-671432101.13847411</v>
      </c>
      <c r="R93">
        <f t="shared" ref="R93" si="442">R94+Q93</f>
        <v>125473774.35344827</v>
      </c>
      <c r="S93">
        <f t="shared" ref="S93" si="443">R93/100000</f>
        <v>1254.7377435344827</v>
      </c>
      <c r="T93">
        <f t="shared" ref="T93" si="444">S93/1000</f>
        <v>1.2547377435344826</v>
      </c>
    </row>
    <row r="94" spans="1:20" x14ac:dyDescent="0.25">
      <c r="A94" s="5">
        <v>44499</v>
      </c>
      <c r="B94">
        <v>4.7169999999999997E-2</v>
      </c>
      <c r="C94">
        <v>5.092E-2</v>
      </c>
      <c r="D94">
        <v>4.5699999999999998E-2</v>
      </c>
      <c r="E94">
        <v>4.9889999999999997E-2</v>
      </c>
      <c r="F94">
        <v>246456806.69999999</v>
      </c>
      <c r="G94">
        <v>4.9889999999999997E-2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0.6053639846743285</v>
      </c>
      <c r="Q94">
        <f t="shared" ref="Q94" si="446">F94*P94</f>
        <v>149196074.55402273</v>
      </c>
      <c r="R94">
        <f t="shared" ref="R94" si="447">R95+Q94</f>
        <v>796905875.49192238</v>
      </c>
      <c r="S94">
        <f t="shared" ref="S94" si="448">R94/100000</f>
        <v>7969.0587549192242</v>
      </c>
      <c r="T94">
        <f t="shared" ref="T94" si="449">S94/1000</f>
        <v>7.9690587549192244</v>
      </c>
    </row>
    <row r="95" spans="1:20" x14ac:dyDescent="0.25">
      <c r="A95" s="5">
        <v>44498</v>
      </c>
      <c r="B95">
        <v>4.6080000000000003E-2</v>
      </c>
      <c r="C95">
        <v>4.7879999999999999E-2</v>
      </c>
      <c r="D95">
        <v>4.5659999999999999E-2</v>
      </c>
      <c r="E95">
        <v>4.718E-2</v>
      </c>
      <c r="F95">
        <v>136380560.59999999</v>
      </c>
      <c r="G95">
        <v>4.718E-2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0.36936936936936998</v>
      </c>
      <c r="Q95">
        <f t="shared" ref="Q95" si="451">F95*P95</f>
        <v>50374801.663063146</v>
      </c>
      <c r="R95">
        <f t="shared" ref="R95" si="452">R96+Q95</f>
        <v>647709800.93789971</v>
      </c>
      <c r="S95">
        <f t="shared" ref="S95" si="453">R95/100000</f>
        <v>6477.0980093789967</v>
      </c>
      <c r="T95">
        <f t="shared" ref="T95" si="454">S95/1000</f>
        <v>6.4770980093789969</v>
      </c>
    </row>
    <row r="96" spans="1:20" x14ac:dyDescent="0.25">
      <c r="A96" s="5">
        <v>44497</v>
      </c>
      <c r="B96">
        <v>4.444E-2</v>
      </c>
      <c r="C96">
        <v>4.8410000000000002E-2</v>
      </c>
      <c r="D96">
        <v>4.3999999999999997E-2</v>
      </c>
      <c r="E96">
        <v>4.6050000000000001E-2</v>
      </c>
      <c r="F96">
        <v>254822090.69999999</v>
      </c>
      <c r="G96">
        <v>4.6050000000000001E-2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-7.0294784580498301E-2</v>
      </c>
      <c r="Q96">
        <f t="shared" ref="Q96" si="456">F96*P96</f>
        <v>-17912663.972108699</v>
      </c>
      <c r="R96">
        <f t="shared" ref="R96" si="457">R97+Q96</f>
        <v>597334999.27483654</v>
      </c>
      <c r="S96">
        <f t="shared" ref="S96" si="458">R96/100000</f>
        <v>5973.3499927483654</v>
      </c>
      <c r="T96">
        <f t="shared" ref="T96" si="459">S96/1000</f>
        <v>5.9733499927483651</v>
      </c>
    </row>
    <row r="97" spans="1:20" x14ac:dyDescent="0.25">
      <c r="A97" s="5">
        <v>44496</v>
      </c>
      <c r="B97">
        <v>5.101E-2</v>
      </c>
      <c r="C97">
        <v>5.2220000000000003E-2</v>
      </c>
      <c r="D97">
        <v>4.333E-2</v>
      </c>
      <c r="E97">
        <v>4.4389999999999999E-2</v>
      </c>
      <c r="F97">
        <v>245526278</v>
      </c>
      <c r="G97">
        <v>4.4389999999999999E-2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-0.76152980877390364</v>
      </c>
      <c r="Q97">
        <f t="shared" ref="Q97" si="461">F97*P97</f>
        <v>-186975579.53430831</v>
      </c>
      <c r="R97">
        <f t="shared" ref="R97" si="462">R98+Q97</f>
        <v>615247663.24694526</v>
      </c>
      <c r="S97">
        <f t="shared" ref="S97" si="463">R97/100000</f>
        <v>6152.4766324694529</v>
      </c>
      <c r="T97">
        <f t="shared" ref="T97" si="464">S97/1000</f>
        <v>6.1524766324694529</v>
      </c>
    </row>
    <row r="98" spans="1:20" x14ac:dyDescent="0.25">
      <c r="A98" s="5">
        <v>44495</v>
      </c>
      <c r="B98">
        <v>5.0099999999999999E-2</v>
      </c>
      <c r="C98">
        <v>5.2979999999999999E-2</v>
      </c>
      <c r="D98">
        <v>4.9520000000000002E-2</v>
      </c>
      <c r="E98">
        <v>5.1020000000000003E-2</v>
      </c>
      <c r="F98">
        <v>206806076.59999999</v>
      </c>
      <c r="G98">
        <v>5.1020000000000003E-2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-0.1329479768786114</v>
      </c>
      <c r="Q98">
        <f t="shared" ref="Q98" si="466">F98*P98</f>
        <v>-27494449.490173139</v>
      </c>
      <c r="R98">
        <f t="shared" ref="R98" si="467">R99+Q98</f>
        <v>802223242.78125358</v>
      </c>
      <c r="S98">
        <f t="shared" ref="S98" si="468">R98/100000</f>
        <v>8022.2324278125361</v>
      </c>
      <c r="T98">
        <f t="shared" ref="T98" si="469">S98/1000</f>
        <v>8.0222324278125363</v>
      </c>
    </row>
    <row r="99" spans="1:20" x14ac:dyDescent="0.25">
      <c r="A99" s="5">
        <v>44494</v>
      </c>
      <c r="B99">
        <v>4.8779999999999997E-2</v>
      </c>
      <c r="C99">
        <v>5.0430000000000003E-2</v>
      </c>
      <c r="D99">
        <v>4.861E-2</v>
      </c>
      <c r="E99">
        <v>5.0070000000000003E-2</v>
      </c>
      <c r="F99">
        <v>116841415.59999999</v>
      </c>
      <c r="G99">
        <v>5.0070000000000003E-2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0.60439560439560569</v>
      </c>
      <c r="Q99">
        <f t="shared" ref="Q99" si="471">F99*P99</f>
        <v>70618438.000000149</v>
      </c>
      <c r="R99">
        <f t="shared" ref="R99" si="472">R100+Q99</f>
        <v>829717692.27142668</v>
      </c>
      <c r="S99">
        <f t="shared" ref="S99" si="473">R99/100000</f>
        <v>8297.1769227142668</v>
      </c>
      <c r="T99">
        <f t="shared" ref="T99" si="474">S99/1000</f>
        <v>8.2971769227142662</v>
      </c>
    </row>
    <row r="100" spans="1:20" x14ac:dyDescent="0.25">
      <c r="A100" s="5">
        <v>44493</v>
      </c>
      <c r="B100">
        <v>5.142E-2</v>
      </c>
      <c r="C100">
        <v>5.1459999999999999E-2</v>
      </c>
      <c r="D100">
        <v>4.8009999999999997E-2</v>
      </c>
      <c r="E100">
        <v>4.8759999999999998E-2</v>
      </c>
      <c r="F100">
        <v>106601014.09999999</v>
      </c>
      <c r="G100">
        <v>4.8759999999999998E-2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-0.56521739130434767</v>
      </c>
      <c r="Q100">
        <f t="shared" ref="Q100" si="476">F100*P100</f>
        <v>-60252747.099999979</v>
      </c>
      <c r="R100">
        <f t="shared" ref="R100" si="477">R101+Q100</f>
        <v>759099254.27142656</v>
      </c>
      <c r="S100">
        <f t="shared" ref="S100" si="478">R100/100000</f>
        <v>7590.9925427142653</v>
      </c>
      <c r="T100">
        <f t="shared" ref="T100" si="479">S100/1000</f>
        <v>7.5909925427142655</v>
      </c>
    </row>
    <row r="101" spans="1:20" x14ac:dyDescent="0.25">
      <c r="A101" s="5">
        <v>44492</v>
      </c>
      <c r="B101">
        <v>5.1470000000000002E-2</v>
      </c>
      <c r="C101">
        <v>5.1950000000000003E-2</v>
      </c>
      <c r="D101">
        <v>5.042E-2</v>
      </c>
      <c r="E101">
        <v>5.142E-2</v>
      </c>
      <c r="F101">
        <v>71197035.400000006</v>
      </c>
      <c r="G101">
        <v>5.142E-2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0.30718954248365821</v>
      </c>
      <c r="Q101">
        <f t="shared" ref="Q101" si="481">F101*P101</f>
        <v>21870984.730718818</v>
      </c>
      <c r="R101">
        <f t="shared" ref="R101" si="482">R102+Q101</f>
        <v>819352001.37142658</v>
      </c>
      <c r="S101">
        <f t="shared" ref="S101" si="483">R101/100000</f>
        <v>8193.5200137142656</v>
      </c>
      <c r="T101">
        <f t="shared" ref="T101" si="484">S101/1000</f>
        <v>8.1935200137142647</v>
      </c>
    </row>
    <row r="102" spans="1:20" x14ac:dyDescent="0.25">
      <c r="A102" s="5">
        <v>44491</v>
      </c>
      <c r="B102">
        <v>5.2519999999999997E-2</v>
      </c>
      <c r="C102">
        <v>5.2999999999999999E-2</v>
      </c>
      <c r="D102">
        <v>5.0590000000000003E-2</v>
      </c>
      <c r="E102">
        <v>5.1450000000000003E-2</v>
      </c>
      <c r="F102">
        <v>127013417.59999999</v>
      </c>
      <c r="G102">
        <v>5.1450000000000003E-2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-0.28630705394190764</v>
      </c>
      <c r="Q102">
        <f t="shared" ref="Q102" si="486">F102*P102</f>
        <v>-36364837.404149242</v>
      </c>
      <c r="R102">
        <f t="shared" ref="R102" si="487">R103+Q102</f>
        <v>797481016.64070773</v>
      </c>
      <c r="S102">
        <f t="shared" ref="S102" si="488">R102/100000</f>
        <v>7974.8101664070773</v>
      </c>
      <c r="T102">
        <f t="shared" ref="T102" si="489">S102/1000</f>
        <v>7.9748101664070772</v>
      </c>
    </row>
    <row r="103" spans="1:20" x14ac:dyDescent="0.25">
      <c r="A103" s="5">
        <v>44490</v>
      </c>
      <c r="B103">
        <v>5.0950000000000002E-2</v>
      </c>
      <c r="C103">
        <v>5.5E-2</v>
      </c>
      <c r="D103">
        <v>4.9369999999999997E-2</v>
      </c>
      <c r="E103">
        <v>5.2499999999999998E-2</v>
      </c>
      <c r="F103">
        <v>312523358.60000002</v>
      </c>
      <c r="G103">
        <v>5.2499999999999998E-2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0.11190053285967998</v>
      </c>
      <c r="Q103">
        <f t="shared" ref="Q103" si="491">F103*P103</f>
        <v>34971530.358436853</v>
      </c>
      <c r="R103">
        <f t="shared" ref="R103" si="492">R104+Q103</f>
        <v>833845854.04485703</v>
      </c>
      <c r="S103">
        <f t="shared" ref="S103" si="493">R103/100000</f>
        <v>8338.4585404485697</v>
      </c>
      <c r="T103">
        <f t="shared" ref="T103" si="494">S103/1000</f>
        <v>8.3384585404485705</v>
      </c>
    </row>
    <row r="104" spans="1:20" x14ac:dyDescent="0.25">
      <c r="A104" s="5">
        <v>44489</v>
      </c>
      <c r="B104">
        <v>4.8379999999999999E-2</v>
      </c>
      <c r="C104">
        <v>5.2060000000000002E-2</v>
      </c>
      <c r="D104">
        <v>4.7710000000000002E-2</v>
      </c>
      <c r="E104">
        <v>5.0990000000000001E-2</v>
      </c>
      <c r="F104">
        <v>133656093.2</v>
      </c>
      <c r="G104">
        <v>5.0990000000000001E-2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0.50804597701149357</v>
      </c>
      <c r="Q104">
        <f t="shared" ref="Q104" si="496">F104*P104</f>
        <v>67903440.453333244</v>
      </c>
      <c r="R104">
        <f t="shared" ref="R104" si="497">R105+Q104</f>
        <v>798874323.6864202</v>
      </c>
      <c r="S104">
        <f t="shared" ref="S104" si="498">R104/100000</f>
        <v>7988.7432368642021</v>
      </c>
      <c r="T104">
        <f t="shared" ref="T104" si="499">S104/1000</f>
        <v>7.9887432368642024</v>
      </c>
    </row>
    <row r="105" spans="1:20" x14ac:dyDescent="0.25">
      <c r="A105" s="5">
        <v>44488</v>
      </c>
      <c r="B105">
        <v>4.8669999999999998E-2</v>
      </c>
      <c r="C105">
        <v>4.9119999999999997E-2</v>
      </c>
      <c r="D105">
        <v>4.7539999999999999E-2</v>
      </c>
      <c r="E105">
        <v>4.8370000000000003E-2</v>
      </c>
      <c r="F105">
        <v>91930060</v>
      </c>
      <c r="G105">
        <v>4.8370000000000003E-2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5.0632911392411849E-2</v>
      </c>
      <c r="Q105">
        <f t="shared" ref="Q105" si="501">F105*P105</f>
        <v>4654686.5822791047</v>
      </c>
      <c r="R105">
        <f t="shared" ref="R105" si="502">R106+Q105</f>
        <v>730970883.23308694</v>
      </c>
      <c r="S105">
        <f t="shared" ref="S105" si="503">R105/100000</f>
        <v>7309.7088323308699</v>
      </c>
      <c r="T105">
        <f t="shared" ref="T105" si="504">S105/1000</f>
        <v>7.3097088323308697</v>
      </c>
    </row>
    <row r="106" spans="1:20" x14ac:dyDescent="0.25">
      <c r="A106" s="5">
        <v>44487</v>
      </c>
      <c r="B106">
        <v>5.0180000000000002E-2</v>
      </c>
      <c r="C106">
        <v>5.074E-2</v>
      </c>
      <c r="D106">
        <v>4.7840000000000001E-2</v>
      </c>
      <c r="E106">
        <v>4.87E-2</v>
      </c>
      <c r="F106">
        <v>114451008.40000001</v>
      </c>
      <c r="G106">
        <v>4.87E-2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-0.40689655172413813</v>
      </c>
      <c r="Q106">
        <f t="shared" ref="Q106" si="506">F106*P106</f>
        <v>-46569720.659310371</v>
      </c>
      <c r="R106">
        <f t="shared" ref="R106" si="507">R107+Q106</f>
        <v>726316196.65080786</v>
      </c>
      <c r="S106">
        <f t="shared" ref="S106" si="508">R106/100000</f>
        <v>7263.1619665080789</v>
      </c>
      <c r="T106">
        <f t="shared" ref="T106" si="509">S106/1000</f>
        <v>7.2631619665080791</v>
      </c>
    </row>
    <row r="107" spans="1:20" x14ac:dyDescent="0.25">
      <c r="A107" s="5">
        <v>44486</v>
      </c>
      <c r="B107">
        <v>5.0549999999999998E-2</v>
      </c>
      <c r="C107">
        <v>5.3120000000000001E-2</v>
      </c>
      <c r="D107">
        <v>4.811E-2</v>
      </c>
      <c r="E107">
        <v>5.0139999999999997E-2</v>
      </c>
      <c r="F107">
        <v>138078485.30000001</v>
      </c>
      <c r="G107">
        <v>5.0139999999999997E-2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-0.1896207584830352</v>
      </c>
      <c r="Q107">
        <f t="shared" ref="Q107" si="511">F107*P107</f>
        <v>-26182547.112774629</v>
      </c>
      <c r="R107">
        <f t="shared" ref="R107" si="512">R108+Q107</f>
        <v>772885917.3101182</v>
      </c>
      <c r="S107">
        <f t="shared" ref="S107" si="513">R107/100000</f>
        <v>7728.859173101182</v>
      </c>
      <c r="T107">
        <f t="shared" ref="T107" si="514">S107/1000</f>
        <v>7.7288591731011822</v>
      </c>
    </row>
    <row r="108" spans="1:20" x14ac:dyDescent="0.25">
      <c r="A108" s="5">
        <v>44485</v>
      </c>
      <c r="B108">
        <v>5.006E-2</v>
      </c>
      <c r="C108">
        <v>5.1990000000000001E-2</v>
      </c>
      <c r="D108">
        <v>4.9889999999999997E-2</v>
      </c>
      <c r="E108">
        <v>5.0549999999999998E-2</v>
      </c>
      <c r="F108">
        <v>120898135.40000001</v>
      </c>
      <c r="G108">
        <v>5.0549999999999998E-2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-0.371428571428572</v>
      </c>
      <c r="Q108">
        <f t="shared" ref="Q108" si="516">F108*P108</f>
        <v>-44905021.720000073</v>
      </c>
      <c r="R108">
        <f t="shared" ref="R108" si="517">R109+Q108</f>
        <v>799068464.42289281</v>
      </c>
      <c r="S108">
        <f t="shared" ref="S108" si="518">R108/100000</f>
        <v>7990.6846442289279</v>
      </c>
      <c r="T108">
        <f t="shared" ref="T108" si="519">S108/1000</f>
        <v>7.9906846442289279</v>
      </c>
    </row>
    <row r="109" spans="1:20" x14ac:dyDescent="0.25">
      <c r="A109" s="5">
        <v>44484</v>
      </c>
      <c r="B109">
        <v>4.8910000000000002E-2</v>
      </c>
      <c r="C109">
        <v>5.151E-2</v>
      </c>
      <c r="D109">
        <v>4.7149999999999997E-2</v>
      </c>
      <c r="E109">
        <v>5.0029999999999998E-2</v>
      </c>
      <c r="F109">
        <v>193102766.5</v>
      </c>
      <c r="G109">
        <v>5.0029999999999998E-2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0.32110091743119212</v>
      </c>
      <c r="Q109">
        <f t="shared" ref="Q109" si="521">F109*P109</f>
        <v>62005475.481651269</v>
      </c>
      <c r="R109">
        <f t="shared" ref="R109" si="522">R110+Q109</f>
        <v>843973486.14289284</v>
      </c>
      <c r="S109">
        <f t="shared" ref="S109" si="523">R109/100000</f>
        <v>8439.7348614289276</v>
      </c>
      <c r="T109">
        <f t="shared" ref="T109" si="524">S109/1000</f>
        <v>8.4397348614289278</v>
      </c>
    </row>
    <row r="110" spans="1:20" x14ac:dyDescent="0.25">
      <c r="A110" s="5">
        <v>44483</v>
      </c>
      <c r="B110">
        <v>4.8739999999999999E-2</v>
      </c>
      <c r="C110">
        <v>5.178E-2</v>
      </c>
      <c r="D110">
        <v>4.8280000000000003E-2</v>
      </c>
      <c r="E110">
        <v>4.8849999999999998E-2</v>
      </c>
      <c r="F110">
        <v>152673932.19999999</v>
      </c>
      <c r="G110">
        <v>4.8849999999999998E-2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-0.67428571428571726</v>
      </c>
      <c r="Q110">
        <f t="shared" ref="Q110" si="526">F110*P110</f>
        <v>-102945851.42628616</v>
      </c>
      <c r="R110">
        <f t="shared" ref="R110" si="527">R111+Q110</f>
        <v>781968010.66124153</v>
      </c>
      <c r="S110">
        <f t="shared" ref="S110" si="528">R110/100000</f>
        <v>7819.6801066124153</v>
      </c>
      <c r="T110">
        <f t="shared" ref="T110" si="529">S110/1000</f>
        <v>7.8196801066124157</v>
      </c>
    </row>
    <row r="111" spans="1:20" x14ac:dyDescent="0.25">
      <c r="A111" s="5">
        <v>44482</v>
      </c>
      <c r="B111">
        <v>4.8030000000000003E-2</v>
      </c>
      <c r="C111">
        <v>4.8939999999999997E-2</v>
      </c>
      <c r="D111">
        <v>4.6530000000000002E-2</v>
      </c>
      <c r="E111">
        <v>4.8710000000000003E-2</v>
      </c>
      <c r="F111">
        <v>100418931.09999999</v>
      </c>
      <c r="G111">
        <v>4.8710000000000003E-2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0.80912863070539875</v>
      </c>
      <c r="Q111">
        <f t="shared" ref="Q111" si="531">F111*P111</f>
        <v>81251832.217842773</v>
      </c>
      <c r="R111">
        <f t="shared" ref="R111" si="532">R112+Q111</f>
        <v>884913862.08752775</v>
      </c>
      <c r="S111">
        <f t="shared" ref="S111" si="533">R111/100000</f>
        <v>8849.1386208752774</v>
      </c>
      <c r="T111">
        <f t="shared" ref="T111" si="534">S111/1000</f>
        <v>8.8491386208752782</v>
      </c>
    </row>
    <row r="112" spans="1:20" x14ac:dyDescent="0.25">
      <c r="A112" s="5">
        <v>44481</v>
      </c>
      <c r="B112">
        <v>4.8280000000000003E-2</v>
      </c>
      <c r="C112">
        <v>4.8480000000000002E-2</v>
      </c>
      <c r="D112">
        <v>4.5039999999999997E-2</v>
      </c>
      <c r="E112">
        <v>4.8059999999999999E-2</v>
      </c>
      <c r="F112">
        <v>136273879.90000001</v>
      </c>
      <c r="G112">
        <v>4.8059999999999999E-2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0.75581395348837033</v>
      </c>
      <c r="Q112">
        <f t="shared" ref="Q112" si="536">F112*P112</f>
        <v>102997699.92441837</v>
      </c>
      <c r="R112">
        <f t="shared" ref="R112" si="537">R113+Q112</f>
        <v>803662029.86968493</v>
      </c>
      <c r="S112">
        <f t="shared" ref="S112" si="538">R112/100000</f>
        <v>8036.6202986968492</v>
      </c>
      <c r="T112">
        <f t="shared" ref="T112" si="539">S112/1000</f>
        <v>8.0366202986968496</v>
      </c>
    </row>
    <row r="113" spans="1:20" x14ac:dyDescent="0.25">
      <c r="A113" s="5">
        <v>44480</v>
      </c>
      <c r="B113">
        <v>4.7890000000000002E-2</v>
      </c>
      <c r="C113">
        <v>5.0430000000000003E-2</v>
      </c>
      <c r="D113">
        <v>4.6859999999999999E-2</v>
      </c>
      <c r="E113">
        <v>4.8230000000000002E-2</v>
      </c>
      <c r="F113">
        <v>105925052.5</v>
      </c>
      <c r="G113">
        <v>4.8230000000000002E-2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-0.23249299719887859</v>
      </c>
      <c r="Q113">
        <f t="shared" ref="Q113" si="541">F113*P113</f>
        <v>-24626832.934173569</v>
      </c>
      <c r="R113">
        <f t="shared" ref="R113" si="542">R114+Q113</f>
        <v>700664329.9452666</v>
      </c>
      <c r="S113">
        <f t="shared" ref="S113" si="543">R113/100000</f>
        <v>7006.6432994526658</v>
      </c>
      <c r="T113">
        <f t="shared" ref="T113" si="544">S113/1000</f>
        <v>7.0066432994526657</v>
      </c>
    </row>
    <row r="114" spans="1:20" x14ac:dyDescent="0.25">
      <c r="A114" s="5">
        <v>44479</v>
      </c>
      <c r="B114">
        <v>5.1619999999999999E-2</v>
      </c>
      <c r="C114">
        <v>5.3179999999999998E-2</v>
      </c>
      <c r="D114">
        <v>4.7460000000000002E-2</v>
      </c>
      <c r="E114">
        <v>4.7879999999999999E-2</v>
      </c>
      <c r="F114">
        <v>120710923.2</v>
      </c>
      <c r="G114">
        <v>4.7879999999999999E-2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-0.85314685314685412</v>
      </c>
      <c r="Q114">
        <f t="shared" ref="Q114" si="546">F114*P114</f>
        <v>-102984144.26853159</v>
      </c>
      <c r="R114">
        <f t="shared" ref="R114" si="547">R115+Q114</f>
        <v>725291162.87944019</v>
      </c>
      <c r="S114">
        <f t="shared" ref="S114" si="548">R114/100000</f>
        <v>7252.9116287944016</v>
      </c>
      <c r="T114">
        <f t="shared" ref="T114" si="549">S114/1000</f>
        <v>7.2529116287944015</v>
      </c>
    </row>
    <row r="115" spans="1:20" x14ac:dyDescent="0.25">
      <c r="A115" s="5">
        <v>44478</v>
      </c>
      <c r="B115">
        <v>5.049E-2</v>
      </c>
      <c r="C115">
        <v>5.2420000000000001E-2</v>
      </c>
      <c r="D115">
        <v>4.9700000000000001E-2</v>
      </c>
      <c r="E115">
        <v>5.16E-2</v>
      </c>
      <c r="F115">
        <v>100155260</v>
      </c>
      <c r="G115">
        <v>5.16E-2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0.39705882352941085</v>
      </c>
      <c r="Q115">
        <f t="shared" ref="Q115" si="551">F115*P115</f>
        <v>39767529.705882259</v>
      </c>
      <c r="R115">
        <f t="shared" ref="R115" si="552">R116+Q115</f>
        <v>828275307.14797175</v>
      </c>
      <c r="S115">
        <f t="shared" ref="S115" si="553">R115/100000</f>
        <v>8282.7530714797176</v>
      </c>
      <c r="T115">
        <f t="shared" ref="T115" si="554">S115/1000</f>
        <v>8.2827530714797177</v>
      </c>
    </row>
    <row r="116" spans="1:20" x14ac:dyDescent="0.25">
      <c r="A116" s="5">
        <v>44477</v>
      </c>
      <c r="B116">
        <v>5.2999999999999999E-2</v>
      </c>
      <c r="C116">
        <v>5.3629999999999997E-2</v>
      </c>
      <c r="D116">
        <v>5.0009999999999999E-2</v>
      </c>
      <c r="E116">
        <v>5.0410000000000003E-2</v>
      </c>
      <c r="F116">
        <v>125359776.90000001</v>
      </c>
      <c r="G116">
        <v>5.0410000000000003E-2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-0.7790055248618758</v>
      </c>
      <c r="Q116">
        <f t="shared" ref="Q116" si="556">F116*P116</f>
        <v>-97655958.80055216</v>
      </c>
      <c r="R116">
        <f t="shared" ref="R116" si="557">R117+Q116</f>
        <v>788507777.44208944</v>
      </c>
      <c r="S116">
        <f t="shared" ref="S116" si="558">R116/100000</f>
        <v>7885.0777744208945</v>
      </c>
      <c r="T116">
        <f t="shared" ref="T116" si="559">S116/1000</f>
        <v>7.8850777744208944</v>
      </c>
    </row>
    <row r="117" spans="1:20" x14ac:dyDescent="0.25">
      <c r="A117" s="5">
        <v>44476</v>
      </c>
      <c r="B117">
        <v>5.1670000000000001E-2</v>
      </c>
      <c r="C117">
        <v>5.339E-2</v>
      </c>
      <c r="D117">
        <v>5.0119999999999998E-2</v>
      </c>
      <c r="E117">
        <v>5.2979999999999999E-2</v>
      </c>
      <c r="F117">
        <v>178752294.40000001</v>
      </c>
      <c r="G117">
        <v>5.2979999999999999E-2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0.74923547400611601</v>
      </c>
      <c r="Q117">
        <f t="shared" ref="Q117" si="561">F117*P117</f>
        <v>133927560.0244648</v>
      </c>
      <c r="R117">
        <f t="shared" ref="R117" si="562">R118+Q117</f>
        <v>886163736.24264157</v>
      </c>
      <c r="S117">
        <f t="shared" ref="S117" si="563">R117/100000</f>
        <v>8861.6373624264161</v>
      </c>
      <c r="T117">
        <f t="shared" ref="T117" si="564">S117/1000</f>
        <v>8.861637362426416</v>
      </c>
    </row>
    <row r="118" spans="1:20" x14ac:dyDescent="0.25">
      <c r="A118" s="5">
        <v>44475</v>
      </c>
      <c r="B118">
        <v>5.4100000000000002E-2</v>
      </c>
      <c r="C118">
        <v>5.4420000000000003E-2</v>
      </c>
      <c r="D118">
        <v>4.9160000000000002E-2</v>
      </c>
      <c r="E118">
        <v>5.1670000000000001E-2</v>
      </c>
      <c r="F118">
        <v>208841048.09999999</v>
      </c>
      <c r="G118">
        <v>5.1670000000000001E-2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-4.5627376425856285E-2</v>
      </c>
      <c r="Q118">
        <f t="shared" ref="Q118" si="566">F118*P118</f>
        <v>-9528869.1148290578</v>
      </c>
      <c r="R118">
        <f t="shared" ref="R118" si="567">R119+Q118</f>
        <v>752236176.21817672</v>
      </c>
      <c r="S118">
        <f t="shared" ref="S118" si="568">R118/100000</f>
        <v>7522.3617621817675</v>
      </c>
      <c r="T118">
        <f t="shared" ref="T118" si="569">S118/1000</f>
        <v>7.5223617621817676</v>
      </c>
    </row>
    <row r="119" spans="1:20" x14ac:dyDescent="0.25">
      <c r="A119" s="5">
        <v>44474</v>
      </c>
      <c r="B119">
        <v>4.795E-2</v>
      </c>
      <c r="C119">
        <v>5.5550000000000002E-2</v>
      </c>
      <c r="D119">
        <v>4.7419999999999997E-2</v>
      </c>
      <c r="E119">
        <v>5.4100000000000002E-2</v>
      </c>
      <c r="F119">
        <v>260252461.69999999</v>
      </c>
      <c r="G119">
        <v>5.4100000000000002E-2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0.64329643296432992</v>
      </c>
      <c r="Q119">
        <f t="shared" ref="Q119" si="571">F119*P119</f>
        <v>167419480.28179589</v>
      </c>
      <c r="R119">
        <f t="shared" ref="R119" si="572">R120+Q119</f>
        <v>761765045.33300579</v>
      </c>
      <c r="S119">
        <f t="shared" ref="S119" si="573">R119/100000</f>
        <v>7617.6504533300576</v>
      </c>
      <c r="T119">
        <f t="shared" ref="T119" si="574">S119/1000</f>
        <v>7.6176504533300573</v>
      </c>
    </row>
    <row r="120" spans="1:20" x14ac:dyDescent="0.25">
      <c r="A120" s="5">
        <v>44473</v>
      </c>
      <c r="B120">
        <v>4.836E-2</v>
      </c>
      <c r="C120">
        <v>4.836E-2</v>
      </c>
      <c r="D120">
        <v>4.5449999999999997E-2</v>
      </c>
      <c r="E120">
        <v>4.7710000000000002E-2</v>
      </c>
      <c r="F120">
        <v>118319311.2</v>
      </c>
      <c r="G120">
        <v>4.7710000000000002E-2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0.55326460481099848</v>
      </c>
      <c r="Q120">
        <f t="shared" ref="Q120" si="576">F120*P120</f>
        <v>65461886.952577546</v>
      </c>
      <c r="R120">
        <f t="shared" ref="R120" si="577">R121+Q120</f>
        <v>594345565.05120993</v>
      </c>
      <c r="S120">
        <f t="shared" ref="S120" si="578">R120/100000</f>
        <v>5943.4556505120991</v>
      </c>
      <c r="T120">
        <f t="shared" ref="T120" si="579">S120/1000</f>
        <v>5.9434556505120995</v>
      </c>
    </row>
    <row r="121" spans="1:20" x14ac:dyDescent="0.25">
      <c r="A121" s="5">
        <v>44472</v>
      </c>
      <c r="B121">
        <v>4.9119999999999997E-2</v>
      </c>
      <c r="C121">
        <v>4.9979999999999997E-2</v>
      </c>
      <c r="D121">
        <v>4.761E-2</v>
      </c>
      <c r="E121">
        <v>4.829E-2</v>
      </c>
      <c r="F121">
        <v>167866202.19999999</v>
      </c>
      <c r="G121">
        <v>4.829E-2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-0.42616033755274185</v>
      </c>
      <c r="Q121">
        <f t="shared" ref="Q121" si="581">F121*P121</f>
        <v>-71537917.393248811</v>
      </c>
      <c r="R121">
        <f t="shared" ref="R121" si="582">R122+Q121</f>
        <v>528883678.09863234</v>
      </c>
      <c r="S121">
        <f t="shared" ref="S121" si="583">R121/100000</f>
        <v>5288.836780986323</v>
      </c>
      <c r="T121">
        <f t="shared" ref="T121" si="584">S121/1000</f>
        <v>5.2888367809863226</v>
      </c>
    </row>
    <row r="122" spans="1:20" x14ac:dyDescent="0.25">
      <c r="A122" s="5">
        <v>44471</v>
      </c>
      <c r="B122">
        <v>4.8899999999999999E-2</v>
      </c>
      <c r="C122">
        <v>5.1499999999999997E-2</v>
      </c>
      <c r="D122">
        <v>4.7980000000000002E-2</v>
      </c>
      <c r="E122">
        <v>4.9140000000000003E-2</v>
      </c>
      <c r="F122">
        <v>91873932.200000003</v>
      </c>
      <c r="G122">
        <v>4.9140000000000003E-2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-0.34090909090908927</v>
      </c>
      <c r="Q122">
        <f t="shared" ref="Q122" si="586">F122*P122</f>
        <v>-31320658.704545304</v>
      </c>
      <c r="R122">
        <f t="shared" ref="R122" si="587">R123+Q122</f>
        <v>600421595.49188113</v>
      </c>
      <c r="S122">
        <f t="shared" ref="S122" si="588">R122/100000</f>
        <v>6004.2159549188109</v>
      </c>
      <c r="T122">
        <f t="shared" ref="T122" si="589">S122/1000</f>
        <v>6.004215954918811</v>
      </c>
    </row>
    <row r="123" spans="1:20" x14ac:dyDescent="0.25">
      <c r="A123" s="5">
        <v>44470</v>
      </c>
      <c r="B123">
        <v>4.4740000000000002E-2</v>
      </c>
      <c r="C123">
        <v>4.9090000000000002E-2</v>
      </c>
      <c r="D123">
        <v>4.4069999999999998E-2</v>
      </c>
      <c r="E123">
        <v>4.888E-2</v>
      </c>
      <c r="F123">
        <v>100770368.5</v>
      </c>
      <c r="G123">
        <v>4.888E-2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0.91633466135458097</v>
      </c>
      <c r="Q123">
        <f t="shared" ref="Q123" si="591">F123*P123</f>
        <v>92339381.49402383</v>
      </c>
      <c r="R123">
        <f t="shared" ref="R123" si="592">R124+Q123</f>
        <v>631742254.19642639</v>
      </c>
      <c r="S123">
        <f t="shared" ref="S123" si="593">R123/100000</f>
        <v>6317.4225419642635</v>
      </c>
      <c r="T123">
        <f t="shared" ref="T123" si="594">S123/1000</f>
        <v>6.3174225419642633</v>
      </c>
    </row>
    <row r="124" spans="1:20" x14ac:dyDescent="0.25">
      <c r="A124" s="5">
        <v>44469</v>
      </c>
      <c r="B124">
        <v>4.2790000000000002E-2</v>
      </c>
      <c r="C124">
        <v>4.53E-2</v>
      </c>
      <c r="D124">
        <v>4.2549999999999998E-2</v>
      </c>
      <c r="E124">
        <v>4.4720000000000003E-2</v>
      </c>
      <c r="F124">
        <v>86077010.900000006</v>
      </c>
      <c r="G124">
        <v>4.4720000000000003E-2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0.57818181818182057</v>
      </c>
      <c r="Q124">
        <f t="shared" ref="Q124" si="596">F124*P124</f>
        <v>49768162.665818393</v>
      </c>
      <c r="R124">
        <f t="shared" ref="R124" si="597">R125+Q124</f>
        <v>539402872.70240259</v>
      </c>
      <c r="S124">
        <f t="shared" ref="S124" si="598">R124/100000</f>
        <v>5394.028727024026</v>
      </c>
      <c r="T124">
        <f t="shared" ref="T124" si="599">S124/1000</f>
        <v>5.3940287270240264</v>
      </c>
    </row>
    <row r="125" spans="1:20" x14ac:dyDescent="0.25">
      <c r="A125" s="5">
        <v>44468</v>
      </c>
      <c r="B125">
        <v>4.165E-2</v>
      </c>
      <c r="C125">
        <v>4.4159999999999998E-2</v>
      </c>
      <c r="D125">
        <v>4.1279999999999997E-2</v>
      </c>
      <c r="E125">
        <v>4.2840000000000003E-2</v>
      </c>
      <c r="F125">
        <v>61602626.700000003</v>
      </c>
      <c r="G125">
        <v>4.2840000000000003E-2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8.3333333333337145E-2</v>
      </c>
      <c r="Q125">
        <f t="shared" ref="Q125" si="601">F125*P125</f>
        <v>5133552.2250002353</v>
      </c>
      <c r="R125">
        <f t="shared" ref="R125" si="602">R126+Q125</f>
        <v>489634710.0365842</v>
      </c>
      <c r="S125">
        <f t="shared" ref="S125" si="603">R125/100000</f>
        <v>4896.3471003658424</v>
      </c>
      <c r="T125">
        <f t="shared" ref="T125" si="604">S125/1000</f>
        <v>4.8963471003658423</v>
      </c>
    </row>
    <row r="126" spans="1:20" x14ac:dyDescent="0.25">
      <c r="A126" s="5">
        <v>44467</v>
      </c>
      <c r="B126">
        <v>4.3180000000000003E-2</v>
      </c>
      <c r="C126">
        <v>4.4659999999999998E-2</v>
      </c>
      <c r="D126">
        <v>4.1410000000000002E-2</v>
      </c>
      <c r="E126">
        <v>4.1669999999999999E-2</v>
      </c>
      <c r="F126">
        <v>137788106.80000001</v>
      </c>
      <c r="G126">
        <v>4.1669999999999999E-2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-0.84000000000000208</v>
      </c>
      <c r="Q126">
        <f t="shared" ref="Q126" si="606">F126*P126</f>
        <v>-115742009.7120003</v>
      </c>
      <c r="R126">
        <f t="shared" ref="R126" si="607">R127+Q126</f>
        <v>484501157.81158394</v>
      </c>
      <c r="S126">
        <f t="shared" ref="S126" si="608">R126/100000</f>
        <v>4845.0115781158393</v>
      </c>
      <c r="T126">
        <f t="shared" ref="T126" si="609">S126/1000</f>
        <v>4.8450115781158392</v>
      </c>
    </row>
    <row r="127" spans="1:20" x14ac:dyDescent="0.25">
      <c r="A127" s="5">
        <v>44466</v>
      </c>
      <c r="B127">
        <v>4.4819999999999999E-2</v>
      </c>
      <c r="C127">
        <v>4.6710000000000002E-2</v>
      </c>
      <c r="D127">
        <v>4.3110000000000002E-2</v>
      </c>
      <c r="E127">
        <v>4.3200000000000002E-2</v>
      </c>
      <c r="F127">
        <v>86488122.400000006</v>
      </c>
      <c r="G127">
        <v>4.3200000000000002E-2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-0.95000000000000007</v>
      </c>
      <c r="Q127">
        <f t="shared" ref="Q127" si="611">F127*P127</f>
        <v>-82163716.280000016</v>
      </c>
      <c r="R127">
        <f t="shared" ref="R127" si="612">R128+Q127</f>
        <v>600243167.52358425</v>
      </c>
      <c r="S127">
        <f t="shared" ref="S127" si="613">R127/100000</f>
        <v>6002.4316752358427</v>
      </c>
      <c r="T127">
        <f t="shared" ref="T127" si="614">S127/1000</f>
        <v>6.0024316752358429</v>
      </c>
    </row>
    <row r="128" spans="1:20" x14ac:dyDescent="0.25">
      <c r="A128" s="5">
        <v>44465</v>
      </c>
      <c r="B128">
        <v>4.6289999999999998E-2</v>
      </c>
      <c r="C128">
        <v>4.6469999999999997E-2</v>
      </c>
      <c r="D128">
        <v>4.2079999999999999E-2</v>
      </c>
      <c r="E128">
        <v>4.4850000000000001E-2</v>
      </c>
      <c r="F128">
        <v>95559442.799999997</v>
      </c>
      <c r="G128">
        <v>4.4850000000000001E-2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0.26195899772209696</v>
      </c>
      <c r="Q128">
        <f t="shared" ref="Q128" si="616">F128*P128</f>
        <v>25032655.858770054</v>
      </c>
      <c r="R128">
        <f t="shared" ref="R128" si="617">R129+Q128</f>
        <v>682406883.80358422</v>
      </c>
      <c r="S128">
        <f t="shared" ref="S128" si="618">R128/100000</f>
        <v>6824.0688380358424</v>
      </c>
      <c r="T128">
        <f t="shared" ref="T128" si="619">S128/1000</f>
        <v>6.8240688380358421</v>
      </c>
    </row>
    <row r="129" spans="1:20" x14ac:dyDescent="0.25">
      <c r="A129" s="5">
        <v>44464</v>
      </c>
      <c r="B129">
        <v>4.7E-2</v>
      </c>
      <c r="C129">
        <v>4.7570000000000001E-2</v>
      </c>
      <c r="D129">
        <v>4.4679999999999997E-2</v>
      </c>
      <c r="E129">
        <v>4.6300000000000001E-2</v>
      </c>
      <c r="F129">
        <v>80449988.400000006</v>
      </c>
      <c r="G129">
        <v>4.6300000000000001E-2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0.12110726643598707</v>
      </c>
      <c r="Q129">
        <f t="shared" ref="Q129" si="621">F129*P129</f>
        <v>9743078.1799308695</v>
      </c>
      <c r="R129">
        <f t="shared" ref="R129" si="622">R130+Q129</f>
        <v>657374227.94481421</v>
      </c>
      <c r="S129">
        <f t="shared" ref="S129" si="623">R129/100000</f>
        <v>6573.7422794481417</v>
      </c>
      <c r="T129">
        <f t="shared" ref="T129" si="624">S129/1000</f>
        <v>6.5737422794481422</v>
      </c>
    </row>
    <row r="130" spans="1:20" x14ac:dyDescent="0.25">
      <c r="A130" s="5">
        <v>44463</v>
      </c>
      <c r="B130">
        <v>5.0950000000000002E-2</v>
      </c>
      <c r="C130">
        <v>5.1200000000000002E-2</v>
      </c>
      <c r="D130">
        <v>4.3249999999999997E-2</v>
      </c>
      <c r="E130">
        <v>4.6989999999999997E-2</v>
      </c>
      <c r="F130">
        <v>125949836</v>
      </c>
      <c r="G130">
        <v>4.6989999999999997E-2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-5.9119496855346516E-2</v>
      </c>
      <c r="Q130">
        <f t="shared" ref="Q130" si="626">F130*P130</f>
        <v>-7446090.933333409</v>
      </c>
      <c r="R130">
        <f t="shared" ref="R130" si="627">R131+Q130</f>
        <v>647631149.76488328</v>
      </c>
      <c r="S130">
        <f t="shared" ref="S130" si="628">R130/100000</f>
        <v>6476.3114976488332</v>
      </c>
      <c r="T130">
        <f t="shared" ref="T130" si="629">S130/1000</f>
        <v>6.4763114976488332</v>
      </c>
    </row>
    <row r="131" spans="1:20" x14ac:dyDescent="0.25">
      <c r="A131" s="5">
        <v>44462</v>
      </c>
      <c r="B131">
        <v>4.9950000000000001E-2</v>
      </c>
      <c r="C131">
        <v>5.0959999999999998E-2</v>
      </c>
      <c r="D131">
        <v>4.8570000000000002E-2</v>
      </c>
      <c r="E131">
        <v>5.0950000000000002E-2</v>
      </c>
      <c r="F131">
        <v>86388343.700000003</v>
      </c>
      <c r="G131">
        <v>5.0950000000000002E-2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0.99163179916318311</v>
      </c>
      <c r="Q131">
        <f t="shared" ref="Q131" si="631">F131*P131</f>
        <v>85665428.689958438</v>
      </c>
      <c r="R131">
        <f t="shared" ref="R131" si="632">R132+Q131</f>
        <v>655077240.69821668</v>
      </c>
      <c r="S131">
        <f t="shared" ref="S131" si="633">R131/100000</f>
        <v>6550.772406982167</v>
      </c>
      <c r="T131">
        <f t="shared" ref="T131" si="634">S131/1000</f>
        <v>6.5507724069821673</v>
      </c>
    </row>
    <row r="132" spans="1:20" x14ac:dyDescent="0.25">
      <c r="A132" s="5">
        <v>44461</v>
      </c>
      <c r="B132">
        <v>4.3979999999999998E-2</v>
      </c>
      <c r="C132">
        <v>4.999E-2</v>
      </c>
      <c r="D132">
        <v>4.3610000000000003E-2</v>
      </c>
      <c r="E132">
        <v>4.9959999999999997E-2</v>
      </c>
      <c r="F132">
        <v>121437815.40000001</v>
      </c>
      <c r="G132">
        <v>4.9959999999999997E-2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0.99059561128526574</v>
      </c>
      <c r="Q132">
        <f t="shared" ref="Q132" si="636">F132*P132</f>
        <v>120295766.97931026</v>
      </c>
      <c r="R132">
        <f t="shared" ref="R132" si="637">R133+Q132</f>
        <v>569411812.00825822</v>
      </c>
      <c r="S132">
        <f t="shared" ref="S132" si="638">R132/100000</f>
        <v>5694.1181200825822</v>
      </c>
      <c r="T132">
        <f t="shared" ref="T132" si="639">S132/1000</f>
        <v>5.6941181200825826</v>
      </c>
    </row>
    <row r="133" spans="1:20" x14ac:dyDescent="0.25">
      <c r="A133" s="5">
        <v>44460</v>
      </c>
      <c r="B133">
        <v>4.7019999999999999E-2</v>
      </c>
      <c r="C133">
        <v>4.931E-2</v>
      </c>
      <c r="D133">
        <v>4.2470000000000001E-2</v>
      </c>
      <c r="E133">
        <v>4.4040000000000003E-2</v>
      </c>
      <c r="F133">
        <v>119125487.8</v>
      </c>
      <c r="G133">
        <v>4.4040000000000003E-2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-0.54093567251461927</v>
      </c>
      <c r="Q133">
        <f t="shared" ref="Q133" si="641">F133*P133</f>
        <v>-64439225.856725074</v>
      </c>
      <c r="R133">
        <f t="shared" ref="R133" si="642">R134+Q133</f>
        <v>449116045.02894801</v>
      </c>
      <c r="S133">
        <f t="shared" ref="S133" si="643">R133/100000</f>
        <v>4491.1604502894797</v>
      </c>
      <c r="T133">
        <f t="shared" ref="T133" si="644">S133/1000</f>
        <v>4.4911604502894793</v>
      </c>
    </row>
    <row r="134" spans="1:20" x14ac:dyDescent="0.25">
      <c r="A134" s="5">
        <v>44459</v>
      </c>
      <c r="B134">
        <v>5.5710000000000003E-2</v>
      </c>
      <c r="C134">
        <v>5.5710000000000003E-2</v>
      </c>
      <c r="D134">
        <v>4.9669999999999999E-2</v>
      </c>
      <c r="E134">
        <v>5.0310000000000001E-2</v>
      </c>
      <c r="F134">
        <v>59673289</v>
      </c>
      <c r="G134">
        <v>5.0310000000000001E-2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-0.78807947019867508</v>
      </c>
      <c r="Q134">
        <f t="shared" ref="Q134" si="646">F134*P134</f>
        <v>-47027293.980132423</v>
      </c>
      <c r="R134">
        <f t="shared" ref="R134" si="647">R135+Q134</f>
        <v>513555270.88567311</v>
      </c>
      <c r="S134">
        <f t="shared" ref="S134" si="648">R134/100000</f>
        <v>5135.5527088567314</v>
      </c>
      <c r="T134">
        <f t="shared" ref="T134" si="649">S134/1000</f>
        <v>5.1355527088567312</v>
      </c>
    </row>
    <row r="135" spans="1:20" x14ac:dyDescent="0.25">
      <c r="A135" s="5">
        <v>44458</v>
      </c>
      <c r="B135">
        <v>5.6759999999999998E-2</v>
      </c>
      <c r="C135">
        <v>5.7579999999999999E-2</v>
      </c>
      <c r="D135">
        <v>5.5E-2</v>
      </c>
      <c r="E135">
        <v>5.5599999999999997E-2</v>
      </c>
      <c r="F135">
        <v>49913660.799999997</v>
      </c>
      <c r="G135">
        <v>5.5599999999999997E-2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-0.53488372093023517</v>
      </c>
      <c r="Q135">
        <f t="shared" ref="Q135" si="651">F135*P135</f>
        <v>-26698004.613953616</v>
      </c>
      <c r="R135">
        <f t="shared" ref="R135" si="652">R136+Q135</f>
        <v>560582564.86580551</v>
      </c>
      <c r="S135">
        <f t="shared" ref="S135" si="653">R135/100000</f>
        <v>5605.8256486580549</v>
      </c>
      <c r="T135">
        <f t="shared" ref="T135" si="654">S135/1000</f>
        <v>5.6058256486580547</v>
      </c>
    </row>
    <row r="136" spans="1:20" x14ac:dyDescent="0.25">
      <c r="A136" s="5">
        <v>44457</v>
      </c>
      <c r="B136">
        <v>5.5660000000000001E-2</v>
      </c>
      <c r="C136">
        <v>5.7959999999999998E-2</v>
      </c>
      <c r="D136">
        <v>5.493E-2</v>
      </c>
      <c r="E136">
        <v>5.6840000000000002E-2</v>
      </c>
      <c r="F136">
        <v>50950851.299999997</v>
      </c>
      <c r="G136">
        <v>5.6840000000000002E-2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0.26072607260726288</v>
      </c>
      <c r="Q136">
        <f t="shared" ref="Q136" si="656">F136*P136</f>
        <v>13284215.355445653</v>
      </c>
      <c r="R136">
        <f t="shared" ref="R136" si="657">R137+Q136</f>
        <v>587280569.4797591</v>
      </c>
      <c r="S136">
        <f t="shared" ref="S136" si="658">R136/100000</f>
        <v>5872.8056947975911</v>
      </c>
      <c r="T136">
        <f t="shared" ref="T136" si="659">S136/1000</f>
        <v>5.8728056947975906</v>
      </c>
    </row>
    <row r="137" spans="1:20" x14ac:dyDescent="0.25">
      <c r="A137" s="5">
        <v>44456</v>
      </c>
      <c r="B137">
        <v>5.7759999999999999E-2</v>
      </c>
      <c r="C137">
        <v>5.8229999999999997E-2</v>
      </c>
      <c r="D137">
        <v>5.491E-2</v>
      </c>
      <c r="E137">
        <v>5.561E-2</v>
      </c>
      <c r="F137">
        <v>72283065.299999997</v>
      </c>
      <c r="G137">
        <v>5.561E-2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-0.57831325301204817</v>
      </c>
      <c r="Q137">
        <f t="shared" ref="Q137" si="661">F137*P137</f>
        <v>-41802254.631325297</v>
      </c>
      <c r="R137">
        <f t="shared" ref="R137" si="662">R138+Q137</f>
        <v>573996354.12431347</v>
      </c>
      <c r="S137">
        <f t="shared" ref="S137" si="663">R137/100000</f>
        <v>5739.9635412431344</v>
      </c>
      <c r="T137">
        <f t="shared" ref="T137" si="664">S137/1000</f>
        <v>5.7399635412431342</v>
      </c>
    </row>
    <row r="138" spans="1:20" x14ac:dyDescent="0.25">
      <c r="A138" s="5">
        <v>44455</v>
      </c>
      <c r="B138">
        <v>5.9110000000000003E-2</v>
      </c>
      <c r="C138">
        <v>6.1280000000000001E-2</v>
      </c>
      <c r="D138">
        <v>5.6439999999999997E-2</v>
      </c>
      <c r="E138">
        <v>5.7729999999999997E-2</v>
      </c>
      <c r="F138">
        <v>121392684.3</v>
      </c>
      <c r="G138">
        <v>5.7729999999999997E-2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-0.46694214876033124</v>
      </c>
      <c r="Q138">
        <f t="shared" ref="Q138" si="666">F138*P138</f>
        <v>-56683360.850826524</v>
      </c>
      <c r="R138">
        <f t="shared" ref="R138" si="667">R139+Q138</f>
        <v>615798608.75563872</v>
      </c>
      <c r="S138">
        <f t="shared" ref="S138" si="668">R138/100000</f>
        <v>6157.9860875563872</v>
      </c>
      <c r="T138">
        <f t="shared" ref="T138" si="669">S138/1000</f>
        <v>6.1579860875563872</v>
      </c>
    </row>
    <row r="139" spans="1:20" x14ac:dyDescent="0.25">
      <c r="A139" s="5">
        <v>44454</v>
      </c>
      <c r="B139">
        <v>5.7700000000000001E-2</v>
      </c>
      <c r="C139">
        <v>5.9330000000000001E-2</v>
      </c>
      <c r="D139">
        <v>5.6599999999999998E-2</v>
      </c>
      <c r="E139">
        <v>5.9110000000000003E-2</v>
      </c>
      <c r="F139">
        <v>77619318.599999994</v>
      </c>
      <c r="G139">
        <v>5.9110000000000003E-2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0.83882783882784051</v>
      </c>
      <c r="Q139">
        <f t="shared" ref="Q139" si="671">F139*P139</f>
        <v>65109245.272527598</v>
      </c>
      <c r="R139">
        <f t="shared" ref="R139" si="672">R140+Q139</f>
        <v>672481969.60646522</v>
      </c>
      <c r="S139">
        <f t="shared" ref="S139" si="673">R139/100000</f>
        <v>6724.8196960646519</v>
      </c>
      <c r="T139">
        <f t="shared" ref="T139" si="674">S139/1000</f>
        <v>6.7248196960646522</v>
      </c>
    </row>
    <row r="140" spans="1:20" x14ac:dyDescent="0.25">
      <c r="A140" s="5">
        <v>44453</v>
      </c>
      <c r="B140">
        <v>5.5289999999999999E-2</v>
      </c>
      <c r="C140">
        <v>5.7820000000000003E-2</v>
      </c>
      <c r="D140">
        <v>5.4800000000000001E-2</v>
      </c>
      <c r="E140">
        <v>5.7709999999999997E-2</v>
      </c>
      <c r="F140">
        <v>78414984.799999997</v>
      </c>
      <c r="G140">
        <v>5.7709999999999997E-2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0.92715231788079078</v>
      </c>
      <c r="Q140">
        <f t="shared" ref="Q140" si="676">F140*P140</f>
        <v>72702634.913906977</v>
      </c>
      <c r="R140">
        <f t="shared" ref="R140" si="677">R141+Q140</f>
        <v>607372724.33393764</v>
      </c>
      <c r="S140">
        <f t="shared" ref="S140" si="678">R140/100000</f>
        <v>6073.7272433393764</v>
      </c>
      <c r="T140">
        <f t="shared" ref="T140" si="679">S140/1000</f>
        <v>6.0737272433393761</v>
      </c>
    </row>
    <row r="141" spans="1:20" x14ac:dyDescent="0.25">
      <c r="A141" s="5">
        <v>44452</v>
      </c>
      <c r="B141">
        <v>5.9200000000000003E-2</v>
      </c>
      <c r="C141">
        <v>5.9580000000000001E-2</v>
      </c>
      <c r="D141">
        <v>5.2249999999999998E-2</v>
      </c>
      <c r="E141">
        <v>5.5280000000000003E-2</v>
      </c>
      <c r="F141">
        <v>110881760.2</v>
      </c>
      <c r="G141">
        <v>5.5280000000000003E-2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-0.17326057298772071</v>
      </c>
      <c r="Q141">
        <f t="shared" ref="Q141" si="681">F141*P141</f>
        <v>-19211437.306139044</v>
      </c>
      <c r="R141">
        <f t="shared" ref="R141" si="682">R142+Q141</f>
        <v>534670089.42003065</v>
      </c>
      <c r="S141">
        <f t="shared" ref="S141" si="683">R141/100000</f>
        <v>5346.7008942003067</v>
      </c>
      <c r="T141">
        <f t="shared" ref="T141" si="684">S141/1000</f>
        <v>5.3467008942003069</v>
      </c>
    </row>
    <row r="142" spans="1:20" x14ac:dyDescent="0.25">
      <c r="A142" s="5">
        <v>44451</v>
      </c>
      <c r="B142">
        <v>5.8119999999999998E-2</v>
      </c>
      <c r="C142">
        <v>6.096E-2</v>
      </c>
      <c r="D142">
        <v>5.6149999999999999E-2</v>
      </c>
      <c r="E142">
        <v>5.9220000000000002E-2</v>
      </c>
      <c r="F142">
        <v>111997152.7</v>
      </c>
      <c r="G142">
        <v>5.9220000000000002E-2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0.27650727650727741</v>
      </c>
      <c r="Q142">
        <f t="shared" ref="Q142" si="686">F142*P142</f>
        <v>30968027.669646673</v>
      </c>
      <c r="R142">
        <f t="shared" ref="R142" si="687">R143+Q142</f>
        <v>553881526.72616971</v>
      </c>
      <c r="S142">
        <f t="shared" ref="S142" si="688">R142/100000</f>
        <v>5538.815267261697</v>
      </c>
      <c r="T142">
        <f t="shared" ref="T142" si="689">S142/1000</f>
        <v>5.5388152672616968</v>
      </c>
    </row>
    <row r="143" spans="1:20" x14ac:dyDescent="0.25">
      <c r="A143" s="5">
        <v>44450</v>
      </c>
      <c r="B143">
        <v>5.6559999999999999E-2</v>
      </c>
      <c r="C143">
        <v>6.2560000000000004E-2</v>
      </c>
      <c r="D143">
        <v>5.5469999999999998E-2</v>
      </c>
      <c r="E143">
        <v>5.808E-2</v>
      </c>
      <c r="F143">
        <v>153212970.80000001</v>
      </c>
      <c r="G143">
        <v>5.808E-2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-0.26375176304654474</v>
      </c>
      <c r="Q143">
        <f t="shared" ref="Q143" si="691">F143*P143</f>
        <v>-40410191.170098782</v>
      </c>
      <c r="R143">
        <f t="shared" ref="R143" si="692">R144+Q143</f>
        <v>522913499.05652308</v>
      </c>
      <c r="S143">
        <f t="shared" ref="S143" si="693">R143/100000</f>
        <v>5229.1349905652305</v>
      </c>
      <c r="T143">
        <f t="shared" ref="T143" si="694">S143/1000</f>
        <v>5.2291349905652309</v>
      </c>
    </row>
    <row r="144" spans="1:20" x14ac:dyDescent="0.25">
      <c r="A144" s="5">
        <v>44449</v>
      </c>
      <c r="B144">
        <v>6.0729999999999999E-2</v>
      </c>
      <c r="C144">
        <v>6.2170000000000003E-2</v>
      </c>
      <c r="D144">
        <v>5.4809999999999998E-2</v>
      </c>
      <c r="E144">
        <v>5.654E-2</v>
      </c>
      <c r="F144">
        <v>152101369.69999999</v>
      </c>
      <c r="G144">
        <v>5.654E-2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-0.52989130434782583</v>
      </c>
      <c r="Q144">
        <f t="shared" ref="Q144" si="696">F144*P144</f>
        <v>-80597193.183423862</v>
      </c>
      <c r="R144">
        <f t="shared" ref="R144" si="697">R145+Q144</f>
        <v>563323690.22662187</v>
      </c>
      <c r="S144">
        <f t="shared" ref="S144" si="698">R144/100000</f>
        <v>5633.2369022662187</v>
      </c>
      <c r="T144">
        <f t="shared" ref="T144" si="699">S144/1000</f>
        <v>5.6332369022662183</v>
      </c>
    </row>
    <row r="145" spans="1:20" x14ac:dyDescent="0.25">
      <c r="A145" s="5">
        <v>44448</v>
      </c>
      <c r="B145">
        <v>6.1679999999999999E-2</v>
      </c>
      <c r="C145">
        <v>6.3500000000000001E-2</v>
      </c>
      <c r="D145">
        <v>5.917E-2</v>
      </c>
      <c r="E145">
        <v>6.0729999999999999E-2</v>
      </c>
      <c r="F145">
        <v>105672580.5</v>
      </c>
      <c r="G145">
        <v>6.0729999999999999E-2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-0.2794457274826796</v>
      </c>
      <c r="Q145">
        <f t="shared" ref="Q145" si="701">F145*P145</f>
        <v>-29529751.132794522</v>
      </c>
      <c r="R145">
        <f t="shared" ref="R145" si="702">R146+Q145</f>
        <v>643920883.41004574</v>
      </c>
      <c r="S145">
        <f t="shared" ref="S145" si="703">R145/100000</f>
        <v>6439.2088341004574</v>
      </c>
      <c r="T145">
        <f t="shared" ref="T145" si="704">S145/1000</f>
        <v>6.439208834100457</v>
      </c>
    </row>
    <row r="146" spans="1:20" x14ac:dyDescent="0.25">
      <c r="A146" s="5">
        <v>44447</v>
      </c>
      <c r="B146">
        <v>6.0139999999999999E-2</v>
      </c>
      <c r="C146">
        <v>6.3250000000000001E-2</v>
      </c>
      <c r="D146">
        <v>5.4649999999999997E-2</v>
      </c>
      <c r="E146">
        <v>6.157E-2</v>
      </c>
      <c r="F146">
        <v>153892861.5</v>
      </c>
      <c r="G146">
        <v>6.157E-2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0.6093023255813953</v>
      </c>
      <c r="Q146">
        <f t="shared" ref="Q146" si="706">F146*P146</f>
        <v>93767278.402325571</v>
      </c>
      <c r="R146">
        <f t="shared" ref="R146" si="707">R147+Q146</f>
        <v>673450634.54284024</v>
      </c>
      <c r="S146">
        <f t="shared" ref="S146" si="708">R146/100000</f>
        <v>6734.5063454284027</v>
      </c>
      <c r="T146">
        <f t="shared" ref="T146" si="709">S146/1000</f>
        <v>6.7345063454284029</v>
      </c>
    </row>
    <row r="147" spans="1:20" x14ac:dyDescent="0.25">
      <c r="A147" s="5">
        <v>44446</v>
      </c>
      <c r="B147">
        <v>7.85E-2</v>
      </c>
      <c r="C147">
        <v>7.8659999999999994E-2</v>
      </c>
      <c r="D147">
        <v>5.1139999999999998E-2</v>
      </c>
      <c r="E147">
        <v>6.0049999999999999E-2</v>
      </c>
      <c r="F147">
        <v>375497408.39999998</v>
      </c>
      <c r="G147">
        <v>6.0049999999999999E-2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-0.35247093023255793</v>
      </c>
      <c r="Q147">
        <f t="shared" ref="Q147" si="711">F147*P147</f>
        <v>-132351920.8386627</v>
      </c>
      <c r="R147">
        <f t="shared" ref="R147" si="712">R148+Q147</f>
        <v>579683356.14051473</v>
      </c>
      <c r="S147">
        <f t="shared" ref="S147" si="713">R147/100000</f>
        <v>5796.8335614051475</v>
      </c>
      <c r="T147">
        <f t="shared" ref="T147" si="714">S147/1000</f>
        <v>5.7968335614051476</v>
      </c>
    </row>
    <row r="148" spans="1:20" x14ac:dyDescent="0.25">
      <c r="A148" s="5">
        <v>44445</v>
      </c>
      <c r="B148">
        <v>7.1400000000000005E-2</v>
      </c>
      <c r="C148">
        <v>0.08</v>
      </c>
      <c r="D148">
        <v>7.0000000000000007E-2</v>
      </c>
      <c r="E148">
        <v>7.85E-2</v>
      </c>
      <c r="F148">
        <v>361335714.69999999</v>
      </c>
      <c r="G148">
        <v>7.85E-2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0.69999999999999962</v>
      </c>
      <c r="Q148">
        <f t="shared" ref="Q148" si="716">F148*P148</f>
        <v>252935000.28999984</v>
      </c>
      <c r="R148">
        <f t="shared" ref="R148" si="717">R149+Q148</f>
        <v>712035276.97917747</v>
      </c>
      <c r="S148">
        <f t="shared" ref="S148" si="718">R148/100000</f>
        <v>7120.3527697917743</v>
      </c>
      <c r="T148">
        <f t="shared" ref="T148" si="719">S148/1000</f>
        <v>7.1203527697917739</v>
      </c>
    </row>
    <row r="149" spans="1:20" x14ac:dyDescent="0.25">
      <c r="A149" s="5">
        <v>44444</v>
      </c>
      <c r="B149">
        <v>6.8890000000000007E-2</v>
      </c>
      <c r="C149">
        <v>7.1980000000000002E-2</v>
      </c>
      <c r="D149">
        <v>6.7210000000000006E-2</v>
      </c>
      <c r="E149">
        <v>7.1349999999999997E-2</v>
      </c>
      <c r="F149">
        <v>116595363.09999999</v>
      </c>
      <c r="G149">
        <v>7.1349999999999997E-2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0.73584905660377109</v>
      </c>
      <c r="Q149">
        <f t="shared" ref="Q149" si="721">F149*P149</f>
        <v>85796587.941509143</v>
      </c>
      <c r="R149">
        <f t="shared" ref="R149" si="722">R150+Q149</f>
        <v>459100276.68917757</v>
      </c>
      <c r="S149">
        <f t="shared" ref="S149" si="723">R149/100000</f>
        <v>4591.0027668917755</v>
      </c>
      <c r="T149">
        <f t="shared" ref="T149" si="724">S149/1000</f>
        <v>4.5910027668917754</v>
      </c>
    </row>
    <row r="150" spans="1:20" x14ac:dyDescent="0.25">
      <c r="A150" s="5">
        <v>44443</v>
      </c>
      <c r="B150">
        <v>6.6729999999999998E-2</v>
      </c>
      <c r="C150">
        <v>6.9849999999999995E-2</v>
      </c>
      <c r="D150">
        <v>6.6420000000000007E-2</v>
      </c>
      <c r="E150">
        <v>6.8890000000000007E-2</v>
      </c>
      <c r="F150">
        <v>95154853.099999994</v>
      </c>
      <c r="G150">
        <v>6.8890000000000007E-2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0.44023323615160825</v>
      </c>
      <c r="Q150">
        <f t="shared" ref="Q150" si="726">F150*P150</f>
        <v>41890328.915743887</v>
      </c>
      <c r="R150">
        <f t="shared" ref="R150" si="727">R151+Q150</f>
        <v>373303688.74766845</v>
      </c>
      <c r="S150">
        <f t="shared" ref="S150" si="728">R150/100000</f>
        <v>3733.0368874766846</v>
      </c>
      <c r="T150">
        <f t="shared" ref="T150" si="729">S150/1000</f>
        <v>3.7330368874766844</v>
      </c>
    </row>
    <row r="151" spans="1:20" x14ac:dyDescent="0.25">
      <c r="A151" s="5">
        <v>44442</v>
      </c>
      <c r="B151">
        <v>6.6229999999999997E-2</v>
      </c>
      <c r="C151">
        <v>6.9889999999999994E-2</v>
      </c>
      <c r="D151">
        <v>6.4299999999999996E-2</v>
      </c>
      <c r="E151">
        <v>6.6710000000000005E-2</v>
      </c>
      <c r="F151">
        <v>128018740</v>
      </c>
      <c r="G151">
        <v>6.6710000000000005E-2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-0.13774597495527358</v>
      </c>
      <c r="Q151">
        <f t="shared" ref="Q151" si="731">F151*P151</f>
        <v>-17634066.153845679</v>
      </c>
      <c r="R151">
        <f t="shared" ref="R151" si="732">R152+Q151</f>
        <v>331413359.83192456</v>
      </c>
      <c r="S151">
        <f t="shared" ref="S151" si="733">R151/100000</f>
        <v>3314.1335983192457</v>
      </c>
      <c r="T151">
        <f t="shared" ref="T151" si="734">S151/1000</f>
        <v>3.3141335983192457</v>
      </c>
    </row>
    <row r="152" spans="1:20" x14ac:dyDescent="0.25">
      <c r="A152" s="5">
        <v>44441</v>
      </c>
      <c r="B152">
        <v>6.7369999999999999E-2</v>
      </c>
      <c r="C152">
        <v>6.8830000000000002E-2</v>
      </c>
      <c r="D152">
        <v>6.5970000000000001E-2</v>
      </c>
      <c r="E152">
        <v>6.633E-2</v>
      </c>
      <c r="F152">
        <v>86435685.400000006</v>
      </c>
      <c r="G152">
        <v>6.633E-2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-0.74825174825174889</v>
      </c>
      <c r="Q152">
        <f t="shared" ref="Q152" si="736">F152*P152</f>
        <v>-64675652.711888172</v>
      </c>
      <c r="R152">
        <f t="shared" ref="R152" si="737">R153+Q152</f>
        <v>349047425.98577023</v>
      </c>
      <c r="S152">
        <f t="shared" ref="S152" si="738">R152/100000</f>
        <v>3490.4742598577022</v>
      </c>
      <c r="T152">
        <f t="shared" ref="T152" si="739">S152/1000</f>
        <v>3.4904742598577023</v>
      </c>
    </row>
    <row r="153" spans="1:20" x14ac:dyDescent="0.25">
      <c r="A153" s="5">
        <v>44440</v>
      </c>
      <c r="B153">
        <v>6.5379999999999994E-2</v>
      </c>
      <c r="C153">
        <v>6.7729999999999999E-2</v>
      </c>
      <c r="D153">
        <v>6.3519999999999993E-2</v>
      </c>
      <c r="E153">
        <v>6.7360000000000003E-2</v>
      </c>
      <c r="F153">
        <v>105267967.09999999</v>
      </c>
      <c r="G153">
        <v>6.7360000000000003E-2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0.82422802850356536</v>
      </c>
      <c r="Q153">
        <f t="shared" ref="Q153" si="741">F153*P153</f>
        <v>86764808.987411171</v>
      </c>
      <c r="R153">
        <f t="shared" ref="R153" si="742">R154+Q153</f>
        <v>413723078.69765842</v>
      </c>
      <c r="S153">
        <f t="shared" ref="S153" si="743">R153/100000</f>
        <v>4137.2307869765846</v>
      </c>
      <c r="T153">
        <f t="shared" ref="T153" si="744">S153/1000</f>
        <v>4.137230786976585</v>
      </c>
    </row>
    <row r="154" spans="1:20" x14ac:dyDescent="0.25">
      <c r="A154" s="5">
        <v>44439</v>
      </c>
      <c r="B154">
        <v>6.4060000000000006E-2</v>
      </c>
      <c r="C154">
        <v>7.8E-2</v>
      </c>
      <c r="D154">
        <v>6.4060000000000006E-2</v>
      </c>
      <c r="E154">
        <v>6.5430000000000002E-2</v>
      </c>
      <c r="F154">
        <v>391410208</v>
      </c>
      <c r="G154">
        <v>6.5430000000000002E-2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-0.80344332855093303</v>
      </c>
      <c r="Q154">
        <f t="shared" ref="Q154" si="746">F154*P154</f>
        <v>-314475920.34433305</v>
      </c>
      <c r="R154">
        <f t="shared" ref="R154" si="747">R155+Q154</f>
        <v>326958269.71024728</v>
      </c>
      <c r="S154">
        <f t="shared" ref="S154" si="748">R154/100000</f>
        <v>3269.5826971024726</v>
      </c>
      <c r="T154">
        <f t="shared" ref="T154" si="749">S154/1000</f>
        <v>3.2695826971024724</v>
      </c>
    </row>
    <row r="155" spans="1:20" x14ac:dyDescent="0.25">
      <c r="A155" s="5">
        <v>44438</v>
      </c>
      <c r="B155">
        <v>6.3649999999999998E-2</v>
      </c>
      <c r="C155">
        <v>6.8500000000000005E-2</v>
      </c>
      <c r="D155">
        <v>6.139E-2</v>
      </c>
      <c r="E155">
        <v>6.4019999999999994E-2</v>
      </c>
      <c r="F155">
        <v>143845271.59999999</v>
      </c>
      <c r="G155">
        <v>6.4019999999999994E-2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-0.26019690576652843</v>
      </c>
      <c r="Q155">
        <f t="shared" ref="Q155" si="751">F155*P155</f>
        <v>-37428094.579465888</v>
      </c>
      <c r="R155">
        <f t="shared" ref="R155" si="752">R156+Q155</f>
        <v>641434190.05458033</v>
      </c>
      <c r="S155">
        <f t="shared" ref="S155" si="753">R155/100000</f>
        <v>6414.3419005458036</v>
      </c>
      <c r="T155">
        <f t="shared" ref="T155" si="754">S155/1000</f>
        <v>6.4143419005458036</v>
      </c>
    </row>
    <row r="156" spans="1:20" x14ac:dyDescent="0.25">
      <c r="A156" s="5">
        <v>44437</v>
      </c>
      <c r="B156">
        <v>6.4829999999999999E-2</v>
      </c>
      <c r="C156">
        <v>6.6460000000000005E-2</v>
      </c>
      <c r="D156">
        <v>6.2600000000000003E-2</v>
      </c>
      <c r="E156">
        <v>6.368E-2</v>
      </c>
      <c r="F156">
        <v>61758573.700000003</v>
      </c>
      <c r="G156">
        <v>6.368E-2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-0.44041450777202229</v>
      </c>
      <c r="Q156">
        <f t="shared" ref="Q156" si="756">F156*P156</f>
        <v>-27199371.836787663</v>
      </c>
      <c r="R156">
        <f t="shared" ref="R156" si="757">R157+Q156</f>
        <v>678862284.6340462</v>
      </c>
      <c r="S156">
        <f t="shared" ref="S156" si="758">R156/100000</f>
        <v>6788.6228463404623</v>
      </c>
      <c r="T156">
        <f t="shared" ref="T156" si="759">S156/1000</f>
        <v>6.7886228463404619</v>
      </c>
    </row>
    <row r="157" spans="1:20" x14ac:dyDescent="0.25">
      <c r="A157" s="5">
        <v>44436</v>
      </c>
      <c r="B157">
        <v>6.6879999999999995E-2</v>
      </c>
      <c r="C157">
        <v>6.7760000000000001E-2</v>
      </c>
      <c r="D157">
        <v>6.3899999999999998E-2</v>
      </c>
      <c r="E157">
        <v>6.4829999999999999E-2</v>
      </c>
      <c r="F157">
        <v>49220366.100000001</v>
      </c>
      <c r="G157">
        <v>6.4829999999999999E-2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-0.51813471502590691</v>
      </c>
      <c r="Q157">
        <f t="shared" ref="Q157" si="761">F157*P157</f>
        <v>-25502780.362694308</v>
      </c>
      <c r="R157">
        <f t="shared" ref="R157" si="762">R158+Q157</f>
        <v>706061656.4708339</v>
      </c>
      <c r="S157">
        <f t="shared" ref="S157" si="763">R157/100000</f>
        <v>7060.616564708339</v>
      </c>
      <c r="T157">
        <f t="shared" ref="T157" si="764">S157/1000</f>
        <v>7.0606165647083392</v>
      </c>
    </row>
    <row r="158" spans="1:20" x14ac:dyDescent="0.25">
      <c r="A158" s="5">
        <v>44435</v>
      </c>
      <c r="B158">
        <v>6.3469999999999999E-2</v>
      </c>
      <c r="C158">
        <v>6.7320000000000005E-2</v>
      </c>
      <c r="D158">
        <v>6.0940000000000001E-2</v>
      </c>
      <c r="E158">
        <v>6.6900000000000001E-2</v>
      </c>
      <c r="F158">
        <v>82248938.200000003</v>
      </c>
      <c r="G158">
        <v>6.6900000000000001E-2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0.86833855799372928</v>
      </c>
      <c r="Q158">
        <f t="shared" ref="Q158" si="766">F158*P158</f>
        <v>71419924.393103361</v>
      </c>
      <c r="R158">
        <f t="shared" ref="R158" si="767">R159+Q158</f>
        <v>731564436.83352816</v>
      </c>
      <c r="S158">
        <f t="shared" ref="S158" si="768">R158/100000</f>
        <v>7315.6443683352818</v>
      </c>
      <c r="T158">
        <f t="shared" ref="T158" si="769">S158/1000</f>
        <v>7.3156443683352821</v>
      </c>
    </row>
    <row r="159" spans="1:20" x14ac:dyDescent="0.25">
      <c r="A159" s="5">
        <v>44434</v>
      </c>
      <c r="B159">
        <v>7.0550000000000002E-2</v>
      </c>
      <c r="C159">
        <v>7.1230000000000002E-2</v>
      </c>
      <c r="D159">
        <v>6.3210000000000002E-2</v>
      </c>
      <c r="E159">
        <v>6.3299999999999995E-2</v>
      </c>
      <c r="F159">
        <v>88284727.599999994</v>
      </c>
      <c r="G159">
        <v>6.3299999999999995E-2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-0.97755610972568752</v>
      </c>
      <c r="Q159">
        <f t="shared" ref="Q159" si="771">F159*P159</f>
        <v>-86303274.860848024</v>
      </c>
      <c r="R159">
        <f t="shared" ref="R159" si="772">R160+Q159</f>
        <v>660144512.4404248</v>
      </c>
      <c r="S159">
        <f t="shared" ref="S159" si="773">R159/100000</f>
        <v>6601.4451244042484</v>
      </c>
      <c r="T159">
        <f t="shared" ref="T159" si="774">S159/1000</f>
        <v>6.6014451244042487</v>
      </c>
    </row>
    <row r="160" spans="1:20" x14ac:dyDescent="0.25">
      <c r="A160" s="5">
        <v>44433</v>
      </c>
      <c r="B160">
        <v>6.9269999999999998E-2</v>
      </c>
      <c r="C160">
        <v>7.1929999999999994E-2</v>
      </c>
      <c r="D160">
        <v>6.6439999999999999E-2</v>
      </c>
      <c r="E160">
        <v>7.0660000000000001E-2</v>
      </c>
      <c r="F160">
        <v>82605734.799999997</v>
      </c>
      <c r="G160">
        <v>7.0660000000000001E-2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0.53734061930783439</v>
      </c>
      <c r="Q160">
        <f t="shared" ref="Q160" si="776">F160*P160</f>
        <v>44387416.695810728</v>
      </c>
      <c r="R160">
        <f t="shared" ref="R160" si="777">R161+Q160</f>
        <v>746447787.30127287</v>
      </c>
      <c r="S160">
        <f t="shared" ref="S160" si="778">R160/100000</f>
        <v>7464.4778730127291</v>
      </c>
      <c r="T160">
        <f t="shared" ref="T160" si="779">S160/1000</f>
        <v>7.4644778730127292</v>
      </c>
    </row>
    <row r="161" spans="1:20" x14ac:dyDescent="0.25">
      <c r="A161" s="5">
        <v>44432</v>
      </c>
      <c r="B161">
        <v>7.4910000000000004E-2</v>
      </c>
      <c r="C161">
        <v>7.6340000000000005E-2</v>
      </c>
      <c r="D161">
        <v>6.7379999999999995E-2</v>
      </c>
      <c r="E161">
        <v>6.9279999999999994E-2</v>
      </c>
      <c r="F161">
        <v>121785141.5</v>
      </c>
      <c r="G161">
        <v>6.9279999999999994E-2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-0.57589285714285787</v>
      </c>
      <c r="Q161">
        <f t="shared" ref="Q161" si="781">F161*P161</f>
        <v>-70135193.095982239</v>
      </c>
      <c r="R161">
        <f t="shared" ref="R161" si="782">R162+Q161</f>
        <v>702060370.60546219</v>
      </c>
      <c r="S161">
        <f t="shared" ref="S161" si="783">R161/100000</f>
        <v>7020.6037060546223</v>
      </c>
      <c r="T161">
        <f t="shared" ref="T161" si="784">S161/1000</f>
        <v>7.0206037060546223</v>
      </c>
    </row>
    <row r="162" spans="1:20" x14ac:dyDescent="0.25">
      <c r="A162" s="5">
        <v>44431</v>
      </c>
      <c r="B162">
        <v>7.3679999999999995E-2</v>
      </c>
      <c r="C162">
        <v>7.7810000000000004E-2</v>
      </c>
      <c r="D162">
        <v>7.2459999999999997E-2</v>
      </c>
      <c r="E162">
        <v>7.4959999999999999E-2</v>
      </c>
      <c r="F162">
        <v>110884787.09999999</v>
      </c>
      <c r="G162">
        <v>7.4959999999999999E-2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-6.5420560747664031E-2</v>
      </c>
      <c r="Q162">
        <f t="shared" ref="Q162" si="786">F162*P162</f>
        <v>-7254144.9504673425</v>
      </c>
      <c r="R162">
        <f t="shared" ref="R162" si="787">R163+Q162</f>
        <v>772195563.70144439</v>
      </c>
      <c r="S162">
        <f t="shared" ref="S162" si="788">R162/100000</f>
        <v>7721.9556370144437</v>
      </c>
      <c r="T162">
        <f t="shared" ref="T162" si="789">S162/1000</f>
        <v>7.7219556370144433</v>
      </c>
    </row>
    <row r="163" spans="1:20" x14ac:dyDescent="0.25">
      <c r="A163" s="5">
        <v>44430</v>
      </c>
      <c r="B163">
        <v>7.4359999999999996E-2</v>
      </c>
      <c r="C163">
        <v>7.689E-2</v>
      </c>
      <c r="D163">
        <v>7.2739999999999999E-2</v>
      </c>
      <c r="E163">
        <v>7.3749999999999996E-2</v>
      </c>
      <c r="F163">
        <v>34632367.799999997</v>
      </c>
      <c r="G163">
        <v>7.3749999999999996E-2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-0.51325301204819429</v>
      </c>
      <c r="Q163">
        <f t="shared" ref="Q163" si="791">F163*P163</f>
        <v>-17775167.087710895</v>
      </c>
      <c r="R163">
        <f t="shared" ref="R163" si="792">R164+Q163</f>
        <v>779449708.65191174</v>
      </c>
      <c r="S163">
        <f t="shared" ref="S163" si="793">R163/100000</f>
        <v>7794.4970865191171</v>
      </c>
      <c r="T163">
        <f t="shared" ref="T163" si="794">S163/1000</f>
        <v>7.794497086519117</v>
      </c>
    </row>
    <row r="164" spans="1:20" x14ac:dyDescent="0.25">
      <c r="A164" s="5">
        <v>44429</v>
      </c>
      <c r="B164">
        <v>6.9099999999999995E-2</v>
      </c>
      <c r="C164">
        <v>7.6799999999999993E-2</v>
      </c>
      <c r="D164">
        <v>6.794E-2</v>
      </c>
      <c r="E164">
        <v>7.4550000000000005E-2</v>
      </c>
      <c r="F164">
        <v>215759150.80000001</v>
      </c>
      <c r="G164">
        <v>7.4550000000000005E-2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0.49209932279909935</v>
      </c>
      <c r="Q164">
        <f t="shared" ref="Q164" si="796">F164*P164</f>
        <v>106174931.99638876</v>
      </c>
      <c r="R164">
        <f t="shared" ref="R164" si="797">R165+Q164</f>
        <v>797224875.73962259</v>
      </c>
      <c r="S164">
        <f t="shared" ref="S164" si="798">R164/100000</f>
        <v>7972.2487573962262</v>
      </c>
      <c r="T164">
        <f t="shared" ref="T164" si="799">S164/1000</f>
        <v>7.9722487573962262</v>
      </c>
    </row>
    <row r="165" spans="1:20" x14ac:dyDescent="0.25">
      <c r="A165" s="5">
        <v>44428</v>
      </c>
      <c r="B165">
        <v>6.4939999999999998E-2</v>
      </c>
      <c r="C165">
        <v>6.9639999999999994E-2</v>
      </c>
      <c r="D165">
        <v>6.4619999999999997E-2</v>
      </c>
      <c r="E165">
        <v>6.9099999999999995E-2</v>
      </c>
      <c r="F165">
        <v>116765465.40000001</v>
      </c>
      <c r="G165">
        <v>6.9099999999999995E-2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0.7848605577689246</v>
      </c>
      <c r="Q165">
        <f t="shared" ref="Q165" si="801">F165*P165</f>
        <v>91644608.301992074</v>
      </c>
      <c r="R165">
        <f t="shared" ref="R165" si="802">R166+Q165</f>
        <v>691049943.7432338</v>
      </c>
      <c r="S165">
        <f t="shared" ref="S165" si="803">R165/100000</f>
        <v>6910.4994374323378</v>
      </c>
      <c r="T165">
        <f t="shared" ref="T165" si="804">S165/1000</f>
        <v>6.9104994374323381</v>
      </c>
    </row>
    <row r="166" spans="1:20" x14ac:dyDescent="0.25">
      <c r="A166" s="5">
        <v>44427</v>
      </c>
      <c r="B166">
        <v>6.3490000000000005E-2</v>
      </c>
      <c r="C166">
        <v>6.5490000000000007E-2</v>
      </c>
      <c r="D166">
        <v>6.1440000000000002E-2</v>
      </c>
      <c r="E166">
        <v>6.497E-2</v>
      </c>
      <c r="F166">
        <v>99789765.799999997</v>
      </c>
      <c r="G166">
        <v>6.497E-2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0.74320987654320692</v>
      </c>
      <c r="Q166">
        <f t="shared" ref="Q166" si="806">F166*P166</f>
        <v>74164739.520493522</v>
      </c>
      <c r="R166">
        <f t="shared" ref="R166" si="807">R167+Q166</f>
        <v>599405335.44124174</v>
      </c>
      <c r="S166">
        <f t="shared" ref="S166" si="808">R166/100000</f>
        <v>5994.0533544124173</v>
      </c>
      <c r="T166">
        <f t="shared" ref="T166" si="809">S166/1000</f>
        <v>5.9940533544124177</v>
      </c>
    </row>
    <row r="167" spans="1:20" x14ac:dyDescent="0.25">
      <c r="A167" s="5">
        <v>44426</v>
      </c>
      <c r="B167">
        <v>6.1929999999999999E-2</v>
      </c>
      <c r="C167">
        <v>6.5390000000000004E-2</v>
      </c>
      <c r="D167">
        <v>5.8810000000000001E-2</v>
      </c>
      <c r="E167">
        <v>6.3560000000000005E-2</v>
      </c>
      <c r="F167">
        <v>146151443.90000001</v>
      </c>
      <c r="G167">
        <v>6.3560000000000005E-2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0.44376899696048705</v>
      </c>
      <c r="Q167">
        <f t="shared" ref="Q167" si="811">F167*P167</f>
        <v>64857479.663829893</v>
      </c>
      <c r="R167">
        <f t="shared" ref="R167" si="812">R168+Q167</f>
        <v>525240595.92074823</v>
      </c>
      <c r="S167">
        <f t="shared" ref="S167" si="813">R167/100000</f>
        <v>5252.4059592074827</v>
      </c>
      <c r="T167">
        <f t="shared" ref="T167" si="814">S167/1000</f>
        <v>5.2524059592074828</v>
      </c>
    </row>
    <row r="168" spans="1:20" x14ac:dyDescent="0.25">
      <c r="A168" s="5">
        <v>44425</v>
      </c>
      <c r="B168">
        <v>6.7909999999999998E-2</v>
      </c>
      <c r="C168">
        <v>7.1870000000000003E-2</v>
      </c>
      <c r="D168">
        <v>6.1210000000000001E-2</v>
      </c>
      <c r="E168">
        <v>6.1949999999999998E-2</v>
      </c>
      <c r="F168">
        <v>118579943.8</v>
      </c>
      <c r="G168">
        <v>6.1949999999999998E-2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-0.86116322701688608</v>
      </c>
      <c r="Q168">
        <f t="shared" ref="Q168" si="816">F168*P168</f>
        <v>-102116687.06228898</v>
      </c>
      <c r="R168">
        <f t="shared" ref="R168" si="817">R169+Q168</f>
        <v>460383116.25691831</v>
      </c>
      <c r="S168">
        <f t="shared" ref="S168" si="818">R168/100000</f>
        <v>4603.8311625691831</v>
      </c>
      <c r="T168">
        <f t="shared" ref="T168" si="819">S168/1000</f>
        <v>4.6038311625691835</v>
      </c>
    </row>
    <row r="169" spans="1:20" x14ac:dyDescent="0.25">
      <c r="A169" s="5">
        <v>44424</v>
      </c>
      <c r="B169">
        <v>6.9540000000000005E-2</v>
      </c>
      <c r="C169">
        <v>7.2700000000000001E-2</v>
      </c>
      <c r="D169">
        <v>6.7339999999999997E-2</v>
      </c>
      <c r="E169">
        <v>6.7960000000000007E-2</v>
      </c>
      <c r="F169">
        <v>108921499.7</v>
      </c>
      <c r="G169">
        <v>6.7960000000000007E-2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-0.76865671641790712</v>
      </c>
      <c r="Q169">
        <f t="shared" ref="Q169" si="821">F169*P169</f>
        <v>-83723242.306716055</v>
      </c>
      <c r="R169">
        <f t="shared" ref="R169" si="822">R170+Q169</f>
        <v>562499803.31920731</v>
      </c>
      <c r="S169">
        <f t="shared" ref="S169" si="823">R169/100000</f>
        <v>5624.9980331920733</v>
      </c>
      <c r="T169">
        <f t="shared" ref="T169" si="824">S169/1000</f>
        <v>5.6249980331920737</v>
      </c>
    </row>
    <row r="170" spans="1:20" x14ac:dyDescent="0.25">
      <c r="A170" s="5">
        <v>44423</v>
      </c>
      <c r="B170">
        <v>6.8949999999999997E-2</v>
      </c>
      <c r="C170">
        <v>6.9900000000000004E-2</v>
      </c>
      <c r="D170">
        <v>6.5500000000000003E-2</v>
      </c>
      <c r="E170">
        <v>6.9540000000000005E-2</v>
      </c>
      <c r="F170">
        <v>76737058.799999997</v>
      </c>
      <c r="G170">
        <v>6.9540000000000005E-2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0.83636363636363675</v>
      </c>
      <c r="Q170">
        <f t="shared" ref="Q170" si="826">F170*P170</f>
        <v>64180085.541818209</v>
      </c>
      <c r="R170">
        <f t="shared" ref="R170" si="827">R171+Q170</f>
        <v>646223045.6259234</v>
      </c>
      <c r="S170">
        <f t="shared" ref="S170" si="828">R170/100000</f>
        <v>6462.2304562592335</v>
      </c>
      <c r="T170">
        <f t="shared" ref="T170" si="829">S170/1000</f>
        <v>6.4622304562592339</v>
      </c>
    </row>
    <row r="171" spans="1:20" x14ac:dyDescent="0.25">
      <c r="A171" s="5">
        <v>44422</v>
      </c>
      <c r="B171">
        <v>6.9930000000000006E-2</v>
      </c>
      <c r="C171">
        <v>7.0910000000000001E-2</v>
      </c>
      <c r="D171">
        <v>6.6089999999999996E-2</v>
      </c>
      <c r="E171">
        <v>6.8959999999999994E-2</v>
      </c>
      <c r="F171">
        <v>119742339</v>
      </c>
      <c r="G171">
        <v>6.8959999999999994E-2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0.1908713692946036</v>
      </c>
      <c r="Q171">
        <f t="shared" ref="Q171" si="831">F171*P171</f>
        <v>22855384.207468614</v>
      </c>
      <c r="R171">
        <f t="shared" ref="R171" si="832">R172+Q171</f>
        <v>582042960.08410513</v>
      </c>
      <c r="S171">
        <f t="shared" ref="S171" si="833">R171/100000</f>
        <v>5820.4296008410511</v>
      </c>
      <c r="T171">
        <f t="shared" ref="T171" si="834">S171/1000</f>
        <v>5.8204296008410514</v>
      </c>
    </row>
    <row r="172" spans="1:20" x14ac:dyDescent="0.25">
      <c r="A172" s="5">
        <v>44421</v>
      </c>
      <c r="B172">
        <v>6.012E-2</v>
      </c>
      <c r="C172">
        <v>7.1980000000000002E-2</v>
      </c>
      <c r="D172">
        <v>6.0100000000000001E-2</v>
      </c>
      <c r="E172">
        <v>6.9940000000000002E-2</v>
      </c>
      <c r="F172">
        <v>238827726.30000001</v>
      </c>
      <c r="G172">
        <v>6.9940000000000002E-2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0.65656565656565657</v>
      </c>
      <c r="Q172">
        <f t="shared" ref="Q172" si="836">F172*P172</f>
        <v>156806082.92424244</v>
      </c>
      <c r="R172">
        <f t="shared" ref="R172" si="837">R173+Q172</f>
        <v>559187575.87663651</v>
      </c>
      <c r="S172">
        <f t="shared" ref="S172" si="838">R172/100000</f>
        <v>5591.8757587663649</v>
      </c>
      <c r="T172">
        <f t="shared" ref="T172" si="839">S172/1000</f>
        <v>5.5918757587663652</v>
      </c>
    </row>
    <row r="173" spans="1:20" x14ac:dyDescent="0.25">
      <c r="A173" s="5">
        <v>44420</v>
      </c>
      <c r="B173">
        <v>6.2210000000000001E-2</v>
      </c>
      <c r="C173">
        <v>6.5000000000000002E-2</v>
      </c>
      <c r="D173">
        <v>5.7750000000000003E-2</v>
      </c>
      <c r="E173">
        <v>6.0179999999999997E-2</v>
      </c>
      <c r="F173">
        <v>124511658.5</v>
      </c>
      <c r="G173">
        <v>6.0179999999999997E-2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-0.32965517241379455</v>
      </c>
      <c r="Q173">
        <f t="shared" ref="Q173" si="841">F173*P173</f>
        <v>-41045912.250345007</v>
      </c>
      <c r="R173">
        <f t="shared" ref="R173" si="842">R174+Q173</f>
        <v>402381492.95239401</v>
      </c>
      <c r="S173">
        <f t="shared" ref="S173" si="843">R173/100000</f>
        <v>4023.81492952394</v>
      </c>
      <c r="T173">
        <f t="shared" ref="T173" si="844">S173/1000</f>
        <v>4.0238149295239403</v>
      </c>
    </row>
    <row r="174" spans="1:20" x14ac:dyDescent="0.25">
      <c r="A174" s="5">
        <v>44419</v>
      </c>
      <c r="B174">
        <v>5.8430000000000003E-2</v>
      </c>
      <c r="C174">
        <v>6.6110000000000002E-2</v>
      </c>
      <c r="D174">
        <v>5.824E-2</v>
      </c>
      <c r="E174">
        <v>6.2300000000000001E-2</v>
      </c>
      <c r="F174">
        <v>159388732.69999999</v>
      </c>
      <c r="G174">
        <v>6.2300000000000001E-2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3.1766200762388841E-2</v>
      </c>
      <c r="Q174">
        <f t="shared" ref="Q174" si="846">F174*P174</f>
        <v>5063174.4822109304</v>
      </c>
      <c r="R174">
        <f t="shared" ref="R174" si="847">R175+Q174</f>
        <v>443427405.202739</v>
      </c>
      <c r="S174">
        <f t="shared" ref="S174" si="848">R174/100000</f>
        <v>4434.2740520273901</v>
      </c>
      <c r="T174">
        <f t="shared" ref="T174" si="849">S174/1000</f>
        <v>4.4342740520273898</v>
      </c>
    </row>
    <row r="175" spans="1:20" x14ac:dyDescent="0.25">
      <c r="A175" s="5">
        <v>44418</v>
      </c>
      <c r="B175">
        <v>5.6840000000000002E-2</v>
      </c>
      <c r="C175">
        <v>5.8999999999999997E-2</v>
      </c>
      <c r="D175">
        <v>5.5570000000000001E-2</v>
      </c>
      <c r="E175">
        <v>5.8409999999999997E-2</v>
      </c>
      <c r="F175">
        <v>103861283.09999999</v>
      </c>
      <c r="G175">
        <v>5.8409999999999997E-2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0.65597667638483903</v>
      </c>
      <c r="Q175">
        <f t="shared" ref="Q175" si="851">F175*P175</f>
        <v>68130579.293002844</v>
      </c>
      <c r="R175">
        <f t="shared" ref="R175" si="852">R176+Q175</f>
        <v>438364230.72052807</v>
      </c>
      <c r="S175">
        <f t="shared" ref="S175" si="853">R175/100000</f>
        <v>4383.6423072052803</v>
      </c>
      <c r="T175">
        <f t="shared" ref="T175" si="854">S175/1000</f>
        <v>4.3836423072052799</v>
      </c>
    </row>
    <row r="176" spans="1:20" x14ac:dyDescent="0.25">
      <c r="A176" s="5">
        <v>44417</v>
      </c>
      <c r="B176">
        <v>5.237E-2</v>
      </c>
      <c r="C176">
        <v>5.747E-2</v>
      </c>
      <c r="D176">
        <v>5.1549999999999999E-2</v>
      </c>
      <c r="E176">
        <v>5.6890000000000003E-2</v>
      </c>
      <c r="F176">
        <v>78742099.400000006</v>
      </c>
      <c r="G176">
        <v>5.6890000000000003E-2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0.80405405405405506</v>
      </c>
      <c r="Q176">
        <f t="shared" ref="Q176" si="856">F176*P176</f>
        <v>63312904.247297384</v>
      </c>
      <c r="R176">
        <f t="shared" ref="R176" si="857">R177+Q176</f>
        <v>370233651.42752522</v>
      </c>
      <c r="S176">
        <f t="shared" ref="S176" si="858">R176/100000</f>
        <v>3702.3365142752523</v>
      </c>
      <c r="T176">
        <f t="shared" ref="T176" si="859">S176/1000</f>
        <v>3.7023365142752525</v>
      </c>
    </row>
    <row r="177" spans="1:20" x14ac:dyDescent="0.25">
      <c r="A177" s="5">
        <v>44416</v>
      </c>
      <c r="B177">
        <v>5.6460000000000003E-2</v>
      </c>
      <c r="C177">
        <v>5.6559999999999999E-2</v>
      </c>
      <c r="D177">
        <v>5.2109999999999997E-2</v>
      </c>
      <c r="E177">
        <v>5.2269999999999997E-2</v>
      </c>
      <c r="F177">
        <v>77826159.5</v>
      </c>
      <c r="G177">
        <v>5.2269999999999997E-2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-0.92808988764044931</v>
      </c>
      <c r="Q177">
        <f t="shared" ref="Q177" si="861">F177*P177</f>
        <v>-72229671.62584269</v>
      </c>
      <c r="R177">
        <f t="shared" ref="R177" si="862">R178+Q177</f>
        <v>306920747.18022782</v>
      </c>
      <c r="S177">
        <f t="shared" ref="S177" si="863">R177/100000</f>
        <v>3069.2074718022782</v>
      </c>
      <c r="T177">
        <f t="shared" ref="T177" si="864">S177/1000</f>
        <v>3.0692074718022782</v>
      </c>
    </row>
    <row r="178" spans="1:20" x14ac:dyDescent="0.25">
      <c r="A178" s="5">
        <v>44415</v>
      </c>
      <c r="B178">
        <v>5.4289999999999998E-2</v>
      </c>
      <c r="C178">
        <v>5.7849999999999999E-2</v>
      </c>
      <c r="D178">
        <v>5.1999999999999998E-2</v>
      </c>
      <c r="E178">
        <v>5.6500000000000002E-2</v>
      </c>
      <c r="F178">
        <v>154587507</v>
      </c>
      <c r="G178">
        <v>5.6500000000000002E-2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0.53846153846153955</v>
      </c>
      <c r="Q178">
        <f t="shared" ref="Q178" si="866">F178*P178</f>
        <v>83239426.846154019</v>
      </c>
      <c r="R178">
        <f t="shared" ref="R178" si="867">R179+Q178</f>
        <v>379150418.80607051</v>
      </c>
      <c r="S178">
        <f t="shared" ref="S178" si="868">R178/100000</f>
        <v>3791.504188060705</v>
      </c>
      <c r="T178">
        <f t="shared" ref="T178" si="869">S178/1000</f>
        <v>3.791504188060705</v>
      </c>
    </row>
    <row r="179" spans="1:20" x14ac:dyDescent="0.25">
      <c r="A179" s="5">
        <v>44414</v>
      </c>
      <c r="B179">
        <v>5.1869999999999999E-2</v>
      </c>
      <c r="C179">
        <v>5.4399999999999997E-2</v>
      </c>
      <c r="D179">
        <v>5.0630000000000001E-2</v>
      </c>
      <c r="E179">
        <v>5.4269999999999999E-2</v>
      </c>
      <c r="F179">
        <v>92830115.900000006</v>
      </c>
      <c r="G179">
        <v>5.4269999999999999E-2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0.93103448275862155</v>
      </c>
      <c r="Q179">
        <f t="shared" ref="Q179" si="871">F179*P179</f>
        <v>86428038.941379398</v>
      </c>
      <c r="R179">
        <f t="shared" ref="R179" si="872">R180+Q179</f>
        <v>295910991.95991647</v>
      </c>
      <c r="S179">
        <f t="shared" ref="S179" si="873">R179/100000</f>
        <v>2959.1099195991646</v>
      </c>
      <c r="T179">
        <f t="shared" ref="T179" si="874">S179/1000</f>
        <v>2.9591099195991646</v>
      </c>
    </row>
    <row r="180" spans="1:20" x14ac:dyDescent="0.25">
      <c r="A180" s="5">
        <v>44413</v>
      </c>
      <c r="B180">
        <v>5.1729999999999998E-2</v>
      </c>
      <c r="C180">
        <v>5.2609999999999997E-2</v>
      </c>
      <c r="D180">
        <v>4.8860000000000001E-2</v>
      </c>
      <c r="E180">
        <v>5.185E-2</v>
      </c>
      <c r="F180">
        <v>93754870.599999994</v>
      </c>
      <c r="G180">
        <v>5.185E-2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0.59466666666666801</v>
      </c>
      <c r="Q180">
        <f t="shared" ref="Q180" si="876">F180*P180</f>
        <v>55752896.383466788</v>
      </c>
      <c r="R180">
        <f t="shared" ref="R180" si="877">R181+Q180</f>
        <v>209482953.01853707</v>
      </c>
      <c r="S180">
        <f t="shared" ref="S180" si="878">R180/100000</f>
        <v>2094.8295301853709</v>
      </c>
      <c r="T180">
        <f t="shared" ref="T180" si="879">S180/1000</f>
        <v>2.094829530185371</v>
      </c>
    </row>
    <row r="181" spans="1:20" x14ac:dyDescent="0.25">
      <c r="A181" s="5">
        <v>44412</v>
      </c>
      <c r="B181">
        <v>4.9029999999999997E-2</v>
      </c>
      <c r="C181">
        <v>5.2589999999999998E-2</v>
      </c>
      <c r="D181">
        <v>4.7260000000000003E-2</v>
      </c>
      <c r="E181">
        <v>5.1749999999999997E-2</v>
      </c>
      <c r="F181">
        <v>83756440.799999997</v>
      </c>
      <c r="G181">
        <v>5.1749999999999997E-2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0.68480300187617216</v>
      </c>
      <c r="Q181">
        <f t="shared" ref="Q181" si="881">F181*P181</f>
        <v>57356662.086303897</v>
      </c>
      <c r="R181">
        <f t="shared" ref="R181" si="882">R182+Q181</f>
        <v>153730056.63507029</v>
      </c>
      <c r="S181">
        <f t="shared" ref="S181" si="883">R181/100000</f>
        <v>1537.3005663507029</v>
      </c>
      <c r="T181">
        <f t="shared" ref="T181" si="884">S181/1000</f>
        <v>1.5373005663507029</v>
      </c>
    </row>
    <row r="182" spans="1:20" x14ac:dyDescent="0.25">
      <c r="A182" s="5">
        <v>44411</v>
      </c>
      <c r="B182">
        <v>4.9970000000000001E-2</v>
      </c>
      <c r="C182">
        <v>5.0720000000000001E-2</v>
      </c>
      <c r="D182">
        <v>4.7260000000000003E-2</v>
      </c>
      <c r="E182">
        <v>4.9009999999999998E-2</v>
      </c>
      <c r="F182">
        <v>89039092.799999997</v>
      </c>
      <c r="G182">
        <v>4.9009999999999998E-2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1.1560693641616028E-2</v>
      </c>
      <c r="Q182">
        <f t="shared" ref="Q182" si="886">F182*P182</f>
        <v>1029353.6739882195</v>
      </c>
      <c r="R182">
        <f t="shared" ref="R182" si="887">R183+Q182</f>
        <v>96373394.548766404</v>
      </c>
      <c r="S182">
        <f t="shared" ref="S182" si="888">R182/100000</f>
        <v>963.73394548766407</v>
      </c>
      <c r="T182">
        <f t="shared" ref="T182" si="889">S182/1000</f>
        <v>0.96373394548766411</v>
      </c>
    </row>
    <row r="183" spans="1:20" x14ac:dyDescent="0.25">
      <c r="A183" s="5">
        <v>44410</v>
      </c>
      <c r="B183">
        <v>5.16E-2</v>
      </c>
      <c r="C183">
        <v>5.3929999999999999E-2</v>
      </c>
      <c r="D183">
        <v>4.938E-2</v>
      </c>
      <c r="E183">
        <v>4.9970000000000001E-2</v>
      </c>
      <c r="F183">
        <v>170365376.5</v>
      </c>
      <c r="G183">
        <v>4.9970000000000001E-2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-0.74065934065934047</v>
      </c>
      <c r="Q183">
        <f t="shared" ref="Q183" si="891">F183*P183</f>
        <v>-126182707.4296703</v>
      </c>
      <c r="R183">
        <f t="shared" ref="R183" si="892">R184+Q183</f>
        <v>95344040.874778181</v>
      </c>
      <c r="S183">
        <f t="shared" ref="S183" si="893">R183/100000</f>
        <v>953.44040874778182</v>
      </c>
      <c r="T183">
        <f t="shared" ref="T183" si="894">S183/1000</f>
        <v>0.9534404087477818</v>
      </c>
    </row>
    <row r="184" spans="1:20" x14ac:dyDescent="0.25">
      <c r="A184" s="5">
        <v>44409</v>
      </c>
      <c r="B184">
        <v>4.598E-2</v>
      </c>
      <c r="C184">
        <v>5.4640000000000001E-2</v>
      </c>
      <c r="D184">
        <v>4.5620000000000001E-2</v>
      </c>
      <c r="E184">
        <v>5.1670000000000001E-2</v>
      </c>
      <c r="F184">
        <v>416618081.10000002</v>
      </c>
      <c r="G184">
        <v>5.1670000000000001E-2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0.34146341463414626</v>
      </c>
      <c r="Q184">
        <f t="shared" ref="Q184" si="896">F184*P184</f>
        <v>142259832.57073167</v>
      </c>
      <c r="R184">
        <f t="shared" ref="R184" si="897">R185+Q184</f>
        <v>221526748.30444849</v>
      </c>
      <c r="S184">
        <f t="shared" ref="S184" si="898">R184/100000</f>
        <v>2215.2674830444848</v>
      </c>
      <c r="T184">
        <f t="shared" ref="T184" si="899">S184/1000</f>
        <v>2.2152674830444847</v>
      </c>
    </row>
    <row r="185" spans="1:20" x14ac:dyDescent="0.25">
      <c r="A185" s="5">
        <v>44408</v>
      </c>
      <c r="B185">
        <v>4.5289999999999997E-2</v>
      </c>
      <c r="C185">
        <v>4.7199999999999999E-2</v>
      </c>
      <c r="D185">
        <v>4.4569999999999999E-2</v>
      </c>
      <c r="E185">
        <v>4.5900000000000003E-2</v>
      </c>
      <c r="F185">
        <v>77948806.400000006</v>
      </c>
      <c r="G185">
        <v>4.5900000000000003E-2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1.1406844106467369E-2</v>
      </c>
      <c r="Q185">
        <f t="shared" ref="Q185" si="901">F185*P185</f>
        <v>889149.88289000595</v>
      </c>
      <c r="R185">
        <f t="shared" ref="R185" si="902">R186+Q185</f>
        <v>79266915.733716816</v>
      </c>
      <c r="S185">
        <f t="shared" ref="S185" si="903">R185/100000</f>
        <v>792.66915733716814</v>
      </c>
      <c r="T185">
        <f t="shared" ref="T185" si="904">S185/1000</f>
        <v>0.79266915733716814</v>
      </c>
    </row>
    <row r="186" spans="1:20" x14ac:dyDescent="0.25">
      <c r="A186" s="5">
        <v>44407</v>
      </c>
      <c r="B186">
        <v>4.4089999999999997E-2</v>
      </c>
      <c r="C186">
        <v>4.5429999999999998E-2</v>
      </c>
      <c r="D186">
        <v>4.2040000000000001E-2</v>
      </c>
      <c r="E186">
        <v>4.5330000000000002E-2</v>
      </c>
      <c r="F186">
        <v>68096035.599999994</v>
      </c>
      <c r="G186">
        <v>4.5330000000000002E-2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0.94100294985250976</v>
      </c>
      <c r="Q186">
        <f t="shared" ref="Q186" si="906">F186*P186</f>
        <v>64078570.372861512</v>
      </c>
      <c r="R186">
        <f t="shared" ref="R186" si="907">R187+Q186</f>
        <v>78377765.850826815</v>
      </c>
      <c r="S186">
        <f t="shared" ref="S186" si="908">R186/100000</f>
        <v>783.77765850826813</v>
      </c>
      <c r="T186">
        <f t="shared" ref="T186" si="909">S186/1000</f>
        <v>0.78377765850826808</v>
      </c>
    </row>
    <row r="187" spans="1:20" x14ac:dyDescent="0.25">
      <c r="A187" s="5">
        <v>44406</v>
      </c>
      <c r="B187">
        <v>4.3069999999999997E-2</v>
      </c>
      <c r="C187">
        <v>4.4540000000000003E-2</v>
      </c>
      <c r="D187">
        <v>4.1849999999999998E-2</v>
      </c>
      <c r="E187">
        <v>4.4089999999999997E-2</v>
      </c>
      <c r="F187">
        <v>44321760.100000001</v>
      </c>
      <c r="G187">
        <v>4.4089999999999997E-2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0.66542750929367644</v>
      </c>
      <c r="Q187">
        <f t="shared" ref="Q187" si="911">F187*P187</f>
        <v>29492918.43085485</v>
      </c>
      <c r="R187">
        <f t="shared" ref="R187" si="912">R188+Q187</f>
        <v>14299195.477965297</v>
      </c>
      <c r="S187">
        <f t="shared" ref="S187" si="913">R187/100000</f>
        <v>142.99195477965299</v>
      </c>
      <c r="T187">
        <f t="shared" ref="T187" si="914">S187/1000</f>
        <v>0.14299195477965299</v>
      </c>
    </row>
    <row r="188" spans="1:20" x14ac:dyDescent="0.25">
      <c r="A188" s="5">
        <v>44405</v>
      </c>
      <c r="B188">
        <v>4.3770000000000003E-2</v>
      </c>
      <c r="C188">
        <v>4.4429999999999997E-2</v>
      </c>
      <c r="D188">
        <v>4.2090000000000002E-2</v>
      </c>
      <c r="E188">
        <v>4.2999999999999997E-2</v>
      </c>
      <c r="F188">
        <v>51750664.899999999</v>
      </c>
      <c r="G188">
        <v>4.2999999999999997E-2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-0.22222222222222551</v>
      </c>
      <c r="Q188">
        <f t="shared" ref="Q188" si="916">F188*P188</f>
        <v>-11500147.755555725</v>
      </c>
      <c r="R188">
        <f t="shared" ref="R188" si="917">R189+Q188</f>
        <v>-15193722.952889552</v>
      </c>
      <c r="S188">
        <f t="shared" ref="S188" si="918">R188/100000</f>
        <v>-151.93722952889553</v>
      </c>
      <c r="T188">
        <f t="shared" ref="T188" si="919">S188/1000</f>
        <v>-0.15193722952889552</v>
      </c>
    </row>
    <row r="189" spans="1:20" x14ac:dyDescent="0.25">
      <c r="A189" s="5">
        <v>44404</v>
      </c>
      <c r="B189">
        <v>4.2290000000000001E-2</v>
      </c>
      <c r="C189">
        <v>4.3999999999999997E-2</v>
      </c>
      <c r="D189">
        <v>4.086E-2</v>
      </c>
      <c r="E189">
        <v>4.3810000000000002E-2</v>
      </c>
      <c r="F189">
        <v>68751073.900000006</v>
      </c>
      <c r="G189">
        <v>4.3810000000000002E-2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0.8789808917197478</v>
      </c>
      <c r="Q189">
        <f t="shared" ref="Q189" si="921">F189*P189</f>
        <v>60430880.243312284</v>
      </c>
      <c r="R189">
        <f t="shared" ref="R189" si="922">R190+Q189</f>
        <v>-3693575.1973338276</v>
      </c>
      <c r="S189">
        <f t="shared" ref="S189" si="923">R189/100000</f>
        <v>-36.935751973338277</v>
      </c>
      <c r="T189">
        <f t="shared" ref="T189" si="924">S189/1000</f>
        <v>-3.6935751973338274E-2</v>
      </c>
    </row>
    <row r="190" spans="1:20" x14ac:dyDescent="0.25">
      <c r="A190" s="5">
        <v>44403</v>
      </c>
      <c r="B190">
        <v>4.5089999999999998E-2</v>
      </c>
      <c r="C190">
        <v>4.7449999999999999E-2</v>
      </c>
      <c r="D190">
        <v>4.2000000000000003E-2</v>
      </c>
      <c r="E190">
        <v>4.2279999999999998E-2</v>
      </c>
      <c r="F190">
        <v>199273937.80000001</v>
      </c>
      <c r="G190">
        <v>4.2279999999999998E-2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-0.8972477064220199</v>
      </c>
      <c r="Q190">
        <f t="shared" ref="Q190" si="926">F190*P190</f>
        <v>-178798083.64073426</v>
      </c>
      <c r="R190">
        <f t="shared" ref="R190" si="927">R191+Q190</f>
        <v>-64124455.440646112</v>
      </c>
      <c r="S190">
        <f t="shared" ref="S190" si="928">R190/100000</f>
        <v>-641.24455440646113</v>
      </c>
      <c r="T190">
        <f t="shared" ref="T190" si="929">S190/1000</f>
        <v>-0.64124455440646111</v>
      </c>
    </row>
    <row r="191" spans="1:20" x14ac:dyDescent="0.25">
      <c r="A191" s="5">
        <v>44402</v>
      </c>
      <c r="B191">
        <v>3.9640000000000002E-2</v>
      </c>
      <c r="C191">
        <v>4.7489999999999997E-2</v>
      </c>
      <c r="D191">
        <v>3.8399999999999997E-2</v>
      </c>
      <c r="E191">
        <v>4.5109999999999997E-2</v>
      </c>
      <c r="F191">
        <v>424668565.5</v>
      </c>
      <c r="G191">
        <v>4.5109999999999997E-2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0.47634763476347636</v>
      </c>
      <c r="Q191">
        <f t="shared" ref="Q191" si="931">F191*P191</f>
        <v>202289866.73432344</v>
      </c>
      <c r="R191">
        <f t="shared" ref="R191" si="932">R192+Q191</f>
        <v>114673628.20008814</v>
      </c>
      <c r="S191">
        <f t="shared" ref="S191" si="933">R191/100000</f>
        <v>1146.7362820008814</v>
      </c>
      <c r="T191">
        <f t="shared" ref="T191:T197" si="934">S191/1000</f>
        <v>1.1467362820008813</v>
      </c>
    </row>
    <row r="192" spans="1:20" x14ac:dyDescent="0.25">
      <c r="A192" s="5">
        <v>44401</v>
      </c>
      <c r="B192">
        <v>3.7810000000000003E-2</v>
      </c>
      <c r="C192">
        <v>4.1700000000000001E-2</v>
      </c>
      <c r="D192">
        <v>3.7330000000000002E-2</v>
      </c>
      <c r="E192">
        <v>3.9660000000000001E-2</v>
      </c>
      <c r="F192">
        <v>108366119.09999999</v>
      </c>
      <c r="G192">
        <v>3.9660000000000001E-2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6.6361556064072916E-2</v>
      </c>
      <c r="Q192">
        <f t="shared" ref="Q192" si="936">F192*P192</f>
        <v>7191344.2881006524</v>
      </c>
      <c r="R192">
        <f t="shared" ref="R192" si="937">R193+Q192</f>
        <v>-87616238.534235299</v>
      </c>
      <c r="S192">
        <f t="shared" ref="S192" si="938">R192/100000</f>
        <v>-876.16238534235299</v>
      </c>
      <c r="T192">
        <f t="shared" si="934"/>
        <v>-0.87616238534235302</v>
      </c>
    </row>
    <row r="193" spans="1:20" x14ac:dyDescent="0.25">
      <c r="A193" s="5">
        <v>44400</v>
      </c>
      <c r="B193">
        <v>3.6979999999999999E-2</v>
      </c>
      <c r="C193">
        <v>3.8269999999999998E-2</v>
      </c>
      <c r="D193">
        <v>3.5529999999999999E-2</v>
      </c>
      <c r="E193">
        <v>3.7850000000000002E-2</v>
      </c>
      <c r="F193">
        <v>72715822.700000003</v>
      </c>
      <c r="G193">
        <v>3.7850000000000002E-2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0.69343065693430883</v>
      </c>
      <c r="Q193">
        <f t="shared" ref="Q193" si="940">F193*P193</f>
        <v>50423380.70437973</v>
      </c>
      <c r="R193">
        <f t="shared" ref="R193" si="941">R194+Q193</f>
        <v>-94807582.822335958</v>
      </c>
      <c r="S193">
        <f t="shared" ref="S193" si="942">R193/100000</f>
        <v>-948.07582822335962</v>
      </c>
      <c r="T193">
        <f t="shared" si="934"/>
        <v>-0.94807582822335967</v>
      </c>
    </row>
    <row r="194" spans="1:20" x14ac:dyDescent="0.25">
      <c r="A194" s="5">
        <v>44399</v>
      </c>
      <c r="B194">
        <v>3.6549999999999999E-2</v>
      </c>
      <c r="C194">
        <v>3.7499999999999999E-2</v>
      </c>
      <c r="D194">
        <v>3.5749999999999997E-2</v>
      </c>
      <c r="E194">
        <v>3.6999999999999998E-2</v>
      </c>
      <c r="F194">
        <v>65032227.5</v>
      </c>
      <c r="G194">
        <v>3.6999999999999998E-2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0.42857142857142855</v>
      </c>
      <c r="Q194">
        <f t="shared" ref="Q194" si="944">F194*P194</f>
        <v>27870954.642857142</v>
      </c>
      <c r="R194">
        <f t="shared" ref="R194" si="945">R195+Q194</f>
        <v>-145230963.5267157</v>
      </c>
      <c r="S194">
        <f t="shared" ref="S194" si="946">R194/100000</f>
        <v>-1452.3096352671569</v>
      </c>
      <c r="T194">
        <f t="shared" si="934"/>
        <v>-1.452309635267157</v>
      </c>
    </row>
    <row r="195" spans="1:20" x14ac:dyDescent="0.25">
      <c r="A195" s="5">
        <v>44398</v>
      </c>
      <c r="B195">
        <v>3.3849999999999998E-2</v>
      </c>
      <c r="C195">
        <v>3.7530000000000001E-2</v>
      </c>
      <c r="D195">
        <v>3.3050000000000003E-2</v>
      </c>
      <c r="E195">
        <v>3.6540000000000003E-2</v>
      </c>
      <c r="F195">
        <v>78887575.5</v>
      </c>
      <c r="G195">
        <v>3.6540000000000003E-2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0.55803571428571508</v>
      </c>
      <c r="Q195">
        <f t="shared" ref="Q195" si="948">F195*P195</f>
        <v>44022084.542410776</v>
      </c>
      <c r="R195">
        <f t="shared" ref="R195" si="949">R196+Q195</f>
        <v>-173101918.16957283</v>
      </c>
      <c r="S195">
        <f t="shared" ref="S195" si="950">R195/100000</f>
        <v>-1731.0191816957283</v>
      </c>
      <c r="T195">
        <f t="shared" si="934"/>
        <v>-1.7310191816957283</v>
      </c>
    </row>
    <row r="196" spans="1:20" x14ac:dyDescent="0.25">
      <c r="A196" s="5">
        <v>44397</v>
      </c>
      <c r="B196">
        <v>3.6220000000000002E-2</v>
      </c>
      <c r="C196">
        <v>3.6790000000000003E-2</v>
      </c>
      <c r="D196">
        <v>3.2399999999999998E-2</v>
      </c>
      <c r="E196">
        <v>3.3860000000000001E-2</v>
      </c>
      <c r="F196">
        <v>85769680</v>
      </c>
      <c r="G196">
        <v>3.3860000000000001E-2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-0.3348519362186782</v>
      </c>
      <c r="Q196">
        <f t="shared" ref="Q196" si="952">F196*P196</f>
        <v>-28720143.416856438</v>
      </c>
      <c r="R196">
        <f t="shared" ref="R196" si="953">R197+Q196</f>
        <v>-217124002.71198359</v>
      </c>
      <c r="S196">
        <f t="shared" ref="S196" si="954">R196/100000</f>
        <v>-2171.2400271198358</v>
      </c>
      <c r="T196">
        <f t="shared" si="934"/>
        <v>-2.1712400271198358</v>
      </c>
    </row>
    <row r="197" spans="1:20" x14ac:dyDescent="0.25">
      <c r="A197" s="5">
        <v>44396</v>
      </c>
      <c r="B197">
        <v>3.9070000000000001E-2</v>
      </c>
      <c r="C197">
        <v>3.9289999999999999E-2</v>
      </c>
      <c r="D197">
        <v>3.5709999999999999E-2</v>
      </c>
      <c r="E197">
        <v>3.6209999999999999E-2</v>
      </c>
      <c r="F197">
        <v>76709003.099999994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-0.72067039106145225</v>
      </c>
      <c r="Q197">
        <f t="shared" ref="Q197" si="956">F197*P197</f>
        <v>-55281907.262011148</v>
      </c>
      <c r="R197">
        <f t="shared" ref="R197" si="957">R198+Q197</f>
        <v>-188403859.29512715</v>
      </c>
      <c r="S197">
        <f t="shared" ref="S197" si="958">R197/100000</f>
        <v>-1884.0385929512715</v>
      </c>
      <c r="T197">
        <f t="shared" si="934"/>
        <v>-1.8840385929512715</v>
      </c>
    </row>
    <row r="198" spans="1:20" x14ac:dyDescent="0.25">
      <c r="A198" s="5">
        <v>44395</v>
      </c>
      <c r="B198">
        <v>3.8030000000000001E-2</v>
      </c>
      <c r="C198">
        <v>4.1000000000000002E-2</v>
      </c>
      <c r="D198">
        <v>3.7440000000000001E-2</v>
      </c>
      <c r="E198">
        <v>3.9059999999999997E-2</v>
      </c>
      <c r="F198">
        <v>98658907.700000003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-8.9887640449440365E-2</v>
      </c>
      <c r="Q198">
        <f t="shared" ref="Q198:Q261" si="960">F198*P198</f>
        <v>-8868216.4224721231</v>
      </c>
      <c r="R198">
        <f t="shared" ref="R198:R261" si="961">R199+Q198</f>
        <v>-133121952.03311601</v>
      </c>
      <c r="S198">
        <f t="shared" ref="S198:S261" si="962">R198/100000</f>
        <v>-1331.2195203311601</v>
      </c>
      <c r="T198">
        <f t="shared" ref="T198:T261" si="963">S198/1000</f>
        <v>-1.3312195203311601</v>
      </c>
    </row>
    <row r="199" spans="1:20" x14ac:dyDescent="0.25">
      <c r="A199" s="5">
        <v>44394</v>
      </c>
      <c r="B199">
        <v>3.7479999999999999E-2</v>
      </c>
      <c r="C199">
        <v>3.9600000000000003E-2</v>
      </c>
      <c r="D199">
        <v>3.678E-2</v>
      </c>
      <c r="E199">
        <v>3.8030000000000001E-2</v>
      </c>
      <c r="F199">
        <v>86110323.200000003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-0.11347517730496472</v>
      </c>
      <c r="Q199">
        <f t="shared" si="960"/>
        <v>-9771384.1929078177</v>
      </c>
      <c r="R199">
        <f t="shared" si="961"/>
        <v>-124253735.61064389</v>
      </c>
      <c r="S199">
        <f t="shared" si="962"/>
        <v>-1242.5373561064389</v>
      </c>
      <c r="T199">
        <f t="shared" si="963"/>
        <v>-1.2425373561064388</v>
      </c>
    </row>
    <row r="200" spans="1:20" x14ac:dyDescent="0.25">
      <c r="A200" s="5">
        <v>44393</v>
      </c>
      <c r="B200">
        <v>3.8359999999999998E-2</v>
      </c>
      <c r="C200">
        <v>3.9719999999999998E-2</v>
      </c>
      <c r="D200">
        <v>3.671E-2</v>
      </c>
      <c r="E200">
        <v>3.7479999999999999E-2</v>
      </c>
      <c r="F200">
        <v>76529024.599999994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-0.48837209302325568</v>
      </c>
      <c r="Q200">
        <f t="shared" si="960"/>
        <v>-37374639.920930222</v>
      </c>
      <c r="R200">
        <f t="shared" si="961"/>
        <v>-114482351.41773607</v>
      </c>
      <c r="S200">
        <f t="shared" si="962"/>
        <v>-1144.8235141773607</v>
      </c>
      <c r="T200">
        <f t="shared" si="963"/>
        <v>-1.1448235141773606</v>
      </c>
    </row>
    <row r="201" spans="1:20" x14ac:dyDescent="0.25">
      <c r="A201" s="5">
        <v>44392</v>
      </c>
      <c r="B201">
        <v>3.9239999999999997E-2</v>
      </c>
      <c r="C201">
        <v>4.1360000000000001E-2</v>
      </c>
      <c r="D201">
        <v>3.7400000000000003E-2</v>
      </c>
      <c r="E201">
        <v>3.8280000000000002E-2</v>
      </c>
      <c r="F201">
        <v>118991109.90000001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-0.55555555555555591</v>
      </c>
      <c r="Q201">
        <f t="shared" si="960"/>
        <v>-66106172.166666709</v>
      </c>
      <c r="R201">
        <f t="shared" si="961"/>
        <v>-77107711.496805847</v>
      </c>
      <c r="S201">
        <f t="shared" si="962"/>
        <v>-771.07711496805848</v>
      </c>
      <c r="T201">
        <f t="shared" si="963"/>
        <v>-0.77107711496805853</v>
      </c>
    </row>
    <row r="202" spans="1:20" x14ac:dyDescent="0.25">
      <c r="A202" s="5">
        <v>44391</v>
      </c>
      <c r="B202">
        <v>3.8449999999999998E-2</v>
      </c>
      <c r="C202">
        <v>4.036E-2</v>
      </c>
      <c r="D202">
        <v>3.6220000000000002E-2</v>
      </c>
      <c r="E202">
        <v>3.9289999999999999E-2</v>
      </c>
      <c r="F202">
        <v>93305400.700000003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0.48309178743961251</v>
      </c>
      <c r="Q202">
        <f t="shared" si="960"/>
        <v>45075072.801932275</v>
      </c>
      <c r="R202">
        <f t="shared" si="961"/>
        <v>-11001539.33013913</v>
      </c>
      <c r="S202">
        <f t="shared" si="962"/>
        <v>-110.0153933013913</v>
      </c>
      <c r="T202">
        <f t="shared" si="963"/>
        <v>-0.1100153933013913</v>
      </c>
    </row>
    <row r="203" spans="1:20" x14ac:dyDescent="0.25">
      <c r="A203" s="5">
        <v>44390</v>
      </c>
      <c r="B203">
        <v>3.9940000000000003E-2</v>
      </c>
      <c r="C203">
        <v>4.0770000000000001E-2</v>
      </c>
      <c r="D203">
        <v>3.8089999999999999E-2</v>
      </c>
      <c r="E203">
        <v>3.8429999999999999E-2</v>
      </c>
      <c r="F203">
        <v>59150306.5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-0.74626865671641807</v>
      </c>
      <c r="Q203">
        <f t="shared" si="960"/>
        <v>-44142019.776119411</v>
      </c>
      <c r="R203">
        <f t="shared" si="961"/>
        <v>-56076612.132071406</v>
      </c>
      <c r="S203">
        <f t="shared" si="962"/>
        <v>-560.76612132071409</v>
      </c>
      <c r="T203">
        <f t="shared" si="963"/>
        <v>-0.56076612132071413</v>
      </c>
    </row>
    <row r="204" spans="1:20" x14ac:dyDescent="0.25">
      <c r="A204" s="5">
        <v>44389</v>
      </c>
      <c r="B204">
        <v>4.1610000000000001E-2</v>
      </c>
      <c r="C204">
        <v>4.292E-2</v>
      </c>
      <c r="D204">
        <v>3.952E-2</v>
      </c>
      <c r="E204">
        <v>3.9980000000000002E-2</v>
      </c>
      <c r="F204">
        <v>59994982.200000003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-0.7294117647058812</v>
      </c>
      <c r="Q204">
        <f t="shared" si="960"/>
        <v>-43761045.839999937</v>
      </c>
      <c r="R204">
        <f t="shared" si="961"/>
        <v>-11934592.355951991</v>
      </c>
      <c r="S204">
        <f t="shared" si="962"/>
        <v>-119.3459235595199</v>
      </c>
      <c r="T204">
        <f t="shared" si="963"/>
        <v>-0.11934592355951991</v>
      </c>
    </row>
    <row r="205" spans="1:20" x14ac:dyDescent="0.25">
      <c r="A205" s="5">
        <v>44388</v>
      </c>
      <c r="B205">
        <v>4.0689999999999997E-2</v>
      </c>
      <c r="C205">
        <v>4.4499999999999998E-2</v>
      </c>
      <c r="D205">
        <v>4.0329999999999998E-2</v>
      </c>
      <c r="E205">
        <v>4.156E-2</v>
      </c>
      <c r="F205">
        <v>61667003.100000001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-0.41007194244604228</v>
      </c>
      <c r="Q205">
        <f t="shared" si="960"/>
        <v>-25287907.746043112</v>
      </c>
      <c r="R205">
        <f t="shared" si="961"/>
        <v>31826453.484047946</v>
      </c>
      <c r="S205">
        <f t="shared" si="962"/>
        <v>318.26453484047943</v>
      </c>
      <c r="T205">
        <f t="shared" si="963"/>
        <v>0.31826453484047945</v>
      </c>
    </row>
    <row r="206" spans="1:20" x14ac:dyDescent="0.25">
      <c r="A206" s="5">
        <v>44387</v>
      </c>
      <c r="B206">
        <v>4.1790000000000001E-2</v>
      </c>
      <c r="C206">
        <v>4.2770000000000002E-2</v>
      </c>
      <c r="D206">
        <v>3.9690000000000003E-2</v>
      </c>
      <c r="E206">
        <v>4.0680000000000001E-2</v>
      </c>
      <c r="F206">
        <v>65569373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-0.35714285714285843</v>
      </c>
      <c r="Q206">
        <f t="shared" si="960"/>
        <v>-23417633.214285798</v>
      </c>
      <c r="R206">
        <f t="shared" si="961"/>
        <v>57114361.230091058</v>
      </c>
      <c r="S206">
        <f t="shared" si="962"/>
        <v>571.1436123009106</v>
      </c>
      <c r="T206">
        <f t="shared" si="963"/>
        <v>0.5711436123009106</v>
      </c>
    </row>
    <row r="207" spans="1:20" x14ac:dyDescent="0.25">
      <c r="A207" s="5">
        <v>44386</v>
      </c>
      <c r="B207">
        <v>4.0849999999999997E-2</v>
      </c>
      <c r="C207">
        <v>4.2470000000000001E-2</v>
      </c>
      <c r="D207">
        <v>3.9109999999999999E-2</v>
      </c>
      <c r="E207">
        <v>4.1770000000000002E-2</v>
      </c>
      <c r="F207">
        <v>54215596.899999999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0.58333333333333404</v>
      </c>
      <c r="Q207">
        <f t="shared" si="960"/>
        <v>31625764.858333372</v>
      </c>
      <c r="R207">
        <f t="shared" si="961"/>
        <v>80531994.444376856</v>
      </c>
      <c r="S207">
        <f t="shared" si="962"/>
        <v>805.31994444376858</v>
      </c>
      <c r="T207">
        <f t="shared" si="963"/>
        <v>0.80531994444376853</v>
      </c>
    </row>
    <row r="208" spans="1:20" x14ac:dyDescent="0.25">
      <c r="A208" s="5">
        <v>44385</v>
      </c>
      <c r="B208">
        <v>4.428E-2</v>
      </c>
      <c r="C208">
        <v>4.4560000000000002E-2</v>
      </c>
      <c r="D208">
        <v>4.0099999999999997E-2</v>
      </c>
      <c r="E208">
        <v>4.0939999999999997E-2</v>
      </c>
      <c r="F208">
        <v>106172603.90000001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-0.62331838565022446</v>
      </c>
      <c r="Q208">
        <f t="shared" si="960"/>
        <v>-66179336.063228726</v>
      </c>
      <c r="R208">
        <f t="shared" si="961"/>
        <v>48906229.586043477</v>
      </c>
      <c r="S208">
        <f t="shared" si="962"/>
        <v>489.06229586043474</v>
      </c>
      <c r="T208">
        <f t="shared" si="963"/>
        <v>0.48906229586043476</v>
      </c>
    </row>
    <row r="209" spans="1:20" x14ac:dyDescent="0.25">
      <c r="A209" s="5">
        <v>44384</v>
      </c>
      <c r="B209">
        <v>4.419E-2</v>
      </c>
      <c r="C209">
        <v>4.7260000000000003E-2</v>
      </c>
      <c r="D209">
        <v>4.3490000000000001E-2</v>
      </c>
      <c r="E209">
        <v>4.4330000000000001E-2</v>
      </c>
      <c r="F209">
        <v>103064929.2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-0.55437665782493373</v>
      </c>
      <c r="Q209">
        <f t="shared" si="960"/>
        <v>-57136790.988859423</v>
      </c>
      <c r="R209">
        <f t="shared" si="961"/>
        <v>115085565.6492722</v>
      </c>
      <c r="S209">
        <f t="shared" si="962"/>
        <v>1150.8556564927221</v>
      </c>
      <c r="T209">
        <f t="shared" si="963"/>
        <v>1.1508556564927221</v>
      </c>
    </row>
    <row r="210" spans="1:20" x14ac:dyDescent="0.25">
      <c r="A210" s="5">
        <v>44383</v>
      </c>
      <c r="B210">
        <v>4.3400000000000001E-2</v>
      </c>
      <c r="C210">
        <v>4.5850000000000002E-2</v>
      </c>
      <c r="D210">
        <v>4.3369999999999999E-2</v>
      </c>
      <c r="E210">
        <v>4.428E-2</v>
      </c>
      <c r="F210">
        <v>56204972.5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-0.26612903225806456</v>
      </c>
      <c r="Q210">
        <f t="shared" si="960"/>
        <v>-14957774.939516131</v>
      </c>
      <c r="R210">
        <f t="shared" si="961"/>
        <v>172222356.63813162</v>
      </c>
      <c r="S210">
        <f t="shared" si="962"/>
        <v>1722.2235663813162</v>
      </c>
      <c r="T210">
        <f t="shared" si="963"/>
        <v>1.7222235663813161</v>
      </c>
    </row>
    <row r="211" spans="1:20" x14ac:dyDescent="0.25">
      <c r="A211" s="5">
        <v>44382</v>
      </c>
      <c r="B211">
        <v>4.5629999999999997E-2</v>
      </c>
      <c r="C211">
        <v>4.6170000000000003E-2</v>
      </c>
      <c r="D211">
        <v>4.233E-2</v>
      </c>
      <c r="E211">
        <v>4.3400000000000001E-2</v>
      </c>
      <c r="F211">
        <v>83895462.700000003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-0.44270833333333298</v>
      </c>
      <c r="Q211">
        <f t="shared" si="960"/>
        <v>-37141220.466145806</v>
      </c>
      <c r="R211">
        <f t="shared" si="961"/>
        <v>187180131.57764775</v>
      </c>
      <c r="S211">
        <f t="shared" si="962"/>
        <v>1871.8013157764774</v>
      </c>
      <c r="T211">
        <f t="shared" si="963"/>
        <v>1.8718013157764775</v>
      </c>
    </row>
    <row r="212" spans="1:20" x14ac:dyDescent="0.25">
      <c r="A212" s="5">
        <v>44381</v>
      </c>
      <c r="B212">
        <v>4.5289999999999997E-2</v>
      </c>
      <c r="C212">
        <v>4.6989999999999997E-2</v>
      </c>
      <c r="D212">
        <v>4.3540000000000002E-2</v>
      </c>
      <c r="E212">
        <v>4.5740000000000003E-2</v>
      </c>
      <c r="F212">
        <v>70272161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0.27536231884058199</v>
      </c>
      <c r="Q212">
        <f t="shared" si="960"/>
        <v>19350305.202898711</v>
      </c>
      <c r="R212">
        <f t="shared" si="961"/>
        <v>224321352.04379356</v>
      </c>
      <c r="S212">
        <f t="shared" si="962"/>
        <v>2243.2135204379356</v>
      </c>
      <c r="T212">
        <f t="shared" si="963"/>
        <v>2.2432135204379358</v>
      </c>
    </row>
    <row r="213" spans="1:20" x14ac:dyDescent="0.25">
      <c r="A213" s="5">
        <v>44380</v>
      </c>
      <c r="B213">
        <v>4.4720000000000003E-2</v>
      </c>
      <c r="C213">
        <v>4.6129999999999997E-2</v>
      </c>
      <c r="D213">
        <v>4.3459999999999999E-2</v>
      </c>
      <c r="E213">
        <v>4.5289999999999997E-2</v>
      </c>
      <c r="F213">
        <v>61512948.899999999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0.37078651685393194</v>
      </c>
      <c r="Q213">
        <f t="shared" si="960"/>
        <v>22808172.064044904</v>
      </c>
      <c r="R213">
        <f t="shared" si="961"/>
        <v>204971046.84089485</v>
      </c>
      <c r="S213">
        <f t="shared" si="962"/>
        <v>2049.7104684089486</v>
      </c>
      <c r="T213">
        <f t="shared" si="963"/>
        <v>2.0497104684089487</v>
      </c>
    </row>
    <row r="214" spans="1:20" x14ac:dyDescent="0.25">
      <c r="A214" s="5">
        <v>44379</v>
      </c>
      <c r="B214">
        <v>4.4889999999999999E-2</v>
      </c>
      <c r="C214">
        <v>4.5499999999999999E-2</v>
      </c>
      <c r="D214">
        <v>4.233E-2</v>
      </c>
      <c r="E214">
        <v>4.4729999999999999E-2</v>
      </c>
      <c r="F214">
        <v>58298884.200000003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0.51419558359621453</v>
      </c>
      <c r="Q214">
        <f t="shared" si="960"/>
        <v>29977028.784227133</v>
      </c>
      <c r="R214">
        <f t="shared" si="961"/>
        <v>182162874.77684996</v>
      </c>
      <c r="S214">
        <f t="shared" si="962"/>
        <v>1821.6287477684996</v>
      </c>
      <c r="T214">
        <f t="shared" si="963"/>
        <v>1.8216287477684996</v>
      </c>
    </row>
    <row r="215" spans="1:20" x14ac:dyDescent="0.25">
      <c r="A215" s="5">
        <v>44378</v>
      </c>
      <c r="B215">
        <v>4.8590000000000001E-2</v>
      </c>
      <c r="C215">
        <v>4.8710000000000003E-2</v>
      </c>
      <c r="D215">
        <v>4.351E-2</v>
      </c>
      <c r="E215">
        <v>4.4979999999999999E-2</v>
      </c>
      <c r="F215">
        <v>73473835.200000003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-0.43461538461538529</v>
      </c>
      <c r="Q215">
        <f t="shared" si="960"/>
        <v>-31932859.144615434</v>
      </c>
      <c r="R215">
        <f t="shared" si="961"/>
        <v>152185845.99262282</v>
      </c>
      <c r="S215">
        <f t="shared" si="962"/>
        <v>1521.8584599262283</v>
      </c>
      <c r="T215">
        <f t="shared" si="963"/>
        <v>1.5218584599262284</v>
      </c>
    </row>
    <row r="216" spans="1:20" x14ac:dyDescent="0.25">
      <c r="A216" s="5">
        <v>44377</v>
      </c>
      <c r="B216">
        <v>4.7390000000000002E-2</v>
      </c>
      <c r="C216">
        <v>4.8649999999999999E-2</v>
      </c>
      <c r="D216">
        <v>4.446E-2</v>
      </c>
      <c r="E216">
        <v>4.8649999999999999E-2</v>
      </c>
      <c r="F216">
        <v>97747393.099999994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1</v>
      </c>
      <c r="Q216">
        <f t="shared" si="960"/>
        <v>97747393.099999994</v>
      </c>
      <c r="R216">
        <f t="shared" si="961"/>
        <v>184118705.13723826</v>
      </c>
      <c r="S216">
        <f t="shared" si="962"/>
        <v>1841.1870513723827</v>
      </c>
      <c r="T216">
        <f t="shared" si="963"/>
        <v>1.8411870513723827</v>
      </c>
    </row>
    <row r="217" spans="1:20" x14ac:dyDescent="0.25">
      <c r="A217" s="5">
        <v>44376</v>
      </c>
      <c r="B217">
        <v>4.3880000000000002E-2</v>
      </c>
      <c r="C217">
        <v>4.8770000000000001E-2</v>
      </c>
      <c r="D217">
        <v>4.3749999999999997E-2</v>
      </c>
      <c r="E217">
        <v>4.7300000000000002E-2</v>
      </c>
      <c r="F217">
        <v>95009549.200000003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0.41434262948207251</v>
      </c>
      <c r="Q217">
        <f t="shared" si="960"/>
        <v>39366506.441434339</v>
      </c>
      <c r="R217">
        <f t="shared" si="961"/>
        <v>86371312.03723827</v>
      </c>
      <c r="S217">
        <f t="shared" si="962"/>
        <v>863.71312037238272</v>
      </c>
      <c r="T217">
        <f t="shared" si="963"/>
        <v>0.86371312037238268</v>
      </c>
    </row>
    <row r="218" spans="1:20" x14ac:dyDescent="0.25">
      <c r="A218" s="5">
        <v>44375</v>
      </c>
      <c r="B218">
        <v>4.265E-2</v>
      </c>
      <c r="C218">
        <v>4.5190000000000001E-2</v>
      </c>
      <c r="D218">
        <v>4.2000000000000003E-2</v>
      </c>
      <c r="E218">
        <v>4.3869999999999999E-2</v>
      </c>
      <c r="F218">
        <v>90448042.5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0.17241379310344679</v>
      </c>
      <c r="Q218">
        <f t="shared" si="960"/>
        <v>15594490.086206762</v>
      </c>
      <c r="R218">
        <f t="shared" si="961"/>
        <v>47004805.595803924</v>
      </c>
      <c r="S218">
        <f t="shared" si="962"/>
        <v>470.04805595803924</v>
      </c>
      <c r="T218">
        <f t="shared" si="963"/>
        <v>0.47004805595803922</v>
      </c>
    </row>
    <row r="219" spans="1:20" x14ac:dyDescent="0.25">
      <c r="A219" s="5">
        <v>44374</v>
      </c>
      <c r="B219">
        <v>4.172E-2</v>
      </c>
      <c r="C219">
        <v>4.2970000000000001E-2</v>
      </c>
      <c r="D219">
        <v>3.9399999999999998E-2</v>
      </c>
      <c r="E219">
        <v>4.265E-2</v>
      </c>
      <c r="F219">
        <v>78886950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0.82072829131652636</v>
      </c>
      <c r="Q219">
        <f t="shared" si="960"/>
        <v>64744751.680672251</v>
      </c>
      <c r="R219">
        <f t="shared" si="961"/>
        <v>31410315.50959716</v>
      </c>
      <c r="S219">
        <f t="shared" si="962"/>
        <v>314.1031550959716</v>
      </c>
      <c r="T219">
        <f t="shared" si="963"/>
        <v>0.31410315509597159</v>
      </c>
    </row>
    <row r="220" spans="1:20" x14ac:dyDescent="0.25">
      <c r="A220" s="5">
        <v>44373</v>
      </c>
      <c r="B220">
        <v>3.9600000000000003E-2</v>
      </c>
      <c r="C220">
        <v>4.2160000000000003E-2</v>
      </c>
      <c r="D220">
        <v>3.8710000000000001E-2</v>
      </c>
      <c r="E220">
        <v>4.1680000000000002E-2</v>
      </c>
      <c r="F220">
        <v>90847279.099999994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0.72173913043478199</v>
      </c>
      <c r="Q220">
        <f t="shared" si="960"/>
        <v>65568036.219999939</v>
      </c>
      <c r="R220">
        <f t="shared" si="961"/>
        <v>-33334436.171075091</v>
      </c>
      <c r="S220">
        <f t="shared" si="962"/>
        <v>-333.34436171075089</v>
      </c>
      <c r="T220">
        <f t="shared" si="963"/>
        <v>-0.33334436171075088</v>
      </c>
    </row>
    <row r="221" spans="1:20" x14ac:dyDescent="0.25">
      <c r="A221" s="5">
        <v>44372</v>
      </c>
      <c r="B221">
        <v>4.4519999999999997E-2</v>
      </c>
      <c r="C221">
        <v>4.6589999999999999E-2</v>
      </c>
      <c r="D221">
        <v>3.9149999999999997E-2</v>
      </c>
      <c r="E221">
        <v>3.9629999999999999E-2</v>
      </c>
      <c r="F221">
        <v>119839492.90000001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-0.87096774193548354</v>
      </c>
      <c r="Q221">
        <f t="shared" si="960"/>
        <v>-104376332.52580641</v>
      </c>
      <c r="R221">
        <f t="shared" si="961"/>
        <v>-98902472.39107503</v>
      </c>
      <c r="S221">
        <f t="shared" si="962"/>
        <v>-989.02472391075025</v>
      </c>
      <c r="T221">
        <f t="shared" si="963"/>
        <v>-0.98902472391075025</v>
      </c>
    </row>
    <row r="222" spans="1:20" x14ac:dyDescent="0.25">
      <c r="A222" s="5">
        <v>44371</v>
      </c>
      <c r="B222">
        <v>4.3729999999999998E-2</v>
      </c>
      <c r="C222">
        <v>4.7E-2</v>
      </c>
      <c r="D222">
        <v>4.0320000000000002E-2</v>
      </c>
      <c r="E222">
        <v>4.4490000000000002E-2</v>
      </c>
      <c r="F222">
        <v>134510786.09999999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0.24850299401197637</v>
      </c>
      <c r="Q222">
        <f t="shared" si="960"/>
        <v>33426333.072754532</v>
      </c>
      <c r="R222">
        <f t="shared" si="961"/>
        <v>5473860.1347313821</v>
      </c>
      <c r="S222">
        <f t="shared" si="962"/>
        <v>54.738601347313818</v>
      </c>
      <c r="T222">
        <f t="shared" si="963"/>
        <v>5.4738601347313814E-2</v>
      </c>
    </row>
    <row r="223" spans="1:20" x14ac:dyDescent="0.25">
      <c r="A223" s="5">
        <v>44370</v>
      </c>
      <c r="B223">
        <v>3.8890000000000001E-2</v>
      </c>
      <c r="C223">
        <v>4.564E-2</v>
      </c>
      <c r="D223">
        <v>3.6740000000000002E-2</v>
      </c>
      <c r="E223">
        <v>4.3799999999999999E-2</v>
      </c>
      <c r="F223">
        <v>140115665.80000001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0.5865168539325839</v>
      </c>
      <c r="Q223">
        <f t="shared" si="960"/>
        <v>82180199.491685346</v>
      </c>
      <c r="R223">
        <f t="shared" si="961"/>
        <v>-27952472.93802315</v>
      </c>
      <c r="S223">
        <f t="shared" si="962"/>
        <v>-279.52472938023152</v>
      </c>
      <c r="T223">
        <f t="shared" si="963"/>
        <v>-0.27952472938023154</v>
      </c>
    </row>
    <row r="224" spans="1:20" x14ac:dyDescent="0.25">
      <c r="A224" s="5">
        <v>44369</v>
      </c>
      <c r="B224">
        <v>3.7879999999999997E-2</v>
      </c>
      <c r="C224">
        <v>4.2200000000000001E-2</v>
      </c>
      <c r="D224">
        <v>3.184E-2</v>
      </c>
      <c r="E224">
        <v>3.8850000000000003E-2</v>
      </c>
      <c r="F224">
        <v>363841328.10000002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0.35328185328185358</v>
      </c>
      <c r="Q224">
        <f t="shared" si="960"/>
        <v>128538538.69169895</v>
      </c>
      <c r="R224">
        <f t="shared" si="961"/>
        <v>-110132672.4297085</v>
      </c>
      <c r="S224">
        <f t="shared" si="962"/>
        <v>-1101.3267242970849</v>
      </c>
      <c r="T224">
        <f t="shared" si="963"/>
        <v>-1.1013267242970848</v>
      </c>
    </row>
    <row r="225" spans="1:20" x14ac:dyDescent="0.25">
      <c r="A225" s="5">
        <v>44368</v>
      </c>
      <c r="B225">
        <v>4.9689999999999998E-2</v>
      </c>
      <c r="C225">
        <v>5.0209999999999998E-2</v>
      </c>
      <c r="D225">
        <v>3.7510000000000002E-2</v>
      </c>
      <c r="E225">
        <v>3.7850000000000002E-2</v>
      </c>
      <c r="F225">
        <v>230642574.40000001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-0.94645669291338586</v>
      </c>
      <c r="Q225">
        <f t="shared" si="960"/>
        <v>-218293208.21165356</v>
      </c>
      <c r="R225">
        <f t="shared" si="961"/>
        <v>-238671211.12140745</v>
      </c>
      <c r="S225">
        <f t="shared" si="962"/>
        <v>-2386.7121112140744</v>
      </c>
      <c r="T225">
        <f t="shared" si="963"/>
        <v>-2.3867121112140746</v>
      </c>
    </row>
    <row r="226" spans="1:20" x14ac:dyDescent="0.25">
      <c r="A226" s="5">
        <v>44367</v>
      </c>
      <c r="B226">
        <v>4.9099999999999998E-2</v>
      </c>
      <c r="C226">
        <v>5.0959999999999998E-2</v>
      </c>
      <c r="D226">
        <v>4.4999999999999998E-2</v>
      </c>
      <c r="E226">
        <v>4.9680000000000002E-2</v>
      </c>
      <c r="F226">
        <v>123446986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0.5704697986577193</v>
      </c>
      <c r="Q226">
        <f t="shared" si="960"/>
        <v>70422777.248322293</v>
      </c>
      <c r="R226">
        <f t="shared" si="961"/>
        <v>-20378002.909753874</v>
      </c>
      <c r="S226">
        <f t="shared" si="962"/>
        <v>-203.78002909753874</v>
      </c>
      <c r="T226">
        <f t="shared" si="963"/>
        <v>-0.20378002909753876</v>
      </c>
    </row>
    <row r="227" spans="1:20" x14ac:dyDescent="0.25">
      <c r="A227" s="5">
        <v>44366</v>
      </c>
      <c r="B227">
        <v>5.0689999999999999E-2</v>
      </c>
      <c r="C227">
        <v>5.1769999999999997E-2</v>
      </c>
      <c r="D227">
        <v>4.8719999999999999E-2</v>
      </c>
      <c r="E227">
        <v>4.9140000000000003E-2</v>
      </c>
      <c r="F227">
        <v>89219815.799999997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-0.72459016393442355</v>
      </c>
      <c r="Q227">
        <f t="shared" si="960"/>
        <v>-64647800.956721067</v>
      </c>
      <c r="R227">
        <f t="shared" si="961"/>
        <v>-90800780.158076167</v>
      </c>
      <c r="S227">
        <f t="shared" si="962"/>
        <v>-908.00780158076168</v>
      </c>
      <c r="T227">
        <f t="shared" si="963"/>
        <v>-0.90800780158076166</v>
      </c>
    </row>
    <row r="228" spans="1:20" x14ac:dyDescent="0.25">
      <c r="A228" s="5">
        <v>44365</v>
      </c>
      <c r="B228">
        <v>5.5719999999999999E-2</v>
      </c>
      <c r="C228">
        <v>5.6149999999999999E-2</v>
      </c>
      <c r="D228">
        <v>4.8090000000000001E-2</v>
      </c>
      <c r="E228">
        <v>5.0709999999999998E-2</v>
      </c>
      <c r="F228">
        <v>163800307.80000001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-0.34987593052109228</v>
      </c>
      <c r="Q228">
        <f t="shared" si="960"/>
        <v>-57309785.111166336</v>
      </c>
      <c r="R228">
        <f t="shared" si="961"/>
        <v>-26152979.201355092</v>
      </c>
      <c r="S228">
        <f t="shared" si="962"/>
        <v>-261.52979201355095</v>
      </c>
      <c r="T228">
        <f t="shared" si="963"/>
        <v>-0.26152979201355092</v>
      </c>
    </row>
    <row r="229" spans="1:20" x14ac:dyDescent="0.25">
      <c r="A229" s="5">
        <v>44364</v>
      </c>
      <c r="B229">
        <v>5.5350000000000003E-2</v>
      </c>
      <c r="C229">
        <v>5.8400000000000001E-2</v>
      </c>
      <c r="D229">
        <v>5.3499999999999999E-2</v>
      </c>
      <c r="E229">
        <v>5.5739999999999998E-2</v>
      </c>
      <c r="F229">
        <v>92570077.400000006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-8.5714285714286437E-2</v>
      </c>
      <c r="Q229">
        <f t="shared" si="960"/>
        <v>-7934578.0628572106</v>
      </c>
      <c r="R229">
        <f t="shared" si="961"/>
        <v>31156805.909811243</v>
      </c>
      <c r="S229">
        <f t="shared" si="962"/>
        <v>311.56805909811243</v>
      </c>
      <c r="T229">
        <f t="shared" si="963"/>
        <v>0.31156805909811242</v>
      </c>
    </row>
    <row r="230" spans="1:20" x14ac:dyDescent="0.25">
      <c r="A230" s="5">
        <v>44363</v>
      </c>
      <c r="B230">
        <v>5.8029999999999998E-2</v>
      </c>
      <c r="C230">
        <v>5.8590000000000003E-2</v>
      </c>
      <c r="D230">
        <v>5.389E-2</v>
      </c>
      <c r="E230">
        <v>5.5350000000000003E-2</v>
      </c>
      <c r="F230">
        <v>84205213.299999997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-0.37872340425531825</v>
      </c>
      <c r="Q230">
        <f t="shared" si="960"/>
        <v>-31890485.037021201</v>
      </c>
      <c r="R230">
        <f t="shared" si="961"/>
        <v>39091383.972668454</v>
      </c>
      <c r="S230">
        <f t="shared" si="962"/>
        <v>390.91383972668456</v>
      </c>
      <c r="T230">
        <f t="shared" si="963"/>
        <v>0.39091383972668453</v>
      </c>
    </row>
    <row r="231" spans="1:20" x14ac:dyDescent="0.25">
      <c r="A231" s="5">
        <v>44362</v>
      </c>
      <c r="B231">
        <v>5.8749999999999997E-2</v>
      </c>
      <c r="C231">
        <v>6.198E-2</v>
      </c>
      <c r="D231">
        <v>5.6660000000000002E-2</v>
      </c>
      <c r="E231">
        <v>5.808E-2</v>
      </c>
      <c r="F231">
        <v>107483392.5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-0.46616541353383528</v>
      </c>
      <c r="Q231">
        <f t="shared" si="960"/>
        <v>-50105040.112782031</v>
      </c>
      <c r="R231">
        <f t="shared" si="961"/>
        <v>70981869.009689659</v>
      </c>
      <c r="S231">
        <f t="shared" si="962"/>
        <v>709.8186900968966</v>
      </c>
      <c r="T231">
        <f t="shared" si="963"/>
        <v>0.70981869009689658</v>
      </c>
    </row>
    <row r="232" spans="1:20" x14ac:dyDescent="0.25">
      <c r="A232" s="5">
        <v>44361</v>
      </c>
      <c r="B232">
        <v>5.8000000000000003E-2</v>
      </c>
      <c r="C232">
        <v>5.96E-2</v>
      </c>
      <c r="D232">
        <v>5.6469999999999999E-2</v>
      </c>
      <c r="E232">
        <v>5.8869999999999999E-2</v>
      </c>
      <c r="F232">
        <v>107946952.2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0.53354632587859341</v>
      </c>
      <c r="Q232">
        <f t="shared" si="960"/>
        <v>57594699.736102149</v>
      </c>
      <c r="R232">
        <f t="shared" si="961"/>
        <v>121086909.12247169</v>
      </c>
      <c r="S232">
        <f t="shared" si="962"/>
        <v>1210.8690912247168</v>
      </c>
      <c r="T232">
        <f t="shared" si="963"/>
        <v>1.2108690912247169</v>
      </c>
    </row>
    <row r="233" spans="1:20" x14ac:dyDescent="0.25">
      <c r="A233" s="5">
        <v>44360</v>
      </c>
      <c r="B233">
        <v>5.3440000000000001E-2</v>
      </c>
      <c r="C233">
        <v>6.019E-2</v>
      </c>
      <c r="D233">
        <v>5.2499999999999998E-2</v>
      </c>
      <c r="E233">
        <v>5.7910000000000003E-2</v>
      </c>
      <c r="F233">
        <v>169459771.40000001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0.40702210663199045</v>
      </c>
      <c r="Q233">
        <f t="shared" si="960"/>
        <v>68973873.144603536</v>
      </c>
      <c r="R233">
        <f t="shared" si="961"/>
        <v>63492209.386369541</v>
      </c>
      <c r="S233">
        <f t="shared" si="962"/>
        <v>634.92209386369541</v>
      </c>
      <c r="T233">
        <f t="shared" si="963"/>
        <v>0.63492209386369536</v>
      </c>
    </row>
    <row r="234" spans="1:20" x14ac:dyDescent="0.25">
      <c r="A234" s="5">
        <v>44359</v>
      </c>
      <c r="B234">
        <v>5.6500000000000002E-2</v>
      </c>
      <c r="C234">
        <v>6.5000000000000002E-2</v>
      </c>
      <c r="D234">
        <v>5.2299999999999999E-2</v>
      </c>
      <c r="E234">
        <v>5.3510000000000002E-2</v>
      </c>
      <c r="F234">
        <v>250688141.80000001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-0.80944881889763742</v>
      </c>
      <c r="Q234">
        <f t="shared" si="960"/>
        <v>-202919220.29165345</v>
      </c>
      <c r="R234">
        <f t="shared" si="961"/>
        <v>-5481663.7582339942</v>
      </c>
      <c r="S234">
        <f t="shared" si="962"/>
        <v>-54.816637582339943</v>
      </c>
      <c r="T234">
        <f t="shared" si="963"/>
        <v>-5.4816637582339942E-2</v>
      </c>
    </row>
    <row r="235" spans="1:20" x14ac:dyDescent="0.25">
      <c r="A235" s="5">
        <v>44358</v>
      </c>
      <c r="B235">
        <v>6.0010000000000001E-2</v>
      </c>
      <c r="C235">
        <v>6.4369999999999997E-2</v>
      </c>
      <c r="D235">
        <v>5.4809999999999998E-2</v>
      </c>
      <c r="E235">
        <v>5.645E-2</v>
      </c>
      <c r="F235">
        <v>149122068.09999999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-0.65690376569037601</v>
      </c>
      <c r="Q235">
        <f t="shared" si="960"/>
        <v>-97958848.082426697</v>
      </c>
      <c r="R235">
        <f t="shared" si="961"/>
        <v>197437556.53341946</v>
      </c>
      <c r="S235">
        <f t="shared" si="962"/>
        <v>1974.3755653341946</v>
      </c>
      <c r="T235">
        <f t="shared" si="963"/>
        <v>1.9743755653341946</v>
      </c>
    </row>
    <row r="236" spans="1:20" x14ac:dyDescent="0.25">
      <c r="A236" s="5">
        <v>44357</v>
      </c>
      <c r="B236">
        <v>6.5909999999999996E-2</v>
      </c>
      <c r="C236">
        <v>6.6000000000000003E-2</v>
      </c>
      <c r="D236">
        <v>5.799E-2</v>
      </c>
      <c r="E236">
        <v>5.9979999999999999E-2</v>
      </c>
      <c r="F236">
        <v>104804472.40000001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-0.50312109862671717</v>
      </c>
      <c r="Q236">
        <f t="shared" si="960"/>
        <v>-52729341.294881463</v>
      </c>
      <c r="R236">
        <f t="shared" si="961"/>
        <v>295396404.61584616</v>
      </c>
      <c r="S236">
        <f t="shared" si="962"/>
        <v>2953.9640461584618</v>
      </c>
      <c r="T236">
        <f t="shared" si="963"/>
        <v>2.953964046158462</v>
      </c>
    </row>
    <row r="237" spans="1:20" x14ac:dyDescent="0.25">
      <c r="A237" s="5">
        <v>44356</v>
      </c>
      <c r="B237">
        <v>6.1609999999999998E-2</v>
      </c>
      <c r="C237">
        <v>6.5989999999999993E-2</v>
      </c>
      <c r="D237">
        <v>5.7910000000000003E-2</v>
      </c>
      <c r="E237">
        <v>6.5930000000000002E-2</v>
      </c>
      <c r="F237">
        <v>192463901.40000001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0.98514851485148747</v>
      </c>
      <c r="Q237">
        <f t="shared" si="960"/>
        <v>189605526.62673312</v>
      </c>
      <c r="R237">
        <f t="shared" si="961"/>
        <v>348125745.91072762</v>
      </c>
      <c r="S237">
        <f t="shared" si="962"/>
        <v>3481.2574591072762</v>
      </c>
      <c r="T237">
        <f t="shared" si="963"/>
        <v>3.481257459107276</v>
      </c>
    </row>
    <row r="238" spans="1:20" x14ac:dyDescent="0.25">
      <c r="A238" s="5">
        <v>44355</v>
      </c>
      <c r="B238">
        <v>6.0490000000000002E-2</v>
      </c>
      <c r="C238">
        <v>6.3100000000000003E-2</v>
      </c>
      <c r="D238">
        <v>5.237E-2</v>
      </c>
      <c r="E238">
        <v>6.1499999999999999E-2</v>
      </c>
      <c r="F238">
        <v>258076949.40000001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0.70177073625349418</v>
      </c>
      <c r="Q238">
        <f t="shared" si="960"/>
        <v>181110850.79049376</v>
      </c>
      <c r="R238">
        <f t="shared" si="961"/>
        <v>158520219.28399453</v>
      </c>
      <c r="S238">
        <f t="shared" si="962"/>
        <v>1585.2021928399452</v>
      </c>
      <c r="T238">
        <f t="shared" si="963"/>
        <v>1.5852021928399451</v>
      </c>
    </row>
    <row r="239" spans="1:20" x14ac:dyDescent="0.25">
      <c r="A239" s="5">
        <v>44354</v>
      </c>
      <c r="B239">
        <v>6.5750000000000003E-2</v>
      </c>
      <c r="C239">
        <v>7.4999999999999997E-2</v>
      </c>
      <c r="D239">
        <v>5.9619999999999999E-2</v>
      </c>
      <c r="E239">
        <v>6.053E-2</v>
      </c>
      <c r="F239">
        <v>379239990.30000001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-0.88166449934980473</v>
      </c>
      <c r="Q239">
        <f t="shared" si="960"/>
        <v>-334362436.18127429</v>
      </c>
      <c r="R239">
        <f t="shared" si="961"/>
        <v>-22590631.506499231</v>
      </c>
      <c r="S239">
        <f t="shared" si="962"/>
        <v>-225.9063150649923</v>
      </c>
      <c r="T239">
        <f t="shared" si="963"/>
        <v>-0.22590631506499229</v>
      </c>
    </row>
    <row r="240" spans="1:20" x14ac:dyDescent="0.25">
      <c r="A240" s="5">
        <v>44353</v>
      </c>
      <c r="B240">
        <v>6.4640000000000003E-2</v>
      </c>
      <c r="C240">
        <v>6.7839999999999998E-2</v>
      </c>
      <c r="D240">
        <v>6.4140000000000003E-2</v>
      </c>
      <c r="E240">
        <v>6.5790000000000001E-2</v>
      </c>
      <c r="F240">
        <v>57553947.799999997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-0.1081081081081076</v>
      </c>
      <c r="Q240">
        <f t="shared" si="960"/>
        <v>-6222048.4108107816</v>
      </c>
      <c r="R240">
        <f t="shared" si="961"/>
        <v>311771804.67477506</v>
      </c>
      <c r="S240">
        <f t="shared" si="962"/>
        <v>3117.7180467477506</v>
      </c>
      <c r="T240">
        <f t="shared" si="963"/>
        <v>3.1177180467477505</v>
      </c>
    </row>
    <row r="241" spans="1:20" x14ac:dyDescent="0.25">
      <c r="A241" s="5">
        <v>44352</v>
      </c>
      <c r="B241">
        <v>6.7449999999999996E-2</v>
      </c>
      <c r="C241">
        <v>7.1169999999999997E-2</v>
      </c>
      <c r="D241">
        <v>6.1409999999999999E-2</v>
      </c>
      <c r="E241">
        <v>6.4630000000000007E-2</v>
      </c>
      <c r="F241">
        <v>129513649.8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-0.34016393442622783</v>
      </c>
      <c r="Q241">
        <f t="shared" si="960"/>
        <v>-44055872.677868634</v>
      </c>
      <c r="R241">
        <f t="shared" si="961"/>
        <v>317993853.08558583</v>
      </c>
      <c r="S241">
        <f t="shared" si="962"/>
        <v>3179.9385308558585</v>
      </c>
      <c r="T241">
        <f t="shared" si="963"/>
        <v>3.1799385308558583</v>
      </c>
    </row>
    <row r="242" spans="1:20" x14ac:dyDescent="0.25">
      <c r="A242" s="5">
        <v>44351</v>
      </c>
      <c r="B242">
        <v>7.6920000000000002E-2</v>
      </c>
      <c r="C242">
        <v>7.714E-2</v>
      </c>
      <c r="D242">
        <v>6.1289999999999997E-2</v>
      </c>
      <c r="E242">
        <v>6.7449999999999996E-2</v>
      </c>
      <c r="F242">
        <v>179128140.90000001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-0.22271293375394352</v>
      </c>
      <c r="Q242">
        <f t="shared" si="960"/>
        <v>-39894153.777728759</v>
      </c>
      <c r="R242">
        <f t="shared" si="961"/>
        <v>362049725.7634545</v>
      </c>
      <c r="S242">
        <f t="shared" si="962"/>
        <v>3620.4972576345449</v>
      </c>
      <c r="T242">
        <f t="shared" si="963"/>
        <v>3.6204972576345451</v>
      </c>
    </row>
    <row r="243" spans="1:20" x14ac:dyDescent="0.25">
      <c r="A243" s="5">
        <v>44350</v>
      </c>
      <c r="B243">
        <v>7.2209999999999996E-2</v>
      </c>
      <c r="C243">
        <v>7.8960000000000002E-2</v>
      </c>
      <c r="D243">
        <v>6.8769999999999998E-2</v>
      </c>
      <c r="E243">
        <v>7.689E-2</v>
      </c>
      <c r="F243">
        <v>420176580.30000001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0.59371933267909682</v>
      </c>
      <c r="Q243">
        <f t="shared" si="960"/>
        <v>249466958.86310095</v>
      </c>
      <c r="R243">
        <f t="shared" si="961"/>
        <v>401943879.54118323</v>
      </c>
      <c r="S243">
        <f t="shared" si="962"/>
        <v>4019.4387954118324</v>
      </c>
      <c r="T243">
        <f t="shared" si="963"/>
        <v>4.0194387954118325</v>
      </c>
    </row>
    <row r="244" spans="1:20" x14ac:dyDescent="0.25">
      <c r="A244" s="5">
        <v>44349</v>
      </c>
      <c r="B244">
        <v>6.6059999999999994E-2</v>
      </c>
      <c r="C244">
        <v>7.4539999999999995E-2</v>
      </c>
      <c r="D244">
        <v>6.4000000000000001E-2</v>
      </c>
      <c r="E244">
        <v>7.2069999999999995E-2</v>
      </c>
      <c r="F244">
        <v>183688703.59999999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0.5313092979127132</v>
      </c>
      <c r="Q244">
        <f t="shared" si="960"/>
        <v>97595516.144212469</v>
      </c>
      <c r="R244">
        <f t="shared" si="961"/>
        <v>152476920.67808226</v>
      </c>
      <c r="S244">
        <f t="shared" si="962"/>
        <v>1524.7692067808225</v>
      </c>
      <c r="T244">
        <f t="shared" si="963"/>
        <v>1.5247692067808225</v>
      </c>
    </row>
    <row r="245" spans="1:20" x14ac:dyDescent="0.25">
      <c r="A245" s="5">
        <v>44348</v>
      </c>
      <c r="B245">
        <v>6.6309999999999994E-2</v>
      </c>
      <c r="C245">
        <v>7.0999999999999994E-2</v>
      </c>
      <c r="D245">
        <v>6.4219999999999999E-2</v>
      </c>
      <c r="E245">
        <v>6.6040000000000001E-2</v>
      </c>
      <c r="F245">
        <v>161559427.09999999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-0.46312684365781603</v>
      </c>
      <c r="Q245">
        <f t="shared" si="960"/>
        <v>-74822507.535988018</v>
      </c>
      <c r="R245">
        <f t="shared" si="961"/>
        <v>54881404.533869788</v>
      </c>
      <c r="S245">
        <f t="shared" si="962"/>
        <v>548.81404533869784</v>
      </c>
      <c r="T245">
        <f t="shared" si="963"/>
        <v>0.54881404533869782</v>
      </c>
    </row>
    <row r="246" spans="1:20" x14ac:dyDescent="0.25">
      <c r="A246" s="5">
        <v>44347</v>
      </c>
      <c r="B246">
        <v>6.0409999999999998E-2</v>
      </c>
      <c r="C246">
        <v>6.6659999999999997E-2</v>
      </c>
      <c r="D246">
        <v>5.8029999999999998E-2</v>
      </c>
      <c r="E246">
        <v>6.6290000000000002E-2</v>
      </c>
      <c r="F246">
        <v>123348479.59999999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0.91425260718424206</v>
      </c>
      <c r="Q246">
        <f t="shared" si="960"/>
        <v>112771669.06651229</v>
      </c>
      <c r="R246">
        <f t="shared" si="961"/>
        <v>129703912.06985781</v>
      </c>
      <c r="S246">
        <f t="shared" si="962"/>
        <v>1297.039120698578</v>
      </c>
      <c r="T246">
        <f t="shared" si="963"/>
        <v>1.2970391206985781</v>
      </c>
    </row>
    <row r="247" spans="1:20" x14ac:dyDescent="0.25">
      <c r="A247" s="5">
        <v>44346</v>
      </c>
      <c r="B247">
        <v>5.8889999999999998E-2</v>
      </c>
      <c r="C247">
        <v>6.4350000000000004E-2</v>
      </c>
      <c r="D247">
        <v>5.4609999999999999E-2</v>
      </c>
      <c r="E247">
        <v>6.0409999999999998E-2</v>
      </c>
      <c r="F247">
        <v>97005987.799999997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0.19096509240246329</v>
      </c>
      <c r="Q247">
        <f t="shared" si="960"/>
        <v>18524757.423819225</v>
      </c>
      <c r="R247">
        <f t="shared" si="961"/>
        <v>16932243.003345527</v>
      </c>
      <c r="S247">
        <f t="shared" si="962"/>
        <v>169.32243003345528</v>
      </c>
      <c r="T247">
        <f t="shared" si="963"/>
        <v>0.16932243003345529</v>
      </c>
    </row>
    <row r="248" spans="1:20" x14ac:dyDescent="0.25">
      <c r="A248" s="5">
        <v>44345</v>
      </c>
      <c r="B248">
        <v>6.1210000000000001E-2</v>
      </c>
      <c r="C248">
        <v>6.4930000000000002E-2</v>
      </c>
      <c r="D248">
        <v>5.3969999999999997E-2</v>
      </c>
      <c r="E248">
        <v>5.8959999999999999E-2</v>
      </c>
      <c r="F248">
        <v>131747363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-8.9416058394160697E-2</v>
      </c>
      <c r="Q248">
        <f t="shared" si="960"/>
        <v>-11780329.903284686</v>
      </c>
      <c r="R248">
        <f t="shared" si="961"/>
        <v>-1592514.4204736967</v>
      </c>
      <c r="S248">
        <f t="shared" si="962"/>
        <v>-15.925144204736966</v>
      </c>
      <c r="T248">
        <f t="shared" si="963"/>
        <v>-1.5925144204736966E-2</v>
      </c>
    </row>
    <row r="249" spans="1:20" x14ac:dyDescent="0.25">
      <c r="A249" s="5">
        <v>44344</v>
      </c>
      <c r="B249">
        <v>7.0720000000000005E-2</v>
      </c>
      <c r="C249">
        <v>7.1169999999999997E-2</v>
      </c>
      <c r="D249">
        <v>5.6599999999999998E-2</v>
      </c>
      <c r="E249">
        <v>6.1129999999999997E-2</v>
      </c>
      <c r="F249">
        <v>235640731.5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-0.37817433081674684</v>
      </c>
      <c r="Q249">
        <f t="shared" si="960"/>
        <v>-89113275.948181212</v>
      </c>
      <c r="R249">
        <f t="shared" si="961"/>
        <v>10187815.482810989</v>
      </c>
      <c r="S249">
        <f t="shared" si="962"/>
        <v>101.87815482810988</v>
      </c>
      <c r="T249">
        <f t="shared" si="963"/>
        <v>0.10187815482810988</v>
      </c>
    </row>
    <row r="250" spans="1:20" x14ac:dyDescent="0.25">
      <c r="A250" s="5">
        <v>44343</v>
      </c>
      <c r="B250">
        <v>7.8579999999999997E-2</v>
      </c>
      <c r="C250">
        <v>7.8729999999999994E-2</v>
      </c>
      <c r="D250">
        <v>6.8650000000000003E-2</v>
      </c>
      <c r="E250">
        <v>7.0749999999999993E-2</v>
      </c>
      <c r="F250">
        <v>191583067.59999999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-0.58333333333333481</v>
      </c>
      <c r="Q250">
        <f t="shared" si="960"/>
        <v>-111756789.43333362</v>
      </c>
      <c r="R250">
        <f t="shared" si="961"/>
        <v>99301091.430992201</v>
      </c>
      <c r="S250">
        <f t="shared" si="962"/>
        <v>993.01091430992199</v>
      </c>
      <c r="T250">
        <f t="shared" si="963"/>
        <v>0.99301091430992194</v>
      </c>
    </row>
    <row r="251" spans="1:20" x14ac:dyDescent="0.25">
      <c r="A251" s="5">
        <v>44342</v>
      </c>
      <c r="B251">
        <v>6.9260000000000002E-2</v>
      </c>
      <c r="C251">
        <v>7.8850000000000003E-2</v>
      </c>
      <c r="D251">
        <v>6.7830000000000001E-2</v>
      </c>
      <c r="E251">
        <v>7.8570000000000001E-2</v>
      </c>
      <c r="F251">
        <v>167729585.19999999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0.94918330308529897</v>
      </c>
      <c r="Q251">
        <f t="shared" si="960"/>
        <v>159206121.70526308</v>
      </c>
      <c r="R251">
        <f t="shared" si="961"/>
        <v>211057880.86432582</v>
      </c>
      <c r="S251">
        <f t="shared" si="962"/>
        <v>2110.5788086432581</v>
      </c>
      <c r="T251">
        <f t="shared" si="963"/>
        <v>2.110578808643258</v>
      </c>
    </row>
    <row r="252" spans="1:20" x14ac:dyDescent="0.25">
      <c r="A252" s="5">
        <v>44341</v>
      </c>
      <c r="B252">
        <v>7.1330000000000005E-2</v>
      </c>
      <c r="C252">
        <v>7.4999999999999997E-2</v>
      </c>
      <c r="D252">
        <v>6.2799999999999995E-2</v>
      </c>
      <c r="E252">
        <v>6.9239999999999996E-2</v>
      </c>
      <c r="F252">
        <v>180904019.19999999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5.5737704918032781E-2</v>
      </c>
      <c r="Q252">
        <f t="shared" si="960"/>
        <v>10083174.840655737</v>
      </c>
      <c r="R252">
        <f t="shared" si="961"/>
        <v>51851759.159062736</v>
      </c>
      <c r="S252">
        <f t="shared" si="962"/>
        <v>518.51759159062738</v>
      </c>
      <c r="T252">
        <f t="shared" si="963"/>
        <v>0.51851759159062738</v>
      </c>
    </row>
    <row r="253" spans="1:20" x14ac:dyDescent="0.25">
      <c r="A253" s="5">
        <v>44340</v>
      </c>
      <c r="B253">
        <v>6.2030000000000002E-2</v>
      </c>
      <c r="C253">
        <v>7.3139999999999997E-2</v>
      </c>
      <c r="D253">
        <v>6.0999999999999999E-2</v>
      </c>
      <c r="E253">
        <v>7.1330000000000005E-2</v>
      </c>
      <c r="F253">
        <v>201384740.59999999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0.70181219110379034</v>
      </c>
      <c r="Q253">
        <f t="shared" si="960"/>
        <v>141334266.05535445</v>
      </c>
      <c r="R253">
        <f t="shared" si="961"/>
        <v>41768584.318406999</v>
      </c>
      <c r="S253">
        <f t="shared" si="962"/>
        <v>417.68584318407</v>
      </c>
      <c r="T253">
        <f t="shared" si="963"/>
        <v>0.41768584318406998</v>
      </c>
    </row>
    <row r="254" spans="1:20" x14ac:dyDescent="0.25">
      <c r="A254" s="5">
        <v>44339</v>
      </c>
      <c r="B254">
        <v>7.0569999999999994E-2</v>
      </c>
      <c r="C254">
        <v>7.3380000000000001E-2</v>
      </c>
      <c r="D254">
        <v>4.9820000000000003E-2</v>
      </c>
      <c r="E254">
        <v>6.2030000000000002E-2</v>
      </c>
      <c r="F254">
        <v>370303952.89999998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3.6502546689303896E-2</v>
      </c>
      <c r="Q254">
        <f t="shared" si="960"/>
        <v>13517037.32996604</v>
      </c>
      <c r="R254">
        <f t="shared" si="961"/>
        <v>-99565681.736947447</v>
      </c>
      <c r="S254">
        <f t="shared" si="962"/>
        <v>-995.65681736947442</v>
      </c>
      <c r="T254">
        <f t="shared" si="963"/>
        <v>-0.99565681736947442</v>
      </c>
    </row>
    <row r="255" spans="1:20" x14ac:dyDescent="0.25">
      <c r="A255" s="5">
        <v>44338</v>
      </c>
      <c r="B255">
        <v>7.7090000000000006E-2</v>
      </c>
      <c r="C255">
        <v>7.9339999999999994E-2</v>
      </c>
      <c r="D255">
        <v>6.7080000000000001E-2</v>
      </c>
      <c r="E255">
        <v>7.0559999999999998E-2</v>
      </c>
      <c r="F255">
        <v>178124211.69999999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-0.43230016313213721</v>
      </c>
      <c r="Q255">
        <f t="shared" si="960"/>
        <v>-77003125.775693342</v>
      </c>
      <c r="R255">
        <f t="shared" si="961"/>
        <v>-113082719.06691349</v>
      </c>
      <c r="S255">
        <f t="shared" si="962"/>
        <v>-1130.8271906691348</v>
      </c>
      <c r="T255">
        <f t="shared" si="963"/>
        <v>-1.1308271906691347</v>
      </c>
    </row>
    <row r="256" spans="1:20" x14ac:dyDescent="0.25">
      <c r="A256" s="5">
        <v>44337</v>
      </c>
      <c r="B256">
        <v>9.0160000000000004E-2</v>
      </c>
      <c r="C256">
        <v>9.3850000000000003E-2</v>
      </c>
      <c r="D256">
        <v>6.0260000000000001E-2</v>
      </c>
      <c r="E256">
        <v>7.707E-2</v>
      </c>
      <c r="F256">
        <v>284584418.19999999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8.931229532597591E-4</v>
      </c>
      <c r="Q256">
        <f t="shared" si="960"/>
        <v>254168.87603449431</v>
      </c>
      <c r="R256">
        <f t="shared" si="961"/>
        <v>-36079593.291220136</v>
      </c>
      <c r="S256">
        <f t="shared" si="962"/>
        <v>-360.79593291220135</v>
      </c>
      <c r="T256">
        <f t="shared" si="963"/>
        <v>-0.36079593291220136</v>
      </c>
    </row>
    <row r="257" spans="1:20" x14ac:dyDescent="0.25">
      <c r="A257" s="5">
        <v>44336</v>
      </c>
      <c r="B257">
        <v>7.324E-2</v>
      </c>
      <c r="C257">
        <v>0.10287</v>
      </c>
      <c r="D257">
        <v>6.6009999999999999E-2</v>
      </c>
      <c r="E257">
        <v>9.0179999999999996E-2</v>
      </c>
      <c r="F257">
        <v>398365443.60000002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0.31144872490504583</v>
      </c>
      <c r="Q257">
        <f t="shared" si="960"/>
        <v>124070409.45545295</v>
      </c>
      <c r="R257">
        <f t="shared" si="961"/>
        <v>-36333762.167254627</v>
      </c>
      <c r="S257">
        <f t="shared" si="962"/>
        <v>-363.33762167254628</v>
      </c>
      <c r="T257">
        <f t="shared" si="963"/>
        <v>-0.3633376216725463</v>
      </c>
    </row>
    <row r="258" spans="1:20" x14ac:dyDescent="0.25">
      <c r="A258" s="5">
        <v>44335</v>
      </c>
      <c r="B258">
        <v>0.10836999999999999</v>
      </c>
      <c r="C258">
        <v>0.10981</v>
      </c>
      <c r="D258">
        <v>0.05</v>
      </c>
      <c r="E258">
        <v>7.3270000000000002E-2</v>
      </c>
      <c r="F258">
        <v>510146335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-0.22186925263333895</v>
      </c>
      <c r="Q258">
        <f t="shared" si="960"/>
        <v>-113185786.08008696</v>
      </c>
      <c r="R258">
        <f t="shared" si="961"/>
        <v>-160404171.62270758</v>
      </c>
      <c r="S258">
        <f t="shared" si="962"/>
        <v>-1604.0417162270758</v>
      </c>
      <c r="T258">
        <f t="shared" si="963"/>
        <v>-1.6040417162270757</v>
      </c>
    </row>
    <row r="259" spans="1:20" x14ac:dyDescent="0.25">
      <c r="A259" s="5">
        <v>44334</v>
      </c>
      <c r="B259">
        <v>0.10106999999999999</v>
      </c>
      <c r="C259">
        <v>0.11550000000000001</v>
      </c>
      <c r="D259">
        <v>9.8989999999999995E-2</v>
      </c>
      <c r="E259">
        <v>0.10852000000000001</v>
      </c>
      <c r="F259">
        <v>168388428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0.15445184736523374</v>
      </c>
      <c r="Q259">
        <f t="shared" si="960"/>
        <v>26007903.779527649</v>
      </c>
      <c r="R259">
        <f t="shared" si="961"/>
        <v>-47218385.542620614</v>
      </c>
      <c r="S259">
        <f t="shared" si="962"/>
        <v>-472.18385542620615</v>
      </c>
      <c r="T259">
        <f t="shared" si="963"/>
        <v>-0.47218385542620617</v>
      </c>
    </row>
    <row r="260" spans="1:20" x14ac:dyDescent="0.25">
      <c r="A260" s="5">
        <v>44333</v>
      </c>
      <c r="B260">
        <v>0.11158</v>
      </c>
      <c r="C260">
        <v>0.11538</v>
      </c>
      <c r="D260">
        <v>9.6500000000000002E-2</v>
      </c>
      <c r="E260">
        <v>0.10100000000000001</v>
      </c>
      <c r="F260">
        <v>221860642.80000001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-0.52330508474576209</v>
      </c>
      <c r="Q260">
        <f t="shared" si="960"/>
        <v>-116100802.48220326</v>
      </c>
      <c r="R260">
        <f t="shared" si="961"/>
        <v>-73226289.322148263</v>
      </c>
      <c r="S260">
        <f t="shared" si="962"/>
        <v>-732.26289322148261</v>
      </c>
      <c r="T260">
        <f t="shared" si="963"/>
        <v>-0.73226289322148264</v>
      </c>
    </row>
    <row r="261" spans="1:20" x14ac:dyDescent="0.25">
      <c r="A261" s="5">
        <v>44332</v>
      </c>
      <c r="B261">
        <v>0.10763</v>
      </c>
      <c r="C261">
        <v>0.11938</v>
      </c>
      <c r="D261">
        <v>0.10095999999999999</v>
      </c>
      <c r="E261">
        <v>0.11123</v>
      </c>
      <c r="F261">
        <v>201818939.59999999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0.11509229098805626</v>
      </c>
      <c r="Q261">
        <f t="shared" si="960"/>
        <v>23227804.123344149</v>
      </c>
      <c r="R261">
        <f t="shared" si="961"/>
        <v>42874513.160054997</v>
      </c>
      <c r="S261">
        <f t="shared" si="962"/>
        <v>428.74513160054994</v>
      </c>
      <c r="T261">
        <f t="shared" si="963"/>
        <v>0.42874513160054994</v>
      </c>
    </row>
    <row r="262" spans="1:20" x14ac:dyDescent="0.25">
      <c r="A262" s="5">
        <v>44331</v>
      </c>
      <c r="B262">
        <v>0.11934</v>
      </c>
      <c r="C262">
        <v>0.12148</v>
      </c>
      <c r="D262">
        <v>0.10567</v>
      </c>
      <c r="E262">
        <v>0.10749</v>
      </c>
      <c r="F262">
        <v>157260722.09999999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-0.76976597090449062</v>
      </c>
      <c r="Q262">
        <f t="shared" ref="Q262:Q325" si="965">F262*P262</f>
        <v>-121053952.43244778</v>
      </c>
      <c r="R262">
        <f t="shared" ref="R262:R325" si="966">R263+Q262</f>
        <v>19646709.036710843</v>
      </c>
      <c r="S262">
        <f t="shared" ref="S262:S325" si="967">R262/100000</f>
        <v>196.46709036710843</v>
      </c>
      <c r="T262">
        <f t="shared" ref="T262:T325" si="968">S262/1000</f>
        <v>0.19646709036710844</v>
      </c>
    </row>
    <row r="263" spans="1:20" x14ac:dyDescent="0.25">
      <c r="A263" s="5">
        <v>44330</v>
      </c>
      <c r="B263">
        <v>0.11563</v>
      </c>
      <c r="C263">
        <v>0.12565999999999999</v>
      </c>
      <c r="D263">
        <v>0.11468</v>
      </c>
      <c r="E263">
        <v>0.11945</v>
      </c>
      <c r="F263">
        <v>121314931.8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-0.1311475409836064</v>
      </c>
      <c r="Q263">
        <f t="shared" si="965"/>
        <v>-15910154.990163915</v>
      </c>
      <c r="R263">
        <f t="shared" si="966"/>
        <v>140700661.46915862</v>
      </c>
      <c r="S263">
        <f t="shared" si="967"/>
        <v>1407.0066146915863</v>
      </c>
      <c r="T263">
        <f t="shared" si="968"/>
        <v>1.4070066146915863</v>
      </c>
    </row>
    <row r="264" spans="1:20" x14ac:dyDescent="0.25">
      <c r="A264" s="5">
        <v>44329</v>
      </c>
      <c r="B264">
        <v>0.10940999999999999</v>
      </c>
      <c r="C264">
        <v>0.12615999999999999</v>
      </c>
      <c r="D264">
        <v>9.9290000000000003E-2</v>
      </c>
      <c r="E264">
        <v>0.11565</v>
      </c>
      <c r="F264">
        <v>252668704.30000001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0.21771492370673651</v>
      </c>
      <c r="Q264">
        <f t="shared" si="965"/>
        <v>55009747.679754466</v>
      </c>
      <c r="R264">
        <f t="shared" si="966"/>
        <v>156610816.45932254</v>
      </c>
      <c r="S264">
        <f t="shared" si="967"/>
        <v>1566.1081645932254</v>
      </c>
      <c r="T264">
        <f t="shared" si="968"/>
        <v>1.5661081645932253</v>
      </c>
    </row>
    <row r="265" spans="1:20" x14ac:dyDescent="0.25">
      <c r="A265" s="5">
        <v>44328</v>
      </c>
      <c r="B265">
        <v>0.13242000000000001</v>
      </c>
      <c r="C265">
        <v>0.14299999999999999</v>
      </c>
      <c r="D265">
        <v>0.108</v>
      </c>
      <c r="E265">
        <v>0.10876</v>
      </c>
      <c r="F265">
        <v>195059551.69999999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-0.95657142857142874</v>
      </c>
      <c r="Q265">
        <f t="shared" si="965"/>
        <v>-186588394.02617145</v>
      </c>
      <c r="R265">
        <f t="shared" si="966"/>
        <v>101601068.77956808</v>
      </c>
      <c r="S265">
        <f t="shared" si="967"/>
        <v>1016.0106877956807</v>
      </c>
      <c r="T265">
        <f t="shared" si="968"/>
        <v>1.0160106877956807</v>
      </c>
    </row>
    <row r="266" spans="1:20" x14ac:dyDescent="0.25">
      <c r="A266" s="5">
        <v>44327</v>
      </c>
      <c r="B266">
        <v>0.12828000000000001</v>
      </c>
      <c r="C266">
        <v>0.13700000000000001</v>
      </c>
      <c r="D266">
        <v>0.12323000000000001</v>
      </c>
      <c r="E266">
        <v>0.13242999999999999</v>
      </c>
      <c r="F266">
        <v>116616016.5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0.33623819898329455</v>
      </c>
      <c r="Q266">
        <f t="shared" si="965"/>
        <v>39210759.360566162</v>
      </c>
      <c r="R266">
        <f t="shared" si="966"/>
        <v>288189462.80573952</v>
      </c>
      <c r="S266">
        <f t="shared" si="967"/>
        <v>2881.894628057395</v>
      </c>
      <c r="T266">
        <f t="shared" si="968"/>
        <v>2.8818946280573949</v>
      </c>
    </row>
    <row r="267" spans="1:20" x14ac:dyDescent="0.25">
      <c r="A267" s="5">
        <v>44326</v>
      </c>
      <c r="B267">
        <v>0.14471000000000001</v>
      </c>
      <c r="C267">
        <v>0.15198</v>
      </c>
      <c r="D267">
        <v>0.11447</v>
      </c>
      <c r="E267">
        <v>0.12827</v>
      </c>
      <c r="F267">
        <v>227843922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-0.26419621434284235</v>
      </c>
      <c r="Q267">
        <f t="shared" si="965"/>
        <v>-60195501.653425857</v>
      </c>
      <c r="R267">
        <f t="shared" si="966"/>
        <v>248978703.44517338</v>
      </c>
      <c r="S267">
        <f t="shared" si="967"/>
        <v>2489.7870344517337</v>
      </c>
      <c r="T267">
        <f t="shared" si="968"/>
        <v>2.4897870344517337</v>
      </c>
    </row>
    <row r="268" spans="1:20" x14ac:dyDescent="0.25">
      <c r="A268" s="5">
        <v>44325</v>
      </c>
      <c r="B268">
        <v>0.14717</v>
      </c>
      <c r="C268">
        <v>0.15115999999999999</v>
      </c>
      <c r="D268">
        <v>0.13667000000000001</v>
      </c>
      <c r="E268">
        <v>0.14479</v>
      </c>
      <c r="F268">
        <v>144003300.90000001</v>
      </c>
      <c r="G268">
        <v>0</v>
      </c>
      <c r="L268" t="s">
        <v>7</v>
      </c>
      <c r="M268" t="s">
        <v>8</v>
      </c>
      <c r="N268" t="s">
        <v>7</v>
      </c>
      <c r="P268">
        <f t="shared" si="964"/>
        <v>0.1207729468599037</v>
      </c>
      <c r="Q268">
        <f t="shared" si="965"/>
        <v>17391703.007246424</v>
      </c>
      <c r="R268">
        <f t="shared" si="966"/>
        <v>309174205.09859926</v>
      </c>
      <c r="S268">
        <f t="shared" si="967"/>
        <v>3091.7420509859926</v>
      </c>
      <c r="T268">
        <f t="shared" si="968"/>
        <v>3.0917420509859928</v>
      </c>
    </row>
    <row r="269" spans="1:20" x14ac:dyDescent="0.25">
      <c r="A269" s="5">
        <v>44324</v>
      </c>
      <c r="B269">
        <v>0.14888999999999999</v>
      </c>
      <c r="C269">
        <v>0.157</v>
      </c>
      <c r="D269">
        <v>0.14521000000000001</v>
      </c>
      <c r="E269">
        <v>0.14718999999999999</v>
      </c>
      <c r="F269">
        <v>191053937.19999999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-0.66412213740458315</v>
      </c>
      <c r="Q269">
        <f t="shared" si="965"/>
        <v>-126883149.13282499</v>
      </c>
      <c r="R269">
        <f t="shared" si="966"/>
        <v>291782502.09135282</v>
      </c>
      <c r="S269">
        <f t="shared" si="967"/>
        <v>2917.8250209135281</v>
      </c>
      <c r="T269">
        <f t="shared" si="968"/>
        <v>2.9178250209135279</v>
      </c>
    </row>
    <row r="270" spans="1:20" x14ac:dyDescent="0.25">
      <c r="A270" s="5">
        <v>44323</v>
      </c>
      <c r="B270">
        <v>0.14027999999999999</v>
      </c>
      <c r="C270">
        <v>0.15190999999999999</v>
      </c>
      <c r="D270">
        <v>0.13772999999999999</v>
      </c>
      <c r="E270">
        <v>0.14899999999999999</v>
      </c>
      <c r="F270">
        <v>199768277.19999999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0.58956276445698219</v>
      </c>
      <c r="Q270">
        <f t="shared" si="965"/>
        <v>117775937.75684072</v>
      </c>
      <c r="R270">
        <f t="shared" si="966"/>
        <v>418665651.22417784</v>
      </c>
      <c r="S270">
        <f t="shared" si="967"/>
        <v>4186.6565122417787</v>
      </c>
      <c r="T270">
        <f t="shared" si="968"/>
        <v>4.1866565122417789</v>
      </c>
    </row>
    <row r="271" spans="1:20" x14ac:dyDescent="0.25">
      <c r="A271" s="5">
        <v>44322</v>
      </c>
      <c r="B271">
        <v>0.14476</v>
      </c>
      <c r="C271">
        <v>0.15537000000000001</v>
      </c>
      <c r="D271">
        <v>0.13557</v>
      </c>
      <c r="E271">
        <v>0.14029</v>
      </c>
      <c r="F271">
        <v>219473600.69999999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-0.52323232323232327</v>
      </c>
      <c r="Q271">
        <f t="shared" si="965"/>
        <v>-114835681.98242424</v>
      </c>
      <c r="R271">
        <f t="shared" si="966"/>
        <v>300889713.46733713</v>
      </c>
      <c r="S271">
        <f t="shared" si="967"/>
        <v>3008.8971346733715</v>
      </c>
      <c r="T271">
        <f t="shared" si="968"/>
        <v>3.0088971346733717</v>
      </c>
    </row>
    <row r="272" spans="1:20" x14ac:dyDescent="0.25">
      <c r="A272" s="5">
        <v>44321</v>
      </c>
      <c r="B272">
        <v>0.13375000000000001</v>
      </c>
      <c r="C272">
        <v>0.15512999999999999</v>
      </c>
      <c r="D272">
        <v>0.13200000000000001</v>
      </c>
      <c r="E272">
        <v>0.14477000000000001</v>
      </c>
      <c r="F272">
        <v>254835280.59999999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0.10419368785127647</v>
      </c>
      <c r="Q272">
        <f t="shared" si="965"/>
        <v>26552227.68032885</v>
      </c>
      <c r="R272">
        <f t="shared" si="966"/>
        <v>415725395.44976139</v>
      </c>
      <c r="S272">
        <f t="shared" si="967"/>
        <v>4157.2539544976144</v>
      </c>
      <c r="T272">
        <f t="shared" si="968"/>
        <v>4.1572539544976141</v>
      </c>
    </row>
    <row r="273" spans="1:20" x14ac:dyDescent="0.25">
      <c r="A273" s="5">
        <v>44320</v>
      </c>
      <c r="B273">
        <v>0.15062999999999999</v>
      </c>
      <c r="C273">
        <v>0.15107000000000001</v>
      </c>
      <c r="D273">
        <v>0.13077</v>
      </c>
      <c r="E273">
        <v>0.13375000000000001</v>
      </c>
      <c r="F273">
        <v>313817559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-0.70640394088669867</v>
      </c>
      <c r="Q273">
        <f t="shared" si="965"/>
        <v>-221681960.39704406</v>
      </c>
      <c r="R273">
        <f t="shared" si="966"/>
        <v>389173167.76943254</v>
      </c>
      <c r="S273">
        <f t="shared" si="967"/>
        <v>3891.7316776943253</v>
      </c>
      <c r="T273">
        <f t="shared" si="968"/>
        <v>3.8917316776943252</v>
      </c>
    </row>
    <row r="274" spans="1:20" x14ac:dyDescent="0.25">
      <c r="A274" s="5">
        <v>44319</v>
      </c>
      <c r="B274">
        <v>0.15720000000000001</v>
      </c>
      <c r="C274">
        <v>0.16137000000000001</v>
      </c>
      <c r="D274">
        <v>0.1502</v>
      </c>
      <c r="E274">
        <v>0.15062999999999999</v>
      </c>
      <c r="F274">
        <v>221956271.09999999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-0.92300805729633206</v>
      </c>
      <c r="Q274">
        <f t="shared" si="965"/>
        <v>-204867426.592749</v>
      </c>
      <c r="R274">
        <f t="shared" si="966"/>
        <v>610855128.16647661</v>
      </c>
      <c r="S274">
        <f t="shared" si="967"/>
        <v>6108.5512816647661</v>
      </c>
      <c r="T274">
        <f t="shared" si="968"/>
        <v>6.1085512816647665</v>
      </c>
    </row>
    <row r="275" spans="1:20" x14ac:dyDescent="0.25">
      <c r="A275" s="5">
        <v>44318</v>
      </c>
      <c r="B275">
        <v>0.15601000000000001</v>
      </c>
      <c r="C275">
        <v>0.16550000000000001</v>
      </c>
      <c r="D275">
        <v>0.14288000000000001</v>
      </c>
      <c r="E275">
        <v>0.15733</v>
      </c>
      <c r="F275">
        <v>343992929.30000001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0.27763041556144913</v>
      </c>
      <c r="Q275">
        <f t="shared" si="965"/>
        <v>95502899.911759198</v>
      </c>
      <c r="R275">
        <f t="shared" si="966"/>
        <v>815722554.75922561</v>
      </c>
      <c r="S275">
        <f t="shared" si="967"/>
        <v>8157.2255475922557</v>
      </c>
      <c r="T275">
        <f t="shared" si="968"/>
        <v>8.1572255475922564</v>
      </c>
    </row>
    <row r="276" spans="1:20" x14ac:dyDescent="0.25">
      <c r="A276" s="5">
        <v>44317</v>
      </c>
      <c r="B276">
        <v>0.15114</v>
      </c>
      <c r="C276">
        <v>0.184</v>
      </c>
      <c r="D276">
        <v>0.15021000000000001</v>
      </c>
      <c r="E276">
        <v>0.156</v>
      </c>
      <c r="F276">
        <v>813948959.60000002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-0.6572950577093819</v>
      </c>
      <c r="Q276">
        <f t="shared" si="965"/>
        <v>-535004628.37277335</v>
      </c>
      <c r="R276">
        <f t="shared" si="966"/>
        <v>720219654.84746647</v>
      </c>
      <c r="S276">
        <f t="shared" si="967"/>
        <v>7202.1965484746643</v>
      </c>
      <c r="T276">
        <f t="shared" si="968"/>
        <v>7.2021965484746646</v>
      </c>
    </row>
    <row r="277" spans="1:20" x14ac:dyDescent="0.25">
      <c r="A277" s="5">
        <v>44316</v>
      </c>
      <c r="B277">
        <v>0.12648999999999999</v>
      </c>
      <c r="C277">
        <v>0.15417</v>
      </c>
      <c r="D277">
        <v>0.1234</v>
      </c>
      <c r="E277">
        <v>0.15071000000000001</v>
      </c>
      <c r="F277">
        <v>329622196.60000002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0.77510562235944169</v>
      </c>
      <c r="Q277">
        <f t="shared" si="965"/>
        <v>255492017.83912927</v>
      </c>
      <c r="R277">
        <f t="shared" si="966"/>
        <v>1255224283.2202399</v>
      </c>
      <c r="S277">
        <f t="shared" si="967"/>
        <v>12552.242832202399</v>
      </c>
      <c r="T277">
        <f t="shared" si="968"/>
        <v>12.552242832202399</v>
      </c>
    </row>
    <row r="278" spans="1:20" x14ac:dyDescent="0.25">
      <c r="A278" s="5">
        <v>44315</v>
      </c>
      <c r="B278">
        <v>0.126</v>
      </c>
      <c r="C278">
        <v>0.13300000000000001</v>
      </c>
      <c r="D278">
        <v>0.11969</v>
      </c>
      <c r="E278">
        <v>0.12645999999999999</v>
      </c>
      <c r="F278">
        <v>197116860.90000001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1.7280240420733756E-2</v>
      </c>
      <c r="Q278">
        <f t="shared" si="965"/>
        <v>3406226.7473323331</v>
      </c>
      <c r="R278">
        <f t="shared" si="966"/>
        <v>999732265.38111067</v>
      </c>
      <c r="S278">
        <f t="shared" si="967"/>
        <v>9997.3226538111066</v>
      </c>
      <c r="T278">
        <f t="shared" si="968"/>
        <v>9.9973226538111071</v>
      </c>
    </row>
    <row r="279" spans="1:20" x14ac:dyDescent="0.25">
      <c r="A279" s="5">
        <v>44314</v>
      </c>
      <c r="B279">
        <v>0.13295999999999999</v>
      </c>
      <c r="C279">
        <v>0.13800000000000001</v>
      </c>
      <c r="D279">
        <v>0.12204</v>
      </c>
      <c r="E279">
        <v>0.12601000000000001</v>
      </c>
      <c r="F279">
        <v>183306390.69999999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-0.50250626566415901</v>
      </c>
      <c r="Q279">
        <f t="shared" si="965"/>
        <v>-92112609.863032326</v>
      </c>
      <c r="R279">
        <f t="shared" si="966"/>
        <v>996326038.63377833</v>
      </c>
      <c r="S279">
        <f t="shared" si="967"/>
        <v>9963.2603863377826</v>
      </c>
      <c r="T279">
        <f t="shared" si="968"/>
        <v>9.9632603863377831</v>
      </c>
    </row>
    <row r="280" spans="1:20" x14ac:dyDescent="0.25">
      <c r="A280" s="5">
        <v>44313</v>
      </c>
      <c r="B280">
        <v>0.12490999999999999</v>
      </c>
      <c r="C280">
        <v>0.14000000000000001</v>
      </c>
      <c r="D280">
        <v>0.12184</v>
      </c>
      <c r="E280">
        <v>0.13295000000000001</v>
      </c>
      <c r="F280">
        <v>245648522.19999999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0.22356828193832631</v>
      </c>
      <c r="Q280">
        <f t="shared" si="965"/>
        <v>54919218.068942808</v>
      </c>
      <c r="R280">
        <f t="shared" si="966"/>
        <v>1088438648.4968107</v>
      </c>
      <c r="S280">
        <f t="shared" si="967"/>
        <v>10884.386484968107</v>
      </c>
      <c r="T280">
        <f t="shared" si="968"/>
        <v>10.884386484968108</v>
      </c>
    </row>
    <row r="281" spans="1:20" x14ac:dyDescent="0.25">
      <c r="A281" s="5">
        <v>44312</v>
      </c>
      <c r="B281">
        <v>0.10600999999999999</v>
      </c>
      <c r="C281">
        <v>0.12861</v>
      </c>
      <c r="D281">
        <v>0.10388</v>
      </c>
      <c r="E281">
        <v>0.12471</v>
      </c>
      <c r="F281">
        <v>264314642.80000001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0.68459361099878691</v>
      </c>
      <c r="Q281">
        <f t="shared" si="965"/>
        <v>180948115.75430652</v>
      </c>
      <c r="R281">
        <f t="shared" si="966"/>
        <v>1033519430.4278679</v>
      </c>
      <c r="S281">
        <f t="shared" si="967"/>
        <v>10335.194304278679</v>
      </c>
      <c r="T281">
        <f t="shared" si="968"/>
        <v>10.335194304278678</v>
      </c>
    </row>
    <row r="282" spans="1:20" x14ac:dyDescent="0.25">
      <c r="A282" s="5">
        <v>44311</v>
      </c>
      <c r="B282">
        <v>0.10995000000000001</v>
      </c>
      <c r="C282">
        <v>0.12129</v>
      </c>
      <c r="D282">
        <v>9.6979999999999997E-2</v>
      </c>
      <c r="E282">
        <v>0.10614999999999999</v>
      </c>
      <c r="F282">
        <v>240631465.69999999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-0.24557795146030453</v>
      </c>
      <c r="Q282">
        <f t="shared" si="965"/>
        <v>-59093782.403496534</v>
      </c>
      <c r="R282">
        <f t="shared" si="966"/>
        <v>852571314.67356133</v>
      </c>
      <c r="S282">
        <f t="shared" si="967"/>
        <v>8525.7131467356139</v>
      </c>
      <c r="T282">
        <f t="shared" si="968"/>
        <v>8.5257131467356135</v>
      </c>
    </row>
    <row r="283" spans="1:20" x14ac:dyDescent="0.25">
      <c r="A283" s="5">
        <v>44310</v>
      </c>
      <c r="B283">
        <v>0.12544</v>
      </c>
      <c r="C283">
        <v>0.12872</v>
      </c>
      <c r="D283">
        <v>0.10877000000000001</v>
      </c>
      <c r="E283">
        <v>0.10995000000000001</v>
      </c>
      <c r="F283">
        <v>310179365.19999999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-0.88170426065162899</v>
      </c>
      <c r="Q283">
        <f t="shared" si="965"/>
        <v>-273486467.86305761</v>
      </c>
      <c r="R283">
        <f t="shared" si="966"/>
        <v>911665097.07705784</v>
      </c>
      <c r="S283">
        <f t="shared" si="967"/>
        <v>9116.6509707705791</v>
      </c>
      <c r="T283">
        <f t="shared" si="968"/>
        <v>9.1166509707705785</v>
      </c>
    </row>
    <row r="284" spans="1:20" x14ac:dyDescent="0.25">
      <c r="A284" s="5">
        <v>44309</v>
      </c>
      <c r="B284">
        <v>0.12736</v>
      </c>
      <c r="C284">
        <v>0.13181999999999999</v>
      </c>
      <c r="D284">
        <v>9.5119999999999996E-2</v>
      </c>
      <c r="E284">
        <v>0.12506</v>
      </c>
      <c r="F284">
        <v>554409250.20000005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0.63160762942779347</v>
      </c>
      <c r="Q284">
        <f t="shared" si="965"/>
        <v>350169112.25166249</v>
      </c>
      <c r="R284">
        <f t="shared" si="966"/>
        <v>1185151564.9401155</v>
      </c>
      <c r="S284">
        <f t="shared" si="967"/>
        <v>11851.515649401155</v>
      </c>
      <c r="T284">
        <f t="shared" si="968"/>
        <v>11.851515649401156</v>
      </c>
    </row>
    <row r="285" spans="1:20" x14ac:dyDescent="0.25">
      <c r="A285" s="5">
        <v>44308</v>
      </c>
      <c r="B285">
        <v>0.1527</v>
      </c>
      <c r="C285">
        <v>0.17</v>
      </c>
      <c r="D285">
        <v>0.12418</v>
      </c>
      <c r="E285">
        <v>0.12737000000000001</v>
      </c>
      <c r="F285">
        <v>976446274.60000002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-0.86075949367088556</v>
      </c>
      <c r="Q285">
        <f t="shared" si="965"/>
        <v>-840485400.92151845</v>
      </c>
      <c r="R285">
        <f t="shared" si="966"/>
        <v>834982452.68845284</v>
      </c>
      <c r="S285">
        <f t="shared" si="967"/>
        <v>8349.8245268845276</v>
      </c>
      <c r="T285">
        <f t="shared" si="968"/>
        <v>8.349824526884527</v>
      </c>
    </row>
    <row r="286" spans="1:20" x14ac:dyDescent="0.25">
      <c r="A286" s="5">
        <v>44307</v>
      </c>
      <c r="B286">
        <v>0.12926000000000001</v>
      </c>
      <c r="C286">
        <v>0.17462</v>
      </c>
      <c r="D286">
        <v>0.12274</v>
      </c>
      <c r="E286">
        <v>0.153</v>
      </c>
      <c r="F286">
        <v>959827895.70000005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0.16653816499614488</v>
      </c>
      <c r="Q286">
        <f t="shared" si="965"/>
        <v>159847976.46198913</v>
      </c>
      <c r="R286">
        <f t="shared" si="966"/>
        <v>1675467853.6099713</v>
      </c>
      <c r="S286">
        <f t="shared" si="967"/>
        <v>16754.678536099713</v>
      </c>
      <c r="T286">
        <f t="shared" si="968"/>
        <v>16.754678536099714</v>
      </c>
    </row>
    <row r="287" spans="1:20" x14ac:dyDescent="0.25">
      <c r="A287" s="5">
        <v>44306</v>
      </c>
      <c r="B287">
        <v>0.13375000000000001</v>
      </c>
      <c r="C287">
        <v>0.13938</v>
      </c>
      <c r="D287">
        <v>0.11889</v>
      </c>
      <c r="E287">
        <v>0.12927</v>
      </c>
      <c r="F287">
        <v>295442031.19999999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1.3177159590043551E-2</v>
      </c>
      <c r="Q287">
        <f t="shared" si="965"/>
        <v>3893086.794729026</v>
      </c>
      <c r="R287">
        <f t="shared" si="966"/>
        <v>1515619877.1479821</v>
      </c>
      <c r="S287">
        <f t="shared" si="967"/>
        <v>15156.198771479822</v>
      </c>
      <c r="T287">
        <f t="shared" si="968"/>
        <v>15.156198771479822</v>
      </c>
    </row>
    <row r="288" spans="1:20" x14ac:dyDescent="0.25">
      <c r="A288" s="5">
        <v>44305</v>
      </c>
      <c r="B288">
        <v>0.13306999999999999</v>
      </c>
      <c r="C288">
        <v>0.15797</v>
      </c>
      <c r="D288">
        <v>0.12583</v>
      </c>
      <c r="E288">
        <v>0.13416</v>
      </c>
      <c r="F288">
        <v>474237088.80000001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-0.48164281269446152</v>
      </c>
      <c r="Q288">
        <f t="shared" si="965"/>
        <v>-228412885.33366513</v>
      </c>
      <c r="R288">
        <f t="shared" si="966"/>
        <v>1511726790.3532531</v>
      </c>
      <c r="S288">
        <f t="shared" si="967"/>
        <v>15117.267903532531</v>
      </c>
      <c r="T288">
        <f t="shared" si="968"/>
        <v>15.117267903532531</v>
      </c>
    </row>
    <row r="289" spans="1:20" x14ac:dyDescent="0.25">
      <c r="A289" s="5">
        <v>44304</v>
      </c>
      <c r="B289">
        <v>0.15</v>
      </c>
      <c r="C289">
        <v>0.15057999999999999</v>
      </c>
      <c r="D289">
        <v>0.10634</v>
      </c>
      <c r="E289">
        <v>0.13309000000000001</v>
      </c>
      <c r="F289">
        <v>544851637.60000002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0.20931283905967529</v>
      </c>
      <c r="Q289">
        <f t="shared" si="965"/>
        <v>114044443.13236934</v>
      </c>
      <c r="R289">
        <f t="shared" si="966"/>
        <v>1740139675.6869183</v>
      </c>
      <c r="S289">
        <f t="shared" si="967"/>
        <v>17401.396756869184</v>
      </c>
      <c r="T289">
        <f t="shared" si="968"/>
        <v>17.401396756869183</v>
      </c>
    </row>
    <row r="290" spans="1:20" x14ac:dyDescent="0.25">
      <c r="A290" s="5">
        <v>44303</v>
      </c>
      <c r="B290">
        <v>0.11204</v>
      </c>
      <c r="C290">
        <v>0.16500000000000001</v>
      </c>
      <c r="D290">
        <v>0.11174000000000001</v>
      </c>
      <c r="E290">
        <v>0.15</v>
      </c>
      <c r="F290">
        <v>1478253580.0999999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0.43672549755914336</v>
      </c>
      <c r="Q290">
        <f t="shared" si="965"/>
        <v>645591030.2877574</v>
      </c>
      <c r="R290">
        <f t="shared" si="966"/>
        <v>1626095232.554549</v>
      </c>
      <c r="S290">
        <f t="shared" si="967"/>
        <v>16260.95232554549</v>
      </c>
      <c r="T290">
        <f t="shared" si="968"/>
        <v>16.260952325545489</v>
      </c>
    </row>
    <row r="291" spans="1:20" x14ac:dyDescent="0.25">
      <c r="A291" s="5">
        <v>44302</v>
      </c>
      <c r="B291">
        <v>0.1021</v>
      </c>
      <c r="C291">
        <v>0.124</v>
      </c>
      <c r="D291">
        <v>9.4009999999999996E-2</v>
      </c>
      <c r="E291">
        <v>0.11197</v>
      </c>
      <c r="F291">
        <v>580040811.39999998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0.19773257752584208</v>
      </c>
      <c r="Q291">
        <f t="shared" si="965"/>
        <v>114692964.70830284</v>
      </c>
      <c r="R291">
        <f t="shared" si="966"/>
        <v>980504202.26679158</v>
      </c>
      <c r="S291">
        <f t="shared" si="967"/>
        <v>9805.0420226679162</v>
      </c>
      <c r="T291">
        <f t="shared" si="968"/>
        <v>9.8050420226679158</v>
      </c>
    </row>
    <row r="292" spans="1:20" x14ac:dyDescent="0.25">
      <c r="A292" s="5">
        <v>44301</v>
      </c>
      <c r="B292">
        <v>0.10349</v>
      </c>
      <c r="C292">
        <v>0.11656999999999999</v>
      </c>
      <c r="D292">
        <v>9.5829999999999999E-2</v>
      </c>
      <c r="E292">
        <v>0.1021</v>
      </c>
      <c r="F292">
        <v>688855556.29999995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-0.39537126325940219</v>
      </c>
      <c r="Q292">
        <f t="shared" si="965"/>
        <v>-272353691.49758923</v>
      </c>
      <c r="R292">
        <f t="shared" si="966"/>
        <v>865811237.55848873</v>
      </c>
      <c r="S292">
        <f t="shared" si="967"/>
        <v>8658.1123755848876</v>
      </c>
      <c r="T292">
        <f t="shared" si="968"/>
        <v>8.6581123755848868</v>
      </c>
    </row>
    <row r="293" spans="1:20" x14ac:dyDescent="0.25">
      <c r="A293" s="5">
        <v>44300</v>
      </c>
      <c r="B293">
        <v>8.2570000000000005E-2</v>
      </c>
      <c r="C293">
        <v>0.11292000000000001</v>
      </c>
      <c r="D293">
        <v>8.1159999999999996E-2</v>
      </c>
      <c r="E293">
        <v>0.10358000000000001</v>
      </c>
      <c r="F293">
        <v>731121915.79999995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0.41183879093199005</v>
      </c>
      <c r="Q293">
        <f t="shared" si="965"/>
        <v>301104365.82695222</v>
      </c>
      <c r="R293">
        <f t="shared" si="966"/>
        <v>1138164929.056078</v>
      </c>
      <c r="S293">
        <f t="shared" si="967"/>
        <v>11381.649290560779</v>
      </c>
      <c r="T293">
        <f t="shared" si="968"/>
        <v>11.381649290560778</v>
      </c>
    </row>
    <row r="294" spans="1:20" x14ac:dyDescent="0.25">
      <c r="A294" s="5">
        <v>44299</v>
      </c>
      <c r="B294">
        <v>8.344E-2</v>
      </c>
      <c r="C294">
        <v>8.6739999999999998E-2</v>
      </c>
      <c r="D294">
        <v>0.08</v>
      </c>
      <c r="E294">
        <v>8.2540000000000002E-2</v>
      </c>
      <c r="F294">
        <v>125041907.40000001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-0.24629080118694299</v>
      </c>
      <c r="Q294">
        <f t="shared" si="965"/>
        <v>-30796671.555489536</v>
      </c>
      <c r="R294">
        <f t="shared" si="966"/>
        <v>837060563.22912562</v>
      </c>
      <c r="S294">
        <f t="shared" si="967"/>
        <v>8370.6056322912555</v>
      </c>
      <c r="T294">
        <f t="shared" si="968"/>
        <v>8.3706056322912552</v>
      </c>
    </row>
    <row r="295" spans="1:20" x14ac:dyDescent="0.25">
      <c r="A295" s="5">
        <v>44298</v>
      </c>
      <c r="B295">
        <v>8.795E-2</v>
      </c>
      <c r="C295">
        <v>8.8550000000000004E-2</v>
      </c>
      <c r="D295">
        <v>8.1729999999999997E-2</v>
      </c>
      <c r="E295">
        <v>8.3349999999999994E-2</v>
      </c>
      <c r="F295">
        <v>84059360.099999994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-0.52492668621701033</v>
      </c>
      <c r="Q295">
        <f t="shared" si="965"/>
        <v>-44125001.342815377</v>
      </c>
      <c r="R295">
        <f t="shared" si="966"/>
        <v>867857234.78461516</v>
      </c>
      <c r="S295">
        <f t="shared" si="967"/>
        <v>8678.5723478461514</v>
      </c>
      <c r="T295">
        <f t="shared" si="968"/>
        <v>8.6785723478461509</v>
      </c>
    </row>
    <row r="296" spans="1:20" x14ac:dyDescent="0.25">
      <c r="A296" s="5">
        <v>44297</v>
      </c>
      <c r="B296">
        <v>8.5680000000000006E-2</v>
      </c>
      <c r="C296">
        <v>9.1999999999999998E-2</v>
      </c>
      <c r="D296">
        <v>8.4699999999999998E-2</v>
      </c>
      <c r="E296">
        <v>8.7940000000000004E-2</v>
      </c>
      <c r="F296">
        <v>138539164.59999999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-0.11232876712328593</v>
      </c>
      <c r="Q296">
        <f t="shared" si="965"/>
        <v>-15561933.557807978</v>
      </c>
      <c r="R296">
        <f t="shared" si="966"/>
        <v>911982236.12743056</v>
      </c>
      <c r="S296">
        <f t="shared" si="967"/>
        <v>9119.8223612743059</v>
      </c>
      <c r="T296">
        <f t="shared" si="968"/>
        <v>9.1198223612743057</v>
      </c>
    </row>
    <row r="297" spans="1:20" x14ac:dyDescent="0.25">
      <c r="A297" s="5">
        <v>44296</v>
      </c>
      <c r="B297">
        <v>8.7590000000000001E-2</v>
      </c>
      <c r="C297">
        <v>8.9730000000000004E-2</v>
      </c>
      <c r="D297">
        <v>8.201E-2</v>
      </c>
      <c r="E297">
        <v>8.5680000000000006E-2</v>
      </c>
      <c r="F297">
        <v>95515169.700000003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-4.9222797927460003E-2</v>
      </c>
      <c r="Q297">
        <f t="shared" si="965"/>
        <v>-4701523.8971501505</v>
      </c>
      <c r="R297">
        <f t="shared" si="966"/>
        <v>927544169.68523848</v>
      </c>
      <c r="S297">
        <f t="shared" si="967"/>
        <v>9275.4416968523856</v>
      </c>
      <c r="T297">
        <f t="shared" si="968"/>
        <v>9.2754416968523863</v>
      </c>
    </row>
    <row r="298" spans="1:20" x14ac:dyDescent="0.25">
      <c r="A298" s="5">
        <v>44295</v>
      </c>
      <c r="B298">
        <v>8.5449999999999998E-2</v>
      </c>
      <c r="C298">
        <v>8.7999999999999995E-2</v>
      </c>
      <c r="D298">
        <v>8.3220000000000002E-2</v>
      </c>
      <c r="E298">
        <v>8.7590000000000001E-2</v>
      </c>
      <c r="F298">
        <v>92727099.200000003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0.82845188284519067</v>
      </c>
      <c r="Q298">
        <f t="shared" si="965"/>
        <v>76819939.923012778</v>
      </c>
      <c r="R298">
        <f t="shared" si="966"/>
        <v>932245693.58238864</v>
      </c>
      <c r="S298">
        <f t="shared" si="967"/>
        <v>9322.4569358238859</v>
      </c>
      <c r="T298">
        <f t="shared" si="968"/>
        <v>9.3224569358238867</v>
      </c>
    </row>
    <row r="299" spans="1:20" x14ac:dyDescent="0.25">
      <c r="A299" s="5">
        <v>44294</v>
      </c>
      <c r="B299">
        <v>8.0790000000000001E-2</v>
      </c>
      <c r="C299">
        <v>8.6970000000000006E-2</v>
      </c>
      <c r="D299">
        <v>8.0390000000000003E-2</v>
      </c>
      <c r="E299">
        <v>8.5459999999999994E-2</v>
      </c>
      <c r="F299">
        <v>79152918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0.54103343465045262</v>
      </c>
      <c r="Q299">
        <f t="shared" si="965"/>
        <v>42824375.088145636</v>
      </c>
      <c r="R299">
        <f t="shared" si="966"/>
        <v>855425753.65937591</v>
      </c>
      <c r="S299">
        <f t="shared" si="967"/>
        <v>8554.2575365937591</v>
      </c>
      <c r="T299">
        <f t="shared" si="968"/>
        <v>8.5542575365937594</v>
      </c>
    </row>
    <row r="300" spans="1:20" x14ac:dyDescent="0.25">
      <c r="A300" s="5">
        <v>44293</v>
      </c>
      <c r="B300">
        <v>8.591E-2</v>
      </c>
      <c r="C300">
        <v>0.09</v>
      </c>
      <c r="D300">
        <v>7.2010000000000005E-2</v>
      </c>
      <c r="E300">
        <v>8.0790000000000001E-2</v>
      </c>
      <c r="F300">
        <v>151158916.90000001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-2.3902167871039468E-2</v>
      </c>
      <c r="Q300">
        <f t="shared" si="965"/>
        <v>-3613025.8069483051</v>
      </c>
      <c r="R300">
        <f t="shared" si="966"/>
        <v>812601378.57123029</v>
      </c>
      <c r="S300">
        <f t="shared" si="967"/>
        <v>8126.0137857123027</v>
      </c>
      <c r="T300">
        <f t="shared" si="968"/>
        <v>8.1260137857123027</v>
      </c>
    </row>
    <row r="301" spans="1:20" x14ac:dyDescent="0.25">
      <c r="A301" s="5">
        <v>44292</v>
      </c>
      <c r="B301">
        <v>8.8789999999999994E-2</v>
      </c>
      <c r="C301">
        <v>9.2280000000000001E-2</v>
      </c>
      <c r="D301">
        <v>8.0110000000000001E-2</v>
      </c>
      <c r="E301">
        <v>8.6059999999999998E-2</v>
      </c>
      <c r="F301">
        <v>165052884.5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-2.2185702547247849E-2</v>
      </c>
      <c r="Q301">
        <f t="shared" si="965"/>
        <v>-3661814.2000822551</v>
      </c>
      <c r="R301">
        <f t="shared" si="966"/>
        <v>816214404.3781786</v>
      </c>
      <c r="S301">
        <f t="shared" si="967"/>
        <v>8162.1440437817855</v>
      </c>
      <c r="T301">
        <f t="shared" si="968"/>
        <v>8.1621440437817849</v>
      </c>
    </row>
    <row r="302" spans="1:20" x14ac:dyDescent="0.25">
      <c r="A302" s="5">
        <v>44291</v>
      </c>
      <c r="B302">
        <v>9.171E-2</v>
      </c>
      <c r="C302">
        <v>9.5979999999999996E-2</v>
      </c>
      <c r="D302">
        <v>8.6050000000000001E-2</v>
      </c>
      <c r="E302">
        <v>8.8620000000000004E-2</v>
      </c>
      <c r="F302">
        <v>275172149.69999999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-0.48237663645518541</v>
      </c>
      <c r="Q302">
        <f t="shared" si="965"/>
        <v>-132736616.01842876</v>
      </c>
      <c r="R302">
        <f t="shared" si="966"/>
        <v>819876218.5782609</v>
      </c>
      <c r="S302">
        <f t="shared" si="967"/>
        <v>8198.7621857826089</v>
      </c>
      <c r="T302">
        <f t="shared" si="968"/>
        <v>8.1987621857826092</v>
      </c>
    </row>
    <row r="303" spans="1:20" x14ac:dyDescent="0.25">
      <c r="A303" s="5">
        <v>44290</v>
      </c>
      <c r="B303">
        <v>7.9189999999999997E-2</v>
      </c>
      <c r="C303">
        <v>9.3090000000000006E-2</v>
      </c>
      <c r="D303">
        <v>7.8350000000000003E-2</v>
      </c>
      <c r="E303">
        <v>9.1679999999999998E-2</v>
      </c>
      <c r="F303">
        <v>195680565.19999999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0.80868385345997174</v>
      </c>
      <c r="Q303">
        <f t="shared" si="965"/>
        <v>158243713.51316124</v>
      </c>
      <c r="R303">
        <f t="shared" si="966"/>
        <v>952612834.5966897</v>
      </c>
      <c r="S303">
        <f t="shared" si="967"/>
        <v>9526.1283459668975</v>
      </c>
      <c r="T303">
        <f t="shared" si="968"/>
        <v>9.5261283459668977</v>
      </c>
    </row>
    <row r="304" spans="1:20" x14ac:dyDescent="0.25">
      <c r="A304" s="5">
        <v>44289</v>
      </c>
      <c r="B304">
        <v>8.0269999999999994E-2</v>
      </c>
      <c r="C304">
        <v>8.8999999999999996E-2</v>
      </c>
      <c r="D304">
        <v>7.8600000000000003E-2</v>
      </c>
      <c r="E304">
        <v>7.9170000000000004E-2</v>
      </c>
      <c r="F304">
        <v>210208228.30000001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-0.89038461538461511</v>
      </c>
      <c r="Q304">
        <f t="shared" si="965"/>
        <v>-187166172.50557688</v>
      </c>
      <c r="R304">
        <f t="shared" si="966"/>
        <v>794369121.0835284</v>
      </c>
      <c r="S304">
        <f t="shared" si="967"/>
        <v>7943.6912108352844</v>
      </c>
      <c r="T304">
        <f t="shared" si="968"/>
        <v>7.9436912108352846</v>
      </c>
    </row>
    <row r="305" spans="1:20" x14ac:dyDescent="0.25">
      <c r="A305" s="5">
        <v>44288</v>
      </c>
      <c r="B305">
        <v>8.0640000000000003E-2</v>
      </c>
      <c r="C305">
        <v>8.1900000000000001E-2</v>
      </c>
      <c r="D305">
        <v>7.7249999999999999E-2</v>
      </c>
      <c r="E305">
        <v>8.0339999999999995E-2</v>
      </c>
      <c r="F305">
        <v>138033747.09999999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0.32903225806451381</v>
      </c>
      <c r="Q305">
        <f t="shared" si="965"/>
        <v>45417555.497419029</v>
      </c>
      <c r="R305">
        <f t="shared" si="966"/>
        <v>981535293.58910525</v>
      </c>
      <c r="S305">
        <f t="shared" si="967"/>
        <v>9815.3529358910528</v>
      </c>
      <c r="T305">
        <f t="shared" si="968"/>
        <v>9.8153529358910525</v>
      </c>
    </row>
    <row r="306" spans="1:20" x14ac:dyDescent="0.25">
      <c r="A306" s="5">
        <v>44287</v>
      </c>
      <c r="B306">
        <v>7.4190000000000006E-2</v>
      </c>
      <c r="C306">
        <v>8.5000000000000006E-2</v>
      </c>
      <c r="D306">
        <v>7.3270000000000002E-2</v>
      </c>
      <c r="E306">
        <v>8.0879999999999994E-2</v>
      </c>
      <c r="F306">
        <v>296355615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0.297527706734866</v>
      </c>
      <c r="Q306">
        <f t="shared" si="965"/>
        <v>88174006.508950859</v>
      </c>
      <c r="R306">
        <f t="shared" si="966"/>
        <v>936117738.09168625</v>
      </c>
      <c r="S306">
        <f t="shared" si="967"/>
        <v>9361.1773809168626</v>
      </c>
      <c r="T306">
        <f t="shared" si="968"/>
        <v>9.3611773809168621</v>
      </c>
    </row>
    <row r="307" spans="1:20" x14ac:dyDescent="0.25">
      <c r="A307" s="5">
        <v>44286</v>
      </c>
      <c r="B307">
        <v>7.0669999999999997E-2</v>
      </c>
      <c r="C307">
        <v>7.5259999999999994E-2</v>
      </c>
      <c r="D307">
        <v>6.6960000000000006E-2</v>
      </c>
      <c r="E307">
        <v>7.4109999999999995E-2</v>
      </c>
      <c r="F307">
        <v>141458388.80000001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0.72289156626506024</v>
      </c>
      <c r="Q307">
        <f t="shared" si="965"/>
        <v>102259076.24096386</v>
      </c>
      <c r="R307">
        <f t="shared" si="966"/>
        <v>847943731.58273542</v>
      </c>
      <c r="S307">
        <f t="shared" si="967"/>
        <v>8479.4373158273538</v>
      </c>
      <c r="T307">
        <f t="shared" si="968"/>
        <v>8.4794373158273544</v>
      </c>
    </row>
    <row r="308" spans="1:20" x14ac:dyDescent="0.25">
      <c r="A308" s="5">
        <v>44285</v>
      </c>
      <c r="B308">
        <v>7.4079999999999993E-2</v>
      </c>
      <c r="C308">
        <v>7.417E-2</v>
      </c>
      <c r="D308">
        <v>6.9699999999999998E-2</v>
      </c>
      <c r="E308">
        <v>7.0680000000000007E-2</v>
      </c>
      <c r="F308">
        <v>106995521.7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-0.56152125279641685</v>
      </c>
      <c r="Q308">
        <f t="shared" si="965"/>
        <v>-60080259.388590209</v>
      </c>
      <c r="R308">
        <f t="shared" si="966"/>
        <v>745684655.3417716</v>
      </c>
      <c r="S308">
        <f t="shared" si="967"/>
        <v>7456.8465534177158</v>
      </c>
      <c r="T308">
        <f t="shared" si="968"/>
        <v>7.4568465534177157</v>
      </c>
    </row>
    <row r="309" spans="1:20" x14ac:dyDescent="0.25">
      <c r="A309" s="5">
        <v>44284</v>
      </c>
      <c r="B309">
        <v>6.9559999999999997E-2</v>
      </c>
      <c r="C309">
        <v>7.4999999999999997E-2</v>
      </c>
      <c r="D309">
        <v>6.8940000000000001E-2</v>
      </c>
      <c r="E309">
        <v>7.3899999999999993E-2</v>
      </c>
      <c r="F309">
        <v>137076289.69999999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0.63696369636963546</v>
      </c>
      <c r="Q309">
        <f t="shared" si="965"/>
        <v>87312620.171946988</v>
      </c>
      <c r="R309">
        <f t="shared" si="966"/>
        <v>805764914.73036182</v>
      </c>
      <c r="S309">
        <f t="shared" si="967"/>
        <v>8057.6491473036185</v>
      </c>
      <c r="T309">
        <f t="shared" si="968"/>
        <v>8.0576491473036178</v>
      </c>
    </row>
    <row r="310" spans="1:20" x14ac:dyDescent="0.25">
      <c r="A310" s="5">
        <v>44283</v>
      </c>
      <c r="B310">
        <v>6.6689999999999999E-2</v>
      </c>
      <c r="C310">
        <v>7.1330000000000005E-2</v>
      </c>
      <c r="D310">
        <v>6.6019999999999995E-2</v>
      </c>
      <c r="E310">
        <v>6.9550000000000001E-2</v>
      </c>
      <c r="F310">
        <v>89444569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0.32956685499058352</v>
      </c>
      <c r="Q310">
        <f t="shared" si="965"/>
        <v>29477965.301318243</v>
      </c>
      <c r="R310">
        <f t="shared" si="966"/>
        <v>718452294.55841482</v>
      </c>
      <c r="S310">
        <f t="shared" si="967"/>
        <v>7184.5229455841481</v>
      </c>
      <c r="T310">
        <f t="shared" si="968"/>
        <v>7.1845229455841482</v>
      </c>
    </row>
    <row r="311" spans="1:20" x14ac:dyDescent="0.25">
      <c r="A311" s="5">
        <v>44282</v>
      </c>
      <c r="B311">
        <v>6.726E-2</v>
      </c>
      <c r="C311">
        <v>6.8629999999999997E-2</v>
      </c>
      <c r="D311">
        <v>6.4189999999999997E-2</v>
      </c>
      <c r="E311">
        <v>6.6680000000000003E-2</v>
      </c>
      <c r="F311">
        <v>66375133.200000003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0.12162162162162449</v>
      </c>
      <c r="Q311">
        <f t="shared" si="965"/>
        <v>8072651.3351353258</v>
      </c>
      <c r="R311">
        <f t="shared" si="966"/>
        <v>688974329.25709653</v>
      </c>
      <c r="S311">
        <f t="shared" si="967"/>
        <v>6889.7432925709654</v>
      </c>
      <c r="T311">
        <f t="shared" si="968"/>
        <v>6.8897432925709658</v>
      </c>
    </row>
    <row r="312" spans="1:20" x14ac:dyDescent="0.25">
      <c r="A312" s="5">
        <v>44281</v>
      </c>
      <c r="B312">
        <v>6.0879999999999997E-2</v>
      </c>
      <c r="C312">
        <v>6.855E-2</v>
      </c>
      <c r="D312">
        <v>6.055E-2</v>
      </c>
      <c r="E312">
        <v>6.7220000000000002E-2</v>
      </c>
      <c r="F312">
        <v>86811745.5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0.66750000000000054</v>
      </c>
      <c r="Q312">
        <f t="shared" si="965"/>
        <v>57946840.121250048</v>
      </c>
      <c r="R312">
        <f t="shared" si="966"/>
        <v>680901677.92196119</v>
      </c>
      <c r="S312">
        <f t="shared" si="967"/>
        <v>6809.0167792196116</v>
      </c>
      <c r="T312">
        <f t="shared" si="968"/>
        <v>6.8090167792196112</v>
      </c>
    </row>
    <row r="313" spans="1:20" x14ac:dyDescent="0.25">
      <c r="A313" s="5">
        <v>44280</v>
      </c>
      <c r="B313">
        <v>6.5290000000000001E-2</v>
      </c>
      <c r="C313">
        <v>6.7710000000000006E-2</v>
      </c>
      <c r="D313">
        <v>5.8349999999999999E-2</v>
      </c>
      <c r="E313">
        <v>6.0580000000000002E-2</v>
      </c>
      <c r="F313">
        <v>141888065.30000001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-0.52350427350427331</v>
      </c>
      <c r="Q313">
        <f t="shared" si="965"/>
        <v>-74279008.543803394</v>
      </c>
      <c r="R313">
        <f t="shared" si="966"/>
        <v>622954837.80071115</v>
      </c>
      <c r="S313">
        <f t="shared" si="967"/>
        <v>6229.5483780071118</v>
      </c>
      <c r="T313">
        <f t="shared" si="968"/>
        <v>6.2295483780071121</v>
      </c>
    </row>
    <row r="314" spans="1:20" x14ac:dyDescent="0.25">
      <c r="A314" s="5">
        <v>44279</v>
      </c>
      <c r="B314">
        <v>6.5009999999999998E-2</v>
      </c>
      <c r="C314">
        <v>7.4990000000000001E-2</v>
      </c>
      <c r="D314">
        <v>6.3500000000000001E-2</v>
      </c>
      <c r="E314">
        <v>6.5269999999999995E-2</v>
      </c>
      <c r="F314">
        <v>172627484</v>
      </c>
      <c r="G314">
        <v>0</v>
      </c>
      <c r="L314" t="s">
        <v>8</v>
      </c>
      <c r="M314" t="s">
        <v>7</v>
      </c>
      <c r="N314" t="s">
        <v>8</v>
      </c>
      <c r="P314">
        <f t="shared" si="964"/>
        <v>-0.69190600522193324</v>
      </c>
      <c r="Q314">
        <f t="shared" si="965"/>
        <v>-119441992.8459532</v>
      </c>
      <c r="R314">
        <f t="shared" si="966"/>
        <v>697233846.34451461</v>
      </c>
      <c r="S314">
        <f t="shared" si="967"/>
        <v>6972.3384634451459</v>
      </c>
      <c r="T314">
        <f t="shared" si="968"/>
        <v>6.972338463445146</v>
      </c>
    </row>
    <row r="315" spans="1:20" x14ac:dyDescent="0.25">
      <c r="A315" s="5">
        <v>44278</v>
      </c>
      <c r="B315">
        <v>6.7030000000000006E-2</v>
      </c>
      <c r="C315">
        <v>6.9989999999999997E-2</v>
      </c>
      <c r="D315">
        <v>6.2570000000000001E-2</v>
      </c>
      <c r="E315">
        <v>6.5000000000000002E-2</v>
      </c>
      <c r="F315">
        <v>113709807.5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-0.34501347708894803</v>
      </c>
      <c r="Q315">
        <f t="shared" si="965"/>
        <v>-39231416.064689942</v>
      </c>
      <c r="R315">
        <f t="shared" si="966"/>
        <v>816675839.19046783</v>
      </c>
      <c r="S315">
        <f t="shared" si="967"/>
        <v>8166.7583919046783</v>
      </c>
      <c r="T315">
        <f t="shared" si="968"/>
        <v>8.1667583919046791</v>
      </c>
    </row>
    <row r="316" spans="1:20" x14ac:dyDescent="0.25">
      <c r="A316" s="5">
        <v>44277</v>
      </c>
      <c r="B316">
        <v>7.0889999999999995E-2</v>
      </c>
      <c r="C316">
        <v>7.5459999999999999E-2</v>
      </c>
      <c r="D316">
        <v>6.5009999999999998E-2</v>
      </c>
      <c r="E316">
        <v>6.7150000000000001E-2</v>
      </c>
      <c r="F316">
        <v>127272562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-0.59043062200956886</v>
      </c>
      <c r="Q316">
        <f t="shared" si="965"/>
        <v>-75145617.946411416</v>
      </c>
      <c r="R316">
        <f t="shared" si="966"/>
        <v>855907255.25515783</v>
      </c>
      <c r="S316">
        <f t="shared" si="967"/>
        <v>8559.0725525515791</v>
      </c>
      <c r="T316">
        <f t="shared" si="968"/>
        <v>8.5590725525515783</v>
      </c>
    </row>
    <row r="317" spans="1:20" x14ac:dyDescent="0.25">
      <c r="A317" s="5">
        <v>44276</v>
      </c>
      <c r="B317">
        <v>7.1419999999999997E-2</v>
      </c>
      <c r="C317">
        <v>7.4310000000000001E-2</v>
      </c>
      <c r="D317">
        <v>6.8250000000000005E-2</v>
      </c>
      <c r="E317">
        <v>7.0709999999999995E-2</v>
      </c>
      <c r="F317">
        <v>124398287.90000001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-0.18811881188119089</v>
      </c>
      <c r="Q317">
        <f t="shared" si="965"/>
        <v>-23401658.119802326</v>
      </c>
      <c r="R317">
        <f t="shared" si="966"/>
        <v>931052873.2015692</v>
      </c>
      <c r="S317">
        <f t="shared" si="967"/>
        <v>9310.5287320156913</v>
      </c>
      <c r="T317">
        <f t="shared" si="968"/>
        <v>9.3105287320156904</v>
      </c>
    </row>
    <row r="318" spans="1:20" x14ac:dyDescent="0.25">
      <c r="A318" s="5">
        <v>44275</v>
      </c>
      <c r="B318">
        <v>7.7030000000000001E-2</v>
      </c>
      <c r="C318">
        <v>8.0379999999999993E-2</v>
      </c>
      <c r="D318">
        <v>7.1300000000000002E-2</v>
      </c>
      <c r="E318">
        <v>7.1620000000000003E-2</v>
      </c>
      <c r="F318">
        <v>161033148.19999999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-0.92951541850220243</v>
      </c>
      <c r="Q318">
        <f t="shared" si="965"/>
        <v>-149682794.14185017</v>
      </c>
      <c r="R318">
        <f t="shared" si="966"/>
        <v>954454531.32137156</v>
      </c>
      <c r="S318">
        <f t="shared" si="967"/>
        <v>9544.5453132137154</v>
      </c>
      <c r="T318">
        <f t="shared" si="968"/>
        <v>9.5445453132137157</v>
      </c>
    </row>
    <row r="319" spans="1:20" x14ac:dyDescent="0.25">
      <c r="A319" s="5">
        <v>44274</v>
      </c>
      <c r="B319">
        <v>6.8470000000000003E-2</v>
      </c>
      <c r="C319">
        <v>7.8420000000000004E-2</v>
      </c>
      <c r="D319">
        <v>6.6129999999999994E-2</v>
      </c>
      <c r="E319">
        <v>7.7039999999999997E-2</v>
      </c>
      <c r="F319">
        <v>183986831.59999999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0.77542717656631321</v>
      </c>
      <c r="Q319">
        <f t="shared" si="965"/>
        <v>142668389.35296974</v>
      </c>
      <c r="R319">
        <f t="shared" si="966"/>
        <v>1104137325.4632218</v>
      </c>
      <c r="S319">
        <f t="shared" si="967"/>
        <v>11041.373254632217</v>
      </c>
      <c r="T319">
        <f t="shared" si="968"/>
        <v>11.041373254632218</v>
      </c>
    </row>
    <row r="320" spans="1:20" x14ac:dyDescent="0.25">
      <c r="A320" s="5">
        <v>44273</v>
      </c>
      <c r="B320">
        <v>6.9849999999999995E-2</v>
      </c>
      <c r="C320">
        <v>7.4999999999999997E-2</v>
      </c>
      <c r="D320">
        <v>6.7049999999999998E-2</v>
      </c>
      <c r="E320">
        <v>6.8479999999999999E-2</v>
      </c>
      <c r="F320">
        <v>157835823.09999999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-0.64025157232704377</v>
      </c>
      <c r="Q320">
        <f t="shared" si="965"/>
        <v>-101054633.90930814</v>
      </c>
      <c r="R320">
        <f t="shared" si="966"/>
        <v>961468936.11025214</v>
      </c>
      <c r="S320">
        <f t="shared" si="967"/>
        <v>9614.6893611025207</v>
      </c>
      <c r="T320">
        <f t="shared" si="968"/>
        <v>9.6146893611025206</v>
      </c>
    </row>
    <row r="321" spans="1:20" x14ac:dyDescent="0.25">
      <c r="A321" s="5">
        <v>44272</v>
      </c>
      <c r="B321">
        <v>6.7110000000000003E-2</v>
      </c>
      <c r="C321">
        <v>7.1900000000000006E-2</v>
      </c>
      <c r="D321">
        <v>6.4549999999999996E-2</v>
      </c>
      <c r="E321">
        <v>6.9849999999999995E-2</v>
      </c>
      <c r="F321">
        <v>235634769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0.44217687074829726</v>
      </c>
      <c r="Q321">
        <f t="shared" si="965"/>
        <v>104192244.79591788</v>
      </c>
      <c r="R321">
        <f t="shared" si="966"/>
        <v>1062523570.0195602</v>
      </c>
      <c r="S321">
        <f t="shared" si="967"/>
        <v>10625.235700195602</v>
      </c>
      <c r="T321">
        <f t="shared" si="968"/>
        <v>10.625235700195603</v>
      </c>
    </row>
    <row r="322" spans="1:20" x14ac:dyDescent="0.25">
      <c r="A322" s="5">
        <v>44271</v>
      </c>
      <c r="B322">
        <v>6.1530000000000001E-2</v>
      </c>
      <c r="C322">
        <v>6.9000000000000006E-2</v>
      </c>
      <c r="D322">
        <v>5.6689999999999997E-2</v>
      </c>
      <c r="E322">
        <v>6.701E-2</v>
      </c>
      <c r="F322">
        <v>278788263.39999998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0.67668562144597821</v>
      </c>
      <c r="Q322">
        <f t="shared" si="965"/>
        <v>188652009.27067405</v>
      </c>
      <c r="R322">
        <f t="shared" si="966"/>
        <v>958331325.22364235</v>
      </c>
      <c r="S322">
        <f t="shared" si="967"/>
        <v>9583.3132522364231</v>
      </c>
      <c r="T322">
        <f t="shared" si="968"/>
        <v>9.5833132522364224</v>
      </c>
    </row>
    <row r="323" spans="1:20" x14ac:dyDescent="0.25">
      <c r="A323" s="5">
        <v>44270</v>
      </c>
      <c r="B323">
        <v>5.858E-2</v>
      </c>
      <c r="C323">
        <v>6.5000000000000002E-2</v>
      </c>
      <c r="D323">
        <v>5.3350000000000002E-2</v>
      </c>
      <c r="E323">
        <v>6.1429999999999998E-2</v>
      </c>
      <c r="F323">
        <v>234870289.69999999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0.38712446351931268</v>
      </c>
      <c r="Q323">
        <f t="shared" si="965"/>
        <v>90924034.896738052</v>
      </c>
      <c r="R323">
        <f t="shared" si="966"/>
        <v>769679315.95296836</v>
      </c>
      <c r="S323">
        <f t="shared" si="967"/>
        <v>7696.7931595296832</v>
      </c>
      <c r="T323">
        <f t="shared" si="968"/>
        <v>7.6967931595296832</v>
      </c>
    </row>
    <row r="324" spans="1:20" x14ac:dyDescent="0.25">
      <c r="A324" s="5">
        <v>44269</v>
      </c>
      <c r="B324">
        <v>6.2659999999999993E-2</v>
      </c>
      <c r="C324">
        <v>6.3589999999999994E-2</v>
      </c>
      <c r="D324">
        <v>5.8389999999999997E-2</v>
      </c>
      <c r="E324">
        <v>5.8630000000000002E-2</v>
      </c>
      <c r="F324">
        <v>103800546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-0.90769230769230602</v>
      </c>
      <c r="Q324">
        <f t="shared" si="965"/>
        <v>-94218957.138461366</v>
      </c>
      <c r="R324">
        <f t="shared" si="966"/>
        <v>678755281.05623031</v>
      </c>
      <c r="S324">
        <f t="shared" si="967"/>
        <v>6787.5528105623034</v>
      </c>
      <c r="T324">
        <f t="shared" si="968"/>
        <v>6.7875528105623033</v>
      </c>
    </row>
    <row r="325" spans="1:20" x14ac:dyDescent="0.25">
      <c r="A325" s="5">
        <v>44268</v>
      </c>
      <c r="B325">
        <v>6.1800000000000001E-2</v>
      </c>
      <c r="C325">
        <v>6.5000000000000002E-2</v>
      </c>
      <c r="D325">
        <v>5.9400000000000001E-2</v>
      </c>
      <c r="E325">
        <v>6.2710000000000002E-2</v>
      </c>
      <c r="F325">
        <v>149585263.90000001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0.18214285714285713</v>
      </c>
      <c r="Q325">
        <f t="shared" si="965"/>
        <v>27245887.353214286</v>
      </c>
      <c r="R325">
        <f t="shared" si="966"/>
        <v>772974238.19469166</v>
      </c>
      <c r="S325">
        <f t="shared" si="967"/>
        <v>7729.7423819469168</v>
      </c>
      <c r="T325">
        <f t="shared" si="968"/>
        <v>7.7297423819469167</v>
      </c>
    </row>
    <row r="326" spans="1:20" x14ac:dyDescent="0.25">
      <c r="A326" s="5">
        <v>44267</v>
      </c>
      <c r="B326">
        <v>6.4030000000000004E-2</v>
      </c>
      <c r="C326">
        <v>6.4899999999999999E-2</v>
      </c>
      <c r="D326">
        <v>5.5879999999999999E-2</v>
      </c>
      <c r="E326">
        <v>6.1740000000000003E-2</v>
      </c>
      <c r="F326">
        <v>219305601.40000001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0.29933481152993435</v>
      </c>
      <c r="Q326">
        <f t="shared" ref="Q326:Q389" si="970">F326*P326</f>
        <v>65645800.862527907</v>
      </c>
      <c r="R326">
        <f t="shared" ref="R326:R389" si="971">R327+Q326</f>
        <v>745728350.84147739</v>
      </c>
      <c r="S326">
        <f t="shared" ref="S326:S389" si="972">R326/100000</f>
        <v>7457.2835084147737</v>
      </c>
      <c r="T326">
        <f t="shared" ref="T326:T389" si="973">S326/1000</f>
        <v>7.4572835084147737</v>
      </c>
    </row>
    <row r="327" spans="1:20" x14ac:dyDescent="0.25">
      <c r="A327" s="5">
        <v>44266</v>
      </c>
      <c r="B327">
        <v>5.6340000000000001E-2</v>
      </c>
      <c r="C327">
        <v>6.6049999999999998E-2</v>
      </c>
      <c r="D327">
        <v>5.5E-2</v>
      </c>
      <c r="E327">
        <v>6.3769999999999993E-2</v>
      </c>
      <c r="F327">
        <v>229363377.19999999</v>
      </c>
      <c r="G327">
        <v>0</v>
      </c>
      <c r="L327" t="s">
        <v>8</v>
      </c>
      <c r="M327" t="s">
        <v>8</v>
      </c>
      <c r="N327" t="s">
        <v>7</v>
      </c>
      <c r="P327">
        <f t="shared" si="969"/>
        <v>0.58733031674208058</v>
      </c>
      <c r="Q327">
        <f t="shared" si="970"/>
        <v>134712064.9799093</v>
      </c>
      <c r="R327">
        <f t="shared" si="971"/>
        <v>680082549.97894955</v>
      </c>
      <c r="S327">
        <f t="shared" si="972"/>
        <v>6800.8254997894956</v>
      </c>
      <c r="T327">
        <f t="shared" si="973"/>
        <v>6.8008254997894957</v>
      </c>
    </row>
    <row r="328" spans="1:20" x14ac:dyDescent="0.25">
      <c r="A328" s="5">
        <v>44265</v>
      </c>
      <c r="B328">
        <v>5.9290000000000002E-2</v>
      </c>
      <c r="C328">
        <v>0.06</v>
      </c>
      <c r="D328">
        <v>5.4989999999999997E-2</v>
      </c>
      <c r="E328">
        <v>5.6349999999999997E-2</v>
      </c>
      <c r="F328">
        <v>141297258.69999999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-0.45708582834331341</v>
      </c>
      <c r="Q328">
        <f t="shared" si="970"/>
        <v>-64584974.535528943</v>
      </c>
      <c r="R328">
        <f t="shared" si="971"/>
        <v>545370484.99904025</v>
      </c>
      <c r="S328">
        <f t="shared" si="972"/>
        <v>5453.7048499904022</v>
      </c>
      <c r="T328">
        <f t="shared" si="973"/>
        <v>5.4537048499904026</v>
      </c>
    </row>
    <row r="329" spans="1:20" x14ac:dyDescent="0.25">
      <c r="A329" s="5">
        <v>44264</v>
      </c>
      <c r="B329">
        <v>5.5309999999999998E-2</v>
      </c>
      <c r="C329">
        <v>5.9979999999999999E-2</v>
      </c>
      <c r="D329">
        <v>5.3429999999999998E-2</v>
      </c>
      <c r="E329">
        <v>5.9389999999999998E-2</v>
      </c>
      <c r="F329">
        <v>180495910.59999999</v>
      </c>
      <c r="G329">
        <v>0</v>
      </c>
      <c r="L329" t="s">
        <v>8</v>
      </c>
      <c r="M329" t="s">
        <v>7</v>
      </c>
      <c r="N329" t="s">
        <v>7</v>
      </c>
      <c r="P329">
        <f t="shared" si="969"/>
        <v>0.81984732824427475</v>
      </c>
      <c r="Q329">
        <f t="shared" si="970"/>
        <v>147979090.06442747</v>
      </c>
      <c r="R329">
        <f t="shared" si="971"/>
        <v>609955459.53456914</v>
      </c>
      <c r="S329">
        <f t="shared" si="972"/>
        <v>6099.5545953456913</v>
      </c>
      <c r="T329">
        <f t="shared" si="973"/>
        <v>6.0995545953456913</v>
      </c>
    </row>
    <row r="330" spans="1:20" x14ac:dyDescent="0.25">
      <c r="A330" s="5">
        <v>44263</v>
      </c>
      <c r="B330">
        <v>5.5140000000000002E-2</v>
      </c>
      <c r="C330">
        <v>5.6009999999999997E-2</v>
      </c>
      <c r="D330">
        <v>5.2290000000000003E-2</v>
      </c>
      <c r="E330">
        <v>5.5199999999999999E-2</v>
      </c>
      <c r="F330">
        <v>79805072.099999994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0.56451612903225834</v>
      </c>
      <c r="Q330">
        <f t="shared" si="970"/>
        <v>45051250.379032277</v>
      </c>
      <c r="R330">
        <f t="shared" si="971"/>
        <v>461976369.47014165</v>
      </c>
      <c r="S330">
        <f t="shared" si="972"/>
        <v>4619.7636947014162</v>
      </c>
      <c r="T330">
        <f t="shared" si="973"/>
        <v>4.6197636947014162</v>
      </c>
    </row>
    <row r="331" spans="1:20" x14ac:dyDescent="0.25">
      <c r="A331" s="5">
        <v>44262</v>
      </c>
      <c r="B331">
        <v>5.3650000000000003E-2</v>
      </c>
      <c r="C331">
        <v>5.6000000000000001E-2</v>
      </c>
      <c r="D331">
        <v>5.364E-2</v>
      </c>
      <c r="E331">
        <v>5.4899999999999997E-2</v>
      </c>
      <c r="F331">
        <v>52655742.899999999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6.7796610169488736E-2</v>
      </c>
      <c r="Q331">
        <f t="shared" si="970"/>
        <v>3569880.8745761244</v>
      </c>
      <c r="R331">
        <f t="shared" si="971"/>
        <v>416925119.0911094</v>
      </c>
      <c r="S331">
        <f t="shared" si="972"/>
        <v>4169.2511909110935</v>
      </c>
      <c r="T331">
        <f t="shared" si="973"/>
        <v>4.1692511909110932</v>
      </c>
    </row>
    <row r="332" spans="1:20" x14ac:dyDescent="0.25">
      <c r="A332" s="5">
        <v>44261</v>
      </c>
      <c r="B332">
        <v>5.4699999999999999E-2</v>
      </c>
      <c r="C332">
        <v>5.5719999999999999E-2</v>
      </c>
      <c r="D332">
        <v>5.2010000000000001E-2</v>
      </c>
      <c r="E332">
        <v>5.3760000000000002E-2</v>
      </c>
      <c r="F332">
        <v>80731018.299999997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-5.6603773584904322E-2</v>
      </c>
      <c r="Q332">
        <f t="shared" si="970"/>
        <v>-4569680.281131967</v>
      </c>
      <c r="R332">
        <f t="shared" si="971"/>
        <v>413355238.21653324</v>
      </c>
      <c r="S332">
        <f t="shared" si="972"/>
        <v>4133.5523821653323</v>
      </c>
      <c r="T332">
        <f t="shared" si="973"/>
        <v>4.1335523821653322</v>
      </c>
    </row>
    <row r="333" spans="1:20" x14ac:dyDescent="0.25">
      <c r="A333" s="5">
        <v>44260</v>
      </c>
      <c r="B333">
        <v>5.8389999999999997E-2</v>
      </c>
      <c r="C333">
        <v>6.2E-2</v>
      </c>
      <c r="D333">
        <v>5.2229999999999999E-2</v>
      </c>
      <c r="E333">
        <v>5.4699999999999999E-2</v>
      </c>
      <c r="F333">
        <v>129687791.8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-0.49437052200614129</v>
      </c>
      <c r="Q333">
        <f t="shared" si="970"/>
        <v>-64113821.329989769</v>
      </c>
      <c r="R333">
        <f t="shared" si="971"/>
        <v>417924918.49766523</v>
      </c>
      <c r="S333">
        <f t="shared" si="972"/>
        <v>4179.249184976652</v>
      </c>
      <c r="T333">
        <f t="shared" si="973"/>
        <v>4.1792491849766522</v>
      </c>
    </row>
    <row r="334" spans="1:20" x14ac:dyDescent="0.25">
      <c r="A334" s="5">
        <v>44259</v>
      </c>
      <c r="B334">
        <v>5.8290000000000002E-2</v>
      </c>
      <c r="C334">
        <v>6.2770000000000006E-2</v>
      </c>
      <c r="D334">
        <v>5.5640000000000002E-2</v>
      </c>
      <c r="E334">
        <v>5.8500000000000003E-2</v>
      </c>
      <c r="F334">
        <v>108524275.8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-0.19775596072931287</v>
      </c>
      <c r="Q334">
        <f t="shared" si="970"/>
        <v>-21461322.423281919</v>
      </c>
      <c r="R334">
        <f t="shared" si="971"/>
        <v>482038739.82765502</v>
      </c>
      <c r="S334">
        <f t="shared" si="972"/>
        <v>4820.3873982765499</v>
      </c>
      <c r="T334">
        <f t="shared" si="973"/>
        <v>4.8203873982765497</v>
      </c>
    </row>
    <row r="335" spans="1:20" x14ac:dyDescent="0.25">
      <c r="A335" s="5">
        <v>44258</v>
      </c>
      <c r="B335">
        <v>5.747E-2</v>
      </c>
      <c r="C335">
        <v>6.062E-2</v>
      </c>
      <c r="D335">
        <v>5.6849999999999998E-2</v>
      </c>
      <c r="E335">
        <v>5.8299999999999998E-2</v>
      </c>
      <c r="F335">
        <v>61059922.399999999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-0.23076923076923134</v>
      </c>
      <c r="Q335">
        <f t="shared" si="970"/>
        <v>-14090751.323076958</v>
      </c>
      <c r="R335">
        <f t="shared" si="971"/>
        <v>503500062.25093693</v>
      </c>
      <c r="S335">
        <f t="shared" si="972"/>
        <v>5035.0006225093694</v>
      </c>
      <c r="T335">
        <f t="shared" si="973"/>
        <v>5.0350006225093695</v>
      </c>
    </row>
    <row r="336" spans="1:20" x14ac:dyDescent="0.25">
      <c r="A336" s="5">
        <v>44257</v>
      </c>
      <c r="B336">
        <v>5.9200000000000003E-2</v>
      </c>
      <c r="C336">
        <v>6.1780000000000002E-2</v>
      </c>
      <c r="D336">
        <v>5.4820000000000001E-2</v>
      </c>
      <c r="E336">
        <v>5.7250000000000002E-2</v>
      </c>
      <c r="F336">
        <v>65193936.600000001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-0.30172413793103409</v>
      </c>
      <c r="Q336">
        <f t="shared" si="970"/>
        <v>-19670584.318965491</v>
      </c>
      <c r="R336">
        <f t="shared" si="971"/>
        <v>517590813.57401389</v>
      </c>
      <c r="S336">
        <f t="shared" si="972"/>
        <v>5175.9081357401392</v>
      </c>
      <c r="T336">
        <f t="shared" si="973"/>
        <v>5.1759081357401389</v>
      </c>
    </row>
    <row r="337" spans="1:20" x14ac:dyDescent="0.25">
      <c r="A337" s="5">
        <v>44256</v>
      </c>
      <c r="B337">
        <v>5.1040000000000002E-2</v>
      </c>
      <c r="C337">
        <v>5.944E-2</v>
      </c>
      <c r="D337">
        <v>5.0619999999999998E-2</v>
      </c>
      <c r="E337">
        <v>5.9339999999999997E-2</v>
      </c>
      <c r="F337">
        <v>67854056.799999997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0.97732426303854814</v>
      </c>
      <c r="Q337">
        <f t="shared" si="970"/>
        <v>66315416.056235783</v>
      </c>
      <c r="R337">
        <f t="shared" si="971"/>
        <v>537261397.89297938</v>
      </c>
      <c r="S337">
        <f t="shared" si="972"/>
        <v>5372.613978929794</v>
      </c>
      <c r="T337">
        <f t="shared" si="973"/>
        <v>5.3726139789297944</v>
      </c>
    </row>
    <row r="338" spans="1:20" x14ac:dyDescent="0.25">
      <c r="A338" s="5">
        <v>44255</v>
      </c>
      <c r="B338">
        <v>5.3510000000000002E-2</v>
      </c>
      <c r="C338">
        <v>5.4129999999999998E-2</v>
      </c>
      <c r="D338">
        <v>4.8009999999999997E-2</v>
      </c>
      <c r="E338">
        <v>5.108E-2</v>
      </c>
      <c r="F338">
        <v>69152823.400000006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3.2679738562101509E-3</v>
      </c>
      <c r="Q338">
        <f t="shared" si="970"/>
        <v>225989.61895431759</v>
      </c>
      <c r="R338">
        <f t="shared" si="971"/>
        <v>470945981.83674359</v>
      </c>
      <c r="S338">
        <f t="shared" si="972"/>
        <v>4709.4598183674361</v>
      </c>
      <c r="T338">
        <f t="shared" si="973"/>
        <v>4.7094598183674359</v>
      </c>
    </row>
    <row r="339" spans="1:20" x14ac:dyDescent="0.25">
      <c r="A339" s="5">
        <v>44254</v>
      </c>
      <c r="B339">
        <v>5.4039999999999998E-2</v>
      </c>
      <c r="C339">
        <v>5.815E-2</v>
      </c>
      <c r="D339">
        <v>5.2060000000000002E-2</v>
      </c>
      <c r="E339">
        <v>5.348E-2</v>
      </c>
      <c r="F339">
        <v>90686367.299999997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-0.53366174055829296</v>
      </c>
      <c r="Q339">
        <f t="shared" si="970"/>
        <v>-48395844.618226662</v>
      </c>
      <c r="R339">
        <f t="shared" si="971"/>
        <v>470719992.21778929</v>
      </c>
      <c r="S339">
        <f t="shared" si="972"/>
        <v>4707.1999221778933</v>
      </c>
      <c r="T339">
        <f t="shared" si="973"/>
        <v>4.7071999221778933</v>
      </c>
    </row>
    <row r="340" spans="1:20" x14ac:dyDescent="0.25">
      <c r="A340" s="5">
        <v>44253</v>
      </c>
      <c r="B340">
        <v>5.5199999999999999E-2</v>
      </c>
      <c r="C340">
        <v>5.8889999999999998E-2</v>
      </c>
      <c r="D340">
        <v>5.0529999999999999E-2</v>
      </c>
      <c r="E340">
        <v>5.3990000000000003E-2</v>
      </c>
      <c r="F340">
        <v>90712970.900000006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-0.17224880382775001</v>
      </c>
      <c r="Q340">
        <f t="shared" si="970"/>
        <v>-15625200.729186496</v>
      </c>
      <c r="R340">
        <f t="shared" si="971"/>
        <v>519115836.83601594</v>
      </c>
      <c r="S340">
        <f t="shared" si="972"/>
        <v>5191.1583683601593</v>
      </c>
      <c r="T340">
        <f t="shared" si="973"/>
        <v>5.191158368360159</v>
      </c>
    </row>
    <row r="341" spans="1:20" x14ac:dyDescent="0.25">
      <c r="A341" s="5">
        <v>44252</v>
      </c>
      <c r="B341">
        <v>5.944E-2</v>
      </c>
      <c r="C341">
        <v>6.6000000000000003E-2</v>
      </c>
      <c r="D341">
        <v>5.5E-2</v>
      </c>
      <c r="E341">
        <v>5.5320000000000001E-2</v>
      </c>
      <c r="F341">
        <v>92597110.099999994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-0.94181818181818167</v>
      </c>
      <c r="Q341">
        <f t="shared" si="970"/>
        <v>-87209641.875999987</v>
      </c>
      <c r="R341">
        <f t="shared" si="971"/>
        <v>534741037.56520241</v>
      </c>
      <c r="S341">
        <f t="shared" si="972"/>
        <v>5347.4103756520244</v>
      </c>
      <c r="T341">
        <f t="shared" si="973"/>
        <v>5.3474103756520242</v>
      </c>
    </row>
    <row r="342" spans="1:20" x14ac:dyDescent="0.25">
      <c r="A342" s="5">
        <v>44251</v>
      </c>
      <c r="B342">
        <v>5.6619999999999997E-2</v>
      </c>
      <c r="C342">
        <v>6.4930000000000002E-2</v>
      </c>
      <c r="D342">
        <v>5.3350000000000002E-2</v>
      </c>
      <c r="E342">
        <v>5.9310000000000002E-2</v>
      </c>
      <c r="F342">
        <v>120446441.09999999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2.9360967184801384E-2</v>
      </c>
      <c r="Q342">
        <f t="shared" si="970"/>
        <v>3536424.0046632127</v>
      </c>
      <c r="R342">
        <f t="shared" si="971"/>
        <v>621950679.4412024</v>
      </c>
      <c r="S342">
        <f t="shared" si="972"/>
        <v>6219.5067944120237</v>
      </c>
      <c r="T342">
        <f t="shared" si="973"/>
        <v>6.2195067944120241</v>
      </c>
    </row>
    <row r="343" spans="1:20" x14ac:dyDescent="0.25">
      <c r="A343" s="5">
        <v>44250</v>
      </c>
      <c r="B343">
        <v>7.0099999999999996E-2</v>
      </c>
      <c r="C343">
        <v>7.2099999999999997E-2</v>
      </c>
      <c r="D343">
        <v>4.8890000000000003E-2</v>
      </c>
      <c r="E343">
        <v>5.6619999999999997E-2</v>
      </c>
      <c r="F343">
        <v>231071560.90000001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-0.33390779836277507</v>
      </c>
      <c r="Q343">
        <f t="shared" si="970"/>
        <v>-77156596.164368898</v>
      </c>
      <c r="R343">
        <f t="shared" si="971"/>
        <v>618414255.43653917</v>
      </c>
      <c r="S343">
        <f t="shared" si="972"/>
        <v>6184.1425543653913</v>
      </c>
      <c r="T343">
        <f t="shared" si="973"/>
        <v>6.1841425543653914</v>
      </c>
    </row>
    <row r="344" spans="1:20" x14ac:dyDescent="0.25">
      <c r="A344" s="5">
        <v>44249</v>
      </c>
      <c r="B344">
        <v>7.8600000000000003E-2</v>
      </c>
      <c r="C344">
        <v>7.8780000000000003E-2</v>
      </c>
      <c r="D344">
        <v>5.7369999999999997E-2</v>
      </c>
      <c r="E344">
        <v>7.009E-2</v>
      </c>
      <c r="F344">
        <v>214084862.09999999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0.18822979915927127</v>
      </c>
      <c r="Q344">
        <f t="shared" si="970"/>
        <v>40297150.596123286</v>
      </c>
      <c r="R344">
        <f t="shared" si="971"/>
        <v>695570851.60090804</v>
      </c>
      <c r="S344">
        <f t="shared" si="972"/>
        <v>6955.7085160090801</v>
      </c>
      <c r="T344">
        <f t="shared" si="973"/>
        <v>6.9557085160090804</v>
      </c>
    </row>
    <row r="345" spans="1:20" x14ac:dyDescent="0.25">
      <c r="A345" s="5">
        <v>44248</v>
      </c>
      <c r="B345">
        <v>8.0280000000000004E-2</v>
      </c>
      <c r="C345">
        <v>8.1799999999999998E-2</v>
      </c>
      <c r="D345">
        <v>7.6350000000000001E-2</v>
      </c>
      <c r="E345">
        <v>7.8640000000000002E-2</v>
      </c>
      <c r="F345">
        <v>116673733.8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-0.15963302752293509</v>
      </c>
      <c r="Q345">
        <f t="shared" si="970"/>
        <v>-18624981.358899001</v>
      </c>
      <c r="R345">
        <f t="shared" si="971"/>
        <v>655273701.0047847</v>
      </c>
      <c r="S345">
        <f t="shared" si="972"/>
        <v>6552.7370100478474</v>
      </c>
      <c r="T345">
        <f t="shared" si="973"/>
        <v>6.5527370100478475</v>
      </c>
    </row>
    <row r="346" spans="1:20" x14ac:dyDescent="0.25">
      <c r="A346" s="5">
        <v>44247</v>
      </c>
      <c r="B346">
        <v>8.3610000000000004E-2</v>
      </c>
      <c r="C346">
        <v>0.09</v>
      </c>
      <c r="D346">
        <v>7.4620000000000006E-2</v>
      </c>
      <c r="E346">
        <v>8.0320000000000003E-2</v>
      </c>
      <c r="F346">
        <v>256523814.59999999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-0.25877763328998699</v>
      </c>
      <c r="Q346">
        <f t="shared" si="970"/>
        <v>-66382625.624707408</v>
      </c>
      <c r="R346">
        <f t="shared" si="971"/>
        <v>673898682.3636837</v>
      </c>
      <c r="S346">
        <f t="shared" si="972"/>
        <v>6738.9868236368366</v>
      </c>
      <c r="T346">
        <f t="shared" si="973"/>
        <v>6.7389868236368367</v>
      </c>
    </row>
    <row r="347" spans="1:20" x14ac:dyDescent="0.25">
      <c r="A347" s="5">
        <v>44246</v>
      </c>
      <c r="B347">
        <v>7.5850000000000001E-2</v>
      </c>
      <c r="C347">
        <v>8.8020000000000001E-2</v>
      </c>
      <c r="D347">
        <v>7.1499999999999994E-2</v>
      </c>
      <c r="E347">
        <v>8.3519999999999997E-2</v>
      </c>
      <c r="F347">
        <v>206746329.90000001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0.45520581113801428</v>
      </c>
      <c r="Q347">
        <f t="shared" si="970"/>
        <v>94112130.801936999</v>
      </c>
      <c r="R347">
        <f t="shared" si="971"/>
        <v>740281307.98839116</v>
      </c>
      <c r="S347">
        <f t="shared" si="972"/>
        <v>7402.813079883912</v>
      </c>
      <c r="T347">
        <f t="shared" si="973"/>
        <v>7.402813079883912</v>
      </c>
    </row>
    <row r="348" spans="1:20" x14ac:dyDescent="0.25">
      <c r="A348" s="5">
        <v>44245</v>
      </c>
      <c r="B348">
        <v>8.047E-2</v>
      </c>
      <c r="C348">
        <v>8.1629999999999994E-2</v>
      </c>
      <c r="D348">
        <v>7.4899999999999994E-2</v>
      </c>
      <c r="E348">
        <v>7.5880000000000003E-2</v>
      </c>
      <c r="F348">
        <v>123610186.09999999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-0.70876671619613407</v>
      </c>
      <c r="Q348">
        <f t="shared" si="970"/>
        <v>-87610785.690490007</v>
      </c>
      <c r="R348">
        <f t="shared" si="971"/>
        <v>646169177.18645418</v>
      </c>
      <c r="S348">
        <f t="shared" si="972"/>
        <v>6461.6917718645418</v>
      </c>
      <c r="T348">
        <f t="shared" si="973"/>
        <v>6.4616917718645421</v>
      </c>
    </row>
    <row r="349" spans="1:20" x14ac:dyDescent="0.25">
      <c r="A349" s="5">
        <v>44244</v>
      </c>
      <c r="B349">
        <v>7.2370000000000004E-2</v>
      </c>
      <c r="C349">
        <v>8.4000000000000005E-2</v>
      </c>
      <c r="D349">
        <v>7.1679999999999994E-2</v>
      </c>
      <c r="E349">
        <v>8.0439999999999998E-2</v>
      </c>
      <c r="F349">
        <v>129356297.5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0.42207792207792139</v>
      </c>
      <c r="Q349">
        <f t="shared" si="970"/>
        <v>54598437.256493419</v>
      </c>
      <c r="R349">
        <f t="shared" si="971"/>
        <v>733779962.87694418</v>
      </c>
      <c r="S349">
        <f t="shared" si="972"/>
        <v>7337.7996287694423</v>
      </c>
      <c r="T349">
        <f t="shared" si="973"/>
        <v>7.3377996287694423</v>
      </c>
    </row>
    <row r="350" spans="1:20" x14ac:dyDescent="0.25">
      <c r="A350" s="5">
        <v>44243</v>
      </c>
      <c r="B350">
        <v>7.9149999999999998E-2</v>
      </c>
      <c r="C350">
        <v>8.3000000000000004E-2</v>
      </c>
      <c r="D350">
        <v>7.0230000000000001E-2</v>
      </c>
      <c r="E350">
        <v>7.2499999999999995E-2</v>
      </c>
      <c r="F350">
        <v>192204745.90000001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-0.64447924823805891</v>
      </c>
      <c r="Q350">
        <f t="shared" si="970"/>
        <v>-123871970.14541914</v>
      </c>
      <c r="R350">
        <f t="shared" si="971"/>
        <v>679181525.62045074</v>
      </c>
      <c r="S350">
        <f t="shared" si="972"/>
        <v>6791.815256204507</v>
      </c>
      <c r="T350">
        <f t="shared" si="973"/>
        <v>6.7918152562045071</v>
      </c>
    </row>
    <row r="351" spans="1:20" x14ac:dyDescent="0.25">
      <c r="A351" s="5">
        <v>44242</v>
      </c>
      <c r="B351">
        <v>5.9799999999999999E-2</v>
      </c>
      <c r="C351">
        <v>8.4000000000000005E-2</v>
      </c>
      <c r="D351">
        <v>5.1249999999999997E-2</v>
      </c>
      <c r="E351">
        <v>7.9079999999999998E-2</v>
      </c>
      <c r="F351">
        <v>417175810.39999998</v>
      </c>
      <c r="G351">
        <v>0</v>
      </c>
      <c r="L351" t="s">
        <v>8</v>
      </c>
      <c r="M351" t="s">
        <v>7</v>
      </c>
      <c r="N351" t="s">
        <v>8</v>
      </c>
      <c r="P351">
        <f t="shared" si="969"/>
        <v>0.69954198473282403</v>
      </c>
      <c r="Q351">
        <f t="shared" si="970"/>
        <v>291831994.38974029</v>
      </c>
      <c r="R351">
        <f t="shared" si="971"/>
        <v>803053495.76586986</v>
      </c>
      <c r="S351">
        <f t="shared" si="972"/>
        <v>8030.5349576586987</v>
      </c>
      <c r="T351">
        <f t="shared" si="973"/>
        <v>8.0305349576586984</v>
      </c>
    </row>
    <row r="352" spans="1:20" x14ac:dyDescent="0.25">
      <c r="A352" s="5">
        <v>44241</v>
      </c>
      <c r="B352">
        <v>6.4000000000000001E-2</v>
      </c>
      <c r="C352">
        <v>6.5500000000000003E-2</v>
      </c>
      <c r="D352">
        <v>5.8590000000000003E-2</v>
      </c>
      <c r="E352">
        <v>5.969E-2</v>
      </c>
      <c r="F352">
        <v>81462758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-0.68162083936324258</v>
      </c>
      <c r="Q352">
        <f t="shared" si="970"/>
        <v>-55526713.484804705</v>
      </c>
      <c r="R352">
        <f t="shared" si="971"/>
        <v>511221501.37612957</v>
      </c>
      <c r="S352">
        <f t="shared" si="972"/>
        <v>5112.2150137612953</v>
      </c>
      <c r="T352">
        <f t="shared" si="973"/>
        <v>5.1122150137612952</v>
      </c>
    </row>
    <row r="353" spans="1:20" x14ac:dyDescent="0.25">
      <c r="A353" s="5">
        <v>44240</v>
      </c>
      <c r="B353">
        <v>6.8040000000000003E-2</v>
      </c>
      <c r="C353">
        <v>6.9000000000000006E-2</v>
      </c>
      <c r="D353">
        <v>5.849E-2</v>
      </c>
      <c r="E353">
        <v>6.4019999999999994E-2</v>
      </c>
      <c r="F353">
        <v>144057712.59999999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5.2331113225497695E-2</v>
      </c>
      <c r="Q353">
        <f t="shared" si="970"/>
        <v>7538700.4690768057</v>
      </c>
      <c r="R353">
        <f t="shared" si="971"/>
        <v>566748214.86093426</v>
      </c>
      <c r="S353">
        <f t="shared" si="972"/>
        <v>5667.4821486093424</v>
      </c>
      <c r="T353">
        <f t="shared" si="973"/>
        <v>5.6674821486093423</v>
      </c>
    </row>
    <row r="354" spans="1:20" x14ac:dyDescent="0.25">
      <c r="A354" s="5">
        <v>44239</v>
      </c>
      <c r="B354">
        <v>5.3440000000000001E-2</v>
      </c>
      <c r="C354">
        <v>6.9000000000000006E-2</v>
      </c>
      <c r="D354">
        <v>5.1630000000000002E-2</v>
      </c>
      <c r="E354">
        <v>6.8029999999999993E-2</v>
      </c>
      <c r="F354">
        <v>254495074.40000001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0.88831318364996981</v>
      </c>
      <c r="Q354">
        <f t="shared" si="970"/>
        <v>226071329.76349995</v>
      </c>
      <c r="R354">
        <f t="shared" si="971"/>
        <v>559209514.3918575</v>
      </c>
      <c r="S354">
        <f t="shared" si="972"/>
        <v>5592.0951439185746</v>
      </c>
      <c r="T354">
        <f t="shared" si="973"/>
        <v>5.5920951439185744</v>
      </c>
    </row>
    <row r="355" spans="1:20" x14ac:dyDescent="0.25">
      <c r="A355" s="5">
        <v>44238</v>
      </c>
      <c r="B355">
        <v>4.8840000000000001E-2</v>
      </c>
      <c r="C355">
        <v>5.4989999999999997E-2</v>
      </c>
      <c r="D355">
        <v>4.827E-2</v>
      </c>
      <c r="E355">
        <v>5.3440000000000001E-2</v>
      </c>
      <c r="F355">
        <v>107786478.59999999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0.53869047619047716</v>
      </c>
      <c r="Q355">
        <f t="shared" si="970"/>
        <v>58063549.483928673</v>
      </c>
      <c r="R355">
        <f t="shared" si="971"/>
        <v>333138184.62835753</v>
      </c>
      <c r="S355">
        <f t="shared" si="972"/>
        <v>3331.3818462835752</v>
      </c>
      <c r="T355">
        <f t="shared" si="973"/>
        <v>3.3313818462835751</v>
      </c>
    </row>
    <row r="356" spans="1:20" x14ac:dyDescent="0.25">
      <c r="A356" s="5">
        <v>44237</v>
      </c>
      <c r="B356">
        <v>5.1659999999999998E-2</v>
      </c>
      <c r="C356">
        <v>5.2880000000000003E-2</v>
      </c>
      <c r="D356">
        <v>4.505E-2</v>
      </c>
      <c r="E356">
        <v>4.888E-2</v>
      </c>
      <c r="F356">
        <v>144451949.19999999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-2.171136653895318E-2</v>
      </c>
      <c r="Q356">
        <f t="shared" si="970"/>
        <v>-3136249.2163474443</v>
      </c>
      <c r="R356">
        <f t="shared" si="971"/>
        <v>275074635.14442885</v>
      </c>
      <c r="S356">
        <f t="shared" si="972"/>
        <v>2750.7463514442884</v>
      </c>
      <c r="T356">
        <f t="shared" si="973"/>
        <v>2.7507463514442883</v>
      </c>
    </row>
    <row r="357" spans="1:20" x14ac:dyDescent="0.25">
      <c r="A357" s="5">
        <v>44236</v>
      </c>
      <c r="B357">
        <v>5.1090000000000003E-2</v>
      </c>
      <c r="C357">
        <v>5.5500000000000001E-2</v>
      </c>
      <c r="D357">
        <v>4.793E-2</v>
      </c>
      <c r="E357">
        <v>5.1560000000000002E-2</v>
      </c>
      <c r="F357">
        <v>297918768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-4.0951122853368264E-2</v>
      </c>
      <c r="Q357">
        <f t="shared" si="970"/>
        <v>-12200108.068692118</v>
      </c>
      <c r="R357">
        <f t="shared" si="971"/>
        <v>278210884.36077631</v>
      </c>
      <c r="S357">
        <f t="shared" si="972"/>
        <v>2782.108843607763</v>
      </c>
      <c r="T357">
        <f t="shared" si="973"/>
        <v>2.7821088436077628</v>
      </c>
    </row>
    <row r="358" spans="1:20" x14ac:dyDescent="0.25">
      <c r="A358" s="5">
        <v>44235</v>
      </c>
      <c r="B358">
        <v>3.5249999999999997E-2</v>
      </c>
      <c r="C358">
        <v>5.5500000000000001E-2</v>
      </c>
      <c r="D358">
        <v>3.4340000000000002E-2</v>
      </c>
      <c r="E358">
        <v>5.11E-2</v>
      </c>
      <c r="F358">
        <v>431346487.30000001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0.58412098298676729</v>
      </c>
      <c r="Q358">
        <f t="shared" si="970"/>
        <v>251958534.16956514</v>
      </c>
      <c r="R358">
        <f t="shared" si="971"/>
        <v>290410992.42946845</v>
      </c>
      <c r="S358">
        <f t="shared" si="972"/>
        <v>2904.1099242946843</v>
      </c>
      <c r="T358">
        <f t="shared" si="973"/>
        <v>2.9041099242946844</v>
      </c>
    </row>
    <row r="359" spans="1:20" x14ac:dyDescent="0.25">
      <c r="A359" s="5">
        <v>44234</v>
      </c>
      <c r="B359">
        <v>3.6400000000000002E-2</v>
      </c>
      <c r="C359">
        <v>3.7449999999999997E-2</v>
      </c>
      <c r="D359">
        <v>3.3480000000000003E-2</v>
      </c>
      <c r="E359">
        <v>3.5229999999999997E-2</v>
      </c>
      <c r="F359">
        <v>100135386.90000001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-0.1183879093199007</v>
      </c>
      <c r="Q359">
        <f t="shared" si="970"/>
        <v>-11854819.104030373</v>
      </c>
      <c r="R359">
        <f t="shared" si="971"/>
        <v>38452458.259903319</v>
      </c>
      <c r="S359">
        <f t="shared" si="972"/>
        <v>384.52458259903318</v>
      </c>
      <c r="T359">
        <f t="shared" si="973"/>
        <v>0.38452458259903316</v>
      </c>
    </row>
    <row r="360" spans="1:20" x14ac:dyDescent="0.25">
      <c r="A360" s="5">
        <v>44233</v>
      </c>
      <c r="B360">
        <v>3.9010000000000003E-2</v>
      </c>
      <c r="C360">
        <v>3.9079999999999997E-2</v>
      </c>
      <c r="D360">
        <v>3.4639999999999997E-2</v>
      </c>
      <c r="E360">
        <v>3.6380000000000003E-2</v>
      </c>
      <c r="F360">
        <v>149801390.19999999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-0.21621621621621367</v>
      </c>
      <c r="Q360">
        <f t="shared" si="970"/>
        <v>-32389489.772972591</v>
      </c>
      <c r="R360">
        <f t="shared" si="971"/>
        <v>50307277.36393369</v>
      </c>
      <c r="S360">
        <f t="shared" si="972"/>
        <v>503.0727736393369</v>
      </c>
      <c r="T360">
        <f t="shared" si="973"/>
        <v>0.50307277363933689</v>
      </c>
    </row>
    <row r="361" spans="1:20" x14ac:dyDescent="0.25">
      <c r="A361" s="5">
        <v>44232</v>
      </c>
      <c r="B361">
        <v>3.1060000000000001E-2</v>
      </c>
      <c r="C361">
        <v>0.04</v>
      </c>
      <c r="D361">
        <v>3.1060000000000001E-2</v>
      </c>
      <c r="E361">
        <v>3.9039999999999998E-2</v>
      </c>
      <c r="F361">
        <v>234196193.90000001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0.78523489932885848</v>
      </c>
      <c r="Q361">
        <f t="shared" si="970"/>
        <v>183899024.74026832</v>
      </c>
      <c r="R361">
        <f t="shared" si="971"/>
        <v>82696767.136906281</v>
      </c>
      <c r="S361">
        <f t="shared" si="972"/>
        <v>826.96767136906283</v>
      </c>
      <c r="T361">
        <f t="shared" si="973"/>
        <v>0.8269676713690628</v>
      </c>
    </row>
    <row r="362" spans="1:20" x14ac:dyDescent="0.25">
      <c r="A362" s="5">
        <v>44231</v>
      </c>
      <c r="B362">
        <v>3.2559999999999999E-2</v>
      </c>
      <c r="C362">
        <v>3.2899999999999999E-2</v>
      </c>
      <c r="D362">
        <v>0.03</v>
      </c>
      <c r="E362">
        <v>3.107E-2</v>
      </c>
      <c r="F362">
        <v>76127944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-0.26206896551724029</v>
      </c>
      <c r="Q362">
        <f t="shared" si="970"/>
        <v>-19950771.531034399</v>
      </c>
      <c r="R362">
        <f t="shared" si="971"/>
        <v>-101202257.60336204</v>
      </c>
      <c r="S362">
        <f t="shared" si="972"/>
        <v>-1012.0225760336203</v>
      </c>
      <c r="T362">
        <f t="shared" si="973"/>
        <v>-1.0120225760336203</v>
      </c>
    </row>
    <row r="363" spans="1:20" x14ac:dyDescent="0.25">
      <c r="A363" s="5">
        <v>44230</v>
      </c>
      <c r="B363">
        <v>3.099E-2</v>
      </c>
      <c r="C363">
        <v>3.388E-2</v>
      </c>
      <c r="D363">
        <v>3.0370000000000001E-2</v>
      </c>
      <c r="E363">
        <v>3.2649999999999998E-2</v>
      </c>
      <c r="F363">
        <v>95553960.5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0.29914529914529792</v>
      </c>
      <c r="Q363">
        <f t="shared" si="970"/>
        <v>28584518.098290481</v>
      </c>
      <c r="R363">
        <f t="shared" si="971"/>
        <v>-81251486.072327644</v>
      </c>
      <c r="S363">
        <f t="shared" si="972"/>
        <v>-812.51486072327646</v>
      </c>
      <c r="T363">
        <f t="shared" si="973"/>
        <v>-0.8125148607232765</v>
      </c>
    </row>
    <row r="364" spans="1:20" x14ac:dyDescent="0.25">
      <c r="A364" s="5">
        <v>44229</v>
      </c>
      <c r="B364">
        <v>2.9100000000000001E-2</v>
      </c>
      <c r="C364">
        <v>3.1640000000000001E-2</v>
      </c>
      <c r="D364">
        <v>2.8760000000000001E-2</v>
      </c>
      <c r="E364">
        <v>3.0880000000000001E-2</v>
      </c>
      <c r="F364">
        <v>91117012.200000003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0.47222222222222215</v>
      </c>
      <c r="Q364">
        <f t="shared" si="970"/>
        <v>43027477.983333327</v>
      </c>
      <c r="R364">
        <f t="shared" si="971"/>
        <v>-109836004.17061812</v>
      </c>
      <c r="S364">
        <f t="shared" si="972"/>
        <v>-1098.3600417061812</v>
      </c>
      <c r="T364">
        <f t="shared" si="973"/>
        <v>-1.0983600417061812</v>
      </c>
    </row>
    <row r="365" spans="1:20" x14ac:dyDescent="0.25">
      <c r="A365" s="5">
        <v>44228</v>
      </c>
      <c r="B365">
        <v>2.8379999999999999E-2</v>
      </c>
      <c r="C365">
        <v>2.9499999999999998E-2</v>
      </c>
      <c r="D365">
        <v>2.716E-2</v>
      </c>
      <c r="E365">
        <v>2.9090000000000001E-2</v>
      </c>
      <c r="F365">
        <v>90099588.200000003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0.64957264957265171</v>
      </c>
      <c r="Q365">
        <f t="shared" si="970"/>
        <v>58526228.232478827</v>
      </c>
      <c r="R365">
        <f t="shared" si="971"/>
        <v>-152863482.15395144</v>
      </c>
      <c r="S365">
        <f t="shared" si="972"/>
        <v>-1528.6348215395144</v>
      </c>
      <c r="T365">
        <f t="shared" si="973"/>
        <v>-1.5286348215395145</v>
      </c>
    </row>
    <row r="366" spans="1:20" x14ac:dyDescent="0.25">
      <c r="A366" s="5">
        <v>44227</v>
      </c>
      <c r="B366">
        <v>2.8680000000000001E-2</v>
      </c>
      <c r="C366">
        <v>0.03</v>
      </c>
      <c r="D366">
        <v>2.666E-2</v>
      </c>
      <c r="E366">
        <v>2.8379999999999999E-2</v>
      </c>
      <c r="F366">
        <v>125375195.7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2.9940119760478869E-2</v>
      </c>
      <c r="Q366">
        <f t="shared" si="970"/>
        <v>3753748.3742514756</v>
      </c>
      <c r="R366">
        <f t="shared" si="971"/>
        <v>-211389710.38643026</v>
      </c>
      <c r="S366">
        <f t="shared" si="972"/>
        <v>-2113.8971038643026</v>
      </c>
      <c r="T366">
        <f t="shared" si="973"/>
        <v>-2.1138971038643026</v>
      </c>
    </row>
    <row r="367" spans="1:20" x14ac:dyDescent="0.25">
      <c r="A367" s="5">
        <v>44226</v>
      </c>
      <c r="B367">
        <v>2.962E-2</v>
      </c>
      <c r="C367">
        <v>3.2000000000000001E-2</v>
      </c>
      <c r="D367">
        <v>2.8139999999999998E-2</v>
      </c>
      <c r="E367">
        <v>2.861E-2</v>
      </c>
      <c r="F367">
        <v>167040590.30000001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-0.75647668393782308</v>
      </c>
      <c r="Q367">
        <f t="shared" si="970"/>
        <v>-126362311.8331605</v>
      </c>
      <c r="R367">
        <f t="shared" si="971"/>
        <v>-215143458.76068175</v>
      </c>
      <c r="S367">
        <f t="shared" si="972"/>
        <v>-2151.4345876068173</v>
      </c>
      <c r="T367">
        <f t="shared" si="973"/>
        <v>-2.1514345876068175</v>
      </c>
    </row>
    <row r="368" spans="1:20" x14ac:dyDescent="0.25">
      <c r="A368" s="5">
        <v>44225</v>
      </c>
      <c r="B368">
        <v>2.623E-2</v>
      </c>
      <c r="C368">
        <v>3.44E-2</v>
      </c>
      <c r="D368">
        <v>2.6120000000000001E-2</v>
      </c>
      <c r="E368">
        <v>2.962E-2</v>
      </c>
      <c r="F368">
        <v>469106786.30000001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-0.15458937198067632</v>
      </c>
      <c r="Q368">
        <f t="shared" si="970"/>
        <v>-72518923.485990331</v>
      </c>
      <c r="R368">
        <f t="shared" si="971"/>
        <v>-88781146.927521259</v>
      </c>
      <c r="S368">
        <f t="shared" si="972"/>
        <v>-887.81146927521263</v>
      </c>
      <c r="T368">
        <f t="shared" si="973"/>
        <v>-0.88781146927521259</v>
      </c>
    </row>
    <row r="369" spans="1:20" x14ac:dyDescent="0.25">
      <c r="A369" s="5">
        <v>44224</v>
      </c>
      <c r="B369">
        <v>2.24E-2</v>
      </c>
      <c r="C369">
        <v>2.75E-2</v>
      </c>
      <c r="D369">
        <v>2.197E-2</v>
      </c>
      <c r="E369">
        <v>2.623E-2</v>
      </c>
      <c r="F369">
        <v>166678303.09999999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0.54068716094032543</v>
      </c>
      <c r="Q369">
        <f t="shared" si="970"/>
        <v>90120818.49349004</v>
      </c>
      <c r="R369">
        <f t="shared" si="971"/>
        <v>-16262223.441530928</v>
      </c>
      <c r="S369">
        <f t="shared" si="972"/>
        <v>-162.62223441530929</v>
      </c>
      <c r="T369">
        <f t="shared" si="973"/>
        <v>-0.16262223441530929</v>
      </c>
    </row>
    <row r="370" spans="1:20" x14ac:dyDescent="0.25">
      <c r="A370" s="5">
        <v>44223</v>
      </c>
      <c r="B370">
        <v>2.4129999999999999E-2</v>
      </c>
      <c r="C370">
        <v>2.5180000000000001E-2</v>
      </c>
      <c r="D370">
        <v>2.1819999999999999E-2</v>
      </c>
      <c r="E370">
        <v>2.239E-2</v>
      </c>
      <c r="F370">
        <v>64082583.200000003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-0.66071428571428525</v>
      </c>
      <c r="Q370">
        <f t="shared" si="970"/>
        <v>-42340278.18571426</v>
      </c>
      <c r="R370">
        <f t="shared" si="971"/>
        <v>-106383041.93502097</v>
      </c>
      <c r="S370">
        <f t="shared" si="972"/>
        <v>-1063.8304193502097</v>
      </c>
      <c r="T370">
        <f t="shared" si="973"/>
        <v>-1.0638304193502097</v>
      </c>
    </row>
    <row r="371" spans="1:20" x14ac:dyDescent="0.25">
      <c r="A371" s="5">
        <v>44222</v>
      </c>
      <c r="B371">
        <v>2.47E-2</v>
      </c>
      <c r="C371">
        <v>2.513E-2</v>
      </c>
      <c r="D371">
        <v>2.3279999999999999E-2</v>
      </c>
      <c r="E371">
        <v>2.4049999999999998E-2</v>
      </c>
      <c r="F371">
        <v>73854084.799999997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-0.16756756756756816</v>
      </c>
      <c r="Q371">
        <f t="shared" si="970"/>
        <v>-12375549.344864909</v>
      </c>
      <c r="R371">
        <f t="shared" si="971"/>
        <v>-64042763.749306709</v>
      </c>
      <c r="S371">
        <f t="shared" si="972"/>
        <v>-640.4276374930671</v>
      </c>
      <c r="T371">
        <f t="shared" si="973"/>
        <v>-0.64042763749306708</v>
      </c>
    </row>
    <row r="372" spans="1:20" x14ac:dyDescent="0.25">
      <c r="A372" s="5">
        <v>44221</v>
      </c>
      <c r="B372">
        <v>2.546E-2</v>
      </c>
      <c r="C372">
        <v>2.64E-2</v>
      </c>
      <c r="D372">
        <v>2.4340000000000001E-2</v>
      </c>
      <c r="E372">
        <v>2.4670000000000001E-2</v>
      </c>
      <c r="F372">
        <v>59028836.700000003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-0.67961165048543637</v>
      </c>
      <c r="Q372">
        <f t="shared" si="970"/>
        <v>-40116685.135922298</v>
      </c>
      <c r="R372">
        <f t="shared" si="971"/>
        <v>-51667214.404441796</v>
      </c>
      <c r="S372">
        <f t="shared" si="972"/>
        <v>-516.67214404441802</v>
      </c>
      <c r="T372">
        <f t="shared" si="973"/>
        <v>-0.51667214404441797</v>
      </c>
    </row>
    <row r="373" spans="1:20" x14ac:dyDescent="0.25">
      <c r="A373" s="5">
        <v>44220</v>
      </c>
      <c r="B373">
        <v>2.4819999999999998E-2</v>
      </c>
      <c r="C373">
        <v>2.6239999999999999E-2</v>
      </c>
      <c r="D373">
        <v>2.4250000000000001E-2</v>
      </c>
      <c r="E373">
        <v>2.5430000000000001E-2</v>
      </c>
      <c r="F373">
        <v>57349877.299999997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0.18592964824120728</v>
      </c>
      <c r="Q373">
        <f t="shared" si="970"/>
        <v>10663042.513065398</v>
      </c>
      <c r="R373">
        <f t="shared" si="971"/>
        <v>-11550529.268519498</v>
      </c>
      <c r="S373">
        <f t="shared" si="972"/>
        <v>-115.50529268519499</v>
      </c>
      <c r="T373">
        <f t="shared" si="973"/>
        <v>-0.11550529268519499</v>
      </c>
    </row>
    <row r="374" spans="1:20" x14ac:dyDescent="0.25">
      <c r="A374" s="5">
        <v>44219</v>
      </c>
      <c r="B374">
        <v>2.4230000000000002E-2</v>
      </c>
      <c r="C374">
        <v>2.5430000000000001E-2</v>
      </c>
      <c r="D374">
        <v>2.3720000000000001E-2</v>
      </c>
      <c r="E374">
        <v>2.478E-2</v>
      </c>
      <c r="F374">
        <v>40695591.899999999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0.23976608187134341</v>
      </c>
      <c r="Q374">
        <f t="shared" si="970"/>
        <v>9757422.6192981787</v>
      </c>
      <c r="R374">
        <f t="shared" si="971"/>
        <v>-22213571.781584896</v>
      </c>
      <c r="S374">
        <f t="shared" si="972"/>
        <v>-222.13571781584895</v>
      </c>
      <c r="T374">
        <f t="shared" si="973"/>
        <v>-0.22213571781584895</v>
      </c>
    </row>
    <row r="375" spans="1:20" x14ac:dyDescent="0.25">
      <c r="A375" s="5">
        <v>44218</v>
      </c>
      <c r="B375">
        <v>2.3390000000000001E-2</v>
      </c>
      <c r="C375">
        <v>2.5559999999999999E-2</v>
      </c>
      <c r="D375">
        <v>2.1989999999999999E-2</v>
      </c>
      <c r="E375">
        <v>2.426E-2</v>
      </c>
      <c r="F375">
        <v>91516219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0.27170868347338994</v>
      </c>
      <c r="Q375">
        <f t="shared" si="970"/>
        <v>24865751.380952436</v>
      </c>
      <c r="R375">
        <f t="shared" si="971"/>
        <v>-31970994.400883075</v>
      </c>
      <c r="S375">
        <f t="shared" si="972"/>
        <v>-319.70994400883075</v>
      </c>
      <c r="T375">
        <f t="shared" si="973"/>
        <v>-0.31970994400883074</v>
      </c>
    </row>
    <row r="376" spans="1:20" x14ac:dyDescent="0.25">
      <c r="A376" s="5">
        <v>44217</v>
      </c>
      <c r="B376">
        <v>2.674E-2</v>
      </c>
      <c r="C376">
        <v>2.8119999999999999E-2</v>
      </c>
      <c r="D376">
        <v>2.3279999999999999E-2</v>
      </c>
      <c r="E376">
        <v>2.3400000000000001E-2</v>
      </c>
      <c r="F376">
        <v>78797428.299999997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-0.95041322314049503</v>
      </c>
      <c r="Q376">
        <f t="shared" si="970"/>
        <v>-74890117.80578506</v>
      </c>
      <c r="R376">
        <f t="shared" si="971"/>
        <v>-56836745.781835511</v>
      </c>
      <c r="S376">
        <f t="shared" si="972"/>
        <v>-568.36745781835509</v>
      </c>
      <c r="T376">
        <f t="shared" si="973"/>
        <v>-0.56836745781835507</v>
      </c>
    </row>
    <row r="377" spans="1:20" x14ac:dyDescent="0.25">
      <c r="A377" s="5">
        <v>44216</v>
      </c>
      <c r="B377">
        <v>2.6880000000000001E-2</v>
      </c>
      <c r="C377">
        <v>2.7099999999999999E-2</v>
      </c>
      <c r="D377">
        <v>2.512E-2</v>
      </c>
      <c r="E377">
        <v>2.673E-2</v>
      </c>
      <c r="F377">
        <v>35071908.399999999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0.6262626262626273</v>
      </c>
      <c r="Q377">
        <f t="shared" si="970"/>
        <v>21964225.462626297</v>
      </c>
      <c r="R377">
        <f t="shared" si="971"/>
        <v>18053372.023949545</v>
      </c>
      <c r="S377">
        <f t="shared" si="972"/>
        <v>180.53372023949544</v>
      </c>
      <c r="T377">
        <f t="shared" si="973"/>
        <v>0.18053372023949543</v>
      </c>
    </row>
    <row r="378" spans="1:20" x14ac:dyDescent="0.25">
      <c r="A378" s="5">
        <v>44215</v>
      </c>
      <c r="B378">
        <v>2.7480000000000001E-2</v>
      </c>
      <c r="C378">
        <v>2.7959999999999999E-2</v>
      </c>
      <c r="D378">
        <v>2.656E-2</v>
      </c>
      <c r="E378">
        <v>2.6870000000000002E-2</v>
      </c>
      <c r="F378">
        <v>60245817.899999999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-0.55714285714285483</v>
      </c>
      <c r="Q378">
        <f t="shared" si="970"/>
        <v>-33565527.115714148</v>
      </c>
      <c r="R378">
        <f t="shared" si="971"/>
        <v>-3910853.4386767522</v>
      </c>
      <c r="S378">
        <f t="shared" si="972"/>
        <v>-39.108534386767523</v>
      </c>
      <c r="T378">
        <f t="shared" si="973"/>
        <v>-3.9108534386767521E-2</v>
      </c>
    </row>
    <row r="379" spans="1:20" x14ac:dyDescent="0.25">
      <c r="A379" s="5">
        <v>44214</v>
      </c>
      <c r="B379">
        <v>2.6419999999999999E-2</v>
      </c>
      <c r="C379">
        <v>2.8000000000000001E-2</v>
      </c>
      <c r="D379">
        <v>2.52E-2</v>
      </c>
      <c r="E379">
        <v>2.7529999999999999E-2</v>
      </c>
      <c r="F379">
        <v>74917907.900000006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0.66428571428571315</v>
      </c>
      <c r="Q379">
        <f t="shared" si="970"/>
        <v>49766895.962142773</v>
      </c>
      <c r="R379">
        <f t="shared" si="971"/>
        <v>29654673.677037396</v>
      </c>
      <c r="S379">
        <f t="shared" si="972"/>
        <v>296.54673677037397</v>
      </c>
      <c r="T379">
        <f t="shared" si="973"/>
        <v>0.29654673677037396</v>
      </c>
    </row>
    <row r="380" spans="1:20" x14ac:dyDescent="0.25">
      <c r="A380" s="5">
        <v>44213</v>
      </c>
      <c r="B380">
        <v>2.7210000000000002E-2</v>
      </c>
      <c r="C380">
        <v>2.7699999999999999E-2</v>
      </c>
      <c r="D380">
        <v>2.5600000000000001E-2</v>
      </c>
      <c r="E380">
        <v>2.6419999999999999E-2</v>
      </c>
      <c r="F380">
        <v>40853318.100000001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-0.21904761904762027</v>
      </c>
      <c r="Q380">
        <f t="shared" si="970"/>
        <v>-8948822.0600000508</v>
      </c>
      <c r="R380">
        <f t="shared" si="971"/>
        <v>-20112222.285105377</v>
      </c>
      <c r="S380">
        <f t="shared" si="972"/>
        <v>-201.12222285105378</v>
      </c>
      <c r="T380">
        <f t="shared" si="973"/>
        <v>-0.20112222285105377</v>
      </c>
    </row>
    <row r="381" spans="1:20" x14ac:dyDescent="0.25">
      <c r="A381" s="5">
        <v>44212</v>
      </c>
      <c r="B381">
        <v>2.7220000000000001E-2</v>
      </c>
      <c r="C381">
        <v>2.887E-2</v>
      </c>
      <c r="D381">
        <v>2.6089999999999999E-2</v>
      </c>
      <c r="E381">
        <v>2.7140000000000001E-2</v>
      </c>
      <c r="F381">
        <v>67676130.5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-0.24460431654676126</v>
      </c>
      <c r="Q381">
        <f t="shared" si="970"/>
        <v>-16553873.647481924</v>
      </c>
      <c r="R381">
        <f t="shared" si="971"/>
        <v>-11163400.225105325</v>
      </c>
      <c r="S381">
        <f t="shared" si="972"/>
        <v>-111.63400225105325</v>
      </c>
      <c r="T381">
        <f t="shared" si="973"/>
        <v>-0.11163400225105324</v>
      </c>
    </row>
    <row r="382" spans="1:20" x14ac:dyDescent="0.25">
      <c r="A382" s="5">
        <v>44211</v>
      </c>
      <c r="B382">
        <v>2.76E-2</v>
      </c>
      <c r="C382">
        <v>2.8000000000000001E-2</v>
      </c>
      <c r="D382">
        <v>2.4660000000000001E-2</v>
      </c>
      <c r="E382">
        <v>2.724E-2</v>
      </c>
      <c r="F382">
        <v>68525495.5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0.54491017964071831</v>
      </c>
      <c r="Q382">
        <f t="shared" si="970"/>
        <v>37340240.062874235</v>
      </c>
      <c r="R382">
        <f t="shared" si="971"/>
        <v>5390473.4223765992</v>
      </c>
      <c r="S382">
        <f t="shared" si="972"/>
        <v>53.904734223765992</v>
      </c>
      <c r="T382">
        <f t="shared" si="973"/>
        <v>5.3904734223765995E-2</v>
      </c>
    </row>
    <row r="383" spans="1:20" x14ac:dyDescent="0.25">
      <c r="A383" s="5">
        <v>44210</v>
      </c>
      <c r="B383">
        <v>2.7740000000000001E-2</v>
      </c>
      <c r="C383">
        <v>2.862E-2</v>
      </c>
      <c r="D383">
        <v>2.716E-2</v>
      </c>
      <c r="E383">
        <v>2.759E-2</v>
      </c>
      <c r="F383">
        <v>46143989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-0.41095890410958907</v>
      </c>
      <c r="Q383">
        <f t="shared" si="970"/>
        <v>-18963283.150684934</v>
      </c>
      <c r="R383">
        <f t="shared" si="971"/>
        <v>-31949766.640497636</v>
      </c>
      <c r="S383">
        <f t="shared" si="972"/>
        <v>-319.49766640497637</v>
      </c>
      <c r="T383">
        <f t="shared" si="973"/>
        <v>-0.31949766640497634</v>
      </c>
    </row>
    <row r="384" spans="1:20" x14ac:dyDescent="0.25">
      <c r="A384" s="5">
        <v>44209</v>
      </c>
      <c r="B384">
        <v>2.545E-2</v>
      </c>
      <c r="C384">
        <v>2.8039999999999999E-2</v>
      </c>
      <c r="D384">
        <v>2.4289999999999999E-2</v>
      </c>
      <c r="E384">
        <v>2.7740000000000001E-2</v>
      </c>
      <c r="F384">
        <v>59910639.200000003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0.84000000000000097</v>
      </c>
      <c r="Q384">
        <f t="shared" si="970"/>
        <v>50324936.928000063</v>
      </c>
      <c r="R384">
        <f t="shared" si="971"/>
        <v>-12986483.489812702</v>
      </c>
      <c r="S384">
        <f t="shared" si="972"/>
        <v>-129.86483489812701</v>
      </c>
      <c r="T384">
        <f t="shared" si="973"/>
        <v>-0.129864834898127</v>
      </c>
    </row>
    <row r="385" spans="1:20" x14ac:dyDescent="0.25">
      <c r="A385" s="5">
        <v>44208</v>
      </c>
      <c r="B385">
        <v>2.6089999999999999E-2</v>
      </c>
      <c r="C385">
        <v>2.8000000000000001E-2</v>
      </c>
      <c r="D385">
        <v>2.4039999999999999E-2</v>
      </c>
      <c r="E385">
        <v>2.5489999999999999E-2</v>
      </c>
      <c r="F385">
        <v>82905896.799999997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-0.26767676767676807</v>
      </c>
      <c r="Q385">
        <f t="shared" si="970"/>
        <v>-22191982.476767708</v>
      </c>
      <c r="R385">
        <f t="shared" si="971"/>
        <v>-63311420.417812765</v>
      </c>
      <c r="S385">
        <f t="shared" si="972"/>
        <v>-633.11420417812769</v>
      </c>
      <c r="T385">
        <f t="shared" si="973"/>
        <v>-0.63311420417812769</v>
      </c>
    </row>
    <row r="386" spans="1:20" x14ac:dyDescent="0.25">
      <c r="A386" s="5">
        <v>44207</v>
      </c>
      <c r="B386">
        <v>3.022E-2</v>
      </c>
      <c r="C386">
        <v>3.0329999999999999E-2</v>
      </c>
      <c r="D386">
        <v>2.129E-2</v>
      </c>
      <c r="E386">
        <v>2.613E-2</v>
      </c>
      <c r="F386">
        <v>165635886.09999999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7.0796460176991344E-2</v>
      </c>
      <c r="Q386">
        <f t="shared" si="970"/>
        <v>11726434.414159324</v>
      </c>
      <c r="R386">
        <f t="shared" si="971"/>
        <v>-41119437.941045061</v>
      </c>
      <c r="S386">
        <f t="shared" si="972"/>
        <v>-411.19437941045061</v>
      </c>
      <c r="T386">
        <f t="shared" si="973"/>
        <v>-0.41119437941045062</v>
      </c>
    </row>
    <row r="387" spans="1:20" x14ac:dyDescent="0.25">
      <c r="A387" s="5">
        <v>44206</v>
      </c>
      <c r="B387">
        <v>3.1390000000000001E-2</v>
      </c>
      <c r="C387">
        <v>3.3329999999999999E-2</v>
      </c>
      <c r="D387">
        <v>2.7380000000000002E-2</v>
      </c>
      <c r="E387">
        <v>3.022E-2</v>
      </c>
      <c r="F387">
        <v>114238002.59999999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-4.5378151260504124E-2</v>
      </c>
      <c r="Q387">
        <f t="shared" si="970"/>
        <v>-5183909.3616806632</v>
      </c>
      <c r="R387">
        <f t="shared" si="971"/>
        <v>-52845872.355204381</v>
      </c>
      <c r="S387">
        <f t="shared" si="972"/>
        <v>-528.45872355204381</v>
      </c>
      <c r="T387">
        <f t="shared" si="973"/>
        <v>-0.52845872355204382</v>
      </c>
    </row>
    <row r="388" spans="1:20" x14ac:dyDescent="0.25">
      <c r="A388" s="5">
        <v>44205</v>
      </c>
      <c r="B388">
        <v>3.0370000000000001E-2</v>
      </c>
      <c r="C388">
        <v>3.3390000000000003E-2</v>
      </c>
      <c r="D388">
        <v>2.9309999999999999E-2</v>
      </c>
      <c r="E388">
        <v>3.1390000000000001E-2</v>
      </c>
      <c r="F388">
        <v>114106717.7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1.9607843137254936E-2</v>
      </c>
      <c r="Q388">
        <f t="shared" si="970"/>
        <v>2237386.6215686314</v>
      </c>
      <c r="R388">
        <f t="shared" si="971"/>
        <v>-47661962.993523717</v>
      </c>
      <c r="S388">
        <f t="shared" si="972"/>
        <v>-476.61962993523719</v>
      </c>
      <c r="T388">
        <f t="shared" si="973"/>
        <v>-0.47661962993523721</v>
      </c>
    </row>
    <row r="389" spans="1:20" x14ac:dyDescent="0.25">
      <c r="A389" s="5">
        <v>44204</v>
      </c>
      <c r="B389">
        <v>3.1739999999999997E-2</v>
      </c>
      <c r="C389">
        <v>3.2460000000000003E-2</v>
      </c>
      <c r="D389">
        <v>2.8379999999999999E-2</v>
      </c>
      <c r="E389">
        <v>3.0360000000000002E-2</v>
      </c>
      <c r="F389">
        <v>115385060.40000001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-2.9411764705881978E-2</v>
      </c>
      <c r="Q389">
        <f t="shared" si="970"/>
        <v>-3393678.2470587804</v>
      </c>
      <c r="R389">
        <f t="shared" si="971"/>
        <v>-49899349.615092352</v>
      </c>
      <c r="S389">
        <f t="shared" si="972"/>
        <v>-498.99349615092353</v>
      </c>
      <c r="T389">
        <f t="shared" si="973"/>
        <v>-0.49899349615092353</v>
      </c>
    </row>
    <row r="390" spans="1:20" x14ac:dyDescent="0.25">
      <c r="A390" s="5">
        <v>44203</v>
      </c>
      <c r="B390">
        <v>2.9510000000000002E-2</v>
      </c>
      <c r="C390">
        <v>3.3099999999999997E-2</v>
      </c>
      <c r="D390">
        <v>2.8979999999999999E-2</v>
      </c>
      <c r="E390">
        <v>3.1730000000000001E-2</v>
      </c>
      <c r="F390">
        <v>145718271.09999999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0.33495145631068124</v>
      </c>
      <c r="Q390">
        <f t="shared" ref="Q390:Q453" si="975">F390*P390</f>
        <v>48808547.116019651</v>
      </c>
      <c r="R390">
        <f t="shared" ref="R390:R453" si="976">R391+Q390</f>
        <v>-46505671.368033573</v>
      </c>
      <c r="S390">
        <f t="shared" ref="S390:S453" si="977">R390/100000</f>
        <v>-465.05671368033575</v>
      </c>
      <c r="T390">
        <f t="shared" ref="T390:T453" si="978">S390/1000</f>
        <v>-0.46505671368033574</v>
      </c>
    </row>
    <row r="391" spans="1:20" x14ac:dyDescent="0.25">
      <c r="A391" s="5">
        <v>44202</v>
      </c>
      <c r="B391">
        <v>2.7990000000000001E-2</v>
      </c>
      <c r="C391">
        <v>3.0339999999999999E-2</v>
      </c>
      <c r="D391">
        <v>2.7050000000000001E-2</v>
      </c>
      <c r="E391">
        <v>2.9430000000000001E-2</v>
      </c>
      <c r="F391">
        <v>132324659.3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0.44680851063829896</v>
      </c>
      <c r="Q391">
        <f t="shared" si="975"/>
        <v>59123783.942553334</v>
      </c>
      <c r="R391">
        <f t="shared" si="976"/>
        <v>-95314218.484053224</v>
      </c>
      <c r="S391">
        <f t="shared" si="977"/>
        <v>-953.1421848405322</v>
      </c>
      <c r="T391">
        <f t="shared" si="978"/>
        <v>-0.95314218484053215</v>
      </c>
    </row>
    <row r="392" spans="1:20" x14ac:dyDescent="0.25">
      <c r="A392" s="5">
        <v>44201</v>
      </c>
      <c r="B392">
        <v>2.844E-2</v>
      </c>
      <c r="C392">
        <v>2.9680000000000002E-2</v>
      </c>
      <c r="D392">
        <v>2.623E-2</v>
      </c>
      <c r="E392">
        <v>2.7959999999999999E-2</v>
      </c>
      <c r="F392">
        <v>102710713.5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2.8985507246365562E-3</v>
      </c>
      <c r="Q392">
        <f t="shared" si="975"/>
        <v>297712.21304336272</v>
      </c>
      <c r="R392">
        <f t="shared" si="976"/>
        <v>-154438002.42660657</v>
      </c>
      <c r="S392">
        <f t="shared" si="977"/>
        <v>-1544.3800242660657</v>
      </c>
      <c r="T392">
        <f t="shared" si="978"/>
        <v>-1.5443800242660657</v>
      </c>
    </row>
    <row r="393" spans="1:20" x14ac:dyDescent="0.25">
      <c r="A393" s="5">
        <v>44200</v>
      </c>
      <c r="B393">
        <v>3.2500000000000001E-2</v>
      </c>
      <c r="C393">
        <v>3.2539999999999999E-2</v>
      </c>
      <c r="D393">
        <v>2.6030000000000001E-2</v>
      </c>
      <c r="E393">
        <v>2.844E-2</v>
      </c>
      <c r="F393">
        <v>163255682.5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-0.25960061443932425</v>
      </c>
      <c r="Q393">
        <f t="shared" si="975"/>
        <v>-42381275.487711236</v>
      </c>
      <c r="R393">
        <f t="shared" si="976"/>
        <v>-154735714.63964993</v>
      </c>
      <c r="S393">
        <f t="shared" si="977"/>
        <v>-1547.3571463964993</v>
      </c>
      <c r="T393">
        <f t="shared" si="978"/>
        <v>-1.5473571463964992</v>
      </c>
    </row>
    <row r="394" spans="1:20" x14ac:dyDescent="0.25">
      <c r="A394" s="5">
        <v>44199</v>
      </c>
      <c r="B394">
        <v>2.8639999999999999E-2</v>
      </c>
      <c r="C394">
        <v>3.4259999999999999E-2</v>
      </c>
      <c r="D394">
        <v>2.7990000000000001E-2</v>
      </c>
      <c r="E394">
        <v>3.2500000000000001E-2</v>
      </c>
      <c r="F394">
        <v>275033858.80000001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0.43859649122807071</v>
      </c>
      <c r="Q394">
        <f t="shared" si="975"/>
        <v>120628885.43859664</v>
      </c>
      <c r="R394">
        <f t="shared" si="976"/>
        <v>-112354439.15193868</v>
      </c>
      <c r="S394">
        <f t="shared" si="977"/>
        <v>-1123.5443915193869</v>
      </c>
      <c r="T394">
        <f t="shared" si="978"/>
        <v>-1.1235443915193868</v>
      </c>
    </row>
    <row r="395" spans="1:20" x14ac:dyDescent="0.25">
      <c r="A395" s="5">
        <v>44198</v>
      </c>
      <c r="B395">
        <v>2.6530000000000001E-2</v>
      </c>
      <c r="C395">
        <v>3.1390000000000001E-2</v>
      </c>
      <c r="D395">
        <v>2.41E-2</v>
      </c>
      <c r="E395">
        <v>2.8629999999999999E-2</v>
      </c>
      <c r="F395">
        <v>171370330.80000001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0.24279835390946461</v>
      </c>
      <c r="Q395">
        <f t="shared" si="975"/>
        <v>41608434.227160424</v>
      </c>
      <c r="R395">
        <f t="shared" si="976"/>
        <v>-232983324.59053531</v>
      </c>
      <c r="S395">
        <f t="shared" si="977"/>
        <v>-2329.8332459053531</v>
      </c>
      <c r="T395">
        <f t="shared" si="978"/>
        <v>-2.3298332459053532</v>
      </c>
    </row>
    <row r="396" spans="1:20" x14ac:dyDescent="0.25">
      <c r="A396" s="5">
        <v>44197</v>
      </c>
      <c r="B396">
        <v>2.4899999999999999E-2</v>
      </c>
      <c r="C396">
        <v>2.7220000000000001E-2</v>
      </c>
      <c r="D396">
        <v>2.4660000000000001E-2</v>
      </c>
      <c r="E396">
        <v>2.6450000000000001E-2</v>
      </c>
      <c r="F396">
        <v>69784702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0.39843750000000006</v>
      </c>
      <c r="Q396">
        <f t="shared" si="975"/>
        <v>27804842.203125004</v>
      </c>
      <c r="R396">
        <f t="shared" si="976"/>
        <v>-274591758.81769574</v>
      </c>
      <c r="S396">
        <f t="shared" si="977"/>
        <v>-2745.9175881769575</v>
      </c>
      <c r="T396">
        <f t="shared" si="978"/>
        <v>-2.7459175881769573</v>
      </c>
    </row>
    <row r="397" spans="1:20" x14ac:dyDescent="0.25">
      <c r="A397" s="5">
        <v>44196</v>
      </c>
      <c r="B397">
        <v>2.5319999999999999E-2</v>
      </c>
      <c r="C397">
        <v>2.5590000000000002E-2</v>
      </c>
      <c r="D397">
        <v>2.41E-2</v>
      </c>
      <c r="E397">
        <v>2.4930000000000001E-2</v>
      </c>
      <c r="F397">
        <v>76777448.799999997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0.1140939597315435</v>
      </c>
      <c r="Q397">
        <f t="shared" si="975"/>
        <v>8759843.1516778432</v>
      </c>
      <c r="R397">
        <f t="shared" si="976"/>
        <v>-302396601.02082074</v>
      </c>
      <c r="S397">
        <f t="shared" si="977"/>
        <v>-3023.9660102082075</v>
      </c>
      <c r="T397">
        <f t="shared" si="978"/>
        <v>-3.0239660102082073</v>
      </c>
    </row>
    <row r="398" spans="1:20" x14ac:dyDescent="0.25">
      <c r="A398" s="5">
        <v>44195</v>
      </c>
      <c r="B398">
        <v>2.53E-2</v>
      </c>
      <c r="C398">
        <v>2.988E-2</v>
      </c>
      <c r="D398">
        <v>2.5000000000000001E-2</v>
      </c>
      <c r="E398">
        <v>2.5360000000000001E-2</v>
      </c>
      <c r="F398">
        <v>91367055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-0.8524590163934429</v>
      </c>
      <c r="Q398">
        <f t="shared" si="975"/>
        <v>-77886669.836065605</v>
      </c>
      <c r="R398">
        <f t="shared" si="976"/>
        <v>-311156444.17249858</v>
      </c>
      <c r="S398">
        <f t="shared" si="977"/>
        <v>-3111.564441724986</v>
      </c>
      <c r="T398">
        <f t="shared" si="978"/>
        <v>-3.1115644417249859</v>
      </c>
    </row>
    <row r="399" spans="1:20" x14ac:dyDescent="0.25">
      <c r="A399" s="5">
        <v>44194</v>
      </c>
      <c r="B399">
        <v>2.5440000000000001E-2</v>
      </c>
      <c r="C399">
        <v>2.5899999999999999E-2</v>
      </c>
      <c r="D399">
        <v>2.383E-2</v>
      </c>
      <c r="E399">
        <v>2.53E-2</v>
      </c>
      <c r="F399">
        <v>92323093.099999994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0.42028985507246364</v>
      </c>
      <c r="Q399">
        <f t="shared" si="975"/>
        <v>38802459.418840565</v>
      </c>
      <c r="R399">
        <f t="shared" si="976"/>
        <v>-233269774.33643296</v>
      </c>
      <c r="S399">
        <f t="shared" si="977"/>
        <v>-2332.6977433643297</v>
      </c>
      <c r="T399">
        <f t="shared" si="978"/>
        <v>-2.3326977433643297</v>
      </c>
    </row>
    <row r="400" spans="1:20" x14ac:dyDescent="0.25">
      <c r="A400" s="5">
        <v>44193</v>
      </c>
      <c r="B400">
        <v>2.657E-2</v>
      </c>
      <c r="C400">
        <v>2.8060000000000002E-2</v>
      </c>
      <c r="D400">
        <v>2.5180000000000001E-2</v>
      </c>
      <c r="E400">
        <v>2.5409999999999999E-2</v>
      </c>
      <c r="F400">
        <v>117746945.8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-0.84027777777777946</v>
      </c>
      <c r="Q400">
        <f t="shared" si="975"/>
        <v>-98940141.956944644</v>
      </c>
      <c r="R400">
        <f t="shared" si="976"/>
        <v>-272072233.75527352</v>
      </c>
      <c r="S400">
        <f t="shared" si="977"/>
        <v>-2720.7223375527351</v>
      </c>
      <c r="T400">
        <f t="shared" si="978"/>
        <v>-2.720722337552735</v>
      </c>
    </row>
    <row r="401" spans="1:20" x14ac:dyDescent="0.25">
      <c r="A401" s="5">
        <v>44192</v>
      </c>
      <c r="B401">
        <v>2.589E-2</v>
      </c>
      <c r="C401">
        <v>3.2539999999999999E-2</v>
      </c>
      <c r="D401">
        <v>2.4979999999999999E-2</v>
      </c>
      <c r="E401">
        <v>2.6550000000000001E-2</v>
      </c>
      <c r="F401">
        <v>441698689.60000002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-0.58465608465608421</v>
      </c>
      <c r="Q401">
        <f t="shared" si="975"/>
        <v>-258241826.45925906</v>
      </c>
      <c r="R401">
        <f t="shared" si="976"/>
        <v>-173132091.79832888</v>
      </c>
      <c r="S401">
        <f t="shared" si="977"/>
        <v>-1731.3209179832888</v>
      </c>
      <c r="T401">
        <f t="shared" si="978"/>
        <v>-1.7313209179832889</v>
      </c>
    </row>
    <row r="402" spans="1:20" x14ac:dyDescent="0.25">
      <c r="A402" s="5">
        <v>44191</v>
      </c>
      <c r="B402">
        <v>2.0299999999999999E-2</v>
      </c>
      <c r="C402">
        <v>2.9010000000000001E-2</v>
      </c>
      <c r="D402">
        <v>1.9879999999999998E-2</v>
      </c>
      <c r="E402">
        <v>2.58E-2</v>
      </c>
      <c r="F402">
        <v>421994846.39999998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0.2968236582694414</v>
      </c>
      <c r="Q402">
        <f t="shared" si="975"/>
        <v>125258054.079299</v>
      </c>
      <c r="R402">
        <f t="shared" si="976"/>
        <v>85109734.660930187</v>
      </c>
      <c r="S402">
        <f t="shared" si="977"/>
        <v>851.09734660930189</v>
      </c>
      <c r="T402">
        <f t="shared" si="978"/>
        <v>0.85109734660930192</v>
      </c>
    </row>
    <row r="403" spans="1:20" x14ac:dyDescent="0.25">
      <c r="A403" s="5">
        <v>44190</v>
      </c>
      <c r="B403">
        <v>2.0109999999999999E-2</v>
      </c>
      <c r="C403">
        <v>2.1610000000000001E-2</v>
      </c>
      <c r="D403">
        <v>1.959E-2</v>
      </c>
      <c r="E403">
        <v>2.0299999999999999E-2</v>
      </c>
      <c r="F403">
        <v>41898900.200000003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-0.29702970297029851</v>
      </c>
      <c r="Q403">
        <f t="shared" si="975"/>
        <v>-12445217.881188182</v>
      </c>
      <c r="R403">
        <f t="shared" si="976"/>
        <v>-40148319.418368816</v>
      </c>
      <c r="S403">
        <f t="shared" si="977"/>
        <v>-401.48319418368817</v>
      </c>
      <c r="T403">
        <f t="shared" si="978"/>
        <v>-0.40148319418368816</v>
      </c>
    </row>
    <row r="404" spans="1:20" x14ac:dyDescent="0.25">
      <c r="A404" s="5">
        <v>44189</v>
      </c>
      <c r="B404">
        <v>1.866E-2</v>
      </c>
      <c r="C404">
        <v>2.0570000000000001E-2</v>
      </c>
      <c r="D404">
        <v>1.8100000000000002E-2</v>
      </c>
      <c r="E404">
        <v>2.0109999999999999E-2</v>
      </c>
      <c r="F404">
        <v>39424645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0.6275303643724679</v>
      </c>
      <c r="Q404">
        <f t="shared" si="975"/>
        <v>24740161.842105195</v>
      </c>
      <c r="R404">
        <f t="shared" si="976"/>
        <v>-27703101.537180632</v>
      </c>
      <c r="S404">
        <f t="shared" si="977"/>
        <v>-277.03101537180635</v>
      </c>
      <c r="T404">
        <f t="shared" si="978"/>
        <v>-0.27703101537180636</v>
      </c>
    </row>
    <row r="405" spans="1:20" x14ac:dyDescent="0.25">
      <c r="A405" s="5">
        <v>44188</v>
      </c>
      <c r="B405">
        <v>2.1930000000000002E-2</v>
      </c>
      <c r="C405">
        <v>2.2450000000000001E-2</v>
      </c>
      <c r="D405">
        <v>1.7170000000000001E-2</v>
      </c>
      <c r="E405">
        <v>1.866E-2</v>
      </c>
      <c r="F405">
        <v>80861691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-0.43560606060606127</v>
      </c>
      <c r="Q405">
        <f t="shared" si="975"/>
        <v>-35223842.670454599</v>
      </c>
      <c r="R405">
        <f t="shared" si="976"/>
        <v>-52443263.379285827</v>
      </c>
      <c r="S405">
        <f t="shared" si="977"/>
        <v>-524.43263379285827</v>
      </c>
      <c r="T405">
        <f t="shared" si="978"/>
        <v>-0.52443263379285832</v>
      </c>
    </row>
    <row r="406" spans="1:20" x14ac:dyDescent="0.25">
      <c r="A406" s="5">
        <v>44187</v>
      </c>
      <c r="B406">
        <v>2.1319999999999999E-2</v>
      </c>
      <c r="C406">
        <v>2.2530000000000001E-2</v>
      </c>
      <c r="D406">
        <v>2.0629999999999999E-2</v>
      </c>
      <c r="E406">
        <v>2.1919999999999999E-2</v>
      </c>
      <c r="F406">
        <v>32716287.300000001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0.35789473684210299</v>
      </c>
      <c r="Q406">
        <f t="shared" si="975"/>
        <v>11708987.033684136</v>
      </c>
      <c r="R406">
        <f t="shared" si="976"/>
        <v>-17219420.708831228</v>
      </c>
      <c r="S406">
        <f t="shared" si="977"/>
        <v>-172.19420708831228</v>
      </c>
      <c r="T406">
        <f t="shared" si="978"/>
        <v>-0.17219420708831229</v>
      </c>
    </row>
    <row r="407" spans="1:20" x14ac:dyDescent="0.25">
      <c r="A407" s="5">
        <v>44186</v>
      </c>
      <c r="B407">
        <v>2.2210000000000001E-2</v>
      </c>
      <c r="C407">
        <v>2.24E-2</v>
      </c>
      <c r="D407">
        <v>2.06E-2</v>
      </c>
      <c r="E407">
        <v>2.128E-2</v>
      </c>
      <c r="F407">
        <v>28664047.100000001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-0.24444444444444419</v>
      </c>
      <c r="Q407">
        <f t="shared" si="975"/>
        <v>-7006767.0688888822</v>
      </c>
      <c r="R407">
        <f t="shared" si="976"/>
        <v>-28928407.742515363</v>
      </c>
      <c r="S407">
        <f t="shared" si="977"/>
        <v>-289.28407742515361</v>
      </c>
      <c r="T407">
        <f t="shared" si="978"/>
        <v>-0.28928407742515361</v>
      </c>
    </row>
    <row r="408" spans="1:20" x14ac:dyDescent="0.25">
      <c r="A408" s="5">
        <v>44185</v>
      </c>
      <c r="B408">
        <v>2.308E-2</v>
      </c>
      <c r="C408">
        <v>2.3699999999999999E-2</v>
      </c>
      <c r="D408">
        <v>2.1520000000000001E-2</v>
      </c>
      <c r="E408">
        <v>2.223E-2</v>
      </c>
      <c r="F408">
        <v>47117346.799999997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-0.34862385321100964</v>
      </c>
      <c r="Q408">
        <f t="shared" si="975"/>
        <v>-16426230.994495433</v>
      </c>
      <c r="R408">
        <f t="shared" si="976"/>
        <v>-21921640.673626479</v>
      </c>
      <c r="S408">
        <f t="shared" si="977"/>
        <v>-219.21640673626479</v>
      </c>
      <c r="T408">
        <f t="shared" si="978"/>
        <v>-0.21921640673626477</v>
      </c>
    </row>
    <row r="409" spans="1:20" x14ac:dyDescent="0.25">
      <c r="A409" s="5">
        <v>44184</v>
      </c>
      <c r="B409">
        <v>2.1770000000000001E-2</v>
      </c>
      <c r="C409">
        <v>2.3789999999999999E-2</v>
      </c>
      <c r="D409">
        <v>2.1579999999999998E-2</v>
      </c>
      <c r="E409">
        <v>2.2950000000000002E-2</v>
      </c>
      <c r="F409">
        <v>59191045.799999997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0.23981900452488966</v>
      </c>
      <c r="Q409">
        <f t="shared" si="975"/>
        <v>14195137.680543151</v>
      </c>
      <c r="R409">
        <f t="shared" si="976"/>
        <v>-5495409.6791310459</v>
      </c>
      <c r="S409">
        <f t="shared" si="977"/>
        <v>-54.954096791310462</v>
      </c>
      <c r="T409">
        <f t="shared" si="978"/>
        <v>-5.4954096791310462E-2</v>
      </c>
    </row>
    <row r="410" spans="1:20" x14ac:dyDescent="0.25">
      <c r="A410" s="5">
        <v>44183</v>
      </c>
      <c r="B410">
        <v>2.155E-2</v>
      </c>
      <c r="C410">
        <v>2.1989999999999999E-2</v>
      </c>
      <c r="D410">
        <v>2.0879999999999999E-2</v>
      </c>
      <c r="E410">
        <v>2.1919999999999999E-2</v>
      </c>
      <c r="F410">
        <v>35385908.299999997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0.87387387387387272</v>
      </c>
      <c r="Q410">
        <f t="shared" si="975"/>
        <v>30922820.766666625</v>
      </c>
      <c r="R410">
        <f t="shared" si="976"/>
        <v>-19690547.359674197</v>
      </c>
      <c r="S410">
        <f t="shared" si="977"/>
        <v>-196.90547359674196</v>
      </c>
      <c r="T410">
        <f t="shared" si="978"/>
        <v>-0.19690547359674196</v>
      </c>
    </row>
    <row r="411" spans="1:20" x14ac:dyDescent="0.25">
      <c r="A411" s="5">
        <v>44182</v>
      </c>
      <c r="B411">
        <v>2.1600000000000001E-2</v>
      </c>
      <c r="C411">
        <v>2.3269999999999999E-2</v>
      </c>
      <c r="D411">
        <v>2.0830000000000001E-2</v>
      </c>
      <c r="E411">
        <v>2.1559999999999999E-2</v>
      </c>
      <c r="F411">
        <v>60911488.5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-0.40163934426229614</v>
      </c>
      <c r="Q411">
        <f t="shared" si="975"/>
        <v>-24464450.299180392</v>
      </c>
      <c r="R411">
        <f t="shared" si="976"/>
        <v>-50613368.126340821</v>
      </c>
      <c r="S411">
        <f t="shared" si="977"/>
        <v>-506.13368126340822</v>
      </c>
      <c r="T411">
        <f t="shared" si="978"/>
        <v>-0.50613368126340819</v>
      </c>
    </row>
    <row r="412" spans="1:20" x14ac:dyDescent="0.25">
      <c r="A412" s="5">
        <v>44181</v>
      </c>
      <c r="B412">
        <v>1.9949999999999999E-2</v>
      </c>
      <c r="C412">
        <v>2.2239999999999999E-2</v>
      </c>
      <c r="D412">
        <v>1.9259999999999999E-2</v>
      </c>
      <c r="E412">
        <v>2.1590000000000002E-2</v>
      </c>
      <c r="F412">
        <v>62027413.5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0.56375838926174648</v>
      </c>
      <c r="Q412">
        <f t="shared" si="975"/>
        <v>34968474.724832311</v>
      </c>
      <c r="R412">
        <f t="shared" si="976"/>
        <v>-26148917.827160433</v>
      </c>
      <c r="S412">
        <f t="shared" si="977"/>
        <v>-261.48917827160432</v>
      </c>
      <c r="T412">
        <f t="shared" si="978"/>
        <v>-0.26148917827160434</v>
      </c>
    </row>
    <row r="413" spans="1:20" x14ac:dyDescent="0.25">
      <c r="A413" s="5">
        <v>44180</v>
      </c>
      <c r="B413">
        <v>1.9730000000000001E-2</v>
      </c>
      <c r="C413">
        <v>2.0539999999999999E-2</v>
      </c>
      <c r="D413">
        <v>1.968E-2</v>
      </c>
      <c r="E413">
        <v>1.992E-2</v>
      </c>
      <c r="F413">
        <v>19742874.300000001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-0.44186046511627736</v>
      </c>
      <c r="Q413">
        <f t="shared" si="975"/>
        <v>-8723595.6209301986</v>
      </c>
      <c r="R413">
        <f t="shared" si="976"/>
        <v>-61117392.551992744</v>
      </c>
      <c r="S413">
        <f t="shared" si="977"/>
        <v>-611.17392551992748</v>
      </c>
      <c r="T413">
        <f t="shared" si="978"/>
        <v>-0.61117392551992744</v>
      </c>
    </row>
    <row r="414" spans="1:20" x14ac:dyDescent="0.25">
      <c r="A414" s="5">
        <v>44179</v>
      </c>
      <c r="B414">
        <v>1.9890000000000001E-2</v>
      </c>
      <c r="C414">
        <v>2.0199999999999999E-2</v>
      </c>
      <c r="D414">
        <v>1.9480000000000001E-2</v>
      </c>
      <c r="E414">
        <v>1.9740000000000001E-2</v>
      </c>
      <c r="F414">
        <v>20720939.199999999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-0.27777777777777668</v>
      </c>
      <c r="Q414">
        <f t="shared" si="975"/>
        <v>-5755816.4444444217</v>
      </c>
      <c r="R414">
        <f t="shared" si="976"/>
        <v>-52393796.931062549</v>
      </c>
      <c r="S414">
        <f t="shared" si="977"/>
        <v>-523.93796931062548</v>
      </c>
      <c r="T414">
        <f t="shared" si="978"/>
        <v>-0.52393796931062553</v>
      </c>
    </row>
    <row r="415" spans="1:20" x14ac:dyDescent="0.25">
      <c r="A415" s="5">
        <v>44178</v>
      </c>
      <c r="B415">
        <v>1.9900000000000001E-2</v>
      </c>
      <c r="C415">
        <v>2.053E-2</v>
      </c>
      <c r="D415">
        <v>1.9619999999999999E-2</v>
      </c>
      <c r="E415">
        <v>1.9800000000000002E-2</v>
      </c>
      <c r="F415">
        <v>20330806.800000001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-0.60439560439559814</v>
      </c>
      <c r="Q415">
        <f t="shared" si="975"/>
        <v>-12287850.263736136</v>
      </c>
      <c r="R415">
        <f t="shared" si="976"/>
        <v>-46637980.486618131</v>
      </c>
      <c r="S415">
        <f t="shared" si="977"/>
        <v>-466.3798048661813</v>
      </c>
      <c r="T415">
        <f t="shared" si="978"/>
        <v>-0.4663798048661813</v>
      </c>
    </row>
    <row r="416" spans="1:20" x14ac:dyDescent="0.25">
      <c r="A416" s="5">
        <v>44177</v>
      </c>
      <c r="B416">
        <v>1.9359999999999999E-2</v>
      </c>
      <c r="C416">
        <v>2.0199999999999999E-2</v>
      </c>
      <c r="D416">
        <v>1.9009999999999999E-2</v>
      </c>
      <c r="E416">
        <v>1.9900000000000001E-2</v>
      </c>
      <c r="F416">
        <v>18508577.100000001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0.49579831932773416</v>
      </c>
      <c r="Q416">
        <f t="shared" si="975"/>
        <v>9176521.4193277881</v>
      </c>
      <c r="R416">
        <f t="shared" si="976"/>
        <v>-34350130.222881995</v>
      </c>
      <c r="S416">
        <f t="shared" si="977"/>
        <v>-343.50130222881995</v>
      </c>
      <c r="T416">
        <f t="shared" si="978"/>
        <v>-0.34350130222881997</v>
      </c>
    </row>
    <row r="417" spans="1:20" x14ac:dyDescent="0.25">
      <c r="A417" s="5">
        <v>44176</v>
      </c>
      <c r="B417">
        <v>1.9800000000000002E-2</v>
      </c>
      <c r="C417">
        <v>2.0209999999999999E-2</v>
      </c>
      <c r="D417">
        <v>1.8749999999999999E-2</v>
      </c>
      <c r="E417">
        <v>1.942E-2</v>
      </c>
      <c r="F417">
        <v>29562462.699999999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-8.219178082191686E-2</v>
      </c>
      <c r="Q417">
        <f t="shared" si="975"/>
        <v>-2429791.4547944926</v>
      </c>
      <c r="R417">
        <f t="shared" si="976"/>
        <v>-43526651.642209783</v>
      </c>
      <c r="S417">
        <f t="shared" si="977"/>
        <v>-435.26651642209782</v>
      </c>
      <c r="T417">
        <f t="shared" si="978"/>
        <v>-0.43526651642209785</v>
      </c>
    </row>
    <row r="418" spans="1:20" x14ac:dyDescent="0.25">
      <c r="A418" s="5">
        <v>44175</v>
      </c>
      <c r="B418">
        <v>2.0320000000000001E-2</v>
      </c>
      <c r="C418">
        <v>2.0709999999999999E-2</v>
      </c>
      <c r="D418">
        <v>1.9439999999999999E-2</v>
      </c>
      <c r="E418">
        <v>1.9769999999999999E-2</v>
      </c>
      <c r="F418">
        <v>21566229.399999999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-0.48031496062992068</v>
      </c>
      <c r="Q418">
        <f t="shared" si="975"/>
        <v>-10358582.625196837</v>
      </c>
      <c r="R418">
        <f t="shared" si="976"/>
        <v>-41096860.187415287</v>
      </c>
      <c r="S418">
        <f t="shared" si="977"/>
        <v>-410.96860187415285</v>
      </c>
      <c r="T418">
        <f t="shared" si="978"/>
        <v>-0.41096860187415285</v>
      </c>
    </row>
    <row r="419" spans="1:20" x14ac:dyDescent="0.25">
      <c r="A419" s="5">
        <v>44174</v>
      </c>
      <c r="B419">
        <v>1.9709999999999998E-2</v>
      </c>
      <c r="C419">
        <v>2.0650000000000002E-2</v>
      </c>
      <c r="D419">
        <v>1.9310000000000001E-2</v>
      </c>
      <c r="E419">
        <v>2.034E-2</v>
      </c>
      <c r="F419">
        <v>42012530.700000003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0.53731343283581934</v>
      </c>
      <c r="Q419">
        <f t="shared" si="975"/>
        <v>22573897.09253725</v>
      </c>
      <c r="R419">
        <f t="shared" si="976"/>
        <v>-30738277.562218454</v>
      </c>
      <c r="S419">
        <f t="shared" si="977"/>
        <v>-307.38277562218451</v>
      </c>
      <c r="T419">
        <f t="shared" si="978"/>
        <v>-0.30738277562218452</v>
      </c>
    </row>
    <row r="420" spans="1:20" x14ac:dyDescent="0.25">
      <c r="A420" s="5">
        <v>44173</v>
      </c>
      <c r="B420">
        <v>2.129E-2</v>
      </c>
      <c r="C420">
        <v>2.1389999999999999E-2</v>
      </c>
      <c r="D420">
        <v>1.9480000000000001E-2</v>
      </c>
      <c r="E420">
        <v>1.9720000000000001E-2</v>
      </c>
      <c r="F420">
        <v>49200149.399999999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-0.74869109947643897</v>
      </c>
      <c r="Q420">
        <f t="shared" si="975"/>
        <v>-36835713.948691055</v>
      </c>
      <c r="R420">
        <f t="shared" si="976"/>
        <v>-53312174.654755704</v>
      </c>
      <c r="S420">
        <f t="shared" si="977"/>
        <v>-533.121746547557</v>
      </c>
      <c r="T420">
        <f t="shared" si="978"/>
        <v>-0.53312174654755695</v>
      </c>
    </row>
    <row r="421" spans="1:20" x14ac:dyDescent="0.25">
      <c r="A421" s="5">
        <v>44172</v>
      </c>
      <c r="B421">
        <v>2.171E-2</v>
      </c>
      <c r="C421">
        <v>2.215E-2</v>
      </c>
      <c r="D421">
        <v>2.0969999999999999E-2</v>
      </c>
      <c r="E421">
        <v>2.138E-2</v>
      </c>
      <c r="F421">
        <v>31009291.100000001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-0.30508474576271105</v>
      </c>
      <c r="Q421">
        <f t="shared" si="975"/>
        <v>-9460461.6915253997</v>
      </c>
      <c r="R421">
        <f t="shared" si="976"/>
        <v>-16476460.706064647</v>
      </c>
      <c r="S421">
        <f t="shared" si="977"/>
        <v>-164.76460706064648</v>
      </c>
      <c r="T421">
        <f t="shared" si="978"/>
        <v>-0.1647646070606465</v>
      </c>
    </row>
    <row r="422" spans="1:20" x14ac:dyDescent="0.25">
      <c r="A422" s="5">
        <v>44171</v>
      </c>
      <c r="B422">
        <v>2.2259999999999999E-2</v>
      </c>
      <c r="C422">
        <v>2.247E-2</v>
      </c>
      <c r="D422">
        <v>2.1010000000000001E-2</v>
      </c>
      <c r="E422">
        <v>2.172E-2</v>
      </c>
      <c r="F422">
        <v>24940960.600000001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-2.7397260273973871E-2</v>
      </c>
      <c r="Q422">
        <f t="shared" si="975"/>
        <v>-683313.98904112761</v>
      </c>
      <c r="R422">
        <f t="shared" si="976"/>
        <v>-7015999.0145392474</v>
      </c>
      <c r="S422">
        <f t="shared" si="977"/>
        <v>-70.15999014539247</v>
      </c>
      <c r="T422">
        <f t="shared" si="978"/>
        <v>-7.0159990145392467E-2</v>
      </c>
    </row>
    <row r="423" spans="1:20" x14ac:dyDescent="0.25">
      <c r="A423" s="5">
        <v>44170</v>
      </c>
      <c r="B423">
        <v>2.145E-2</v>
      </c>
      <c r="C423">
        <v>2.2790000000000001E-2</v>
      </c>
      <c r="D423">
        <v>2.1250000000000002E-2</v>
      </c>
      <c r="E423">
        <v>2.2210000000000001E-2</v>
      </c>
      <c r="F423">
        <v>14466344.199999999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0.24675324675324575</v>
      </c>
      <c r="Q423">
        <f t="shared" si="975"/>
        <v>3569617.3999999855</v>
      </c>
      <c r="R423">
        <f t="shared" si="976"/>
        <v>-6332685.0254981201</v>
      </c>
      <c r="S423">
        <f t="shared" si="977"/>
        <v>-63.326850254981203</v>
      </c>
      <c r="T423">
        <f t="shared" si="978"/>
        <v>-6.3326850254981207E-2</v>
      </c>
    </row>
    <row r="424" spans="1:20" x14ac:dyDescent="0.25">
      <c r="A424" s="5">
        <v>44169</v>
      </c>
      <c r="B424">
        <v>2.3120000000000002E-2</v>
      </c>
      <c r="C424">
        <v>2.3900000000000001E-2</v>
      </c>
      <c r="D424">
        <v>2.121E-2</v>
      </c>
      <c r="E424">
        <v>2.145E-2</v>
      </c>
      <c r="F424">
        <v>38137847.799999997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-0.82156133828996247</v>
      </c>
      <c r="Q424">
        <f t="shared" si="975"/>
        <v>-31332581.2780669</v>
      </c>
      <c r="R424">
        <f t="shared" si="976"/>
        <v>-9902302.4254981056</v>
      </c>
      <c r="S424">
        <f t="shared" si="977"/>
        <v>-99.023024254981053</v>
      </c>
      <c r="T424">
        <f t="shared" si="978"/>
        <v>-9.9023024254981051E-2</v>
      </c>
    </row>
    <row r="425" spans="1:20" x14ac:dyDescent="0.25">
      <c r="A425" s="5">
        <v>44168</v>
      </c>
      <c r="B425">
        <v>2.3429999999999999E-2</v>
      </c>
      <c r="C425">
        <v>2.402E-2</v>
      </c>
      <c r="D425">
        <v>2.2780000000000002E-2</v>
      </c>
      <c r="E425">
        <v>2.316E-2</v>
      </c>
      <c r="F425">
        <v>27403801.399999999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-0.38709677419354999</v>
      </c>
      <c r="Q425">
        <f t="shared" si="975"/>
        <v>-10607923.122580688</v>
      </c>
      <c r="R425">
        <f t="shared" si="976"/>
        <v>21430278.852568794</v>
      </c>
      <c r="S425">
        <f t="shared" si="977"/>
        <v>214.30278852568793</v>
      </c>
      <c r="T425">
        <f t="shared" si="978"/>
        <v>0.21430278852568793</v>
      </c>
    </row>
    <row r="426" spans="1:20" x14ac:dyDescent="0.25">
      <c r="A426" s="5">
        <v>44167</v>
      </c>
      <c r="B426">
        <v>2.2700000000000001E-2</v>
      </c>
      <c r="C426">
        <v>2.4129999999999999E-2</v>
      </c>
      <c r="D426">
        <v>2.24E-2</v>
      </c>
      <c r="E426">
        <v>2.3439999999999999E-2</v>
      </c>
      <c r="F426">
        <v>23712981.399999999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0.2023121387283236</v>
      </c>
      <c r="Q426">
        <f t="shared" si="975"/>
        <v>4797423.9826589571</v>
      </c>
      <c r="R426">
        <f t="shared" si="976"/>
        <v>32038201.975149482</v>
      </c>
      <c r="S426">
        <f t="shared" si="977"/>
        <v>320.38201975149485</v>
      </c>
      <c r="T426">
        <f t="shared" si="978"/>
        <v>0.32038201975149483</v>
      </c>
    </row>
    <row r="427" spans="1:20" x14ac:dyDescent="0.25">
      <c r="A427" s="5">
        <v>44166</v>
      </c>
      <c r="B427">
        <v>2.383E-2</v>
      </c>
      <c r="C427">
        <v>2.4250000000000001E-2</v>
      </c>
      <c r="D427">
        <v>2.1999999999999999E-2</v>
      </c>
      <c r="E427">
        <v>2.2720000000000001E-2</v>
      </c>
      <c r="F427">
        <v>50871323.299999997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-0.35999999999999888</v>
      </c>
      <c r="Q427">
        <f t="shared" si="975"/>
        <v>-18313676.387999941</v>
      </c>
      <c r="R427">
        <f t="shared" si="976"/>
        <v>27240777.992490526</v>
      </c>
      <c r="S427">
        <f t="shared" si="977"/>
        <v>272.40777992490524</v>
      </c>
      <c r="T427">
        <f t="shared" si="978"/>
        <v>0.27240777992490522</v>
      </c>
    </row>
    <row r="428" spans="1:20" x14ac:dyDescent="0.25">
      <c r="A428" s="5">
        <v>44165</v>
      </c>
      <c r="B428">
        <v>2.3810000000000001E-2</v>
      </c>
      <c r="C428">
        <v>2.4799999999999999E-2</v>
      </c>
      <c r="D428">
        <v>2.3550000000000001E-2</v>
      </c>
      <c r="E428">
        <v>2.384E-2</v>
      </c>
      <c r="F428">
        <v>40566416.799999997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-0.53600000000000136</v>
      </c>
      <c r="Q428">
        <f t="shared" si="975"/>
        <v>-21743599.404800054</v>
      </c>
      <c r="R428">
        <f t="shared" si="976"/>
        <v>45554454.380490467</v>
      </c>
      <c r="S428">
        <f t="shared" si="977"/>
        <v>455.54454380490466</v>
      </c>
      <c r="T428">
        <f t="shared" si="978"/>
        <v>0.45554454380490467</v>
      </c>
    </row>
    <row r="429" spans="1:20" x14ac:dyDescent="0.25">
      <c r="A429" s="5">
        <v>44164</v>
      </c>
      <c r="B429">
        <v>2.2700000000000001E-2</v>
      </c>
      <c r="C429">
        <v>2.4199999999999999E-2</v>
      </c>
      <c r="D429">
        <v>2.198E-2</v>
      </c>
      <c r="E429">
        <v>2.3699999999999999E-2</v>
      </c>
      <c r="F429">
        <v>35089942.899999999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0.54954954954954915</v>
      </c>
      <c r="Q429">
        <f t="shared" si="975"/>
        <v>19283662.314414401</v>
      </c>
      <c r="R429">
        <f t="shared" si="976"/>
        <v>67298053.785290524</v>
      </c>
      <c r="S429">
        <f t="shared" si="977"/>
        <v>672.98053785290529</v>
      </c>
      <c r="T429">
        <f t="shared" si="978"/>
        <v>0.67298053785290524</v>
      </c>
    </row>
    <row r="430" spans="1:20" x14ac:dyDescent="0.25">
      <c r="A430" s="5">
        <v>44163</v>
      </c>
      <c r="B430">
        <v>2.1860000000000001E-2</v>
      </c>
      <c r="C430">
        <v>2.3390000000000001E-2</v>
      </c>
      <c r="D430">
        <v>2.0879999999999999E-2</v>
      </c>
      <c r="E430">
        <v>2.2700000000000001E-2</v>
      </c>
      <c r="F430">
        <v>35733385.5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0.45019920318725171</v>
      </c>
      <c r="Q430">
        <f t="shared" si="975"/>
        <v>16087141.679282894</v>
      </c>
      <c r="R430">
        <f t="shared" si="976"/>
        <v>48014391.470876127</v>
      </c>
      <c r="S430">
        <f t="shared" si="977"/>
        <v>480.14391470876126</v>
      </c>
      <c r="T430">
        <f t="shared" si="978"/>
        <v>0.48014391470876128</v>
      </c>
    </row>
    <row r="431" spans="1:20" x14ac:dyDescent="0.25">
      <c r="A431" s="5">
        <v>44162</v>
      </c>
      <c r="B431">
        <v>2.2929999999999999E-2</v>
      </c>
      <c r="C431">
        <v>2.3800000000000002E-2</v>
      </c>
      <c r="D431">
        <v>2.0590000000000001E-2</v>
      </c>
      <c r="E431">
        <v>2.1860000000000001E-2</v>
      </c>
      <c r="F431">
        <v>31645491.199999999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-0.20872274143302189</v>
      </c>
      <c r="Q431">
        <f t="shared" si="975"/>
        <v>-6605133.6772585697</v>
      </c>
      <c r="R431">
        <f t="shared" si="976"/>
        <v>31927249.791593235</v>
      </c>
      <c r="S431">
        <f t="shared" si="977"/>
        <v>319.27249791593238</v>
      </c>
      <c r="T431">
        <f t="shared" si="978"/>
        <v>0.31927249791593237</v>
      </c>
    </row>
    <row r="432" spans="1:20" x14ac:dyDescent="0.25">
      <c r="A432" s="5">
        <v>44161</v>
      </c>
      <c r="B432">
        <v>2.6550000000000001E-2</v>
      </c>
      <c r="C432">
        <v>2.674E-2</v>
      </c>
      <c r="D432">
        <v>2.0459999999999999E-2</v>
      </c>
      <c r="E432">
        <v>2.2950000000000002E-2</v>
      </c>
      <c r="F432">
        <v>93699269.700000003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-0.20700636942675085</v>
      </c>
      <c r="Q432">
        <f t="shared" si="975"/>
        <v>-19396345.638534963</v>
      </c>
      <c r="R432">
        <f t="shared" si="976"/>
        <v>38532383.468851805</v>
      </c>
      <c r="S432">
        <f t="shared" si="977"/>
        <v>385.32383468851805</v>
      </c>
      <c r="T432">
        <f t="shared" si="978"/>
        <v>0.38532383468851805</v>
      </c>
    </row>
    <row r="433" spans="1:20" x14ac:dyDescent="0.25">
      <c r="A433" s="5">
        <v>44160</v>
      </c>
      <c r="B433">
        <v>2.596E-2</v>
      </c>
      <c r="C433">
        <v>3.015E-2</v>
      </c>
      <c r="D433">
        <v>2.4879999999999999E-2</v>
      </c>
      <c r="E433">
        <v>2.6610000000000002E-2</v>
      </c>
      <c r="F433">
        <v>113314959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-0.3434535104364318</v>
      </c>
      <c r="Q433">
        <f t="shared" si="975"/>
        <v>-38918420.453510344</v>
      </c>
      <c r="R433">
        <f t="shared" si="976"/>
        <v>57928729.107386768</v>
      </c>
      <c r="S433">
        <f t="shared" si="977"/>
        <v>579.28729107386766</v>
      </c>
      <c r="T433">
        <f t="shared" si="978"/>
        <v>0.57928729107386767</v>
      </c>
    </row>
    <row r="434" spans="1:20" x14ac:dyDescent="0.25">
      <c r="A434" s="5">
        <v>44159</v>
      </c>
      <c r="B434">
        <v>2.3599999999999999E-2</v>
      </c>
      <c r="C434">
        <v>2.6450000000000001E-2</v>
      </c>
      <c r="D434">
        <v>2.1770000000000001E-2</v>
      </c>
      <c r="E434">
        <v>2.596E-2</v>
      </c>
      <c r="F434">
        <v>85557302.700000003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0.79059829059829023</v>
      </c>
      <c r="Q434">
        <f t="shared" si="975"/>
        <v>67641457.262820482</v>
      </c>
      <c r="R434">
        <f t="shared" si="976"/>
        <v>96847149.560897112</v>
      </c>
      <c r="S434">
        <f t="shared" si="977"/>
        <v>968.47149560897117</v>
      </c>
      <c r="T434">
        <f t="shared" si="978"/>
        <v>0.96847149560897117</v>
      </c>
    </row>
    <row r="435" spans="1:20" x14ac:dyDescent="0.25">
      <c r="A435" s="5">
        <v>44158</v>
      </c>
      <c r="B435">
        <v>2.213E-2</v>
      </c>
      <c r="C435">
        <v>2.41E-2</v>
      </c>
      <c r="D435">
        <v>2.1499999999999998E-2</v>
      </c>
      <c r="E435">
        <v>2.3640000000000001E-2</v>
      </c>
      <c r="F435">
        <v>53428832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0.64615384615384741</v>
      </c>
      <c r="Q435">
        <f t="shared" si="975"/>
        <v>34523245.292307757</v>
      </c>
      <c r="R435">
        <f t="shared" si="976"/>
        <v>29205692.298076622</v>
      </c>
      <c r="S435">
        <f t="shared" si="977"/>
        <v>292.05692298076622</v>
      </c>
      <c r="T435">
        <f t="shared" si="978"/>
        <v>0.29205692298076624</v>
      </c>
    </row>
    <row r="436" spans="1:20" x14ac:dyDescent="0.25">
      <c r="A436" s="5">
        <v>44157</v>
      </c>
      <c r="B436">
        <v>2.3210000000000001E-2</v>
      </c>
      <c r="C436">
        <v>2.3369999999999998E-2</v>
      </c>
      <c r="D436">
        <v>2.1000000000000001E-2</v>
      </c>
      <c r="E436">
        <v>2.213E-2</v>
      </c>
      <c r="F436">
        <v>47919992.5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-4.6413502109704269E-2</v>
      </c>
      <c r="Q436">
        <f t="shared" si="975"/>
        <v>-2224134.6729957629</v>
      </c>
      <c r="R436">
        <f t="shared" si="976"/>
        <v>-5317552.9942311365</v>
      </c>
      <c r="S436">
        <f t="shared" si="977"/>
        <v>-53.175529942311364</v>
      </c>
      <c r="T436">
        <f t="shared" si="978"/>
        <v>-5.3175529942311367E-2</v>
      </c>
    </row>
    <row r="437" spans="1:20" x14ac:dyDescent="0.25">
      <c r="A437" s="5">
        <v>44156</v>
      </c>
      <c r="B437">
        <v>2.094E-2</v>
      </c>
      <c r="C437">
        <v>2.4E-2</v>
      </c>
      <c r="D437">
        <v>2.0449999999999999E-2</v>
      </c>
      <c r="E437">
        <v>2.3210000000000001E-2</v>
      </c>
      <c r="F437">
        <v>65249835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0.55492957746478944</v>
      </c>
      <c r="Q437">
        <f t="shared" si="975"/>
        <v>36209063.366197228</v>
      </c>
      <c r="R437">
        <f t="shared" si="976"/>
        <v>-3093418.3212353736</v>
      </c>
      <c r="S437">
        <f t="shared" si="977"/>
        <v>-30.934183212353737</v>
      </c>
      <c r="T437">
        <f t="shared" si="978"/>
        <v>-3.0934183212353736E-2</v>
      </c>
    </row>
    <row r="438" spans="1:20" x14ac:dyDescent="0.25">
      <c r="A438" s="5">
        <v>44155</v>
      </c>
      <c r="B438">
        <v>2.094E-2</v>
      </c>
      <c r="C438">
        <v>2.1999999999999999E-2</v>
      </c>
      <c r="D438">
        <v>2.069E-2</v>
      </c>
      <c r="E438">
        <v>2.0879999999999999E-2</v>
      </c>
      <c r="F438">
        <v>45116264.600000001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-0.70992366412213836</v>
      </c>
      <c r="Q438">
        <f t="shared" si="975"/>
        <v>-32029103.876335923</v>
      </c>
      <c r="R438">
        <f t="shared" si="976"/>
        <v>-39302481.687432602</v>
      </c>
      <c r="S438">
        <f t="shared" si="977"/>
        <v>-393.02481687432601</v>
      </c>
      <c r="T438">
        <f t="shared" si="978"/>
        <v>-0.393024816874326</v>
      </c>
    </row>
    <row r="439" spans="1:20" x14ac:dyDescent="0.25">
      <c r="A439" s="5">
        <v>44154</v>
      </c>
      <c r="B439">
        <v>2.146E-2</v>
      </c>
      <c r="C439">
        <v>2.2110000000000001E-2</v>
      </c>
      <c r="D439">
        <v>2.0250000000000001E-2</v>
      </c>
      <c r="E439">
        <v>2.0899999999999998E-2</v>
      </c>
      <c r="F439">
        <v>30028989.300000001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-0.30107526881720686</v>
      </c>
      <c r="Q439">
        <f t="shared" si="975"/>
        <v>-9040986.0258065294</v>
      </c>
      <c r="R439">
        <f t="shared" si="976"/>
        <v>-7273377.8110966813</v>
      </c>
      <c r="S439">
        <f t="shared" si="977"/>
        <v>-72.73377811096681</v>
      </c>
      <c r="T439">
        <f t="shared" si="978"/>
        <v>-7.2733778110966804E-2</v>
      </c>
    </row>
    <row r="440" spans="1:20" x14ac:dyDescent="0.25">
      <c r="A440" s="5">
        <v>44153</v>
      </c>
      <c r="B440">
        <v>2.069E-2</v>
      </c>
      <c r="C440">
        <v>2.2950000000000002E-2</v>
      </c>
      <c r="D440">
        <v>2.0150000000000001E-2</v>
      </c>
      <c r="E440">
        <v>2.1489999999999999E-2</v>
      </c>
      <c r="F440">
        <v>84279539.299999997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-4.2857142857144821E-2</v>
      </c>
      <c r="Q440">
        <f t="shared" si="975"/>
        <v>-3611980.255714451</v>
      </c>
      <c r="R440">
        <f t="shared" si="976"/>
        <v>1767608.2147098482</v>
      </c>
      <c r="S440">
        <f t="shared" si="977"/>
        <v>17.67608214709848</v>
      </c>
      <c r="T440">
        <f t="shared" si="978"/>
        <v>1.7676082147098478E-2</v>
      </c>
    </row>
    <row r="441" spans="1:20" x14ac:dyDescent="0.25">
      <c r="A441" s="5">
        <v>44152</v>
      </c>
      <c r="B441">
        <v>1.9009999999999999E-2</v>
      </c>
      <c r="C441">
        <v>2.2249999999999999E-2</v>
      </c>
      <c r="D441">
        <v>1.8769999999999998E-2</v>
      </c>
      <c r="E441">
        <v>2.0709999999999999E-2</v>
      </c>
      <c r="F441">
        <v>58793047.600000001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0.11494252873563247</v>
      </c>
      <c r="Q441">
        <f t="shared" si="975"/>
        <v>6757821.5632184083</v>
      </c>
      <c r="R441">
        <f t="shared" si="976"/>
        <v>5379588.4704242991</v>
      </c>
      <c r="S441">
        <f t="shared" si="977"/>
        <v>53.795884704242994</v>
      </c>
      <c r="T441">
        <f t="shared" si="978"/>
        <v>5.3795884704242992E-2</v>
      </c>
    </row>
    <row r="442" spans="1:20" x14ac:dyDescent="0.25">
      <c r="A442" s="5">
        <v>44151</v>
      </c>
      <c r="B442">
        <v>1.8630000000000001E-2</v>
      </c>
      <c r="C442">
        <v>1.925E-2</v>
      </c>
      <c r="D442">
        <v>1.8429999999999998E-2</v>
      </c>
      <c r="E442">
        <v>1.9009999999999999E-2</v>
      </c>
      <c r="F442">
        <v>20410684.800000001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0.41463414634146278</v>
      </c>
      <c r="Q442">
        <f t="shared" si="975"/>
        <v>8462966.8682926707</v>
      </c>
      <c r="R442">
        <f t="shared" si="976"/>
        <v>-1378233.0927941091</v>
      </c>
      <c r="S442">
        <f t="shared" si="977"/>
        <v>-13.782330927941091</v>
      </c>
      <c r="T442">
        <f t="shared" si="978"/>
        <v>-1.3782330927941091E-2</v>
      </c>
    </row>
    <row r="443" spans="1:20" x14ac:dyDescent="0.25">
      <c r="A443" s="5">
        <v>44150</v>
      </c>
      <c r="B443">
        <v>1.908E-2</v>
      </c>
      <c r="C443">
        <v>1.9380000000000001E-2</v>
      </c>
      <c r="D443">
        <v>1.7999999999999999E-2</v>
      </c>
      <c r="E443">
        <v>1.8550000000000001E-2</v>
      </c>
      <c r="F443">
        <v>25488613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-0.20289855072463656</v>
      </c>
      <c r="Q443">
        <f t="shared" si="975"/>
        <v>-5171602.6376811303</v>
      </c>
      <c r="R443">
        <f t="shared" si="976"/>
        <v>-9841199.9610867798</v>
      </c>
      <c r="S443">
        <f t="shared" si="977"/>
        <v>-98.411999610867795</v>
      </c>
      <c r="T443">
        <f t="shared" si="978"/>
        <v>-9.8411999610867801E-2</v>
      </c>
    </row>
    <row r="444" spans="1:20" x14ac:dyDescent="0.25">
      <c r="A444" s="5">
        <v>44149</v>
      </c>
      <c r="B444">
        <v>1.9730000000000001E-2</v>
      </c>
      <c r="C444">
        <v>1.985E-2</v>
      </c>
      <c r="D444">
        <v>1.8499999999999999E-2</v>
      </c>
      <c r="E444">
        <v>1.8960000000000001E-2</v>
      </c>
      <c r="F444">
        <v>18870924.899999999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-0.3185185185185157</v>
      </c>
      <c r="Q444">
        <f t="shared" si="975"/>
        <v>-6010739.0422221683</v>
      </c>
      <c r="R444">
        <f t="shared" si="976"/>
        <v>-4669597.3234056495</v>
      </c>
      <c r="S444">
        <f t="shared" si="977"/>
        <v>-46.695973234056495</v>
      </c>
      <c r="T444">
        <f t="shared" si="978"/>
        <v>-4.6695973234056498E-2</v>
      </c>
    </row>
    <row r="445" spans="1:20" x14ac:dyDescent="0.25">
      <c r="A445" s="5">
        <v>44148</v>
      </c>
      <c r="B445">
        <v>1.9369999999999998E-2</v>
      </c>
      <c r="C445">
        <v>1.9949999999999999E-2</v>
      </c>
      <c r="D445">
        <v>1.907E-2</v>
      </c>
      <c r="E445">
        <v>1.9740000000000001E-2</v>
      </c>
      <c r="F445">
        <v>19720220.399999999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0.52272727272727582</v>
      </c>
      <c r="Q445">
        <f t="shared" si="975"/>
        <v>10308297.027272787</v>
      </c>
      <c r="R445">
        <f t="shared" si="976"/>
        <v>1341141.7188165188</v>
      </c>
      <c r="S445">
        <f t="shared" si="977"/>
        <v>13.411417188165188</v>
      </c>
      <c r="T445">
        <f t="shared" si="978"/>
        <v>1.3411417188165188E-2</v>
      </c>
    </row>
    <row r="446" spans="1:20" x14ac:dyDescent="0.25">
      <c r="A446" s="5">
        <v>44147</v>
      </c>
      <c r="B446">
        <v>1.9650000000000001E-2</v>
      </c>
      <c r="C446">
        <v>1.9949999999999999E-2</v>
      </c>
      <c r="D446">
        <v>1.9040000000000001E-2</v>
      </c>
      <c r="E446">
        <v>1.9380000000000001E-2</v>
      </c>
      <c r="F446">
        <v>23332432.5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-0.25274725274725074</v>
      </c>
      <c r="Q446">
        <f t="shared" si="975"/>
        <v>-5897208.2142856671</v>
      </c>
      <c r="R446">
        <f t="shared" si="976"/>
        <v>-8967155.3084562682</v>
      </c>
      <c r="S446">
        <f t="shared" si="977"/>
        <v>-89.671553084562689</v>
      </c>
      <c r="T446">
        <f t="shared" si="978"/>
        <v>-8.9671553084562691E-2</v>
      </c>
    </row>
    <row r="447" spans="1:20" x14ac:dyDescent="0.25">
      <c r="A447" s="5">
        <v>44146</v>
      </c>
      <c r="B447">
        <v>2.0080000000000001E-2</v>
      </c>
      <c r="C447">
        <v>2.0400000000000001E-2</v>
      </c>
      <c r="D447">
        <v>1.942E-2</v>
      </c>
      <c r="E447">
        <v>1.9640000000000001E-2</v>
      </c>
      <c r="F447">
        <v>23127527.899999999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-0.55102040816326314</v>
      </c>
      <c r="Q447">
        <f t="shared" si="975"/>
        <v>-12743739.863265255</v>
      </c>
      <c r="R447">
        <f t="shared" si="976"/>
        <v>-3069947.094170602</v>
      </c>
      <c r="S447">
        <f t="shared" si="977"/>
        <v>-30.699470941706021</v>
      </c>
      <c r="T447">
        <f t="shared" si="978"/>
        <v>-3.0699470941706022E-2</v>
      </c>
    </row>
    <row r="448" spans="1:20" x14ac:dyDescent="0.25">
      <c r="A448" s="5">
        <v>44145</v>
      </c>
      <c r="B448">
        <v>2.0879999999999999E-2</v>
      </c>
      <c r="C448">
        <v>2.1229999999999999E-2</v>
      </c>
      <c r="D448">
        <v>0.02</v>
      </c>
      <c r="E448">
        <v>2.0109999999999999E-2</v>
      </c>
      <c r="F448">
        <v>24494262.600000001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-0.82113821138211529</v>
      </c>
      <c r="Q448">
        <f t="shared" si="975"/>
        <v>-20113174.980487842</v>
      </c>
      <c r="R448">
        <f t="shared" si="976"/>
        <v>9673792.7690946534</v>
      </c>
      <c r="S448">
        <f t="shared" si="977"/>
        <v>96.737927690946535</v>
      </c>
      <c r="T448">
        <f t="shared" si="978"/>
        <v>9.6737927690946537E-2</v>
      </c>
    </row>
    <row r="449" spans="1:20" x14ac:dyDescent="0.25">
      <c r="A449" s="5">
        <v>44144</v>
      </c>
      <c r="B449">
        <v>2.1100000000000001E-2</v>
      </c>
      <c r="C449">
        <v>2.1899999999999999E-2</v>
      </c>
      <c r="D449">
        <v>2.0209999999999999E-2</v>
      </c>
      <c r="E449">
        <v>2.0930000000000001E-2</v>
      </c>
      <c r="F449">
        <v>18023480.399999999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-0.14792899408283827</v>
      </c>
      <c r="Q449">
        <f t="shared" si="975"/>
        <v>-2666195.3254437512</v>
      </c>
      <c r="R449">
        <f t="shared" si="976"/>
        <v>29786967.749582496</v>
      </c>
      <c r="S449">
        <f t="shared" si="977"/>
        <v>297.86967749582493</v>
      </c>
      <c r="T449">
        <f t="shared" si="978"/>
        <v>0.29786967749582494</v>
      </c>
    </row>
    <row r="450" spans="1:20" x14ac:dyDescent="0.25">
      <c r="A450" s="5">
        <v>44143</v>
      </c>
      <c r="B450">
        <v>2.0279999999999999E-2</v>
      </c>
      <c r="C450">
        <v>2.1950000000000001E-2</v>
      </c>
      <c r="D450">
        <v>1.951E-2</v>
      </c>
      <c r="E450">
        <v>2.112E-2</v>
      </c>
      <c r="F450">
        <v>27953121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0.31967213114754062</v>
      </c>
      <c r="Q450">
        <f t="shared" si="975"/>
        <v>8935833.762295071</v>
      </c>
      <c r="R450">
        <f t="shared" si="976"/>
        <v>32453163.075026248</v>
      </c>
      <c r="S450">
        <f t="shared" si="977"/>
        <v>324.53163075026248</v>
      </c>
      <c r="T450">
        <f t="shared" si="978"/>
        <v>0.32453163075026248</v>
      </c>
    </row>
    <row r="451" spans="1:20" x14ac:dyDescent="0.25">
      <c r="A451" s="5">
        <v>44142</v>
      </c>
      <c r="B451">
        <v>2.1520000000000001E-2</v>
      </c>
      <c r="C451">
        <v>2.23E-2</v>
      </c>
      <c r="D451">
        <v>1.908E-2</v>
      </c>
      <c r="E451">
        <v>2.017E-2</v>
      </c>
      <c r="F451">
        <v>39774569.399999999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-0.32298136645962705</v>
      </c>
      <c r="Q451">
        <f t="shared" si="975"/>
        <v>-12846444.775155269</v>
      </c>
      <c r="R451">
        <f t="shared" si="976"/>
        <v>23517329.312731177</v>
      </c>
      <c r="S451">
        <f t="shared" si="977"/>
        <v>235.17329312731178</v>
      </c>
      <c r="T451">
        <f t="shared" si="978"/>
        <v>0.23517329312731178</v>
      </c>
    </row>
    <row r="452" spans="1:20" x14ac:dyDescent="0.25">
      <c r="A452" s="5">
        <v>44141</v>
      </c>
      <c r="B452">
        <v>1.9720000000000001E-2</v>
      </c>
      <c r="C452">
        <v>2.23E-2</v>
      </c>
      <c r="D452">
        <v>1.9599999999999999E-2</v>
      </c>
      <c r="E452">
        <v>2.1420000000000002E-2</v>
      </c>
      <c r="F452">
        <v>33315082.699999999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0.34814814814814926</v>
      </c>
      <c r="Q452">
        <f t="shared" si="975"/>
        <v>11598584.347407443</v>
      </c>
      <c r="R452">
        <f t="shared" si="976"/>
        <v>36363774.087886445</v>
      </c>
      <c r="S452">
        <f t="shared" si="977"/>
        <v>363.63774087886446</v>
      </c>
      <c r="T452">
        <f t="shared" si="978"/>
        <v>0.36363774087886447</v>
      </c>
    </row>
    <row r="453" spans="1:20" x14ac:dyDescent="0.25">
      <c r="A453" s="5">
        <v>44140</v>
      </c>
      <c r="B453">
        <v>1.9449999999999999E-2</v>
      </c>
      <c r="C453">
        <v>1.993E-2</v>
      </c>
      <c r="D453">
        <v>1.8880000000000001E-2</v>
      </c>
      <c r="E453">
        <v>1.9769999999999999E-2</v>
      </c>
      <c r="F453">
        <v>23171396.199999999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0.6952380952380941</v>
      </c>
      <c r="Q453">
        <f t="shared" si="975"/>
        <v>16109637.358095212</v>
      </c>
      <c r="R453">
        <f t="shared" si="976"/>
        <v>24765189.740479</v>
      </c>
      <c r="S453">
        <f t="shared" si="977"/>
        <v>247.65189740478999</v>
      </c>
      <c r="T453">
        <f t="shared" si="978"/>
        <v>0.24765189740478999</v>
      </c>
    </row>
    <row r="454" spans="1:20" x14ac:dyDescent="0.25">
      <c r="A454" s="5">
        <v>44139</v>
      </c>
      <c r="B454">
        <v>1.8720000000000001E-2</v>
      </c>
      <c r="C454">
        <v>2.0500000000000001E-2</v>
      </c>
      <c r="D454">
        <v>1.8599999999999998E-2</v>
      </c>
      <c r="E454">
        <v>1.9369999999999998E-2</v>
      </c>
      <c r="F454">
        <v>17303391.100000001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-0.18947368421052749</v>
      </c>
      <c r="Q454">
        <f t="shared" ref="Q454:Q517" si="980">F454*P454</f>
        <v>-3278537.2610526523</v>
      </c>
      <c r="R454">
        <f t="shared" ref="R454:R517" si="981">R455+Q454</f>
        <v>8655552.3823837899</v>
      </c>
      <c r="S454">
        <f t="shared" ref="S454:S517" si="982">R454/100000</f>
        <v>86.555523823837902</v>
      </c>
      <c r="T454">
        <f t="shared" ref="T454:T517" si="983">S454/1000</f>
        <v>8.6555523823837896E-2</v>
      </c>
    </row>
    <row r="455" spans="1:20" x14ac:dyDescent="0.25">
      <c r="A455" s="5">
        <v>44138</v>
      </c>
      <c r="B455">
        <v>2.001E-2</v>
      </c>
      <c r="C455">
        <v>2.001E-2</v>
      </c>
      <c r="D455">
        <v>1.806E-2</v>
      </c>
      <c r="E455">
        <v>1.8720000000000001E-2</v>
      </c>
      <c r="F455">
        <v>29904262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-0.32307692307692232</v>
      </c>
      <c r="Q455">
        <f t="shared" si="980"/>
        <v>-9661376.9538461305</v>
      </c>
      <c r="R455">
        <f t="shared" si="981"/>
        <v>11934089.643436443</v>
      </c>
      <c r="S455">
        <f t="shared" si="982"/>
        <v>119.34089643436442</v>
      </c>
      <c r="T455">
        <f t="shared" si="983"/>
        <v>0.11934089643436442</v>
      </c>
    </row>
    <row r="456" spans="1:20" x14ac:dyDescent="0.25">
      <c r="A456" s="5">
        <v>44137</v>
      </c>
      <c r="B456">
        <v>2.0449999999999999E-2</v>
      </c>
      <c r="C456">
        <v>2.0729999999999998E-2</v>
      </c>
      <c r="D456">
        <v>1.9560000000000001E-2</v>
      </c>
      <c r="E456">
        <v>2.0080000000000001E-2</v>
      </c>
      <c r="F456">
        <v>16023263.800000001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-0.11111111111110979</v>
      </c>
      <c r="Q456">
        <f t="shared" si="980"/>
        <v>-1780362.6444444233</v>
      </c>
      <c r="R456">
        <f t="shared" si="981"/>
        <v>21595466.597282574</v>
      </c>
      <c r="S456">
        <f t="shared" si="982"/>
        <v>215.95466597282572</v>
      </c>
      <c r="T456">
        <f t="shared" si="983"/>
        <v>0.21595466597282573</v>
      </c>
    </row>
    <row r="457" spans="1:20" x14ac:dyDescent="0.25">
      <c r="A457" s="5">
        <v>44136</v>
      </c>
      <c r="B457">
        <v>1.9740000000000001E-2</v>
      </c>
      <c r="C457">
        <v>2.0729999999999998E-2</v>
      </c>
      <c r="D457">
        <v>1.967E-2</v>
      </c>
      <c r="E457">
        <v>2.0539999999999999E-2</v>
      </c>
      <c r="F457">
        <v>11460384.800000001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0.64150943396226512</v>
      </c>
      <c r="Q457">
        <f t="shared" si="980"/>
        <v>7351944.9660377475</v>
      </c>
      <c r="R457">
        <f t="shared" si="981"/>
        <v>23375829.241726998</v>
      </c>
      <c r="S457">
        <f t="shared" si="982"/>
        <v>233.75829241726998</v>
      </c>
      <c r="T457">
        <f t="shared" si="983"/>
        <v>0.23375829241726997</v>
      </c>
    </row>
    <row r="458" spans="1:20" x14ac:dyDescent="0.25">
      <c r="A458" s="5">
        <v>44135</v>
      </c>
      <c r="B458">
        <v>1.9800000000000002E-2</v>
      </c>
      <c r="C458">
        <v>2.0119999999999999E-2</v>
      </c>
      <c r="D458">
        <v>1.9E-2</v>
      </c>
      <c r="E458">
        <v>1.976E-2</v>
      </c>
      <c r="F458">
        <v>16215750.9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0.35714285714285826</v>
      </c>
      <c r="Q458">
        <f t="shared" si="980"/>
        <v>5791339.607142875</v>
      </c>
      <c r="R458">
        <f t="shared" si="981"/>
        <v>16023884.27568925</v>
      </c>
      <c r="S458">
        <f t="shared" si="982"/>
        <v>160.2388427568925</v>
      </c>
      <c r="T458">
        <f t="shared" si="983"/>
        <v>0.16023884275689249</v>
      </c>
    </row>
    <row r="459" spans="1:20" x14ac:dyDescent="0.25">
      <c r="A459" s="5">
        <v>44134</v>
      </c>
      <c r="B459">
        <v>2.0039999999999999E-2</v>
      </c>
      <c r="C459">
        <v>2.0480000000000002E-2</v>
      </c>
      <c r="D459">
        <v>1.9E-2</v>
      </c>
      <c r="E459">
        <v>1.985E-2</v>
      </c>
      <c r="F459">
        <v>19601290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0.14864864864864707</v>
      </c>
      <c r="Q459">
        <f t="shared" si="980"/>
        <v>2913705.2702702396</v>
      </c>
      <c r="R459">
        <f t="shared" si="981"/>
        <v>10232544.668546375</v>
      </c>
      <c r="S459">
        <f t="shared" si="982"/>
        <v>102.32544668546375</v>
      </c>
      <c r="T459">
        <f t="shared" si="983"/>
        <v>0.10232544668546374</v>
      </c>
    </row>
    <row r="460" spans="1:20" x14ac:dyDescent="0.25">
      <c r="A460" s="5">
        <v>44133</v>
      </c>
      <c r="B460">
        <v>2.1510000000000001E-2</v>
      </c>
      <c r="C460">
        <v>2.2859999999999998E-2</v>
      </c>
      <c r="D460">
        <v>1.9800000000000002E-2</v>
      </c>
      <c r="E460">
        <v>2.0029999999999999E-2</v>
      </c>
      <c r="F460">
        <v>61719420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-0.84967320261438051</v>
      </c>
      <c r="Q460">
        <f t="shared" si="980"/>
        <v>-52441337.25490205</v>
      </c>
      <c r="R460">
        <f t="shared" si="981"/>
        <v>7318839.3982761353</v>
      </c>
      <c r="S460">
        <f t="shared" si="982"/>
        <v>73.188393982761355</v>
      </c>
      <c r="T460">
        <f t="shared" si="983"/>
        <v>7.3188393982761349E-2</v>
      </c>
    </row>
    <row r="461" spans="1:20" x14ac:dyDescent="0.25">
      <c r="A461" s="5">
        <v>44132</v>
      </c>
      <c r="B461">
        <v>1.942E-2</v>
      </c>
      <c r="C461">
        <v>2.222E-2</v>
      </c>
      <c r="D461">
        <v>1.856E-2</v>
      </c>
      <c r="E461">
        <v>2.1440000000000001E-2</v>
      </c>
      <c r="F461">
        <v>55232508.899999999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0.57377049180327899</v>
      </c>
      <c r="Q461">
        <f t="shared" si="980"/>
        <v>31690783.795081984</v>
      </c>
      <c r="R461">
        <f t="shared" si="981"/>
        <v>59760176.653178185</v>
      </c>
      <c r="S461">
        <f t="shared" si="982"/>
        <v>597.60176653178189</v>
      </c>
      <c r="T461">
        <f t="shared" si="983"/>
        <v>0.59760176653178188</v>
      </c>
    </row>
    <row r="462" spans="1:20" x14ac:dyDescent="0.25">
      <c r="A462" s="5">
        <v>44131</v>
      </c>
      <c r="B462">
        <v>2.0330000000000001E-2</v>
      </c>
      <c r="C462">
        <v>2.095E-2</v>
      </c>
      <c r="D462">
        <v>1.891E-2</v>
      </c>
      <c r="E462">
        <v>1.9439999999999999E-2</v>
      </c>
      <c r="F462">
        <v>41433800.200000003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-0.48039215686274589</v>
      </c>
      <c r="Q462">
        <f t="shared" si="980"/>
        <v>-19904472.645098075</v>
      </c>
      <c r="R462">
        <f t="shared" si="981"/>
        <v>28069392.858096205</v>
      </c>
      <c r="S462">
        <f t="shared" si="982"/>
        <v>280.69392858096205</v>
      </c>
      <c r="T462">
        <f t="shared" si="983"/>
        <v>0.28069392858096204</v>
      </c>
    </row>
    <row r="463" spans="1:20" x14ac:dyDescent="0.25">
      <c r="A463" s="5">
        <v>44130</v>
      </c>
      <c r="B463">
        <v>2.1129999999999999E-2</v>
      </c>
      <c r="C463">
        <v>2.1399999999999999E-2</v>
      </c>
      <c r="D463">
        <v>2.0049999999999998E-2</v>
      </c>
      <c r="E463">
        <v>2.034E-2</v>
      </c>
      <c r="F463">
        <v>17531479.199999999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-0.57037037037036753</v>
      </c>
      <c r="Q463">
        <f t="shared" si="980"/>
        <v>-9999436.2844443936</v>
      </c>
      <c r="R463">
        <f t="shared" si="981"/>
        <v>47973865.50319428</v>
      </c>
      <c r="S463">
        <f t="shared" si="982"/>
        <v>479.73865503194281</v>
      </c>
      <c r="T463">
        <f t="shared" si="983"/>
        <v>0.4797386550319428</v>
      </c>
    </row>
    <row r="464" spans="1:20" x14ac:dyDescent="0.25">
      <c r="A464" s="5">
        <v>44129</v>
      </c>
      <c r="B464">
        <v>2.1530000000000001E-2</v>
      </c>
      <c r="C464">
        <v>2.1999999999999999E-2</v>
      </c>
      <c r="D464">
        <v>2.0719999999999999E-2</v>
      </c>
      <c r="E464">
        <v>2.1129999999999999E-2</v>
      </c>
      <c r="F464">
        <v>21563871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-0.35937499999999895</v>
      </c>
      <c r="Q464">
        <f t="shared" si="980"/>
        <v>-7749516.1406249776</v>
      </c>
      <c r="R464">
        <f t="shared" si="981"/>
        <v>57973301.787638672</v>
      </c>
      <c r="S464">
        <f t="shared" si="982"/>
        <v>579.73301787638673</v>
      </c>
      <c r="T464">
        <f t="shared" si="983"/>
        <v>0.57973301787638676</v>
      </c>
    </row>
    <row r="465" spans="1:20" x14ac:dyDescent="0.25">
      <c r="A465" s="5">
        <v>44128</v>
      </c>
      <c r="B465">
        <v>2.189E-2</v>
      </c>
      <c r="C465">
        <v>2.2259999999999999E-2</v>
      </c>
      <c r="D465">
        <v>2.1000000000000001E-2</v>
      </c>
      <c r="E465">
        <v>2.1520000000000001E-2</v>
      </c>
      <c r="F465">
        <v>21480708.899999999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-0.17460317460317337</v>
      </c>
      <c r="Q465">
        <f t="shared" si="980"/>
        <v>-3750599.9666666398</v>
      </c>
      <c r="R465">
        <f t="shared" si="981"/>
        <v>65722817.928263649</v>
      </c>
      <c r="S465">
        <f t="shared" si="982"/>
        <v>657.22817928263646</v>
      </c>
      <c r="T465">
        <f t="shared" si="983"/>
        <v>0.65722817928263644</v>
      </c>
    </row>
    <row r="466" spans="1:20" x14ac:dyDescent="0.25">
      <c r="A466" s="5">
        <v>44127</v>
      </c>
      <c r="B466">
        <v>2.3099999999999999E-2</v>
      </c>
      <c r="C466">
        <v>2.4E-2</v>
      </c>
      <c r="D466">
        <v>2.154E-2</v>
      </c>
      <c r="E466">
        <v>2.1950000000000001E-2</v>
      </c>
      <c r="F466">
        <v>16273464.5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-0.66666666666666619</v>
      </c>
      <c r="Q466">
        <f t="shared" si="980"/>
        <v>-10848976.333333325</v>
      </c>
      <c r="R466">
        <f t="shared" si="981"/>
        <v>69473417.894930288</v>
      </c>
      <c r="S466">
        <f t="shared" si="982"/>
        <v>694.73417894930287</v>
      </c>
      <c r="T466">
        <f t="shared" si="983"/>
        <v>0.69473417894930289</v>
      </c>
    </row>
    <row r="467" spans="1:20" x14ac:dyDescent="0.25">
      <c r="A467" s="5">
        <v>44126</v>
      </c>
      <c r="B467">
        <v>2.1420000000000002E-2</v>
      </c>
      <c r="C467">
        <v>2.3529999999999999E-2</v>
      </c>
      <c r="D467">
        <v>2.128E-2</v>
      </c>
      <c r="E467">
        <v>2.3109999999999999E-2</v>
      </c>
      <c r="F467">
        <v>26780060.399999999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0.62666666666666626</v>
      </c>
      <c r="Q467">
        <f t="shared" si="980"/>
        <v>16782171.183999989</v>
      </c>
      <c r="R467">
        <f t="shared" si="981"/>
        <v>80322394.228263617</v>
      </c>
      <c r="S467">
        <f t="shared" si="982"/>
        <v>803.22394228263613</v>
      </c>
      <c r="T467">
        <f t="shared" si="983"/>
        <v>0.80322394228263616</v>
      </c>
    </row>
    <row r="468" spans="1:20" x14ac:dyDescent="0.25">
      <c r="A468" s="5">
        <v>44125</v>
      </c>
      <c r="B468">
        <v>2.1409999999999998E-2</v>
      </c>
      <c r="C468">
        <v>2.2239999999999999E-2</v>
      </c>
      <c r="D468">
        <v>2.086E-2</v>
      </c>
      <c r="E468">
        <v>2.1420000000000002E-2</v>
      </c>
      <c r="F468">
        <v>31375377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-0.18840579710144673</v>
      </c>
      <c r="Q468">
        <f t="shared" si="980"/>
        <v>-5911302.9130433984</v>
      </c>
      <c r="R468">
        <f t="shared" si="981"/>
        <v>63540223.044263631</v>
      </c>
      <c r="S468">
        <f t="shared" si="982"/>
        <v>635.40223044263632</v>
      </c>
      <c r="T468">
        <f t="shared" si="983"/>
        <v>0.63540223044263633</v>
      </c>
    </row>
    <row r="469" spans="1:20" x14ac:dyDescent="0.25">
      <c r="A469" s="5">
        <v>44124</v>
      </c>
      <c r="B469">
        <v>2.2679999999999999E-2</v>
      </c>
      <c r="C469">
        <v>2.3040000000000001E-2</v>
      </c>
      <c r="D469">
        <v>2.0789999999999999E-2</v>
      </c>
      <c r="E469">
        <v>2.1399999999999999E-2</v>
      </c>
      <c r="F469">
        <v>28532153.300000001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-0.45777777777777878</v>
      </c>
      <c r="Q469">
        <f t="shared" si="980"/>
        <v>-13061385.732888918</v>
      </c>
      <c r="R469">
        <f t="shared" si="981"/>
        <v>69451525.957307026</v>
      </c>
      <c r="S469">
        <f t="shared" si="982"/>
        <v>694.51525957307024</v>
      </c>
      <c r="T469">
        <f t="shared" si="983"/>
        <v>0.69451525957307025</v>
      </c>
    </row>
    <row r="470" spans="1:20" x14ac:dyDescent="0.25">
      <c r="A470" s="5">
        <v>44123</v>
      </c>
      <c r="B470">
        <v>2.281E-2</v>
      </c>
      <c r="C470">
        <v>2.3400000000000001E-2</v>
      </c>
      <c r="D470">
        <v>2.1950000000000001E-2</v>
      </c>
      <c r="E470">
        <v>2.2759999999999999E-2</v>
      </c>
      <c r="F470">
        <v>13570007.6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0.11724137931034245</v>
      </c>
      <c r="Q470">
        <f t="shared" si="980"/>
        <v>1590966.4082758299</v>
      </c>
      <c r="R470">
        <f t="shared" si="981"/>
        <v>82512911.690195948</v>
      </c>
      <c r="S470">
        <f t="shared" si="982"/>
        <v>825.12911690195949</v>
      </c>
      <c r="T470">
        <f t="shared" si="983"/>
        <v>0.82512911690195945</v>
      </c>
    </row>
    <row r="471" spans="1:20" x14ac:dyDescent="0.25">
      <c r="A471" s="5">
        <v>44122</v>
      </c>
      <c r="B471">
        <v>2.2950000000000002E-2</v>
      </c>
      <c r="C471">
        <v>2.3439999999999999E-2</v>
      </c>
      <c r="D471">
        <v>2.265E-2</v>
      </c>
      <c r="E471">
        <v>2.2859999999999998E-2</v>
      </c>
      <c r="F471">
        <v>8277264.7999999998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-0.46835443037975028</v>
      </c>
      <c r="Q471">
        <f t="shared" si="980"/>
        <v>-3876693.6405063574</v>
      </c>
      <c r="R471">
        <f t="shared" si="981"/>
        <v>80921945.28192012</v>
      </c>
      <c r="S471">
        <f t="shared" si="982"/>
        <v>809.21945281920125</v>
      </c>
      <c r="T471">
        <f t="shared" si="983"/>
        <v>0.80921945281920127</v>
      </c>
    </row>
    <row r="472" spans="1:20" x14ac:dyDescent="0.25">
      <c r="A472" s="5">
        <v>44121</v>
      </c>
      <c r="B472">
        <v>2.3400000000000001E-2</v>
      </c>
      <c r="C472">
        <v>2.3630000000000002E-2</v>
      </c>
      <c r="D472">
        <v>2.2599999999999999E-2</v>
      </c>
      <c r="E472">
        <v>2.291E-2</v>
      </c>
      <c r="F472">
        <v>10381725.9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-0.3980582524271839</v>
      </c>
      <c r="Q472">
        <f t="shared" si="980"/>
        <v>-4132531.6689320332</v>
      </c>
      <c r="R472">
        <f t="shared" si="981"/>
        <v>84798638.922426477</v>
      </c>
      <c r="S472">
        <f t="shared" si="982"/>
        <v>847.98638922426483</v>
      </c>
      <c r="T472">
        <f t="shared" si="983"/>
        <v>0.84798638922426484</v>
      </c>
    </row>
    <row r="473" spans="1:20" x14ac:dyDescent="0.25">
      <c r="A473" s="5">
        <v>44120</v>
      </c>
      <c r="B473">
        <v>2.4209999999999999E-2</v>
      </c>
      <c r="C473">
        <v>2.5250000000000002E-2</v>
      </c>
      <c r="D473">
        <v>2.3199999999999998E-2</v>
      </c>
      <c r="E473">
        <v>2.3400000000000001E-2</v>
      </c>
      <c r="F473">
        <v>9319839.8000000007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-0.80487804878048586</v>
      </c>
      <c r="Q473">
        <f t="shared" si="980"/>
        <v>-7501334.4731707145</v>
      </c>
      <c r="R473">
        <f t="shared" si="981"/>
        <v>88931170.591358513</v>
      </c>
      <c r="S473">
        <f t="shared" si="982"/>
        <v>889.31170591358512</v>
      </c>
      <c r="T473">
        <f t="shared" si="983"/>
        <v>0.8893117059135851</v>
      </c>
    </row>
    <row r="474" spans="1:20" x14ac:dyDescent="0.25">
      <c r="A474" s="5">
        <v>44119</v>
      </c>
      <c r="B474">
        <v>2.3990000000000001E-2</v>
      </c>
      <c r="C474">
        <v>2.4709999999999999E-2</v>
      </c>
      <c r="D474">
        <v>2.3390000000000001E-2</v>
      </c>
      <c r="E474">
        <v>2.4109999999999999E-2</v>
      </c>
      <c r="F474">
        <v>8847021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9.0909090909089954E-2</v>
      </c>
      <c r="Q474">
        <f t="shared" si="980"/>
        <v>804274.63636362797</v>
      </c>
      <c r="R474">
        <f t="shared" si="981"/>
        <v>96432505.064529225</v>
      </c>
      <c r="S474">
        <f t="shared" si="982"/>
        <v>964.32505064529221</v>
      </c>
      <c r="T474">
        <f t="shared" si="983"/>
        <v>0.96432505064529217</v>
      </c>
    </row>
    <row r="475" spans="1:20" x14ac:dyDescent="0.25">
      <c r="A475" s="5">
        <v>44118</v>
      </c>
      <c r="B475">
        <v>2.4209999999999999E-2</v>
      </c>
      <c r="C475">
        <v>2.494E-2</v>
      </c>
      <c r="D475">
        <v>2.35E-2</v>
      </c>
      <c r="E475">
        <v>2.3900000000000001E-2</v>
      </c>
      <c r="F475">
        <v>10189877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-0.44444444444444309</v>
      </c>
      <c r="Q475">
        <f t="shared" si="980"/>
        <v>-4528834.222222208</v>
      </c>
      <c r="R475">
        <f t="shared" si="981"/>
        <v>95628230.4281656</v>
      </c>
      <c r="S475">
        <f t="shared" si="982"/>
        <v>956.28230428165602</v>
      </c>
      <c r="T475">
        <f t="shared" si="983"/>
        <v>0.95628230428165606</v>
      </c>
    </row>
    <row r="476" spans="1:20" x14ac:dyDescent="0.25">
      <c r="A476" s="5">
        <v>44117</v>
      </c>
      <c r="B476">
        <v>2.5180000000000001E-2</v>
      </c>
      <c r="C476">
        <v>2.5309999999999999E-2</v>
      </c>
      <c r="D476">
        <v>2.3800000000000002E-2</v>
      </c>
      <c r="E476">
        <v>2.4299999999999999E-2</v>
      </c>
      <c r="F476">
        <v>13823314.199999999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-0.33774834437086382</v>
      </c>
      <c r="Q476">
        <f t="shared" si="980"/>
        <v>-4668801.4847682519</v>
      </c>
      <c r="R476">
        <f t="shared" si="981"/>
        <v>100157064.65038781</v>
      </c>
      <c r="S476">
        <f t="shared" si="982"/>
        <v>1001.570646503878</v>
      </c>
      <c r="T476">
        <f t="shared" si="983"/>
        <v>1.0015706465038781</v>
      </c>
    </row>
    <row r="477" spans="1:20" x14ac:dyDescent="0.25">
      <c r="A477" s="5">
        <v>44116</v>
      </c>
      <c r="B477">
        <v>2.513E-2</v>
      </c>
      <c r="C477">
        <v>2.5749999999999999E-2</v>
      </c>
      <c r="D477">
        <v>2.4369999999999999E-2</v>
      </c>
      <c r="E477">
        <v>2.5270000000000001E-2</v>
      </c>
      <c r="F477">
        <v>12057209.699999999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0.30434782608695937</v>
      </c>
      <c r="Q477">
        <f t="shared" si="980"/>
        <v>3669585.5608695992</v>
      </c>
      <c r="R477">
        <f t="shared" si="981"/>
        <v>104825866.13515607</v>
      </c>
      <c r="S477">
        <f t="shared" si="982"/>
        <v>1048.2586613515607</v>
      </c>
      <c r="T477">
        <f t="shared" si="983"/>
        <v>1.0482586613515608</v>
      </c>
    </row>
    <row r="478" spans="1:20" x14ac:dyDescent="0.25">
      <c r="A478" s="5">
        <v>44115</v>
      </c>
      <c r="B478">
        <v>2.53E-2</v>
      </c>
      <c r="C478">
        <v>2.5520000000000001E-2</v>
      </c>
      <c r="D478">
        <v>2.4979999999999999E-2</v>
      </c>
      <c r="E478">
        <v>2.5139999999999999E-2</v>
      </c>
      <c r="F478">
        <v>6417340.9000000004</v>
      </c>
      <c r="G478">
        <v>0</v>
      </c>
      <c r="L478" t="s">
        <v>8</v>
      </c>
      <c r="M478" t="s">
        <v>7</v>
      </c>
      <c r="N478" t="s">
        <v>8</v>
      </c>
      <c r="P478">
        <f t="shared" si="979"/>
        <v>-0.40740740740740838</v>
      </c>
      <c r="Q478">
        <f t="shared" si="980"/>
        <v>-2614472.2185185249</v>
      </c>
      <c r="R478">
        <f t="shared" si="981"/>
        <v>101156280.57428646</v>
      </c>
      <c r="S478">
        <f t="shared" si="982"/>
        <v>1011.5628057428646</v>
      </c>
      <c r="T478">
        <f t="shared" si="983"/>
        <v>1.0115628057428645</v>
      </c>
    </row>
    <row r="479" spans="1:20" x14ac:dyDescent="0.25">
      <c r="A479" s="5">
        <v>44114</v>
      </c>
      <c r="B479">
        <v>2.5020000000000001E-2</v>
      </c>
      <c r="C479">
        <v>2.598E-2</v>
      </c>
      <c r="D479">
        <v>2.4889999999999999E-2</v>
      </c>
      <c r="E479">
        <v>2.5170000000000001E-2</v>
      </c>
      <c r="F479">
        <v>11210313.800000001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-0.48623853211008755</v>
      </c>
      <c r="Q479">
        <f t="shared" si="980"/>
        <v>-5450886.526605458</v>
      </c>
      <c r="R479">
        <f t="shared" si="981"/>
        <v>103770752.79280499</v>
      </c>
      <c r="S479">
        <f t="shared" si="982"/>
        <v>1037.7075279280498</v>
      </c>
      <c r="T479">
        <f t="shared" si="983"/>
        <v>1.0377075279280499</v>
      </c>
    </row>
    <row r="480" spans="1:20" x14ac:dyDescent="0.25">
      <c r="A480" s="5">
        <v>44113</v>
      </c>
      <c r="B480">
        <v>2.4590000000000001E-2</v>
      </c>
      <c r="C480">
        <v>2.64E-2</v>
      </c>
      <c r="D480">
        <v>2.3400000000000001E-2</v>
      </c>
      <c r="E480">
        <v>2.503E-2</v>
      </c>
      <c r="F480">
        <v>17614997.199999999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8.6666666666666628E-2</v>
      </c>
      <c r="Q480">
        <f t="shared" si="980"/>
        <v>1526633.0906666659</v>
      </c>
      <c r="R480">
        <f t="shared" si="981"/>
        <v>109221639.31941044</v>
      </c>
      <c r="S480">
        <f t="shared" si="982"/>
        <v>1092.2163931941045</v>
      </c>
      <c r="T480">
        <f t="shared" si="983"/>
        <v>1.0922163931941045</v>
      </c>
    </row>
    <row r="481" spans="1:20" x14ac:dyDescent="0.25">
      <c r="A481" s="5">
        <v>44112</v>
      </c>
      <c r="B481">
        <v>2.3970000000000002E-2</v>
      </c>
      <c r="C481">
        <v>2.5479999999999999E-2</v>
      </c>
      <c r="D481">
        <v>2.3449999999999999E-2</v>
      </c>
      <c r="E481">
        <v>2.4629999999999999E-2</v>
      </c>
      <c r="F481">
        <v>15336876.6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0.16256157635467997</v>
      </c>
      <c r="Q481">
        <f t="shared" si="980"/>
        <v>2493186.8364532045</v>
      </c>
      <c r="R481">
        <f t="shared" si="981"/>
        <v>107695006.22874378</v>
      </c>
      <c r="S481">
        <f t="shared" si="982"/>
        <v>1076.9500622874377</v>
      </c>
      <c r="T481">
        <f t="shared" si="983"/>
        <v>1.0769500622874377</v>
      </c>
    </row>
    <row r="482" spans="1:20" x14ac:dyDescent="0.25">
      <c r="A482" s="5">
        <v>44111</v>
      </c>
      <c r="B482">
        <v>2.4080000000000001E-2</v>
      </c>
      <c r="C482">
        <v>2.4469999999999999E-2</v>
      </c>
      <c r="D482">
        <v>2.315E-2</v>
      </c>
      <c r="E482">
        <v>2.3970000000000002E-2</v>
      </c>
      <c r="F482">
        <v>19756187.399999999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0.24242424242424601</v>
      </c>
      <c r="Q482">
        <f t="shared" si="980"/>
        <v>4789378.7636364345</v>
      </c>
      <c r="R482">
        <f t="shared" si="981"/>
        <v>105201819.39229058</v>
      </c>
      <c r="S482">
        <f t="shared" si="982"/>
        <v>1052.0181939229058</v>
      </c>
      <c r="T482">
        <f t="shared" si="983"/>
        <v>1.0520181939229059</v>
      </c>
    </row>
    <row r="483" spans="1:20" x14ac:dyDescent="0.25">
      <c r="A483" s="5">
        <v>44110</v>
      </c>
      <c r="B483">
        <v>2.5610000000000001E-2</v>
      </c>
      <c r="C483">
        <v>2.5850000000000001E-2</v>
      </c>
      <c r="D483">
        <v>2.368E-2</v>
      </c>
      <c r="E483">
        <v>2.41E-2</v>
      </c>
      <c r="F483">
        <v>18263936.699999999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-0.61290322580645173</v>
      </c>
      <c r="Q483">
        <f t="shared" si="980"/>
        <v>-11194025.71935484</v>
      </c>
      <c r="R483">
        <f t="shared" si="981"/>
        <v>100412440.62865414</v>
      </c>
      <c r="S483">
        <f t="shared" si="982"/>
        <v>1004.1244062865413</v>
      </c>
      <c r="T483">
        <f t="shared" si="983"/>
        <v>1.0041244062865413</v>
      </c>
    </row>
    <row r="484" spans="1:20" x14ac:dyDescent="0.25">
      <c r="A484" s="5">
        <v>44109</v>
      </c>
      <c r="B484">
        <v>2.648E-2</v>
      </c>
      <c r="C484">
        <v>2.673E-2</v>
      </c>
      <c r="D484">
        <v>2.5250000000000002E-2</v>
      </c>
      <c r="E484">
        <v>2.562E-2</v>
      </c>
      <c r="F484">
        <v>10919708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-0.50000000000000122</v>
      </c>
      <c r="Q484">
        <f t="shared" si="980"/>
        <v>-5459854.000000013</v>
      </c>
      <c r="R484">
        <f t="shared" si="981"/>
        <v>111606466.34800898</v>
      </c>
      <c r="S484">
        <f t="shared" si="982"/>
        <v>1116.0646634800898</v>
      </c>
      <c r="T484">
        <f t="shared" si="983"/>
        <v>1.1160646634800899</v>
      </c>
    </row>
    <row r="485" spans="1:20" x14ac:dyDescent="0.25">
      <c r="A485" s="5">
        <v>44108</v>
      </c>
      <c r="B485">
        <v>2.5829999999999999E-2</v>
      </c>
      <c r="C485">
        <v>2.7089999999999999E-2</v>
      </c>
      <c r="D485">
        <v>2.547E-2</v>
      </c>
      <c r="E485">
        <v>2.647E-2</v>
      </c>
      <c r="F485">
        <v>18224558.800000001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0.23456790123456905</v>
      </c>
      <c r="Q485">
        <f t="shared" si="980"/>
        <v>4274896.5086419964</v>
      </c>
      <c r="R485">
        <f t="shared" si="981"/>
        <v>117066320.34800899</v>
      </c>
      <c r="S485">
        <f t="shared" si="982"/>
        <v>1170.6632034800898</v>
      </c>
      <c r="T485">
        <f t="shared" si="983"/>
        <v>1.1706632034800899</v>
      </c>
    </row>
    <row r="486" spans="1:20" x14ac:dyDescent="0.25">
      <c r="A486" s="5">
        <v>44107</v>
      </c>
      <c r="B486">
        <v>2.5649999999999999E-2</v>
      </c>
      <c r="C486">
        <v>2.623E-2</v>
      </c>
      <c r="D486">
        <v>2.503E-2</v>
      </c>
      <c r="E486">
        <v>2.5899999999999999E-2</v>
      </c>
      <c r="F486">
        <v>15903106.6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0.44999999999999912</v>
      </c>
      <c r="Q486">
        <f t="shared" si="980"/>
        <v>7156397.9699999858</v>
      </c>
      <c r="R486">
        <f t="shared" si="981"/>
        <v>112791423.83936699</v>
      </c>
      <c r="S486">
        <f t="shared" si="982"/>
        <v>1127.9142383936698</v>
      </c>
      <c r="T486">
        <f t="shared" si="983"/>
        <v>1.1279142383936698</v>
      </c>
    </row>
    <row r="487" spans="1:20" x14ac:dyDescent="0.25">
      <c r="A487" s="5">
        <v>44106</v>
      </c>
      <c r="B487">
        <v>2.6579999999999999E-2</v>
      </c>
      <c r="C487">
        <v>2.8289999999999999E-2</v>
      </c>
      <c r="D487">
        <v>2.4680000000000001E-2</v>
      </c>
      <c r="E487">
        <v>2.563E-2</v>
      </c>
      <c r="F487">
        <v>36450141.799999997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-0.47368421052631587</v>
      </c>
      <c r="Q487">
        <f t="shared" si="980"/>
        <v>-17265856.642105266</v>
      </c>
      <c r="R487">
        <f t="shared" si="981"/>
        <v>105635025.869367</v>
      </c>
      <c r="S487">
        <f t="shared" si="982"/>
        <v>1056.35025869367</v>
      </c>
      <c r="T487">
        <f t="shared" si="983"/>
        <v>1.0563502586936699</v>
      </c>
    </row>
    <row r="488" spans="1:20" x14ac:dyDescent="0.25">
      <c r="A488" s="5">
        <v>44105</v>
      </c>
      <c r="B488">
        <v>2.657E-2</v>
      </c>
      <c r="C488">
        <v>2.9960000000000001E-2</v>
      </c>
      <c r="D488">
        <v>2.3990000000000001E-2</v>
      </c>
      <c r="E488">
        <v>2.6599999999999999E-2</v>
      </c>
      <c r="F488">
        <v>77113233.900000006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-0.1256281407035183</v>
      </c>
      <c r="Q488">
        <f t="shared" si="980"/>
        <v>-9687592.1984925177</v>
      </c>
      <c r="R488">
        <f t="shared" si="981"/>
        <v>122900882.51147227</v>
      </c>
      <c r="S488">
        <f t="shared" si="982"/>
        <v>1229.0088251147226</v>
      </c>
      <c r="T488">
        <f t="shared" si="983"/>
        <v>1.2290088251147226</v>
      </c>
    </row>
    <row r="489" spans="1:20" x14ac:dyDescent="0.25">
      <c r="A489" s="5">
        <v>44104</v>
      </c>
      <c r="B489">
        <v>2.4570000000000002E-2</v>
      </c>
      <c r="C489">
        <v>2.7449999999999999E-2</v>
      </c>
      <c r="D489">
        <v>2.3789999999999999E-2</v>
      </c>
      <c r="E489">
        <v>2.657E-2</v>
      </c>
      <c r="F489">
        <v>47280366.299999997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0.51912568306010998</v>
      </c>
      <c r="Q489">
        <f t="shared" si="980"/>
        <v>24544452.450819705</v>
      </c>
      <c r="R489">
        <f t="shared" si="981"/>
        <v>132588474.70996478</v>
      </c>
      <c r="S489">
        <f t="shared" si="982"/>
        <v>1325.8847470996477</v>
      </c>
      <c r="T489">
        <f t="shared" si="983"/>
        <v>1.3258847470996478</v>
      </c>
    </row>
    <row r="490" spans="1:20" x14ac:dyDescent="0.25">
      <c r="A490" s="5">
        <v>44103</v>
      </c>
      <c r="B490">
        <v>2.4719999999999999E-2</v>
      </c>
      <c r="C490">
        <v>2.5499999999999998E-2</v>
      </c>
      <c r="D490">
        <v>2.3709999999999998E-2</v>
      </c>
      <c r="E490">
        <v>2.4709999999999999E-2</v>
      </c>
      <c r="F490">
        <v>16514860.5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0.11731843575419099</v>
      </c>
      <c r="Q490">
        <f t="shared" si="980"/>
        <v>1937497.6005586765</v>
      </c>
      <c r="R490">
        <f t="shared" si="981"/>
        <v>108044022.25914508</v>
      </c>
      <c r="S490">
        <f t="shared" si="982"/>
        <v>1080.4402225914507</v>
      </c>
      <c r="T490">
        <f t="shared" si="983"/>
        <v>1.0804402225914507</v>
      </c>
    </row>
    <row r="491" spans="1:20" x14ac:dyDescent="0.25">
      <c r="A491" s="5">
        <v>44102</v>
      </c>
      <c r="B491">
        <v>2.41E-2</v>
      </c>
      <c r="C491">
        <v>2.7109999999999999E-2</v>
      </c>
      <c r="D491">
        <v>2.3460000000000002E-2</v>
      </c>
      <c r="E491">
        <v>2.47E-2</v>
      </c>
      <c r="F491">
        <v>36418377.200000003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-0.32054794520547997</v>
      </c>
      <c r="Q491">
        <f t="shared" si="980"/>
        <v>-11673835.979178103</v>
      </c>
      <c r="R491">
        <f t="shared" si="981"/>
        <v>106106524.6585864</v>
      </c>
      <c r="S491">
        <f t="shared" si="982"/>
        <v>1061.0652465858641</v>
      </c>
      <c r="T491">
        <f t="shared" si="983"/>
        <v>1.0610652465858641</v>
      </c>
    </row>
    <row r="492" spans="1:20" x14ac:dyDescent="0.25">
      <c r="A492" s="5">
        <v>44101</v>
      </c>
      <c r="B492">
        <v>2.4369999999999999E-2</v>
      </c>
      <c r="C492">
        <v>2.47E-2</v>
      </c>
      <c r="D492">
        <v>2.3279999999999999E-2</v>
      </c>
      <c r="E492">
        <v>2.409E-2</v>
      </c>
      <c r="F492">
        <v>18707176.699999999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0.14084507042253669</v>
      </c>
      <c r="Q492">
        <f t="shared" si="980"/>
        <v>2634813.6197183374</v>
      </c>
      <c r="R492">
        <f t="shared" si="981"/>
        <v>117780360.6377645</v>
      </c>
      <c r="S492">
        <f t="shared" si="982"/>
        <v>1177.8036063776449</v>
      </c>
      <c r="T492">
        <f t="shared" si="983"/>
        <v>1.1778036063776449</v>
      </c>
    </row>
    <row r="493" spans="1:20" x14ac:dyDescent="0.25">
      <c r="A493" s="5">
        <v>44100</v>
      </c>
      <c r="B493">
        <v>2.4879999999999999E-2</v>
      </c>
      <c r="C493">
        <v>2.5899999999999999E-2</v>
      </c>
      <c r="D493">
        <v>2.3689999999999999E-2</v>
      </c>
      <c r="E493">
        <v>2.4389999999999998E-2</v>
      </c>
      <c r="F493">
        <v>33150417.199999999</v>
      </c>
      <c r="G493">
        <v>0</v>
      </c>
      <c r="L493" t="s">
        <v>8</v>
      </c>
      <c r="M493" t="s">
        <v>7</v>
      </c>
      <c r="N493" t="s">
        <v>8</v>
      </c>
      <c r="P493">
        <f t="shared" si="979"/>
        <v>-0.36651583710407315</v>
      </c>
      <c r="Q493">
        <f t="shared" si="980"/>
        <v>-12150152.910407264</v>
      </c>
      <c r="R493">
        <f t="shared" si="981"/>
        <v>115145547.01804616</v>
      </c>
      <c r="S493">
        <f t="shared" si="982"/>
        <v>1151.4554701804616</v>
      </c>
      <c r="T493">
        <f t="shared" si="983"/>
        <v>1.1514554701804616</v>
      </c>
    </row>
    <row r="494" spans="1:20" x14ac:dyDescent="0.25">
      <c r="A494" s="5">
        <v>44099</v>
      </c>
      <c r="B494">
        <v>2.5000000000000001E-2</v>
      </c>
      <c r="C494">
        <v>2.5139999999999999E-2</v>
      </c>
      <c r="D494">
        <v>2.3959999999999999E-2</v>
      </c>
      <c r="E494">
        <v>2.486E-2</v>
      </c>
      <c r="F494">
        <v>24937557.899999999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0.52542372881356125</v>
      </c>
      <c r="Q494">
        <f t="shared" si="980"/>
        <v>13102784.659322081</v>
      </c>
      <c r="R494">
        <f t="shared" si="981"/>
        <v>127295699.92845342</v>
      </c>
      <c r="S494">
        <f t="shared" si="982"/>
        <v>1272.956999284534</v>
      </c>
      <c r="T494">
        <f t="shared" si="983"/>
        <v>1.272956999284534</v>
      </c>
    </row>
    <row r="495" spans="1:20" x14ac:dyDescent="0.25">
      <c r="A495" s="5">
        <v>44098</v>
      </c>
      <c r="B495">
        <v>2.383E-2</v>
      </c>
      <c r="C495">
        <v>2.5489999999999999E-2</v>
      </c>
      <c r="D495">
        <v>2.298E-2</v>
      </c>
      <c r="E495">
        <v>2.5000000000000001E-2</v>
      </c>
      <c r="F495">
        <v>77334464.099999994</v>
      </c>
      <c r="G495">
        <v>0</v>
      </c>
      <c r="L495" t="s">
        <v>7</v>
      </c>
      <c r="M495" t="s">
        <v>7</v>
      </c>
      <c r="N495" t="s">
        <v>8</v>
      </c>
      <c r="P495">
        <f t="shared" si="979"/>
        <v>0.6095617529880496</v>
      </c>
      <c r="Q495">
        <f t="shared" si="980"/>
        <v>47140131.503187388</v>
      </c>
      <c r="R495">
        <f t="shared" si="981"/>
        <v>114192915.26913133</v>
      </c>
      <c r="S495">
        <f t="shared" si="982"/>
        <v>1141.9291526913132</v>
      </c>
      <c r="T495">
        <f t="shared" si="983"/>
        <v>1.1419291526913131</v>
      </c>
    </row>
    <row r="496" spans="1:20" x14ac:dyDescent="0.25">
      <c r="A496" s="5">
        <v>44097</v>
      </c>
      <c r="B496">
        <v>2.8000000000000001E-2</v>
      </c>
      <c r="C496">
        <v>2.9899999999999999E-2</v>
      </c>
      <c r="D496">
        <v>2.324E-2</v>
      </c>
      <c r="E496">
        <v>2.3779999999999999E-2</v>
      </c>
      <c r="F496">
        <v>74221148.400000006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-0.83783783783783816</v>
      </c>
      <c r="Q496">
        <f t="shared" si="980"/>
        <v>-62185286.497297324</v>
      </c>
      <c r="R496">
        <f t="shared" si="981"/>
        <v>67052783.765943937</v>
      </c>
      <c r="S496">
        <f t="shared" si="982"/>
        <v>670.52783765943934</v>
      </c>
      <c r="T496">
        <f t="shared" si="983"/>
        <v>0.67052783765943935</v>
      </c>
    </row>
    <row r="497" spans="1:20" x14ac:dyDescent="0.25">
      <c r="A497" s="5">
        <v>44096</v>
      </c>
      <c r="B497">
        <v>2.7060000000000001E-2</v>
      </c>
      <c r="C497">
        <v>2.879E-2</v>
      </c>
      <c r="D497">
        <v>2.623E-2</v>
      </c>
      <c r="E497">
        <v>2.8000000000000001E-2</v>
      </c>
      <c r="F497">
        <v>50154689.100000001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0.38281250000000072</v>
      </c>
      <c r="Q497">
        <f t="shared" si="980"/>
        <v>19199841.921093788</v>
      </c>
      <c r="R497">
        <f t="shared" si="981"/>
        <v>129238070.26324126</v>
      </c>
      <c r="S497">
        <f t="shared" si="982"/>
        <v>1292.3807026324125</v>
      </c>
      <c r="T497">
        <f t="shared" si="983"/>
        <v>1.2923807026324126</v>
      </c>
    </row>
    <row r="498" spans="1:20" x14ac:dyDescent="0.25">
      <c r="A498" s="5">
        <v>44095</v>
      </c>
      <c r="B498">
        <v>2.9579999999999999E-2</v>
      </c>
      <c r="C498">
        <v>3.2140000000000002E-2</v>
      </c>
      <c r="D498">
        <v>2.6499999999999999E-2</v>
      </c>
      <c r="E498">
        <v>2.707E-2</v>
      </c>
      <c r="F498">
        <v>215558859.90000001</v>
      </c>
      <c r="G498">
        <v>0</v>
      </c>
      <c r="L498" t="s">
        <v>8</v>
      </c>
      <c r="M498" t="s">
        <v>8</v>
      </c>
      <c r="N498" t="s">
        <v>8</v>
      </c>
      <c r="P498">
        <f t="shared" si="979"/>
        <v>-0.79787234042553168</v>
      </c>
      <c r="Q498">
        <f t="shared" si="980"/>
        <v>-171988452.0478723</v>
      </c>
      <c r="R498">
        <f t="shared" si="981"/>
        <v>110038228.34214747</v>
      </c>
      <c r="S498">
        <f t="shared" si="982"/>
        <v>1100.3822834214748</v>
      </c>
      <c r="T498">
        <f t="shared" si="983"/>
        <v>1.1003822834214747</v>
      </c>
    </row>
    <row r="499" spans="1:20" x14ac:dyDescent="0.25">
      <c r="A499" s="5">
        <v>44094</v>
      </c>
      <c r="B499">
        <v>2.682E-2</v>
      </c>
      <c r="C499">
        <v>2.9760000000000002E-2</v>
      </c>
      <c r="D499">
        <v>2.5510000000000001E-2</v>
      </c>
      <c r="E499">
        <v>2.9610000000000001E-2</v>
      </c>
      <c r="F499">
        <v>78686518.700000003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0.92941176470588194</v>
      </c>
      <c r="Q499">
        <f t="shared" si="980"/>
        <v>73132176.203529388</v>
      </c>
      <c r="R499">
        <f t="shared" si="981"/>
        <v>282026680.39001977</v>
      </c>
      <c r="S499">
        <f t="shared" si="982"/>
        <v>2820.2668039001978</v>
      </c>
      <c r="T499">
        <f t="shared" si="983"/>
        <v>2.8202668039001977</v>
      </c>
    </row>
    <row r="500" spans="1:20" x14ac:dyDescent="0.25">
      <c r="A500" s="5">
        <v>44093</v>
      </c>
      <c r="B500">
        <v>2.3709999999999998E-2</v>
      </c>
      <c r="C500">
        <v>2.7619999999999999E-2</v>
      </c>
      <c r="D500">
        <v>2.3009999999999999E-2</v>
      </c>
      <c r="E500">
        <v>2.6780000000000002E-2</v>
      </c>
      <c r="F500">
        <v>56600789.399999999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0.63557483731019648</v>
      </c>
      <c r="Q500">
        <f t="shared" si="980"/>
        <v>35974037.514533691</v>
      </c>
      <c r="R500">
        <f t="shared" si="981"/>
        <v>208894504.18649039</v>
      </c>
      <c r="S500">
        <f t="shared" si="982"/>
        <v>2088.9450418649039</v>
      </c>
      <c r="T500">
        <f t="shared" si="983"/>
        <v>2.0889450418649038</v>
      </c>
    </row>
    <row r="501" spans="1:20" x14ac:dyDescent="0.25">
      <c r="A501" s="5">
        <v>44092</v>
      </c>
      <c r="B501">
        <v>2.4539999999999999E-2</v>
      </c>
      <c r="C501">
        <v>2.4629999999999999E-2</v>
      </c>
      <c r="D501">
        <v>2.282E-2</v>
      </c>
      <c r="E501">
        <v>2.367E-2</v>
      </c>
      <c r="F501">
        <v>17035242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-6.0773480662982896E-2</v>
      </c>
      <c r="Q501">
        <f t="shared" si="980"/>
        <v>-1035290.9502762341</v>
      </c>
      <c r="R501">
        <f t="shared" si="981"/>
        <v>172920466.67195669</v>
      </c>
      <c r="S501">
        <f t="shared" si="982"/>
        <v>1729.2046667195668</v>
      </c>
      <c r="T501">
        <f t="shared" si="983"/>
        <v>1.7292046667195669</v>
      </c>
    </row>
    <row r="502" spans="1:20" x14ac:dyDescent="0.25">
      <c r="A502" s="5">
        <v>44091</v>
      </c>
      <c r="B502">
        <v>2.6249999999999999E-2</v>
      </c>
      <c r="C502">
        <v>2.6599999999999999E-2</v>
      </c>
      <c r="D502">
        <v>2.351E-2</v>
      </c>
      <c r="E502">
        <v>2.4539999999999999E-2</v>
      </c>
      <c r="F502">
        <v>37825106.600000001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-0.33333333333333331</v>
      </c>
      <c r="Q502">
        <f t="shared" si="980"/>
        <v>-12608368.866666667</v>
      </c>
      <c r="R502">
        <f t="shared" si="981"/>
        <v>173955757.62223291</v>
      </c>
      <c r="S502">
        <f t="shared" si="982"/>
        <v>1739.5575762223291</v>
      </c>
      <c r="T502">
        <f t="shared" si="983"/>
        <v>1.739557576222329</v>
      </c>
    </row>
    <row r="503" spans="1:20" x14ac:dyDescent="0.25">
      <c r="A503" s="5">
        <v>44090</v>
      </c>
      <c r="B503">
        <v>2.085E-2</v>
      </c>
      <c r="C503">
        <v>2.6249999999999999E-2</v>
      </c>
      <c r="D503">
        <v>2.0650000000000002E-2</v>
      </c>
      <c r="E503">
        <v>2.6249999999999999E-2</v>
      </c>
      <c r="F503">
        <v>104911085.5</v>
      </c>
      <c r="G503">
        <v>0</v>
      </c>
      <c r="L503" t="s">
        <v>8</v>
      </c>
      <c r="M503" t="s">
        <v>8</v>
      </c>
      <c r="N503" t="s">
        <v>7</v>
      </c>
      <c r="P503">
        <f t="shared" si="979"/>
        <v>1</v>
      </c>
      <c r="Q503">
        <f t="shared" si="980"/>
        <v>104911085.5</v>
      </c>
      <c r="R503">
        <f t="shared" si="981"/>
        <v>186564126.48889959</v>
      </c>
      <c r="S503">
        <f t="shared" si="982"/>
        <v>1865.6412648889959</v>
      </c>
      <c r="T503">
        <f t="shared" si="983"/>
        <v>1.865641264888996</v>
      </c>
    </row>
    <row r="504" spans="1:20" x14ac:dyDescent="0.25">
      <c r="A504" s="5">
        <v>44089</v>
      </c>
      <c r="B504">
        <v>2.1780000000000001E-2</v>
      </c>
      <c r="C504">
        <v>2.2339999999999999E-2</v>
      </c>
      <c r="D504">
        <v>2.077E-2</v>
      </c>
      <c r="E504">
        <v>2.0830000000000001E-2</v>
      </c>
      <c r="F504">
        <v>14459172.300000001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-0.92356687898089029</v>
      </c>
      <c r="Q504">
        <f t="shared" si="980"/>
        <v>-13354012.633757941</v>
      </c>
      <c r="R504">
        <f t="shared" si="981"/>
        <v>81653040.988899589</v>
      </c>
      <c r="S504">
        <f t="shared" si="982"/>
        <v>816.53040988899591</v>
      </c>
      <c r="T504">
        <f t="shared" si="983"/>
        <v>0.81653040988899594</v>
      </c>
    </row>
    <row r="505" spans="1:20" x14ac:dyDescent="0.25">
      <c r="A505" s="5">
        <v>44088</v>
      </c>
      <c r="B505">
        <v>2.1229999999999999E-2</v>
      </c>
      <c r="C505">
        <v>2.2700000000000001E-2</v>
      </c>
      <c r="D505">
        <v>2.1149999999999999E-2</v>
      </c>
      <c r="E505">
        <v>2.1690000000000001E-2</v>
      </c>
      <c r="F505">
        <v>16863873.699999999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-0.30322580645161118</v>
      </c>
      <c r="Q505">
        <f t="shared" si="980"/>
        <v>-5113561.7025806159</v>
      </c>
      <c r="R505">
        <f t="shared" si="981"/>
        <v>95007053.622657523</v>
      </c>
      <c r="S505">
        <f t="shared" si="982"/>
        <v>950.0705362265752</v>
      </c>
      <c r="T505">
        <f t="shared" si="983"/>
        <v>0.95007053622657522</v>
      </c>
    </row>
    <row r="506" spans="1:20" x14ac:dyDescent="0.25">
      <c r="A506" s="5">
        <v>44087</v>
      </c>
      <c r="B506">
        <v>2.2710000000000001E-2</v>
      </c>
      <c r="C506">
        <v>2.2919999999999999E-2</v>
      </c>
      <c r="D506">
        <v>2.0990000000000002E-2</v>
      </c>
      <c r="E506">
        <v>2.129E-2</v>
      </c>
      <c r="F506">
        <v>18960567.600000001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-0.68911917098445752</v>
      </c>
      <c r="Q506">
        <f t="shared" si="980"/>
        <v>-13066090.625906765</v>
      </c>
      <c r="R506">
        <f t="shared" si="981"/>
        <v>100120615.32523814</v>
      </c>
      <c r="S506">
        <f t="shared" si="982"/>
        <v>1001.2061532523813</v>
      </c>
      <c r="T506">
        <f t="shared" si="983"/>
        <v>1.0012061532523813</v>
      </c>
    </row>
    <row r="507" spans="1:20" x14ac:dyDescent="0.25">
      <c r="A507" s="5">
        <v>44086</v>
      </c>
      <c r="B507">
        <v>2.2630000000000001E-2</v>
      </c>
      <c r="C507">
        <v>2.3099999999999999E-2</v>
      </c>
      <c r="D507">
        <v>2.1999999999999999E-2</v>
      </c>
      <c r="E507">
        <v>2.2710000000000001E-2</v>
      </c>
      <c r="F507">
        <v>18474020.699999999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0.29090909090909473</v>
      </c>
      <c r="Q507">
        <f t="shared" si="980"/>
        <v>5374260.5672727972</v>
      </c>
      <c r="R507">
        <f t="shared" si="981"/>
        <v>113186705.9511449</v>
      </c>
      <c r="S507">
        <f t="shared" si="982"/>
        <v>1131.867059511449</v>
      </c>
      <c r="T507">
        <f t="shared" si="983"/>
        <v>1.1318670595114491</v>
      </c>
    </row>
    <row r="508" spans="1:20" x14ac:dyDescent="0.25">
      <c r="A508" s="5">
        <v>44085</v>
      </c>
      <c r="B508">
        <v>2.2710000000000001E-2</v>
      </c>
      <c r="C508">
        <v>2.282E-2</v>
      </c>
      <c r="D508">
        <v>2.1659999999999999E-2</v>
      </c>
      <c r="E508">
        <v>2.264E-2</v>
      </c>
      <c r="F508">
        <v>12625982.6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0.68965517241379415</v>
      </c>
      <c r="Q508">
        <f t="shared" si="980"/>
        <v>8707574.206896564</v>
      </c>
      <c r="R508">
        <f t="shared" si="981"/>
        <v>107812445.38387211</v>
      </c>
      <c r="S508">
        <f t="shared" si="982"/>
        <v>1078.1244538387211</v>
      </c>
      <c r="T508">
        <f t="shared" si="983"/>
        <v>1.0781244538387211</v>
      </c>
    </row>
    <row r="509" spans="1:20" x14ac:dyDescent="0.25">
      <c r="A509" s="5">
        <v>44084</v>
      </c>
      <c r="B509">
        <v>2.163E-2</v>
      </c>
      <c r="C509">
        <v>2.341E-2</v>
      </c>
      <c r="D509">
        <v>2.163E-2</v>
      </c>
      <c r="E509">
        <v>2.2710000000000001E-2</v>
      </c>
      <c r="F509">
        <v>21729882.399999999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0.21348314606741675</v>
      </c>
      <c r="Q509">
        <f t="shared" si="980"/>
        <v>4638963.6584269879</v>
      </c>
      <c r="R509">
        <f t="shared" si="981"/>
        <v>99104871.176975548</v>
      </c>
      <c r="S509">
        <f t="shared" si="982"/>
        <v>991.04871176975553</v>
      </c>
      <c r="T509">
        <f t="shared" si="983"/>
        <v>0.99104871176975551</v>
      </c>
    </row>
    <row r="510" spans="1:20" x14ac:dyDescent="0.25">
      <c r="A510" s="5">
        <v>44083</v>
      </c>
      <c r="B510">
        <v>2.1610000000000001E-2</v>
      </c>
      <c r="C510">
        <v>2.2280000000000001E-2</v>
      </c>
      <c r="D510">
        <v>2.0910000000000002E-2</v>
      </c>
      <c r="E510">
        <v>2.163E-2</v>
      </c>
      <c r="F510">
        <v>14915687.800000001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5.1094890510946837E-2</v>
      </c>
      <c r="Q510">
        <f t="shared" si="980"/>
        <v>762115.43503646553</v>
      </c>
      <c r="R510">
        <f t="shared" si="981"/>
        <v>94465907.518548563</v>
      </c>
      <c r="S510">
        <f t="shared" si="982"/>
        <v>944.65907518548568</v>
      </c>
      <c r="T510">
        <f t="shared" si="983"/>
        <v>0.94465907518548564</v>
      </c>
    </row>
    <row r="511" spans="1:20" x14ac:dyDescent="0.25">
      <c r="A511" s="5">
        <v>44082</v>
      </c>
      <c r="B511">
        <v>2.162E-2</v>
      </c>
      <c r="C511">
        <v>2.3199999999999998E-2</v>
      </c>
      <c r="D511">
        <v>2.0629999999999999E-2</v>
      </c>
      <c r="E511">
        <v>2.1659999999999999E-2</v>
      </c>
      <c r="F511">
        <v>15159269.699999999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-0.19844357976653704</v>
      </c>
      <c r="Q511">
        <f t="shared" si="980"/>
        <v>-3008259.7459143978</v>
      </c>
      <c r="R511">
        <f t="shared" si="981"/>
        <v>93703792.083512098</v>
      </c>
      <c r="S511">
        <f t="shared" si="982"/>
        <v>937.03792083512099</v>
      </c>
      <c r="T511">
        <f t="shared" si="983"/>
        <v>0.93703792083512094</v>
      </c>
    </row>
    <row r="512" spans="1:20" x14ac:dyDescent="0.25">
      <c r="A512" s="5">
        <v>44081</v>
      </c>
      <c r="B512">
        <v>2.2239999999999999E-2</v>
      </c>
      <c r="C512">
        <v>2.247E-2</v>
      </c>
      <c r="D512">
        <v>2.0199999999999999E-2</v>
      </c>
      <c r="E512">
        <v>2.1600000000000001E-2</v>
      </c>
      <c r="F512">
        <v>28215080.199999999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0.23348017621145481</v>
      </c>
      <c r="Q512">
        <f t="shared" si="980"/>
        <v>6587661.8969163299</v>
      </c>
      <c r="R512">
        <f t="shared" si="981"/>
        <v>96712051.829426497</v>
      </c>
      <c r="S512">
        <f t="shared" si="982"/>
        <v>967.12051829426503</v>
      </c>
      <c r="T512">
        <f t="shared" si="983"/>
        <v>0.96712051829426504</v>
      </c>
    </row>
    <row r="513" spans="1:20" x14ac:dyDescent="0.25">
      <c r="A513" s="5">
        <v>44080</v>
      </c>
      <c r="B513">
        <v>2.1270000000000001E-2</v>
      </c>
      <c r="C513">
        <v>2.299E-2</v>
      </c>
      <c r="D513">
        <v>2.0789999999999999E-2</v>
      </c>
      <c r="E513">
        <v>2.2249999999999999E-2</v>
      </c>
      <c r="F513">
        <v>18797949.899999999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0.32727272727272649</v>
      </c>
      <c r="Q513">
        <f t="shared" si="980"/>
        <v>6152056.3309090761</v>
      </c>
      <c r="R513">
        <f t="shared" si="981"/>
        <v>90124389.932510167</v>
      </c>
      <c r="S513">
        <f t="shared" si="982"/>
        <v>901.24389932510167</v>
      </c>
      <c r="T513">
        <f t="shared" si="983"/>
        <v>0.90124389932510163</v>
      </c>
    </row>
    <row r="514" spans="1:20" x14ac:dyDescent="0.25">
      <c r="A514" s="5">
        <v>44079</v>
      </c>
      <c r="B514">
        <v>2.4299999999999999E-2</v>
      </c>
      <c r="C514">
        <v>2.4459999999999999E-2</v>
      </c>
      <c r="D514">
        <v>2.0549999999999999E-2</v>
      </c>
      <c r="E514">
        <v>2.1399999999999999E-2</v>
      </c>
      <c r="F514">
        <v>26066139.5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-0.56521739130434778</v>
      </c>
      <c r="Q514">
        <f t="shared" si="980"/>
        <v>-14733035.369565217</v>
      </c>
      <c r="R514">
        <f t="shared" si="981"/>
        <v>83972333.601601094</v>
      </c>
      <c r="S514">
        <f t="shared" si="982"/>
        <v>839.72333601601099</v>
      </c>
      <c r="T514">
        <f t="shared" si="983"/>
        <v>0.83972333601601101</v>
      </c>
    </row>
    <row r="515" spans="1:20" x14ac:dyDescent="0.25">
      <c r="A515" s="5">
        <v>44078</v>
      </c>
      <c r="B515">
        <v>2.3E-2</v>
      </c>
      <c r="C515">
        <v>2.8000000000000001E-2</v>
      </c>
      <c r="D515">
        <v>2.2169999999999999E-2</v>
      </c>
      <c r="E515">
        <v>2.4340000000000001E-2</v>
      </c>
      <c r="F515">
        <v>97006007.599999994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-0.25557461406517973</v>
      </c>
      <c r="Q515">
        <f t="shared" si="980"/>
        <v>-24792272.954373889</v>
      </c>
      <c r="R515">
        <f t="shared" si="981"/>
        <v>98705368.971166313</v>
      </c>
      <c r="S515">
        <f t="shared" si="982"/>
        <v>987.05368971166308</v>
      </c>
      <c r="T515">
        <f t="shared" si="983"/>
        <v>0.98705368971166307</v>
      </c>
    </row>
    <row r="516" spans="1:20" x14ac:dyDescent="0.25">
      <c r="A516" s="5">
        <v>44077</v>
      </c>
      <c r="B516">
        <v>2.5100000000000001E-2</v>
      </c>
      <c r="C516">
        <v>2.9000000000000001E-2</v>
      </c>
      <c r="D516">
        <v>2.0789999999999999E-2</v>
      </c>
      <c r="E516">
        <v>2.3019999999999999E-2</v>
      </c>
      <c r="F516">
        <v>112669687.59999999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-0.45676004872107218</v>
      </c>
      <c r="Q516">
        <f t="shared" si="980"/>
        <v>-51463011.997563981</v>
      </c>
      <c r="R516">
        <f t="shared" si="981"/>
        <v>123497641.92554021</v>
      </c>
      <c r="S516">
        <f t="shared" si="982"/>
        <v>1234.9764192554021</v>
      </c>
      <c r="T516">
        <f t="shared" si="983"/>
        <v>1.234976419255402</v>
      </c>
    </row>
    <row r="517" spans="1:20" x14ac:dyDescent="0.25">
      <c r="A517" s="5">
        <v>44076</v>
      </c>
      <c r="B517">
        <v>2.6089999999999999E-2</v>
      </c>
      <c r="C517">
        <v>2.6169999999999999E-2</v>
      </c>
      <c r="D517">
        <v>2.3519999999999999E-2</v>
      </c>
      <c r="E517">
        <v>2.511E-2</v>
      </c>
      <c r="F517">
        <v>31169617.600000001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0.20000000000000104</v>
      </c>
      <c r="Q517">
        <f t="shared" si="980"/>
        <v>6233923.5200000331</v>
      </c>
      <c r="R517">
        <f t="shared" si="981"/>
        <v>174960653.9231042</v>
      </c>
      <c r="S517">
        <f t="shared" si="982"/>
        <v>1749.606539231042</v>
      </c>
      <c r="T517">
        <f t="shared" si="983"/>
        <v>1.749606539231042</v>
      </c>
    </row>
    <row r="518" spans="1:20" x14ac:dyDescent="0.25">
      <c r="A518" s="5">
        <v>44075</v>
      </c>
      <c r="B518">
        <v>2.6890000000000001E-2</v>
      </c>
      <c r="C518">
        <v>2.7199999999999998E-2</v>
      </c>
      <c r="D518">
        <v>2.546E-2</v>
      </c>
      <c r="E518">
        <v>2.6089999999999999E-2</v>
      </c>
      <c r="F518">
        <v>35617120.399999999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-0.27586206896551818</v>
      </c>
      <c r="Q518">
        <f t="shared" ref="Q518:Q581" si="985">F518*P518</f>
        <v>-9825412.5241379645</v>
      </c>
      <c r="R518">
        <f t="shared" ref="R518:R581" si="986">R519+Q518</f>
        <v>168726730.40310416</v>
      </c>
      <c r="S518">
        <f t="shared" ref="S518:S581" si="987">R518/100000</f>
        <v>1687.2673040310415</v>
      </c>
      <c r="T518">
        <f t="shared" ref="T518:T581" si="988">S518/1000</f>
        <v>1.6872673040310415</v>
      </c>
    </row>
    <row r="519" spans="1:20" x14ac:dyDescent="0.25">
      <c r="A519" s="5">
        <v>44074</v>
      </c>
      <c r="B519">
        <v>2.6610000000000002E-2</v>
      </c>
      <c r="C519">
        <v>2.7439999999999999E-2</v>
      </c>
      <c r="D519">
        <v>2.6169999999999999E-2</v>
      </c>
      <c r="E519">
        <v>2.6970000000000001E-2</v>
      </c>
      <c r="F519">
        <v>24847337.100000001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0.25984251968504241</v>
      </c>
      <c r="Q519">
        <f t="shared" si="985"/>
        <v>6456394.6795276348</v>
      </c>
      <c r="R519">
        <f t="shared" si="986"/>
        <v>178552142.92724213</v>
      </c>
      <c r="S519">
        <f t="shared" si="987"/>
        <v>1785.5214292724213</v>
      </c>
      <c r="T519">
        <f t="shared" si="988"/>
        <v>1.7855214292724213</v>
      </c>
    </row>
    <row r="520" spans="1:20" x14ac:dyDescent="0.25">
      <c r="A520" s="5">
        <v>44073</v>
      </c>
      <c r="B520">
        <v>2.7449999999999999E-2</v>
      </c>
      <c r="C520">
        <v>2.7650000000000001E-2</v>
      </c>
      <c r="D520">
        <v>2.6409999999999999E-2</v>
      </c>
      <c r="E520">
        <v>2.6610000000000002E-2</v>
      </c>
      <c r="F520">
        <v>25522429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-0.67741935483870641</v>
      </c>
      <c r="Q520">
        <f t="shared" si="985"/>
        <v>-17289387.387096692</v>
      </c>
      <c r="R520">
        <f t="shared" si="986"/>
        <v>172095748.24771449</v>
      </c>
      <c r="S520">
        <f t="shared" si="987"/>
        <v>1720.9574824771448</v>
      </c>
      <c r="T520">
        <f t="shared" si="988"/>
        <v>1.7209574824771448</v>
      </c>
    </row>
    <row r="521" spans="1:20" x14ac:dyDescent="0.25">
      <c r="A521" s="5">
        <v>44072</v>
      </c>
      <c r="B521">
        <v>2.7359999999999999E-2</v>
      </c>
      <c r="C521">
        <v>2.7820000000000001E-2</v>
      </c>
      <c r="D521">
        <v>2.7E-2</v>
      </c>
      <c r="E521">
        <v>2.7550000000000002E-2</v>
      </c>
      <c r="F521">
        <v>17166932.399999999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0.34146341463414881</v>
      </c>
      <c r="Q521">
        <f t="shared" si="985"/>
        <v>5861879.3560976032</v>
      </c>
      <c r="R521">
        <f t="shared" si="986"/>
        <v>189385135.63481119</v>
      </c>
      <c r="S521">
        <f t="shared" si="987"/>
        <v>1893.8513563481119</v>
      </c>
      <c r="T521">
        <f t="shared" si="988"/>
        <v>1.8938513563481119</v>
      </c>
    </row>
    <row r="522" spans="1:20" x14ac:dyDescent="0.25">
      <c r="A522" s="5">
        <v>44071</v>
      </c>
      <c r="B522">
        <v>2.7179999999999999E-2</v>
      </c>
      <c r="C522">
        <v>2.8479999999999998E-2</v>
      </c>
      <c r="D522">
        <v>2.6950000000000002E-2</v>
      </c>
      <c r="E522">
        <v>2.7359999999999999E-2</v>
      </c>
      <c r="F522">
        <v>22048918.399999999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-0.46405228758170186</v>
      </c>
      <c r="Q522">
        <f t="shared" si="985"/>
        <v>-10231851.022222277</v>
      </c>
      <c r="R522">
        <f t="shared" si="986"/>
        <v>183523256.27871358</v>
      </c>
      <c r="S522">
        <f t="shared" si="987"/>
        <v>1835.2325627871357</v>
      </c>
      <c r="T522">
        <f t="shared" si="988"/>
        <v>1.8352325627871358</v>
      </c>
    </row>
    <row r="523" spans="1:20" x14ac:dyDescent="0.25">
      <c r="A523" s="5">
        <v>44070</v>
      </c>
      <c r="B523">
        <v>2.8639999999999999E-2</v>
      </c>
      <c r="C523">
        <v>2.8709999999999999E-2</v>
      </c>
      <c r="D523">
        <v>2.6440000000000002E-2</v>
      </c>
      <c r="E523">
        <v>2.7050000000000001E-2</v>
      </c>
      <c r="F523">
        <v>29893394.5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-0.46255506607929514</v>
      </c>
      <c r="Q523">
        <f t="shared" si="985"/>
        <v>-13827341.068281937</v>
      </c>
      <c r="R523">
        <f t="shared" si="986"/>
        <v>193755107.30093586</v>
      </c>
      <c r="S523">
        <f t="shared" si="987"/>
        <v>1937.5510730093586</v>
      </c>
      <c r="T523">
        <f t="shared" si="988"/>
        <v>1.9375510730093586</v>
      </c>
    </row>
    <row r="524" spans="1:20" x14ac:dyDescent="0.25">
      <c r="A524" s="5">
        <v>44069</v>
      </c>
      <c r="B524">
        <v>2.9309999999999999E-2</v>
      </c>
      <c r="C524">
        <v>3.0550000000000001E-2</v>
      </c>
      <c r="D524">
        <v>2.8219999999999999E-2</v>
      </c>
      <c r="E524">
        <v>2.8639999999999999E-2</v>
      </c>
      <c r="F524">
        <v>26262220.300000001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-0.63948497854077269</v>
      </c>
      <c r="Q524">
        <f t="shared" si="985"/>
        <v>-16794295.384978544</v>
      </c>
      <c r="R524">
        <f t="shared" si="986"/>
        <v>207582448.36921781</v>
      </c>
      <c r="S524">
        <f t="shared" si="987"/>
        <v>2075.8244836921781</v>
      </c>
      <c r="T524">
        <f t="shared" si="988"/>
        <v>2.0758244836921782</v>
      </c>
    </row>
    <row r="525" spans="1:20" x14ac:dyDescent="0.25">
      <c r="A525" s="5">
        <v>44068</v>
      </c>
      <c r="B525">
        <v>3.0890000000000001E-2</v>
      </c>
      <c r="C525">
        <v>3.1989999999999998E-2</v>
      </c>
      <c r="D525">
        <v>2.75E-2</v>
      </c>
      <c r="E525">
        <v>2.9360000000000001E-2</v>
      </c>
      <c r="F525">
        <v>40329108.799999997</v>
      </c>
      <c r="G525">
        <v>0</v>
      </c>
      <c r="L525" t="s">
        <v>8</v>
      </c>
      <c r="M525" t="s">
        <v>7</v>
      </c>
      <c r="N525" t="s">
        <v>8</v>
      </c>
      <c r="P525">
        <f t="shared" si="984"/>
        <v>-0.17149220489977657</v>
      </c>
      <c r="Q525">
        <f t="shared" si="985"/>
        <v>-6916127.7897549821</v>
      </c>
      <c r="R525">
        <f t="shared" si="986"/>
        <v>224376743.75419635</v>
      </c>
      <c r="S525">
        <f t="shared" si="987"/>
        <v>2243.7674375419633</v>
      </c>
      <c r="T525">
        <f t="shared" si="988"/>
        <v>2.2437674375419632</v>
      </c>
    </row>
    <row r="526" spans="1:20" x14ac:dyDescent="0.25">
      <c r="A526" s="5">
        <v>44067</v>
      </c>
      <c r="B526">
        <v>2.8629999999999999E-2</v>
      </c>
      <c r="C526">
        <v>3.15E-2</v>
      </c>
      <c r="D526">
        <v>2.8029999999999999E-2</v>
      </c>
      <c r="E526">
        <v>3.0769999999999999E-2</v>
      </c>
      <c r="F526">
        <v>33210108.800000001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0.57925072046109438</v>
      </c>
      <c r="Q526">
        <f t="shared" si="985"/>
        <v>19236979.448991332</v>
      </c>
      <c r="R526">
        <f t="shared" si="986"/>
        <v>231292871.54395133</v>
      </c>
      <c r="S526">
        <f t="shared" si="987"/>
        <v>2312.9287154395133</v>
      </c>
      <c r="T526">
        <f t="shared" si="988"/>
        <v>2.3129287154395133</v>
      </c>
    </row>
    <row r="527" spans="1:20" x14ac:dyDescent="0.25">
      <c r="A527" s="5">
        <v>44066</v>
      </c>
      <c r="B527">
        <v>3.0249999999999999E-2</v>
      </c>
      <c r="C527">
        <v>3.041E-2</v>
      </c>
      <c r="D527">
        <v>2.802E-2</v>
      </c>
      <c r="E527">
        <v>2.8629999999999999E-2</v>
      </c>
      <c r="F527">
        <v>16157822.9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-0.48953974895397534</v>
      </c>
      <c r="Q527">
        <f t="shared" si="985"/>
        <v>-7909896.566108794</v>
      </c>
      <c r="R527">
        <f t="shared" si="986"/>
        <v>212055892.09496</v>
      </c>
      <c r="S527">
        <f t="shared" si="987"/>
        <v>2120.5589209496002</v>
      </c>
      <c r="T527">
        <f t="shared" si="988"/>
        <v>2.1205589209496001</v>
      </c>
    </row>
    <row r="528" spans="1:20" x14ac:dyDescent="0.25">
      <c r="A528" s="5">
        <v>44065</v>
      </c>
      <c r="B528">
        <v>2.9680000000000002E-2</v>
      </c>
      <c r="C528">
        <v>3.048E-2</v>
      </c>
      <c r="D528">
        <v>2.8500000000000001E-2</v>
      </c>
      <c r="E528">
        <v>3.0110000000000001E-2</v>
      </c>
      <c r="F528">
        <v>19390884.100000001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0.6262626262626273</v>
      </c>
      <c r="Q528">
        <f t="shared" si="985"/>
        <v>12143786.002020223</v>
      </c>
      <c r="R528">
        <f t="shared" si="986"/>
        <v>219965788.6610688</v>
      </c>
      <c r="S528">
        <f t="shared" si="987"/>
        <v>2199.6578866106879</v>
      </c>
      <c r="T528">
        <f t="shared" si="988"/>
        <v>2.1996578866106877</v>
      </c>
    </row>
    <row r="529" spans="1:20" x14ac:dyDescent="0.25">
      <c r="A529" s="5">
        <v>44064</v>
      </c>
      <c r="B529">
        <v>3.2059999999999998E-2</v>
      </c>
      <c r="C529">
        <v>3.2629999999999999E-2</v>
      </c>
      <c r="D529">
        <v>2.9020000000000001E-2</v>
      </c>
      <c r="E529">
        <v>2.9649999999999999E-2</v>
      </c>
      <c r="F529">
        <v>28346668.699999999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-0.65096952908587324</v>
      </c>
      <c r="Q529">
        <f t="shared" si="985"/>
        <v>-18452817.574792262</v>
      </c>
      <c r="R529">
        <f t="shared" si="986"/>
        <v>207822002.65904859</v>
      </c>
      <c r="S529">
        <f t="shared" si="987"/>
        <v>2078.2200265904858</v>
      </c>
      <c r="T529">
        <f t="shared" si="988"/>
        <v>2.0782200265904858</v>
      </c>
    </row>
    <row r="530" spans="1:20" x14ac:dyDescent="0.25">
      <c r="A530" s="5">
        <v>44063</v>
      </c>
      <c r="B530">
        <v>3.1309999999999998E-2</v>
      </c>
      <c r="C530">
        <v>3.3320000000000002E-2</v>
      </c>
      <c r="D530">
        <v>3.0970000000000001E-2</v>
      </c>
      <c r="E530">
        <v>3.2120000000000003E-2</v>
      </c>
      <c r="F530">
        <v>21966968.800000001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-2.1276595744679973E-2</v>
      </c>
      <c r="Q530">
        <f t="shared" si="985"/>
        <v>-467382.31489359774</v>
      </c>
      <c r="R530">
        <f t="shared" si="986"/>
        <v>226274820.23384085</v>
      </c>
      <c r="S530">
        <f t="shared" si="987"/>
        <v>2262.7482023384086</v>
      </c>
      <c r="T530">
        <f t="shared" si="988"/>
        <v>2.2627482023384085</v>
      </c>
    </row>
    <row r="531" spans="1:20" x14ac:dyDescent="0.25">
      <c r="A531" s="5">
        <v>44062</v>
      </c>
      <c r="B531">
        <v>3.3340000000000002E-2</v>
      </c>
      <c r="C531">
        <v>3.3989999999999999E-2</v>
      </c>
      <c r="D531">
        <v>3.0499999999999999E-2</v>
      </c>
      <c r="E531">
        <v>3.1289999999999998E-2</v>
      </c>
      <c r="F531">
        <v>31591185.399999999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-0.54727793696275129</v>
      </c>
      <c r="Q531">
        <f t="shared" si="985"/>
        <v>-17289158.771919787</v>
      </c>
      <c r="R531">
        <f t="shared" si="986"/>
        <v>226742202.54873446</v>
      </c>
      <c r="S531">
        <f t="shared" si="987"/>
        <v>2267.4220254873444</v>
      </c>
      <c r="T531">
        <f t="shared" si="988"/>
        <v>2.2674220254873445</v>
      </c>
    </row>
    <row r="532" spans="1:20" x14ac:dyDescent="0.25">
      <c r="A532" s="5">
        <v>44061</v>
      </c>
      <c r="B532">
        <v>3.4779999999999998E-2</v>
      </c>
      <c r="C532">
        <v>3.5130000000000002E-2</v>
      </c>
      <c r="D532">
        <v>3.2320000000000002E-2</v>
      </c>
      <c r="E532">
        <v>3.3360000000000001E-2</v>
      </c>
      <c r="F532">
        <v>28180126.199999999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-0.25978647686832795</v>
      </c>
      <c r="Q532">
        <f t="shared" si="985"/>
        <v>-7320815.7032028623</v>
      </c>
      <c r="R532">
        <f t="shared" si="986"/>
        <v>244031361.32065424</v>
      </c>
      <c r="S532">
        <f t="shared" si="987"/>
        <v>2440.3136132065424</v>
      </c>
      <c r="T532">
        <f t="shared" si="988"/>
        <v>2.4403136132065426</v>
      </c>
    </row>
    <row r="533" spans="1:20" x14ac:dyDescent="0.25">
      <c r="A533" s="5">
        <v>44060</v>
      </c>
      <c r="B533">
        <v>3.6999999999999998E-2</v>
      </c>
      <c r="C533">
        <v>3.7240000000000002E-2</v>
      </c>
      <c r="D533">
        <v>3.3669999999999999E-2</v>
      </c>
      <c r="E533">
        <v>3.4720000000000001E-2</v>
      </c>
      <c r="F533">
        <v>34418528.799999997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-0.41176470588235226</v>
      </c>
      <c r="Q533">
        <f t="shared" si="985"/>
        <v>-14172335.388235269</v>
      </c>
      <c r="R533">
        <f t="shared" si="986"/>
        <v>251352177.02385712</v>
      </c>
      <c r="S533">
        <f t="shared" si="987"/>
        <v>2513.5217702385712</v>
      </c>
      <c r="T533">
        <f t="shared" si="988"/>
        <v>2.513521770238571</v>
      </c>
    </row>
    <row r="534" spans="1:20" x14ac:dyDescent="0.25">
      <c r="A534" s="5">
        <v>44059</v>
      </c>
      <c r="B534">
        <v>3.5389999999999998E-2</v>
      </c>
      <c r="C534">
        <v>3.6999999999999998E-2</v>
      </c>
      <c r="D534">
        <v>3.2800000000000003E-2</v>
      </c>
      <c r="E534">
        <v>3.687E-2</v>
      </c>
      <c r="F534">
        <v>45452776.399999999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0.93809523809523887</v>
      </c>
      <c r="Q534">
        <f t="shared" si="985"/>
        <v>42639033.099047653</v>
      </c>
      <c r="R534">
        <f t="shared" si="986"/>
        <v>265524512.41209239</v>
      </c>
      <c r="S534">
        <f t="shared" si="987"/>
        <v>2655.2451241209237</v>
      </c>
      <c r="T534">
        <f t="shared" si="988"/>
        <v>2.6552451241209236</v>
      </c>
    </row>
    <row r="535" spans="1:20" x14ac:dyDescent="0.25">
      <c r="A535" s="5">
        <v>44058</v>
      </c>
      <c r="B535">
        <v>3.4410000000000003E-2</v>
      </c>
      <c r="C535">
        <v>3.789E-2</v>
      </c>
      <c r="D535">
        <v>3.2199999999999999E-2</v>
      </c>
      <c r="E535">
        <v>3.5389999999999998E-2</v>
      </c>
      <c r="F535">
        <v>86425986.599999994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0.12126537785588684</v>
      </c>
      <c r="Q535">
        <f t="shared" si="985"/>
        <v>10480479.921616811</v>
      </c>
      <c r="R535">
        <f t="shared" si="986"/>
        <v>222885479.31304473</v>
      </c>
      <c r="S535">
        <f t="shared" si="987"/>
        <v>2228.8547931304474</v>
      </c>
      <c r="T535">
        <f t="shared" si="988"/>
        <v>2.2288547931304477</v>
      </c>
    </row>
    <row r="536" spans="1:20" x14ac:dyDescent="0.25">
      <c r="A536" s="5">
        <v>44057</v>
      </c>
      <c r="B536">
        <v>3.1350000000000003E-2</v>
      </c>
      <c r="C536">
        <v>3.5150000000000001E-2</v>
      </c>
      <c r="D536">
        <v>3.0499999999999999E-2</v>
      </c>
      <c r="E536">
        <v>3.4419999999999999E-2</v>
      </c>
      <c r="F536">
        <v>56029245.600000001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0.68602150537634354</v>
      </c>
      <c r="Q536">
        <f t="shared" si="985"/>
        <v>38437267.411612876</v>
      </c>
      <c r="R536">
        <f t="shared" si="986"/>
        <v>212404999.3914279</v>
      </c>
      <c r="S536">
        <f t="shared" si="987"/>
        <v>2124.0499939142792</v>
      </c>
      <c r="T536">
        <f t="shared" si="988"/>
        <v>2.1240499939142792</v>
      </c>
    </row>
    <row r="537" spans="1:20" x14ac:dyDescent="0.25">
      <c r="A537" s="5">
        <v>44056</v>
      </c>
      <c r="B537">
        <v>3.209E-2</v>
      </c>
      <c r="C537">
        <v>3.2250000000000001E-2</v>
      </c>
      <c r="D537">
        <v>2.962E-2</v>
      </c>
      <c r="E537">
        <v>3.1350000000000003E-2</v>
      </c>
      <c r="F537">
        <v>33655577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0.31558935361216889</v>
      </c>
      <c r="Q537">
        <f t="shared" si="985"/>
        <v>10621341.790874578</v>
      </c>
      <c r="R537">
        <f t="shared" si="986"/>
        <v>173967731.97981504</v>
      </c>
      <c r="S537">
        <f t="shared" si="987"/>
        <v>1739.6773197981504</v>
      </c>
      <c r="T537">
        <f t="shared" si="988"/>
        <v>1.7396773197981503</v>
      </c>
    </row>
    <row r="538" spans="1:20" x14ac:dyDescent="0.25">
      <c r="A538" s="5">
        <v>44055</v>
      </c>
      <c r="B538">
        <v>3.049E-2</v>
      </c>
      <c r="C538">
        <v>3.2129999999999999E-2</v>
      </c>
      <c r="D538">
        <v>2.9100000000000001E-2</v>
      </c>
      <c r="E538">
        <v>3.1989999999999998E-2</v>
      </c>
      <c r="F538">
        <v>47504048.899999999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0.90759075907590669</v>
      </c>
      <c r="Q538">
        <f t="shared" si="985"/>
        <v>43114235.800329991</v>
      </c>
      <c r="R538">
        <f t="shared" si="986"/>
        <v>163346390.18894047</v>
      </c>
      <c r="S538">
        <f t="shared" si="987"/>
        <v>1633.4639018894047</v>
      </c>
      <c r="T538">
        <f t="shared" si="988"/>
        <v>1.6334639018894048</v>
      </c>
    </row>
    <row r="539" spans="1:20" x14ac:dyDescent="0.25">
      <c r="A539" s="5">
        <v>44054</v>
      </c>
      <c r="B539">
        <v>3.2099999999999997E-2</v>
      </c>
      <c r="C539">
        <v>3.2099999999999997E-2</v>
      </c>
      <c r="D539">
        <v>2.8400000000000002E-2</v>
      </c>
      <c r="E539">
        <v>3.032E-2</v>
      </c>
      <c r="F539">
        <v>65167173.600000001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3.7837837837838222E-2</v>
      </c>
      <c r="Q539">
        <f t="shared" si="985"/>
        <v>2465784.9470270523</v>
      </c>
      <c r="R539">
        <f t="shared" si="986"/>
        <v>120232154.38861048</v>
      </c>
      <c r="S539">
        <f t="shared" si="987"/>
        <v>1202.3215438861048</v>
      </c>
      <c r="T539">
        <f t="shared" si="988"/>
        <v>1.2023215438861048</v>
      </c>
    </row>
    <row r="540" spans="1:20" x14ac:dyDescent="0.25">
      <c r="A540" s="5">
        <v>44053</v>
      </c>
      <c r="B540">
        <v>2.9360000000000001E-2</v>
      </c>
      <c r="C540">
        <v>3.2099999999999997E-2</v>
      </c>
      <c r="D540">
        <v>2.81E-2</v>
      </c>
      <c r="E540">
        <v>3.2050000000000002E-2</v>
      </c>
      <c r="F540">
        <v>63959637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0.97500000000000275</v>
      </c>
      <c r="Q540">
        <f t="shared" si="985"/>
        <v>62360646.075000174</v>
      </c>
      <c r="R540">
        <f t="shared" si="986"/>
        <v>117766369.44158342</v>
      </c>
      <c r="S540">
        <f t="shared" si="987"/>
        <v>1177.6636944158342</v>
      </c>
      <c r="T540">
        <f t="shared" si="988"/>
        <v>1.1776636944158343</v>
      </c>
    </row>
    <row r="541" spans="1:20" x14ac:dyDescent="0.25">
      <c r="A541" s="5">
        <v>44052</v>
      </c>
      <c r="B541">
        <v>2.887E-2</v>
      </c>
      <c r="C541">
        <v>3.0329999999999999E-2</v>
      </c>
      <c r="D541">
        <v>2.8400000000000002E-2</v>
      </c>
      <c r="E541">
        <v>2.937E-2</v>
      </c>
      <c r="F541">
        <v>46222731.200000003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5.1813471502588629E-3</v>
      </c>
      <c r="Q541">
        <f t="shared" si="985"/>
        <v>239496.01658030145</v>
      </c>
      <c r="R541">
        <f t="shared" si="986"/>
        <v>55405723.366583243</v>
      </c>
      <c r="S541">
        <f t="shared" si="987"/>
        <v>554.05723366583243</v>
      </c>
      <c r="T541">
        <f t="shared" si="988"/>
        <v>0.55405723366583248</v>
      </c>
    </row>
    <row r="542" spans="1:20" x14ac:dyDescent="0.25">
      <c r="A542" s="5">
        <v>44051</v>
      </c>
      <c r="B542">
        <v>2.741E-2</v>
      </c>
      <c r="C542">
        <v>2.9139999999999999E-2</v>
      </c>
      <c r="D542">
        <v>2.6880000000000001E-2</v>
      </c>
      <c r="E542">
        <v>2.887E-2</v>
      </c>
      <c r="F542">
        <v>26830305.600000001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0.76106194690265516</v>
      </c>
      <c r="Q542">
        <f t="shared" si="985"/>
        <v>20419524.615929212</v>
      </c>
      <c r="R542">
        <f t="shared" si="986"/>
        <v>55166227.350002944</v>
      </c>
      <c r="S542">
        <f t="shared" si="987"/>
        <v>551.66227350002941</v>
      </c>
      <c r="T542">
        <f t="shared" si="988"/>
        <v>0.55166227350002939</v>
      </c>
    </row>
    <row r="543" spans="1:20" x14ac:dyDescent="0.25">
      <c r="A543" s="5">
        <v>44050</v>
      </c>
      <c r="B543">
        <v>2.758E-2</v>
      </c>
      <c r="C543">
        <v>2.8459999999999999E-2</v>
      </c>
      <c r="D543">
        <v>2.5999999999999999E-2</v>
      </c>
      <c r="E543">
        <v>2.741E-2</v>
      </c>
      <c r="F543">
        <v>29484051.899999999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0.14634146341463522</v>
      </c>
      <c r="Q543">
        <f t="shared" si="985"/>
        <v>4314739.3024390554</v>
      </c>
      <c r="R543">
        <f t="shared" si="986"/>
        <v>34746702.734073728</v>
      </c>
      <c r="S543">
        <f t="shared" si="987"/>
        <v>347.46702734073727</v>
      </c>
      <c r="T543">
        <f t="shared" si="988"/>
        <v>0.34746702734073726</v>
      </c>
    </row>
    <row r="544" spans="1:20" x14ac:dyDescent="0.25">
      <c r="A544" s="5">
        <v>44049</v>
      </c>
      <c r="B544">
        <v>2.6239999999999999E-2</v>
      </c>
      <c r="C544">
        <v>2.7619999999999999E-2</v>
      </c>
      <c r="D544">
        <v>2.605E-2</v>
      </c>
      <c r="E544">
        <v>2.758E-2</v>
      </c>
      <c r="F544">
        <v>23311506.100000001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0.94904458598726316</v>
      </c>
      <c r="Q544">
        <f t="shared" si="985"/>
        <v>22123658.65541406</v>
      </c>
      <c r="R544">
        <f t="shared" si="986"/>
        <v>30431963.431634672</v>
      </c>
      <c r="S544">
        <f t="shared" si="987"/>
        <v>304.31963431634671</v>
      </c>
      <c r="T544">
        <f t="shared" si="988"/>
        <v>0.30431963431634673</v>
      </c>
    </row>
    <row r="545" spans="1:20" x14ac:dyDescent="0.25">
      <c r="A545" s="5">
        <v>44048</v>
      </c>
      <c r="B545">
        <v>2.6089999999999999E-2</v>
      </c>
      <c r="C545">
        <v>2.6540000000000001E-2</v>
      </c>
      <c r="D545">
        <v>2.5420000000000002E-2</v>
      </c>
      <c r="E545">
        <v>2.614E-2</v>
      </c>
      <c r="F545">
        <v>25695627.699999999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0.28571428571428348</v>
      </c>
      <c r="Q545">
        <f t="shared" si="985"/>
        <v>7341607.914285657</v>
      </c>
      <c r="R545">
        <f t="shared" si="986"/>
        <v>8308304.7762206122</v>
      </c>
      <c r="S545">
        <f t="shared" si="987"/>
        <v>83.083047762206121</v>
      </c>
      <c r="T545">
        <f t="shared" si="988"/>
        <v>8.3083047762206125E-2</v>
      </c>
    </row>
    <row r="546" spans="1:20" x14ac:dyDescent="0.25">
      <c r="A546" s="5">
        <v>44047</v>
      </c>
      <c r="B546">
        <v>2.647E-2</v>
      </c>
      <c r="C546">
        <v>2.7E-2</v>
      </c>
      <c r="D546">
        <v>2.5329999999999998E-2</v>
      </c>
      <c r="E546">
        <v>2.615E-2</v>
      </c>
      <c r="F546">
        <v>25190715.300000001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-1.7964071856286679E-2</v>
      </c>
      <c r="Q546">
        <f t="shared" si="985"/>
        <v>-452527.81976046023</v>
      </c>
      <c r="R546">
        <f t="shared" si="986"/>
        <v>966696.86193495546</v>
      </c>
      <c r="S546">
        <f t="shared" si="987"/>
        <v>9.6669686193495554</v>
      </c>
      <c r="T546">
        <f t="shared" si="988"/>
        <v>9.6669686193495558E-3</v>
      </c>
    </row>
    <row r="547" spans="1:20" x14ac:dyDescent="0.25">
      <c r="A547" s="5">
        <v>44046</v>
      </c>
      <c r="B547">
        <v>2.504E-2</v>
      </c>
      <c r="C547">
        <v>2.7269999999999999E-2</v>
      </c>
      <c r="D547">
        <v>2.4850000000000001E-2</v>
      </c>
      <c r="E547">
        <v>2.63E-2</v>
      </c>
      <c r="F547">
        <v>34777754.399999999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0.19834710743801717</v>
      </c>
      <c r="Q547">
        <f t="shared" si="985"/>
        <v>6898066.9884297745</v>
      </c>
      <c r="R547">
        <f t="shared" si="986"/>
        <v>1419224.6816954156</v>
      </c>
      <c r="S547">
        <f t="shared" si="987"/>
        <v>14.192246816954157</v>
      </c>
      <c r="T547">
        <f t="shared" si="988"/>
        <v>1.4192246816954157E-2</v>
      </c>
    </row>
    <row r="548" spans="1:20" x14ac:dyDescent="0.25">
      <c r="A548" s="5">
        <v>44045</v>
      </c>
      <c r="B548">
        <v>2.726E-2</v>
      </c>
      <c r="C548">
        <v>2.726E-2</v>
      </c>
      <c r="D548">
        <v>2.4400000000000002E-2</v>
      </c>
      <c r="E548">
        <v>2.5149999999999999E-2</v>
      </c>
      <c r="F548">
        <v>31425086.5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-0.47552447552447713</v>
      </c>
      <c r="Q548">
        <f t="shared" si="985"/>
        <v>-14943397.776223827</v>
      </c>
      <c r="R548">
        <f t="shared" si="986"/>
        <v>-5478842.3067343589</v>
      </c>
      <c r="S548">
        <f t="shared" si="987"/>
        <v>-54.788423067343587</v>
      </c>
      <c r="T548">
        <f t="shared" si="988"/>
        <v>-5.4788423067343585E-2</v>
      </c>
    </row>
    <row r="549" spans="1:20" x14ac:dyDescent="0.25">
      <c r="A549" s="5">
        <v>44044</v>
      </c>
      <c r="B549">
        <v>2.4400000000000002E-2</v>
      </c>
      <c r="C549">
        <v>2.8629999999999999E-2</v>
      </c>
      <c r="D549">
        <v>2.4E-2</v>
      </c>
      <c r="E549">
        <v>2.726E-2</v>
      </c>
      <c r="F549">
        <v>40197980.299999997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0.40820734341252696</v>
      </c>
      <c r="Q549">
        <f t="shared" si="985"/>
        <v>16409110.748812092</v>
      </c>
      <c r="R549">
        <f t="shared" si="986"/>
        <v>9464555.4694894683</v>
      </c>
      <c r="S549">
        <f t="shared" si="987"/>
        <v>94.645554694894685</v>
      </c>
      <c r="T549">
        <f t="shared" si="988"/>
        <v>9.464555469489469E-2</v>
      </c>
    </row>
    <row r="550" spans="1:20" x14ac:dyDescent="0.25">
      <c r="A550" s="5">
        <v>44043</v>
      </c>
      <c r="B550">
        <v>2.521E-2</v>
      </c>
      <c r="C550">
        <v>2.5989999999999999E-2</v>
      </c>
      <c r="D550">
        <v>2.4070000000000001E-2</v>
      </c>
      <c r="E550">
        <v>2.4400000000000002E-2</v>
      </c>
      <c r="F550">
        <v>19431463.399999999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-0.65624999999999922</v>
      </c>
      <c r="Q550">
        <f t="shared" si="985"/>
        <v>-12751897.856249984</v>
      </c>
      <c r="R550">
        <f t="shared" si="986"/>
        <v>-6944555.2793226242</v>
      </c>
      <c r="S550">
        <f t="shared" si="987"/>
        <v>-69.445552793226241</v>
      </c>
      <c r="T550">
        <f t="shared" si="988"/>
        <v>-6.9445552793226242E-2</v>
      </c>
    </row>
    <row r="551" spans="1:20" x14ac:dyDescent="0.25">
      <c r="A551" s="5">
        <v>44042</v>
      </c>
      <c r="B551">
        <v>2.3400000000000001E-2</v>
      </c>
      <c r="C551">
        <v>2.554E-2</v>
      </c>
      <c r="D551">
        <v>2.3199999999999998E-2</v>
      </c>
      <c r="E551">
        <v>2.53E-2</v>
      </c>
      <c r="F551">
        <v>32934188.699999999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0.79487179487179449</v>
      </c>
      <c r="Q551">
        <f t="shared" si="985"/>
        <v>26178457.68461537</v>
      </c>
      <c r="R551">
        <f t="shared" si="986"/>
        <v>5807342.5769273601</v>
      </c>
      <c r="S551">
        <f t="shared" si="987"/>
        <v>58.073425769273598</v>
      </c>
      <c r="T551">
        <f t="shared" si="988"/>
        <v>5.8073425769273601E-2</v>
      </c>
    </row>
    <row r="552" spans="1:20" x14ac:dyDescent="0.25">
      <c r="A552" s="5">
        <v>44041</v>
      </c>
      <c r="B552">
        <v>2.3820000000000001E-2</v>
      </c>
      <c r="C552">
        <v>2.4969999999999999E-2</v>
      </c>
      <c r="D552">
        <v>2.307E-2</v>
      </c>
      <c r="E552">
        <v>2.3310000000000001E-2</v>
      </c>
      <c r="F552">
        <v>27012405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-0.74736842105263079</v>
      </c>
      <c r="Q552">
        <f t="shared" si="985"/>
        <v>-20188218.473684188</v>
      </c>
      <c r="R552">
        <f t="shared" si="986"/>
        <v>-20371115.10768801</v>
      </c>
      <c r="S552">
        <f t="shared" si="987"/>
        <v>-203.7111510768801</v>
      </c>
      <c r="T552">
        <f t="shared" si="988"/>
        <v>-0.20371115107688009</v>
      </c>
    </row>
    <row r="553" spans="1:20" x14ac:dyDescent="0.25">
      <c r="A553" s="5">
        <v>44040</v>
      </c>
      <c r="B553">
        <v>2.3429999999999999E-2</v>
      </c>
      <c r="C553">
        <v>2.419E-2</v>
      </c>
      <c r="D553">
        <v>2.2450000000000001E-2</v>
      </c>
      <c r="E553">
        <v>2.3820000000000001E-2</v>
      </c>
      <c r="F553">
        <v>23508454.800000001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0.57471264367816188</v>
      </c>
      <c r="Q553">
        <f t="shared" si="985"/>
        <v>13510606.206896575</v>
      </c>
      <c r="R553">
        <f t="shared" si="986"/>
        <v>-182896.6340038199</v>
      </c>
      <c r="S553">
        <f t="shared" si="987"/>
        <v>-1.828966340038199</v>
      </c>
      <c r="T553">
        <f t="shared" si="988"/>
        <v>-1.828966340038199E-3</v>
      </c>
    </row>
    <row r="554" spans="1:20" x14ac:dyDescent="0.25">
      <c r="A554" s="5">
        <v>44039</v>
      </c>
      <c r="B554">
        <v>2.4150000000000001E-2</v>
      </c>
      <c r="C554">
        <v>2.7199999999999998E-2</v>
      </c>
      <c r="D554">
        <v>2.1749999999999999E-2</v>
      </c>
      <c r="E554">
        <v>2.3429999999999999E-2</v>
      </c>
      <c r="F554">
        <v>64416168.899999999</v>
      </c>
      <c r="G554">
        <v>0</v>
      </c>
      <c r="L554" t="s">
        <v>7</v>
      </c>
      <c r="M554" t="s">
        <v>8</v>
      </c>
      <c r="N554" t="s">
        <v>7</v>
      </c>
      <c r="P554">
        <f t="shared" si="984"/>
        <v>-0.38348623853210972</v>
      </c>
      <c r="Q554">
        <f t="shared" si="985"/>
        <v>-24702714.312110066</v>
      </c>
      <c r="R554">
        <f t="shared" si="986"/>
        <v>-13693502.840900395</v>
      </c>
      <c r="S554">
        <f t="shared" si="987"/>
        <v>-136.93502840900396</v>
      </c>
      <c r="T554">
        <f t="shared" si="988"/>
        <v>-0.13693502840900396</v>
      </c>
    </row>
    <row r="555" spans="1:20" x14ac:dyDescent="0.25">
      <c r="A555" s="5">
        <v>44038</v>
      </c>
      <c r="B555">
        <v>2.537E-2</v>
      </c>
      <c r="C555">
        <v>2.598E-2</v>
      </c>
      <c r="D555">
        <v>2.3099999999999999E-2</v>
      </c>
      <c r="E555">
        <v>2.4150000000000001E-2</v>
      </c>
      <c r="F555">
        <v>31546314.399999999</v>
      </c>
      <c r="G555">
        <v>0</v>
      </c>
      <c r="L555" t="s">
        <v>7</v>
      </c>
      <c r="M555" t="s">
        <v>8</v>
      </c>
      <c r="N555" t="s">
        <v>7</v>
      </c>
      <c r="P555">
        <f t="shared" si="984"/>
        <v>-0.27083333333333187</v>
      </c>
      <c r="Q555">
        <f t="shared" si="985"/>
        <v>-8543793.4833332859</v>
      </c>
      <c r="R555">
        <f t="shared" si="986"/>
        <v>11009211.471209671</v>
      </c>
      <c r="S555">
        <f t="shared" si="987"/>
        <v>110.09211471209672</v>
      </c>
      <c r="T555">
        <f t="shared" si="988"/>
        <v>0.11009211471209672</v>
      </c>
    </row>
    <row r="556" spans="1:20" x14ac:dyDescent="0.25">
      <c r="A556" s="5">
        <v>44037</v>
      </c>
      <c r="B556">
        <v>2.4309999999999998E-2</v>
      </c>
      <c r="C556">
        <v>2.58E-2</v>
      </c>
      <c r="D556">
        <v>2.3599999999999999E-2</v>
      </c>
      <c r="E556">
        <v>2.545E-2</v>
      </c>
      <c r="F556">
        <v>44044047.100000001</v>
      </c>
      <c r="G556">
        <v>0</v>
      </c>
      <c r="L556" t="s">
        <v>8</v>
      </c>
      <c r="M556" t="s">
        <v>8</v>
      </c>
      <c r="N556" t="s">
        <v>7</v>
      </c>
      <c r="P556">
        <f t="shared" si="984"/>
        <v>0.68181818181818221</v>
      </c>
      <c r="Q556">
        <f t="shared" si="985"/>
        <v>30030032.113636382</v>
      </c>
      <c r="R556">
        <f t="shared" si="986"/>
        <v>19553004.954542957</v>
      </c>
      <c r="S556">
        <f t="shared" si="987"/>
        <v>195.53004954542956</v>
      </c>
      <c r="T556">
        <f t="shared" si="988"/>
        <v>0.19553004954542957</v>
      </c>
    </row>
    <row r="557" spans="1:20" x14ac:dyDescent="0.25">
      <c r="A557" s="5">
        <v>44036</v>
      </c>
      <c r="B557">
        <v>2.4969999999999999E-2</v>
      </c>
      <c r="C557">
        <v>2.6499999999999999E-2</v>
      </c>
      <c r="D557">
        <v>2.3599999999999999E-2</v>
      </c>
      <c r="E557">
        <v>2.4219999999999998E-2</v>
      </c>
      <c r="F557">
        <v>63882264.299999997</v>
      </c>
      <c r="G557">
        <v>0</v>
      </c>
      <c r="L557" t="s">
        <v>7</v>
      </c>
      <c r="M557" t="s">
        <v>8</v>
      </c>
      <c r="N557" t="s">
        <v>7</v>
      </c>
      <c r="P557">
        <f t="shared" si="984"/>
        <v>-0.57241379310344886</v>
      </c>
      <c r="Q557">
        <f t="shared" si="985"/>
        <v>-36567089.220000036</v>
      </c>
      <c r="R557">
        <f t="shared" si="986"/>
        <v>-10477027.159093425</v>
      </c>
      <c r="S557">
        <f t="shared" si="987"/>
        <v>-104.77027159093424</v>
      </c>
      <c r="T557">
        <f t="shared" si="988"/>
        <v>-0.10477027159093424</v>
      </c>
    </row>
    <row r="558" spans="1:20" x14ac:dyDescent="0.25">
      <c r="A558" s="5">
        <v>44035</v>
      </c>
      <c r="B558">
        <v>2.2009999999999998E-2</v>
      </c>
      <c r="C558">
        <v>2.7E-2</v>
      </c>
      <c r="D558">
        <v>2.2009999999999998E-2</v>
      </c>
      <c r="E558">
        <v>2.4969999999999999E-2</v>
      </c>
      <c r="F558">
        <v>124277833.09999999</v>
      </c>
      <c r="G558">
        <v>0</v>
      </c>
      <c r="L558" t="s">
        <v>8</v>
      </c>
      <c r="M558" t="s">
        <v>8</v>
      </c>
      <c r="N558" t="s">
        <v>7</v>
      </c>
      <c r="P558">
        <f t="shared" si="984"/>
        <v>0.18637274549098196</v>
      </c>
      <c r="Q558">
        <f t="shared" si="985"/>
        <v>23162000.958517034</v>
      </c>
      <c r="R558">
        <f t="shared" si="986"/>
        <v>26090062.060906611</v>
      </c>
      <c r="S558">
        <f t="shared" si="987"/>
        <v>260.9006206090661</v>
      </c>
      <c r="T558">
        <f t="shared" si="988"/>
        <v>0.2609006206090661</v>
      </c>
    </row>
    <row r="559" spans="1:20" x14ac:dyDescent="0.25">
      <c r="A559" s="5">
        <v>44034</v>
      </c>
      <c r="B559">
        <v>2.07E-2</v>
      </c>
      <c r="C559">
        <v>2.2169999999999999E-2</v>
      </c>
      <c r="D559">
        <v>2.0629999999999999E-2</v>
      </c>
      <c r="E559">
        <v>2.2009999999999998E-2</v>
      </c>
      <c r="F559">
        <v>16566125.6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0.79220779220779158</v>
      </c>
      <c r="Q559">
        <f t="shared" si="985"/>
        <v>13123813.787012976</v>
      </c>
      <c r="R559">
        <f t="shared" si="986"/>
        <v>2928061.1023895778</v>
      </c>
      <c r="S559">
        <f t="shared" si="987"/>
        <v>29.280611023895776</v>
      </c>
      <c r="T559">
        <f t="shared" si="988"/>
        <v>2.9280611023895776E-2</v>
      </c>
    </row>
    <row r="560" spans="1:20" x14ac:dyDescent="0.25">
      <c r="A560" s="5">
        <v>44033</v>
      </c>
      <c r="B560">
        <v>2.103E-2</v>
      </c>
      <c r="C560">
        <v>2.3E-2</v>
      </c>
      <c r="D560">
        <v>2.0320000000000001E-2</v>
      </c>
      <c r="E560">
        <v>2.0660000000000001E-2</v>
      </c>
      <c r="F560">
        <v>11576620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-0.74626865671641773</v>
      </c>
      <c r="Q560">
        <f t="shared" si="985"/>
        <v>-8639268.6567164157</v>
      </c>
      <c r="R560">
        <f t="shared" si="986"/>
        <v>-10195752.684623398</v>
      </c>
      <c r="S560">
        <f t="shared" si="987"/>
        <v>-101.95752684623397</v>
      </c>
      <c r="T560">
        <f t="shared" si="988"/>
        <v>-0.10195752684623398</v>
      </c>
    </row>
    <row r="561" spans="1:104" x14ac:dyDescent="0.25">
      <c r="A561" s="5">
        <v>44032</v>
      </c>
      <c r="B561">
        <v>2.0199999999999999E-2</v>
      </c>
      <c r="C561">
        <v>2.3E-2</v>
      </c>
      <c r="D561">
        <v>1.9560000000000001E-2</v>
      </c>
      <c r="E561">
        <v>2.104E-2</v>
      </c>
      <c r="F561">
        <v>11154802.199999999</v>
      </c>
      <c r="G561">
        <v>0</v>
      </c>
      <c r="P561">
        <f t="shared" si="984"/>
        <v>-0.13953488372093065</v>
      </c>
      <c r="Q561">
        <f t="shared" si="985"/>
        <v>-1556484.0279069813</v>
      </c>
      <c r="R561">
        <f t="shared" si="986"/>
        <v>-1556484.0279069813</v>
      </c>
      <c r="S561">
        <f t="shared" si="987"/>
        <v>-15.564840279069813</v>
      </c>
      <c r="T561">
        <f t="shared" si="988"/>
        <v>-1.5564840279069812E-2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N780" sqref="KN78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$A$779</v>
      </c>
      <c r="D111" s="1" t="str">
        <f>ADDRESS(C121-1,D121,1,1)</f>
        <v>$KN$779</v>
      </c>
      <c r="E111"/>
    </row>
    <row r="112" spans="1:5" x14ac:dyDescent="0.25">
      <c r="A112" s="7">
        <v>12164.144957890772</v>
      </c>
      <c r="C112" s="1" t="str">
        <f>ADDRESS(C121,1,1,1)</f>
        <v>$A$780</v>
      </c>
      <c r="D112" s="1" t="str">
        <f>ADDRESS(C121,D121-1,1,1)</f>
        <v>$KM$780</v>
      </c>
      <c r="E112"/>
    </row>
    <row r="113" spans="1:5" x14ac:dyDescent="0.25">
      <c r="A113" s="7">
        <v>11925.63231165762</v>
      </c>
      <c r="C113" s="1" t="str">
        <f>ADDRESS(C121+1,1,1,1)</f>
        <v>$A$781</v>
      </c>
      <c r="D113" s="1" t="str">
        <f>ADDRESS(C121-1,D121+1,1,1)</f>
        <v>$KO$779</v>
      </c>
    </row>
    <row r="114" spans="1:5" x14ac:dyDescent="0.25">
      <c r="A114" s="7">
        <v>11691.796383978059</v>
      </c>
      <c r="C114" s="1" t="str">
        <f>ADDRESS(C121,D121,1,1)</f>
        <v>$KN$780</v>
      </c>
      <c r="D114" s="1" t="str">
        <f>ADDRESS(C121+1,D121+1,1,1)</f>
        <v>$KO$781</v>
      </c>
    </row>
    <row r="115" spans="1:5" x14ac:dyDescent="0.25">
      <c r="A115" s="7">
        <v>11462.545474488292</v>
      </c>
      <c r="C115" s="1" t="str">
        <f>ADDRESS(C121+1,D121,1,1)</f>
        <v>$KN$781</v>
      </c>
    </row>
    <row r="116" spans="1:5" x14ac:dyDescent="0.25">
      <c r="A116" s="7">
        <v>11237.789680870874</v>
      </c>
      <c r="C116" s="1">
        <f>C117-1</f>
        <v>779</v>
      </c>
    </row>
    <row r="117" spans="1:5" x14ac:dyDescent="0.25">
      <c r="A117" s="7">
        <v>11017.440863598895</v>
      </c>
      <c r="C117" s="1">
        <f>C121</f>
        <v>780</v>
      </c>
      <c r="D117" s="1">
        <f>D121</f>
        <v>300</v>
      </c>
    </row>
    <row r="118" spans="1:5" x14ac:dyDescent="0.25">
      <c r="A118" s="7">
        <v>10801.412611371465</v>
      </c>
      <c r="C118" s="1">
        <f>C117+1</f>
        <v>781</v>
      </c>
      <c r="D118" s="1">
        <f>D117+1</f>
        <v>301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780</v>
      </c>
      <c r="D121" s="19">
        <v>300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R780</v>
      </c>
      <c r="D123" s="1" t="str">
        <f>"C"&amp;D121</f>
        <v>C300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2.188602293267063E-2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168" x14ac:dyDescent="0.25">
      <c r="A673" s="7">
        <v>0.18213156881997963</v>
      </c>
      <c r="B673"/>
      <c r="C673"/>
      <c r="D673"/>
      <c r="E673"/>
      <c r="F673" s="27" t="s">
        <v>7</v>
      </c>
      <c r="FC673" s="27" t="s">
        <v>8</v>
      </c>
    </row>
    <row r="674" spans="1:168" x14ac:dyDescent="0.25">
      <c r="A674" s="7">
        <v>0.17856036158821534</v>
      </c>
      <c r="B674"/>
      <c r="C674"/>
      <c r="D674"/>
      <c r="E674"/>
      <c r="F674" s="27" t="s">
        <v>7</v>
      </c>
      <c r="FC674" s="27" t="s">
        <v>8</v>
      </c>
      <c r="FD674" s="27" t="s">
        <v>7</v>
      </c>
    </row>
    <row r="675" spans="1:168" x14ac:dyDescent="0.25">
      <c r="A675" s="7">
        <v>0.17505917802766208</v>
      </c>
      <c r="B675"/>
      <c r="C675"/>
      <c r="D675"/>
      <c r="E675"/>
      <c r="F675" s="27" t="s">
        <v>7</v>
      </c>
      <c r="FC675" s="27" t="s">
        <v>8</v>
      </c>
      <c r="FD675" s="27" t="s">
        <v>7</v>
      </c>
    </row>
    <row r="676" spans="1:168" x14ac:dyDescent="0.25">
      <c r="A676" s="7">
        <v>0.17162664512515888</v>
      </c>
      <c r="B676"/>
      <c r="C676"/>
      <c r="D676"/>
      <c r="E676"/>
      <c r="F676" s="27" t="s">
        <v>7</v>
      </c>
      <c r="EW676" s="27" t="s">
        <v>8</v>
      </c>
      <c r="FC676" s="27" t="s">
        <v>8</v>
      </c>
      <c r="FD676" s="27" t="s">
        <v>7</v>
      </c>
    </row>
    <row r="677" spans="1:168" x14ac:dyDescent="0.25">
      <c r="A677" s="7">
        <v>0.16826141678937145</v>
      </c>
      <c r="B677"/>
      <c r="C677"/>
      <c r="D677"/>
      <c r="E677"/>
      <c r="F677" s="27" t="s">
        <v>7</v>
      </c>
      <c r="EW677" s="27" t="s">
        <v>8</v>
      </c>
      <c r="EX677" s="27" t="s">
        <v>7</v>
      </c>
      <c r="FC677" s="27" t="s">
        <v>8</v>
      </c>
      <c r="FD677" s="27" t="s">
        <v>7</v>
      </c>
    </row>
    <row r="678" spans="1:168" x14ac:dyDescent="0.25">
      <c r="A678" s="7">
        <v>0.16496217332291319</v>
      </c>
      <c r="B678"/>
      <c r="C678"/>
      <c r="D678"/>
      <c r="E678"/>
      <c r="F678" s="27" t="s">
        <v>7</v>
      </c>
      <c r="ES678" s="27" t="s">
        <v>8</v>
      </c>
      <c r="EW678" s="27" t="s">
        <v>8</v>
      </c>
      <c r="EX678" s="27" t="s">
        <v>7</v>
      </c>
      <c r="FC678" s="27" t="s">
        <v>8</v>
      </c>
      <c r="FD678" s="27" t="s">
        <v>7</v>
      </c>
    </row>
    <row r="679" spans="1:168" x14ac:dyDescent="0.25">
      <c r="A679" s="7">
        <v>0.16172762090481685</v>
      </c>
      <c r="B679"/>
      <c r="C679"/>
      <c r="D679"/>
      <c r="E679"/>
      <c r="F679" s="27" t="s">
        <v>7</v>
      </c>
      <c r="ES679" s="27" t="s">
        <v>8</v>
      </c>
      <c r="ET679" s="27" t="s">
        <v>7</v>
      </c>
      <c r="EW679" s="27" t="s">
        <v>8</v>
      </c>
      <c r="EX679" s="27" t="s">
        <v>7</v>
      </c>
      <c r="FC679" s="27" t="s">
        <v>8</v>
      </c>
      <c r="FD679" s="27" t="s">
        <v>7</v>
      </c>
    </row>
    <row r="680" spans="1:168" x14ac:dyDescent="0.25">
      <c r="A680" s="7">
        <v>0.15855649108315376</v>
      </c>
      <c r="B680"/>
      <c r="C680"/>
      <c r="D680"/>
      <c r="E680"/>
      <c r="F680" s="27" t="s">
        <v>7</v>
      </c>
      <c r="ES680" s="27" t="s">
        <v>8</v>
      </c>
      <c r="ET680" s="27" t="s">
        <v>7</v>
      </c>
      <c r="EW680" s="27" t="s">
        <v>8</v>
      </c>
      <c r="EX680" s="27" t="s">
        <v>7</v>
      </c>
      <c r="FC680" s="27" t="s">
        <v>8</v>
      </c>
      <c r="FD680" s="27" t="s">
        <v>7</v>
      </c>
      <c r="FE680" s="27" t="s">
        <v>8</v>
      </c>
    </row>
    <row r="681" spans="1:168" x14ac:dyDescent="0.25">
      <c r="A681" s="7">
        <v>0.15544754027760171</v>
      </c>
      <c r="B681"/>
      <c r="C681"/>
      <c r="D681"/>
      <c r="E681"/>
      <c r="F681" s="27" t="s">
        <v>7</v>
      </c>
      <c r="ES681" s="27" t="s">
        <v>8</v>
      </c>
      <c r="ET681" s="27" t="s">
        <v>7</v>
      </c>
      <c r="EU681" s="27" t="s">
        <v>8</v>
      </c>
      <c r="EW681" s="27" t="s">
        <v>8</v>
      </c>
      <c r="EX681" s="27" t="s">
        <v>7</v>
      </c>
      <c r="FC681" s="27" t="s">
        <v>8</v>
      </c>
      <c r="FD681" s="27" t="s">
        <v>7</v>
      </c>
      <c r="FE681" s="27" t="s">
        <v>8</v>
      </c>
      <c r="FF681" s="27" t="s">
        <v>7</v>
      </c>
      <c r="FI681" s="27" t="s">
        <v>8</v>
      </c>
    </row>
    <row r="682" spans="1:168" x14ac:dyDescent="0.25">
      <c r="A682" s="7">
        <v>0.15239954929176638</v>
      </c>
      <c r="B682"/>
      <c r="C682"/>
      <c r="D682"/>
      <c r="E682"/>
      <c r="F682" s="27" t="s">
        <v>7</v>
      </c>
      <c r="ES682" s="27" t="s">
        <v>8</v>
      </c>
      <c r="ET682" s="27" t="s">
        <v>7</v>
      </c>
      <c r="EU682" s="27" t="s">
        <v>8</v>
      </c>
      <c r="EV682" s="27" t="s">
        <v>7</v>
      </c>
      <c r="EW682" s="27" t="s">
        <v>8</v>
      </c>
      <c r="EX682" s="27" t="s">
        <v>7</v>
      </c>
      <c r="FC682" s="27" t="s">
        <v>8</v>
      </c>
      <c r="FD682" s="27" t="s">
        <v>7</v>
      </c>
      <c r="FE682" s="27" t="s">
        <v>8</v>
      </c>
      <c r="FF682" s="27" t="s">
        <v>7</v>
      </c>
      <c r="FG682" s="27" t="s">
        <v>8</v>
      </c>
      <c r="FI682" s="27" t="s">
        <v>8</v>
      </c>
      <c r="FJ682" s="27" t="s">
        <v>7</v>
      </c>
    </row>
    <row r="683" spans="1:168" x14ac:dyDescent="0.25">
      <c r="A683" s="7">
        <v>0.14941132283506509</v>
      </c>
      <c r="B683"/>
      <c r="C683"/>
      <c r="D683"/>
      <c r="E683"/>
      <c r="F683" s="27" t="s">
        <v>7</v>
      </c>
      <c r="ES683" s="27" t="s">
        <v>8</v>
      </c>
      <c r="ET683" s="27" t="s">
        <v>7</v>
      </c>
      <c r="EU683" s="27" t="s">
        <v>8</v>
      </c>
      <c r="EV683" s="27" t="s">
        <v>7</v>
      </c>
      <c r="EW683" s="27" t="s">
        <v>8</v>
      </c>
      <c r="EX683" s="27" t="s">
        <v>7</v>
      </c>
      <c r="FC683" s="27" t="s">
        <v>8</v>
      </c>
      <c r="FD683" s="27" t="s">
        <v>7</v>
      </c>
      <c r="FE683" s="27" t="s">
        <v>8</v>
      </c>
      <c r="FF683" s="27" t="s">
        <v>7</v>
      </c>
      <c r="FG683" s="27" t="s">
        <v>8</v>
      </c>
      <c r="FH683" s="27" t="s">
        <v>7</v>
      </c>
      <c r="FI683" s="27" t="s">
        <v>8</v>
      </c>
      <c r="FJ683" s="27" t="s">
        <v>7</v>
      </c>
    </row>
    <row r="684" spans="1:168" x14ac:dyDescent="0.25">
      <c r="A684" s="7">
        <v>0.14648168905398537</v>
      </c>
      <c r="B684"/>
      <c r="C684"/>
      <c r="D684"/>
      <c r="E684"/>
      <c r="F684" s="27" t="s">
        <v>7</v>
      </c>
      <c r="ES684" s="27" t="s">
        <v>8</v>
      </c>
      <c r="ET684" s="27" t="s">
        <v>7</v>
      </c>
      <c r="EU684" s="27" t="s">
        <v>8</v>
      </c>
      <c r="EV684" s="27" t="s">
        <v>7</v>
      </c>
      <c r="EW684" s="27" t="s">
        <v>8</v>
      </c>
      <c r="EX684" s="27" t="s">
        <v>7</v>
      </c>
      <c r="FC684" s="27" t="s">
        <v>8</v>
      </c>
      <c r="FD684" s="27" t="s">
        <v>7</v>
      </c>
      <c r="FE684" s="27" t="s">
        <v>8</v>
      </c>
      <c r="FF684" s="27" t="s">
        <v>7</v>
      </c>
      <c r="FG684" s="27" t="s">
        <v>8</v>
      </c>
      <c r="FH684" s="27" t="s">
        <v>7</v>
      </c>
      <c r="FI684" s="27" t="s">
        <v>8</v>
      </c>
      <c r="FJ684" s="27" t="s">
        <v>7</v>
      </c>
    </row>
    <row r="685" spans="1:168" x14ac:dyDescent="0.25">
      <c r="A685" s="7">
        <v>0.14360949907253467</v>
      </c>
      <c r="B685"/>
      <c r="C685"/>
      <c r="D685"/>
      <c r="E685"/>
      <c r="F685" s="27" t="s">
        <v>7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  <c r="EX685" s="27" t="s">
        <v>7</v>
      </c>
      <c r="FC685" s="27" t="s">
        <v>8</v>
      </c>
      <c r="FD685" s="27" t="s">
        <v>7</v>
      </c>
      <c r="FF685" s="27" t="s">
        <v>7</v>
      </c>
      <c r="FG685" s="27" t="s">
        <v>8</v>
      </c>
      <c r="FH685" s="27" t="s">
        <v>7</v>
      </c>
      <c r="FI685" s="27" t="s">
        <v>8</v>
      </c>
      <c r="FJ685" s="27" t="s">
        <v>7</v>
      </c>
    </row>
    <row r="686" spans="1:168" x14ac:dyDescent="0.25">
      <c r="A686" s="7">
        <v>0.14079362654170066</v>
      </c>
      <c r="B686"/>
      <c r="C686"/>
      <c r="D686"/>
      <c r="E686"/>
      <c r="F686" s="27" t="s">
        <v>7</v>
      </c>
      <c r="ES686" s="27" t="s">
        <v>8</v>
      </c>
      <c r="ET686" s="27" t="s">
        <v>7</v>
      </c>
      <c r="EU686" s="27" t="s">
        <v>8</v>
      </c>
      <c r="EV686" s="27" t="s">
        <v>7</v>
      </c>
      <c r="EW686" s="27" t="s">
        <v>8</v>
      </c>
      <c r="EX686" s="27" t="s">
        <v>7</v>
      </c>
      <c r="FC686" s="27" t="s">
        <v>8</v>
      </c>
      <c r="FF686" s="27" t="s">
        <v>7</v>
      </c>
      <c r="FG686" s="27" t="s">
        <v>8</v>
      </c>
      <c r="FH686" s="27" t="s">
        <v>7</v>
      </c>
      <c r="FI686" s="27" t="s">
        <v>8</v>
      </c>
      <c r="FJ686" s="27" t="s">
        <v>7</v>
      </c>
      <c r="FK686" s="27" t="s">
        <v>8</v>
      </c>
    </row>
    <row r="687" spans="1:168" x14ac:dyDescent="0.25">
      <c r="A687" s="7">
        <v>0.13803296719774574</v>
      </c>
      <c r="B687"/>
      <c r="C687"/>
      <c r="D687"/>
      <c r="E687"/>
      <c r="F687" s="27" t="s">
        <v>7</v>
      </c>
      <c r="ES687" s="27" t="s">
        <v>8</v>
      </c>
      <c r="ET687" s="27" t="s">
        <v>7</v>
      </c>
      <c r="EU687" s="27" t="s">
        <v>8</v>
      </c>
      <c r="EV687" s="27" t="s">
        <v>7</v>
      </c>
      <c r="EW687" s="27" t="s">
        <v>8</v>
      </c>
      <c r="EX687" s="27" t="s">
        <v>7</v>
      </c>
      <c r="FA687" s="27" t="s">
        <v>8</v>
      </c>
      <c r="FC687" s="27" t="s">
        <v>8</v>
      </c>
      <c r="FF687" s="27" t="s">
        <v>7</v>
      </c>
      <c r="FG687" s="27" t="s">
        <v>8</v>
      </c>
      <c r="FH687" s="27" t="s">
        <v>7</v>
      </c>
      <c r="FJ687" s="27" t="s">
        <v>7</v>
      </c>
      <c r="FK687" s="27" t="s">
        <v>8</v>
      </c>
      <c r="FL687" s="27" t="s">
        <v>7</v>
      </c>
    </row>
    <row r="688" spans="1:168" x14ac:dyDescent="0.25">
      <c r="A688" s="7">
        <v>0.1353264384291625</v>
      </c>
      <c r="B688"/>
      <c r="C688"/>
      <c r="D688"/>
      <c r="E688"/>
      <c r="F688" s="27" t="s">
        <v>7</v>
      </c>
      <c r="ES688" s="27" t="s">
        <v>8</v>
      </c>
      <c r="ET688" s="27" t="s">
        <v>7</v>
      </c>
      <c r="EU688" s="27" t="s">
        <v>8</v>
      </c>
      <c r="EV688" s="27" t="s">
        <v>7</v>
      </c>
      <c r="EW688" s="27" t="s">
        <v>8</v>
      </c>
      <c r="EX688" s="27" t="s">
        <v>7</v>
      </c>
      <c r="FA688" s="27" t="s">
        <v>8</v>
      </c>
      <c r="FB688" s="27" t="s">
        <v>7</v>
      </c>
      <c r="FC688" s="27" t="s">
        <v>8</v>
      </c>
      <c r="FF688" s="27" t="s">
        <v>7</v>
      </c>
      <c r="FG688" s="27" t="s">
        <v>8</v>
      </c>
      <c r="FJ688" s="27" t="s">
        <v>7</v>
      </c>
      <c r="FK688" s="27" t="s">
        <v>8</v>
      </c>
      <c r="FL688" s="27" t="s">
        <v>7</v>
      </c>
    </row>
    <row r="689" spans="1:174" x14ac:dyDescent="0.25">
      <c r="A689" s="7">
        <v>0.13267297885212009</v>
      </c>
      <c r="B689"/>
      <c r="C689"/>
      <c r="D689"/>
      <c r="E689"/>
      <c r="F689" s="27" t="s">
        <v>7</v>
      </c>
      <c r="ES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  <c r="EX689" s="27" t="s">
        <v>7</v>
      </c>
      <c r="FA689" s="27" t="s">
        <v>8</v>
      </c>
      <c r="FB689" s="27" t="s">
        <v>7</v>
      </c>
      <c r="FC689" s="27" t="s">
        <v>8</v>
      </c>
      <c r="FF689" s="27" t="s">
        <v>7</v>
      </c>
      <c r="FJ689" s="27" t="s">
        <v>7</v>
      </c>
      <c r="FK689" s="27" t="s">
        <v>8</v>
      </c>
      <c r="FL689" s="27" t="s">
        <v>7</v>
      </c>
    </row>
    <row r="690" spans="1:174" x14ac:dyDescent="0.25">
      <c r="A690" s="7">
        <v>0.13007154789423539</v>
      </c>
      <c r="B690"/>
      <c r="C690"/>
      <c r="D690"/>
      <c r="E690"/>
      <c r="F690" s="27" t="s">
        <v>7</v>
      </c>
      <c r="ES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EX690" s="27" t="s">
        <v>7</v>
      </c>
      <c r="FA690" s="27" t="s">
        <v>8</v>
      </c>
      <c r="FB690" s="27" t="s">
        <v>7</v>
      </c>
      <c r="FC690" s="27" t="s">
        <v>8</v>
      </c>
      <c r="FJ690" s="27" t="s">
        <v>7</v>
      </c>
      <c r="FK690" s="27" t="s">
        <v>8</v>
      </c>
      <c r="FL690" s="27" t="s">
        <v>7</v>
      </c>
    </row>
    <row r="691" spans="1:174" x14ac:dyDescent="0.25">
      <c r="A691" s="7">
        <v>0.12752112538650529</v>
      </c>
      <c r="B691"/>
      <c r="C691"/>
      <c r="D691"/>
      <c r="E691"/>
      <c r="F691" s="27" t="s">
        <v>7</v>
      </c>
      <c r="ES691" s="27" t="s">
        <v>8</v>
      </c>
      <c r="ET691" s="27" t="s">
        <v>7</v>
      </c>
      <c r="EU691" s="27" t="s">
        <v>8</v>
      </c>
      <c r="EV691" s="27" t="s">
        <v>7</v>
      </c>
      <c r="EW691" s="27" t="s">
        <v>8</v>
      </c>
      <c r="EX691" s="27" t="s">
        <v>7</v>
      </c>
      <c r="EY691" s="27" t="s">
        <v>8</v>
      </c>
      <c r="FA691" s="27" t="s">
        <v>8</v>
      </c>
      <c r="FB691" s="27" t="s">
        <v>7</v>
      </c>
      <c r="FC691" s="27" t="s">
        <v>8</v>
      </c>
      <c r="FJ691" s="27" t="s">
        <v>7</v>
      </c>
      <c r="FK691" s="27" t="s">
        <v>8</v>
      </c>
      <c r="FL691" s="27" t="s">
        <v>7</v>
      </c>
    </row>
    <row r="692" spans="1:174" x14ac:dyDescent="0.25">
      <c r="A692" s="7">
        <v>0.12502071116324048</v>
      </c>
      <c r="B692"/>
      <c r="C692"/>
      <c r="D692"/>
      <c r="E692"/>
      <c r="F692" s="27" t="s">
        <v>7</v>
      </c>
      <c r="ES692" s="27" t="s">
        <v>8</v>
      </c>
      <c r="ET692" s="27" t="s">
        <v>7</v>
      </c>
      <c r="EU692" s="27" t="s">
        <v>8</v>
      </c>
      <c r="EV692" s="27" t="s">
        <v>7</v>
      </c>
      <c r="EW692" s="27" t="s">
        <v>8</v>
      </c>
      <c r="EX692" s="27" t="s">
        <v>7</v>
      </c>
      <c r="EY692" s="27" t="s">
        <v>8</v>
      </c>
      <c r="EZ692" s="27" t="s">
        <v>7</v>
      </c>
      <c r="FA692" s="27" t="s">
        <v>8</v>
      </c>
      <c r="FB692" s="27" t="s">
        <v>7</v>
      </c>
      <c r="FC692" s="27" t="s">
        <v>8</v>
      </c>
      <c r="FJ692" s="27" t="s">
        <v>7</v>
      </c>
      <c r="FK692" s="27" t="s">
        <v>8</v>
      </c>
      <c r="FL692" s="27" t="s">
        <v>7</v>
      </c>
      <c r="FM692" s="27" t="s">
        <v>8</v>
      </c>
    </row>
    <row r="693" spans="1:174" x14ac:dyDescent="0.25">
      <c r="A693" s="7">
        <v>0.1225693246698436</v>
      </c>
      <c r="B693"/>
      <c r="C693"/>
      <c r="D693"/>
      <c r="E693"/>
      <c r="F693" s="27" t="s">
        <v>7</v>
      </c>
      <c r="ES693" s="27" t="s">
        <v>8</v>
      </c>
      <c r="ET693" s="27" t="s">
        <v>7</v>
      </c>
      <c r="EU693" s="27" t="s">
        <v>8</v>
      </c>
      <c r="EV693" s="27" t="s">
        <v>7</v>
      </c>
      <c r="EW693" s="27" t="s">
        <v>8</v>
      </c>
      <c r="EX693" s="27" t="s">
        <v>7</v>
      </c>
      <c r="EY693" s="27" t="s">
        <v>8</v>
      </c>
      <c r="EZ693" s="27" t="s">
        <v>7</v>
      </c>
      <c r="FA693" s="27" t="s">
        <v>8</v>
      </c>
      <c r="FB693" s="27" t="s">
        <v>7</v>
      </c>
      <c r="FC693" s="27" t="s">
        <v>8</v>
      </c>
      <c r="FJ693" s="27" t="s">
        <v>7</v>
      </c>
      <c r="FK693" s="27" t="s">
        <v>8</v>
      </c>
      <c r="FL693" s="27" t="s">
        <v>7</v>
      </c>
      <c r="FM693" s="27" t="s">
        <v>8</v>
      </c>
      <c r="FN693" s="27" t="s">
        <v>7</v>
      </c>
    </row>
    <row r="694" spans="1:174" x14ac:dyDescent="0.25">
      <c r="A694" s="7">
        <v>0.12016600457827803</v>
      </c>
      <c r="B694"/>
      <c r="C694"/>
      <c r="D694"/>
      <c r="E694"/>
      <c r="F694" s="27" t="s">
        <v>7</v>
      </c>
      <c r="ES694" s="27" t="s">
        <v>8</v>
      </c>
      <c r="ET694" s="27" t="s">
        <v>7</v>
      </c>
      <c r="EU694" s="27" t="s">
        <v>8</v>
      </c>
      <c r="EV694" s="27" t="s">
        <v>7</v>
      </c>
      <c r="EX694" s="27" t="s">
        <v>7</v>
      </c>
      <c r="EY694" s="27" t="s">
        <v>8</v>
      </c>
      <c r="EZ694" s="27" t="s">
        <v>7</v>
      </c>
      <c r="FA694" s="27" t="s">
        <v>8</v>
      </c>
      <c r="FB694" s="27" t="s">
        <v>7</v>
      </c>
      <c r="FJ694" s="27" t="s">
        <v>7</v>
      </c>
      <c r="FK694" s="27" t="s">
        <v>8</v>
      </c>
      <c r="FL694" s="27" t="s">
        <v>7</v>
      </c>
      <c r="FM694" s="27" t="s">
        <v>8</v>
      </c>
      <c r="FN694" s="27" t="s">
        <v>7</v>
      </c>
    </row>
    <row r="695" spans="1:174" x14ac:dyDescent="0.25">
      <c r="A695" s="7">
        <v>0.1178098084100765</v>
      </c>
      <c r="B695"/>
      <c r="C695"/>
      <c r="D695"/>
      <c r="E695"/>
      <c r="F695" s="27" t="s">
        <v>7</v>
      </c>
      <c r="ES695" s="27" t="s">
        <v>8</v>
      </c>
      <c r="ET695" s="27" t="s">
        <v>7</v>
      </c>
      <c r="EU695" s="27" t="s">
        <v>8</v>
      </c>
      <c r="EX695" s="27" t="s">
        <v>7</v>
      </c>
      <c r="EY695" s="27" t="s">
        <v>8</v>
      </c>
      <c r="EZ695" s="27" t="s">
        <v>7</v>
      </c>
      <c r="FA695" s="27" t="s">
        <v>8</v>
      </c>
      <c r="FJ695" s="27" t="s">
        <v>7</v>
      </c>
      <c r="FK695" s="27" t="s">
        <v>8</v>
      </c>
      <c r="FL695" s="27" t="s">
        <v>7</v>
      </c>
      <c r="FM695" s="27" t="s">
        <v>8</v>
      </c>
      <c r="FN695" s="27" t="s">
        <v>7</v>
      </c>
    </row>
    <row r="696" spans="1:174" x14ac:dyDescent="0.25">
      <c r="A696" s="7">
        <v>0.11549981216674166</v>
      </c>
      <c r="B696"/>
      <c r="C696"/>
      <c r="D696"/>
      <c r="E696"/>
      <c r="F696" s="27" t="s">
        <v>7</v>
      </c>
      <c r="ES696" s="27" t="s">
        <v>8</v>
      </c>
      <c r="ET696" s="27" t="s">
        <v>7</v>
      </c>
      <c r="EU696" s="27" t="s">
        <v>8</v>
      </c>
      <c r="EX696" s="27" t="s">
        <v>7</v>
      </c>
      <c r="EY696" s="27" t="s">
        <v>8</v>
      </c>
      <c r="EZ696" s="27" t="s">
        <v>7</v>
      </c>
      <c r="FA696" s="27" t="s">
        <v>8</v>
      </c>
      <c r="FJ696" s="27" t="s">
        <v>7</v>
      </c>
      <c r="FL696" s="27" t="s">
        <v>7</v>
      </c>
      <c r="FM696" s="27" t="s">
        <v>8</v>
      </c>
      <c r="FN696" s="27" t="s">
        <v>7</v>
      </c>
      <c r="FO696" s="27" t="s">
        <v>8</v>
      </c>
    </row>
    <row r="697" spans="1:174" x14ac:dyDescent="0.25">
      <c r="A697" s="7">
        <v>0.11323510996739378</v>
      </c>
      <c r="B697"/>
      <c r="C697"/>
      <c r="D697"/>
      <c r="E697"/>
      <c r="F697" s="27" t="s">
        <v>7</v>
      </c>
      <c r="ES697" s="27" t="s">
        <v>8</v>
      </c>
      <c r="ET697" s="27" t="s">
        <v>7</v>
      </c>
      <c r="EU697" s="27" t="s">
        <v>8</v>
      </c>
      <c r="EX697" s="27" t="s">
        <v>7</v>
      </c>
      <c r="EY697" s="27" t="s">
        <v>8</v>
      </c>
      <c r="EZ697" s="27" t="s">
        <v>7</v>
      </c>
      <c r="FA697" s="27" t="s">
        <v>8</v>
      </c>
      <c r="FL697" s="27" t="s">
        <v>7</v>
      </c>
      <c r="FM697" s="27" t="s">
        <v>8</v>
      </c>
      <c r="FN697" s="27" t="s">
        <v>7</v>
      </c>
      <c r="FO697" s="27" t="s">
        <v>8</v>
      </c>
      <c r="FP697" s="27" t="s">
        <v>7</v>
      </c>
    </row>
    <row r="698" spans="1:174" x14ac:dyDescent="0.25">
      <c r="A698" s="7">
        <v>0.11101481369352331</v>
      </c>
      <c r="B698"/>
      <c r="C698"/>
      <c r="D698"/>
      <c r="E698"/>
      <c r="F698" s="27" t="s">
        <v>7</v>
      </c>
      <c r="ES698" s="27" t="s">
        <v>8</v>
      </c>
      <c r="ET698" s="27" t="s">
        <v>7</v>
      </c>
      <c r="EU698" s="27" t="s">
        <v>8</v>
      </c>
      <c r="EX698" s="27" t="s">
        <v>7</v>
      </c>
      <c r="EY698" s="27" t="s">
        <v>8</v>
      </c>
      <c r="EZ698" s="27" t="s">
        <v>7</v>
      </c>
      <c r="FA698" s="27" t="s">
        <v>8</v>
      </c>
      <c r="FL698" s="27" t="s">
        <v>7</v>
      </c>
      <c r="FM698" s="27" t="s">
        <v>8</v>
      </c>
      <c r="FN698" s="27" t="s">
        <v>7</v>
      </c>
      <c r="FO698" s="27" t="s">
        <v>8</v>
      </c>
      <c r="FP698" s="27" t="s">
        <v>7</v>
      </c>
    </row>
    <row r="699" spans="1:174" x14ac:dyDescent="0.25">
      <c r="A699" s="7">
        <v>0.10883805264070913</v>
      </c>
      <c r="B699"/>
      <c r="C699"/>
      <c r="D699"/>
      <c r="E699"/>
      <c r="F699" s="27" t="s">
        <v>7</v>
      </c>
      <c r="ES699" s="27" t="s">
        <v>8</v>
      </c>
      <c r="ET699" s="27" t="s">
        <v>7</v>
      </c>
      <c r="EU699" s="27" t="s">
        <v>8</v>
      </c>
      <c r="EX699" s="27" t="s">
        <v>7</v>
      </c>
      <c r="EY699" s="27" t="s">
        <v>8</v>
      </c>
      <c r="EZ699" s="27" t="s">
        <v>7</v>
      </c>
      <c r="FA699" s="27" t="s">
        <v>8</v>
      </c>
      <c r="FL699" s="27" t="s">
        <v>7</v>
      </c>
      <c r="FM699" s="27" t="s">
        <v>8</v>
      </c>
      <c r="FN699" s="27" t="s">
        <v>7</v>
      </c>
      <c r="FO699" s="27" t="s">
        <v>8</v>
      </c>
      <c r="FP699" s="27" t="s">
        <v>7</v>
      </c>
    </row>
    <row r="700" spans="1:174" x14ac:dyDescent="0.25">
      <c r="A700" s="7">
        <v>0.10670397317716582</v>
      </c>
      <c r="B700"/>
      <c r="C700"/>
      <c r="D700"/>
      <c r="E700"/>
      <c r="F700" s="27" t="s">
        <v>7</v>
      </c>
      <c r="ES700" s="27" t="s">
        <v>8</v>
      </c>
      <c r="ET700" s="27" t="s">
        <v>7</v>
      </c>
      <c r="EX700" s="27" t="s">
        <v>7</v>
      </c>
      <c r="EY700" s="27" t="s">
        <v>8</v>
      </c>
      <c r="EZ700" s="27" t="s">
        <v>7</v>
      </c>
      <c r="FA700" s="27" t="s">
        <v>8</v>
      </c>
      <c r="FL700" s="27" t="s">
        <v>7</v>
      </c>
      <c r="FM700" s="27" t="s">
        <v>8</v>
      </c>
      <c r="FN700" s="27" t="s">
        <v>7</v>
      </c>
      <c r="FO700" s="27" t="s">
        <v>8</v>
      </c>
      <c r="FP700" s="27" t="s">
        <v>7</v>
      </c>
    </row>
    <row r="701" spans="1:174" x14ac:dyDescent="0.25">
      <c r="A701" s="7">
        <v>0.1046117384089861</v>
      </c>
      <c r="B701"/>
      <c r="C701"/>
      <c r="D701"/>
      <c r="E701"/>
      <c r="F701" s="27" t="s">
        <v>7</v>
      </c>
      <c r="ES701" s="27" t="s">
        <v>8</v>
      </c>
      <c r="EX701" s="27" t="s">
        <v>7</v>
      </c>
      <c r="EY701" s="27" t="s">
        <v>8</v>
      </c>
      <c r="EZ701" s="27" t="s">
        <v>7</v>
      </c>
      <c r="FA701" s="27" t="s">
        <v>8</v>
      </c>
      <c r="FL701" s="27" t="s">
        <v>7</v>
      </c>
      <c r="FM701" s="27" t="s">
        <v>8</v>
      </c>
      <c r="FN701" s="27" t="s">
        <v>7</v>
      </c>
      <c r="FO701" s="27" t="s">
        <v>8</v>
      </c>
      <c r="FP701" s="27" t="s">
        <v>7</v>
      </c>
    </row>
    <row r="702" spans="1:174" x14ac:dyDescent="0.25">
      <c r="A702" s="7">
        <v>0.10256052785194716</v>
      </c>
      <c r="B702"/>
      <c r="C702"/>
      <c r="D702"/>
      <c r="E702"/>
      <c r="F702" s="27" t="s">
        <v>7</v>
      </c>
      <c r="ES702" s="27" t="s">
        <v>8</v>
      </c>
      <c r="EX702" s="27" t="s">
        <v>7</v>
      </c>
      <c r="EY702" s="27" t="s">
        <v>8</v>
      </c>
      <c r="EZ702" s="27" t="s">
        <v>7</v>
      </c>
      <c r="FA702" s="27" t="s">
        <v>8</v>
      </c>
      <c r="FL702" s="27" t="s">
        <v>7</v>
      </c>
      <c r="FM702" s="27" t="s">
        <v>8</v>
      </c>
      <c r="FN702" s="27" t="s">
        <v>7</v>
      </c>
      <c r="FO702" s="27" t="s">
        <v>8</v>
      </c>
      <c r="FP702" s="27" t="s">
        <v>7</v>
      </c>
      <c r="FQ702" s="27" t="s">
        <v>8</v>
      </c>
    </row>
    <row r="703" spans="1:174" x14ac:dyDescent="0.25">
      <c r="A703" s="7">
        <v>0.10054953710975212</v>
      </c>
      <c r="B703"/>
      <c r="C703"/>
      <c r="D703"/>
      <c r="E703"/>
      <c r="F703" s="27" t="s">
        <v>7</v>
      </c>
      <c r="ES703" s="27" t="s">
        <v>8</v>
      </c>
      <c r="EX703" s="27" t="s">
        <v>7</v>
      </c>
      <c r="EY703" s="27" t="s">
        <v>8</v>
      </c>
      <c r="EZ703" s="27" t="s">
        <v>7</v>
      </c>
      <c r="FA703" s="27" t="s">
        <v>8</v>
      </c>
      <c r="FL703" s="27" t="s">
        <v>7</v>
      </c>
      <c r="FN703" s="27" t="s">
        <v>7</v>
      </c>
      <c r="FO703" s="27" t="s">
        <v>8</v>
      </c>
      <c r="FP703" s="27" t="s">
        <v>7</v>
      </c>
      <c r="FQ703" s="27" t="s">
        <v>8</v>
      </c>
      <c r="FR703" s="27" t="s">
        <v>7</v>
      </c>
    </row>
    <row r="704" spans="1:174" x14ac:dyDescent="0.25">
      <c r="A704" s="7">
        <v>9.8577977558580512E-2</v>
      </c>
      <c r="B704"/>
      <c r="C704"/>
      <c r="D704"/>
      <c r="E704"/>
      <c r="F704" s="27" t="s">
        <v>7</v>
      </c>
      <c r="ES704" s="27" t="s">
        <v>8</v>
      </c>
      <c r="EX704" s="27" t="s">
        <v>7</v>
      </c>
      <c r="EY704" s="27" t="s">
        <v>8</v>
      </c>
      <c r="EZ704" s="27" t="s">
        <v>7</v>
      </c>
      <c r="FN704" s="27" t="s">
        <v>7</v>
      </c>
      <c r="FO704" s="27" t="s">
        <v>8</v>
      </c>
      <c r="FP704" s="27" t="s">
        <v>7</v>
      </c>
      <c r="FQ704" s="27" t="s">
        <v>8</v>
      </c>
      <c r="FR704" s="27" t="s">
        <v>7</v>
      </c>
    </row>
    <row r="705" spans="1:258" x14ac:dyDescent="0.25">
      <c r="A705" s="7">
        <v>9.6645076037824032E-2</v>
      </c>
      <c r="B705"/>
      <c r="C705"/>
      <c r="D705"/>
      <c r="E705"/>
      <c r="F705" s="27" t="s">
        <v>7</v>
      </c>
      <c r="ES705" s="27" t="s">
        <v>8</v>
      </c>
      <c r="EX705" s="27" t="s">
        <v>7</v>
      </c>
      <c r="FN705" s="27" t="s">
        <v>7</v>
      </c>
      <c r="FP705" s="27" t="s">
        <v>7</v>
      </c>
      <c r="FQ705" s="27" t="s">
        <v>8</v>
      </c>
      <c r="FR705" s="27" t="s">
        <v>7</v>
      </c>
    </row>
    <row r="706" spans="1:258" x14ac:dyDescent="0.25">
      <c r="A706" s="7">
        <v>9.4750074546886304E-2</v>
      </c>
      <c r="B706"/>
      <c r="C706"/>
      <c r="D706"/>
      <c r="E706"/>
      <c r="F706" s="27" t="s">
        <v>7</v>
      </c>
      <c r="EO706" s="27" t="s">
        <v>8</v>
      </c>
      <c r="ES706" s="27" t="s">
        <v>8</v>
      </c>
      <c r="FP706" s="27" t="s">
        <v>7</v>
      </c>
      <c r="FQ706" s="27" t="s">
        <v>8</v>
      </c>
      <c r="FR706" s="27" t="s">
        <v>7</v>
      </c>
    </row>
    <row r="707" spans="1:258" x14ac:dyDescent="0.25">
      <c r="A707" s="7">
        <v>9.2892229947927743E-2</v>
      </c>
      <c r="B707"/>
      <c r="C707"/>
      <c r="D707"/>
      <c r="E707"/>
      <c r="F707" s="27" t="s">
        <v>7</v>
      </c>
      <c r="EO707" s="27" t="s">
        <v>8</v>
      </c>
      <c r="EP707" s="27" t="s">
        <v>7</v>
      </c>
      <c r="ES707" s="27" t="s">
        <v>8</v>
      </c>
      <c r="FP707" s="27" t="s">
        <v>7</v>
      </c>
      <c r="FQ707" s="27" t="s">
        <v>8</v>
      </c>
      <c r="FR707" s="27" t="s">
        <v>7</v>
      </c>
    </row>
    <row r="708" spans="1:258" x14ac:dyDescent="0.25">
      <c r="A708" s="7">
        <v>9.1070813674438963E-2</v>
      </c>
      <c r="B708"/>
      <c r="C708"/>
      <c r="D708"/>
      <c r="E708"/>
      <c r="F708" s="27" t="s">
        <v>7</v>
      </c>
      <c r="EO708" s="27" t="s">
        <v>8</v>
      </c>
      <c r="EP708" s="27" t="s">
        <v>7</v>
      </c>
      <c r="EQ708" s="27" t="s">
        <v>8</v>
      </c>
      <c r="ES708" s="27" t="s">
        <v>8</v>
      </c>
      <c r="FP708" s="27" t="s">
        <v>7</v>
      </c>
      <c r="FQ708" s="27" t="s">
        <v>8</v>
      </c>
      <c r="FR708" s="27" t="s">
        <v>7</v>
      </c>
    </row>
    <row r="709" spans="1:258" x14ac:dyDescent="0.25">
      <c r="A709" s="7">
        <v>8.9285111445528392E-2</v>
      </c>
      <c r="B709"/>
      <c r="C709"/>
      <c r="D709"/>
      <c r="E709"/>
      <c r="F709" s="27" t="s">
        <v>7</v>
      </c>
      <c r="DQ709" s="27" t="s">
        <v>8</v>
      </c>
      <c r="EO709" s="27" t="s">
        <v>8</v>
      </c>
      <c r="EP709" s="27" t="s">
        <v>7</v>
      </c>
      <c r="EQ709" s="27" t="s">
        <v>8</v>
      </c>
      <c r="ER709" s="27" t="s">
        <v>7</v>
      </c>
      <c r="ES709" s="27" t="s">
        <v>8</v>
      </c>
      <c r="FP709" s="27" t="s">
        <v>7</v>
      </c>
      <c r="FQ709" s="27" t="s">
        <v>8</v>
      </c>
      <c r="FR709" s="27" t="s">
        <v>7</v>
      </c>
    </row>
    <row r="710" spans="1:258" x14ac:dyDescent="0.25">
      <c r="A710" s="7">
        <v>8.7534422985812155E-2</v>
      </c>
      <c r="B710"/>
      <c r="C710"/>
      <c r="D710"/>
      <c r="E710"/>
      <c r="F710" s="27" t="s">
        <v>7</v>
      </c>
      <c r="DQ710" s="27" t="s">
        <v>8</v>
      </c>
      <c r="DR710" s="27" t="s">
        <v>7</v>
      </c>
      <c r="EO710" s="27" t="s">
        <v>8</v>
      </c>
      <c r="EP710" s="27" t="s">
        <v>7</v>
      </c>
      <c r="EQ710" s="27" t="s">
        <v>8</v>
      </c>
      <c r="ER710" s="27" t="s">
        <v>7</v>
      </c>
      <c r="ES710" s="27" t="s">
        <v>8</v>
      </c>
      <c r="FP710" s="27" t="s">
        <v>7</v>
      </c>
      <c r="FQ710" s="27" t="s">
        <v>8</v>
      </c>
      <c r="FR710" s="27" t="s">
        <v>7</v>
      </c>
    </row>
    <row r="711" spans="1:258" x14ac:dyDescent="0.25">
      <c r="A711" s="7">
        <v>8.5818061750796232E-2</v>
      </c>
      <c r="B711"/>
      <c r="C711"/>
      <c r="D711"/>
      <c r="E711"/>
      <c r="F711" s="27" t="s">
        <v>7</v>
      </c>
      <c r="DQ711" s="27" t="s">
        <v>8</v>
      </c>
      <c r="DR711" s="27" t="s">
        <v>7</v>
      </c>
      <c r="EO711" s="27" t="s">
        <v>8</v>
      </c>
      <c r="EP711" s="27" t="s">
        <v>7</v>
      </c>
      <c r="EQ711" s="27" t="s">
        <v>8</v>
      </c>
      <c r="ER711" s="27" t="s">
        <v>7</v>
      </c>
      <c r="ES711" s="27" t="s">
        <v>8</v>
      </c>
      <c r="FP711" s="27" t="s">
        <v>7</v>
      </c>
      <c r="FQ711" s="27" t="s">
        <v>8</v>
      </c>
      <c r="FR711" s="27" t="s">
        <v>7</v>
      </c>
    </row>
    <row r="712" spans="1:258" x14ac:dyDescent="0.25">
      <c r="A712" s="7">
        <v>8.4135354657643366E-2</v>
      </c>
      <c r="B712"/>
      <c r="C712"/>
      <c r="D712"/>
      <c r="E712"/>
      <c r="F712" s="27" t="s">
        <v>7</v>
      </c>
      <c r="DQ712" s="27" t="s">
        <v>8</v>
      </c>
      <c r="DR712" s="27" t="s">
        <v>7</v>
      </c>
      <c r="EM712" s="27" t="s">
        <v>8</v>
      </c>
      <c r="EO712" s="27" t="s">
        <v>8</v>
      </c>
      <c r="EP712" s="27" t="s">
        <v>7</v>
      </c>
      <c r="EQ712" s="27" t="s">
        <v>8</v>
      </c>
      <c r="ER712" s="27" t="s">
        <v>7</v>
      </c>
      <c r="ES712" s="27" t="s">
        <v>8</v>
      </c>
      <c r="FP712" s="27" t="s">
        <v>7</v>
      </c>
      <c r="FQ712" s="27" t="s">
        <v>8</v>
      </c>
      <c r="FR712" s="27" t="s">
        <v>7</v>
      </c>
    </row>
    <row r="713" spans="1:258" x14ac:dyDescent="0.25">
      <c r="A713" s="7">
        <v>8.248564182121898E-2</v>
      </c>
      <c r="B713"/>
      <c r="C713"/>
      <c r="D713"/>
      <c r="E713"/>
      <c r="F713" s="27" t="s">
        <v>7</v>
      </c>
      <c r="DM713" s="27" t="s">
        <v>8</v>
      </c>
      <c r="DO713" s="27" t="s">
        <v>8</v>
      </c>
      <c r="DQ713" s="27" t="s">
        <v>8</v>
      </c>
      <c r="DR713" s="27" t="s">
        <v>7</v>
      </c>
      <c r="EM713" s="27" t="s">
        <v>8</v>
      </c>
      <c r="EN713" s="27" t="s">
        <v>7</v>
      </c>
      <c r="EO713" s="27" t="s">
        <v>8</v>
      </c>
      <c r="EP713" s="27" t="s">
        <v>7</v>
      </c>
      <c r="EQ713" s="27" t="s">
        <v>8</v>
      </c>
      <c r="ER713" s="27" t="s">
        <v>7</v>
      </c>
      <c r="ES713" s="27" t="s">
        <v>8</v>
      </c>
      <c r="FP713" s="27" t="s">
        <v>7</v>
      </c>
      <c r="FQ713" s="27" t="s">
        <v>8</v>
      </c>
      <c r="FR713" s="27" t="s">
        <v>7</v>
      </c>
    </row>
    <row r="714" spans="1:258" x14ac:dyDescent="0.25">
      <c r="A714" s="7">
        <v>8.0868276295312735E-2</v>
      </c>
      <c r="B714"/>
      <c r="C714"/>
      <c r="D714"/>
      <c r="E714"/>
      <c r="F714" s="27" t="s">
        <v>7</v>
      </c>
      <c r="DM714" s="27" t="s">
        <v>8</v>
      </c>
      <c r="DN714" s="27" t="s">
        <v>7</v>
      </c>
      <c r="DO714" s="27" t="s">
        <v>8</v>
      </c>
      <c r="DP714" s="27" t="s">
        <v>7</v>
      </c>
      <c r="DQ714" s="27" t="s">
        <v>8</v>
      </c>
      <c r="DR714" s="27" t="s">
        <v>7</v>
      </c>
      <c r="EM714" s="27" t="s">
        <v>8</v>
      </c>
      <c r="EN714" s="27" t="s">
        <v>7</v>
      </c>
      <c r="EO714" s="27" t="s">
        <v>8</v>
      </c>
      <c r="EP714" s="27" t="s">
        <v>7</v>
      </c>
      <c r="EQ714" s="27" t="s">
        <v>8</v>
      </c>
      <c r="ER714" s="27" t="s">
        <v>7</v>
      </c>
      <c r="FP714" s="27" t="s">
        <v>7</v>
      </c>
      <c r="FQ714" s="27" t="s">
        <v>8</v>
      </c>
      <c r="FR714" s="27" t="s">
        <v>7</v>
      </c>
    </row>
    <row r="715" spans="1:258" x14ac:dyDescent="0.25">
      <c r="A715" s="7">
        <v>7.9282623818934056E-2</v>
      </c>
      <c r="B715"/>
      <c r="C715"/>
      <c r="D715"/>
      <c r="E715"/>
      <c r="F715" s="27" t="s">
        <v>7</v>
      </c>
      <c r="DM715" s="27" t="s">
        <v>8</v>
      </c>
      <c r="DN715" s="27" t="s">
        <v>7</v>
      </c>
      <c r="DO715" s="27" t="s">
        <v>8</v>
      </c>
      <c r="DP715" s="27" t="s">
        <v>7</v>
      </c>
      <c r="DQ715" s="27" t="s">
        <v>8</v>
      </c>
      <c r="DR715" s="27" t="s">
        <v>7</v>
      </c>
      <c r="EG715" s="27" t="s">
        <v>8</v>
      </c>
      <c r="EM715" s="27" t="s">
        <v>8</v>
      </c>
      <c r="EN715" s="27" t="s">
        <v>7</v>
      </c>
      <c r="EO715" s="27" t="s">
        <v>8</v>
      </c>
      <c r="EP715" s="27" t="s">
        <v>7</v>
      </c>
      <c r="EQ715" s="27" t="s">
        <v>8</v>
      </c>
      <c r="FP715" s="27" t="s">
        <v>7</v>
      </c>
      <c r="FQ715" s="27" t="s">
        <v>8</v>
      </c>
      <c r="FR715" s="27" t="s">
        <v>7</v>
      </c>
      <c r="FS715" s="27" t="s">
        <v>8</v>
      </c>
      <c r="HU715" s="27" t="s">
        <v>8</v>
      </c>
    </row>
    <row r="716" spans="1:258" x14ac:dyDescent="0.25">
      <c r="A716" s="7">
        <v>7.7728062567582412E-2</v>
      </c>
      <c r="B716"/>
      <c r="C716"/>
      <c r="D716"/>
      <c r="E716"/>
      <c r="F716" s="27" t="s">
        <v>7</v>
      </c>
      <c r="DM716" s="27" t="s">
        <v>8</v>
      </c>
      <c r="DN716" s="27" t="s">
        <v>7</v>
      </c>
      <c r="DO716" s="27" t="s">
        <v>8</v>
      </c>
      <c r="DP716" s="27" t="s">
        <v>7</v>
      </c>
      <c r="DQ716" s="27" t="s">
        <v>8</v>
      </c>
      <c r="DR716" s="27" t="s">
        <v>7</v>
      </c>
      <c r="EG716" s="27" t="s">
        <v>8</v>
      </c>
      <c r="EH716" s="27" t="s">
        <v>7</v>
      </c>
      <c r="EM716" s="27" t="s">
        <v>8</v>
      </c>
      <c r="EN716" s="27" t="s">
        <v>7</v>
      </c>
      <c r="EP716" s="27" t="s">
        <v>7</v>
      </c>
      <c r="EQ716" s="27" t="s">
        <v>8</v>
      </c>
      <c r="FP716" s="27" t="s">
        <v>7</v>
      </c>
      <c r="FQ716" s="27" t="s">
        <v>8</v>
      </c>
      <c r="FR716" s="27" t="s">
        <v>7</v>
      </c>
      <c r="FS716" s="27" t="s">
        <v>8</v>
      </c>
      <c r="FT716" s="27" t="s">
        <v>7</v>
      </c>
      <c r="FU716" s="27" t="s">
        <v>8</v>
      </c>
      <c r="FW716" s="27" t="s">
        <v>8</v>
      </c>
      <c r="HM716" s="27" t="s">
        <v>8</v>
      </c>
      <c r="HS716" s="27" t="s">
        <v>8</v>
      </c>
      <c r="HU716" s="27" t="s">
        <v>8</v>
      </c>
      <c r="HV716" s="27" t="s">
        <v>7</v>
      </c>
    </row>
    <row r="717" spans="1:258" x14ac:dyDescent="0.25">
      <c r="A717" s="7">
        <v>7.6203982909394521E-2</v>
      </c>
      <c r="B717"/>
      <c r="C717"/>
      <c r="D717"/>
      <c r="E717"/>
      <c r="F717" s="27" t="s">
        <v>7</v>
      </c>
      <c r="DM717" s="27" t="s">
        <v>8</v>
      </c>
      <c r="DN717" s="27" t="s">
        <v>7</v>
      </c>
      <c r="DO717" s="27" t="s">
        <v>8</v>
      </c>
      <c r="DP717" s="27" t="s">
        <v>7</v>
      </c>
      <c r="DQ717" s="27" t="s">
        <v>8</v>
      </c>
      <c r="DR717" s="27" t="s">
        <v>7</v>
      </c>
      <c r="EG717" s="27" t="s">
        <v>8</v>
      </c>
      <c r="EH717" s="27" t="s">
        <v>7</v>
      </c>
      <c r="EM717" s="27" t="s">
        <v>8</v>
      </c>
      <c r="EP717" s="27" t="s">
        <v>7</v>
      </c>
      <c r="EQ717" s="27" t="s">
        <v>8</v>
      </c>
      <c r="FP717" s="27" t="s">
        <v>7</v>
      </c>
      <c r="FQ717" s="27" t="s">
        <v>8</v>
      </c>
      <c r="FR717" s="27" t="s">
        <v>7</v>
      </c>
      <c r="FS717" s="27" t="s">
        <v>8</v>
      </c>
      <c r="FT717" s="27" t="s">
        <v>7</v>
      </c>
      <c r="FU717" s="27" t="s">
        <v>8</v>
      </c>
      <c r="FV717" s="27" t="s">
        <v>7</v>
      </c>
      <c r="FW717" s="27" t="s">
        <v>8</v>
      </c>
      <c r="FX717" s="27" t="s">
        <v>7</v>
      </c>
      <c r="HM717" s="27" t="s">
        <v>8</v>
      </c>
      <c r="HN717" s="27" t="s">
        <v>7</v>
      </c>
      <c r="HS717" s="27" t="s">
        <v>8</v>
      </c>
      <c r="HT717" s="27" t="s">
        <v>7</v>
      </c>
      <c r="HU717" s="27" t="s">
        <v>8</v>
      </c>
      <c r="HV717" s="27" t="s">
        <v>7</v>
      </c>
    </row>
    <row r="718" spans="1:258" x14ac:dyDescent="0.25">
      <c r="A718" s="7">
        <v>7.4709787166073058E-2</v>
      </c>
      <c r="B718"/>
      <c r="C718"/>
      <c r="D718"/>
      <c r="E718"/>
      <c r="F718" s="27" t="s">
        <v>7</v>
      </c>
      <c r="DM718" s="27" t="s">
        <v>8</v>
      </c>
      <c r="DN718" s="27" t="s">
        <v>7</v>
      </c>
      <c r="DO718" s="27" t="s">
        <v>8</v>
      </c>
      <c r="DP718" s="27" t="s">
        <v>7</v>
      </c>
      <c r="DQ718" s="27" t="s">
        <v>8</v>
      </c>
      <c r="DR718" s="27" t="s">
        <v>7</v>
      </c>
      <c r="EG718" s="27" t="s">
        <v>8</v>
      </c>
      <c r="EH718" s="27" t="s">
        <v>7</v>
      </c>
      <c r="EI718" s="27" t="s">
        <v>8</v>
      </c>
      <c r="EK718" s="27" t="s">
        <v>8</v>
      </c>
      <c r="EM718" s="27" t="s">
        <v>8</v>
      </c>
      <c r="EP718" s="27" t="s">
        <v>7</v>
      </c>
      <c r="EQ718" s="27" t="s">
        <v>8</v>
      </c>
      <c r="FP718" s="27" t="s">
        <v>7</v>
      </c>
      <c r="FQ718" s="27" t="s">
        <v>8</v>
      </c>
      <c r="FR718" s="27" t="s">
        <v>7</v>
      </c>
      <c r="FS718" s="27" t="s">
        <v>8</v>
      </c>
      <c r="FT718" s="27" t="s">
        <v>7</v>
      </c>
      <c r="FU718" s="27" t="s">
        <v>8</v>
      </c>
      <c r="FV718" s="27" t="s">
        <v>7</v>
      </c>
      <c r="FW718" s="27" t="s">
        <v>8</v>
      </c>
      <c r="FX718" s="27" t="s">
        <v>7</v>
      </c>
      <c r="HM718" s="27" t="s">
        <v>8</v>
      </c>
      <c r="HN718" s="27" t="s">
        <v>7</v>
      </c>
      <c r="HS718" s="27" t="s">
        <v>8</v>
      </c>
      <c r="HT718" s="27" t="s">
        <v>7</v>
      </c>
      <c r="HU718" s="27" t="s">
        <v>8</v>
      </c>
      <c r="HV718" s="27" t="s">
        <v>7</v>
      </c>
    </row>
    <row r="719" spans="1:258" x14ac:dyDescent="0.25">
      <c r="A719" s="7">
        <v>7.3244889378503E-2</v>
      </c>
      <c r="B719"/>
      <c r="C719"/>
      <c r="D719"/>
      <c r="E719"/>
      <c r="F719" s="27" t="s">
        <v>7</v>
      </c>
      <c r="DM719" s="27" t="s">
        <v>8</v>
      </c>
      <c r="DN719" s="27" t="s">
        <v>7</v>
      </c>
      <c r="DO719" s="27" t="s">
        <v>8</v>
      </c>
      <c r="DP719" s="27" t="s">
        <v>7</v>
      </c>
      <c r="DQ719" s="27" t="s">
        <v>8</v>
      </c>
      <c r="DR719" s="27" t="s">
        <v>7</v>
      </c>
      <c r="EG719" s="27" t="s">
        <v>8</v>
      </c>
      <c r="EH719" s="27" t="s">
        <v>7</v>
      </c>
      <c r="EI719" s="27" t="s">
        <v>8</v>
      </c>
      <c r="EJ719" s="27" t="s">
        <v>7</v>
      </c>
      <c r="EK719" s="27" t="s">
        <v>8</v>
      </c>
      <c r="EL719" s="27" t="s">
        <v>7</v>
      </c>
      <c r="EM719" s="27" t="s">
        <v>8</v>
      </c>
      <c r="EP719" s="27" t="s">
        <v>7</v>
      </c>
      <c r="FP719" s="27" t="s">
        <v>7</v>
      </c>
      <c r="FQ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V719" s="27" t="s">
        <v>7</v>
      </c>
      <c r="FW719" s="27" t="s">
        <v>8</v>
      </c>
      <c r="FX719" s="27" t="s">
        <v>7</v>
      </c>
      <c r="HM719" s="27" t="s">
        <v>8</v>
      </c>
      <c r="HN719" s="27" t="s">
        <v>7</v>
      </c>
      <c r="HS719" s="27" t="s">
        <v>8</v>
      </c>
      <c r="HT719" s="27" t="s">
        <v>7</v>
      </c>
      <c r="HU719" s="27" t="s">
        <v>8</v>
      </c>
      <c r="HV719" s="27" t="s">
        <v>7</v>
      </c>
      <c r="IW719" s="27" t="s">
        <v>8</v>
      </c>
    </row>
    <row r="720" spans="1:258" x14ac:dyDescent="0.25">
      <c r="A720" s="7">
        <v>7.1808715076963722E-2</v>
      </c>
      <c r="B720"/>
      <c r="C720"/>
      <c r="D720"/>
      <c r="E720"/>
      <c r="F720" s="27" t="s">
        <v>7</v>
      </c>
      <c r="DM720" s="27" t="s">
        <v>8</v>
      </c>
      <c r="DN720" s="27" t="s">
        <v>7</v>
      </c>
      <c r="DO720" s="27" t="s">
        <v>8</v>
      </c>
      <c r="DP720" s="27" t="s">
        <v>7</v>
      </c>
      <c r="DR720" s="27" t="s">
        <v>7</v>
      </c>
      <c r="EG720" s="27" t="s">
        <v>8</v>
      </c>
      <c r="EH720" s="27" t="s">
        <v>7</v>
      </c>
      <c r="EI720" s="27" t="s">
        <v>8</v>
      </c>
      <c r="EJ720" s="27" t="s">
        <v>7</v>
      </c>
      <c r="EK720" s="27" t="s">
        <v>8</v>
      </c>
      <c r="EL720" s="27" t="s">
        <v>7</v>
      </c>
      <c r="EM720" s="27" t="s">
        <v>8</v>
      </c>
      <c r="FP720" s="27" t="s">
        <v>7</v>
      </c>
      <c r="FQ720" s="27" t="s">
        <v>8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  <c r="HI720" s="27" t="s">
        <v>8</v>
      </c>
      <c r="HK720" s="27" t="s">
        <v>8</v>
      </c>
      <c r="HM720" s="27" t="s">
        <v>8</v>
      </c>
      <c r="HN720" s="27" t="s">
        <v>7</v>
      </c>
      <c r="HO720" s="27" t="s">
        <v>8</v>
      </c>
      <c r="HS720" s="27" t="s">
        <v>8</v>
      </c>
      <c r="HT720" s="27" t="s">
        <v>7</v>
      </c>
      <c r="HU720" s="27" t="s">
        <v>8</v>
      </c>
      <c r="HV720" s="27" t="s">
        <v>7</v>
      </c>
      <c r="IW720" s="27" t="s">
        <v>8</v>
      </c>
      <c r="IX720" s="27" t="s">
        <v>7</v>
      </c>
    </row>
    <row r="721" spans="1:268" x14ac:dyDescent="0.25">
      <c r="A721" s="7">
        <v>7.0400701055846782E-2</v>
      </c>
      <c r="B721"/>
      <c r="C721"/>
      <c r="D721"/>
      <c r="E721"/>
      <c r="F721" s="27" t="s">
        <v>7</v>
      </c>
      <c r="DM721" s="27" t="s">
        <v>8</v>
      </c>
      <c r="DN721" s="27" t="s">
        <v>7</v>
      </c>
      <c r="DR721" s="27" t="s">
        <v>7</v>
      </c>
      <c r="EG721" s="27" t="s">
        <v>8</v>
      </c>
      <c r="EH721" s="27" t="s">
        <v>7</v>
      </c>
      <c r="EI721" s="27" t="s">
        <v>8</v>
      </c>
      <c r="EJ721" s="27" t="s">
        <v>7</v>
      </c>
      <c r="EK721" s="27" t="s">
        <v>8</v>
      </c>
      <c r="EL721" s="27" t="s">
        <v>7</v>
      </c>
      <c r="EM721" s="27" t="s">
        <v>8</v>
      </c>
      <c r="FP721" s="27" t="s">
        <v>7</v>
      </c>
      <c r="FQ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  <c r="FW721" s="27" t="s">
        <v>8</v>
      </c>
      <c r="FX721" s="27" t="s">
        <v>7</v>
      </c>
      <c r="FY721" s="27" t="s">
        <v>8</v>
      </c>
      <c r="HI721" s="27" t="s">
        <v>8</v>
      </c>
      <c r="HJ721" s="27" t="s">
        <v>7</v>
      </c>
      <c r="HK721" s="27" t="s">
        <v>8</v>
      </c>
      <c r="HL721" s="27" t="s">
        <v>7</v>
      </c>
      <c r="HM721" s="27" t="s">
        <v>8</v>
      </c>
      <c r="HN721" s="27" t="s">
        <v>7</v>
      </c>
      <c r="HO721" s="27" t="s">
        <v>8</v>
      </c>
      <c r="HP721" s="27" t="s">
        <v>7</v>
      </c>
      <c r="HS721" s="27" t="s">
        <v>8</v>
      </c>
      <c r="HT721" s="27" t="s">
        <v>7</v>
      </c>
      <c r="HU721" s="27" t="s">
        <v>8</v>
      </c>
      <c r="HV721" s="27" t="s">
        <v>7</v>
      </c>
      <c r="IW721" s="27" t="s">
        <v>8</v>
      </c>
      <c r="IX721" s="27" t="s">
        <v>7</v>
      </c>
    </row>
    <row r="722" spans="1:268" x14ac:dyDescent="0.25">
      <c r="A722" s="7">
        <v>6.9020295152790956E-2</v>
      </c>
      <c r="B722"/>
      <c r="C722"/>
      <c r="D722"/>
      <c r="E722"/>
      <c r="F722" s="27" t="s">
        <v>7</v>
      </c>
      <c r="DM722" s="27" t="s">
        <v>8</v>
      </c>
      <c r="DR722" s="27" t="s">
        <v>7</v>
      </c>
      <c r="EG722" s="27" t="s">
        <v>8</v>
      </c>
      <c r="EH722" s="27" t="s">
        <v>7</v>
      </c>
      <c r="EI722" s="27" t="s">
        <v>8</v>
      </c>
      <c r="EJ722" s="27" t="s">
        <v>7</v>
      </c>
      <c r="EK722" s="27" t="s">
        <v>8</v>
      </c>
      <c r="EL722" s="27" t="s">
        <v>7</v>
      </c>
      <c r="EM722" s="27" t="s">
        <v>8</v>
      </c>
      <c r="FP722" s="27" t="s">
        <v>7</v>
      </c>
      <c r="FQ722" s="27" t="s">
        <v>8</v>
      </c>
      <c r="FR722" s="27" t="s">
        <v>7</v>
      </c>
      <c r="FS722" s="27" t="s">
        <v>8</v>
      </c>
      <c r="FT722" s="27" t="s">
        <v>7</v>
      </c>
      <c r="FU722" s="27" t="s">
        <v>8</v>
      </c>
      <c r="FV722" s="27" t="s">
        <v>7</v>
      </c>
      <c r="FW722" s="27" t="s">
        <v>8</v>
      </c>
      <c r="FX722" s="27" t="s">
        <v>7</v>
      </c>
      <c r="FY722" s="27" t="s">
        <v>8</v>
      </c>
      <c r="FZ722" s="27" t="s">
        <v>7</v>
      </c>
      <c r="HI722" s="27" t="s">
        <v>8</v>
      </c>
      <c r="HJ722" s="27" t="s">
        <v>7</v>
      </c>
      <c r="HK722" s="27" t="s">
        <v>8</v>
      </c>
      <c r="HL722" s="27" t="s">
        <v>7</v>
      </c>
      <c r="HM722" s="27" t="s">
        <v>8</v>
      </c>
      <c r="HN722" s="27" t="s">
        <v>7</v>
      </c>
      <c r="HO722" s="27" t="s">
        <v>8</v>
      </c>
      <c r="HP722" s="27" t="s">
        <v>7</v>
      </c>
      <c r="HS722" s="27" t="s">
        <v>8</v>
      </c>
      <c r="HT722" s="27" t="s">
        <v>7</v>
      </c>
      <c r="HU722" s="27" t="s">
        <v>8</v>
      </c>
      <c r="HV722" s="27" t="s">
        <v>7</v>
      </c>
      <c r="IW722" s="27" t="s">
        <v>8</v>
      </c>
      <c r="IX722" s="27" t="s">
        <v>7</v>
      </c>
      <c r="JC722" s="27" t="s">
        <v>8</v>
      </c>
    </row>
    <row r="723" spans="1:268" x14ac:dyDescent="0.25">
      <c r="A723" s="7">
        <v>6.7666956032147993E-2</v>
      </c>
      <c r="B723"/>
      <c r="C723"/>
      <c r="D723"/>
      <c r="E723"/>
      <c r="F723" s="27" t="s">
        <v>7</v>
      </c>
      <c r="DK723" s="27" t="s">
        <v>8</v>
      </c>
      <c r="DM723" s="27" t="s">
        <v>8</v>
      </c>
      <c r="DR723" s="27" t="s">
        <v>7</v>
      </c>
      <c r="EG723" s="27" t="s">
        <v>8</v>
      </c>
      <c r="EH723" s="27" t="s">
        <v>7</v>
      </c>
      <c r="EI723" s="27" t="s">
        <v>8</v>
      </c>
      <c r="EJ723" s="27" t="s">
        <v>7</v>
      </c>
      <c r="EK723" s="27" t="s">
        <v>8</v>
      </c>
      <c r="EL723" s="27" t="s">
        <v>7</v>
      </c>
      <c r="FP723" s="27" t="s">
        <v>7</v>
      </c>
      <c r="FQ723" s="27" t="s">
        <v>8</v>
      </c>
      <c r="FR723" s="27" t="s">
        <v>7</v>
      </c>
      <c r="FS723" s="27" t="s">
        <v>8</v>
      </c>
      <c r="FT723" s="27" t="s">
        <v>7</v>
      </c>
      <c r="FU723" s="27" t="s">
        <v>8</v>
      </c>
      <c r="FV723" s="27" t="s">
        <v>7</v>
      </c>
      <c r="FW723" s="27" t="s">
        <v>8</v>
      </c>
      <c r="FX723" s="27" t="s">
        <v>7</v>
      </c>
      <c r="FY723" s="27" t="s">
        <v>8</v>
      </c>
      <c r="FZ723" s="27" t="s">
        <v>7</v>
      </c>
      <c r="HI723" s="27" t="s">
        <v>8</v>
      </c>
      <c r="HJ723" s="27" t="s">
        <v>7</v>
      </c>
      <c r="HK723" s="27" t="s">
        <v>8</v>
      </c>
      <c r="HL723" s="27" t="s">
        <v>7</v>
      </c>
      <c r="HM723" s="27" t="s">
        <v>8</v>
      </c>
      <c r="HN723" s="27" t="s">
        <v>7</v>
      </c>
      <c r="HP723" s="27" t="s">
        <v>7</v>
      </c>
      <c r="HQ723" s="27" t="s">
        <v>8</v>
      </c>
      <c r="HS723" s="27" t="s">
        <v>8</v>
      </c>
      <c r="HT723" s="27" t="s">
        <v>7</v>
      </c>
      <c r="HU723" s="27" t="s">
        <v>8</v>
      </c>
      <c r="HV723" s="27" t="s">
        <v>7</v>
      </c>
      <c r="IW723" s="27" t="s">
        <v>8</v>
      </c>
      <c r="IX723" s="27" t="s">
        <v>7</v>
      </c>
      <c r="JC723" s="27" t="s">
        <v>8</v>
      </c>
      <c r="JD723" s="27" t="s">
        <v>7</v>
      </c>
    </row>
    <row r="724" spans="1:268" x14ac:dyDescent="0.25">
      <c r="A724" s="7">
        <v>6.6340152972694105E-2</v>
      </c>
      <c r="B724"/>
      <c r="C724"/>
      <c r="D724"/>
      <c r="E724"/>
      <c r="F724" s="27" t="s">
        <v>7</v>
      </c>
      <c r="DK724" s="27" t="s">
        <v>8</v>
      </c>
      <c r="DL724" s="27" t="s">
        <v>7</v>
      </c>
      <c r="DM724" s="27" t="s">
        <v>8</v>
      </c>
      <c r="DR724" s="27" t="s">
        <v>7</v>
      </c>
      <c r="EG724" s="27" t="s">
        <v>8</v>
      </c>
      <c r="EH724" s="27" t="s">
        <v>7</v>
      </c>
      <c r="EI724" s="27" t="s">
        <v>8</v>
      </c>
      <c r="EJ724" s="27" t="s">
        <v>7</v>
      </c>
      <c r="EK724" s="27" t="s">
        <v>8</v>
      </c>
      <c r="FP724" s="27" t="s">
        <v>7</v>
      </c>
      <c r="FQ724" s="27" t="s">
        <v>8</v>
      </c>
      <c r="FR724" s="27" t="s">
        <v>7</v>
      </c>
      <c r="FS724" s="27" t="s">
        <v>8</v>
      </c>
      <c r="FT724" s="27" t="s">
        <v>7</v>
      </c>
      <c r="FU724" s="27" t="s">
        <v>8</v>
      </c>
      <c r="FV724" s="27" t="s">
        <v>7</v>
      </c>
      <c r="FW724" s="27" t="s">
        <v>8</v>
      </c>
      <c r="FX724" s="27" t="s">
        <v>7</v>
      </c>
      <c r="FY724" s="27" t="s">
        <v>8</v>
      </c>
      <c r="FZ724" s="27" t="s">
        <v>7</v>
      </c>
      <c r="HI724" s="27" t="s">
        <v>8</v>
      </c>
      <c r="HJ724" s="27" t="s">
        <v>7</v>
      </c>
      <c r="HL724" s="27" t="s">
        <v>7</v>
      </c>
      <c r="HM724" s="27" t="s">
        <v>8</v>
      </c>
      <c r="HP724" s="27" t="s">
        <v>7</v>
      </c>
      <c r="HQ724" s="27" t="s">
        <v>8</v>
      </c>
      <c r="HR724" s="27" t="s">
        <v>7</v>
      </c>
      <c r="HS724" s="27" t="s">
        <v>8</v>
      </c>
      <c r="HT724" s="27" t="s">
        <v>7</v>
      </c>
      <c r="HU724" s="27" t="s">
        <v>8</v>
      </c>
      <c r="HV724" s="27" t="s">
        <v>7</v>
      </c>
      <c r="IW724" s="27" t="s">
        <v>8</v>
      </c>
      <c r="IX724" s="27" t="s">
        <v>7</v>
      </c>
      <c r="JC724" s="27" t="s">
        <v>8</v>
      </c>
      <c r="JD724" s="27" t="s">
        <v>7</v>
      </c>
    </row>
    <row r="725" spans="1:268" x14ac:dyDescent="0.25">
      <c r="A725" s="7">
        <v>6.5039365659504023E-2</v>
      </c>
      <c r="B725"/>
      <c r="C725"/>
      <c r="D725"/>
      <c r="E725"/>
      <c r="F725" s="27" t="s">
        <v>7</v>
      </c>
      <c r="DK725" s="27" t="s">
        <v>8</v>
      </c>
      <c r="DL725" s="27" t="s">
        <v>7</v>
      </c>
      <c r="DM725" s="27" t="s">
        <v>8</v>
      </c>
      <c r="DR725" s="27" t="s">
        <v>7</v>
      </c>
      <c r="DS725" s="27" t="s">
        <v>8</v>
      </c>
      <c r="EC725" s="27" t="s">
        <v>8</v>
      </c>
      <c r="EG725" s="27" t="s">
        <v>8</v>
      </c>
      <c r="EH725" s="27" t="s">
        <v>7</v>
      </c>
      <c r="EI725" s="27" t="s">
        <v>8</v>
      </c>
      <c r="EJ725" s="27" t="s">
        <v>7</v>
      </c>
      <c r="EK725" s="27" t="s">
        <v>8</v>
      </c>
      <c r="FP725" s="27" t="s">
        <v>7</v>
      </c>
      <c r="FQ725" s="27" t="s">
        <v>8</v>
      </c>
      <c r="FR725" s="27" t="s">
        <v>7</v>
      </c>
      <c r="FS725" s="27" t="s">
        <v>8</v>
      </c>
      <c r="FT725" s="27" t="s">
        <v>7</v>
      </c>
      <c r="FU725" s="27" t="s">
        <v>8</v>
      </c>
      <c r="FV725" s="27" t="s">
        <v>7</v>
      </c>
      <c r="FW725" s="27" t="s">
        <v>8</v>
      </c>
      <c r="FX725" s="27" t="s">
        <v>7</v>
      </c>
      <c r="FY725" s="27" t="s">
        <v>8</v>
      </c>
      <c r="FZ725" s="27" t="s">
        <v>7</v>
      </c>
      <c r="GA725" s="27" t="s">
        <v>8</v>
      </c>
      <c r="HG725" s="27" t="s">
        <v>8</v>
      </c>
      <c r="HI725" s="27" t="s">
        <v>8</v>
      </c>
      <c r="HL725" s="27" t="s">
        <v>7</v>
      </c>
      <c r="HM725" s="27" t="s">
        <v>8</v>
      </c>
      <c r="HP725" s="27" t="s">
        <v>7</v>
      </c>
      <c r="HQ725" s="27" t="s">
        <v>8</v>
      </c>
      <c r="HR725" s="27" t="s">
        <v>7</v>
      </c>
      <c r="HS725" s="27" t="s">
        <v>8</v>
      </c>
      <c r="HT725" s="27" t="s">
        <v>7</v>
      </c>
      <c r="HU725" s="27" t="s">
        <v>8</v>
      </c>
      <c r="HV725" s="27" t="s">
        <v>7</v>
      </c>
      <c r="IW725" s="27" t="s">
        <v>8</v>
      </c>
      <c r="IX725" s="27" t="s">
        <v>7</v>
      </c>
      <c r="JC725" s="27" t="s">
        <v>8</v>
      </c>
      <c r="JD725" s="27" t="s">
        <v>7</v>
      </c>
    </row>
    <row r="726" spans="1:268" x14ac:dyDescent="0.25">
      <c r="A726" s="7">
        <v>6.3764083979905906E-2</v>
      </c>
      <c r="B726"/>
      <c r="C726"/>
      <c r="D726"/>
      <c r="E726"/>
      <c r="F726" s="27" t="s">
        <v>7</v>
      </c>
      <c r="DK726" s="27" t="s">
        <v>8</v>
      </c>
      <c r="DL726" s="27" t="s">
        <v>7</v>
      </c>
      <c r="DM726" s="27" t="s">
        <v>8</v>
      </c>
      <c r="DR726" s="27" t="s">
        <v>7</v>
      </c>
      <c r="DS726" s="27" t="s">
        <v>8</v>
      </c>
      <c r="DT726" s="27" t="s">
        <v>7</v>
      </c>
      <c r="EC726" s="27" t="s">
        <v>8</v>
      </c>
      <c r="ED726" s="27" t="s">
        <v>7</v>
      </c>
      <c r="EE726" s="27" t="s">
        <v>8</v>
      </c>
      <c r="EG726" s="27" t="s">
        <v>8</v>
      </c>
      <c r="EH726" s="27" t="s">
        <v>7</v>
      </c>
      <c r="EJ726" s="27" t="s">
        <v>7</v>
      </c>
      <c r="EK726" s="27" t="s">
        <v>8</v>
      </c>
      <c r="FP726" s="27" t="s">
        <v>7</v>
      </c>
      <c r="FQ726" s="27" t="s">
        <v>8</v>
      </c>
      <c r="FR726" s="27" t="s">
        <v>7</v>
      </c>
      <c r="FS726" s="27" t="s">
        <v>8</v>
      </c>
      <c r="FT726" s="27" t="s">
        <v>7</v>
      </c>
      <c r="FU726" s="27" t="s">
        <v>8</v>
      </c>
      <c r="FV726" s="27" t="s">
        <v>7</v>
      </c>
      <c r="FW726" s="27" t="s">
        <v>8</v>
      </c>
      <c r="FX726" s="27" t="s">
        <v>7</v>
      </c>
      <c r="FY726" s="27" t="s">
        <v>8</v>
      </c>
      <c r="FZ726" s="27" t="s">
        <v>7</v>
      </c>
      <c r="GA726" s="27" t="s">
        <v>8</v>
      </c>
      <c r="GB726" s="27" t="s">
        <v>7</v>
      </c>
      <c r="HG726" s="27" t="s">
        <v>8</v>
      </c>
      <c r="HH726" s="27" t="s">
        <v>7</v>
      </c>
      <c r="HI726" s="27" t="s">
        <v>8</v>
      </c>
      <c r="HL726" s="27" t="s">
        <v>7</v>
      </c>
      <c r="HM726" s="27" t="s">
        <v>8</v>
      </c>
      <c r="HP726" s="27" t="s">
        <v>7</v>
      </c>
      <c r="HQ726" s="27" t="s">
        <v>8</v>
      </c>
      <c r="HR726" s="27" t="s">
        <v>7</v>
      </c>
      <c r="HS726" s="27" t="s">
        <v>8</v>
      </c>
      <c r="HT726" s="27" t="s">
        <v>7</v>
      </c>
      <c r="HV726" s="27" t="s">
        <v>7</v>
      </c>
      <c r="IW726" s="27" t="s">
        <v>8</v>
      </c>
      <c r="IX726" s="27" t="s">
        <v>7</v>
      </c>
      <c r="JC726" s="27" t="s">
        <v>8</v>
      </c>
      <c r="JD726" s="27" t="s">
        <v>7</v>
      </c>
    </row>
    <row r="727" spans="1:268" x14ac:dyDescent="0.25">
      <c r="A727" s="7">
        <v>6.251380782343717E-2</v>
      </c>
      <c r="B727"/>
      <c r="C727"/>
      <c r="D727"/>
      <c r="E727"/>
      <c r="F727" s="27" t="s">
        <v>7</v>
      </c>
      <c r="DK727" s="27" t="s">
        <v>8</v>
      </c>
      <c r="DL727" s="27" t="s">
        <v>7</v>
      </c>
      <c r="DM727" s="27" t="s">
        <v>8</v>
      </c>
      <c r="DR727" s="27" t="s">
        <v>7</v>
      </c>
      <c r="DS727" s="27" t="s">
        <v>8</v>
      </c>
      <c r="DT727" s="27" t="s">
        <v>7</v>
      </c>
      <c r="EC727" s="27" t="s">
        <v>8</v>
      </c>
      <c r="ED727" s="27" t="s">
        <v>7</v>
      </c>
      <c r="EE727" s="27" t="s">
        <v>8</v>
      </c>
      <c r="EF727" s="27" t="s">
        <v>7</v>
      </c>
      <c r="EG727" s="27" t="s">
        <v>8</v>
      </c>
      <c r="EJ727" s="27" t="s">
        <v>7</v>
      </c>
      <c r="EK727" s="27" t="s">
        <v>8</v>
      </c>
      <c r="FP727" s="27" t="s">
        <v>7</v>
      </c>
      <c r="FQ727" s="27" t="s">
        <v>8</v>
      </c>
      <c r="FR727" s="27" t="s">
        <v>7</v>
      </c>
      <c r="FS727" s="27" t="s">
        <v>8</v>
      </c>
      <c r="FT727" s="27" t="s">
        <v>7</v>
      </c>
      <c r="FU727" s="27" t="s">
        <v>8</v>
      </c>
      <c r="FV727" s="27" t="s">
        <v>7</v>
      </c>
      <c r="FW727" s="27" t="s">
        <v>8</v>
      </c>
      <c r="FX727" s="27" t="s">
        <v>7</v>
      </c>
      <c r="FZ727" s="27" t="s">
        <v>7</v>
      </c>
      <c r="GA727" s="27" t="s">
        <v>8</v>
      </c>
      <c r="GB727" s="27" t="s">
        <v>7</v>
      </c>
      <c r="HG727" s="27" t="s">
        <v>8</v>
      </c>
      <c r="HH727" s="27" t="s">
        <v>7</v>
      </c>
      <c r="HI727" s="27" t="s">
        <v>8</v>
      </c>
      <c r="HL727" s="27" t="s">
        <v>7</v>
      </c>
      <c r="HM727" s="27" t="s">
        <v>8</v>
      </c>
      <c r="HP727" s="27" t="s">
        <v>7</v>
      </c>
      <c r="HQ727" s="27" t="s">
        <v>8</v>
      </c>
      <c r="HR727" s="27" t="s">
        <v>7</v>
      </c>
      <c r="HV727" s="27" t="s">
        <v>7</v>
      </c>
      <c r="HW727" s="27" t="s">
        <v>8</v>
      </c>
      <c r="HY727" s="27" t="s">
        <v>8</v>
      </c>
      <c r="IW727" s="27" t="s">
        <v>8</v>
      </c>
      <c r="IX727" s="27" t="s">
        <v>7</v>
      </c>
      <c r="JC727" s="27" t="s">
        <v>8</v>
      </c>
      <c r="JD727" s="27" t="s">
        <v>7</v>
      </c>
    </row>
    <row r="728" spans="1:268" x14ac:dyDescent="0.25">
      <c r="A728" s="7">
        <v>6.1288046885722716E-2</v>
      </c>
      <c r="B728"/>
      <c r="C728"/>
      <c r="D728"/>
      <c r="E728"/>
      <c r="F728" s="27" t="s">
        <v>7</v>
      </c>
      <c r="DK728" s="27" t="s">
        <v>8</v>
      </c>
      <c r="DL728" s="27" t="s">
        <v>7</v>
      </c>
      <c r="DM728" s="27" t="s">
        <v>8</v>
      </c>
      <c r="DR728" s="27" t="s">
        <v>7</v>
      </c>
      <c r="DS728" s="27" t="s">
        <v>8</v>
      </c>
      <c r="DT728" s="27" t="s">
        <v>7</v>
      </c>
      <c r="DW728" s="27" t="s">
        <v>8</v>
      </c>
      <c r="EC728" s="27" t="s">
        <v>8</v>
      </c>
      <c r="ED728" s="27" t="s">
        <v>7</v>
      </c>
      <c r="EE728" s="27" t="s">
        <v>8</v>
      </c>
      <c r="EF728" s="27" t="s">
        <v>7</v>
      </c>
      <c r="EG728" s="27" t="s">
        <v>8</v>
      </c>
      <c r="EJ728" s="27" t="s">
        <v>7</v>
      </c>
      <c r="EK728" s="27" t="s">
        <v>8</v>
      </c>
      <c r="FP728" s="27" t="s">
        <v>7</v>
      </c>
      <c r="FQ728" s="27" t="s">
        <v>8</v>
      </c>
      <c r="FR728" s="27" t="s">
        <v>7</v>
      </c>
      <c r="FT728" s="27" t="s">
        <v>7</v>
      </c>
      <c r="FU728" s="27" t="s">
        <v>8</v>
      </c>
      <c r="FV728" s="27" t="s">
        <v>7</v>
      </c>
      <c r="FW728" s="27" t="s">
        <v>8</v>
      </c>
      <c r="FZ728" s="27" t="s">
        <v>7</v>
      </c>
      <c r="GA728" s="27" t="s">
        <v>8</v>
      </c>
      <c r="GB728" s="27" t="s">
        <v>7</v>
      </c>
      <c r="GE728" s="27" t="s">
        <v>8</v>
      </c>
      <c r="HG728" s="27" t="s">
        <v>8</v>
      </c>
      <c r="HH728" s="27" t="s">
        <v>7</v>
      </c>
      <c r="HI728" s="27" t="s">
        <v>8</v>
      </c>
      <c r="HL728" s="27" t="s">
        <v>7</v>
      </c>
      <c r="HM728" s="27" t="s">
        <v>8</v>
      </c>
      <c r="HP728" s="27" t="s">
        <v>7</v>
      </c>
      <c r="HV728" s="27" t="s">
        <v>7</v>
      </c>
      <c r="HW728" s="27" t="s">
        <v>8</v>
      </c>
      <c r="HX728" s="27" t="s">
        <v>7</v>
      </c>
      <c r="HY728" s="27" t="s">
        <v>8</v>
      </c>
      <c r="HZ728" s="27" t="s">
        <v>7</v>
      </c>
      <c r="IW728" s="27" t="s">
        <v>8</v>
      </c>
      <c r="IX728" s="27" t="s">
        <v>7</v>
      </c>
      <c r="JC728" s="27" t="s">
        <v>8</v>
      </c>
      <c r="JD728" s="27" t="s">
        <v>7</v>
      </c>
    </row>
    <row r="729" spans="1:268" x14ac:dyDescent="0.25">
      <c r="A729" s="7">
        <v>6.0086320476198739E-2</v>
      </c>
      <c r="B729"/>
      <c r="C729"/>
      <c r="D729"/>
      <c r="E729"/>
      <c r="F729" s="27" t="s">
        <v>7</v>
      </c>
      <c r="DK729" s="27" t="s">
        <v>8</v>
      </c>
      <c r="DL729" s="27" t="s">
        <v>7</v>
      </c>
      <c r="DM729" s="27" t="s">
        <v>8</v>
      </c>
      <c r="DR729" s="27" t="s">
        <v>7</v>
      </c>
      <c r="DS729" s="27" t="s">
        <v>8</v>
      </c>
      <c r="DT729" s="27" t="s">
        <v>7</v>
      </c>
      <c r="DW729" s="27" t="s">
        <v>8</v>
      </c>
      <c r="DX729" s="27" t="s">
        <v>7</v>
      </c>
      <c r="EC729" s="27" t="s">
        <v>8</v>
      </c>
      <c r="ED729" s="27" t="s">
        <v>7</v>
      </c>
      <c r="EE729" s="27" t="s">
        <v>8</v>
      </c>
      <c r="EF729" s="27" t="s">
        <v>7</v>
      </c>
      <c r="EG729" s="27" t="s">
        <v>8</v>
      </c>
      <c r="EJ729" s="27" t="s">
        <v>7</v>
      </c>
      <c r="EK729" s="27" t="s">
        <v>8</v>
      </c>
      <c r="FP729" s="27" t="s">
        <v>7</v>
      </c>
      <c r="FQ729" s="27" t="s">
        <v>8</v>
      </c>
      <c r="FT729" s="27" t="s">
        <v>7</v>
      </c>
      <c r="FU729" s="27" t="s">
        <v>8</v>
      </c>
      <c r="FV729" s="27" t="s">
        <v>7</v>
      </c>
      <c r="FW729" s="27" t="s">
        <v>8</v>
      </c>
      <c r="FZ729" s="27" t="s">
        <v>7</v>
      </c>
      <c r="GA729" s="27" t="s">
        <v>8</v>
      </c>
      <c r="GB729" s="27" t="s">
        <v>7</v>
      </c>
      <c r="GC729" s="27" t="s">
        <v>8</v>
      </c>
      <c r="GE729" s="27" t="s">
        <v>8</v>
      </c>
      <c r="GF729" s="27" t="s">
        <v>7</v>
      </c>
      <c r="HG729" s="27" t="s">
        <v>8</v>
      </c>
      <c r="HH729" s="27" t="s">
        <v>7</v>
      </c>
      <c r="HI729" s="27" t="s">
        <v>8</v>
      </c>
      <c r="HL729" s="27" t="s">
        <v>7</v>
      </c>
      <c r="HM729" s="27" t="s">
        <v>8</v>
      </c>
      <c r="HV729" s="27" t="s">
        <v>7</v>
      </c>
      <c r="HW729" s="27" t="s">
        <v>8</v>
      </c>
      <c r="HX729" s="27" t="s">
        <v>7</v>
      </c>
      <c r="HY729" s="27" t="s">
        <v>8</v>
      </c>
      <c r="HZ729" s="27" t="s">
        <v>7</v>
      </c>
      <c r="IA729" s="27" t="s">
        <v>8</v>
      </c>
      <c r="IW729" s="27" t="s">
        <v>8</v>
      </c>
      <c r="IX729" s="27" t="s">
        <v>7</v>
      </c>
      <c r="IY729" s="27" t="s">
        <v>8</v>
      </c>
      <c r="JC729" s="27" t="s">
        <v>8</v>
      </c>
      <c r="JD729" s="27" t="s">
        <v>7</v>
      </c>
    </row>
    <row r="730" spans="1:268" x14ac:dyDescent="0.25">
      <c r="A730" s="7">
        <v>5.8908157329606609E-2</v>
      </c>
      <c r="B730"/>
      <c r="C730"/>
      <c r="D730"/>
      <c r="E730"/>
      <c r="F730" s="27" t="s">
        <v>7</v>
      </c>
      <c r="DK730" s="27" t="s">
        <v>8</v>
      </c>
      <c r="DL730" s="27" t="s">
        <v>7</v>
      </c>
      <c r="DR730" s="27" t="s">
        <v>7</v>
      </c>
      <c r="DS730" s="27" t="s">
        <v>8</v>
      </c>
      <c r="DT730" s="27" t="s">
        <v>7</v>
      </c>
      <c r="DW730" s="27" t="s">
        <v>8</v>
      </c>
      <c r="DX730" s="27" t="s">
        <v>7</v>
      </c>
      <c r="EA730" s="27" t="s">
        <v>8</v>
      </c>
      <c r="EC730" s="27" t="s">
        <v>8</v>
      </c>
      <c r="ED730" s="27" t="s">
        <v>7</v>
      </c>
      <c r="EE730" s="27" t="s">
        <v>8</v>
      </c>
      <c r="EF730" s="27" t="s">
        <v>7</v>
      </c>
      <c r="EG730" s="27" t="s">
        <v>8</v>
      </c>
      <c r="EJ730" s="27" t="s">
        <v>7</v>
      </c>
      <c r="FP730" s="27" t="s">
        <v>7</v>
      </c>
      <c r="FQ730" s="27" t="s">
        <v>8</v>
      </c>
      <c r="FT730" s="27" t="s">
        <v>7</v>
      </c>
      <c r="FU730" s="27" t="s">
        <v>8</v>
      </c>
      <c r="FV730" s="27" t="s">
        <v>7</v>
      </c>
      <c r="FW730" s="27" t="s">
        <v>8</v>
      </c>
      <c r="FZ730" s="27" t="s">
        <v>7</v>
      </c>
      <c r="GA730" s="27" t="s">
        <v>8</v>
      </c>
      <c r="GB730" s="27" t="s">
        <v>7</v>
      </c>
      <c r="GC730" s="27" t="s">
        <v>8</v>
      </c>
      <c r="GD730" s="27" t="s">
        <v>7</v>
      </c>
      <c r="GE730" s="27" t="s">
        <v>8</v>
      </c>
      <c r="GF730" s="27" t="s">
        <v>7</v>
      </c>
      <c r="HG730" s="27" t="s">
        <v>8</v>
      </c>
      <c r="HH730" s="27" t="s">
        <v>7</v>
      </c>
      <c r="HI730" s="27" t="s">
        <v>8</v>
      </c>
      <c r="HL730" s="27" t="s">
        <v>7</v>
      </c>
      <c r="HV730" s="27" t="s">
        <v>7</v>
      </c>
      <c r="HW730" s="27" t="s">
        <v>8</v>
      </c>
      <c r="HX730" s="27" t="s">
        <v>7</v>
      </c>
      <c r="HY730" s="27" t="s">
        <v>8</v>
      </c>
      <c r="HZ730" s="27" t="s">
        <v>7</v>
      </c>
      <c r="IA730" s="27" t="s">
        <v>8</v>
      </c>
      <c r="IB730" s="27" t="s">
        <v>7</v>
      </c>
      <c r="IW730" s="27" t="s">
        <v>8</v>
      </c>
      <c r="IX730" s="27" t="s">
        <v>7</v>
      </c>
      <c r="IY730" s="27" t="s">
        <v>8</v>
      </c>
      <c r="IZ730" s="27" t="s">
        <v>7</v>
      </c>
      <c r="JA730" s="27" t="s">
        <v>8</v>
      </c>
      <c r="JC730" s="27" t="s">
        <v>8</v>
      </c>
      <c r="JD730" s="27" t="s">
        <v>7</v>
      </c>
    </row>
    <row r="731" spans="1:268" x14ac:dyDescent="0.25">
      <c r="A731" s="7">
        <v>5.7753095421182947E-2</v>
      </c>
      <c r="B731"/>
      <c r="C731"/>
      <c r="D731"/>
      <c r="E731"/>
      <c r="F731" s="27" t="s">
        <v>7</v>
      </c>
      <c r="DK731" s="27" t="s">
        <v>8</v>
      </c>
      <c r="DR731" s="27" t="s">
        <v>7</v>
      </c>
      <c r="DS731" s="27" t="s">
        <v>8</v>
      </c>
      <c r="DT731" s="27" t="s">
        <v>7</v>
      </c>
      <c r="DU731" s="27" t="s">
        <v>8</v>
      </c>
      <c r="DW731" s="27" t="s">
        <v>8</v>
      </c>
      <c r="DX731" s="27" t="s">
        <v>7</v>
      </c>
      <c r="EA731" s="27" t="s">
        <v>8</v>
      </c>
      <c r="EB731" s="27" t="s">
        <v>7</v>
      </c>
      <c r="EC731" s="27" t="s">
        <v>8</v>
      </c>
      <c r="ED731" s="27" t="s">
        <v>7</v>
      </c>
      <c r="EE731" s="27" t="s">
        <v>8</v>
      </c>
      <c r="EF731" s="27" t="s">
        <v>7</v>
      </c>
      <c r="EG731" s="27" t="s">
        <v>8</v>
      </c>
      <c r="FP731" s="27" t="s">
        <v>7</v>
      </c>
      <c r="FQ731" s="27" t="s">
        <v>8</v>
      </c>
      <c r="FT731" s="27" t="s">
        <v>7</v>
      </c>
      <c r="FU731" s="27" t="s">
        <v>8</v>
      </c>
      <c r="FV731" s="27" t="s">
        <v>7</v>
      </c>
      <c r="FW731" s="27" t="s">
        <v>8</v>
      </c>
      <c r="FZ731" s="27" t="s">
        <v>7</v>
      </c>
      <c r="GA731" s="27" t="s">
        <v>8</v>
      </c>
      <c r="GB731" s="27" t="s">
        <v>7</v>
      </c>
      <c r="GC731" s="27" t="s">
        <v>8</v>
      </c>
      <c r="GD731" s="27" t="s">
        <v>7</v>
      </c>
      <c r="GE731" s="27" t="s">
        <v>8</v>
      </c>
      <c r="GF731" s="27" t="s">
        <v>7</v>
      </c>
      <c r="GG731" s="27" t="s">
        <v>8</v>
      </c>
      <c r="HE731" s="27" t="s">
        <v>8</v>
      </c>
      <c r="HG731" s="27" t="s">
        <v>8</v>
      </c>
      <c r="HH731" s="27" t="s">
        <v>7</v>
      </c>
      <c r="HV731" s="27" t="s">
        <v>7</v>
      </c>
      <c r="HW731" s="27" t="s">
        <v>8</v>
      </c>
      <c r="HX731" s="27" t="s">
        <v>7</v>
      </c>
      <c r="HY731" s="27" t="s">
        <v>8</v>
      </c>
      <c r="HZ731" s="27" t="s">
        <v>7</v>
      </c>
      <c r="IA731" s="27" t="s">
        <v>8</v>
      </c>
      <c r="IB731" s="27" t="s">
        <v>7</v>
      </c>
      <c r="IW731" s="27" t="s">
        <v>8</v>
      </c>
      <c r="IX731" s="27" t="s">
        <v>7</v>
      </c>
      <c r="IY731" s="27" t="s">
        <v>8</v>
      </c>
      <c r="IZ731" s="27" t="s">
        <v>7</v>
      </c>
      <c r="JA731" s="27" t="s">
        <v>8</v>
      </c>
      <c r="JB731" s="27" t="s">
        <v>7</v>
      </c>
      <c r="JC731" s="27" t="s">
        <v>8</v>
      </c>
      <c r="JD731" s="27" t="s">
        <v>7</v>
      </c>
    </row>
    <row r="732" spans="1:268" x14ac:dyDescent="0.25">
      <c r="A732" s="7">
        <v>5.6620681785473484E-2</v>
      </c>
      <c r="B732"/>
      <c r="C732"/>
      <c r="D732"/>
      <c r="E732"/>
      <c r="F732" s="27" t="s">
        <v>7</v>
      </c>
      <c r="DK732" s="27" t="s">
        <v>8</v>
      </c>
      <c r="DR732" s="27" t="s">
        <v>7</v>
      </c>
      <c r="DS732" s="27" t="s">
        <v>8</v>
      </c>
      <c r="DT732" s="27" t="s">
        <v>7</v>
      </c>
      <c r="DU732" s="27" t="s">
        <v>8</v>
      </c>
      <c r="DV732" s="27" t="s">
        <v>7</v>
      </c>
      <c r="DW732" s="27" t="s">
        <v>8</v>
      </c>
      <c r="DX732" s="27" t="s">
        <v>7</v>
      </c>
      <c r="EA732" s="27" t="s">
        <v>8</v>
      </c>
      <c r="EB732" s="27" t="s">
        <v>7</v>
      </c>
      <c r="EC732" s="27" t="s">
        <v>8</v>
      </c>
      <c r="ED732" s="27" t="s">
        <v>7</v>
      </c>
      <c r="EF732" s="27" t="s">
        <v>7</v>
      </c>
      <c r="EG732" s="27" t="s">
        <v>8</v>
      </c>
      <c r="FP732" s="27" t="s">
        <v>7</v>
      </c>
      <c r="FQ732" s="27" t="s">
        <v>8</v>
      </c>
      <c r="FT732" s="27" t="s">
        <v>7</v>
      </c>
      <c r="FU732" s="27" t="s">
        <v>8</v>
      </c>
      <c r="FV732" s="27" t="s">
        <v>7</v>
      </c>
      <c r="FW732" s="27" t="s">
        <v>8</v>
      </c>
      <c r="FZ732" s="27" t="s">
        <v>7</v>
      </c>
      <c r="GA732" s="27" t="s">
        <v>8</v>
      </c>
      <c r="GB732" s="27" t="s">
        <v>7</v>
      </c>
      <c r="GC732" s="27" t="s">
        <v>8</v>
      </c>
      <c r="GD732" s="27" t="s">
        <v>7</v>
      </c>
      <c r="GF732" s="27" t="s">
        <v>7</v>
      </c>
      <c r="GG732" s="27" t="s">
        <v>8</v>
      </c>
      <c r="GH732" s="27" t="s">
        <v>7</v>
      </c>
      <c r="HE732" s="27" t="s">
        <v>8</v>
      </c>
      <c r="HF732" s="27" t="s">
        <v>7</v>
      </c>
      <c r="HG732" s="27" t="s">
        <v>8</v>
      </c>
      <c r="HV732" s="27" t="s">
        <v>7</v>
      </c>
      <c r="HW732" s="27" t="s">
        <v>8</v>
      </c>
      <c r="HX732" s="27" t="s">
        <v>7</v>
      </c>
      <c r="HY732" s="27" t="s">
        <v>8</v>
      </c>
      <c r="HZ732" s="27" t="s">
        <v>7</v>
      </c>
      <c r="IA732" s="27" t="s">
        <v>8</v>
      </c>
      <c r="IB732" s="27" t="s">
        <v>7</v>
      </c>
      <c r="IW732" s="27" t="s">
        <v>8</v>
      </c>
      <c r="IX732" s="27" t="s">
        <v>7</v>
      </c>
      <c r="IY732" s="27" t="s">
        <v>8</v>
      </c>
      <c r="IZ732" s="27" t="s">
        <v>7</v>
      </c>
      <c r="JA732" s="27" t="s">
        <v>8</v>
      </c>
      <c r="JB732" s="27" t="s">
        <v>7</v>
      </c>
      <c r="JC732" s="27" t="s">
        <v>8</v>
      </c>
      <c r="JD732" s="27" t="s">
        <v>7</v>
      </c>
    </row>
    <row r="733" spans="1:268" x14ac:dyDescent="0.25">
      <c r="A733" s="7">
        <v>5.5510472338699497E-2</v>
      </c>
      <c r="B733"/>
      <c r="C733"/>
      <c r="D733"/>
      <c r="E733"/>
      <c r="F733" s="27" t="s">
        <v>7</v>
      </c>
      <c r="DK733" s="27" t="s">
        <v>8</v>
      </c>
      <c r="DR733" s="27" t="s">
        <v>7</v>
      </c>
      <c r="DS733" s="27" t="s">
        <v>8</v>
      </c>
      <c r="DT733" s="27" t="s">
        <v>7</v>
      </c>
      <c r="DU733" s="27" t="s">
        <v>8</v>
      </c>
      <c r="DV733" s="27" t="s">
        <v>7</v>
      </c>
      <c r="DW733" s="27" t="s">
        <v>8</v>
      </c>
      <c r="DX733" s="27" t="s">
        <v>7</v>
      </c>
      <c r="DY733" s="27" t="s">
        <v>8</v>
      </c>
      <c r="EA733" s="27" t="s">
        <v>8</v>
      </c>
      <c r="EB733" s="27" t="s">
        <v>7</v>
      </c>
      <c r="EF733" s="27" t="s">
        <v>7</v>
      </c>
      <c r="EG733" s="27" t="s">
        <v>8</v>
      </c>
      <c r="FP733" s="27" t="s">
        <v>7</v>
      </c>
      <c r="FQ733" s="27" t="s">
        <v>8</v>
      </c>
      <c r="FT733" s="27" t="s">
        <v>7</v>
      </c>
      <c r="FU733" s="27" t="s">
        <v>8</v>
      </c>
      <c r="FV733" s="27" t="s">
        <v>7</v>
      </c>
      <c r="FW733" s="27" t="s">
        <v>8</v>
      </c>
      <c r="FZ733" s="27" t="s">
        <v>7</v>
      </c>
      <c r="GA733" s="27" t="s">
        <v>8</v>
      </c>
      <c r="GB733" s="27" t="s">
        <v>7</v>
      </c>
      <c r="GC733" s="27" t="s">
        <v>8</v>
      </c>
      <c r="GF733" s="27" t="s">
        <v>7</v>
      </c>
      <c r="GG733" s="27" t="s">
        <v>8</v>
      </c>
      <c r="GH733" s="27" t="s">
        <v>7</v>
      </c>
      <c r="HE733" s="27" t="s">
        <v>8</v>
      </c>
      <c r="HF733" s="27" t="s">
        <v>7</v>
      </c>
      <c r="HG733" s="27" t="s">
        <v>8</v>
      </c>
      <c r="HV733" s="27" t="s">
        <v>7</v>
      </c>
      <c r="HW733" s="27" t="s">
        <v>8</v>
      </c>
      <c r="HX733" s="27" t="s">
        <v>7</v>
      </c>
      <c r="HZ733" s="27" t="s">
        <v>7</v>
      </c>
      <c r="IA733" s="27" t="s">
        <v>8</v>
      </c>
      <c r="IB733" s="27" t="s">
        <v>7</v>
      </c>
      <c r="IK733" s="27" t="s">
        <v>8</v>
      </c>
      <c r="IW733" s="27" t="s">
        <v>8</v>
      </c>
      <c r="IX733" s="27" t="s">
        <v>7</v>
      </c>
      <c r="IY733" s="27" t="s">
        <v>8</v>
      </c>
      <c r="IZ733" s="27" t="s">
        <v>7</v>
      </c>
      <c r="JA733" s="27" t="s">
        <v>8</v>
      </c>
      <c r="JB733" s="27" t="s">
        <v>7</v>
      </c>
      <c r="JC733" s="27" t="s">
        <v>8</v>
      </c>
      <c r="JD733" s="27" t="s">
        <v>7</v>
      </c>
    </row>
    <row r="734" spans="1:268" x14ac:dyDescent="0.25">
      <c r="A734" s="7">
        <v>5.4422031704607354E-2</v>
      </c>
      <c r="B734"/>
      <c r="C734"/>
      <c r="D734"/>
      <c r="E734"/>
      <c r="F734" s="27" t="s">
        <v>7</v>
      </c>
      <c r="DI734" s="27" t="s">
        <v>8</v>
      </c>
      <c r="DK734" s="27" t="s">
        <v>8</v>
      </c>
      <c r="DR734" s="27" t="s">
        <v>7</v>
      </c>
      <c r="DS734" s="27" t="s">
        <v>8</v>
      </c>
      <c r="DT734" s="27" t="s">
        <v>7</v>
      </c>
      <c r="DU734" s="27" t="s">
        <v>8</v>
      </c>
      <c r="DV734" s="27" t="s">
        <v>7</v>
      </c>
      <c r="DW734" s="27" t="s">
        <v>8</v>
      </c>
      <c r="DX734" s="27" t="s">
        <v>7</v>
      </c>
      <c r="DY734" s="27" t="s">
        <v>8</v>
      </c>
      <c r="DZ734" s="27" t="s">
        <v>7</v>
      </c>
      <c r="EA734" s="27" t="s">
        <v>8</v>
      </c>
      <c r="EF734" s="27" t="s">
        <v>7</v>
      </c>
      <c r="EG734" s="27" t="s">
        <v>8</v>
      </c>
      <c r="FP734" s="27" t="s">
        <v>7</v>
      </c>
      <c r="FQ734" s="27" t="s">
        <v>8</v>
      </c>
      <c r="FT734" s="27" t="s">
        <v>7</v>
      </c>
      <c r="FU734" s="27" t="s">
        <v>8</v>
      </c>
      <c r="FV734" s="27" t="s">
        <v>7</v>
      </c>
      <c r="FZ734" s="27" t="s">
        <v>7</v>
      </c>
      <c r="GA734" s="27" t="s">
        <v>8</v>
      </c>
      <c r="GB734" s="27" t="s">
        <v>7</v>
      </c>
      <c r="GC734" s="27" t="s">
        <v>8</v>
      </c>
      <c r="GF734" s="27" t="s">
        <v>7</v>
      </c>
      <c r="GH734" s="27" t="s">
        <v>7</v>
      </c>
      <c r="HA734" s="27" t="s">
        <v>8</v>
      </c>
      <c r="HE734" s="27" t="s">
        <v>8</v>
      </c>
      <c r="HF734" s="27" t="s">
        <v>7</v>
      </c>
      <c r="HG734" s="27" t="s">
        <v>8</v>
      </c>
      <c r="HV734" s="27" t="s">
        <v>7</v>
      </c>
      <c r="HW734" s="27" t="s">
        <v>8</v>
      </c>
      <c r="HZ734" s="27" t="s">
        <v>7</v>
      </c>
      <c r="IA734" s="27" t="s">
        <v>8</v>
      </c>
      <c r="IB734" s="27" t="s">
        <v>7</v>
      </c>
      <c r="IK734" s="27" t="s">
        <v>8</v>
      </c>
      <c r="IL734" s="27" t="s">
        <v>7</v>
      </c>
      <c r="IS734" s="27" t="s">
        <v>8</v>
      </c>
      <c r="IW734" s="27" t="s">
        <v>8</v>
      </c>
      <c r="IX734" s="27" t="s">
        <v>7</v>
      </c>
      <c r="IY734" s="27" t="s">
        <v>8</v>
      </c>
      <c r="IZ734" s="27" t="s">
        <v>7</v>
      </c>
      <c r="JA734" s="27" t="s">
        <v>8</v>
      </c>
      <c r="JB734" s="27" t="s">
        <v>7</v>
      </c>
      <c r="JC734" s="27" t="s">
        <v>8</v>
      </c>
      <c r="JD734" s="27" t="s">
        <v>7</v>
      </c>
      <c r="JE734" s="27" t="s">
        <v>8</v>
      </c>
      <c r="JG734" s="27" t="s">
        <v>8</v>
      </c>
    </row>
    <row r="735" spans="1:268" x14ac:dyDescent="0.25">
      <c r="A735" s="7">
        <v>5.3354933043732705E-2</v>
      </c>
      <c r="B735"/>
      <c r="C735"/>
      <c r="D735"/>
      <c r="E735"/>
      <c r="F735" s="27" t="s">
        <v>7</v>
      </c>
      <c r="DI735" s="27" t="s">
        <v>8</v>
      </c>
      <c r="DJ735" s="27" t="s">
        <v>7</v>
      </c>
      <c r="DK735" s="27" t="s">
        <v>8</v>
      </c>
      <c r="DR735" s="27" t="s">
        <v>7</v>
      </c>
      <c r="DS735" s="27" t="s">
        <v>8</v>
      </c>
      <c r="DT735" s="27" t="s">
        <v>7</v>
      </c>
      <c r="DU735" s="27" t="s">
        <v>8</v>
      </c>
      <c r="DV735" s="27" t="s">
        <v>7</v>
      </c>
      <c r="DW735" s="27" t="s">
        <v>8</v>
      </c>
      <c r="DX735" s="27" t="s">
        <v>7</v>
      </c>
      <c r="DY735" s="27" t="s">
        <v>8</v>
      </c>
      <c r="DZ735" s="27" t="s">
        <v>7</v>
      </c>
      <c r="EA735" s="27" t="s">
        <v>8</v>
      </c>
      <c r="EF735" s="27" t="s">
        <v>7</v>
      </c>
      <c r="FP735" s="27" t="s">
        <v>7</v>
      </c>
      <c r="FQ735" s="27" t="s">
        <v>8</v>
      </c>
      <c r="FT735" s="27" t="s">
        <v>7</v>
      </c>
      <c r="FU735" s="27" t="s">
        <v>8</v>
      </c>
      <c r="FZ735" s="27" t="s">
        <v>7</v>
      </c>
      <c r="GB735" s="27" t="s">
        <v>7</v>
      </c>
      <c r="GC735" s="27" t="s">
        <v>8</v>
      </c>
      <c r="GH735" s="27" t="s">
        <v>7</v>
      </c>
      <c r="HA735" s="27" t="s">
        <v>8</v>
      </c>
      <c r="HB735" s="27" t="s">
        <v>7</v>
      </c>
      <c r="HE735" s="27" t="s">
        <v>8</v>
      </c>
      <c r="HF735" s="27" t="s">
        <v>7</v>
      </c>
      <c r="HG735" s="27" t="s">
        <v>8</v>
      </c>
      <c r="HV735" s="27" t="s">
        <v>7</v>
      </c>
      <c r="HW735" s="27" t="s">
        <v>8</v>
      </c>
      <c r="HZ735" s="27" t="s">
        <v>7</v>
      </c>
      <c r="IA735" s="27" t="s">
        <v>8</v>
      </c>
      <c r="IB735" s="27" t="s">
        <v>7</v>
      </c>
      <c r="IK735" s="27" t="s">
        <v>8</v>
      </c>
      <c r="IL735" s="27" t="s">
        <v>7</v>
      </c>
      <c r="IM735" s="27" t="s">
        <v>8</v>
      </c>
      <c r="IS735" s="27" t="s">
        <v>8</v>
      </c>
      <c r="IT735" s="27" t="s">
        <v>7</v>
      </c>
      <c r="IW735" s="27" t="s">
        <v>8</v>
      </c>
      <c r="IX735" s="27" t="s">
        <v>7</v>
      </c>
      <c r="IY735" s="27" t="s">
        <v>8</v>
      </c>
      <c r="IZ735" s="27" t="s">
        <v>7</v>
      </c>
      <c r="JB735" s="27" t="s">
        <v>7</v>
      </c>
      <c r="JC735" s="27" t="s">
        <v>8</v>
      </c>
      <c r="JD735" s="27" t="s">
        <v>7</v>
      </c>
      <c r="JE735" s="27" t="s">
        <v>8</v>
      </c>
      <c r="JF735" s="27" t="s">
        <v>7</v>
      </c>
      <c r="JG735" s="27" t="s">
        <v>8</v>
      </c>
      <c r="JH735" s="27" t="s">
        <v>7</v>
      </c>
    </row>
    <row r="736" spans="1:268" x14ac:dyDescent="0.25">
      <c r="A736" s="7">
        <v>5.2308757886012455E-2</v>
      </c>
      <c r="B736"/>
      <c r="C736"/>
      <c r="D736"/>
      <c r="E736"/>
      <c r="F736" s="27" t="s">
        <v>7</v>
      </c>
      <c r="DI736" s="27" t="s">
        <v>8</v>
      </c>
      <c r="DJ736" s="27" t="s">
        <v>7</v>
      </c>
      <c r="DK736" s="27" t="s">
        <v>8</v>
      </c>
      <c r="DR736" s="27" t="s">
        <v>7</v>
      </c>
      <c r="DS736" s="27" t="s">
        <v>8</v>
      </c>
      <c r="DT736" s="27" t="s">
        <v>7</v>
      </c>
      <c r="DU736" s="27" t="s">
        <v>8</v>
      </c>
      <c r="DV736" s="27" t="s">
        <v>7</v>
      </c>
      <c r="DW736" s="27" t="s">
        <v>8</v>
      </c>
      <c r="DX736" s="27" t="s">
        <v>7</v>
      </c>
      <c r="DZ736" s="27" t="s">
        <v>7</v>
      </c>
      <c r="FP736" s="27" t="s">
        <v>7</v>
      </c>
      <c r="FQ736" s="27" t="s">
        <v>8</v>
      </c>
      <c r="FT736" s="27" t="s">
        <v>7</v>
      </c>
      <c r="FU736" s="27" t="s">
        <v>8</v>
      </c>
      <c r="GB736" s="27" t="s">
        <v>7</v>
      </c>
      <c r="GH736" s="27" t="s">
        <v>7</v>
      </c>
      <c r="HA736" s="27" t="s">
        <v>8</v>
      </c>
      <c r="HB736" s="27" t="s">
        <v>7</v>
      </c>
      <c r="HC736" s="27" t="s">
        <v>8</v>
      </c>
      <c r="HE736" s="27" t="s">
        <v>8</v>
      </c>
      <c r="HF736" s="27" t="s">
        <v>7</v>
      </c>
      <c r="HV736" s="27" t="s">
        <v>7</v>
      </c>
      <c r="HW736" s="27" t="s">
        <v>8</v>
      </c>
      <c r="HZ736" s="27" t="s">
        <v>7</v>
      </c>
      <c r="IB736" s="27" t="s">
        <v>7</v>
      </c>
      <c r="IK736" s="27" t="s">
        <v>8</v>
      </c>
      <c r="IL736" s="27" t="s">
        <v>7</v>
      </c>
      <c r="IM736" s="27" t="s">
        <v>8</v>
      </c>
      <c r="IN736" s="27" t="s">
        <v>7</v>
      </c>
      <c r="IQ736" s="27" t="s">
        <v>8</v>
      </c>
      <c r="IS736" s="27" t="s">
        <v>8</v>
      </c>
      <c r="IT736" s="27" t="s">
        <v>7</v>
      </c>
      <c r="IU736" s="27" t="s">
        <v>8</v>
      </c>
      <c r="IW736" s="27" t="s">
        <v>8</v>
      </c>
      <c r="IX736" s="27" t="s">
        <v>7</v>
      </c>
      <c r="IY736" s="27" t="s">
        <v>8</v>
      </c>
      <c r="JB736" s="27" t="s">
        <v>7</v>
      </c>
      <c r="JC736" s="27" t="s">
        <v>8</v>
      </c>
      <c r="JD736" s="27" t="s">
        <v>7</v>
      </c>
      <c r="JE736" s="27" t="s">
        <v>8</v>
      </c>
      <c r="JF736" s="27" t="s">
        <v>7</v>
      </c>
      <c r="JG736" s="27" t="s">
        <v>8</v>
      </c>
      <c r="JH736" s="27" t="s">
        <v>7</v>
      </c>
    </row>
    <row r="737" spans="1:290" x14ac:dyDescent="0.25">
      <c r="A737" s="7">
        <v>5.1283095966678877E-2</v>
      </c>
      <c r="B737"/>
      <c r="C737"/>
      <c r="D737"/>
      <c r="E737"/>
      <c r="F737" s="27" t="s">
        <v>7</v>
      </c>
      <c r="DI737" s="27" t="s">
        <v>8</v>
      </c>
      <c r="DJ737" s="27" t="s">
        <v>7</v>
      </c>
      <c r="DK737" s="27" t="s">
        <v>8</v>
      </c>
      <c r="DR737" s="27" t="s">
        <v>7</v>
      </c>
      <c r="DS737" s="27" t="s">
        <v>8</v>
      </c>
      <c r="DT737" s="27" t="s">
        <v>7</v>
      </c>
      <c r="DV737" s="27" t="s">
        <v>7</v>
      </c>
      <c r="DW737" s="27" t="s">
        <v>8</v>
      </c>
      <c r="FP737" s="27" t="s">
        <v>7</v>
      </c>
      <c r="FQ737" s="27" t="s">
        <v>8</v>
      </c>
      <c r="FT737" s="27" t="s">
        <v>7</v>
      </c>
      <c r="FU737" s="27" t="s">
        <v>8</v>
      </c>
      <c r="GH737" s="27" t="s">
        <v>7</v>
      </c>
      <c r="GI737" s="27" t="s">
        <v>8</v>
      </c>
      <c r="HA737" s="27" t="s">
        <v>8</v>
      </c>
      <c r="HB737" s="27" t="s">
        <v>7</v>
      </c>
      <c r="HC737" s="27" t="s">
        <v>8</v>
      </c>
      <c r="HD737" s="27" t="s">
        <v>7</v>
      </c>
      <c r="HE737" s="27" t="s">
        <v>8</v>
      </c>
      <c r="HV737" s="27" t="s">
        <v>7</v>
      </c>
      <c r="IB737" s="27" t="s">
        <v>7</v>
      </c>
      <c r="II737" s="27" t="s">
        <v>8</v>
      </c>
      <c r="IK737" s="27" t="s">
        <v>8</v>
      </c>
      <c r="IL737" s="27" t="s">
        <v>7</v>
      </c>
      <c r="IM737" s="27" t="s">
        <v>8</v>
      </c>
      <c r="IN737" s="27" t="s">
        <v>7</v>
      </c>
      <c r="IO737" s="27" t="s">
        <v>8</v>
      </c>
      <c r="IQ737" s="27" t="s">
        <v>8</v>
      </c>
      <c r="IR737" s="27" t="s">
        <v>7</v>
      </c>
      <c r="IS737" s="27" t="s">
        <v>8</v>
      </c>
      <c r="IT737" s="27" t="s">
        <v>7</v>
      </c>
      <c r="IU737" s="27" t="s">
        <v>8</v>
      </c>
      <c r="IV737" s="27" t="s">
        <v>7</v>
      </c>
      <c r="IW737" s="27" t="s">
        <v>8</v>
      </c>
      <c r="IX737" s="27" t="s">
        <v>7</v>
      </c>
      <c r="JB737" s="27" t="s">
        <v>7</v>
      </c>
      <c r="JD737" s="27" t="s">
        <v>7</v>
      </c>
      <c r="JE737" s="27" t="s">
        <v>8</v>
      </c>
      <c r="JF737" s="27" t="s">
        <v>7</v>
      </c>
      <c r="JG737" s="27" t="s">
        <v>8</v>
      </c>
      <c r="JH737" s="27" t="s">
        <v>7</v>
      </c>
      <c r="JO737" s="27" t="s">
        <v>8</v>
      </c>
    </row>
    <row r="738" spans="1:290" x14ac:dyDescent="0.25">
      <c r="A738" s="7">
        <v>5.0277545065371444E-2</v>
      </c>
      <c r="B738"/>
      <c r="C738"/>
      <c r="D738"/>
      <c r="E738"/>
      <c r="F738" s="27" t="s">
        <v>7</v>
      </c>
      <c r="DI738" s="27" t="s">
        <v>8</v>
      </c>
      <c r="DJ738" s="27" t="s">
        <v>7</v>
      </c>
      <c r="DK738" s="27" t="s">
        <v>8</v>
      </c>
      <c r="DR738" s="27" t="s">
        <v>7</v>
      </c>
      <c r="DS738" s="27" t="s">
        <v>8</v>
      </c>
      <c r="DV738" s="27" t="s">
        <v>7</v>
      </c>
      <c r="DW738" s="27" t="s">
        <v>8</v>
      </c>
      <c r="FP738" s="27" t="s">
        <v>7</v>
      </c>
      <c r="FT738" s="27" t="s">
        <v>7</v>
      </c>
      <c r="GH738" s="27" t="s">
        <v>7</v>
      </c>
      <c r="GI738" s="27" t="s">
        <v>8</v>
      </c>
      <c r="GJ738" s="27" t="s">
        <v>7</v>
      </c>
      <c r="HA738" s="27" t="s">
        <v>8</v>
      </c>
      <c r="HB738" s="27" t="s">
        <v>7</v>
      </c>
      <c r="HC738" s="27" t="s">
        <v>8</v>
      </c>
      <c r="HD738" s="27" t="s">
        <v>7</v>
      </c>
      <c r="HE738" s="27" t="s">
        <v>8</v>
      </c>
      <c r="IB738" s="27" t="s">
        <v>7</v>
      </c>
      <c r="IC738" s="27" t="s">
        <v>8</v>
      </c>
      <c r="II738" s="27" t="s">
        <v>8</v>
      </c>
      <c r="IJ738" s="27" t="s">
        <v>7</v>
      </c>
      <c r="IK738" s="27" t="s">
        <v>8</v>
      </c>
      <c r="IL738" s="27" t="s">
        <v>7</v>
      </c>
      <c r="IM738" s="27" t="s">
        <v>8</v>
      </c>
      <c r="IN738" s="27" t="s">
        <v>7</v>
      </c>
      <c r="IO738" s="27" t="s">
        <v>8</v>
      </c>
      <c r="IP738" s="27" t="s">
        <v>7</v>
      </c>
      <c r="IQ738" s="27" t="s">
        <v>8</v>
      </c>
      <c r="IR738" s="27" t="s">
        <v>7</v>
      </c>
      <c r="IS738" s="27" t="s">
        <v>8</v>
      </c>
      <c r="IT738" s="27" t="s">
        <v>7</v>
      </c>
      <c r="IU738" s="27" t="s">
        <v>8</v>
      </c>
      <c r="IV738" s="27" t="s">
        <v>7</v>
      </c>
      <c r="IW738" s="27" t="s">
        <v>8</v>
      </c>
      <c r="JD738" s="27" t="s">
        <v>7</v>
      </c>
      <c r="JF738" s="27" t="s">
        <v>7</v>
      </c>
      <c r="JG738" s="27" t="s">
        <v>8</v>
      </c>
      <c r="JH738" s="27" t="s">
        <v>7</v>
      </c>
      <c r="JM738" s="27" t="s">
        <v>8</v>
      </c>
      <c r="JO738" s="27" t="s">
        <v>8</v>
      </c>
      <c r="JP738" s="27" t="s">
        <v>7</v>
      </c>
    </row>
    <row r="739" spans="1:290" x14ac:dyDescent="0.25">
      <c r="A739" s="7">
        <v>4.9291710848403378E-2</v>
      </c>
      <c r="B739"/>
      <c r="C739"/>
      <c r="D739"/>
      <c r="E739"/>
      <c r="F739" s="27" t="s">
        <v>7</v>
      </c>
      <c r="DI739" s="27" t="s">
        <v>8</v>
      </c>
      <c r="DJ739" s="27" t="s">
        <v>7</v>
      </c>
      <c r="DK739" s="27" t="s">
        <v>8</v>
      </c>
      <c r="DR739" s="27" t="s">
        <v>7</v>
      </c>
      <c r="DV739" s="27" t="s">
        <v>7</v>
      </c>
      <c r="DW739" s="27" t="s">
        <v>8</v>
      </c>
      <c r="GH739" s="27" t="s">
        <v>7</v>
      </c>
      <c r="GI739" s="27" t="s">
        <v>8</v>
      </c>
      <c r="GJ739" s="27" t="s">
        <v>7</v>
      </c>
      <c r="HA739" s="27" t="s">
        <v>8</v>
      </c>
      <c r="HB739" s="27" t="s">
        <v>7</v>
      </c>
      <c r="HC739" s="27" t="s">
        <v>8</v>
      </c>
      <c r="HD739" s="27" t="s">
        <v>7</v>
      </c>
      <c r="IB739" s="27" t="s">
        <v>7</v>
      </c>
      <c r="IC739" s="27" t="s">
        <v>8</v>
      </c>
      <c r="ID739" s="27" t="s">
        <v>7</v>
      </c>
      <c r="II739" s="27" t="s">
        <v>8</v>
      </c>
      <c r="IJ739" s="27" t="s">
        <v>7</v>
      </c>
      <c r="IK739" s="27" t="s">
        <v>8</v>
      </c>
      <c r="IL739" s="27" t="s">
        <v>7</v>
      </c>
      <c r="IN739" s="27" t="s">
        <v>7</v>
      </c>
      <c r="IO739" s="27" t="s">
        <v>8</v>
      </c>
      <c r="IP739" s="27" t="s">
        <v>7</v>
      </c>
      <c r="IQ739" s="27" t="s">
        <v>8</v>
      </c>
      <c r="IR739" s="27" t="s">
        <v>7</v>
      </c>
      <c r="IS739" s="27" t="s">
        <v>8</v>
      </c>
      <c r="IT739" s="27" t="s">
        <v>7</v>
      </c>
      <c r="IU739" s="27" t="s">
        <v>8</v>
      </c>
      <c r="IV739" s="27" t="s">
        <v>7</v>
      </c>
      <c r="IW739" s="27" t="s">
        <v>8</v>
      </c>
      <c r="JF739" s="27" t="s">
        <v>7</v>
      </c>
      <c r="JG739" s="27" t="s">
        <v>8</v>
      </c>
      <c r="JH739" s="27" t="s">
        <v>7</v>
      </c>
      <c r="JK739" s="27" t="s">
        <v>8</v>
      </c>
      <c r="JM739" s="27" t="s">
        <v>8</v>
      </c>
      <c r="JN739" s="27" t="s">
        <v>7</v>
      </c>
      <c r="JO739" s="27" t="s">
        <v>8</v>
      </c>
      <c r="JP739" s="27" t="s">
        <v>7</v>
      </c>
    </row>
    <row r="740" spans="1:290" x14ac:dyDescent="0.25">
      <c r="A740" s="7">
        <v>4.8325206714120959E-2</v>
      </c>
      <c r="B740"/>
      <c r="C740"/>
      <c r="D740"/>
      <c r="E740"/>
      <c r="F740" s="27" t="s">
        <v>7</v>
      </c>
      <c r="DI740" s="27" t="s">
        <v>8</v>
      </c>
      <c r="DJ740" s="27" t="s">
        <v>7</v>
      </c>
      <c r="DK740" s="27" t="s">
        <v>8</v>
      </c>
      <c r="DV740" s="27" t="s">
        <v>7</v>
      </c>
      <c r="GH740" s="27" t="s">
        <v>7</v>
      </c>
      <c r="GJ740" s="27" t="s">
        <v>7</v>
      </c>
      <c r="GM740" s="27" t="s">
        <v>8</v>
      </c>
      <c r="HA740" s="27" t="s">
        <v>8</v>
      </c>
      <c r="HB740" s="27" t="s">
        <v>7</v>
      </c>
      <c r="HC740" s="27" t="s">
        <v>8</v>
      </c>
      <c r="IB740" s="27" t="s">
        <v>7</v>
      </c>
      <c r="IC740" s="27" t="s">
        <v>8</v>
      </c>
      <c r="ID740" s="27" t="s">
        <v>7</v>
      </c>
      <c r="II740" s="27" t="s">
        <v>8</v>
      </c>
      <c r="IJ740" s="27" t="s">
        <v>7</v>
      </c>
      <c r="IK740" s="27" t="s">
        <v>8</v>
      </c>
      <c r="IN740" s="27" t="s">
        <v>7</v>
      </c>
      <c r="IO740" s="27" t="s">
        <v>8</v>
      </c>
      <c r="IP740" s="27" t="s">
        <v>7</v>
      </c>
      <c r="IQ740" s="27" t="s">
        <v>8</v>
      </c>
      <c r="IR740" s="27" t="s">
        <v>7</v>
      </c>
      <c r="IT740" s="27" t="s">
        <v>7</v>
      </c>
      <c r="IV740" s="27" t="s">
        <v>7</v>
      </c>
      <c r="IW740" s="27" t="s">
        <v>8</v>
      </c>
      <c r="JF740" s="27" t="s">
        <v>7</v>
      </c>
      <c r="JG740" s="27" t="s">
        <v>8</v>
      </c>
      <c r="JH740" s="27" t="s">
        <v>7</v>
      </c>
      <c r="JK740" s="27" t="s">
        <v>8</v>
      </c>
      <c r="JL740" s="27" t="s">
        <v>7</v>
      </c>
      <c r="JM740" s="27" t="s">
        <v>8</v>
      </c>
      <c r="JN740" s="27" t="s">
        <v>7</v>
      </c>
      <c r="JO740" s="27" t="s">
        <v>8</v>
      </c>
      <c r="JP740" s="27" t="s">
        <v>7</v>
      </c>
    </row>
    <row r="741" spans="1:290" x14ac:dyDescent="0.25">
      <c r="A741" s="7">
        <v>4.7377653641295057E-2</v>
      </c>
      <c r="B741"/>
      <c r="C741"/>
      <c r="D741"/>
      <c r="E741"/>
      <c r="F741" s="27" t="s">
        <v>7</v>
      </c>
      <c r="DI741" s="27" t="s">
        <v>8</v>
      </c>
      <c r="DJ741" s="27" t="s">
        <v>7</v>
      </c>
      <c r="DK741" s="27" t="s">
        <v>8</v>
      </c>
      <c r="GJ741" s="27" t="s">
        <v>7</v>
      </c>
      <c r="GM741" s="27" t="s">
        <v>8</v>
      </c>
      <c r="GN741" s="27" t="s">
        <v>7</v>
      </c>
      <c r="GY741" s="27" t="s">
        <v>8</v>
      </c>
      <c r="HA741" s="27" t="s">
        <v>8</v>
      </c>
      <c r="HB741" s="27" t="s">
        <v>7</v>
      </c>
      <c r="IB741" s="27" t="s">
        <v>7</v>
      </c>
      <c r="IC741" s="27" t="s">
        <v>8</v>
      </c>
      <c r="ID741" s="27" t="s">
        <v>7</v>
      </c>
      <c r="IE741" s="27" t="s">
        <v>8</v>
      </c>
      <c r="II741" s="27" t="s">
        <v>8</v>
      </c>
      <c r="IJ741" s="27" t="s">
        <v>7</v>
      </c>
      <c r="IK741" s="27" t="s">
        <v>8</v>
      </c>
      <c r="IN741" s="27" t="s">
        <v>7</v>
      </c>
      <c r="IO741" s="27" t="s">
        <v>8</v>
      </c>
      <c r="IP741" s="27" t="s">
        <v>7</v>
      </c>
      <c r="IV741" s="27" t="s">
        <v>7</v>
      </c>
      <c r="IW741" s="27" t="s">
        <v>8</v>
      </c>
      <c r="JF741" s="27" t="s">
        <v>7</v>
      </c>
      <c r="JH741" s="27" t="s">
        <v>7</v>
      </c>
      <c r="JI741" s="27" t="s">
        <v>8</v>
      </c>
      <c r="JK741" s="27" t="s">
        <v>8</v>
      </c>
      <c r="JL741" s="27" t="s">
        <v>7</v>
      </c>
      <c r="JM741" s="27" t="s">
        <v>8</v>
      </c>
      <c r="JN741" s="27" t="s">
        <v>7</v>
      </c>
      <c r="JO741" s="27" t="s">
        <v>8</v>
      </c>
      <c r="JP741" s="27" t="s">
        <v>7</v>
      </c>
    </row>
    <row r="742" spans="1:290" x14ac:dyDescent="0.25">
      <c r="A742" s="7">
        <v>4.644868004048535E-2</v>
      </c>
      <c r="B742"/>
      <c r="C742"/>
      <c r="D742"/>
      <c r="E742"/>
      <c r="F742" s="27" t="s">
        <v>7</v>
      </c>
      <c r="DI742" s="27" t="s">
        <v>8</v>
      </c>
      <c r="DJ742" s="27" t="s">
        <v>7</v>
      </c>
      <c r="DK742" s="27" t="s">
        <v>8</v>
      </c>
      <c r="GJ742" s="27" t="s">
        <v>7</v>
      </c>
      <c r="GK742" s="27" t="s">
        <v>8</v>
      </c>
      <c r="GM742" s="27" t="s">
        <v>8</v>
      </c>
      <c r="GN742" s="27" t="s">
        <v>7</v>
      </c>
      <c r="GO742" s="27" t="s">
        <v>8</v>
      </c>
      <c r="GQ742" s="27" t="s">
        <v>8</v>
      </c>
      <c r="GY742" s="27" t="s">
        <v>8</v>
      </c>
      <c r="GZ742" s="27" t="s">
        <v>7</v>
      </c>
      <c r="HA742" s="27" t="s">
        <v>8</v>
      </c>
      <c r="IB742" s="27" t="s">
        <v>7</v>
      </c>
      <c r="IC742" s="27" t="s">
        <v>8</v>
      </c>
      <c r="ID742" s="27" t="s">
        <v>7</v>
      </c>
      <c r="IE742" s="27" t="s">
        <v>8</v>
      </c>
      <c r="IF742" s="27" t="s">
        <v>7</v>
      </c>
      <c r="IG742" s="27" t="s">
        <v>8</v>
      </c>
      <c r="II742" s="27" t="s">
        <v>8</v>
      </c>
      <c r="IJ742" s="27" t="s">
        <v>7</v>
      </c>
      <c r="IK742" s="27" t="s">
        <v>8</v>
      </c>
      <c r="IN742" s="27" t="s">
        <v>7</v>
      </c>
      <c r="IO742" s="27" t="s">
        <v>8</v>
      </c>
      <c r="IV742" s="27" t="s">
        <v>7</v>
      </c>
      <c r="IW742" s="27" t="s">
        <v>8</v>
      </c>
      <c r="JH742" s="27" t="s">
        <v>7</v>
      </c>
      <c r="JI742" s="27" t="s">
        <v>8</v>
      </c>
      <c r="JJ742" s="27" t="s">
        <v>7</v>
      </c>
      <c r="JK742" s="27" t="s">
        <v>8</v>
      </c>
      <c r="JL742" s="27" t="s">
        <v>7</v>
      </c>
      <c r="JN742" s="27" t="s">
        <v>7</v>
      </c>
      <c r="JO742" s="27" t="s">
        <v>8</v>
      </c>
      <c r="JP742" s="27" t="s">
        <v>7</v>
      </c>
    </row>
    <row r="743" spans="1:290" x14ac:dyDescent="0.25">
      <c r="A743" s="7">
        <v>4.5537921608318974E-2</v>
      </c>
      <c r="B743"/>
      <c r="C743"/>
      <c r="D743"/>
      <c r="E743"/>
      <c r="F743" s="27" t="s">
        <v>7</v>
      </c>
      <c r="DI743" s="27" t="s">
        <v>8</v>
      </c>
      <c r="DJ743" s="27" t="s">
        <v>7</v>
      </c>
      <c r="GJ743" s="27" t="s">
        <v>7</v>
      </c>
      <c r="GK743" s="27" t="s">
        <v>8</v>
      </c>
      <c r="GL743" s="27" t="s">
        <v>7</v>
      </c>
      <c r="GM743" s="27" t="s">
        <v>8</v>
      </c>
      <c r="GN743" s="27" t="s">
        <v>7</v>
      </c>
      <c r="GO743" s="27" t="s">
        <v>8</v>
      </c>
      <c r="GP743" s="27" t="s">
        <v>7</v>
      </c>
      <c r="GQ743" s="27" t="s">
        <v>8</v>
      </c>
      <c r="GR743" s="27" t="s">
        <v>7</v>
      </c>
      <c r="GY743" s="27" t="s">
        <v>8</v>
      </c>
      <c r="GZ743" s="27" t="s">
        <v>7</v>
      </c>
      <c r="HA743" s="27" t="s">
        <v>8</v>
      </c>
      <c r="IB743" s="27" t="s">
        <v>7</v>
      </c>
      <c r="IC743" s="27" t="s">
        <v>8</v>
      </c>
      <c r="ID743" s="27" t="s">
        <v>7</v>
      </c>
      <c r="IE743" s="27" t="s">
        <v>8</v>
      </c>
      <c r="IF743" s="27" t="s">
        <v>7</v>
      </c>
      <c r="IG743" s="27" t="s">
        <v>8</v>
      </c>
      <c r="IH743" s="27" t="s">
        <v>7</v>
      </c>
      <c r="II743" s="27" t="s">
        <v>8</v>
      </c>
      <c r="IJ743" s="27" t="s">
        <v>7</v>
      </c>
      <c r="IN743" s="27" t="s">
        <v>7</v>
      </c>
      <c r="IV743" s="27" t="s">
        <v>7</v>
      </c>
      <c r="IW743" s="27" t="s">
        <v>8</v>
      </c>
      <c r="JH743" s="27" t="s">
        <v>7</v>
      </c>
      <c r="JI743" s="27" t="s">
        <v>8</v>
      </c>
      <c r="JJ743" s="27" t="s">
        <v>7</v>
      </c>
      <c r="JK743" s="27" t="s">
        <v>8</v>
      </c>
      <c r="JN743" s="27" t="s">
        <v>7</v>
      </c>
      <c r="JP743" s="27" t="s">
        <v>7</v>
      </c>
    </row>
    <row r="744" spans="1:290" x14ac:dyDescent="0.25">
      <c r="A744" s="7">
        <v>4.4645021184626446E-2</v>
      </c>
      <c r="B744"/>
      <c r="C744"/>
      <c r="D744"/>
      <c r="E744"/>
      <c r="F744" s="27" t="s">
        <v>7</v>
      </c>
      <c r="DI744" s="27" t="s">
        <v>8</v>
      </c>
      <c r="GJ744" s="27" t="s">
        <v>7</v>
      </c>
      <c r="GK744" s="27" t="s">
        <v>8</v>
      </c>
      <c r="GL744" s="27" t="s">
        <v>7</v>
      </c>
      <c r="GM744" s="27" t="s">
        <v>8</v>
      </c>
      <c r="GN744" s="27" t="s">
        <v>7</v>
      </c>
      <c r="GO744" s="27" t="s">
        <v>8</v>
      </c>
      <c r="GP744" s="27" t="s">
        <v>7</v>
      </c>
      <c r="GQ744" s="27" t="s">
        <v>8</v>
      </c>
      <c r="GR744" s="27" t="s">
        <v>7</v>
      </c>
      <c r="GY744" s="27" t="s">
        <v>8</v>
      </c>
      <c r="GZ744" s="27" t="s">
        <v>7</v>
      </c>
      <c r="HA744" s="27" t="s">
        <v>8</v>
      </c>
      <c r="IB744" s="27" t="s">
        <v>7</v>
      </c>
      <c r="IC744" s="27" t="s">
        <v>8</v>
      </c>
      <c r="ID744" s="27" t="s">
        <v>7</v>
      </c>
      <c r="IE744" s="27" t="s">
        <v>8</v>
      </c>
      <c r="IF744" s="27" t="s">
        <v>7</v>
      </c>
      <c r="IG744" s="27" t="s">
        <v>8</v>
      </c>
      <c r="IH744" s="27" t="s">
        <v>7</v>
      </c>
      <c r="II744" s="27" t="s">
        <v>8</v>
      </c>
      <c r="IV744" s="27" t="s">
        <v>7</v>
      </c>
      <c r="IW744" s="27" t="s">
        <v>8</v>
      </c>
      <c r="JH744" s="27" t="s">
        <v>7</v>
      </c>
      <c r="JI744" s="27" t="s">
        <v>8</v>
      </c>
      <c r="JJ744" s="27" t="s">
        <v>7</v>
      </c>
      <c r="JK744" s="27" t="s">
        <v>8</v>
      </c>
      <c r="JP744" s="27" t="s">
        <v>7</v>
      </c>
    </row>
    <row r="745" spans="1:290" x14ac:dyDescent="0.25">
      <c r="A745" s="7">
        <v>4.3769628612378868E-2</v>
      </c>
      <c r="B745"/>
      <c r="C745"/>
      <c r="D745"/>
      <c r="E745"/>
      <c r="F745" s="27" t="s">
        <v>7</v>
      </c>
      <c r="DI745" s="27" t="s">
        <v>8</v>
      </c>
      <c r="GJ745" s="27" t="s">
        <v>7</v>
      </c>
      <c r="GK745" s="27" t="s">
        <v>8</v>
      </c>
      <c r="GL745" s="27" t="s">
        <v>7</v>
      </c>
      <c r="GM745" s="27" t="s">
        <v>8</v>
      </c>
      <c r="GN745" s="27" t="s">
        <v>7</v>
      </c>
      <c r="GO745" s="27" t="s">
        <v>8</v>
      </c>
      <c r="GP745" s="27" t="s">
        <v>7</v>
      </c>
      <c r="GQ745" s="27" t="s">
        <v>8</v>
      </c>
      <c r="GR745" s="27" t="s">
        <v>7</v>
      </c>
      <c r="GS745" s="27" t="s">
        <v>8</v>
      </c>
      <c r="GY745" s="27" t="s">
        <v>8</v>
      </c>
      <c r="GZ745" s="27" t="s">
        <v>7</v>
      </c>
      <c r="HA745" s="27" t="s">
        <v>8</v>
      </c>
      <c r="IB745" s="27" t="s">
        <v>7</v>
      </c>
      <c r="IC745" s="27" t="s">
        <v>8</v>
      </c>
      <c r="ID745" s="27" t="s">
        <v>7</v>
      </c>
      <c r="IF745" s="27" t="s">
        <v>7</v>
      </c>
      <c r="IG745" s="27" t="s">
        <v>8</v>
      </c>
      <c r="IH745" s="27" t="s">
        <v>7</v>
      </c>
      <c r="II745" s="27" t="s">
        <v>8</v>
      </c>
      <c r="IV745" s="27" t="s">
        <v>7</v>
      </c>
      <c r="JH745" s="27" t="s">
        <v>7</v>
      </c>
      <c r="JJ745" s="27" t="s">
        <v>7</v>
      </c>
      <c r="JK745" s="27" t="s">
        <v>8</v>
      </c>
      <c r="JP745" s="27" t="s">
        <v>7</v>
      </c>
    </row>
    <row r="746" spans="1:290" x14ac:dyDescent="0.25">
      <c r="A746" s="7">
        <v>4.2911400600371442E-2</v>
      </c>
      <c r="B746"/>
      <c r="C746"/>
      <c r="D746"/>
      <c r="E746"/>
      <c r="F746" s="27" t="s">
        <v>7</v>
      </c>
      <c r="DI746" s="27" t="s">
        <v>8</v>
      </c>
      <c r="GJ746" s="27" t="s">
        <v>7</v>
      </c>
      <c r="GK746" s="27" t="s">
        <v>8</v>
      </c>
      <c r="GL746" s="27" t="s">
        <v>7</v>
      </c>
      <c r="GM746" s="27" t="s">
        <v>8</v>
      </c>
      <c r="GN746" s="27" t="s">
        <v>7</v>
      </c>
      <c r="GP746" s="27" t="s">
        <v>7</v>
      </c>
      <c r="GR746" s="27" t="s">
        <v>7</v>
      </c>
      <c r="GS746" s="27" t="s">
        <v>8</v>
      </c>
      <c r="GT746" s="27" t="s">
        <v>7</v>
      </c>
      <c r="GY746" s="27" t="s">
        <v>8</v>
      </c>
      <c r="GZ746" s="27" t="s">
        <v>7</v>
      </c>
      <c r="HA746" s="27" t="s">
        <v>8</v>
      </c>
      <c r="IB746" s="27" t="s">
        <v>7</v>
      </c>
      <c r="IF746" s="27" t="s">
        <v>7</v>
      </c>
      <c r="IH746" s="27" t="s">
        <v>7</v>
      </c>
      <c r="II746" s="27" t="s">
        <v>8</v>
      </c>
      <c r="JJ746" s="27" t="s">
        <v>7</v>
      </c>
      <c r="JP746" s="27" t="s">
        <v>7</v>
      </c>
    </row>
    <row r="747" spans="1:290" x14ac:dyDescent="0.25">
      <c r="A747" s="7">
        <v>4.2070000588599457E-2</v>
      </c>
      <c r="B747"/>
      <c r="C747"/>
      <c r="D747"/>
      <c r="E747"/>
      <c r="F747" s="27" t="s">
        <v>7</v>
      </c>
      <c r="DI747" s="27" t="s">
        <v>8</v>
      </c>
      <c r="GJ747" s="27" t="s">
        <v>7</v>
      </c>
      <c r="GK747" s="27" t="s">
        <v>8</v>
      </c>
      <c r="GL747" s="27" t="s">
        <v>7</v>
      </c>
      <c r="GM747" s="27" t="s">
        <v>8</v>
      </c>
      <c r="GR747" s="27" t="s">
        <v>7</v>
      </c>
      <c r="GS747" s="27" t="s">
        <v>8</v>
      </c>
      <c r="GT747" s="27" t="s">
        <v>7</v>
      </c>
      <c r="GY747" s="27" t="s">
        <v>8</v>
      </c>
      <c r="GZ747" s="27" t="s">
        <v>7</v>
      </c>
      <c r="HA747" s="27" t="s">
        <v>8</v>
      </c>
      <c r="IH747" s="27" t="s">
        <v>7</v>
      </c>
      <c r="JP747" s="27" t="s">
        <v>7</v>
      </c>
    </row>
    <row r="748" spans="1:290" x14ac:dyDescent="0.25">
      <c r="A748" s="7">
        <v>4.1245098616273977E-2</v>
      </c>
      <c r="B748"/>
      <c r="C748"/>
      <c r="D748"/>
      <c r="E748"/>
      <c r="F748" s="27" t="s">
        <v>7</v>
      </c>
      <c r="DI748" s="27" t="s">
        <v>8</v>
      </c>
      <c r="GJ748" s="27" t="s">
        <v>7</v>
      </c>
      <c r="GK748" s="27" t="s">
        <v>8</v>
      </c>
      <c r="GL748" s="27" t="s">
        <v>7</v>
      </c>
      <c r="GM748" s="27" t="s">
        <v>8</v>
      </c>
      <c r="GR748" s="27" t="s">
        <v>7</v>
      </c>
      <c r="GS748" s="27" t="s">
        <v>8</v>
      </c>
      <c r="GT748" s="27" t="s">
        <v>7</v>
      </c>
      <c r="GU748" s="27" t="s">
        <v>8</v>
      </c>
      <c r="GY748" s="27" t="s">
        <v>8</v>
      </c>
      <c r="GZ748" s="27" t="s">
        <v>7</v>
      </c>
      <c r="JP748" s="27" t="s">
        <v>7</v>
      </c>
    </row>
    <row r="749" spans="1:290" x14ac:dyDescent="0.25">
      <c r="A749" s="7">
        <v>4.043637119242547E-2</v>
      </c>
      <c r="B749"/>
      <c r="C749"/>
      <c r="D749"/>
      <c r="E749"/>
      <c r="F749" s="27" t="s">
        <v>7</v>
      </c>
      <c r="DI749" s="27" t="s">
        <v>8</v>
      </c>
      <c r="GJ749" s="27" t="s">
        <v>7</v>
      </c>
      <c r="GK749" s="27" t="s">
        <v>8</v>
      </c>
      <c r="GL749" s="27" t="s">
        <v>7</v>
      </c>
      <c r="GM749" s="27" t="s">
        <v>8</v>
      </c>
      <c r="GR749" s="27" t="s">
        <v>7</v>
      </c>
      <c r="GS749" s="27" t="s">
        <v>8</v>
      </c>
      <c r="GT749" s="27" t="s">
        <v>7</v>
      </c>
      <c r="GU749" s="27" t="s">
        <v>8</v>
      </c>
      <c r="GV749" s="27" t="s">
        <v>7</v>
      </c>
      <c r="GW749" s="27" t="s">
        <v>8</v>
      </c>
      <c r="GY749" s="27" t="s">
        <v>8</v>
      </c>
      <c r="JP749" s="27" t="s">
        <v>7</v>
      </c>
      <c r="JQ749" s="27" t="s">
        <v>8</v>
      </c>
      <c r="JS749" s="27" t="s">
        <v>8</v>
      </c>
    </row>
    <row r="750" spans="1:290" x14ac:dyDescent="0.25">
      <c r="A750" s="7">
        <v>3.9643501169044582E-2</v>
      </c>
      <c r="B750"/>
      <c r="C750"/>
      <c r="D750"/>
      <c r="E750"/>
      <c r="F750" s="27" t="s">
        <v>7</v>
      </c>
      <c r="DG750" s="27" t="s">
        <v>8</v>
      </c>
      <c r="DI750" s="27" t="s">
        <v>8</v>
      </c>
      <c r="GJ750" s="27" t="s">
        <v>7</v>
      </c>
      <c r="GK750" s="27" t="s">
        <v>8</v>
      </c>
      <c r="GL750" s="27" t="s">
        <v>7</v>
      </c>
      <c r="GM750" s="27" t="s">
        <v>8</v>
      </c>
      <c r="GR750" s="27" t="s">
        <v>7</v>
      </c>
      <c r="GT750" s="27" t="s">
        <v>7</v>
      </c>
      <c r="GU750" s="27" t="s">
        <v>8</v>
      </c>
      <c r="GV750" s="27" t="s">
        <v>7</v>
      </c>
      <c r="GW750" s="27" t="s">
        <v>8</v>
      </c>
      <c r="GX750" s="27" t="s">
        <v>7</v>
      </c>
      <c r="GY750" s="27" t="s">
        <v>8</v>
      </c>
      <c r="JP750" s="27" t="s">
        <v>7</v>
      </c>
      <c r="JQ750" s="27" t="s">
        <v>8</v>
      </c>
      <c r="JR750" s="27" t="s">
        <v>7</v>
      </c>
      <c r="JS750" s="27" t="s">
        <v>8</v>
      </c>
      <c r="JT750" s="27" t="s">
        <v>7</v>
      </c>
      <c r="KC750" s="27" t="s">
        <v>8</v>
      </c>
    </row>
    <row r="751" spans="1:290" x14ac:dyDescent="0.25">
      <c r="A751" s="7">
        <v>3.8866177616710372E-2</v>
      </c>
      <c r="B751"/>
      <c r="C751"/>
      <c r="D751"/>
      <c r="E751"/>
      <c r="F751" s="27" t="s">
        <v>7</v>
      </c>
      <c r="DG751" s="27" t="s">
        <v>8</v>
      </c>
      <c r="DH751" s="27" t="s">
        <v>7</v>
      </c>
      <c r="DI751" s="27" t="s">
        <v>8</v>
      </c>
      <c r="GJ751" s="27" t="s">
        <v>7</v>
      </c>
      <c r="GK751" s="27" t="s">
        <v>8</v>
      </c>
      <c r="GL751" s="27" t="s">
        <v>7</v>
      </c>
      <c r="GT751" s="27" t="s">
        <v>7</v>
      </c>
      <c r="GU751" s="27" t="s">
        <v>8</v>
      </c>
      <c r="GV751" s="27" t="s">
        <v>7</v>
      </c>
      <c r="GW751" s="27" t="s">
        <v>8</v>
      </c>
      <c r="GX751" s="27" t="s">
        <v>7</v>
      </c>
      <c r="GY751" s="27" t="s">
        <v>8</v>
      </c>
      <c r="JP751" s="27" t="s">
        <v>7</v>
      </c>
      <c r="JQ751" s="27" t="s">
        <v>8</v>
      </c>
      <c r="JR751" s="27" t="s">
        <v>7</v>
      </c>
      <c r="JS751" s="27" t="s">
        <v>8</v>
      </c>
      <c r="JT751" s="27" t="s">
        <v>7</v>
      </c>
      <c r="KA751" s="27" t="s">
        <v>8</v>
      </c>
      <c r="KC751" s="27" t="s">
        <v>8</v>
      </c>
      <c r="KD751" s="27" t="s">
        <v>7</v>
      </c>
    </row>
    <row r="752" spans="1:290" x14ac:dyDescent="0.25">
      <c r="A752" s="7">
        <v>3.8104095702657229E-2</v>
      </c>
      <c r="B752"/>
      <c r="C752"/>
      <c r="D752"/>
      <c r="E752"/>
      <c r="F752" s="27" t="s">
        <v>7</v>
      </c>
      <c r="DG752" s="27" t="s">
        <v>8</v>
      </c>
      <c r="DH752" s="27" t="s">
        <v>7</v>
      </c>
      <c r="DI752" s="27" t="s">
        <v>8</v>
      </c>
      <c r="GJ752" s="27" t="s">
        <v>7</v>
      </c>
      <c r="GK752" s="27" t="s">
        <v>8</v>
      </c>
      <c r="GT752" s="27" t="s">
        <v>7</v>
      </c>
      <c r="GU752" s="27" t="s">
        <v>8</v>
      </c>
      <c r="GV752" s="27" t="s">
        <v>7</v>
      </c>
      <c r="GW752" s="27" t="s">
        <v>8</v>
      </c>
      <c r="GX752" s="27" t="s">
        <v>7</v>
      </c>
      <c r="GY752" s="27" t="s">
        <v>8</v>
      </c>
      <c r="JP752" s="27" t="s">
        <v>7</v>
      </c>
      <c r="JQ752" s="27" t="s">
        <v>8</v>
      </c>
      <c r="JR752" s="27" t="s">
        <v>7</v>
      </c>
      <c r="JS752" s="27" t="s">
        <v>8</v>
      </c>
      <c r="JT752" s="27" t="s">
        <v>7</v>
      </c>
      <c r="KA752" s="27" t="s">
        <v>8</v>
      </c>
      <c r="KB752" s="27" t="s">
        <v>7</v>
      </c>
      <c r="KC752" s="27" t="s">
        <v>8</v>
      </c>
      <c r="KD752" s="27" t="s">
        <v>7</v>
      </c>
    </row>
    <row r="753" spans="1:296" x14ac:dyDescent="0.25">
      <c r="A753" s="7">
        <v>3.7356956571232579E-2</v>
      </c>
      <c r="B753"/>
      <c r="C753"/>
      <c r="D753"/>
      <c r="E753"/>
      <c r="F753" s="27" t="s">
        <v>7</v>
      </c>
      <c r="S753" s="27" t="s">
        <v>8</v>
      </c>
      <c r="DG753" s="27" t="s">
        <v>8</v>
      </c>
      <c r="DH753" s="27" t="s">
        <v>7</v>
      </c>
      <c r="DI753" s="27" t="s">
        <v>8</v>
      </c>
      <c r="GJ753" s="27" t="s">
        <v>7</v>
      </c>
      <c r="GK753" s="27" t="s">
        <v>8</v>
      </c>
      <c r="GT753" s="27" t="s">
        <v>7</v>
      </c>
      <c r="GU753" s="27" t="s">
        <v>8</v>
      </c>
      <c r="GV753" s="27" t="s">
        <v>7</v>
      </c>
      <c r="GX753" s="27" t="s">
        <v>7</v>
      </c>
      <c r="GY753" s="27" t="s">
        <v>8</v>
      </c>
      <c r="JP753" s="27" t="s">
        <v>7</v>
      </c>
      <c r="JQ753" s="27" t="s">
        <v>8</v>
      </c>
      <c r="JR753" s="27" t="s">
        <v>7</v>
      </c>
      <c r="JS753" s="27" t="s">
        <v>8</v>
      </c>
      <c r="JT753" s="27" t="s">
        <v>7</v>
      </c>
      <c r="KA753" s="27" t="s">
        <v>8</v>
      </c>
      <c r="KB753" s="27" t="s">
        <v>7</v>
      </c>
      <c r="KC753" s="27" t="s">
        <v>8</v>
      </c>
      <c r="KD753" s="27" t="s">
        <v>7</v>
      </c>
    </row>
    <row r="754" spans="1:296" x14ac:dyDescent="0.25">
      <c r="A754" s="7">
        <v>3.6624467226698605E-2</v>
      </c>
      <c r="B754"/>
      <c r="C754"/>
      <c r="D754"/>
      <c r="E754"/>
      <c r="F754" s="27" t="s">
        <v>7</v>
      </c>
      <c r="S754" s="27" t="s">
        <v>8</v>
      </c>
      <c r="T754" s="27" t="s">
        <v>7</v>
      </c>
      <c r="U754" s="27" t="s">
        <v>8</v>
      </c>
      <c r="DG754" s="27" t="s">
        <v>8</v>
      </c>
      <c r="DH754" s="27" t="s">
        <v>7</v>
      </c>
      <c r="DI754" s="27" t="s">
        <v>8</v>
      </c>
      <c r="GJ754" s="27" t="s">
        <v>7</v>
      </c>
      <c r="GK754" s="27" t="s">
        <v>8</v>
      </c>
      <c r="GT754" s="27" t="s">
        <v>7</v>
      </c>
      <c r="GX754" s="27" t="s">
        <v>7</v>
      </c>
      <c r="GY754" s="27" t="s">
        <v>8</v>
      </c>
      <c r="JP754" s="27" t="s">
        <v>7</v>
      </c>
      <c r="JQ754" s="27" t="s">
        <v>8</v>
      </c>
      <c r="JR754" s="27" t="s">
        <v>7</v>
      </c>
      <c r="JS754" s="27" t="s">
        <v>8</v>
      </c>
      <c r="JT754" s="27" t="s">
        <v>7</v>
      </c>
      <c r="JU754" s="27" t="s">
        <v>8</v>
      </c>
      <c r="KA754" s="27" t="s">
        <v>8</v>
      </c>
      <c r="KB754" s="27" t="s">
        <v>7</v>
      </c>
      <c r="KD754" s="27" t="s">
        <v>7</v>
      </c>
    </row>
    <row r="755" spans="1:296" x14ac:dyDescent="0.25">
      <c r="A755" s="7">
        <v>3.5906340418331961E-2</v>
      </c>
      <c r="B755"/>
      <c r="C755"/>
      <c r="D755"/>
      <c r="E755"/>
      <c r="F755" s="27" t="s">
        <v>7</v>
      </c>
      <c r="S755" s="27" t="s">
        <v>8</v>
      </c>
      <c r="T755" s="27" t="s">
        <v>7</v>
      </c>
      <c r="U755" s="27" t="s">
        <v>8</v>
      </c>
      <c r="V755" s="27" t="s">
        <v>7</v>
      </c>
      <c r="DG755" s="27" t="s">
        <v>8</v>
      </c>
      <c r="DH755" s="27" t="s">
        <v>7</v>
      </c>
      <c r="DI755" s="27" t="s">
        <v>8</v>
      </c>
      <c r="GJ755" s="27" t="s">
        <v>7</v>
      </c>
      <c r="GK755" s="27" t="s">
        <v>8</v>
      </c>
      <c r="GX755" s="18" t="s">
        <v>7</v>
      </c>
      <c r="GY755" s="27" t="s">
        <v>8</v>
      </c>
      <c r="JP755" s="27" t="s">
        <v>7</v>
      </c>
      <c r="JQ755" s="27" t="s">
        <v>8</v>
      </c>
      <c r="JR755" s="27" t="s">
        <v>7</v>
      </c>
      <c r="JS755" s="27" t="s">
        <v>8</v>
      </c>
      <c r="JT755" s="27" t="s">
        <v>7</v>
      </c>
      <c r="JU755" s="27" t="s">
        <v>8</v>
      </c>
      <c r="JV755" s="27" t="s">
        <v>7</v>
      </c>
      <c r="JW755" s="27" t="s">
        <v>8</v>
      </c>
      <c r="JY755" s="27" t="s">
        <v>8</v>
      </c>
      <c r="KA755" s="27" t="s">
        <v>8</v>
      </c>
      <c r="KD755" s="27" t="s">
        <v>7</v>
      </c>
    </row>
    <row r="756" spans="1:296" x14ac:dyDescent="0.25">
      <c r="A756" s="7">
        <v>3.5202294527776436E-2</v>
      </c>
      <c r="B756"/>
      <c r="C756"/>
      <c r="D756"/>
      <c r="E756"/>
      <c r="F756" s="27" t="s">
        <v>7</v>
      </c>
      <c r="S756" s="27" t="s">
        <v>8</v>
      </c>
      <c r="T756" s="27" t="s">
        <v>7</v>
      </c>
      <c r="U756" s="27" t="s">
        <v>8</v>
      </c>
      <c r="V756" s="27" t="s">
        <v>7</v>
      </c>
      <c r="DG756" s="27" t="s">
        <v>8</v>
      </c>
      <c r="DH756" s="27" t="s">
        <v>7</v>
      </c>
      <c r="DI756" s="27" t="s">
        <v>8</v>
      </c>
      <c r="GJ756" s="27" t="s">
        <v>7</v>
      </c>
      <c r="GK756" s="27" t="s">
        <v>8</v>
      </c>
      <c r="GX756" s="27" t="s">
        <v>7</v>
      </c>
      <c r="GY756" s="27" t="s">
        <v>8</v>
      </c>
      <c r="JP756" s="27" t="s">
        <v>7</v>
      </c>
      <c r="JQ756" s="27" t="s">
        <v>8</v>
      </c>
      <c r="JR756" s="27" t="s">
        <v>7</v>
      </c>
      <c r="JS756" s="27" t="s">
        <v>8</v>
      </c>
      <c r="JT756" s="27" t="s">
        <v>7</v>
      </c>
      <c r="JU756" s="27" t="s">
        <v>8</v>
      </c>
      <c r="JV756" s="27" t="s">
        <v>7</v>
      </c>
      <c r="JW756" s="27" t="s">
        <v>8</v>
      </c>
      <c r="JX756" s="27" t="s">
        <v>7</v>
      </c>
      <c r="JY756" s="27" t="s">
        <v>8</v>
      </c>
      <c r="JZ756" s="27" t="s">
        <v>7</v>
      </c>
      <c r="KA756" s="27" t="s">
        <v>8</v>
      </c>
      <c r="KD756" s="27" t="s">
        <v>7</v>
      </c>
    </row>
    <row r="757" spans="1:296" x14ac:dyDescent="0.25">
      <c r="A757" s="7">
        <v>3.451205345860435E-2</v>
      </c>
      <c r="B757"/>
      <c r="C757"/>
      <c r="D757"/>
      <c r="E757"/>
      <c r="F757" s="27" t="s">
        <v>7</v>
      </c>
      <c r="S757" s="27" t="s">
        <v>8</v>
      </c>
      <c r="T757" s="27" t="s">
        <v>7</v>
      </c>
      <c r="U757" s="27" t="s">
        <v>8</v>
      </c>
      <c r="V757" s="27" t="s">
        <v>7</v>
      </c>
      <c r="DG757" s="27" t="s">
        <v>8</v>
      </c>
      <c r="DH757" s="27" t="s">
        <v>7</v>
      </c>
      <c r="DI757" s="27" t="s">
        <v>8</v>
      </c>
      <c r="GJ757" s="27" t="s">
        <v>7</v>
      </c>
      <c r="GK757" s="27" t="s">
        <v>8</v>
      </c>
      <c r="GX757" s="27" t="s">
        <v>7</v>
      </c>
      <c r="GY757" s="27" t="s">
        <v>8</v>
      </c>
      <c r="JP757" s="27" t="s">
        <v>7</v>
      </c>
      <c r="JQ757" s="27" t="s">
        <v>8</v>
      </c>
      <c r="JR757" s="27" t="s">
        <v>7</v>
      </c>
      <c r="JT757" s="27" t="s">
        <v>7</v>
      </c>
      <c r="JU757" s="27" t="s">
        <v>8</v>
      </c>
      <c r="JV757" s="27" t="s">
        <v>7</v>
      </c>
      <c r="JW757" s="27" t="s">
        <v>8</v>
      </c>
      <c r="JX757" s="27" t="s">
        <v>7</v>
      </c>
      <c r="JY757" s="27" t="s">
        <v>8</v>
      </c>
      <c r="JZ757" s="27" t="s">
        <v>7</v>
      </c>
      <c r="KA757" s="27" t="s">
        <v>8</v>
      </c>
      <c r="KD757" s="27" t="s">
        <v>7</v>
      </c>
      <c r="KE757" s="27" t="s">
        <v>8</v>
      </c>
    </row>
    <row r="758" spans="1:296" x14ac:dyDescent="0.25">
      <c r="A758" s="7">
        <v>3.3835346528043479E-2</v>
      </c>
      <c r="B758"/>
      <c r="C758"/>
      <c r="D758"/>
      <c r="E758"/>
      <c r="F758" s="27" t="s">
        <v>7</v>
      </c>
      <c r="S758" s="27" t="s">
        <v>8</v>
      </c>
      <c r="T758" s="27" t="s">
        <v>7</v>
      </c>
      <c r="U758" s="27" t="s">
        <v>8</v>
      </c>
      <c r="V758" s="27" t="s">
        <v>7</v>
      </c>
      <c r="CM758" s="27" t="s">
        <v>8</v>
      </c>
      <c r="DC758" s="27" t="s">
        <v>8</v>
      </c>
      <c r="DE758" s="27" t="s">
        <v>8</v>
      </c>
      <c r="DG758" s="27" t="s">
        <v>8</v>
      </c>
      <c r="DH758" s="27" t="s">
        <v>7</v>
      </c>
      <c r="GJ758" s="27" t="s">
        <v>7</v>
      </c>
      <c r="GK758" s="27" t="s">
        <v>8</v>
      </c>
      <c r="GX758" s="27" t="s">
        <v>7</v>
      </c>
      <c r="GY758" s="27" t="s">
        <v>8</v>
      </c>
      <c r="JP758" s="27" t="s">
        <v>7</v>
      </c>
      <c r="JQ758" s="27" t="s">
        <v>8</v>
      </c>
      <c r="JT758" s="27" t="s">
        <v>7</v>
      </c>
      <c r="JU758" s="27" t="s">
        <v>8</v>
      </c>
      <c r="JV758" s="27" t="s">
        <v>7</v>
      </c>
      <c r="JW758" s="27" t="s">
        <v>8</v>
      </c>
      <c r="JX758" s="27" t="s">
        <v>7</v>
      </c>
      <c r="JZ758" s="27" t="s">
        <v>7</v>
      </c>
      <c r="KA758" s="27" t="s">
        <v>8</v>
      </c>
      <c r="KD758" s="27" t="s">
        <v>7</v>
      </c>
      <c r="KE758" s="27" t="s">
        <v>8</v>
      </c>
      <c r="KF758" s="27" t="s">
        <v>7</v>
      </c>
    </row>
    <row r="759" spans="1:296" x14ac:dyDescent="0.25">
      <c r="A759" s="7">
        <v>3.3171908360826938E-2</v>
      </c>
      <c r="B759"/>
      <c r="C759"/>
      <c r="D759"/>
      <c r="E759"/>
      <c r="F759" s="27" t="s">
        <v>7</v>
      </c>
      <c r="S759" s="27" t="s">
        <v>8</v>
      </c>
      <c r="T759" s="27" t="s">
        <v>7</v>
      </c>
      <c r="V759" s="27" t="s">
        <v>7</v>
      </c>
      <c r="W759" s="27" t="s">
        <v>8</v>
      </c>
      <c r="CM759" s="27" t="s">
        <v>8</v>
      </c>
      <c r="CN759" s="27" t="s">
        <v>7</v>
      </c>
      <c r="CQ759" s="27" t="s">
        <v>8</v>
      </c>
      <c r="DC759" s="27" t="s">
        <v>8</v>
      </c>
      <c r="DD759" s="27" t="s">
        <v>7</v>
      </c>
      <c r="DE759" s="27" t="s">
        <v>8</v>
      </c>
      <c r="DF759" s="27" t="s">
        <v>7</v>
      </c>
      <c r="DG759" s="27" t="s">
        <v>8</v>
      </c>
      <c r="GJ759" s="27" t="s">
        <v>7</v>
      </c>
      <c r="GK759" s="27" t="s">
        <v>8</v>
      </c>
      <c r="GX759" s="27" t="s">
        <v>7</v>
      </c>
      <c r="GY759" s="27" t="s">
        <v>8</v>
      </c>
      <c r="JP759" s="27" t="s">
        <v>7</v>
      </c>
      <c r="JQ759" s="27" t="s">
        <v>8</v>
      </c>
      <c r="JT759" s="27" t="s">
        <v>7</v>
      </c>
      <c r="JV759" s="27" t="s">
        <v>7</v>
      </c>
      <c r="JW759" s="27" t="s">
        <v>8</v>
      </c>
      <c r="JZ759" s="27" t="s">
        <v>7</v>
      </c>
      <c r="KA759" s="27" t="s">
        <v>8</v>
      </c>
      <c r="KD759" s="27" t="s">
        <v>7</v>
      </c>
      <c r="KE759" s="27" t="s">
        <v>8</v>
      </c>
      <c r="KF759" s="27" t="s">
        <v>7</v>
      </c>
    </row>
    <row r="760" spans="1:296" x14ac:dyDescent="0.25">
      <c r="A760" s="7">
        <v>3.2521478785124451E-2</v>
      </c>
      <c r="B760"/>
      <c r="C760"/>
      <c r="D760"/>
      <c r="E760"/>
      <c r="F760" s="27" t="s">
        <v>7</v>
      </c>
      <c r="S760" s="27" t="s">
        <v>8</v>
      </c>
      <c r="V760" s="27" t="s">
        <v>7</v>
      </c>
      <c r="W760" s="27" t="s">
        <v>8</v>
      </c>
      <c r="X760" s="27" t="s">
        <v>7</v>
      </c>
      <c r="CI760" s="27" t="s">
        <v>8</v>
      </c>
      <c r="CM760" s="27" t="s">
        <v>8</v>
      </c>
      <c r="CN760" s="27" t="s">
        <v>7</v>
      </c>
      <c r="CO760" s="27" t="s">
        <v>8</v>
      </c>
      <c r="CQ760" s="27" t="s">
        <v>8</v>
      </c>
      <c r="CR760" s="27" t="s">
        <v>7</v>
      </c>
      <c r="DC760" s="27" t="s">
        <v>8</v>
      </c>
      <c r="DD760" s="27" t="s">
        <v>7</v>
      </c>
      <c r="DE760" s="27" t="s">
        <v>8</v>
      </c>
      <c r="DF760" s="27" t="s">
        <v>7</v>
      </c>
      <c r="DG760" s="27" t="s">
        <v>8</v>
      </c>
      <c r="GJ760" s="27" t="s">
        <v>7</v>
      </c>
      <c r="GK760" s="27" t="s">
        <v>8</v>
      </c>
      <c r="GX760" s="27" t="s">
        <v>7</v>
      </c>
      <c r="JP760" s="27" t="s">
        <v>7</v>
      </c>
      <c r="JQ760" s="27" t="s">
        <v>8</v>
      </c>
      <c r="JV760" s="27" t="s">
        <v>7</v>
      </c>
      <c r="JZ760" s="27" t="s">
        <v>7</v>
      </c>
      <c r="KA760" s="27" t="s">
        <v>8</v>
      </c>
      <c r="KD760" s="27" t="s">
        <v>7</v>
      </c>
      <c r="KF760" s="27" t="s">
        <v>7</v>
      </c>
    </row>
    <row r="761" spans="1:296" x14ac:dyDescent="0.25">
      <c r="A761" s="7">
        <v>3.1883802730514173E-2</v>
      </c>
      <c r="B761"/>
      <c r="C761"/>
      <c r="D761"/>
      <c r="E761"/>
      <c r="F761" s="27" t="s">
        <v>7</v>
      </c>
      <c r="O761" s="27" t="s">
        <v>8</v>
      </c>
      <c r="Q761" s="27" t="s">
        <v>8</v>
      </c>
      <c r="S761" s="27" t="s">
        <v>8</v>
      </c>
      <c r="V761" s="27" t="s">
        <v>7</v>
      </c>
      <c r="W761" s="27" t="s">
        <v>8</v>
      </c>
      <c r="X761" s="27" t="s">
        <v>7</v>
      </c>
      <c r="Y761" s="27" t="s">
        <v>8</v>
      </c>
      <c r="AO761" s="27" t="s">
        <v>8</v>
      </c>
      <c r="CI761" s="27" t="s">
        <v>8</v>
      </c>
      <c r="CJ761" s="27" t="s">
        <v>7</v>
      </c>
      <c r="CM761" s="27" t="s">
        <v>8</v>
      </c>
      <c r="CN761" s="27" t="s">
        <v>7</v>
      </c>
      <c r="CO761" s="27" t="s">
        <v>8</v>
      </c>
      <c r="CP761" s="27" t="s">
        <v>7</v>
      </c>
      <c r="CQ761" s="27" t="s">
        <v>8</v>
      </c>
      <c r="CR761" s="27" t="s">
        <v>7</v>
      </c>
      <c r="DC761" s="27" t="s">
        <v>8</v>
      </c>
      <c r="DD761" s="27" t="s">
        <v>7</v>
      </c>
      <c r="DE761" s="27" t="s">
        <v>8</v>
      </c>
      <c r="DF761" s="27" t="s">
        <v>7</v>
      </c>
      <c r="DG761" s="27" t="s">
        <v>8</v>
      </c>
      <c r="GJ761" s="27" t="s">
        <v>7</v>
      </c>
      <c r="JP761" s="27" t="s">
        <v>7</v>
      </c>
      <c r="JQ761" s="27" t="s">
        <v>8</v>
      </c>
      <c r="JZ761" s="27" t="s">
        <v>7</v>
      </c>
      <c r="KF761" s="27" t="s">
        <v>7</v>
      </c>
    </row>
    <row r="762" spans="1:296" x14ac:dyDescent="0.25">
      <c r="A762" s="7">
        <v>3.1258630127955073E-2</v>
      </c>
      <c r="B762"/>
      <c r="C762"/>
      <c r="D762"/>
      <c r="E762"/>
      <c r="F762" s="27" t="s">
        <v>7</v>
      </c>
      <c r="O762" s="27" t="s">
        <v>8</v>
      </c>
      <c r="P762" s="27" t="s">
        <v>7</v>
      </c>
      <c r="Q762" s="27" t="s">
        <v>8</v>
      </c>
      <c r="R762" s="27" t="s">
        <v>7</v>
      </c>
      <c r="S762" s="27" t="s">
        <v>8</v>
      </c>
      <c r="V762" s="27" t="s">
        <v>7</v>
      </c>
      <c r="W762" s="27" t="s">
        <v>8</v>
      </c>
      <c r="X762" s="27" t="s">
        <v>7</v>
      </c>
      <c r="Y762" s="27" t="s">
        <v>8</v>
      </c>
      <c r="Z762" s="27" t="s">
        <v>7</v>
      </c>
      <c r="AO762" s="27" t="s">
        <v>8</v>
      </c>
      <c r="AP762" s="27" t="s">
        <v>7</v>
      </c>
      <c r="CI762" s="27" t="s">
        <v>8</v>
      </c>
      <c r="CJ762" s="27" t="s">
        <v>7</v>
      </c>
      <c r="CM762" s="27" t="s">
        <v>8</v>
      </c>
      <c r="CN762" s="27" t="s">
        <v>7</v>
      </c>
      <c r="CO762" s="27" t="s">
        <v>8</v>
      </c>
      <c r="CP762" s="27" t="s">
        <v>7</v>
      </c>
      <c r="CQ762" s="27" t="s">
        <v>8</v>
      </c>
      <c r="CR762" s="27" t="s">
        <v>7</v>
      </c>
      <c r="DC762" s="27" t="s">
        <v>8</v>
      </c>
      <c r="DD762" s="27" t="s">
        <v>7</v>
      </c>
      <c r="DE762" s="27" t="s">
        <v>8</v>
      </c>
      <c r="DF762" s="27" t="s">
        <v>7</v>
      </c>
      <c r="DG762" s="27" t="s">
        <v>8</v>
      </c>
      <c r="JP762" s="27" t="s">
        <v>7</v>
      </c>
      <c r="JQ762" s="27" t="s">
        <v>8</v>
      </c>
      <c r="KF762" s="27" t="s">
        <v>7</v>
      </c>
      <c r="KI762" s="27" t="s">
        <v>8</v>
      </c>
    </row>
    <row r="763" spans="1:296" x14ac:dyDescent="0.25">
      <c r="A763" s="7">
        <v>3.064571581172066E-2</v>
      </c>
      <c r="B763"/>
      <c r="C763"/>
      <c r="D763"/>
      <c r="E763"/>
      <c r="F763" s="27" t="s">
        <v>7</v>
      </c>
      <c r="O763" s="27" t="s">
        <v>8</v>
      </c>
      <c r="P763" s="27" t="s">
        <v>7</v>
      </c>
      <c r="Q763" s="27" t="s">
        <v>8</v>
      </c>
      <c r="R763" s="27" t="s">
        <v>7</v>
      </c>
      <c r="S763" s="27" t="s">
        <v>8</v>
      </c>
      <c r="V763" s="27" t="s">
        <v>7</v>
      </c>
      <c r="X763" s="27" t="s">
        <v>7</v>
      </c>
      <c r="Y763" s="27" t="s">
        <v>8</v>
      </c>
      <c r="Z763" s="27" t="s">
        <v>7</v>
      </c>
      <c r="AO763" s="27" t="s">
        <v>8</v>
      </c>
      <c r="AP763" s="27" t="s">
        <v>7</v>
      </c>
      <c r="CI763" s="27" t="s">
        <v>8</v>
      </c>
      <c r="CJ763" s="27" t="s">
        <v>7</v>
      </c>
      <c r="CM763" s="27" t="s">
        <v>8</v>
      </c>
      <c r="CN763" s="27" t="s">
        <v>7</v>
      </c>
      <c r="CO763" s="27" t="s">
        <v>8</v>
      </c>
      <c r="CP763" s="27" t="s">
        <v>7</v>
      </c>
      <c r="CQ763" s="27" t="s">
        <v>8</v>
      </c>
      <c r="CR763" s="27" t="s">
        <v>7</v>
      </c>
      <c r="DC763" s="27" t="s">
        <v>8</v>
      </c>
      <c r="DD763" s="27" t="s">
        <v>7</v>
      </c>
      <c r="DE763" s="27" t="s">
        <v>8</v>
      </c>
      <c r="DF763" s="27" t="s">
        <v>7</v>
      </c>
      <c r="DG763" s="27" t="s">
        <v>8</v>
      </c>
      <c r="JP763" s="27" t="s">
        <v>7</v>
      </c>
      <c r="JQ763" s="27" t="s">
        <v>8</v>
      </c>
      <c r="KF763" s="27" t="s">
        <v>7</v>
      </c>
      <c r="KI763" s="27" t="s">
        <v>8</v>
      </c>
      <c r="KJ763" s="27" t="s">
        <v>7</v>
      </c>
    </row>
    <row r="764" spans="1:296" x14ac:dyDescent="0.25">
      <c r="A764" s="7">
        <v>3.0044819423255549E-2</v>
      </c>
      <c r="B764"/>
      <c r="C764"/>
      <c r="D764"/>
      <c r="E764"/>
      <c r="F764" s="27" t="s">
        <v>7</v>
      </c>
      <c r="O764" s="27" t="s">
        <v>8</v>
      </c>
      <c r="P764" s="27" t="s">
        <v>7</v>
      </c>
      <c r="Q764" s="27" t="s">
        <v>8</v>
      </c>
      <c r="R764" s="27" t="s">
        <v>7</v>
      </c>
      <c r="X764" s="27" t="s">
        <v>7</v>
      </c>
      <c r="Y764" s="27" t="s">
        <v>8</v>
      </c>
      <c r="Z764" s="27" t="s">
        <v>7</v>
      </c>
      <c r="AO764" s="27" t="s">
        <v>8</v>
      </c>
      <c r="AP764" s="27" t="s">
        <v>7</v>
      </c>
      <c r="BQ764" s="27" t="s">
        <v>8</v>
      </c>
      <c r="CI764" s="27" t="s">
        <v>8</v>
      </c>
      <c r="CJ764" s="27" t="s">
        <v>7</v>
      </c>
      <c r="CM764" s="27" t="s">
        <v>8</v>
      </c>
      <c r="CN764" s="27" t="s">
        <v>7</v>
      </c>
      <c r="CO764" s="27" t="s">
        <v>8</v>
      </c>
      <c r="CP764" s="27" t="s">
        <v>7</v>
      </c>
      <c r="CQ764" s="27" t="s">
        <v>8</v>
      </c>
      <c r="CR764" s="27" t="s">
        <v>7</v>
      </c>
      <c r="DC764" s="27" t="s">
        <v>8</v>
      </c>
      <c r="DD764" s="27" t="s">
        <v>7</v>
      </c>
      <c r="DE764" s="27" t="s">
        <v>8</v>
      </c>
      <c r="DF764" s="27" t="s">
        <v>7</v>
      </c>
      <c r="JP764" s="27" t="s">
        <v>7</v>
      </c>
      <c r="JQ764" s="27" t="s">
        <v>8</v>
      </c>
      <c r="KF764" s="27" t="s">
        <v>7</v>
      </c>
      <c r="KI764" s="27" t="s">
        <v>8</v>
      </c>
      <c r="KJ764" s="27" t="s">
        <v>7</v>
      </c>
    </row>
    <row r="765" spans="1:296" x14ac:dyDescent="0.25">
      <c r="A765" s="7">
        <v>2.9455705316917203E-2</v>
      </c>
      <c r="B765"/>
      <c r="C765"/>
      <c r="D765"/>
      <c r="E765"/>
      <c r="F765" s="27" t="s">
        <v>7</v>
      </c>
      <c r="O765" s="27" t="s">
        <v>8</v>
      </c>
      <c r="P765" s="27" t="s">
        <v>7</v>
      </c>
      <c r="Q765" s="27" t="s">
        <v>8</v>
      </c>
      <c r="X765" s="27" t="s">
        <v>7</v>
      </c>
      <c r="Y765" s="27" t="s">
        <v>8</v>
      </c>
      <c r="Z765" s="27" t="s">
        <v>7</v>
      </c>
      <c r="AO765" s="27" t="s">
        <v>8</v>
      </c>
      <c r="AP765" s="27" t="s">
        <v>7</v>
      </c>
      <c r="AU765" s="27" t="s">
        <v>8</v>
      </c>
      <c r="BQ765" s="27" t="s">
        <v>8</v>
      </c>
      <c r="BR765" s="27" t="s">
        <v>7</v>
      </c>
      <c r="CI765" s="27" t="s">
        <v>8</v>
      </c>
      <c r="CJ765" s="27" t="s">
        <v>7</v>
      </c>
      <c r="CK765" s="27" t="s">
        <v>8</v>
      </c>
      <c r="CM765" s="27" t="s">
        <v>8</v>
      </c>
      <c r="CN765" s="27" t="s">
        <v>7</v>
      </c>
      <c r="CO765" s="27" t="s">
        <v>8</v>
      </c>
      <c r="CP765" s="27" t="s">
        <v>7</v>
      </c>
      <c r="CQ765" s="27" t="s">
        <v>8</v>
      </c>
      <c r="CR765" s="27" t="s">
        <v>7</v>
      </c>
      <c r="DC765" s="27" t="s">
        <v>8</v>
      </c>
      <c r="DD765" s="27" t="s">
        <v>7</v>
      </c>
      <c r="DE765" s="27" t="s">
        <v>8</v>
      </c>
      <c r="JP765" s="27" t="s">
        <v>7</v>
      </c>
      <c r="JQ765" s="27" t="s">
        <v>8</v>
      </c>
      <c r="KF765" s="27" t="s">
        <v>7</v>
      </c>
      <c r="KI765" s="27" t="s">
        <v>8</v>
      </c>
      <c r="KJ765" s="27" t="s">
        <v>7</v>
      </c>
    </row>
    <row r="766" spans="1:296" x14ac:dyDescent="0.25">
      <c r="A766" s="7">
        <v>2.8878142467565884E-2</v>
      </c>
      <c r="B766"/>
      <c r="C766"/>
      <c r="D766"/>
      <c r="E766"/>
      <c r="F766" s="27" t="s">
        <v>7</v>
      </c>
      <c r="O766" s="27" t="s">
        <v>8</v>
      </c>
      <c r="P766" s="27" t="s">
        <v>7</v>
      </c>
      <c r="X766" s="27" t="s">
        <v>7</v>
      </c>
      <c r="Y766" s="27" t="s">
        <v>8</v>
      </c>
      <c r="Z766" s="27" t="s">
        <v>7</v>
      </c>
      <c r="AO766" s="27" t="s">
        <v>8</v>
      </c>
      <c r="AP766" s="27" t="s">
        <v>7</v>
      </c>
      <c r="AU766" s="27" t="s">
        <v>8</v>
      </c>
      <c r="AV766" s="27" t="s">
        <v>7</v>
      </c>
      <c r="BQ766" s="27" t="s">
        <v>8</v>
      </c>
      <c r="BR766" s="27" t="s">
        <v>7</v>
      </c>
      <c r="CI766" s="27" t="s">
        <v>8</v>
      </c>
      <c r="CJ766" s="27" t="s">
        <v>7</v>
      </c>
      <c r="CK766" s="27" t="s">
        <v>8</v>
      </c>
      <c r="CL766" s="27" t="s">
        <v>7</v>
      </c>
      <c r="CM766" s="27" t="s">
        <v>8</v>
      </c>
      <c r="CN766" s="27" t="s">
        <v>7</v>
      </c>
      <c r="CO766" s="27" t="s">
        <v>8</v>
      </c>
      <c r="CP766" s="27" t="s">
        <v>7</v>
      </c>
      <c r="CR766" s="27" t="s">
        <v>7</v>
      </c>
      <c r="DC766" s="27" t="s">
        <v>8</v>
      </c>
      <c r="DD766" s="27" t="s">
        <v>7</v>
      </c>
      <c r="DE766" s="27" t="s">
        <v>8</v>
      </c>
      <c r="JP766" s="27" t="s">
        <v>7</v>
      </c>
      <c r="JQ766" s="27" t="s">
        <v>8</v>
      </c>
      <c r="KF766" s="27" t="s">
        <v>7</v>
      </c>
      <c r="KG766" s="27" t="s">
        <v>8</v>
      </c>
      <c r="KI766" s="27" t="s">
        <v>8</v>
      </c>
      <c r="KJ766" s="27" t="s">
        <v>7</v>
      </c>
    </row>
    <row r="767" spans="1:296" x14ac:dyDescent="0.25">
      <c r="A767" s="7">
        <v>2.8311904379966554E-2</v>
      </c>
      <c r="B767"/>
      <c r="C767"/>
      <c r="D767"/>
      <c r="E767"/>
      <c r="F767" s="27" t="s">
        <v>7</v>
      </c>
      <c r="K767" s="27" t="s">
        <v>8</v>
      </c>
      <c r="O767" s="27" t="s">
        <v>8</v>
      </c>
      <c r="X767" s="27" t="s">
        <v>7</v>
      </c>
      <c r="Z767" s="27" t="s">
        <v>7</v>
      </c>
      <c r="AA767" s="27" t="s">
        <v>8</v>
      </c>
      <c r="AO767" s="27" t="s">
        <v>8</v>
      </c>
      <c r="AP767" s="27" t="s">
        <v>7</v>
      </c>
      <c r="AU767" s="27" t="s">
        <v>8</v>
      </c>
      <c r="AV767" s="27" t="s">
        <v>7</v>
      </c>
      <c r="BQ767" s="27" t="s">
        <v>8</v>
      </c>
      <c r="BR767" s="27" t="s">
        <v>7</v>
      </c>
      <c r="CI767" s="27" t="s">
        <v>8</v>
      </c>
      <c r="CJ767" s="27" t="s">
        <v>7</v>
      </c>
      <c r="CK767" s="27" t="s">
        <v>8</v>
      </c>
      <c r="CL767" s="27" t="s">
        <v>7</v>
      </c>
      <c r="CM767" s="27" t="s">
        <v>8</v>
      </c>
      <c r="CN767" s="27" t="s">
        <v>7</v>
      </c>
      <c r="CO767" s="27" t="s">
        <v>8</v>
      </c>
      <c r="CR767" s="27" t="s">
        <v>7</v>
      </c>
      <c r="CU767" s="27" t="s">
        <v>8</v>
      </c>
      <c r="CW767" s="27" t="s">
        <v>8</v>
      </c>
      <c r="DC767" s="27" t="s">
        <v>8</v>
      </c>
      <c r="DD767" s="27" t="s">
        <v>7</v>
      </c>
      <c r="DE767" s="27" t="s">
        <v>8</v>
      </c>
      <c r="JP767" s="27" t="s">
        <v>7</v>
      </c>
      <c r="JQ767" s="27" t="s">
        <v>8</v>
      </c>
      <c r="KF767" s="27" t="s">
        <v>7</v>
      </c>
      <c r="KG767" s="27" t="s">
        <v>8</v>
      </c>
      <c r="KH767" s="27" t="s">
        <v>7</v>
      </c>
      <c r="KI767" s="27" t="s">
        <v>8</v>
      </c>
      <c r="KJ767" s="27" t="s">
        <v>7</v>
      </c>
    </row>
    <row r="768" spans="1:296" x14ac:dyDescent="0.25">
      <c r="A768" s="7">
        <v>2.7756768999967207E-2</v>
      </c>
      <c r="B768"/>
      <c r="C768"/>
      <c r="D768"/>
      <c r="E768"/>
      <c r="F768" s="27" t="s">
        <v>7</v>
      </c>
      <c r="K768" s="27" t="s">
        <v>8</v>
      </c>
      <c r="L768" s="27" t="s">
        <v>7</v>
      </c>
      <c r="O768" s="27" t="s">
        <v>8</v>
      </c>
      <c r="Z768" s="27" t="s">
        <v>7</v>
      </c>
      <c r="AA768" s="27" t="s">
        <v>8</v>
      </c>
      <c r="AB768" s="27" t="s">
        <v>7</v>
      </c>
      <c r="AC768" s="27" t="s">
        <v>8</v>
      </c>
      <c r="AO768" s="27" t="s">
        <v>8</v>
      </c>
      <c r="AP768" s="27" t="s">
        <v>7</v>
      </c>
      <c r="AU768" s="27" t="s">
        <v>8</v>
      </c>
      <c r="AV768" s="27" t="s">
        <v>7</v>
      </c>
      <c r="BQ768" s="27" t="s">
        <v>8</v>
      </c>
      <c r="BR768" s="27" t="s">
        <v>7</v>
      </c>
      <c r="CI768" s="27" t="s">
        <v>8</v>
      </c>
      <c r="CJ768" s="27" t="s">
        <v>7</v>
      </c>
      <c r="CK768" s="27" t="s">
        <v>8</v>
      </c>
      <c r="CL768" s="27" t="s">
        <v>7</v>
      </c>
      <c r="CM768" s="27" t="s">
        <v>8</v>
      </c>
      <c r="CN768" s="27" t="s">
        <v>7</v>
      </c>
      <c r="CO768" s="27" t="s">
        <v>8</v>
      </c>
      <c r="CR768" s="27" t="s">
        <v>7</v>
      </c>
      <c r="CS768" s="27" t="s">
        <v>8</v>
      </c>
      <c r="CU768" s="27" t="s">
        <v>8</v>
      </c>
      <c r="CV768" s="27" t="s">
        <v>7</v>
      </c>
      <c r="CW768" s="27" t="s">
        <v>8</v>
      </c>
      <c r="CX768" s="27" t="s">
        <v>7</v>
      </c>
      <c r="CY768" s="27" t="s">
        <v>8</v>
      </c>
      <c r="DC768" s="27" t="s">
        <v>8</v>
      </c>
      <c r="DD768" s="27" t="s">
        <v>7</v>
      </c>
      <c r="DE768" s="27" t="s">
        <v>8</v>
      </c>
      <c r="JP768" s="27" t="s">
        <v>7</v>
      </c>
      <c r="JQ768" s="27" t="s">
        <v>8</v>
      </c>
      <c r="KF768" s="27" t="s">
        <v>7</v>
      </c>
      <c r="KG768" s="27" t="s">
        <v>8</v>
      </c>
      <c r="KH768" s="27" t="s">
        <v>7</v>
      </c>
      <c r="KI768" s="27" t="s">
        <v>8</v>
      </c>
      <c r="KJ768" s="27" t="s">
        <v>7</v>
      </c>
    </row>
    <row r="769" spans="1:300" x14ac:dyDescent="0.25">
      <c r="A769" s="7">
        <v>2.7212518627418834E-2</v>
      </c>
      <c r="B769"/>
      <c r="C769"/>
      <c r="D769"/>
      <c r="E769"/>
      <c r="F769" s="27" t="s">
        <v>7</v>
      </c>
      <c r="K769" s="27" t="s">
        <v>8</v>
      </c>
      <c r="L769" s="27" t="s">
        <v>7</v>
      </c>
      <c r="M769" s="27" t="s">
        <v>8</v>
      </c>
      <c r="O769" s="27" t="s">
        <v>8</v>
      </c>
      <c r="Z769" s="27" t="s">
        <v>7</v>
      </c>
      <c r="AA769" s="27" t="s">
        <v>8</v>
      </c>
      <c r="AB769" s="27" t="s">
        <v>7</v>
      </c>
      <c r="AC769" s="27" t="s">
        <v>8</v>
      </c>
      <c r="AD769" s="27" t="s">
        <v>7</v>
      </c>
      <c r="AO769" s="27" t="s">
        <v>8</v>
      </c>
      <c r="AP769" s="27" t="s">
        <v>7</v>
      </c>
      <c r="AU769" s="27" t="s">
        <v>8</v>
      </c>
      <c r="AV769" s="27" t="s">
        <v>7</v>
      </c>
      <c r="BQ769" s="27" t="s">
        <v>8</v>
      </c>
      <c r="BR769" s="27" t="s">
        <v>7</v>
      </c>
      <c r="CI769" s="27" t="s">
        <v>8</v>
      </c>
      <c r="CJ769" s="27" t="s">
        <v>7</v>
      </c>
      <c r="CK769" s="27" t="s">
        <v>8</v>
      </c>
      <c r="CL769" s="27" t="s">
        <v>7</v>
      </c>
      <c r="CM769" s="27" t="s">
        <v>8</v>
      </c>
      <c r="CN769" s="27" t="s">
        <v>7</v>
      </c>
      <c r="CO769" s="27" t="s">
        <v>8</v>
      </c>
      <c r="CR769" s="27" t="s">
        <v>7</v>
      </c>
      <c r="CS769" s="27" t="s">
        <v>8</v>
      </c>
      <c r="CT769" s="27" t="s">
        <v>7</v>
      </c>
      <c r="CU769" s="27" t="s">
        <v>8</v>
      </c>
      <c r="CV769" s="27" t="s">
        <v>7</v>
      </c>
      <c r="CW769" s="27" t="s">
        <v>8</v>
      </c>
      <c r="CX769" s="27" t="s">
        <v>7</v>
      </c>
      <c r="CY769" s="27" t="s">
        <v>8</v>
      </c>
      <c r="CZ769" s="27" t="s">
        <v>7</v>
      </c>
      <c r="DC769" s="27" t="s">
        <v>8</v>
      </c>
      <c r="DD769" s="27" t="s">
        <v>7</v>
      </c>
      <c r="DE769" s="27" t="s">
        <v>8</v>
      </c>
      <c r="JP769" s="27" t="s">
        <v>7</v>
      </c>
      <c r="JQ769" s="27" t="s">
        <v>8</v>
      </c>
      <c r="KF769" s="27" t="s">
        <v>7</v>
      </c>
      <c r="KG769" s="27" t="s">
        <v>8</v>
      </c>
      <c r="KH769" s="27" t="s">
        <v>7</v>
      </c>
      <c r="KI769" s="27" t="s">
        <v>8</v>
      </c>
      <c r="KJ769" s="27" t="s">
        <v>7</v>
      </c>
    </row>
    <row r="770" spans="1:300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K770" s="27" t="s">
        <v>8</v>
      </c>
      <c r="L770" s="27" t="s">
        <v>7</v>
      </c>
      <c r="M770" s="27" t="s">
        <v>8</v>
      </c>
      <c r="N770" s="27" t="s">
        <v>7</v>
      </c>
      <c r="O770" s="27" t="s">
        <v>8</v>
      </c>
      <c r="Z770" s="27" t="s">
        <v>7</v>
      </c>
      <c r="AB770" s="27" t="s">
        <v>7</v>
      </c>
      <c r="AC770" s="27" t="s">
        <v>8</v>
      </c>
      <c r="AD770" s="27" t="s">
        <v>7</v>
      </c>
      <c r="AO770" s="27" t="s">
        <v>8</v>
      </c>
      <c r="AP770" s="27" t="s">
        <v>7</v>
      </c>
      <c r="AS770" s="27" t="s">
        <v>8</v>
      </c>
      <c r="AU770" s="27" t="s">
        <v>8</v>
      </c>
      <c r="AV770" s="27" t="s">
        <v>7</v>
      </c>
      <c r="AW770" s="27" t="s">
        <v>8</v>
      </c>
      <c r="BQ770" s="27" t="s">
        <v>8</v>
      </c>
      <c r="BR770" s="27" t="s">
        <v>7</v>
      </c>
      <c r="CI770" s="27" t="s">
        <v>8</v>
      </c>
      <c r="CJ770" s="27" t="s">
        <v>7</v>
      </c>
      <c r="CK770" s="27" t="s">
        <v>8</v>
      </c>
      <c r="CL770" s="27" t="s">
        <v>7</v>
      </c>
      <c r="CM770" s="27" t="s">
        <v>8</v>
      </c>
      <c r="CN770" s="27" t="s">
        <v>7</v>
      </c>
      <c r="CO770" s="27" t="s">
        <v>8</v>
      </c>
      <c r="CR770" s="27" t="s">
        <v>7</v>
      </c>
      <c r="CS770" s="27" t="s">
        <v>8</v>
      </c>
      <c r="CT770" s="27" t="s">
        <v>7</v>
      </c>
      <c r="CU770" s="27" t="s">
        <v>8</v>
      </c>
      <c r="CV770" s="27" t="s">
        <v>7</v>
      </c>
      <c r="CW770" s="27" t="s">
        <v>8</v>
      </c>
      <c r="CX770" s="27" t="s">
        <v>7</v>
      </c>
      <c r="CY770" s="27" t="s">
        <v>8</v>
      </c>
      <c r="CZ770" s="27" t="s">
        <v>7</v>
      </c>
      <c r="DC770" s="27" t="s">
        <v>8</v>
      </c>
      <c r="DD770" s="27" t="s">
        <v>7</v>
      </c>
      <c r="JP770" s="27" t="s">
        <v>7</v>
      </c>
      <c r="JQ770" s="27" t="s">
        <v>8</v>
      </c>
      <c r="KF770" s="27" t="s">
        <v>7</v>
      </c>
      <c r="KH770" s="27" t="s">
        <v>7</v>
      </c>
      <c r="KI770" s="27" t="s">
        <v>8</v>
      </c>
      <c r="KJ770" s="27" t="s">
        <v>7</v>
      </c>
    </row>
    <row r="771" spans="1:300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H771" s="27" t="s">
        <v>7</v>
      </c>
      <c r="K771" s="27" t="s">
        <v>8</v>
      </c>
      <c r="L771" s="27" t="s">
        <v>7</v>
      </c>
      <c r="M771" s="27" t="s">
        <v>8</v>
      </c>
      <c r="N771" s="27" t="s">
        <v>7</v>
      </c>
      <c r="O771" s="27" t="s">
        <v>8</v>
      </c>
      <c r="AB771" s="27" t="s">
        <v>7</v>
      </c>
      <c r="AC771" s="27" t="s">
        <v>8</v>
      </c>
      <c r="AD771" s="27" t="s">
        <v>7</v>
      </c>
      <c r="AM771" s="27" t="s">
        <v>8</v>
      </c>
      <c r="AO771" s="27" t="s">
        <v>8</v>
      </c>
      <c r="AP771" s="27" t="s">
        <v>7</v>
      </c>
      <c r="AS771" s="27" t="s">
        <v>8</v>
      </c>
      <c r="AT771" s="27" t="s">
        <v>7</v>
      </c>
      <c r="AU771" s="27" t="s">
        <v>8</v>
      </c>
      <c r="AV771" s="27" t="s">
        <v>7</v>
      </c>
      <c r="AW771" s="27" t="s">
        <v>8</v>
      </c>
      <c r="AX771" s="27" t="s">
        <v>7</v>
      </c>
      <c r="AY771" s="27" t="s">
        <v>8</v>
      </c>
      <c r="BQ771" s="27" t="s">
        <v>8</v>
      </c>
      <c r="BR771" s="27" t="s">
        <v>7</v>
      </c>
      <c r="CI771" s="27" t="s">
        <v>8</v>
      </c>
      <c r="CJ771" s="27" t="s">
        <v>7</v>
      </c>
      <c r="CK771" s="27" t="s">
        <v>8</v>
      </c>
      <c r="CL771" s="27" t="s">
        <v>7</v>
      </c>
      <c r="CM771" s="27" t="s">
        <v>8</v>
      </c>
      <c r="CN771" s="27" t="s">
        <v>7</v>
      </c>
      <c r="CR771" s="27" t="s">
        <v>7</v>
      </c>
      <c r="CS771" s="27" t="s">
        <v>8</v>
      </c>
      <c r="CT771" s="27" t="s">
        <v>7</v>
      </c>
      <c r="CU771" s="27" t="s">
        <v>8</v>
      </c>
      <c r="CV771" s="27" t="s">
        <v>7</v>
      </c>
      <c r="CW771" s="27" t="s">
        <v>8</v>
      </c>
      <c r="CX771" s="27" t="s">
        <v>7</v>
      </c>
      <c r="CY771" s="27" t="s">
        <v>8</v>
      </c>
      <c r="CZ771" s="27" t="s">
        <v>7</v>
      </c>
      <c r="DA771" s="27" t="s">
        <v>8</v>
      </c>
      <c r="DC771" s="27" t="s">
        <v>8</v>
      </c>
      <c r="JP771" s="27" t="s">
        <v>7</v>
      </c>
      <c r="KH771" s="27" t="s">
        <v>7</v>
      </c>
      <c r="KJ771" s="27" t="s">
        <v>7</v>
      </c>
    </row>
    <row r="772" spans="1:300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H772" s="27" t="s">
        <v>7</v>
      </c>
      <c r="I772" s="27" t="s">
        <v>8</v>
      </c>
      <c r="K772" s="27" t="s">
        <v>8</v>
      </c>
      <c r="L772" s="27" t="s">
        <v>7</v>
      </c>
      <c r="M772" s="27" t="s">
        <v>8</v>
      </c>
      <c r="N772" s="27" t="s">
        <v>7</v>
      </c>
      <c r="AB772" s="27" t="s">
        <v>7</v>
      </c>
      <c r="AC772" s="27" t="s">
        <v>8</v>
      </c>
      <c r="AD772" s="27" t="s">
        <v>7</v>
      </c>
      <c r="AM772" s="27" t="s">
        <v>8</v>
      </c>
      <c r="AN772" s="27" t="s">
        <v>7</v>
      </c>
      <c r="AO772" s="27" t="s">
        <v>8</v>
      </c>
      <c r="AP772" s="27" t="s">
        <v>7</v>
      </c>
      <c r="AQ772" s="27" t="s">
        <v>8</v>
      </c>
      <c r="AS772" s="27" t="s">
        <v>8</v>
      </c>
      <c r="AT772" s="27" t="s">
        <v>7</v>
      </c>
      <c r="AU772" s="27" t="s">
        <v>8</v>
      </c>
      <c r="AV772" s="27" t="s">
        <v>7</v>
      </c>
      <c r="AW772" s="27" t="s">
        <v>8</v>
      </c>
      <c r="AX772" s="27" t="s">
        <v>7</v>
      </c>
      <c r="AY772" s="27" t="s">
        <v>8</v>
      </c>
      <c r="AZ772" s="27" t="s">
        <v>7</v>
      </c>
      <c r="BQ772" s="27" t="s">
        <v>8</v>
      </c>
      <c r="BR772" s="27" t="s">
        <v>7</v>
      </c>
      <c r="CI772" s="27" t="s">
        <v>8</v>
      </c>
      <c r="CJ772" s="27" t="s">
        <v>7</v>
      </c>
      <c r="CK772" s="27" t="s">
        <v>8</v>
      </c>
      <c r="CL772" s="27" t="s">
        <v>7</v>
      </c>
      <c r="CM772" s="27" t="s">
        <v>8</v>
      </c>
      <c r="CR772" s="27" t="s">
        <v>7</v>
      </c>
      <c r="CS772" s="27" t="s">
        <v>8</v>
      </c>
      <c r="CT772" s="27" t="s">
        <v>7</v>
      </c>
      <c r="CU772" s="27" t="s">
        <v>8</v>
      </c>
      <c r="CV772" s="27" t="s">
        <v>7</v>
      </c>
      <c r="CW772" s="27" t="s">
        <v>8</v>
      </c>
      <c r="CX772" s="27" t="s">
        <v>7</v>
      </c>
      <c r="CZ772" s="27" t="s">
        <v>7</v>
      </c>
      <c r="DA772" s="27" t="s">
        <v>8</v>
      </c>
      <c r="DB772" s="27" t="s">
        <v>7</v>
      </c>
      <c r="DC772" s="27" t="s">
        <v>8</v>
      </c>
      <c r="KJ772" s="27" t="s">
        <v>7</v>
      </c>
    </row>
    <row r="773" spans="1:300" x14ac:dyDescent="0.25">
      <c r="A773" s="7">
        <v>2.5140160864602207E-2</v>
      </c>
      <c r="B773"/>
      <c r="C773"/>
      <c r="D773"/>
      <c r="E773"/>
      <c r="F773" s="27" t="s">
        <v>7</v>
      </c>
      <c r="G773" s="27" t="s">
        <v>8</v>
      </c>
      <c r="H773" s="27" t="s">
        <v>7</v>
      </c>
      <c r="I773" s="27" t="s">
        <v>8</v>
      </c>
      <c r="J773" s="27" t="s">
        <v>7</v>
      </c>
      <c r="K773" s="27" t="s">
        <v>8</v>
      </c>
      <c r="L773" s="27" t="s">
        <v>7</v>
      </c>
      <c r="M773" s="27" t="s">
        <v>8</v>
      </c>
      <c r="AB773" s="27" t="s">
        <v>7</v>
      </c>
      <c r="AC773" s="27" t="s">
        <v>8</v>
      </c>
      <c r="AD773" s="27" t="s">
        <v>7</v>
      </c>
      <c r="AM773" s="27" t="s">
        <v>8</v>
      </c>
      <c r="AN773" s="27" t="s">
        <v>7</v>
      </c>
      <c r="AO773" s="27" t="s">
        <v>8</v>
      </c>
      <c r="AP773" s="27" t="s">
        <v>7</v>
      </c>
      <c r="AQ773" s="27" t="s">
        <v>8</v>
      </c>
      <c r="AR773" s="27" t="s">
        <v>7</v>
      </c>
      <c r="AS773" s="27" t="s">
        <v>8</v>
      </c>
      <c r="AT773" s="27" t="s">
        <v>7</v>
      </c>
      <c r="AU773" s="27" t="s">
        <v>8</v>
      </c>
      <c r="AV773" s="27" t="s">
        <v>7</v>
      </c>
      <c r="AX773" s="27" t="s">
        <v>7</v>
      </c>
      <c r="AY773" s="27" t="s">
        <v>8</v>
      </c>
      <c r="AZ773" s="27" t="s">
        <v>7</v>
      </c>
      <c r="BQ773" s="27" t="s">
        <v>8</v>
      </c>
      <c r="BR773" s="27" t="s">
        <v>7</v>
      </c>
      <c r="CI773" s="27" t="s">
        <v>8</v>
      </c>
      <c r="CJ773" s="27" t="s">
        <v>7</v>
      </c>
      <c r="CK773" s="27" t="s">
        <v>8</v>
      </c>
      <c r="CL773" s="27" t="s">
        <v>7</v>
      </c>
      <c r="CM773" s="27" t="s">
        <v>8</v>
      </c>
      <c r="CR773" s="27" t="s">
        <v>7</v>
      </c>
      <c r="CS773" s="27" t="s">
        <v>8</v>
      </c>
      <c r="CT773" s="27" t="s">
        <v>7</v>
      </c>
      <c r="CU773" s="27" t="s">
        <v>8</v>
      </c>
      <c r="CV773" s="27" t="s">
        <v>7</v>
      </c>
      <c r="CZ773" s="27" t="s">
        <v>7</v>
      </c>
      <c r="DA773" s="27" t="s">
        <v>8</v>
      </c>
      <c r="DB773" s="27" t="s">
        <v>7</v>
      </c>
      <c r="DC773" s="27" t="s">
        <v>8</v>
      </c>
      <c r="KJ773" s="27" t="s">
        <v>7</v>
      </c>
    </row>
    <row r="774" spans="1:300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H774" s="27" t="s">
        <v>7</v>
      </c>
      <c r="I774" s="27" t="s">
        <v>8</v>
      </c>
      <c r="J774" s="27" t="s">
        <v>7</v>
      </c>
      <c r="K774" s="27" t="s">
        <v>8</v>
      </c>
      <c r="L774" s="27" t="s">
        <v>7</v>
      </c>
      <c r="AB774" s="27" t="s">
        <v>7</v>
      </c>
      <c r="AC774" s="27" t="s">
        <v>8</v>
      </c>
      <c r="AD774" s="27" t="s">
        <v>7</v>
      </c>
      <c r="AM774" s="27" t="s">
        <v>8</v>
      </c>
      <c r="AN774" s="27" t="s">
        <v>7</v>
      </c>
      <c r="AO774" s="27" t="s">
        <v>8</v>
      </c>
      <c r="AP774" s="27" t="s">
        <v>7</v>
      </c>
      <c r="AQ774" s="27" t="s">
        <v>8</v>
      </c>
      <c r="AR774" s="27" t="s">
        <v>7</v>
      </c>
      <c r="AS774" s="27" t="s">
        <v>8</v>
      </c>
      <c r="AT774" s="27" t="s">
        <v>7</v>
      </c>
      <c r="AU774" s="27" t="s">
        <v>8</v>
      </c>
      <c r="AX774" s="27" t="s">
        <v>7</v>
      </c>
      <c r="AY774" s="27" t="s">
        <v>8</v>
      </c>
      <c r="AZ774" s="27" t="s">
        <v>7</v>
      </c>
      <c r="BQ774" s="27" t="s">
        <v>8</v>
      </c>
      <c r="BR774" s="27" t="s">
        <v>7</v>
      </c>
      <c r="BU774" s="27" t="s">
        <v>8</v>
      </c>
      <c r="CI774" s="27" t="s">
        <v>8</v>
      </c>
      <c r="CJ774" s="27" t="s">
        <v>7</v>
      </c>
      <c r="CK774" s="27" t="s">
        <v>8</v>
      </c>
      <c r="CL774" s="27" t="s">
        <v>7</v>
      </c>
      <c r="CM774" s="27" t="s">
        <v>8</v>
      </c>
      <c r="CR774" s="27" t="s">
        <v>7</v>
      </c>
      <c r="CS774" s="27" t="s">
        <v>8</v>
      </c>
      <c r="CT774" s="27" t="s">
        <v>7</v>
      </c>
      <c r="CZ774" s="27" t="s">
        <v>7</v>
      </c>
      <c r="DA774" s="27" t="s">
        <v>8</v>
      </c>
      <c r="DB774" s="27" t="s">
        <v>7</v>
      </c>
      <c r="DC774" s="27" t="s">
        <v>8</v>
      </c>
      <c r="KJ774" s="27" t="s">
        <v>7</v>
      </c>
    </row>
    <row r="775" spans="1:300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H775" s="27" t="s">
        <v>7</v>
      </c>
      <c r="I775" s="27" t="s">
        <v>8</v>
      </c>
      <c r="J775" s="27" t="s">
        <v>7</v>
      </c>
      <c r="K775" s="27" t="s">
        <v>8</v>
      </c>
      <c r="AB775" s="27" t="s">
        <v>7</v>
      </c>
      <c r="AC775" s="27" t="s">
        <v>8</v>
      </c>
      <c r="AD775" s="27" t="s">
        <v>7</v>
      </c>
      <c r="AM775" s="27" t="s">
        <v>8</v>
      </c>
      <c r="AN775" s="27" t="s">
        <v>7</v>
      </c>
      <c r="AO775" s="27" t="s">
        <v>8</v>
      </c>
      <c r="AP775" s="27" t="s">
        <v>7</v>
      </c>
      <c r="AQ775" s="27" t="s">
        <v>8</v>
      </c>
      <c r="AR775" s="27" t="s">
        <v>7</v>
      </c>
      <c r="AS775" s="27" t="s">
        <v>8</v>
      </c>
      <c r="AT775" s="27" t="s">
        <v>7</v>
      </c>
      <c r="AX775" s="27" t="s">
        <v>7</v>
      </c>
      <c r="AY775" s="27" t="s">
        <v>8</v>
      </c>
      <c r="AZ775" s="27" t="s">
        <v>7</v>
      </c>
      <c r="BQ775" s="27" t="s">
        <v>8</v>
      </c>
      <c r="BR775" s="27" t="s">
        <v>7</v>
      </c>
      <c r="BU775" s="27" t="s">
        <v>8</v>
      </c>
      <c r="BV775" s="27" t="s">
        <v>7</v>
      </c>
      <c r="CI775" s="27" t="s">
        <v>8</v>
      </c>
      <c r="CJ775" s="27" t="s">
        <v>7</v>
      </c>
      <c r="CL775" s="27" t="s">
        <v>7</v>
      </c>
      <c r="CR775" s="27" t="s">
        <v>7</v>
      </c>
      <c r="CS775" s="27" t="s">
        <v>8</v>
      </c>
      <c r="CZ775" s="27" t="s">
        <v>7</v>
      </c>
      <c r="DA775" s="27" t="s">
        <v>8</v>
      </c>
      <c r="DB775" s="27" t="s">
        <v>7</v>
      </c>
      <c r="DC775" s="27" t="s">
        <v>8</v>
      </c>
      <c r="KJ775" s="27" t="s">
        <v>7</v>
      </c>
    </row>
    <row r="776" spans="1:300" x14ac:dyDescent="0.25">
      <c r="A776" s="7">
        <v>2.3690135076820197E-2</v>
      </c>
      <c r="B776"/>
      <c r="C776"/>
      <c r="D776"/>
      <c r="E776"/>
      <c r="F776" s="27" t="s">
        <v>7</v>
      </c>
      <c r="G776" s="27" t="s">
        <v>8</v>
      </c>
      <c r="H776" s="27" t="s">
        <v>7</v>
      </c>
      <c r="J776" s="27" t="s">
        <v>7</v>
      </c>
      <c r="K776" s="27" t="s">
        <v>8</v>
      </c>
      <c r="AB776" s="27" t="s">
        <v>7</v>
      </c>
      <c r="AC776" s="27" t="s">
        <v>8</v>
      </c>
      <c r="AD776" s="27" t="s">
        <v>7</v>
      </c>
      <c r="AM776" s="27" t="s">
        <v>8</v>
      </c>
      <c r="AN776" s="27" t="s">
        <v>7</v>
      </c>
      <c r="AO776" s="27" t="s">
        <v>8</v>
      </c>
      <c r="AP776" s="27" t="s">
        <v>7</v>
      </c>
      <c r="AQ776" s="27" t="s">
        <v>8</v>
      </c>
      <c r="AR776" s="27" t="s">
        <v>7</v>
      </c>
      <c r="AX776" s="27" t="s">
        <v>7</v>
      </c>
      <c r="AY776" s="27" t="s">
        <v>8</v>
      </c>
      <c r="AZ776" s="27" t="s">
        <v>7</v>
      </c>
      <c r="BA776" s="27" t="s">
        <v>8</v>
      </c>
      <c r="BO776" s="27" t="s">
        <v>8</v>
      </c>
      <c r="BQ776" s="27" t="s">
        <v>8</v>
      </c>
      <c r="BR776" s="27" t="s">
        <v>7</v>
      </c>
      <c r="BS776" s="27" t="s">
        <v>8</v>
      </c>
      <c r="BU776" s="27" t="s">
        <v>8</v>
      </c>
      <c r="BV776" s="27" t="s">
        <v>7</v>
      </c>
      <c r="BW776" s="27" t="s">
        <v>8</v>
      </c>
      <c r="CE776" s="27" t="s">
        <v>8</v>
      </c>
      <c r="CI776" s="27" t="s">
        <v>8</v>
      </c>
      <c r="CR776" s="27" t="s">
        <v>7</v>
      </c>
      <c r="CS776" s="27" t="s">
        <v>8</v>
      </c>
      <c r="CZ776" s="27" t="s">
        <v>7</v>
      </c>
      <c r="DA776" s="27" t="s">
        <v>8</v>
      </c>
      <c r="DB776" s="27" t="s">
        <v>7</v>
      </c>
      <c r="DC776" s="27" t="s">
        <v>8</v>
      </c>
      <c r="KJ776" s="27" t="s">
        <v>7</v>
      </c>
      <c r="KM776" s="27" t="s">
        <v>8</v>
      </c>
    </row>
    <row r="777" spans="1:300" x14ac:dyDescent="0.25">
      <c r="A777" s="7">
        <v>2.3225622624333527E-2</v>
      </c>
      <c r="B777"/>
      <c r="C777"/>
      <c r="D777"/>
      <c r="E777"/>
      <c r="F777" s="27" t="s">
        <v>7</v>
      </c>
      <c r="G777" s="27" t="s">
        <v>8</v>
      </c>
      <c r="J777" s="27" t="s">
        <v>7</v>
      </c>
      <c r="K777" s="27" t="s">
        <v>8</v>
      </c>
      <c r="AB777" s="27" t="s">
        <v>7</v>
      </c>
      <c r="AC777" s="27" t="s">
        <v>8</v>
      </c>
      <c r="AD777" s="27" t="s">
        <v>7</v>
      </c>
      <c r="AI777" s="27" t="s">
        <v>8</v>
      </c>
      <c r="AM777" s="27" t="s">
        <v>8</v>
      </c>
      <c r="AN777" s="27" t="s">
        <v>7</v>
      </c>
      <c r="AP777" s="27" t="s">
        <v>7</v>
      </c>
      <c r="AX777" s="27" t="s">
        <v>7</v>
      </c>
      <c r="AZ777" s="27" t="s">
        <v>7</v>
      </c>
      <c r="BA777" s="27" t="s">
        <v>8</v>
      </c>
      <c r="BB777" s="27" t="s">
        <v>7</v>
      </c>
      <c r="BO777" s="27" t="s">
        <v>8</v>
      </c>
      <c r="BP777" s="27" t="s">
        <v>7</v>
      </c>
      <c r="BQ777" s="27" t="s">
        <v>8</v>
      </c>
      <c r="BR777" s="27" t="s">
        <v>7</v>
      </c>
      <c r="BS777" s="27" t="s">
        <v>8</v>
      </c>
      <c r="BT777" s="27" t="s">
        <v>7</v>
      </c>
      <c r="BU777" s="27" t="s">
        <v>8</v>
      </c>
      <c r="BV777" s="27" t="s">
        <v>7</v>
      </c>
      <c r="BW777" s="27" t="s">
        <v>8</v>
      </c>
      <c r="BX777" s="27" t="s">
        <v>7</v>
      </c>
      <c r="CC777" s="27" t="s">
        <v>8</v>
      </c>
      <c r="CE777" s="27" t="s">
        <v>8</v>
      </c>
      <c r="CF777" s="27" t="s">
        <v>7</v>
      </c>
      <c r="CI777" s="27" t="s">
        <v>8</v>
      </c>
      <c r="CR777" s="27" t="s">
        <v>7</v>
      </c>
      <c r="CS777" s="27" t="s">
        <v>8</v>
      </c>
      <c r="CZ777" s="27" t="s">
        <v>7</v>
      </c>
      <c r="DA777" s="27" t="s">
        <v>8</v>
      </c>
      <c r="DB777" s="27" t="s">
        <v>7</v>
      </c>
      <c r="DC777" s="27" t="s">
        <v>8</v>
      </c>
      <c r="KJ777" s="27" t="s">
        <v>7</v>
      </c>
      <c r="KM777" s="27" t="s">
        <v>8</v>
      </c>
      <c r="KN777" s="27" t="s">
        <v>7</v>
      </c>
    </row>
    <row r="778" spans="1:300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J778" s="27" t="s">
        <v>7</v>
      </c>
      <c r="K778" s="27" t="s">
        <v>8</v>
      </c>
      <c r="AB778" s="27" t="s">
        <v>7</v>
      </c>
      <c r="AC778" s="27" t="s">
        <v>8</v>
      </c>
      <c r="AD778" s="27" t="s">
        <v>7</v>
      </c>
      <c r="AE778" s="27" t="s">
        <v>8</v>
      </c>
      <c r="AG778" s="27" t="s">
        <v>8</v>
      </c>
      <c r="AI778" s="27" t="s">
        <v>8</v>
      </c>
      <c r="AJ778" s="27" t="s">
        <v>7</v>
      </c>
      <c r="AM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M778" s="27" t="s">
        <v>8</v>
      </c>
      <c r="BO778" s="27" t="s">
        <v>8</v>
      </c>
      <c r="BP778" s="27" t="s">
        <v>7</v>
      </c>
      <c r="BQ778" s="27" t="s">
        <v>8</v>
      </c>
      <c r="BR778" s="27" t="s">
        <v>7</v>
      </c>
      <c r="BS778" s="27" t="s">
        <v>8</v>
      </c>
      <c r="BT778" s="27" t="s">
        <v>7</v>
      </c>
      <c r="BU778" s="27" t="s">
        <v>8</v>
      </c>
      <c r="BV778" s="27" t="s">
        <v>7</v>
      </c>
      <c r="BW778" s="27" t="s">
        <v>8</v>
      </c>
      <c r="BX778" s="27" t="s">
        <v>7</v>
      </c>
      <c r="BY778" s="27" t="s">
        <v>8</v>
      </c>
      <c r="CC778" s="27" t="s">
        <v>8</v>
      </c>
      <c r="CD778" s="27" t="s">
        <v>7</v>
      </c>
      <c r="CE778" s="27" t="s">
        <v>8</v>
      </c>
      <c r="CF778" s="27" t="s">
        <v>7</v>
      </c>
      <c r="CI778" s="27" t="s">
        <v>8</v>
      </c>
      <c r="CR778" s="27" t="s">
        <v>7</v>
      </c>
      <c r="CS778" s="27" t="s">
        <v>8</v>
      </c>
      <c r="CZ778" s="27" t="s">
        <v>7</v>
      </c>
      <c r="DA778" s="27" t="s">
        <v>8</v>
      </c>
      <c r="DB778" s="27" t="s">
        <v>7</v>
      </c>
      <c r="DC778" s="27" t="s">
        <v>8</v>
      </c>
      <c r="KJ778" s="27" t="s">
        <v>7</v>
      </c>
      <c r="KM778" s="27" t="s">
        <v>8</v>
      </c>
      <c r="KN778" s="27" t="s">
        <v>7</v>
      </c>
    </row>
    <row r="779" spans="1:300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J779" s="27" t="s">
        <v>7</v>
      </c>
      <c r="K779" s="27" t="s">
        <v>8</v>
      </c>
      <c r="AB779" s="27" t="s">
        <v>7</v>
      </c>
      <c r="AC779" s="27" t="s">
        <v>8</v>
      </c>
      <c r="AD779" s="27" t="s">
        <v>7</v>
      </c>
      <c r="AE779" s="27" t="s">
        <v>8</v>
      </c>
      <c r="AF779" s="27" t="s">
        <v>7</v>
      </c>
      <c r="AG779" s="27" t="s">
        <v>8</v>
      </c>
      <c r="AH779" s="27" t="s">
        <v>7</v>
      </c>
      <c r="AI779" s="27" t="s">
        <v>8</v>
      </c>
      <c r="AJ779" s="27" t="s">
        <v>7</v>
      </c>
      <c r="AK779" s="27" t="s">
        <v>8</v>
      </c>
      <c r="AM779" s="27" t="s">
        <v>8</v>
      </c>
      <c r="AZ779" s="27" t="s">
        <v>7</v>
      </c>
      <c r="BA779" s="27" t="s">
        <v>8</v>
      </c>
      <c r="BB779" s="27" t="s">
        <v>7</v>
      </c>
      <c r="BC779" s="27" t="s">
        <v>8</v>
      </c>
      <c r="BD779" s="27" t="s">
        <v>7</v>
      </c>
      <c r="BM779" s="27" t="s">
        <v>8</v>
      </c>
      <c r="BN779" s="27" t="s">
        <v>7</v>
      </c>
      <c r="BO779" s="27" t="s">
        <v>8</v>
      </c>
      <c r="BP779" s="27" t="s">
        <v>7</v>
      </c>
      <c r="BQ779" s="27" t="s">
        <v>8</v>
      </c>
      <c r="BR779" s="27" t="s">
        <v>7</v>
      </c>
      <c r="BS779" s="27" t="s">
        <v>8</v>
      </c>
      <c r="BT779" s="27" t="s">
        <v>7</v>
      </c>
      <c r="BU779" s="27" t="s">
        <v>8</v>
      </c>
      <c r="BV779" s="27" t="s">
        <v>7</v>
      </c>
      <c r="BX779" s="27" t="s">
        <v>7</v>
      </c>
      <c r="BY779" s="27" t="s">
        <v>8</v>
      </c>
      <c r="BZ779" s="27" t="s">
        <v>7</v>
      </c>
      <c r="CC779" s="27" t="s">
        <v>8</v>
      </c>
      <c r="CD779" s="27" t="s">
        <v>7</v>
      </c>
      <c r="CE779" s="27" t="s">
        <v>8</v>
      </c>
      <c r="CF779" s="27" t="s">
        <v>7</v>
      </c>
      <c r="CG779" s="27" t="s">
        <v>8</v>
      </c>
      <c r="CI779" s="27" t="s">
        <v>8</v>
      </c>
      <c r="CR779" s="27" t="s">
        <v>7</v>
      </c>
      <c r="CS779" s="27" t="s">
        <v>8</v>
      </c>
      <c r="CZ779" s="27" t="s">
        <v>7</v>
      </c>
      <c r="DB779" s="27" t="s">
        <v>7</v>
      </c>
      <c r="DC779" s="27" t="s">
        <v>8</v>
      </c>
      <c r="KJ779" s="27" t="s">
        <v>7</v>
      </c>
      <c r="KM779" s="27" t="s">
        <v>8</v>
      </c>
      <c r="KN779" s="27" t="s">
        <v>7</v>
      </c>
    </row>
    <row r="780" spans="1:300" x14ac:dyDescent="0.25">
      <c r="A780" s="7">
        <v>2.188602293267063E-2</v>
      </c>
      <c r="B780"/>
      <c r="C780"/>
      <c r="D780"/>
      <c r="E780"/>
      <c r="F780" s="27" t="s">
        <v>7</v>
      </c>
      <c r="G780" s="27" t="s">
        <v>8</v>
      </c>
      <c r="J780" s="27" t="s">
        <v>7</v>
      </c>
      <c r="AB780" s="27" t="s">
        <v>7</v>
      </c>
      <c r="AC780" s="27" t="s">
        <v>8</v>
      </c>
      <c r="AD780" s="27" t="s">
        <v>7</v>
      </c>
      <c r="AE780" s="27" t="s">
        <v>8</v>
      </c>
      <c r="AF780" s="27" t="s">
        <v>7</v>
      </c>
      <c r="AG780" s="27" t="s">
        <v>8</v>
      </c>
      <c r="AH780" s="27" t="s">
        <v>7</v>
      </c>
      <c r="AI780" s="27" t="s">
        <v>8</v>
      </c>
      <c r="AJ780" s="27" t="s">
        <v>7</v>
      </c>
      <c r="AK780" s="27" t="s">
        <v>8</v>
      </c>
      <c r="AL780" s="27" t="s">
        <v>7</v>
      </c>
      <c r="AM780" s="27" t="s">
        <v>8</v>
      </c>
      <c r="AZ780" s="27" t="s">
        <v>7</v>
      </c>
      <c r="BA780" s="27" t="s">
        <v>8</v>
      </c>
      <c r="BB780" s="27" t="s">
        <v>7</v>
      </c>
      <c r="BC780" s="27" t="s">
        <v>8</v>
      </c>
      <c r="BD780" s="27" t="s">
        <v>7</v>
      </c>
      <c r="BI780" s="27" t="s">
        <v>8</v>
      </c>
      <c r="BK780" s="27" t="s">
        <v>8</v>
      </c>
      <c r="BM780" s="27" t="s">
        <v>8</v>
      </c>
      <c r="BN780" s="27" t="s">
        <v>7</v>
      </c>
      <c r="BO780" s="27" t="s">
        <v>8</v>
      </c>
      <c r="BP780" s="27" t="s">
        <v>7</v>
      </c>
      <c r="BQ780" s="27" t="s">
        <v>8</v>
      </c>
      <c r="BR780" s="27" t="s">
        <v>7</v>
      </c>
      <c r="BS780" s="27" t="s">
        <v>8</v>
      </c>
      <c r="BT780" s="27" t="s">
        <v>7</v>
      </c>
      <c r="BU780" s="27" t="s">
        <v>8</v>
      </c>
      <c r="BX780" s="27" t="s">
        <v>7</v>
      </c>
      <c r="BY780" s="27" t="s">
        <v>8</v>
      </c>
      <c r="BZ780" s="27" t="s">
        <v>7</v>
      </c>
      <c r="CC780" s="27" t="s">
        <v>8</v>
      </c>
      <c r="CD780" s="27" t="s">
        <v>7</v>
      </c>
      <c r="CE780" s="27" t="s">
        <v>8</v>
      </c>
      <c r="CF780" s="27" t="s">
        <v>7</v>
      </c>
      <c r="CG780" s="27" t="s">
        <v>8</v>
      </c>
      <c r="CH780" s="27" t="s">
        <v>7</v>
      </c>
      <c r="CI780" s="27" t="s">
        <v>8</v>
      </c>
      <c r="CR780" s="27" t="s">
        <v>7</v>
      </c>
      <c r="CS780" s="27" t="s">
        <v>8</v>
      </c>
      <c r="DB780" s="27" t="s">
        <v>7</v>
      </c>
      <c r="KJ780" s="27" t="s">
        <v>7</v>
      </c>
      <c r="KM780" s="27" t="s">
        <v>8</v>
      </c>
      <c r="KN780" s="27" t="s">
        <v>7</v>
      </c>
    </row>
    <row r="781" spans="1:300" x14ac:dyDescent="0.25">
      <c r="A781" s="7">
        <v>2.1456885228108461E-2</v>
      </c>
      <c r="B781"/>
      <c r="C781"/>
      <c r="D781"/>
      <c r="E781"/>
      <c r="F781" s="27" t="s">
        <v>7</v>
      </c>
      <c r="G781" s="27" t="s">
        <v>8</v>
      </c>
      <c r="AB781" s="27" t="s">
        <v>7</v>
      </c>
      <c r="AC781" s="27" t="s">
        <v>8</v>
      </c>
      <c r="AD781" s="27" t="s">
        <v>7</v>
      </c>
      <c r="AE781" s="27" t="s">
        <v>8</v>
      </c>
      <c r="AF781" s="27" t="s">
        <v>7</v>
      </c>
      <c r="AG781" s="27" t="s">
        <v>8</v>
      </c>
      <c r="AH781" s="27" t="s">
        <v>7</v>
      </c>
      <c r="AI781" s="27" t="s">
        <v>8</v>
      </c>
      <c r="AJ781" s="27" t="s">
        <v>7</v>
      </c>
      <c r="AK781" s="27" t="s">
        <v>8</v>
      </c>
      <c r="AL781" s="27" t="s">
        <v>7</v>
      </c>
      <c r="AM781" s="27" t="s">
        <v>8</v>
      </c>
      <c r="AZ781" s="27" t="s">
        <v>7</v>
      </c>
      <c r="BA781" s="27" t="s">
        <v>8</v>
      </c>
      <c r="BB781" s="27" t="s">
        <v>7</v>
      </c>
      <c r="BC781" s="27" t="s">
        <v>8</v>
      </c>
      <c r="BD781" s="27" t="s">
        <v>7</v>
      </c>
      <c r="BI781" s="27" t="s">
        <v>8</v>
      </c>
      <c r="BJ781" s="27" t="s">
        <v>7</v>
      </c>
      <c r="BK781" s="27" t="s">
        <v>8</v>
      </c>
      <c r="BL781" s="27" t="s">
        <v>7</v>
      </c>
      <c r="BM781" s="27" t="s">
        <v>8</v>
      </c>
      <c r="BN781" s="27" t="s">
        <v>7</v>
      </c>
      <c r="BO781" s="27" t="s">
        <v>8</v>
      </c>
      <c r="BP781" s="27" t="s">
        <v>7</v>
      </c>
      <c r="BQ781" s="27" t="s">
        <v>8</v>
      </c>
      <c r="BR781" s="27" t="s">
        <v>7</v>
      </c>
      <c r="BS781" s="27" t="s">
        <v>8</v>
      </c>
      <c r="BT781" s="27" t="s">
        <v>7</v>
      </c>
      <c r="BU781" s="27" t="s">
        <v>8</v>
      </c>
      <c r="BX781" s="27" t="s">
        <v>7</v>
      </c>
      <c r="BZ781" s="27" t="s">
        <v>7</v>
      </c>
      <c r="CC781" s="27" t="s">
        <v>8</v>
      </c>
      <c r="CD781" s="27" t="s">
        <v>7</v>
      </c>
      <c r="CE781" s="27" t="s">
        <v>8</v>
      </c>
      <c r="CF781" s="27" t="s">
        <v>7</v>
      </c>
      <c r="CG781" s="27" t="s">
        <v>8</v>
      </c>
      <c r="CH781" s="27" t="s">
        <v>7</v>
      </c>
      <c r="CI781" s="27" t="s">
        <v>8</v>
      </c>
      <c r="CR781" s="27" t="s">
        <v>7</v>
      </c>
      <c r="KJ781" s="27" t="s">
        <v>7</v>
      </c>
      <c r="KK781" s="27" t="s">
        <v>8</v>
      </c>
      <c r="KM781" s="27" t="s">
        <v>8</v>
      </c>
    </row>
    <row r="782" spans="1:300" x14ac:dyDescent="0.25">
      <c r="A782" s="7">
        <v>2.1036161988341632E-2</v>
      </c>
      <c r="B782"/>
      <c r="C782"/>
      <c r="D782"/>
      <c r="E782"/>
      <c r="F782" s="27" t="s">
        <v>7</v>
      </c>
      <c r="G782" s="27" t="s">
        <v>8</v>
      </c>
      <c r="AB782" s="27" t="s">
        <v>7</v>
      </c>
      <c r="AD782" s="27" t="s">
        <v>7</v>
      </c>
      <c r="AE782" s="27" t="s">
        <v>8</v>
      </c>
      <c r="AF782" s="27" t="s">
        <v>7</v>
      </c>
      <c r="AG782" s="27" t="s">
        <v>8</v>
      </c>
      <c r="AH782" s="27" t="s">
        <v>7</v>
      </c>
      <c r="AJ782" s="27" t="s">
        <v>7</v>
      </c>
      <c r="AL782" s="27" t="s">
        <v>7</v>
      </c>
      <c r="AZ782" s="27" t="s">
        <v>7</v>
      </c>
      <c r="BB782" s="27" t="s">
        <v>7</v>
      </c>
      <c r="BC782" s="27" t="s">
        <v>8</v>
      </c>
      <c r="BD782" s="27" t="s">
        <v>7</v>
      </c>
      <c r="BI782" s="27" t="s">
        <v>8</v>
      </c>
      <c r="BJ782" s="27" t="s">
        <v>7</v>
      </c>
      <c r="BK782" s="27" t="s">
        <v>8</v>
      </c>
      <c r="BL782" s="27" t="s">
        <v>7</v>
      </c>
      <c r="BM782" s="27" t="s">
        <v>8</v>
      </c>
      <c r="BN782" s="27" t="s">
        <v>7</v>
      </c>
      <c r="BO782" s="27" t="s">
        <v>8</v>
      </c>
      <c r="BP782" s="27" t="s">
        <v>7</v>
      </c>
      <c r="BR782" s="27" t="s">
        <v>7</v>
      </c>
      <c r="BS782" s="27" t="s">
        <v>8</v>
      </c>
      <c r="BT782" s="27" t="s">
        <v>7</v>
      </c>
      <c r="BZ782" s="27" t="s">
        <v>7</v>
      </c>
      <c r="CC782" s="27" t="s">
        <v>8</v>
      </c>
      <c r="CD782" s="27" t="s">
        <v>7</v>
      </c>
      <c r="CF782" s="27" t="s">
        <v>7</v>
      </c>
      <c r="CG782" s="27" t="s">
        <v>8</v>
      </c>
      <c r="CH782" s="27" t="s">
        <v>7</v>
      </c>
      <c r="CI782" s="27" t="s">
        <v>8</v>
      </c>
      <c r="KJ782" s="27" t="s">
        <v>7</v>
      </c>
      <c r="KK782" s="27" t="s">
        <v>8</v>
      </c>
      <c r="KL782" s="27" t="s">
        <v>7</v>
      </c>
      <c r="KM782" s="27" t="s">
        <v>8</v>
      </c>
    </row>
    <row r="783" spans="1:300" x14ac:dyDescent="0.25">
      <c r="A783" s="7">
        <v>2.0623688223864345E-2</v>
      </c>
      <c r="B783"/>
      <c r="C783"/>
      <c r="D783"/>
      <c r="E783"/>
      <c r="F783" s="27" t="s">
        <v>7</v>
      </c>
      <c r="AD783" s="27" t="s">
        <v>7</v>
      </c>
      <c r="AF783" s="27" t="s">
        <v>7</v>
      </c>
      <c r="AG783" s="27" t="s">
        <v>8</v>
      </c>
      <c r="BB783" s="27" t="s">
        <v>7</v>
      </c>
      <c r="BC783" s="27" t="s">
        <v>8</v>
      </c>
      <c r="BD783" s="27" t="s">
        <v>7</v>
      </c>
      <c r="BE783" s="27" t="s">
        <v>8</v>
      </c>
      <c r="BI783" s="27" t="s">
        <v>8</v>
      </c>
      <c r="BJ783" s="27" t="s">
        <v>7</v>
      </c>
      <c r="BK783" s="27" t="s">
        <v>8</v>
      </c>
      <c r="BL783" s="27" t="s">
        <v>7</v>
      </c>
      <c r="BM783" s="27" t="s">
        <v>8</v>
      </c>
      <c r="BN783" s="27" t="s">
        <v>7</v>
      </c>
      <c r="BR783" s="27" t="s">
        <v>7</v>
      </c>
      <c r="BZ783" s="27" t="s">
        <v>7</v>
      </c>
      <c r="CA783" s="27" t="s">
        <v>8</v>
      </c>
      <c r="CC783" s="27" t="s">
        <v>8</v>
      </c>
      <c r="CF783" s="27" t="s">
        <v>7</v>
      </c>
      <c r="CH783" s="27" t="s">
        <v>7</v>
      </c>
      <c r="CI783" s="27" t="s">
        <v>8</v>
      </c>
      <c r="KJ783" s="27" t="s">
        <v>7</v>
      </c>
      <c r="KK783" s="27" t="s">
        <v>8</v>
      </c>
      <c r="KL783" s="27" t="s">
        <v>7</v>
      </c>
      <c r="KM783" s="27" t="s">
        <v>8</v>
      </c>
    </row>
    <row r="784" spans="1:300" x14ac:dyDescent="0.25">
      <c r="A784" s="7">
        <v>2.021930218025916E-2</v>
      </c>
      <c r="B784"/>
      <c r="C784"/>
      <c r="D784"/>
      <c r="E784"/>
      <c r="AF784" s="27" t="s">
        <v>7</v>
      </c>
      <c r="BB784" s="27" t="s">
        <v>7</v>
      </c>
      <c r="BC784" s="27" t="s">
        <v>8</v>
      </c>
      <c r="BD784" s="27" t="s">
        <v>7</v>
      </c>
      <c r="BE784" s="27" t="s">
        <v>8</v>
      </c>
      <c r="BF784" s="27" t="s">
        <v>7</v>
      </c>
      <c r="BG784" s="27" t="s">
        <v>8</v>
      </c>
      <c r="BI784" s="27" t="s">
        <v>8</v>
      </c>
      <c r="BJ784" s="27" t="s">
        <v>7</v>
      </c>
      <c r="BK784" s="27" t="s">
        <v>8</v>
      </c>
      <c r="BL784" s="27" t="s">
        <v>7</v>
      </c>
      <c r="BM784" s="27" t="s">
        <v>8</v>
      </c>
      <c r="BZ784" s="27" t="s">
        <v>7</v>
      </c>
      <c r="CA784" s="27" t="s">
        <v>8</v>
      </c>
      <c r="CB784" s="27" t="s">
        <v>7</v>
      </c>
      <c r="CC784" s="27" t="s">
        <v>8</v>
      </c>
      <c r="CH784" s="27" t="s">
        <v>7</v>
      </c>
      <c r="CI784" s="27" t="s">
        <v>8</v>
      </c>
      <c r="KJ784" s="27" t="s">
        <v>7</v>
      </c>
      <c r="KK784" s="27" t="s">
        <v>8</v>
      </c>
      <c r="KL784" s="27" t="s">
        <v>7</v>
      </c>
      <c r="KM784" s="27" t="s">
        <v>8</v>
      </c>
    </row>
    <row r="785" spans="1:299" x14ac:dyDescent="0.25">
      <c r="A785" s="7">
        <v>1.9822845274763884E-2</v>
      </c>
      <c r="B785"/>
      <c r="C785"/>
      <c r="D785"/>
      <c r="E785"/>
      <c r="BB785" s="27" t="s">
        <v>7</v>
      </c>
      <c r="BC785" s="27" t="s">
        <v>8</v>
      </c>
      <c r="BD785" s="27" t="s">
        <v>7</v>
      </c>
      <c r="BE785" s="27" t="s">
        <v>8</v>
      </c>
      <c r="BF785" s="27" t="s">
        <v>7</v>
      </c>
      <c r="BG785" s="27" t="s">
        <v>8</v>
      </c>
      <c r="BH785" s="27" t="s">
        <v>7</v>
      </c>
      <c r="BI785" s="27" t="s">
        <v>8</v>
      </c>
      <c r="BJ785" s="27" t="s">
        <v>7</v>
      </c>
      <c r="BK785" s="27" t="s">
        <v>8</v>
      </c>
      <c r="BL785" s="27" t="s">
        <v>7</v>
      </c>
      <c r="BM785" s="27" t="s">
        <v>8</v>
      </c>
      <c r="BZ785" s="27" t="s">
        <v>7</v>
      </c>
      <c r="CA785" s="27" t="s">
        <v>8</v>
      </c>
      <c r="CB785" s="27" t="s">
        <v>7</v>
      </c>
      <c r="CC785" s="27" t="s">
        <v>8</v>
      </c>
      <c r="CH785" s="27" t="s">
        <v>7</v>
      </c>
      <c r="CI785" s="27" t="s">
        <v>8</v>
      </c>
      <c r="KJ785" s="27" t="s">
        <v>7</v>
      </c>
      <c r="KK785" s="27" t="s">
        <v>8</v>
      </c>
      <c r="KL785" s="27" t="s">
        <v>7</v>
      </c>
      <c r="KM785" s="27" t="s">
        <v>8</v>
      </c>
    </row>
    <row r="786" spans="1:299" x14ac:dyDescent="0.25">
      <c r="A786" s="7">
        <v>1.9434162034082238E-2</v>
      </c>
      <c r="B786"/>
      <c r="C786"/>
      <c r="D786"/>
      <c r="E786"/>
      <c r="BB786" s="27" t="s">
        <v>7</v>
      </c>
      <c r="BC786" s="27" t="s">
        <v>8</v>
      </c>
      <c r="BD786" s="27" t="s">
        <v>7</v>
      </c>
      <c r="BE786" s="27" t="s">
        <v>8</v>
      </c>
      <c r="BF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L786" s="27" t="s">
        <v>7</v>
      </c>
      <c r="BM786" s="27" t="s">
        <v>8</v>
      </c>
      <c r="BZ786" s="27" t="s">
        <v>7</v>
      </c>
      <c r="CB786" s="27" t="s">
        <v>7</v>
      </c>
      <c r="CC786" s="27" t="s">
        <v>8</v>
      </c>
      <c r="CH786" s="27" t="s">
        <v>7</v>
      </c>
      <c r="CI786" s="27" t="s">
        <v>8</v>
      </c>
      <c r="KJ786" s="27" t="s">
        <v>7</v>
      </c>
      <c r="KK786" s="27" t="s">
        <v>8</v>
      </c>
      <c r="KL786" s="27" t="s">
        <v>7</v>
      </c>
      <c r="KM786" s="27" t="s">
        <v>8</v>
      </c>
    </row>
    <row r="787" spans="1:299" x14ac:dyDescent="0.25">
      <c r="A787" s="7">
        <v>1.9053100033413959E-2</v>
      </c>
      <c r="B787"/>
      <c r="C787"/>
      <c r="D787"/>
      <c r="E787"/>
      <c r="BB787" s="27" t="s">
        <v>7</v>
      </c>
      <c r="BC787" s="27" t="s">
        <v>8</v>
      </c>
      <c r="BD787" s="27" t="s">
        <v>7</v>
      </c>
      <c r="BF787" s="27" t="s">
        <v>7</v>
      </c>
      <c r="BG787" s="27" t="s">
        <v>8</v>
      </c>
      <c r="BH787" s="27" t="s">
        <v>7</v>
      </c>
      <c r="BL787" s="27" t="s">
        <v>7</v>
      </c>
      <c r="BM787" s="27" t="s">
        <v>8</v>
      </c>
      <c r="CB787" s="27" t="s">
        <v>7</v>
      </c>
      <c r="CH787" s="27" t="s">
        <v>7</v>
      </c>
      <c r="CI787" s="27" t="s">
        <v>8</v>
      </c>
      <c r="KJ787" s="27" t="s">
        <v>7</v>
      </c>
      <c r="KK787" s="27" t="s">
        <v>8</v>
      </c>
      <c r="KL787" s="27" t="s">
        <v>7</v>
      </c>
      <c r="KM787" s="27" t="s">
        <v>8</v>
      </c>
    </row>
    <row r="788" spans="1:299" x14ac:dyDescent="0.25">
      <c r="A788" s="7">
        <v>1.867950983668035E-2</v>
      </c>
      <c r="B788"/>
      <c r="C788"/>
      <c r="D788"/>
      <c r="E788"/>
      <c r="BB788" s="27" t="s">
        <v>7</v>
      </c>
      <c r="BF788" s="27" t="s">
        <v>7</v>
      </c>
      <c r="BG788" s="27" t="s">
        <v>8</v>
      </c>
      <c r="BL788" s="27" t="s">
        <v>7</v>
      </c>
      <c r="BM788" s="27" t="s">
        <v>8</v>
      </c>
      <c r="CH788" s="27" t="s">
        <v>7</v>
      </c>
      <c r="CI788" s="27" t="s">
        <v>8</v>
      </c>
      <c r="KJ788" s="27" t="s">
        <v>7</v>
      </c>
      <c r="KK788" s="27" t="s">
        <v>8</v>
      </c>
      <c r="KL788" s="27" t="s">
        <v>7</v>
      </c>
      <c r="KM788" s="27" t="s">
        <v>8</v>
      </c>
    </row>
    <row r="789" spans="1:299" x14ac:dyDescent="0.25">
      <c r="A789" s="7">
        <v>1.8313244937921913E-2</v>
      </c>
      <c r="B789"/>
      <c r="C789"/>
      <c r="D789"/>
      <c r="E789"/>
      <c r="BF789" s="27" t="s">
        <v>7</v>
      </c>
      <c r="BL789" s="27" t="s">
        <v>7</v>
      </c>
      <c r="CH789" s="27" t="s">
        <v>7</v>
      </c>
      <c r="CI789" s="27" t="s">
        <v>8</v>
      </c>
      <c r="KJ789" s="27" t="s">
        <v>7</v>
      </c>
      <c r="KK789" s="27" t="s">
        <v>8</v>
      </c>
      <c r="KL789" s="27" t="s">
        <v>7</v>
      </c>
    </row>
    <row r="790" spans="1:299" x14ac:dyDescent="0.25">
      <c r="A790" s="7">
        <v>1.7954161703845013E-2</v>
      </c>
      <c r="B790"/>
      <c r="C790"/>
      <c r="D790"/>
      <c r="E790"/>
      <c r="CH790" s="27" t="s">
        <v>7</v>
      </c>
      <c r="CI790" s="27" t="s">
        <v>8</v>
      </c>
      <c r="KJ790" s="27" t="s">
        <v>7</v>
      </c>
      <c r="KK790" s="27" t="s">
        <v>8</v>
      </c>
    </row>
    <row r="791" spans="1:299" x14ac:dyDescent="0.25">
      <c r="A791" s="7">
        <v>1.7602119317495109E-2</v>
      </c>
      <c r="B791"/>
      <c r="C791"/>
      <c r="D791"/>
      <c r="E791"/>
      <c r="CH791" s="27" t="s">
        <v>7</v>
      </c>
      <c r="CI791" s="27" t="s">
        <v>8</v>
      </c>
      <c r="KJ791" s="27" t="s">
        <v>7</v>
      </c>
    </row>
    <row r="792" spans="1:299" x14ac:dyDescent="0.25">
      <c r="A792" s="7">
        <v>1.7256979723034419E-2</v>
      </c>
      <c r="B792"/>
      <c r="C792"/>
      <c r="D792"/>
      <c r="E792"/>
      <c r="CH792" s="27" t="s">
        <v>7</v>
      </c>
    </row>
    <row r="793" spans="1:299" x14ac:dyDescent="0.25">
      <c r="A793" s="7">
        <v>1.6918607571602372E-2</v>
      </c>
      <c r="B793"/>
      <c r="C793"/>
      <c r="D793"/>
      <c r="E793"/>
    </row>
    <row r="794" spans="1:299" x14ac:dyDescent="0.25">
      <c r="A794" s="7">
        <v>1.6586870168237622E-2</v>
      </c>
      <c r="B794"/>
      <c r="C794"/>
      <c r="D794"/>
      <c r="E794"/>
    </row>
    <row r="795" spans="1:299" x14ac:dyDescent="0.25">
      <c r="A795" s="7">
        <v>1.6261637419840807E-2</v>
      </c>
      <c r="B795"/>
      <c r="C795"/>
      <c r="D795"/>
      <c r="E795"/>
    </row>
    <row r="796" spans="1:299" x14ac:dyDescent="0.25">
      <c r="A796" s="7">
        <v>1.5942781784157655E-2</v>
      </c>
      <c r="B796"/>
      <c r="C796"/>
      <c r="D796"/>
      <c r="E796"/>
    </row>
    <row r="797" spans="1:299" x14ac:dyDescent="0.25">
      <c r="A797" s="7">
        <v>1.5630178219762408E-2</v>
      </c>
      <c r="B797"/>
      <c r="C797"/>
      <c r="D797"/>
      <c r="E797"/>
    </row>
    <row r="798" spans="1:299" x14ac:dyDescent="0.25">
      <c r="A798" s="7">
        <v>1.5323704137021967E-2</v>
      </c>
      <c r="B798"/>
      <c r="C798"/>
      <c r="D798"/>
      <c r="E798"/>
    </row>
    <row r="799" spans="1:299" x14ac:dyDescent="0.25">
      <c r="A799" s="7">
        <v>1.5023239350021535E-2</v>
      </c>
      <c r="B799"/>
      <c r="C799"/>
      <c r="D799"/>
      <c r="E799"/>
    </row>
    <row r="800" spans="1:299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62" operator="equal">
      <formula>$U$1</formula>
    </cfRule>
    <cfRule type="cellIs" dxfId="89" priority="963" operator="equal">
      <formula>$S$1</formula>
    </cfRule>
  </conditionalFormatting>
  <conditionalFormatting sqref="D27">
    <cfRule type="cellIs" dxfId="88" priority="960" operator="equal">
      <formula>$S$1</formula>
    </cfRule>
    <cfRule type="cellIs" dxfId="87" priority="961" operator="equal">
      <formula>$U$1</formula>
    </cfRule>
  </conditionalFormatting>
  <conditionalFormatting sqref="C164">
    <cfRule type="cellIs" dxfId="86" priority="958" operator="equal">
      <formula>$U$1</formula>
    </cfRule>
    <cfRule type="cellIs" dxfId="85" priority="959" operator="equal">
      <formula>$S$1</formula>
    </cfRule>
  </conditionalFormatting>
  <conditionalFormatting sqref="D164">
    <cfRule type="cellIs" dxfId="84" priority="956" operator="equal">
      <formula>$S$1</formula>
    </cfRule>
    <cfRule type="cellIs" dxfId="83" priority="957" operator="equal">
      <formula>$U$1</formula>
    </cfRule>
  </conditionalFormatting>
  <conditionalFormatting sqref="C55">
    <cfRule type="cellIs" dxfId="82" priority="954" operator="equal">
      <formula>$U$1</formula>
    </cfRule>
    <cfRule type="cellIs" dxfId="81" priority="955" operator="equal">
      <formula>$S$1</formula>
    </cfRule>
  </conditionalFormatting>
  <conditionalFormatting sqref="D55">
    <cfRule type="cellIs" dxfId="80" priority="952" operator="equal">
      <formula>$S$1</formula>
    </cfRule>
    <cfRule type="cellIs" dxfId="79" priority="953" operator="equal">
      <formula>$U$1</formula>
    </cfRule>
  </conditionalFormatting>
  <conditionalFormatting sqref="C89">
    <cfRule type="cellIs" dxfId="78" priority="950" operator="equal">
      <formula>$U$1</formula>
    </cfRule>
    <cfRule type="cellIs" dxfId="77" priority="951" operator="equal">
      <formula>$S$1</formula>
    </cfRule>
  </conditionalFormatting>
  <conditionalFormatting sqref="D89">
    <cfRule type="cellIs" dxfId="76" priority="948" operator="equal">
      <formula>$S$1</formula>
    </cfRule>
    <cfRule type="cellIs" dxfId="75" priority="949" operator="equal">
      <formula>$U$1</formula>
    </cfRule>
  </conditionalFormatting>
  <conditionalFormatting sqref="C136">
    <cfRule type="cellIs" dxfId="74" priority="946" operator="equal">
      <formula>$U$1</formula>
    </cfRule>
    <cfRule type="cellIs" dxfId="73" priority="947" operator="equal">
      <formula>$S$1</formula>
    </cfRule>
  </conditionalFormatting>
  <conditionalFormatting sqref="D136">
    <cfRule type="cellIs" dxfId="72" priority="944" operator="equal">
      <formula>$S$1</formula>
    </cfRule>
    <cfRule type="cellIs" dxfId="71" priority="945" operator="equal">
      <formula>$U$1</formula>
    </cfRule>
  </conditionalFormatting>
  <conditionalFormatting sqref="C1">
    <cfRule type="cellIs" dxfId="70" priority="94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90" zoomScale="90" zoomScaleNormal="90" workbookViewId="0">
      <pane xSplit="4" topLeftCell="BY1" activePane="topRight" state="frozen"/>
      <selection activeCell="A109" sqref="A109"/>
      <selection pane="topRight" activeCell="EA317" sqref="EA31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$A$316</v>
      </c>
      <c r="D111" s="1" t="str">
        <f>ADDRESS(C121-1,D121,1,1)</f>
        <v>$EA$316</v>
      </c>
      <c r="E111"/>
    </row>
    <row r="112" spans="1:5" x14ac:dyDescent="0.25">
      <c r="A112" s="30">
        <v>515.50191262726139</v>
      </c>
      <c r="C112" s="1" t="str">
        <f>ADDRESS(C121,1,1,1)</f>
        <v>$A$317</v>
      </c>
      <c r="D112" s="1" t="str">
        <f>ADDRESS(C121,D121-1,1,1)</f>
        <v>$DZ$317</v>
      </c>
      <c r="E112"/>
    </row>
    <row r="113" spans="1:5" x14ac:dyDescent="0.25">
      <c r="A113" s="30">
        <v>490.95420250215363</v>
      </c>
      <c r="C113" s="1" t="str">
        <f>ADDRESS(C121+1,1,1,1)</f>
        <v>$A$318</v>
      </c>
      <c r="D113" s="1" t="str">
        <f>ADDRESS(C121-1,D121+1,1,1)</f>
        <v>$EB$316</v>
      </c>
    </row>
    <row r="114" spans="1:5" x14ac:dyDescent="0.25">
      <c r="A114" s="30">
        <v>467.57543095443202</v>
      </c>
      <c r="C114" s="1" t="str">
        <f>ADDRESS(C121,D121,1,1)</f>
        <v>$EA$317</v>
      </c>
      <c r="D114" s="1" t="str">
        <f>ADDRESS(C121+1,D121+1,1,1)</f>
        <v>$EB$318</v>
      </c>
    </row>
    <row r="115" spans="1:5" x14ac:dyDescent="0.25">
      <c r="A115" s="30">
        <v>445.30993424231622</v>
      </c>
      <c r="C115" s="1" t="str">
        <f>ADDRESS(C121+1,D121,1,1)</f>
        <v>$EA$318</v>
      </c>
    </row>
    <row r="116" spans="1:5" x14ac:dyDescent="0.25">
      <c r="A116" s="30">
        <v>424.10469927839637</v>
      </c>
      <c r="C116" s="1">
        <f>C117-1</f>
        <v>316</v>
      </c>
    </row>
    <row r="117" spans="1:5" x14ac:dyDescent="0.25">
      <c r="A117" s="30">
        <v>403.9092374079965</v>
      </c>
      <c r="C117" s="1">
        <f>C121</f>
        <v>317</v>
      </c>
      <c r="D117" s="1">
        <f>D121</f>
        <v>131</v>
      </c>
    </row>
    <row r="118" spans="1:5" x14ac:dyDescent="0.25">
      <c r="A118" s="30">
        <v>384.6754641980919</v>
      </c>
      <c r="C118" s="1">
        <f>C117+1</f>
        <v>318</v>
      </c>
      <c r="D118" s="1">
        <f>D117+1</f>
        <v>132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317</v>
      </c>
      <c r="D121" s="19">
        <v>131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R317</v>
      </c>
      <c r="D123" s="1" t="str">
        <f>"C"&amp;D121</f>
        <v>C131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2.3357371680107129E-2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86" x14ac:dyDescent="0.25">
      <c r="A273" s="30">
        <v>0.19987253960121379</v>
      </c>
      <c r="B273"/>
      <c r="C273"/>
      <c r="D273"/>
      <c r="E273"/>
      <c r="F273" s="27" t="s">
        <v>7</v>
      </c>
    </row>
    <row r="274" spans="1:86" x14ac:dyDescent="0.25">
      <c r="A274" s="30">
        <v>0.19035479962020352</v>
      </c>
      <c r="B274"/>
      <c r="C274"/>
      <c r="D274"/>
      <c r="E274"/>
      <c r="F274" s="27" t="s">
        <v>7</v>
      </c>
    </row>
    <row r="275" spans="1:86" x14ac:dyDescent="0.25">
      <c r="A275" s="30">
        <v>0.18129028535257471</v>
      </c>
      <c r="B275"/>
      <c r="C275"/>
      <c r="D275"/>
      <c r="E275"/>
      <c r="F275" s="27" t="s">
        <v>7</v>
      </c>
      <c r="BU275" s="31" t="s">
        <v>8</v>
      </c>
    </row>
    <row r="276" spans="1:86" x14ac:dyDescent="0.25">
      <c r="A276" s="30">
        <v>0.17265741462149967</v>
      </c>
      <c r="B276"/>
      <c r="C276"/>
      <c r="D276"/>
      <c r="E276"/>
      <c r="F276" s="27" t="s">
        <v>7</v>
      </c>
      <c r="BQ276" s="27" t="s">
        <v>8</v>
      </c>
      <c r="BU276" s="27" t="s">
        <v>8</v>
      </c>
      <c r="BV276" s="31" t="s">
        <v>7</v>
      </c>
    </row>
    <row r="277" spans="1:86" x14ac:dyDescent="0.25">
      <c r="A277" s="30">
        <v>0.16443563297285677</v>
      </c>
      <c r="B277"/>
      <c r="C277"/>
      <c r="D277"/>
      <c r="E277"/>
      <c r="F277" s="27" t="s">
        <v>7</v>
      </c>
      <c r="BM277" s="27" t="s">
        <v>8</v>
      </c>
      <c r="BQ277" s="27" t="s">
        <v>8</v>
      </c>
      <c r="BR277" s="27" t="s">
        <v>7</v>
      </c>
      <c r="BU277" s="27" t="s">
        <v>8</v>
      </c>
      <c r="BV277" s="27" t="s">
        <v>7</v>
      </c>
      <c r="BW277" s="31"/>
    </row>
    <row r="278" spans="1:86" x14ac:dyDescent="0.25">
      <c r="A278" s="30">
        <v>0.15660536473605399</v>
      </c>
      <c r="B278"/>
      <c r="C278"/>
      <c r="D278"/>
      <c r="E278"/>
      <c r="F278" s="27" t="s">
        <v>7</v>
      </c>
      <c r="BM278" s="27" t="s">
        <v>8</v>
      </c>
      <c r="BN278" s="27" t="s">
        <v>7</v>
      </c>
      <c r="BO278" s="27" t="s">
        <v>8</v>
      </c>
      <c r="BQ278" s="27" t="s">
        <v>8</v>
      </c>
      <c r="BR278" s="27" t="s">
        <v>7</v>
      </c>
      <c r="BU278" s="27" t="s">
        <v>8</v>
      </c>
      <c r="BV278" s="27" t="s">
        <v>7</v>
      </c>
      <c r="BW278" s="27" t="s">
        <v>8</v>
      </c>
      <c r="BX278" s="31"/>
    </row>
    <row r="279" spans="1:86" x14ac:dyDescent="0.25">
      <c r="A279" s="30">
        <v>0.14914796641528946</v>
      </c>
      <c r="B279"/>
      <c r="C279"/>
      <c r="D279"/>
      <c r="E279"/>
      <c r="F279" s="27" t="s">
        <v>7</v>
      </c>
      <c r="BM279" s="27" t="s">
        <v>8</v>
      </c>
      <c r="BN279" s="27" t="s">
        <v>7</v>
      </c>
      <c r="BO279" s="27" t="s">
        <v>8</v>
      </c>
      <c r="BP279" s="27" t="s">
        <v>7</v>
      </c>
      <c r="BQ279" s="27" t="s">
        <v>8</v>
      </c>
      <c r="BR279" s="27" t="s">
        <v>7</v>
      </c>
      <c r="BU279" s="27" t="s">
        <v>8</v>
      </c>
      <c r="BV279" s="27" t="s">
        <v>7</v>
      </c>
      <c r="BW279" s="27" t="s">
        <v>8</v>
      </c>
      <c r="BX279" s="27" t="s">
        <v>7</v>
      </c>
      <c r="BY279" s="31"/>
    </row>
    <row r="280" spans="1:86" x14ac:dyDescent="0.25">
      <c r="A280" s="30">
        <v>0.14204568230027562</v>
      </c>
      <c r="B280"/>
      <c r="C280"/>
      <c r="D280"/>
      <c r="E280"/>
      <c r="F280" s="27" t="s">
        <v>7</v>
      </c>
      <c r="BM280" s="27" t="s">
        <v>8</v>
      </c>
      <c r="BN280" s="27" t="s">
        <v>7</v>
      </c>
      <c r="BO280" s="27" t="s">
        <v>8</v>
      </c>
      <c r="BP280" s="27" t="s">
        <v>7</v>
      </c>
      <c r="BQ280" s="27" t="s">
        <v>8</v>
      </c>
      <c r="BR280" s="27" t="s">
        <v>7</v>
      </c>
      <c r="BU280" s="27" t="s">
        <v>8</v>
      </c>
      <c r="BV280" s="27" t="s">
        <v>7</v>
      </c>
      <c r="BW280" s="27" t="s">
        <v>8</v>
      </c>
      <c r="BX280" s="27" t="s">
        <v>7</v>
      </c>
      <c r="BY280" s="27" t="s">
        <v>8</v>
      </c>
      <c r="BZ280" s="31"/>
    </row>
    <row r="281" spans="1:86" x14ac:dyDescent="0.25">
      <c r="A281" s="30">
        <v>0.13528160219073862</v>
      </c>
      <c r="B281"/>
      <c r="C281"/>
      <c r="D281"/>
      <c r="E281"/>
      <c r="F281" s="27" t="s">
        <v>7</v>
      </c>
      <c r="BM281" s="27" t="s">
        <v>8</v>
      </c>
      <c r="BN281" s="27" t="s">
        <v>7</v>
      </c>
      <c r="BO281" s="27" t="s">
        <v>8</v>
      </c>
      <c r="BP281" s="27" t="s">
        <v>7</v>
      </c>
      <c r="BQ281" s="27" t="s">
        <v>8</v>
      </c>
      <c r="BR281" s="27" t="s">
        <v>7</v>
      </c>
      <c r="BU281" s="27" t="s">
        <v>8</v>
      </c>
      <c r="BV281" s="27" t="s">
        <v>7</v>
      </c>
      <c r="BX281" s="27" t="s">
        <v>7</v>
      </c>
      <c r="BY281" s="27" t="s">
        <v>8</v>
      </c>
      <c r="BZ281" s="27" t="s">
        <v>7</v>
      </c>
      <c r="CA281" s="31"/>
    </row>
    <row r="282" spans="1:86" x14ac:dyDescent="0.25">
      <c r="A282" s="30">
        <v>0.12883962113403674</v>
      </c>
      <c r="B282"/>
      <c r="C282"/>
      <c r="D282"/>
      <c r="E282"/>
      <c r="F282" s="27" t="s">
        <v>7</v>
      </c>
      <c r="BM282" s="27" t="s">
        <v>8</v>
      </c>
      <c r="BN282" s="27" t="s">
        <v>7</v>
      </c>
      <c r="BO282" s="27" t="s">
        <v>8</v>
      </c>
      <c r="BP282" s="27" t="s">
        <v>7</v>
      </c>
      <c r="BQ282" s="27" t="s">
        <v>8</v>
      </c>
      <c r="BR282" s="27" t="s">
        <v>7</v>
      </c>
      <c r="BU282" s="33" t="s">
        <v>8</v>
      </c>
      <c r="BX282" s="34" t="s">
        <v>7</v>
      </c>
      <c r="BY282" s="27" t="s">
        <v>8</v>
      </c>
      <c r="BZ282" s="27" t="s">
        <v>7</v>
      </c>
      <c r="CB282" s="31"/>
    </row>
    <row r="283" spans="1:86" x14ac:dyDescent="0.25">
      <c r="A283" s="30">
        <v>0.12270440108003494</v>
      </c>
      <c r="B283"/>
      <c r="C283"/>
      <c r="D283"/>
      <c r="E283"/>
      <c r="F283" s="27" t="s">
        <v>7</v>
      </c>
      <c r="BM283" s="27" t="s">
        <v>8</v>
      </c>
      <c r="BN283" s="27" t="s">
        <v>7</v>
      </c>
      <c r="BO283" s="27" t="s">
        <v>8</v>
      </c>
      <c r="BP283" s="27" t="s">
        <v>7</v>
      </c>
      <c r="BR283" s="27" t="s">
        <v>7</v>
      </c>
      <c r="BS283" s="27" t="s">
        <v>8</v>
      </c>
      <c r="BU283" s="27" t="s">
        <v>8</v>
      </c>
      <c r="BX283" s="31" t="s">
        <v>7</v>
      </c>
      <c r="BY283" s="27" t="s">
        <v>8</v>
      </c>
      <c r="BZ283" s="27" t="s">
        <v>7</v>
      </c>
      <c r="CA283" s="27" t="s">
        <v>8</v>
      </c>
      <c r="CC283" s="31"/>
    </row>
    <row r="284" spans="1:86" x14ac:dyDescent="0.25">
      <c r="A284" s="30">
        <v>0.11686133436193799</v>
      </c>
      <c r="B284"/>
      <c r="C284"/>
      <c r="D284"/>
      <c r="E284"/>
      <c r="F284" s="27" t="s">
        <v>7</v>
      </c>
      <c r="BM284" s="27" t="s">
        <v>8</v>
      </c>
      <c r="BN284" s="27" t="s">
        <v>7</v>
      </c>
      <c r="BO284" s="27" t="s">
        <v>8</v>
      </c>
      <c r="BR284" s="34" t="s">
        <v>7</v>
      </c>
      <c r="BS284" s="27" t="s">
        <v>8</v>
      </c>
      <c r="BT284" s="27" t="s">
        <v>7</v>
      </c>
      <c r="BU284" s="27" t="s">
        <v>8</v>
      </c>
      <c r="BW284" s="31"/>
      <c r="BX284" s="27" t="s">
        <v>7</v>
      </c>
      <c r="BZ284" s="27" t="s">
        <v>7</v>
      </c>
      <c r="CA284" s="27" t="s">
        <v>8</v>
      </c>
      <c r="CB284" s="27" t="s">
        <v>7</v>
      </c>
      <c r="CD284" s="31"/>
    </row>
    <row r="285" spans="1:86" x14ac:dyDescent="0.25">
      <c r="A285" s="30">
        <v>0.11129650891613138</v>
      </c>
      <c r="B285"/>
      <c r="C285"/>
      <c r="D285"/>
      <c r="E285"/>
      <c r="F285" s="27" t="s">
        <v>7</v>
      </c>
      <c r="BK285" s="27" t="s">
        <v>8</v>
      </c>
      <c r="BM285" s="27" t="s">
        <v>8</v>
      </c>
      <c r="BN285" s="27" t="s">
        <v>7</v>
      </c>
      <c r="BR285" s="27" t="s">
        <v>7</v>
      </c>
      <c r="BS285" s="27" t="s">
        <v>8</v>
      </c>
      <c r="BT285" s="27" t="s">
        <v>7</v>
      </c>
      <c r="BU285" s="27" t="s">
        <v>8</v>
      </c>
      <c r="BV285" s="31"/>
      <c r="BZ285" s="27" t="s">
        <v>7</v>
      </c>
      <c r="CA285" s="27" t="s">
        <v>8</v>
      </c>
      <c r="CB285" s="27" t="s">
        <v>7</v>
      </c>
      <c r="CE285" s="31"/>
    </row>
    <row r="286" spans="1:86" x14ac:dyDescent="0.25">
      <c r="A286" s="30">
        <v>0.10599667515822032</v>
      </c>
      <c r="B286"/>
      <c r="C286"/>
      <c r="D286"/>
      <c r="E286"/>
      <c r="F286" s="27" t="s">
        <v>7</v>
      </c>
      <c r="BK286" s="27" t="s">
        <v>8</v>
      </c>
      <c r="BL286" s="27" t="s">
        <v>7</v>
      </c>
      <c r="BM286" s="27" t="s">
        <v>8</v>
      </c>
      <c r="BR286" s="27" t="s">
        <v>7</v>
      </c>
      <c r="BS286" s="27" t="s">
        <v>8</v>
      </c>
      <c r="BT286" s="31" t="s">
        <v>7</v>
      </c>
      <c r="BU286" s="31" t="s">
        <v>8</v>
      </c>
      <c r="BZ286" s="27" t="s">
        <v>7</v>
      </c>
      <c r="CA286" s="27" t="s">
        <v>8</v>
      </c>
      <c r="CB286" s="27" t="s">
        <v>7</v>
      </c>
      <c r="CF286" s="31"/>
    </row>
    <row r="287" spans="1:86" x14ac:dyDescent="0.25">
      <c r="A287" s="30">
        <v>0.10094921443640027</v>
      </c>
      <c r="B287"/>
      <c r="C287"/>
      <c r="D287"/>
      <c r="E287"/>
      <c r="F287" s="27" t="s">
        <v>7</v>
      </c>
      <c r="BK287" s="27" t="s">
        <v>8</v>
      </c>
      <c r="BL287" s="27" t="s">
        <v>7</v>
      </c>
      <c r="BM287" s="27" t="s">
        <v>8</v>
      </c>
      <c r="BR287" s="27" t="s">
        <v>7</v>
      </c>
      <c r="BS287" s="31" t="s">
        <v>8</v>
      </c>
      <c r="BT287" s="27" t="s">
        <v>7</v>
      </c>
      <c r="BZ287" s="27" t="s">
        <v>7</v>
      </c>
      <c r="CB287" s="27" t="s">
        <v>7</v>
      </c>
      <c r="CC287" s="27" t="s">
        <v>8</v>
      </c>
      <c r="CG287" s="31"/>
    </row>
    <row r="288" spans="1:86" x14ac:dyDescent="0.25">
      <c r="A288" s="30">
        <v>9.6142108987047836E-2</v>
      </c>
      <c r="B288"/>
      <c r="C288"/>
      <c r="D288"/>
      <c r="E288"/>
      <c r="F288" s="27" t="s">
        <v>7</v>
      </c>
      <c r="BK288" s="27" t="s">
        <v>8</v>
      </c>
      <c r="BL288" s="27" t="s">
        <v>7</v>
      </c>
      <c r="BR288" s="31" t="s">
        <v>7</v>
      </c>
      <c r="CB288" s="27" t="s">
        <v>7</v>
      </c>
      <c r="CC288" s="27" t="s">
        <v>8</v>
      </c>
      <c r="CD288" s="27" t="s">
        <v>7</v>
      </c>
      <c r="CH288" s="31"/>
    </row>
    <row r="289" spans="1:120" x14ac:dyDescent="0.25">
      <c r="A289" s="30">
        <v>9.1563913320997906E-2</v>
      </c>
      <c r="B289"/>
      <c r="C289"/>
      <c r="D289"/>
      <c r="E289"/>
      <c r="F289" s="27" t="s">
        <v>7</v>
      </c>
      <c r="BI289" s="27" t="s">
        <v>8</v>
      </c>
      <c r="BK289" s="27" t="s">
        <v>8</v>
      </c>
      <c r="BQ289" s="31"/>
      <c r="CB289" s="27" t="s">
        <v>7</v>
      </c>
      <c r="CC289" s="27" t="s">
        <v>8</v>
      </c>
      <c r="CD289" s="27" t="s">
        <v>7</v>
      </c>
      <c r="CI289" s="31"/>
    </row>
    <row r="290" spans="1:120" x14ac:dyDescent="0.25">
      <c r="A290" s="30">
        <v>8.7203726972378923E-2</v>
      </c>
      <c r="B290"/>
      <c r="C290"/>
      <c r="D290"/>
      <c r="E290"/>
      <c r="F290" s="27" t="s">
        <v>7</v>
      </c>
      <c r="AY290" s="27" t="s">
        <v>8</v>
      </c>
      <c r="BI290" s="27" t="s">
        <v>8</v>
      </c>
      <c r="BJ290" s="27" t="s">
        <v>7</v>
      </c>
      <c r="BK290" s="27" t="s">
        <v>8</v>
      </c>
      <c r="BP290" s="31"/>
      <c r="CB290" s="27" t="s">
        <v>7</v>
      </c>
      <c r="CC290" s="27" t="s">
        <v>8</v>
      </c>
      <c r="CD290" s="27" t="s">
        <v>7</v>
      </c>
      <c r="CJ290" s="31"/>
    </row>
    <row r="291" spans="1:120" x14ac:dyDescent="0.25">
      <c r="A291" s="30">
        <v>8.3051168545122747E-2</v>
      </c>
      <c r="B291"/>
      <c r="C291"/>
      <c r="D291"/>
      <c r="E291"/>
      <c r="F291" s="27" t="s">
        <v>7</v>
      </c>
      <c r="AY291" s="27" t="s">
        <v>8</v>
      </c>
      <c r="AZ291" s="27" t="s">
        <v>7</v>
      </c>
      <c r="BI291" s="27" t="s">
        <v>8</v>
      </c>
      <c r="BJ291" s="27" t="s">
        <v>7</v>
      </c>
      <c r="BK291" s="27" t="s">
        <v>8</v>
      </c>
      <c r="BO291" s="31"/>
      <c r="CB291" s="27" t="s">
        <v>7</v>
      </c>
      <c r="CC291" s="27" t="s">
        <v>8</v>
      </c>
      <c r="CD291" s="27" t="s">
        <v>7</v>
      </c>
      <c r="CK291" s="31"/>
    </row>
    <row r="292" spans="1:120" x14ac:dyDescent="0.25">
      <c r="A292" s="30">
        <v>7.9096350995354961E-2</v>
      </c>
      <c r="B292"/>
      <c r="C292"/>
      <c r="D292"/>
      <c r="E292"/>
      <c r="F292" s="27" t="s">
        <v>7</v>
      </c>
      <c r="AY292" s="27" t="s">
        <v>8</v>
      </c>
      <c r="AZ292" s="27" t="s">
        <v>7</v>
      </c>
      <c r="BG292" s="27" t="s">
        <v>8</v>
      </c>
      <c r="BI292" s="27" t="s">
        <v>8</v>
      </c>
      <c r="BJ292" s="27" t="s">
        <v>7</v>
      </c>
      <c r="BK292" s="27" t="s">
        <v>8</v>
      </c>
      <c r="BN292" s="31"/>
      <c r="CB292" s="27" t="s">
        <v>7</v>
      </c>
      <c r="CC292" s="27" t="s">
        <v>8</v>
      </c>
      <c r="CD292" s="27" t="s">
        <v>7</v>
      </c>
      <c r="CE292" s="27" t="s">
        <v>8</v>
      </c>
      <c r="CL292" s="31"/>
      <c r="DA292" s="27" t="s">
        <v>8</v>
      </c>
    </row>
    <row r="293" spans="1:120" x14ac:dyDescent="0.25">
      <c r="A293" s="30">
        <v>7.5329858090814217E-2</v>
      </c>
      <c r="B293"/>
      <c r="C293"/>
      <c r="D293"/>
      <c r="E293"/>
      <c r="F293" s="27" t="s">
        <v>7</v>
      </c>
      <c r="AY293" s="27" t="s">
        <v>8</v>
      </c>
      <c r="AZ293" s="27" t="s">
        <v>7</v>
      </c>
      <c r="BG293" s="27" t="s">
        <v>8</v>
      </c>
      <c r="BH293" s="27" t="s">
        <v>7</v>
      </c>
      <c r="BI293" s="27" t="s">
        <v>8</v>
      </c>
      <c r="BJ293" s="27" t="s">
        <v>7</v>
      </c>
      <c r="BM293" s="31"/>
      <c r="CB293" s="27" t="s">
        <v>7</v>
      </c>
      <c r="CC293" s="27" t="s">
        <v>8</v>
      </c>
      <c r="CD293" s="27" t="s">
        <v>7</v>
      </c>
      <c r="CE293" s="27" t="s">
        <v>8</v>
      </c>
      <c r="CF293" s="27" t="s">
        <v>7</v>
      </c>
      <c r="CG293" s="32" t="s">
        <v>8</v>
      </c>
      <c r="CI293" s="32" t="s">
        <v>8</v>
      </c>
      <c r="CM293" s="31"/>
      <c r="CW293" s="27" t="s">
        <v>8</v>
      </c>
      <c r="CY293" s="27" t="s">
        <v>8</v>
      </c>
      <c r="DA293" s="27" t="s">
        <v>8</v>
      </c>
      <c r="DB293" s="27" t="s">
        <v>7</v>
      </c>
    </row>
    <row r="294" spans="1:120" x14ac:dyDescent="0.25">
      <c r="A294" s="30">
        <v>7.1742721991251604E-2</v>
      </c>
      <c r="B294"/>
      <c r="C294"/>
      <c r="D294"/>
      <c r="E294"/>
      <c r="F294" s="27" t="s">
        <v>7</v>
      </c>
      <c r="AY294" s="27" t="s">
        <v>8</v>
      </c>
      <c r="AZ294" s="27" t="s">
        <v>7</v>
      </c>
      <c r="BG294" s="27" t="s">
        <v>8</v>
      </c>
      <c r="BH294" s="27" t="s">
        <v>7</v>
      </c>
      <c r="BI294" s="27" t="s">
        <v>8</v>
      </c>
      <c r="BL294" s="31"/>
      <c r="CB294" s="27" t="s">
        <v>7</v>
      </c>
      <c r="CC294" s="27" t="s">
        <v>8</v>
      </c>
      <c r="CD294" s="27" t="s">
        <v>7</v>
      </c>
      <c r="CE294" s="27" t="s">
        <v>8</v>
      </c>
      <c r="CF294" s="27" t="s">
        <v>7</v>
      </c>
      <c r="CG294" s="27" t="s">
        <v>8</v>
      </c>
      <c r="CH294" s="27" t="s">
        <v>7</v>
      </c>
      <c r="CI294" s="27" t="s">
        <v>8</v>
      </c>
      <c r="CJ294" s="27" t="s">
        <v>7</v>
      </c>
      <c r="CK294" s="27" t="s">
        <v>8</v>
      </c>
      <c r="CN294" s="31"/>
      <c r="CU294" s="27" t="s">
        <v>8</v>
      </c>
      <c r="CW294" s="27" t="s">
        <v>8</v>
      </c>
      <c r="CX294" s="27" t="s">
        <v>7</v>
      </c>
      <c r="CY294" s="27" t="s">
        <v>8</v>
      </c>
      <c r="CZ294" s="27" t="s">
        <v>7</v>
      </c>
      <c r="DA294" s="27" t="s">
        <v>8</v>
      </c>
      <c r="DB294" s="27" t="s">
        <v>7</v>
      </c>
      <c r="DK294" s="27" t="s">
        <v>8</v>
      </c>
    </row>
    <row r="295" spans="1:120" x14ac:dyDescent="0.25">
      <c r="A295" s="30">
        <v>6.8326401896430078E-2</v>
      </c>
      <c r="B295"/>
      <c r="C295"/>
      <c r="D295"/>
      <c r="E295"/>
      <c r="F295" s="27" t="s">
        <v>7</v>
      </c>
      <c r="AW295" s="27" t="s">
        <v>8</v>
      </c>
      <c r="AY295" s="27" t="s">
        <v>8</v>
      </c>
      <c r="AZ295" s="27" t="s">
        <v>7</v>
      </c>
      <c r="BG295" s="27" t="s">
        <v>8</v>
      </c>
      <c r="BH295" s="27" t="s">
        <v>7</v>
      </c>
      <c r="BI295" s="27" t="s">
        <v>8</v>
      </c>
      <c r="BK295" s="31"/>
      <c r="CB295" s="27" t="s">
        <v>7</v>
      </c>
      <c r="CC295" s="27" t="s">
        <v>8</v>
      </c>
      <c r="CD295" s="27" t="s">
        <v>7</v>
      </c>
      <c r="CE295" s="27" t="s">
        <v>8</v>
      </c>
      <c r="CF295" s="27" t="s">
        <v>7</v>
      </c>
      <c r="CG295" s="27" t="s">
        <v>8</v>
      </c>
      <c r="CH295" s="27" t="s">
        <v>7</v>
      </c>
      <c r="CI295" s="27" t="s">
        <v>8</v>
      </c>
      <c r="CJ295" s="27" t="s">
        <v>7</v>
      </c>
      <c r="CK295" s="27" t="s">
        <v>8</v>
      </c>
      <c r="CL295" s="27" t="s">
        <v>7</v>
      </c>
      <c r="CO295" s="31"/>
      <c r="CU295" s="27" t="s">
        <v>8</v>
      </c>
      <c r="CV295" s="27" t="s">
        <v>7</v>
      </c>
      <c r="CW295" s="27" t="s">
        <v>8</v>
      </c>
      <c r="CX295" s="27" t="s">
        <v>7</v>
      </c>
      <c r="CY295" s="27" t="s">
        <v>8</v>
      </c>
      <c r="CZ295" s="27" t="s">
        <v>7</v>
      </c>
      <c r="DA295" s="27" t="s">
        <v>8</v>
      </c>
      <c r="DB295" s="27" t="s">
        <v>7</v>
      </c>
      <c r="DK295" s="27" t="s">
        <v>8</v>
      </c>
      <c r="DL295" s="27" t="s">
        <v>7</v>
      </c>
      <c r="DM295" s="27" t="s">
        <v>8</v>
      </c>
    </row>
    <row r="296" spans="1:120" x14ac:dyDescent="0.25">
      <c r="A296" s="30">
        <v>6.5072763710885759E-2</v>
      </c>
      <c r="B296"/>
      <c r="C296"/>
      <c r="D296"/>
      <c r="E296"/>
      <c r="F296" s="27" t="s">
        <v>7</v>
      </c>
      <c r="AW296" s="27" t="s">
        <v>8</v>
      </c>
      <c r="AX296" s="27" t="s">
        <v>7</v>
      </c>
      <c r="AY296" s="27" t="s">
        <v>8</v>
      </c>
      <c r="AZ296" s="27" t="s">
        <v>7</v>
      </c>
      <c r="BA296" s="27" t="s">
        <v>8</v>
      </c>
      <c r="BE296" s="33" t="s">
        <v>8</v>
      </c>
      <c r="BG296" s="27" t="s">
        <v>8</v>
      </c>
      <c r="BH296" s="27" t="s">
        <v>7</v>
      </c>
      <c r="BI296" s="27" t="s">
        <v>8</v>
      </c>
      <c r="BJ296" s="31"/>
      <c r="CB296" s="27" t="s">
        <v>7</v>
      </c>
      <c r="CC296" s="27" t="s">
        <v>8</v>
      </c>
      <c r="CD296" s="27" t="s">
        <v>7</v>
      </c>
      <c r="CE296" s="27" t="s">
        <v>8</v>
      </c>
      <c r="CF296" s="27" t="s">
        <v>7</v>
      </c>
      <c r="CG296" s="27" t="s">
        <v>8</v>
      </c>
      <c r="CH296" s="27" t="s">
        <v>7</v>
      </c>
      <c r="CI296" s="27" t="s">
        <v>8</v>
      </c>
      <c r="CJ296" s="27" t="s">
        <v>7</v>
      </c>
      <c r="CK296" s="27" t="s">
        <v>8</v>
      </c>
      <c r="CL296" s="27" t="s">
        <v>7</v>
      </c>
      <c r="CM296" s="27" t="s">
        <v>8</v>
      </c>
      <c r="CP296" s="31"/>
      <c r="CU296" s="27" t="s">
        <v>8</v>
      </c>
      <c r="CV296" s="27" t="s">
        <v>7</v>
      </c>
      <c r="CW296" s="27" t="s">
        <v>8</v>
      </c>
      <c r="CX296" s="27" t="s">
        <v>7</v>
      </c>
      <c r="CY296" s="27" t="s">
        <v>8</v>
      </c>
      <c r="CZ296" s="27" t="s">
        <v>7</v>
      </c>
      <c r="DB296" s="27" t="s">
        <v>7</v>
      </c>
      <c r="DK296" s="27" t="s">
        <v>8</v>
      </c>
      <c r="DL296" s="27" t="s">
        <v>7</v>
      </c>
      <c r="DM296" s="27" t="s">
        <v>8</v>
      </c>
      <c r="DN296" s="27" t="s">
        <v>7</v>
      </c>
    </row>
    <row r="297" spans="1:120" x14ac:dyDescent="0.25">
      <c r="A297" s="30">
        <v>6.197406067703403E-2</v>
      </c>
      <c r="B297"/>
      <c r="C297"/>
      <c r="D297"/>
      <c r="E297"/>
      <c r="F297" s="27" t="s">
        <v>7</v>
      </c>
      <c r="AW297" s="27" t="s">
        <v>8</v>
      </c>
      <c r="AX297" s="27" t="s">
        <v>7</v>
      </c>
      <c r="AY297" s="27" t="s">
        <v>8</v>
      </c>
      <c r="AZ297" s="27" t="s">
        <v>7</v>
      </c>
      <c r="BA297" s="27" t="s">
        <v>8</v>
      </c>
      <c r="BB297" s="27" t="s">
        <v>7</v>
      </c>
      <c r="BC297" s="27" t="s">
        <v>8</v>
      </c>
      <c r="BE297" s="27" t="s">
        <v>8</v>
      </c>
      <c r="BF297" s="27" t="s">
        <v>7</v>
      </c>
      <c r="BG297" s="27" t="s">
        <v>8</v>
      </c>
      <c r="BH297" s="27" t="s">
        <v>7</v>
      </c>
      <c r="BI297" s="31" t="s">
        <v>8</v>
      </c>
      <c r="CB297" s="27" t="s">
        <v>7</v>
      </c>
      <c r="CC297" s="27" t="s">
        <v>8</v>
      </c>
      <c r="CD297" s="27" t="s">
        <v>7</v>
      </c>
      <c r="CF297" s="27" t="s">
        <v>7</v>
      </c>
      <c r="CG297" s="27" t="s">
        <v>8</v>
      </c>
      <c r="CH297" s="27" t="s">
        <v>7</v>
      </c>
      <c r="CI297" s="27" t="s">
        <v>8</v>
      </c>
      <c r="CJ297" s="27" t="s">
        <v>7</v>
      </c>
      <c r="CL297" s="27" t="s">
        <v>7</v>
      </c>
      <c r="CM297" s="27" t="s">
        <v>8</v>
      </c>
      <c r="CN297" s="27" t="s">
        <v>7</v>
      </c>
      <c r="CO297" s="27" t="s">
        <v>8</v>
      </c>
      <c r="CQ297" s="31"/>
      <c r="CU297" s="27" t="s">
        <v>8</v>
      </c>
      <c r="CV297" s="27" t="s">
        <v>7</v>
      </c>
      <c r="CW297" s="27" t="s">
        <v>8</v>
      </c>
      <c r="CX297" s="27" t="s">
        <v>7</v>
      </c>
      <c r="DB297" s="27" t="s">
        <v>7</v>
      </c>
      <c r="DC297" s="27" t="s">
        <v>8</v>
      </c>
      <c r="DK297" s="27" t="s">
        <v>8</v>
      </c>
      <c r="DL297" s="27" t="s">
        <v>7</v>
      </c>
      <c r="DM297" s="27" t="s">
        <v>8</v>
      </c>
      <c r="DN297" s="27" t="s">
        <v>7</v>
      </c>
    </row>
    <row r="298" spans="1:120" x14ac:dyDescent="0.25">
      <c r="A298" s="30">
        <v>5.9022914930508576E-2</v>
      </c>
      <c r="B298"/>
      <c r="C298"/>
      <c r="D298"/>
      <c r="E298"/>
      <c r="F298" s="27" t="s">
        <v>7</v>
      </c>
      <c r="AW298" s="27" t="s">
        <v>8</v>
      </c>
      <c r="AX298" s="27" t="s">
        <v>7</v>
      </c>
      <c r="AY298" s="27" t="s">
        <v>8</v>
      </c>
      <c r="AZ298" s="27" t="s">
        <v>7</v>
      </c>
      <c r="BA298" s="27" t="s">
        <v>8</v>
      </c>
      <c r="BB298" s="27" t="s">
        <v>7</v>
      </c>
      <c r="BC298" s="27" t="s">
        <v>8</v>
      </c>
      <c r="BD298" s="27" t="s">
        <v>7</v>
      </c>
      <c r="BE298" s="27" t="s">
        <v>8</v>
      </c>
      <c r="BF298" s="27" t="s">
        <v>7</v>
      </c>
      <c r="BG298" s="27" t="s">
        <v>8</v>
      </c>
      <c r="BH298" s="31" t="s">
        <v>7</v>
      </c>
      <c r="CB298" s="27" t="s">
        <v>7</v>
      </c>
      <c r="CC298" s="27" t="s">
        <v>8</v>
      </c>
      <c r="CF298" s="27" t="s">
        <v>7</v>
      </c>
      <c r="CG298" s="27" t="s">
        <v>8</v>
      </c>
      <c r="CH298" s="27" t="s">
        <v>7</v>
      </c>
      <c r="CI298" s="27" t="s">
        <v>8</v>
      </c>
      <c r="CL298" s="27" t="s">
        <v>7</v>
      </c>
      <c r="CM298" s="27" t="s">
        <v>8</v>
      </c>
      <c r="CN298" s="27" t="s">
        <v>7</v>
      </c>
      <c r="CO298" s="27" t="s">
        <v>8</v>
      </c>
      <c r="CP298" s="27" t="s">
        <v>7</v>
      </c>
      <c r="CR298" s="31"/>
      <c r="CU298" s="27" t="s">
        <v>8</v>
      </c>
      <c r="CV298" s="27" t="s">
        <v>7</v>
      </c>
      <c r="DB298" s="27" t="s">
        <v>7</v>
      </c>
      <c r="DC298" s="27" t="s">
        <v>8</v>
      </c>
      <c r="DD298" s="27" t="s">
        <v>7</v>
      </c>
      <c r="DK298" s="27" t="s">
        <v>8</v>
      </c>
      <c r="DL298" s="27" t="s">
        <v>7</v>
      </c>
      <c r="DM298" s="27" t="s">
        <v>8</v>
      </c>
      <c r="DN298" s="27" t="s">
        <v>7</v>
      </c>
    </row>
    <row r="299" spans="1:120" x14ac:dyDescent="0.25">
      <c r="A299" s="30">
        <v>5.6212299933817669E-2</v>
      </c>
      <c r="B299"/>
      <c r="C299"/>
      <c r="D299"/>
      <c r="E299"/>
      <c r="F299" s="27" t="s">
        <v>7</v>
      </c>
      <c r="AW299" s="27" t="s">
        <v>8</v>
      </c>
      <c r="AX299" s="27" t="s">
        <v>7</v>
      </c>
      <c r="AY299" s="27" t="s">
        <v>8</v>
      </c>
      <c r="AZ299" s="27" t="s">
        <v>7</v>
      </c>
      <c r="BA299" s="27" t="s">
        <v>8</v>
      </c>
      <c r="BB299" s="27" t="s">
        <v>7</v>
      </c>
      <c r="BC299" s="27" t="s">
        <v>8</v>
      </c>
      <c r="BD299" s="27" t="s">
        <v>7</v>
      </c>
      <c r="BE299" s="27" t="s">
        <v>8</v>
      </c>
      <c r="BF299" s="27" t="s">
        <v>7</v>
      </c>
      <c r="BG299" s="31" t="s">
        <v>8</v>
      </c>
      <c r="CB299" s="27" t="s">
        <v>7</v>
      </c>
      <c r="CC299" s="27" t="s">
        <v>8</v>
      </c>
      <c r="CF299" s="27" t="s">
        <v>7</v>
      </c>
      <c r="CG299" s="27" t="s">
        <v>8</v>
      </c>
      <c r="CH299" s="27" t="s">
        <v>7</v>
      </c>
      <c r="CL299" s="27" t="s">
        <v>7</v>
      </c>
      <c r="CM299" s="27" t="s">
        <v>8</v>
      </c>
      <c r="CN299" s="27" t="s">
        <v>7</v>
      </c>
      <c r="CO299" s="27" t="s">
        <v>8</v>
      </c>
      <c r="CP299" s="27" t="s">
        <v>7</v>
      </c>
      <c r="CS299" s="31"/>
      <c r="CU299" s="27" t="s">
        <v>8</v>
      </c>
      <c r="DB299" s="27" t="s">
        <v>7</v>
      </c>
      <c r="DC299" s="27" t="s">
        <v>8</v>
      </c>
      <c r="DD299" s="27" t="s">
        <v>7</v>
      </c>
      <c r="DK299" s="27" t="s">
        <v>8</v>
      </c>
      <c r="DL299" s="27" t="s">
        <v>7</v>
      </c>
      <c r="DM299" s="27" t="s">
        <v>8</v>
      </c>
      <c r="DN299" s="27" t="s">
        <v>7</v>
      </c>
    </row>
    <row r="300" spans="1:120" x14ac:dyDescent="0.25">
      <c r="A300" s="30">
        <v>5.3535523746492994E-2</v>
      </c>
      <c r="B300"/>
      <c r="C300"/>
      <c r="D300"/>
      <c r="E300"/>
      <c r="F300" s="27" t="s">
        <v>7</v>
      </c>
      <c r="AU300" s="27" t="s">
        <v>8</v>
      </c>
      <c r="AW300" s="27" t="s">
        <v>8</v>
      </c>
      <c r="AX300" s="27" t="s">
        <v>7</v>
      </c>
      <c r="AZ300" s="27" t="s">
        <v>7</v>
      </c>
      <c r="BA300" s="27" t="s">
        <v>8</v>
      </c>
      <c r="BB300" s="27" t="s">
        <v>7</v>
      </c>
      <c r="BC300" s="27" t="s">
        <v>8</v>
      </c>
      <c r="BD300" s="32" t="s">
        <v>7</v>
      </c>
      <c r="BF300" s="32" t="s">
        <v>7</v>
      </c>
      <c r="CB300" s="27" t="s">
        <v>7</v>
      </c>
      <c r="CC300" s="27" t="s">
        <v>8</v>
      </c>
      <c r="CF300" s="27" t="s">
        <v>7</v>
      </c>
      <c r="CG300" s="27" t="s">
        <v>8</v>
      </c>
      <c r="CL300" s="27" t="s">
        <v>7</v>
      </c>
      <c r="CN300" s="27" t="s">
        <v>7</v>
      </c>
      <c r="CP300" s="27" t="s">
        <v>7</v>
      </c>
      <c r="CT300" s="31"/>
      <c r="CU300" s="27" t="s">
        <v>8</v>
      </c>
      <c r="DB300" s="27" t="s">
        <v>7</v>
      </c>
      <c r="DD300" s="31" t="s">
        <v>7</v>
      </c>
      <c r="DG300" s="27" t="s">
        <v>8</v>
      </c>
      <c r="DI300" s="27" t="s">
        <v>8</v>
      </c>
      <c r="DK300" s="27" t="s">
        <v>8</v>
      </c>
      <c r="DL300" s="27" t="s">
        <v>7</v>
      </c>
      <c r="DM300" s="27" t="s">
        <v>8</v>
      </c>
      <c r="DN300" s="27" t="s">
        <v>7</v>
      </c>
    </row>
    <row r="301" spans="1:120" x14ac:dyDescent="0.25">
      <c r="A301" s="30">
        <v>5.0986213091898068E-2</v>
      </c>
      <c r="B301"/>
      <c r="C301"/>
      <c r="D301"/>
      <c r="E301"/>
      <c r="F301" s="27" t="s">
        <v>7</v>
      </c>
      <c r="AU301" s="27" t="s">
        <v>8</v>
      </c>
      <c r="AV301" s="27" t="s">
        <v>7</v>
      </c>
      <c r="AW301" s="27" t="s">
        <v>8</v>
      </c>
      <c r="AZ301" s="27" t="s">
        <v>7</v>
      </c>
      <c r="BB301" s="27" t="s">
        <v>7</v>
      </c>
      <c r="BC301" s="27" t="s">
        <v>8</v>
      </c>
      <c r="CB301" s="27" t="s">
        <v>7</v>
      </c>
      <c r="CF301" s="27" t="s">
        <v>7</v>
      </c>
      <c r="CP301" s="27" t="s">
        <v>7</v>
      </c>
      <c r="CU301" s="33" t="s">
        <v>8</v>
      </c>
      <c r="DC301" s="31"/>
      <c r="DD301" s="27" t="s">
        <v>7</v>
      </c>
      <c r="DE301" s="27" t="s">
        <v>8</v>
      </c>
      <c r="DG301" s="27" t="s">
        <v>8</v>
      </c>
      <c r="DH301" s="27" t="s">
        <v>7</v>
      </c>
      <c r="DI301" s="27" t="s">
        <v>8</v>
      </c>
      <c r="DJ301" s="27" t="s">
        <v>7</v>
      </c>
      <c r="DK301" s="27" t="s">
        <v>8</v>
      </c>
      <c r="DL301" s="27" t="s">
        <v>7</v>
      </c>
      <c r="DN301" s="27" t="s">
        <v>7</v>
      </c>
      <c r="DO301" s="27" t="s">
        <v>8</v>
      </c>
    </row>
    <row r="302" spans="1:120" x14ac:dyDescent="0.25">
      <c r="A302" s="30">
        <v>4.8558298182760043E-2</v>
      </c>
      <c r="B302"/>
      <c r="C302"/>
      <c r="D302"/>
      <c r="E302"/>
      <c r="F302" s="27" t="s">
        <v>7</v>
      </c>
      <c r="AU302" s="27" t="s">
        <v>8</v>
      </c>
      <c r="AV302" s="27" t="s">
        <v>7</v>
      </c>
      <c r="AW302" s="27" t="s">
        <v>8</v>
      </c>
      <c r="BB302" s="27" t="s">
        <v>7</v>
      </c>
      <c r="CP302" s="27" t="s">
        <v>7</v>
      </c>
      <c r="CS302" s="33" t="s">
        <v>8</v>
      </c>
      <c r="CU302" s="27" t="s">
        <v>8</v>
      </c>
      <c r="DB302" s="31"/>
      <c r="DD302" s="27" t="s">
        <v>7</v>
      </c>
      <c r="DE302" s="27" t="s">
        <v>8</v>
      </c>
      <c r="DF302" s="27" t="s">
        <v>7</v>
      </c>
      <c r="DG302" s="27" t="s">
        <v>8</v>
      </c>
      <c r="DH302" s="27" t="s">
        <v>7</v>
      </c>
      <c r="DI302" s="27" t="s">
        <v>8</v>
      </c>
      <c r="DJ302" s="27" t="s">
        <v>7</v>
      </c>
      <c r="DK302" s="27" t="s">
        <v>8</v>
      </c>
      <c r="DN302" s="27" t="s">
        <v>7</v>
      </c>
      <c r="DO302" s="27" t="s">
        <v>8</v>
      </c>
      <c r="DP302" s="27" t="s">
        <v>7</v>
      </c>
    </row>
    <row r="303" spans="1:120" x14ac:dyDescent="0.25">
      <c r="A303" s="30">
        <v>4.6245998269295263E-2</v>
      </c>
      <c r="B303"/>
      <c r="C303"/>
      <c r="D303"/>
      <c r="E303"/>
      <c r="F303" s="27" t="s">
        <v>7</v>
      </c>
      <c r="AU303" s="27" t="s">
        <v>8</v>
      </c>
      <c r="AV303" s="27" t="s">
        <v>7</v>
      </c>
      <c r="CP303" s="27" t="s">
        <v>7</v>
      </c>
      <c r="CQ303" s="27" t="s">
        <v>8</v>
      </c>
      <c r="CS303" s="27" t="s">
        <v>8</v>
      </c>
      <c r="CT303" s="27" t="s">
        <v>7</v>
      </c>
      <c r="CU303" s="27" t="s">
        <v>8</v>
      </c>
      <c r="DA303" s="31"/>
      <c r="DD303" s="27" t="s">
        <v>7</v>
      </c>
      <c r="DE303" s="27" t="s">
        <v>8</v>
      </c>
      <c r="DF303" s="27" t="s">
        <v>7</v>
      </c>
      <c r="DG303" s="27" t="s">
        <v>8</v>
      </c>
      <c r="DH303" s="27" t="s">
        <v>7</v>
      </c>
      <c r="DJ303" s="27" t="s">
        <v>7</v>
      </c>
      <c r="DK303" s="27" t="s">
        <v>8</v>
      </c>
      <c r="DN303" s="27" t="s">
        <v>7</v>
      </c>
      <c r="DO303" s="27" t="s">
        <v>8</v>
      </c>
      <c r="DP303" s="27" t="s">
        <v>7</v>
      </c>
    </row>
    <row r="304" spans="1:120" x14ac:dyDescent="0.25">
      <c r="A304" s="30">
        <v>4.4043807875519279E-2</v>
      </c>
      <c r="B304"/>
      <c r="C304"/>
      <c r="D304"/>
      <c r="E304"/>
      <c r="F304" s="27" t="s">
        <v>7</v>
      </c>
      <c r="AU304" s="27" t="s">
        <v>8</v>
      </c>
      <c r="CP304" s="27" t="s">
        <v>7</v>
      </c>
      <c r="CQ304" s="27" t="s">
        <v>8</v>
      </c>
      <c r="CR304" s="27" t="s">
        <v>7</v>
      </c>
      <c r="CS304" s="27" t="s">
        <v>8</v>
      </c>
      <c r="CT304" s="27" t="s">
        <v>7</v>
      </c>
      <c r="CU304" s="27" t="s">
        <v>8</v>
      </c>
      <c r="CZ304" s="31"/>
      <c r="DD304" s="27" t="s">
        <v>7</v>
      </c>
      <c r="DF304" s="27" t="s">
        <v>7</v>
      </c>
      <c r="DG304" s="27" t="s">
        <v>8</v>
      </c>
      <c r="DJ304" s="27" t="s">
        <v>7</v>
      </c>
      <c r="DN304" s="27" t="s">
        <v>7</v>
      </c>
      <c r="DP304" s="27" t="s">
        <v>7</v>
      </c>
    </row>
    <row r="305" spans="1:131" x14ac:dyDescent="0.25">
      <c r="A305" s="30">
        <v>4.1946483690970725E-2</v>
      </c>
      <c r="B305"/>
      <c r="C305"/>
      <c r="D305"/>
      <c r="E305"/>
      <c r="F305" s="27" t="s">
        <v>7</v>
      </c>
      <c r="AU305" s="27" t="s">
        <v>8</v>
      </c>
      <c r="CP305" s="27" t="s">
        <v>7</v>
      </c>
      <c r="CQ305" s="27" t="s">
        <v>8</v>
      </c>
      <c r="CR305" s="27" t="s">
        <v>7</v>
      </c>
      <c r="CS305" s="27" t="s">
        <v>8</v>
      </c>
      <c r="CT305" s="27" t="s">
        <v>7</v>
      </c>
      <c r="CU305" s="27" t="s">
        <v>8</v>
      </c>
      <c r="CY305" s="31"/>
      <c r="DF305" s="27" t="s">
        <v>7</v>
      </c>
      <c r="DP305" s="27" t="s">
        <v>7</v>
      </c>
    </row>
    <row r="306" spans="1:131" x14ac:dyDescent="0.25">
      <c r="A306" s="30">
        <v>3.9949032086638768E-2</v>
      </c>
      <c r="B306"/>
      <c r="C306"/>
      <c r="D306"/>
      <c r="E306"/>
      <c r="F306" s="27" t="s">
        <v>7</v>
      </c>
      <c r="AS306" s="27" t="s">
        <v>8</v>
      </c>
      <c r="AU306" s="27" t="s">
        <v>8</v>
      </c>
      <c r="CP306" s="27" t="s">
        <v>7</v>
      </c>
      <c r="CQ306" s="27" t="s">
        <v>8</v>
      </c>
      <c r="CR306" s="27" t="s">
        <v>7</v>
      </c>
      <c r="CT306" s="27" t="s">
        <v>7</v>
      </c>
      <c r="CU306" s="27" t="s">
        <v>8</v>
      </c>
      <c r="CX306" s="31"/>
      <c r="DP306" s="27" t="s">
        <v>7</v>
      </c>
      <c r="DQ306" s="27" t="s">
        <v>8</v>
      </c>
      <c r="DS306" s="27" t="s">
        <v>8</v>
      </c>
      <c r="DU306" s="27" t="s">
        <v>8</v>
      </c>
    </row>
    <row r="307" spans="1:131" x14ac:dyDescent="0.25">
      <c r="A307" s="30">
        <v>3.8046697225370241E-2</v>
      </c>
      <c r="B307"/>
      <c r="C307"/>
      <c r="D307"/>
      <c r="E307"/>
      <c r="F307" s="27" t="s">
        <v>7</v>
      </c>
      <c r="AS307" s="27" t="s">
        <v>8</v>
      </c>
      <c r="AT307" s="27" t="s">
        <v>7</v>
      </c>
      <c r="AU307" s="27" t="s">
        <v>8</v>
      </c>
      <c r="CP307" s="27" t="s">
        <v>7</v>
      </c>
      <c r="CQ307" s="27" t="s">
        <v>8</v>
      </c>
      <c r="CT307" s="34" t="s">
        <v>7</v>
      </c>
      <c r="CU307" s="27" t="s">
        <v>8</v>
      </c>
      <c r="CW307" s="31"/>
      <c r="DP307" s="27" t="s">
        <v>7</v>
      </c>
      <c r="DQ307" s="27" t="s">
        <v>8</v>
      </c>
      <c r="DR307" s="27" t="s">
        <v>7</v>
      </c>
      <c r="DS307" s="27" t="s">
        <v>8</v>
      </c>
      <c r="DT307" s="27" t="s">
        <v>7</v>
      </c>
      <c r="DU307" s="27" t="s">
        <v>8</v>
      </c>
      <c r="DV307" s="27" t="s">
        <v>7</v>
      </c>
    </row>
    <row r="308" spans="1:131" x14ac:dyDescent="0.25">
      <c r="A308" s="30">
        <v>3.6234949738447833E-2</v>
      </c>
      <c r="B308"/>
      <c r="C308"/>
      <c r="D308"/>
      <c r="E308"/>
      <c r="F308" s="27" t="s">
        <v>7</v>
      </c>
      <c r="K308" s="27" t="s">
        <v>8</v>
      </c>
      <c r="AS308" s="27" t="s">
        <v>8</v>
      </c>
      <c r="AT308" s="27" t="s">
        <v>7</v>
      </c>
      <c r="AU308" s="27" t="s">
        <v>8</v>
      </c>
      <c r="CP308" s="27" t="s">
        <v>7</v>
      </c>
      <c r="CQ308" s="27" t="s">
        <v>8</v>
      </c>
      <c r="CT308" s="18" t="s">
        <v>7</v>
      </c>
      <c r="CU308" s="27" t="s">
        <v>8</v>
      </c>
      <c r="CV308" s="31"/>
      <c r="DP308" s="27" t="s">
        <v>7</v>
      </c>
      <c r="DQ308" s="27" t="s">
        <v>8</v>
      </c>
      <c r="DR308" s="27" t="s">
        <v>7</v>
      </c>
      <c r="DS308" s="27" t="s">
        <v>8</v>
      </c>
      <c r="DT308" s="27" t="s">
        <v>7</v>
      </c>
      <c r="DU308" s="27" t="s">
        <v>8</v>
      </c>
      <c r="DV308" s="27" t="s">
        <v>7</v>
      </c>
    </row>
    <row r="309" spans="1:131" x14ac:dyDescent="0.25">
      <c r="A309" s="30">
        <v>3.4509475941378875E-2</v>
      </c>
      <c r="B309"/>
      <c r="C309"/>
      <c r="D309"/>
      <c r="E309"/>
      <c r="F309" s="27" t="s">
        <v>7</v>
      </c>
      <c r="K309" s="27" t="s">
        <v>8</v>
      </c>
      <c r="L309" s="27" t="s">
        <v>7</v>
      </c>
      <c r="AS309" s="27" t="s">
        <v>8</v>
      </c>
      <c r="AT309" s="27" t="s">
        <v>7</v>
      </c>
      <c r="CP309" s="27" t="s">
        <v>7</v>
      </c>
      <c r="CQ309" s="27" t="s">
        <v>8</v>
      </c>
      <c r="CT309" s="27" t="s">
        <v>7</v>
      </c>
      <c r="CU309" s="31" t="s">
        <v>8</v>
      </c>
      <c r="DP309" s="27" t="s">
        <v>7</v>
      </c>
      <c r="DQ309" s="27" t="s">
        <v>8</v>
      </c>
      <c r="DR309" s="27" t="s">
        <v>7</v>
      </c>
      <c r="DT309" s="27" t="s">
        <v>7</v>
      </c>
      <c r="DU309" s="27" t="s">
        <v>8</v>
      </c>
      <c r="DV309" s="27" t="s">
        <v>7</v>
      </c>
    </row>
    <row r="310" spans="1:131" x14ac:dyDescent="0.25">
      <c r="A310" s="30">
        <v>3.286616756321796E-2</v>
      </c>
      <c r="B310"/>
      <c r="C310"/>
      <c r="D310"/>
      <c r="E310"/>
      <c r="F310" s="27" t="s">
        <v>7</v>
      </c>
      <c r="K310" s="27" t="s">
        <v>8</v>
      </c>
      <c r="L310" s="27" t="s">
        <v>7</v>
      </c>
      <c r="AG310" s="27" t="s">
        <v>8</v>
      </c>
      <c r="AI310" s="27" t="s">
        <v>8</v>
      </c>
      <c r="AK310" s="27" t="s">
        <v>8</v>
      </c>
      <c r="AQ310" s="27" t="s">
        <v>8</v>
      </c>
      <c r="AS310" s="27" t="s">
        <v>8</v>
      </c>
      <c r="CP310" s="27" t="s">
        <v>7</v>
      </c>
      <c r="CT310" s="31" t="s">
        <v>7</v>
      </c>
      <c r="DP310" s="27" t="s">
        <v>7</v>
      </c>
      <c r="DQ310" s="27" t="s">
        <v>8</v>
      </c>
      <c r="DT310" s="27" t="s">
        <v>7</v>
      </c>
      <c r="DV310" s="27" t="s">
        <v>7</v>
      </c>
    </row>
    <row r="311" spans="1:131" x14ac:dyDescent="0.25">
      <c r="A311" s="30">
        <v>3.1301111964969472E-2</v>
      </c>
      <c r="B311"/>
      <c r="C311"/>
      <c r="D311"/>
      <c r="E311"/>
      <c r="F311" s="27" t="s">
        <v>7</v>
      </c>
      <c r="K311" s="27" t="s">
        <v>8</v>
      </c>
      <c r="L311" s="27" t="s">
        <v>7</v>
      </c>
      <c r="O311" s="27" t="s">
        <v>8</v>
      </c>
      <c r="AC311" s="27" t="s">
        <v>8</v>
      </c>
      <c r="AG311" s="27" t="s">
        <v>8</v>
      </c>
      <c r="AH311" s="27" t="s">
        <v>7</v>
      </c>
      <c r="AI311" s="27" t="s">
        <v>8</v>
      </c>
      <c r="AJ311" s="27" t="s">
        <v>7</v>
      </c>
      <c r="AK311" s="27" t="s">
        <v>8</v>
      </c>
      <c r="AL311" s="27" t="s">
        <v>7</v>
      </c>
      <c r="AQ311" s="27" t="s">
        <v>8</v>
      </c>
      <c r="AR311" s="27" t="s">
        <v>7</v>
      </c>
      <c r="AS311" s="27" t="s">
        <v>8</v>
      </c>
      <c r="DP311" s="27" t="s">
        <v>7</v>
      </c>
      <c r="DQ311" s="27" t="s">
        <v>8</v>
      </c>
      <c r="DV311" s="27" t="s">
        <v>7</v>
      </c>
      <c r="DW311" s="27" t="s">
        <v>8</v>
      </c>
    </row>
    <row r="312" spans="1:131" x14ac:dyDescent="0.25">
      <c r="A312" s="30">
        <v>2.9810582823780438E-2</v>
      </c>
      <c r="B312"/>
      <c r="C312"/>
      <c r="D312"/>
      <c r="E312"/>
      <c r="F312" s="27" t="s">
        <v>7</v>
      </c>
      <c r="K312" s="27" t="s">
        <v>8</v>
      </c>
      <c r="L312" s="27" t="s">
        <v>7</v>
      </c>
      <c r="O312" s="27" t="s">
        <v>8</v>
      </c>
      <c r="P312" s="27" t="s">
        <v>7</v>
      </c>
      <c r="Q312" s="27" t="s">
        <v>8</v>
      </c>
      <c r="W312" s="27" t="s">
        <v>8</v>
      </c>
      <c r="AC312" s="27" t="s">
        <v>8</v>
      </c>
      <c r="AD312" s="27" t="s">
        <v>7</v>
      </c>
      <c r="AE312" s="27" t="s">
        <v>8</v>
      </c>
      <c r="AG312" s="27" t="s">
        <v>8</v>
      </c>
      <c r="AH312" s="27" t="s">
        <v>7</v>
      </c>
      <c r="AI312" s="27" t="s">
        <v>8</v>
      </c>
      <c r="AJ312" s="27" t="s">
        <v>7</v>
      </c>
      <c r="AK312" s="27" t="s">
        <v>8</v>
      </c>
      <c r="AL312" s="27" t="s">
        <v>7</v>
      </c>
      <c r="AQ312" s="27" t="s">
        <v>8</v>
      </c>
      <c r="AR312" s="27" t="s">
        <v>7</v>
      </c>
      <c r="AS312" s="27" t="s">
        <v>8</v>
      </c>
      <c r="DP312" s="27" t="s">
        <v>7</v>
      </c>
      <c r="DQ312" s="27" t="s">
        <v>8</v>
      </c>
      <c r="DV312" s="27" t="s">
        <v>7</v>
      </c>
      <c r="DW312" s="27" t="s">
        <v>8</v>
      </c>
      <c r="DX312" s="27" t="s">
        <v>7</v>
      </c>
    </row>
    <row r="313" spans="1:131" x14ac:dyDescent="0.25">
      <c r="A313" s="30">
        <v>2.8391031260743264E-2</v>
      </c>
      <c r="B313"/>
      <c r="C313"/>
      <c r="D313"/>
      <c r="E313"/>
      <c r="F313" s="27" t="s">
        <v>7</v>
      </c>
      <c r="I313" s="27" t="s">
        <v>8</v>
      </c>
      <c r="K313" s="27" t="s">
        <v>8</v>
      </c>
      <c r="L313" s="27" t="s">
        <v>7</v>
      </c>
      <c r="O313" s="27" t="s">
        <v>8</v>
      </c>
      <c r="P313" s="27" t="s">
        <v>7</v>
      </c>
      <c r="Q313" s="27" t="s">
        <v>8</v>
      </c>
      <c r="R313" s="27" t="s">
        <v>7</v>
      </c>
      <c r="W313" s="27" t="s">
        <v>8</v>
      </c>
      <c r="X313" s="27" t="s">
        <v>7</v>
      </c>
      <c r="AC313" s="27" t="s">
        <v>8</v>
      </c>
      <c r="AD313" s="27" t="s">
        <v>7</v>
      </c>
      <c r="AE313" s="27" t="s">
        <v>8</v>
      </c>
      <c r="AF313" s="27" t="s">
        <v>7</v>
      </c>
      <c r="AG313" s="27" t="s">
        <v>8</v>
      </c>
      <c r="AH313" s="27" t="s">
        <v>7</v>
      </c>
      <c r="AI313" s="27" t="s">
        <v>8</v>
      </c>
      <c r="AJ313" s="27" t="s">
        <v>7</v>
      </c>
      <c r="AL313" s="27" t="s">
        <v>7</v>
      </c>
      <c r="AM313" s="27" t="s">
        <v>8</v>
      </c>
      <c r="AQ313" s="27" t="s">
        <v>8</v>
      </c>
      <c r="AR313" s="27" t="s">
        <v>7</v>
      </c>
      <c r="AS313" s="27" t="s">
        <v>8</v>
      </c>
      <c r="DP313" s="27" t="s">
        <v>7</v>
      </c>
      <c r="DQ313" s="27" t="s">
        <v>8</v>
      </c>
      <c r="DV313" s="27" t="s">
        <v>7</v>
      </c>
      <c r="DW313" s="27" t="s">
        <v>8</v>
      </c>
      <c r="DX313" s="27" t="s">
        <v>7</v>
      </c>
    </row>
    <row r="314" spans="1:131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I314" s="27" t="s">
        <v>8</v>
      </c>
      <c r="J314" s="27" t="s">
        <v>7</v>
      </c>
      <c r="K314" s="27" t="s">
        <v>8</v>
      </c>
      <c r="L314" s="27" t="s">
        <v>7</v>
      </c>
      <c r="M314" s="27" t="s">
        <v>8</v>
      </c>
      <c r="O314" s="27" t="s">
        <v>8</v>
      </c>
      <c r="P314" s="27" t="s">
        <v>7</v>
      </c>
      <c r="Q314" s="27" t="s">
        <v>8</v>
      </c>
      <c r="R314" s="27" t="s">
        <v>7</v>
      </c>
      <c r="W314" s="27" t="s">
        <v>8</v>
      </c>
      <c r="X314" s="27" t="s">
        <v>7</v>
      </c>
      <c r="AC314" s="27" t="s">
        <v>8</v>
      </c>
      <c r="AD314" s="27" t="s">
        <v>7</v>
      </c>
      <c r="AE314" s="27" t="s">
        <v>8</v>
      </c>
      <c r="AF314" s="27" t="s">
        <v>7</v>
      </c>
      <c r="AG314" s="27" t="s">
        <v>8</v>
      </c>
      <c r="AH314" s="27" t="s">
        <v>7</v>
      </c>
      <c r="AL314" s="27" t="s">
        <v>7</v>
      </c>
      <c r="AM314" s="27" t="s">
        <v>8</v>
      </c>
      <c r="AN314" s="27" t="s">
        <v>7</v>
      </c>
      <c r="AQ314" s="27" t="s">
        <v>8</v>
      </c>
      <c r="AR314" s="27" t="s">
        <v>7</v>
      </c>
      <c r="DP314" s="27" t="s">
        <v>7</v>
      </c>
      <c r="DV314" s="27" t="s">
        <v>7</v>
      </c>
      <c r="DX314" s="27" t="s">
        <v>7</v>
      </c>
    </row>
    <row r="315" spans="1:131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H315" s="27" t="s">
        <v>7</v>
      </c>
      <c r="I315" s="27" t="s">
        <v>8</v>
      </c>
      <c r="J315" s="27" t="s">
        <v>7</v>
      </c>
      <c r="K315" s="27" t="s">
        <v>8</v>
      </c>
      <c r="L315" s="27" t="s">
        <v>7</v>
      </c>
      <c r="M315" s="27" t="s">
        <v>8</v>
      </c>
      <c r="N315" s="27" t="s">
        <v>7</v>
      </c>
      <c r="O315" s="27" t="s">
        <v>8</v>
      </c>
      <c r="P315" s="27" t="s">
        <v>7</v>
      </c>
      <c r="Q315" s="27" t="s">
        <v>8</v>
      </c>
      <c r="R315" s="27" t="s">
        <v>7</v>
      </c>
      <c r="W315" s="27" t="s">
        <v>8</v>
      </c>
      <c r="X315" s="27" t="s">
        <v>7</v>
      </c>
      <c r="AC315" s="27" t="s">
        <v>8</v>
      </c>
      <c r="AD315" s="27" t="s">
        <v>7</v>
      </c>
      <c r="AE315" s="27" t="s">
        <v>8</v>
      </c>
      <c r="AF315" s="27" t="s">
        <v>7</v>
      </c>
      <c r="AG315" s="27" t="s">
        <v>8</v>
      </c>
      <c r="AL315" s="27" t="s">
        <v>7</v>
      </c>
      <c r="AM315" s="27" t="s">
        <v>8</v>
      </c>
      <c r="AN315" s="27" t="s">
        <v>7</v>
      </c>
      <c r="AO315" s="27" t="s">
        <v>8</v>
      </c>
      <c r="AQ315" s="27" t="s">
        <v>8</v>
      </c>
      <c r="DX315" s="27" t="s">
        <v>7</v>
      </c>
    </row>
    <row r="316" spans="1:131" x14ac:dyDescent="0.25">
      <c r="A316" s="30">
        <v>2.4525240264112496E-2</v>
      </c>
      <c r="B316"/>
      <c r="C316"/>
      <c r="D316"/>
      <c r="E316"/>
      <c r="F316" s="27" t="s">
        <v>7</v>
      </c>
      <c r="G316" s="27" t="s">
        <v>8</v>
      </c>
      <c r="H316" s="27" t="s">
        <v>7</v>
      </c>
      <c r="I316" s="27" t="s">
        <v>8</v>
      </c>
      <c r="J316" s="27" t="s">
        <v>7</v>
      </c>
      <c r="L316" s="27" t="s">
        <v>7</v>
      </c>
      <c r="M316" s="27" t="s">
        <v>8</v>
      </c>
      <c r="N316" s="27" t="s">
        <v>7</v>
      </c>
      <c r="O316" s="27" t="s">
        <v>8</v>
      </c>
      <c r="P316" s="27" t="s">
        <v>7</v>
      </c>
      <c r="Q316" s="27" t="s">
        <v>8</v>
      </c>
      <c r="R316" s="27" t="s">
        <v>7</v>
      </c>
      <c r="W316" s="27" t="s">
        <v>8</v>
      </c>
      <c r="X316" s="27" t="s">
        <v>7</v>
      </c>
      <c r="Y316" s="27" t="s">
        <v>8</v>
      </c>
      <c r="AC316" s="27" t="s">
        <v>8</v>
      </c>
      <c r="AD316" s="27" t="s">
        <v>7</v>
      </c>
      <c r="AF316" s="27" t="s">
        <v>7</v>
      </c>
      <c r="AL316" s="27" t="s">
        <v>7</v>
      </c>
      <c r="AM316" s="27" t="s">
        <v>8</v>
      </c>
      <c r="AN316" s="27" t="s">
        <v>7</v>
      </c>
      <c r="AO316" s="27" t="s">
        <v>8</v>
      </c>
      <c r="AP316" s="27" t="s">
        <v>7</v>
      </c>
      <c r="AQ316" s="27" t="s">
        <v>8</v>
      </c>
      <c r="DX316" s="27" t="s">
        <v>7</v>
      </c>
    </row>
    <row r="317" spans="1:131" x14ac:dyDescent="0.25">
      <c r="A317" s="30">
        <v>2.3357371680107129E-2</v>
      </c>
      <c r="B317"/>
      <c r="C317"/>
      <c r="D317"/>
      <c r="E317"/>
      <c r="F317" s="27" t="s">
        <v>7</v>
      </c>
      <c r="G317" s="27" t="s">
        <v>8</v>
      </c>
      <c r="H317" s="27" t="s">
        <v>7</v>
      </c>
      <c r="L317" s="27" t="s">
        <v>7</v>
      </c>
      <c r="M317" s="27" t="s">
        <v>8</v>
      </c>
      <c r="N317" s="27" t="s">
        <v>7</v>
      </c>
      <c r="O317" s="27" t="s">
        <v>8</v>
      </c>
      <c r="P317" s="27" t="s">
        <v>7</v>
      </c>
      <c r="R317" s="27" t="s">
        <v>7</v>
      </c>
      <c r="W317" s="27" t="s">
        <v>8</v>
      </c>
      <c r="X317" s="27" t="s">
        <v>7</v>
      </c>
      <c r="Y317" s="27" t="s">
        <v>8</v>
      </c>
      <c r="Z317" s="27" t="s">
        <v>7</v>
      </c>
      <c r="AA317" s="27" t="s">
        <v>8</v>
      </c>
      <c r="AC317" s="27" t="s">
        <v>8</v>
      </c>
      <c r="AL317" s="27" t="s">
        <v>7</v>
      </c>
      <c r="AM317" s="27" t="s">
        <v>8</v>
      </c>
      <c r="AN317" s="27" t="s">
        <v>7</v>
      </c>
      <c r="AO317" s="27" t="s">
        <v>8</v>
      </c>
      <c r="AP317" s="27" t="s">
        <v>7</v>
      </c>
      <c r="AQ317" s="27" t="s">
        <v>8</v>
      </c>
      <c r="DX317" s="27" t="s">
        <v>7</v>
      </c>
      <c r="EA317" s="27" t="s">
        <v>8</v>
      </c>
    </row>
    <row r="318" spans="1:131" x14ac:dyDescent="0.25">
      <c r="A318" s="30">
        <v>2.2245115885816305E-2</v>
      </c>
      <c r="B318"/>
      <c r="C318"/>
      <c r="D318"/>
      <c r="E318"/>
      <c r="F318" s="27" t="s">
        <v>7</v>
      </c>
      <c r="G318" s="27" t="s">
        <v>8</v>
      </c>
      <c r="L318" s="27" t="s">
        <v>7</v>
      </c>
      <c r="M318" s="27" t="s">
        <v>8</v>
      </c>
      <c r="N318" s="27" t="s">
        <v>7</v>
      </c>
      <c r="O318" s="27" t="s">
        <v>8</v>
      </c>
      <c r="R318" s="27" t="s">
        <v>7</v>
      </c>
      <c r="S318" s="27" t="s">
        <v>8</v>
      </c>
      <c r="U318" s="27" t="s">
        <v>8</v>
      </c>
      <c r="W318" s="27" t="s">
        <v>8</v>
      </c>
      <c r="X318" s="27" t="s">
        <v>7</v>
      </c>
      <c r="Y318" s="27" t="s">
        <v>8</v>
      </c>
      <c r="Z318" s="27" t="s">
        <v>7</v>
      </c>
      <c r="AA318" s="27" t="s">
        <v>8</v>
      </c>
      <c r="AB318" s="27" t="s">
        <v>7</v>
      </c>
      <c r="AC318" s="27" t="s">
        <v>8</v>
      </c>
      <c r="AL318" s="27" t="s">
        <v>7</v>
      </c>
      <c r="AN318" s="27" t="s">
        <v>7</v>
      </c>
      <c r="AP318" s="27" t="s">
        <v>7</v>
      </c>
      <c r="DX318" s="27" t="s">
        <v>7</v>
      </c>
      <c r="EA318" s="27" t="s">
        <v>8</v>
      </c>
    </row>
    <row r="319" spans="1:131" x14ac:dyDescent="0.25">
      <c r="A319" s="30">
        <v>2.1185824653158377E-2</v>
      </c>
      <c r="B319"/>
      <c r="C319"/>
      <c r="D319"/>
      <c r="E319"/>
      <c r="F319" s="27" t="s">
        <v>7</v>
      </c>
      <c r="L319" s="27" t="s">
        <v>7</v>
      </c>
      <c r="N319" s="27" t="s">
        <v>7</v>
      </c>
      <c r="R319" s="27" t="s">
        <v>7</v>
      </c>
      <c r="S319" s="27" t="s">
        <v>8</v>
      </c>
      <c r="T319" s="27" t="s">
        <v>7</v>
      </c>
      <c r="U319" s="27" t="s">
        <v>8</v>
      </c>
      <c r="V319" s="27" t="s">
        <v>7</v>
      </c>
      <c r="W319" s="27" t="s">
        <v>8</v>
      </c>
      <c r="X319" s="27" t="s">
        <v>7</v>
      </c>
      <c r="Z319" s="27" t="s">
        <v>7</v>
      </c>
      <c r="AA319" s="27" t="s">
        <v>8</v>
      </c>
      <c r="AB319" s="27" t="s">
        <v>7</v>
      </c>
      <c r="AC319" s="27" t="s">
        <v>8</v>
      </c>
      <c r="DX319" s="27" t="s">
        <v>7</v>
      </c>
      <c r="DY319" s="27" t="s">
        <v>8</v>
      </c>
      <c r="EA319" s="27" t="s">
        <v>8</v>
      </c>
    </row>
    <row r="320" spans="1:131" x14ac:dyDescent="0.25">
      <c r="A320" s="30">
        <v>2.0176975860150829E-2</v>
      </c>
      <c r="B320"/>
      <c r="C320"/>
      <c r="D320"/>
      <c r="E320"/>
      <c r="R320" s="27" t="s">
        <v>7</v>
      </c>
      <c r="S320" s="27" t="s">
        <v>8</v>
      </c>
      <c r="T320" s="27" t="s">
        <v>7</v>
      </c>
      <c r="U320" s="27" t="s">
        <v>8</v>
      </c>
      <c r="V320" s="27" t="s">
        <v>7</v>
      </c>
      <c r="W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  <c r="DX320" s="27" t="s">
        <v>7</v>
      </c>
      <c r="DY320" s="27" t="s">
        <v>8</v>
      </c>
      <c r="DZ320" s="27" t="s">
        <v>7</v>
      </c>
      <c r="EA320" s="27" t="s">
        <v>8</v>
      </c>
    </row>
    <row r="321" spans="1:131" x14ac:dyDescent="0.25">
      <c r="A321" s="30">
        <v>1.9216167485857926E-2</v>
      </c>
      <c r="B321"/>
      <c r="C321"/>
      <c r="D321"/>
      <c r="E321"/>
      <c r="R321" s="27" t="s">
        <v>7</v>
      </c>
      <c r="T321" s="27" t="s">
        <v>7</v>
      </c>
      <c r="U321" s="27" t="s">
        <v>8</v>
      </c>
      <c r="V321" s="27" t="s">
        <v>7</v>
      </c>
      <c r="W321" s="27" t="s">
        <v>8</v>
      </c>
      <c r="Z321" s="27" t="s">
        <v>7</v>
      </c>
      <c r="AB321" s="27" t="s">
        <v>7</v>
      </c>
      <c r="AC321" s="27" t="s">
        <v>8</v>
      </c>
      <c r="DX321" s="27" t="s">
        <v>7</v>
      </c>
      <c r="DY321" s="27" t="s">
        <v>8</v>
      </c>
      <c r="DZ321" s="27" t="s">
        <v>7</v>
      </c>
      <c r="EA321" s="27" t="s">
        <v>8</v>
      </c>
    </row>
    <row r="322" spans="1:131" x14ac:dyDescent="0.25">
      <c r="A322" s="30">
        <v>1.8301111891293256E-2</v>
      </c>
      <c r="B322"/>
      <c r="C322"/>
      <c r="D322"/>
      <c r="E322"/>
      <c r="T322" s="27" t="s">
        <v>7</v>
      </c>
      <c r="V322" s="27" t="s">
        <v>7</v>
      </c>
      <c r="AB322" s="27" t="s">
        <v>7</v>
      </c>
      <c r="AC322" s="27" t="s">
        <v>8</v>
      </c>
      <c r="DX322" s="27" t="s">
        <v>7</v>
      </c>
      <c r="DZ322" s="27" t="s">
        <v>7</v>
      </c>
    </row>
    <row r="323" spans="1:131" x14ac:dyDescent="0.25">
      <c r="A323" s="30">
        <v>1.7429630372660238E-2</v>
      </c>
      <c r="B323"/>
      <c r="C323"/>
      <c r="D323"/>
      <c r="E323"/>
      <c r="AB323" s="27" t="s">
        <v>7</v>
      </c>
    </row>
    <row r="324" spans="1:131" x14ac:dyDescent="0.25">
      <c r="A324" s="30">
        <v>1.6599647973962125E-2</v>
      </c>
      <c r="B324"/>
      <c r="C324"/>
      <c r="D324"/>
      <c r="E324"/>
    </row>
    <row r="325" spans="1:131" x14ac:dyDescent="0.25">
      <c r="A325" s="30">
        <v>1.580918854663059E-2</v>
      </c>
      <c r="B325"/>
      <c r="C325"/>
      <c r="D325"/>
      <c r="E325"/>
    </row>
    <row r="326" spans="1:131" x14ac:dyDescent="0.25">
      <c r="A326" s="30">
        <v>1.5056370044410079E-2</v>
      </c>
      <c r="B326"/>
      <c r="C326"/>
      <c r="D326"/>
      <c r="E326"/>
    </row>
    <row r="327" spans="1:131" x14ac:dyDescent="0.25">
      <c r="A327" s="30">
        <v>1.4339400042295308E-2</v>
      </c>
      <c r="B327"/>
      <c r="C327"/>
      <c r="D327"/>
      <c r="E327"/>
    </row>
    <row r="328" spans="1:131" x14ac:dyDescent="0.25">
      <c r="A328" s="30">
        <v>1.365657146885267E-2</v>
      </c>
      <c r="B328"/>
      <c r="C328"/>
      <c r="D328"/>
      <c r="E328"/>
    </row>
    <row r="329" spans="1:131" x14ac:dyDescent="0.25">
      <c r="A329" s="30">
        <v>1.3006258541764442E-2</v>
      </c>
      <c r="B329"/>
      <c r="C329"/>
      <c r="D329"/>
      <c r="E329"/>
    </row>
    <row r="330" spans="1:131" x14ac:dyDescent="0.25">
      <c r="A330" s="30">
        <v>1.2386912896918512E-2</v>
      </c>
      <c r="B330"/>
      <c r="C330"/>
      <c r="D330"/>
      <c r="E330"/>
    </row>
    <row r="331" spans="1:131" x14ac:dyDescent="0.25">
      <c r="A331" s="30">
        <v>1.179705990182715E-2</v>
      </c>
      <c r="B331"/>
      <c r="C331"/>
      <c r="D331"/>
      <c r="E331"/>
    </row>
    <row r="332" spans="1:131" x14ac:dyDescent="0.25">
      <c r="A332" s="30">
        <v>1.1235295144597281E-2</v>
      </c>
      <c r="B332"/>
      <c r="C332"/>
      <c r="D332"/>
      <c r="E332"/>
    </row>
    <row r="333" spans="1:131" x14ac:dyDescent="0.25">
      <c r="A333" s="30">
        <v>1.0700281090092644E-2</v>
      </c>
      <c r="B333"/>
      <c r="C333"/>
      <c r="D333"/>
      <c r="E333"/>
    </row>
    <row r="334" spans="1:131" x14ac:dyDescent="0.25">
      <c r="A334" s="30">
        <v>1.0190743895326324E-2</v>
      </c>
      <c r="B334"/>
      <c r="C334"/>
      <c r="D334"/>
      <c r="E334"/>
    </row>
    <row r="335" spans="1:131" x14ac:dyDescent="0.25">
      <c r="A335" s="30">
        <v>9.7054703765012563E-3</v>
      </c>
      <c r="B335"/>
      <c r="C335"/>
      <c r="D335"/>
      <c r="E335"/>
    </row>
    <row r="336" spans="1:131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77" operator="equal">
      <formula>$U$1</formula>
    </cfRule>
    <cfRule type="cellIs" dxfId="67" priority="978" operator="equal">
      <formula>$S$1</formula>
    </cfRule>
  </conditionalFormatting>
  <conditionalFormatting sqref="D136">
    <cfRule type="cellIs" dxfId="66" priority="975" operator="equal">
      <formula>$S$1</formula>
    </cfRule>
    <cfRule type="cellIs" dxfId="65" priority="976" operator="equal">
      <formula>$U$1</formula>
    </cfRule>
  </conditionalFormatting>
  <conditionalFormatting sqref="C162">
    <cfRule type="cellIs" dxfId="64" priority="973" operator="equal">
      <formula>$U$1</formula>
    </cfRule>
    <cfRule type="cellIs" dxfId="63" priority="974" operator="equal">
      <formula>$S$1</formula>
    </cfRule>
  </conditionalFormatting>
  <conditionalFormatting sqref="D162">
    <cfRule type="cellIs" dxfId="62" priority="971" operator="equal">
      <formula>$S$1</formula>
    </cfRule>
    <cfRule type="cellIs" dxfId="61" priority="972" operator="equal">
      <formula>$U$1</formula>
    </cfRule>
  </conditionalFormatting>
  <conditionalFormatting sqref="C187">
    <cfRule type="cellIs" dxfId="60" priority="969" operator="equal">
      <formula>$U$1</formula>
    </cfRule>
    <cfRule type="cellIs" dxfId="59" priority="970" operator="equal">
      <formula>$S$1</formula>
    </cfRule>
  </conditionalFormatting>
  <conditionalFormatting sqref="D187">
    <cfRule type="cellIs" dxfId="58" priority="967" operator="equal">
      <formula>$S$1</formula>
    </cfRule>
    <cfRule type="cellIs" dxfId="57" priority="968" operator="equal">
      <formula>$U$1</formula>
    </cfRule>
  </conditionalFormatting>
  <conditionalFormatting sqref="C212">
    <cfRule type="cellIs" dxfId="56" priority="965" operator="equal">
      <formula>$U$1</formula>
    </cfRule>
    <cfRule type="cellIs" dxfId="55" priority="966" operator="equal">
      <formula>$S$1</formula>
    </cfRule>
  </conditionalFormatting>
  <conditionalFormatting sqref="D212">
    <cfRule type="cellIs" dxfId="54" priority="963" operator="equal">
      <formula>$S$1</formula>
    </cfRule>
    <cfRule type="cellIs" dxfId="53" priority="964" operator="equal">
      <formula>$U$1</formula>
    </cfRule>
  </conditionalFormatting>
  <conditionalFormatting sqref="C237">
    <cfRule type="cellIs" dxfId="52" priority="961" operator="equal">
      <formula>$U$1</formula>
    </cfRule>
    <cfRule type="cellIs" dxfId="51" priority="962" operator="equal">
      <formula>$S$1</formula>
    </cfRule>
  </conditionalFormatting>
  <conditionalFormatting sqref="D237">
    <cfRule type="cellIs" dxfId="50" priority="959" operator="equal">
      <formula>$S$1</formula>
    </cfRule>
    <cfRule type="cellIs" dxfId="49" priority="960" operator="equal">
      <formula>$U$1</formula>
    </cfRule>
  </conditionalFormatting>
  <conditionalFormatting sqref="C106">
    <cfRule type="cellIs" dxfId="48" priority="957" operator="equal">
      <formula>$U$1</formula>
    </cfRule>
    <cfRule type="cellIs" dxfId="47" priority="958" operator="equal">
      <formula>$S$1</formula>
    </cfRule>
  </conditionalFormatting>
  <conditionalFormatting sqref="D106">
    <cfRule type="cellIs" dxfId="46" priority="955" operator="equal">
      <formula>$S$1</formula>
    </cfRule>
    <cfRule type="cellIs" dxfId="45" priority="956" operator="equal">
      <formula>$U$1</formula>
    </cfRule>
  </conditionalFormatting>
  <conditionalFormatting sqref="C81">
    <cfRule type="cellIs" dxfId="44" priority="953" operator="equal">
      <formula>$U$1</formula>
    </cfRule>
    <cfRule type="cellIs" dxfId="43" priority="954" operator="equal">
      <formula>$S$1</formula>
    </cfRule>
  </conditionalFormatting>
  <conditionalFormatting sqref="D81">
    <cfRule type="cellIs" dxfId="42" priority="951" operator="equal">
      <formula>$S$1</formula>
    </cfRule>
    <cfRule type="cellIs" dxfId="41" priority="952" operator="equal">
      <formula>$U$1</formula>
    </cfRule>
  </conditionalFormatting>
  <conditionalFormatting sqref="C56">
    <cfRule type="cellIs" dxfId="40" priority="949" operator="equal">
      <formula>$U$1</formula>
    </cfRule>
    <cfRule type="cellIs" dxfId="39" priority="950" operator="equal">
      <formula>$S$1</formula>
    </cfRule>
  </conditionalFormatting>
  <conditionalFormatting sqref="D56">
    <cfRule type="cellIs" dxfId="38" priority="947" operator="equal">
      <formula>$S$1</formula>
    </cfRule>
    <cfRule type="cellIs" dxfId="37" priority="948" operator="equal">
      <formula>$U$1</formula>
    </cfRule>
  </conditionalFormatting>
  <conditionalFormatting sqref="C31">
    <cfRule type="cellIs" dxfId="36" priority="945" operator="equal">
      <formula>$U$1</formula>
    </cfRule>
    <cfRule type="cellIs" dxfId="35" priority="946" operator="equal">
      <formula>$S$1</formula>
    </cfRule>
  </conditionalFormatting>
  <conditionalFormatting sqref="D31">
    <cfRule type="cellIs" dxfId="34" priority="943" operator="equal">
      <formula>$S$1</formula>
    </cfRule>
    <cfRule type="cellIs" dxfId="33" priority="94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4" zoomScale="90" zoomScaleNormal="90" workbookViewId="0">
      <pane xSplit="4" topLeftCell="G1" activePane="topRight" state="frozen"/>
      <selection activeCell="A109" sqref="A109"/>
      <selection pane="topRight" activeCell="AN163" sqref="AN16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$A$162</v>
      </c>
      <c r="D111" s="1" t="str">
        <f>ADDRESS(C121-1,D121,1,1)</f>
        <v>$AN$162</v>
      </c>
      <c r="E111"/>
    </row>
    <row r="112" spans="1:5" x14ac:dyDescent="0.25">
      <c r="A112" s="30">
        <v>2.3579476910000019</v>
      </c>
      <c r="C112" s="1" t="str">
        <f>ADDRESS(C121,1,1,1)</f>
        <v>$A$163</v>
      </c>
      <c r="D112" s="1" t="str">
        <f>ADDRESS(C121,D121-1,1,1)</f>
        <v>$AM$163</v>
      </c>
      <c r="E112"/>
    </row>
    <row r="113" spans="1:6" x14ac:dyDescent="0.25">
      <c r="A113" s="30">
        <v>2.1435888100000016</v>
      </c>
      <c r="C113" s="1" t="str">
        <f>ADDRESS(C121+1,1,1,1)</f>
        <v>$A$164</v>
      </c>
      <c r="D113" s="1" t="str">
        <f>ADDRESS(C121-1,D121+1,1,1)</f>
        <v>$AO$162</v>
      </c>
    </row>
    <row r="114" spans="1:6" x14ac:dyDescent="0.25">
      <c r="A114" s="30">
        <v>1.9487171000000014</v>
      </c>
      <c r="C114" s="1" t="str">
        <f>ADDRESS(C121,D121,1,1)</f>
        <v>$AN$163</v>
      </c>
      <c r="D114" s="1" t="str">
        <f>ADDRESS(C121+1,D121+1,1,1)</f>
        <v>$AO$164</v>
      </c>
    </row>
    <row r="115" spans="1:6" x14ac:dyDescent="0.25">
      <c r="A115" s="30">
        <v>1.7715610000000011</v>
      </c>
      <c r="C115" s="1" t="str">
        <f>ADDRESS(C121+1,D121,1,1)</f>
        <v>$AN$164</v>
      </c>
    </row>
    <row r="116" spans="1:6" x14ac:dyDescent="0.25">
      <c r="A116" s="30">
        <v>1.6105100000000008</v>
      </c>
      <c r="C116" s="1">
        <f>C117-1</f>
        <v>162</v>
      </c>
    </row>
    <row r="117" spans="1:6" x14ac:dyDescent="0.25">
      <c r="A117" s="30">
        <v>1.4641000000000006</v>
      </c>
      <c r="C117" s="1">
        <f>C121</f>
        <v>163</v>
      </c>
      <c r="D117" s="1">
        <f>D121</f>
        <v>40</v>
      </c>
    </row>
    <row r="118" spans="1:6" x14ac:dyDescent="0.25">
      <c r="A118" s="30">
        <v>1.3310000000000004</v>
      </c>
      <c r="C118" s="1">
        <f>C117+1</f>
        <v>164</v>
      </c>
      <c r="D118" s="1">
        <f>D117+1</f>
        <v>41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163</v>
      </c>
      <c r="D121" s="19">
        <v>40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R163</v>
      </c>
      <c r="D123" s="1" t="str">
        <f>"C"&amp;D121</f>
        <v>C40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1.8260271200148632E-2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2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28" x14ac:dyDescent="0.25">
      <c r="A130" s="30">
        <v>0.42409761837248428</v>
      </c>
      <c r="C130" s="6"/>
      <c r="D130" s="6"/>
      <c r="E130"/>
      <c r="F130" s="27" t="s">
        <v>7</v>
      </c>
    </row>
    <row r="131" spans="1:28" x14ac:dyDescent="0.25">
      <c r="A131" s="30">
        <v>0.38554328942953109</v>
      </c>
      <c r="E131"/>
      <c r="F131" s="27" t="s">
        <v>7</v>
      </c>
    </row>
    <row r="132" spans="1:28" x14ac:dyDescent="0.25">
      <c r="A132" s="30">
        <v>0.35049389948139187</v>
      </c>
      <c r="C132" s="1" t="s">
        <v>13</v>
      </c>
      <c r="E132"/>
      <c r="F132" s="27" t="s">
        <v>7</v>
      </c>
    </row>
    <row r="133" spans="1:28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28" x14ac:dyDescent="0.25">
      <c r="A134" s="30">
        <v>0.28966437973668741</v>
      </c>
      <c r="C134"/>
      <c r="D134"/>
      <c r="E134"/>
      <c r="F134" s="27" t="s">
        <v>7</v>
      </c>
    </row>
    <row r="135" spans="1:28" x14ac:dyDescent="0.25">
      <c r="A135" s="30">
        <v>0.2633312543060794</v>
      </c>
      <c r="C135" s="1" t="s">
        <v>14</v>
      </c>
      <c r="E135"/>
      <c r="F135" s="27" t="s">
        <v>7</v>
      </c>
    </row>
    <row r="136" spans="1:2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28" x14ac:dyDescent="0.25">
      <c r="A137" s="30">
        <v>0.2176291357901482</v>
      </c>
      <c r="E137"/>
      <c r="F137" s="27" t="s">
        <v>7</v>
      </c>
    </row>
    <row r="138" spans="1:2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28" x14ac:dyDescent="0.25">
      <c r="A139" s="30">
        <v>0.17985878990921333</v>
      </c>
      <c r="E139"/>
      <c r="F139" s="27" t="s">
        <v>7</v>
      </c>
      <c r="W139" s="33" t="s">
        <v>8</v>
      </c>
    </row>
    <row r="140" spans="1:28" x14ac:dyDescent="0.25">
      <c r="A140" s="30">
        <v>0.16350799082655756</v>
      </c>
      <c r="C140" s="1">
        <v>0</v>
      </c>
      <c r="E140"/>
      <c r="F140" s="27" t="s">
        <v>7</v>
      </c>
      <c r="S140" s="32" t="s">
        <v>8</v>
      </c>
      <c r="U140" s="32" t="s">
        <v>8</v>
      </c>
      <c r="W140" s="27" t="s">
        <v>8</v>
      </c>
      <c r="X140" s="31" t="s">
        <v>7</v>
      </c>
    </row>
    <row r="141" spans="1:28" x14ac:dyDescent="0.25">
      <c r="A141" s="30">
        <v>0.14864362802414322</v>
      </c>
      <c r="C141" s="1">
        <v>1</v>
      </c>
      <c r="E141"/>
      <c r="F141" s="27" t="s">
        <v>7</v>
      </c>
      <c r="S141" s="27" t="s">
        <v>8</v>
      </c>
      <c r="T141" s="27" t="s">
        <v>7</v>
      </c>
      <c r="U141" s="27" t="s">
        <v>8</v>
      </c>
      <c r="V141" s="27" t="s">
        <v>7</v>
      </c>
      <c r="W141" s="27" t="s">
        <v>8</v>
      </c>
      <c r="X141" s="27" t="s">
        <v>7</v>
      </c>
      <c r="Y141" s="31"/>
    </row>
    <row r="142" spans="1:28" x14ac:dyDescent="0.25">
      <c r="A142" s="30">
        <v>0.13513057093103928</v>
      </c>
      <c r="C142" s="1">
        <v>2</v>
      </c>
      <c r="E142"/>
      <c r="F142" s="27" t="s">
        <v>7</v>
      </c>
      <c r="S142" s="27" t="s">
        <v>8</v>
      </c>
      <c r="T142" s="27" t="s">
        <v>7</v>
      </c>
      <c r="U142" s="27" t="s">
        <v>8</v>
      </c>
      <c r="V142" s="27" t="s">
        <v>7</v>
      </c>
      <c r="W142" s="27" t="s">
        <v>8</v>
      </c>
      <c r="X142" s="27" t="s">
        <v>7</v>
      </c>
      <c r="Z142" s="31"/>
    </row>
    <row r="143" spans="1:28" x14ac:dyDescent="0.25">
      <c r="A143" s="30">
        <v>0.12284597357367205</v>
      </c>
      <c r="C143" s="1">
        <v>3</v>
      </c>
      <c r="E143"/>
      <c r="F143" s="27" t="s">
        <v>7</v>
      </c>
      <c r="S143" s="27" t="s">
        <v>8</v>
      </c>
      <c r="T143" s="27" t="s">
        <v>7</v>
      </c>
      <c r="U143" s="27" t="s">
        <v>8</v>
      </c>
      <c r="V143" s="27" t="s">
        <v>7</v>
      </c>
      <c r="W143" s="27" t="s">
        <v>8</v>
      </c>
      <c r="X143" s="27" t="s">
        <v>7</v>
      </c>
      <c r="AA143" s="31"/>
    </row>
    <row r="144" spans="1:28" x14ac:dyDescent="0.25">
      <c r="A144" s="30">
        <v>0.11167815779424731</v>
      </c>
      <c r="C144" s="1">
        <v>4</v>
      </c>
      <c r="E144"/>
      <c r="F144" s="27" t="s">
        <v>7</v>
      </c>
      <c r="S144" s="27" t="s">
        <v>8</v>
      </c>
      <c r="T144" s="27" t="s">
        <v>7</v>
      </c>
      <c r="V144" s="27" t="s">
        <v>7</v>
      </c>
      <c r="W144" s="27" t="s">
        <v>8</v>
      </c>
      <c r="X144" s="27" t="s">
        <v>7</v>
      </c>
      <c r="AB144" s="31"/>
    </row>
    <row r="145" spans="1:40" x14ac:dyDescent="0.25">
      <c r="A145" s="30">
        <v>0.10152559799477026</v>
      </c>
      <c r="B145"/>
      <c r="C145"/>
      <c r="D145"/>
      <c r="E145"/>
      <c r="F145" s="27" t="s">
        <v>7</v>
      </c>
      <c r="S145" s="27" t="s">
        <v>8</v>
      </c>
      <c r="V145" s="34" t="s">
        <v>7</v>
      </c>
      <c r="X145" s="27" t="s">
        <v>7</v>
      </c>
      <c r="Y145" s="27" t="s">
        <v>8</v>
      </c>
      <c r="AC145" s="31"/>
    </row>
    <row r="146" spans="1:40" x14ac:dyDescent="0.25">
      <c r="A146" s="30">
        <v>9.2295998177063854E-2</v>
      </c>
      <c r="B146"/>
      <c r="C146"/>
      <c r="D146"/>
      <c r="E146"/>
      <c r="F146" s="27" t="s">
        <v>7</v>
      </c>
      <c r="S146" s="27" t="s">
        <v>8</v>
      </c>
      <c r="X146" s="34" t="s">
        <v>7</v>
      </c>
      <c r="Y146" s="27" t="s">
        <v>8</v>
      </c>
      <c r="Z146" s="27" t="s">
        <v>7</v>
      </c>
      <c r="AD146" s="31"/>
    </row>
    <row r="147" spans="1:40" x14ac:dyDescent="0.25">
      <c r="A147" s="30">
        <v>8.3905452888239848E-2</v>
      </c>
      <c r="B147"/>
      <c r="C147"/>
      <c r="D147"/>
      <c r="E147"/>
      <c r="F147" s="27" t="s">
        <v>7</v>
      </c>
      <c r="Q147" s="27" t="s">
        <v>8</v>
      </c>
      <c r="S147" s="27" t="s">
        <v>8</v>
      </c>
      <c r="X147" s="27" t="s">
        <v>7</v>
      </c>
      <c r="Y147" s="27" t="s">
        <v>8</v>
      </c>
      <c r="Z147" s="27" t="s">
        <v>7</v>
      </c>
      <c r="AE147" s="31"/>
    </row>
    <row r="148" spans="1:40" x14ac:dyDescent="0.25">
      <c r="A148" s="30">
        <v>7.6277684443854396E-2</v>
      </c>
      <c r="B148"/>
      <c r="C148"/>
      <c r="D148"/>
      <c r="E148"/>
      <c r="F148" s="27" t="s">
        <v>7</v>
      </c>
      <c r="Q148" s="27" t="s">
        <v>8</v>
      </c>
      <c r="R148" s="27" t="s">
        <v>7</v>
      </c>
      <c r="S148" s="27" t="s">
        <v>8</v>
      </c>
      <c r="X148" s="27" t="s">
        <v>7</v>
      </c>
      <c r="Y148" s="27" t="s">
        <v>8</v>
      </c>
      <c r="Z148" s="27" t="s">
        <v>7</v>
      </c>
      <c r="AA148" s="32" t="s">
        <v>8</v>
      </c>
      <c r="AC148" s="32" t="s">
        <v>8</v>
      </c>
      <c r="AF148" s="31"/>
      <c r="AG148" s="27" t="s">
        <v>8</v>
      </c>
    </row>
    <row r="149" spans="1:40" x14ac:dyDescent="0.25">
      <c r="A149" s="30">
        <v>6.9343349494413078E-2</v>
      </c>
      <c r="B149"/>
      <c r="C149"/>
      <c r="D149"/>
      <c r="E149"/>
      <c r="F149" s="27" t="s">
        <v>7</v>
      </c>
      <c r="Q149" s="27" t="s">
        <v>8</v>
      </c>
      <c r="R149" s="27" t="s">
        <v>7</v>
      </c>
      <c r="S149" s="27" t="s">
        <v>8</v>
      </c>
      <c r="X149" s="27" t="s">
        <v>7</v>
      </c>
      <c r="Y149" s="27" t="s">
        <v>8</v>
      </c>
      <c r="Z149" s="27" t="s">
        <v>7</v>
      </c>
      <c r="AA149" s="27" t="s">
        <v>8</v>
      </c>
      <c r="AB149" s="27" t="s">
        <v>7</v>
      </c>
      <c r="AC149" s="27" t="s">
        <v>8</v>
      </c>
      <c r="AD149" s="27" t="s">
        <v>7</v>
      </c>
      <c r="AG149" s="31" t="s">
        <v>8</v>
      </c>
      <c r="AH149" s="27" t="s">
        <v>7</v>
      </c>
      <c r="AI149" s="27" t="s">
        <v>8</v>
      </c>
      <c r="AK149" s="27" t="s">
        <v>8</v>
      </c>
    </row>
    <row r="150" spans="1:40" x14ac:dyDescent="0.25">
      <c r="A150" s="30">
        <v>6.3039408631284613E-2</v>
      </c>
      <c r="B150"/>
      <c r="C150"/>
      <c r="D150"/>
      <c r="E150"/>
      <c r="F150" s="27" t="s">
        <v>7</v>
      </c>
      <c r="Q150" s="27" t="s">
        <v>8</v>
      </c>
      <c r="R150" s="27" t="s">
        <v>7</v>
      </c>
      <c r="S150" s="27" t="s">
        <v>8</v>
      </c>
      <c r="X150" s="27" t="s">
        <v>7</v>
      </c>
      <c r="Y150" s="27" t="s">
        <v>8</v>
      </c>
      <c r="Z150" s="27" t="s">
        <v>7</v>
      </c>
      <c r="AA150" s="27" t="s">
        <v>8</v>
      </c>
      <c r="AB150" s="27" t="s">
        <v>7</v>
      </c>
      <c r="AC150" s="27" t="s">
        <v>8</v>
      </c>
      <c r="AD150" s="27" t="s">
        <v>7</v>
      </c>
      <c r="AG150" s="27" t="s">
        <v>8</v>
      </c>
      <c r="AH150" s="31" t="s">
        <v>7</v>
      </c>
      <c r="AI150" s="27" t="s">
        <v>8</v>
      </c>
      <c r="AJ150" s="27" t="s">
        <v>7</v>
      </c>
      <c r="AK150" s="27" t="s">
        <v>8</v>
      </c>
      <c r="AL150" s="27" t="s">
        <v>7</v>
      </c>
    </row>
    <row r="151" spans="1:40" x14ac:dyDescent="0.25">
      <c r="A151" s="30">
        <v>5.7308553301167818E-2</v>
      </c>
      <c r="B151"/>
      <c r="C151"/>
      <c r="D151"/>
      <c r="E151"/>
      <c r="F151" s="27" t="s">
        <v>7</v>
      </c>
      <c r="Q151" s="27" t="s">
        <v>8</v>
      </c>
      <c r="R151" s="27" t="s">
        <v>7</v>
      </c>
      <c r="S151" s="27" t="s">
        <v>8</v>
      </c>
      <c r="X151" s="27" t="s">
        <v>7</v>
      </c>
      <c r="Y151" s="27" t="s">
        <v>8</v>
      </c>
      <c r="Z151" s="31" t="s">
        <v>7</v>
      </c>
      <c r="AA151" s="27" t="s">
        <v>8</v>
      </c>
      <c r="AB151" s="27" t="s">
        <v>7</v>
      </c>
      <c r="AD151" s="27" t="s">
        <v>7</v>
      </c>
      <c r="AG151" s="27" t="s">
        <v>8</v>
      </c>
      <c r="AH151" s="27" t="s">
        <v>7</v>
      </c>
      <c r="AI151" s="27" t="s">
        <v>8</v>
      </c>
      <c r="AJ151" s="27" t="s">
        <v>7</v>
      </c>
      <c r="AK151" s="27" t="s">
        <v>8</v>
      </c>
      <c r="AL151" s="27" t="s">
        <v>7</v>
      </c>
    </row>
    <row r="152" spans="1:40" x14ac:dyDescent="0.25">
      <c r="A152" s="30">
        <v>5.2098684819243464E-2</v>
      </c>
      <c r="B152"/>
      <c r="C152"/>
      <c r="D152"/>
      <c r="E152"/>
      <c r="F152" s="27" t="s">
        <v>7</v>
      </c>
      <c r="Q152" s="27" t="s">
        <v>8</v>
      </c>
      <c r="R152" s="27" t="s">
        <v>7</v>
      </c>
      <c r="X152" s="32" t="s">
        <v>7</v>
      </c>
      <c r="Y152" s="31"/>
      <c r="Z152" s="32" t="s">
        <v>7</v>
      </c>
      <c r="AD152" s="27" t="s">
        <v>7</v>
      </c>
      <c r="AG152" s="33" t="s">
        <v>8</v>
      </c>
      <c r="AH152" s="27" t="s">
        <v>7</v>
      </c>
      <c r="AI152" s="27" t="s">
        <v>8</v>
      </c>
      <c r="AJ152" s="27" t="s">
        <v>7</v>
      </c>
      <c r="AL152" s="27" t="s">
        <v>7</v>
      </c>
    </row>
    <row r="153" spans="1:40" x14ac:dyDescent="0.25">
      <c r="A153" s="30">
        <v>4.7362440744766775E-2</v>
      </c>
      <c r="B153"/>
      <c r="C153"/>
      <c r="D153"/>
      <c r="E153"/>
      <c r="F153" s="27" t="s">
        <v>7</v>
      </c>
      <c r="Q153" s="27" t="s">
        <v>8</v>
      </c>
      <c r="X153" s="31"/>
      <c r="AD153" s="27" t="s">
        <v>7</v>
      </c>
      <c r="AE153" s="18" t="s">
        <v>8</v>
      </c>
      <c r="AG153" s="27" t="s">
        <v>8</v>
      </c>
      <c r="AH153" s="27" t="s">
        <v>7</v>
      </c>
      <c r="AI153" s="31" t="s">
        <v>8</v>
      </c>
      <c r="AL153" s="27" t="s">
        <v>7</v>
      </c>
    </row>
    <row r="154" spans="1:40" x14ac:dyDescent="0.25">
      <c r="A154" s="30">
        <v>4.3056764313424332E-2</v>
      </c>
      <c r="B154"/>
      <c r="C154"/>
      <c r="D154"/>
      <c r="E154"/>
      <c r="F154" s="27" t="s">
        <v>7</v>
      </c>
      <c r="Q154" s="27" t="s">
        <v>8</v>
      </c>
      <c r="W154" s="31"/>
      <c r="AD154" s="27" t="s">
        <v>7</v>
      </c>
      <c r="AE154" s="27" t="s">
        <v>8</v>
      </c>
      <c r="AF154" s="27" t="s">
        <v>7</v>
      </c>
      <c r="AG154" s="27" t="s">
        <v>8</v>
      </c>
      <c r="AH154" s="31" t="s">
        <v>7</v>
      </c>
      <c r="AL154" s="27" t="s">
        <v>7</v>
      </c>
    </row>
    <row r="155" spans="1:40" x14ac:dyDescent="0.25">
      <c r="A155" s="30">
        <v>3.9142513012203929E-2</v>
      </c>
      <c r="B155"/>
      <c r="C155"/>
      <c r="D155"/>
      <c r="E155"/>
      <c r="F155" s="27" t="s">
        <v>7</v>
      </c>
      <c r="Q155" s="27" t="s">
        <v>8</v>
      </c>
      <c r="V155" s="31"/>
      <c r="AD155" s="27" t="s">
        <v>7</v>
      </c>
      <c r="AE155" s="27" t="s">
        <v>8</v>
      </c>
      <c r="AF155" s="27" t="s">
        <v>7</v>
      </c>
      <c r="AG155" s="31" t="s">
        <v>8</v>
      </c>
      <c r="AL155" s="27" t="s">
        <v>7</v>
      </c>
      <c r="AM155" s="27" t="s">
        <v>8</v>
      </c>
    </row>
    <row r="156" spans="1:40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Q156" s="33" t="s">
        <v>8</v>
      </c>
      <c r="U156" s="31"/>
      <c r="AD156" s="27" t="s">
        <v>7</v>
      </c>
      <c r="AE156" s="27" t="s">
        <v>8</v>
      </c>
      <c r="AF156" s="31" t="s">
        <v>7</v>
      </c>
      <c r="AL156" s="27" t="s">
        <v>7</v>
      </c>
      <c r="AM156" s="27" t="s">
        <v>8</v>
      </c>
      <c r="AN156" s="27" t="s">
        <v>7</v>
      </c>
    </row>
    <row r="157" spans="1:40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M157" s="32" t="s">
        <v>8</v>
      </c>
      <c r="O157" s="32" t="s">
        <v>8</v>
      </c>
      <c r="Q157" s="27" t="s">
        <v>8</v>
      </c>
      <c r="T157" s="31"/>
      <c r="AD157" s="27" t="s">
        <v>7</v>
      </c>
      <c r="AL157" s="27" t="s">
        <v>7</v>
      </c>
      <c r="AM157" s="27" t="s">
        <v>8</v>
      </c>
      <c r="AN157" s="27" t="s">
        <v>7</v>
      </c>
    </row>
    <row r="158" spans="1:40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I158" s="32" t="s">
        <v>8</v>
      </c>
      <c r="K158" s="32" t="s">
        <v>8</v>
      </c>
      <c r="M158" s="27" t="s">
        <v>8</v>
      </c>
      <c r="N158" s="27" t="s">
        <v>7</v>
      </c>
      <c r="O158" s="27" t="s">
        <v>8</v>
      </c>
      <c r="P158" s="27" t="s">
        <v>7</v>
      </c>
      <c r="Q158" s="27" t="s">
        <v>8</v>
      </c>
      <c r="S158" s="31"/>
      <c r="AL158" s="27" t="s">
        <v>7</v>
      </c>
      <c r="AM158" s="27" t="s">
        <v>8</v>
      </c>
      <c r="AN158" s="27" t="s">
        <v>7</v>
      </c>
    </row>
    <row r="159" spans="1:40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I159" s="27" t="s">
        <v>8</v>
      </c>
      <c r="J159" s="27" t="s">
        <v>7</v>
      </c>
      <c r="K159" s="27" t="s">
        <v>8</v>
      </c>
      <c r="L159" s="27" t="s">
        <v>7</v>
      </c>
      <c r="M159" s="27" t="s">
        <v>8</v>
      </c>
      <c r="N159" s="27" t="s">
        <v>7</v>
      </c>
      <c r="O159" s="27" t="s">
        <v>8</v>
      </c>
      <c r="P159" s="27" t="s">
        <v>7</v>
      </c>
      <c r="Q159" s="27" t="s">
        <v>8</v>
      </c>
      <c r="R159" s="31"/>
      <c r="AL159" s="27" t="s">
        <v>7</v>
      </c>
      <c r="AN159" s="27" t="s">
        <v>7</v>
      </c>
    </row>
    <row r="160" spans="1:40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I160" s="27" t="s">
        <v>8</v>
      </c>
      <c r="J160" s="27" t="s">
        <v>7</v>
      </c>
      <c r="K160" s="27" t="s">
        <v>8</v>
      </c>
      <c r="L160" s="27" t="s">
        <v>7</v>
      </c>
      <c r="M160" s="27" t="s">
        <v>8</v>
      </c>
      <c r="N160" s="27" t="s">
        <v>7</v>
      </c>
      <c r="P160" s="27" t="s">
        <v>7</v>
      </c>
      <c r="Q160" s="31" t="s">
        <v>8</v>
      </c>
      <c r="AN160" s="27" t="s">
        <v>7</v>
      </c>
    </row>
    <row r="161" spans="1:40" x14ac:dyDescent="0.25">
      <c r="A161" s="30">
        <v>2.2094928152179852E-2</v>
      </c>
      <c r="B161"/>
      <c r="C161"/>
      <c r="D161"/>
      <c r="E161"/>
      <c r="F161" s="27" t="s">
        <v>7</v>
      </c>
      <c r="H161" s="27" t="s">
        <v>7</v>
      </c>
      <c r="J161" s="27" t="s">
        <v>7</v>
      </c>
      <c r="K161" s="27" t="s">
        <v>8</v>
      </c>
      <c r="L161" s="27" t="s">
        <v>7</v>
      </c>
      <c r="M161" s="27" t="s">
        <v>8</v>
      </c>
      <c r="P161" s="34" t="s">
        <v>7</v>
      </c>
      <c r="AN161" s="27" t="s">
        <v>7</v>
      </c>
    </row>
    <row r="162" spans="1:40" x14ac:dyDescent="0.25">
      <c r="A162" s="30">
        <v>2.0086298320163499E-2</v>
      </c>
      <c r="B162"/>
      <c r="C162"/>
      <c r="D162"/>
      <c r="E162"/>
      <c r="J162" s="27" t="s">
        <v>7</v>
      </c>
      <c r="K162" s="27" t="s">
        <v>8</v>
      </c>
      <c r="L162" s="27" t="s">
        <v>7</v>
      </c>
      <c r="M162" s="27" t="s">
        <v>8</v>
      </c>
      <c r="AN162" s="27" t="s">
        <v>7</v>
      </c>
    </row>
    <row r="163" spans="1:40" x14ac:dyDescent="0.25">
      <c r="A163" s="30">
        <v>1.8260271200148632E-2</v>
      </c>
      <c r="B163"/>
      <c r="C163"/>
      <c r="D163"/>
      <c r="E163"/>
      <c r="J163" s="32" t="s">
        <v>7</v>
      </c>
      <c r="L163" s="32" t="s">
        <v>7</v>
      </c>
      <c r="AN163" s="27" t="s">
        <v>7</v>
      </c>
    </row>
    <row r="164" spans="1:40" x14ac:dyDescent="0.25">
      <c r="A164" s="30">
        <v>1.6600246545589663E-2</v>
      </c>
      <c r="B164"/>
      <c r="C164"/>
      <c r="D164"/>
      <c r="E164"/>
    </row>
    <row r="165" spans="1:40" x14ac:dyDescent="0.25">
      <c r="A165" s="30">
        <v>1.5091133223263328E-2</v>
      </c>
      <c r="B165"/>
      <c r="C165"/>
      <c r="D165"/>
      <c r="E165"/>
    </row>
    <row r="166" spans="1:40" x14ac:dyDescent="0.25">
      <c r="A166" s="30">
        <v>1.3719212021148477E-2</v>
      </c>
      <c r="B166"/>
      <c r="C166"/>
      <c r="D166"/>
      <c r="E166"/>
    </row>
    <row r="167" spans="1:40" x14ac:dyDescent="0.25">
      <c r="A167" s="30">
        <v>1.2472010928316795E-2</v>
      </c>
      <c r="B167"/>
      <c r="C167"/>
      <c r="D167"/>
      <c r="E167"/>
    </row>
    <row r="168" spans="1:40" x14ac:dyDescent="0.25">
      <c r="A168" s="30">
        <v>1.1338191753015267E-2</v>
      </c>
      <c r="B168"/>
      <c r="C168"/>
      <c r="D168"/>
      <c r="E168"/>
    </row>
    <row r="169" spans="1:40" x14ac:dyDescent="0.25">
      <c r="A169" s="30">
        <v>1.0307447048195697E-2</v>
      </c>
      <c r="B169"/>
      <c r="C169"/>
      <c r="D169"/>
      <c r="E169"/>
    </row>
    <row r="170" spans="1:40" x14ac:dyDescent="0.25">
      <c r="A170" s="30">
        <v>9.3704064074506318E-3</v>
      </c>
      <c r="B170"/>
      <c r="C170"/>
      <c r="D170"/>
      <c r="E170"/>
    </row>
    <row r="171" spans="1:40" x14ac:dyDescent="0.25">
      <c r="A171" s="30">
        <v>8.5185512795005747E-3</v>
      </c>
    </row>
    <row r="172" spans="1:40" x14ac:dyDescent="0.25">
      <c r="A172" s="30">
        <v>7.744137526818704E-3</v>
      </c>
    </row>
    <row r="173" spans="1:40" x14ac:dyDescent="0.25">
      <c r="A173" s="30">
        <v>7.0401250243806394E-3</v>
      </c>
    </row>
    <row r="174" spans="1:40" x14ac:dyDescent="0.25">
      <c r="A174" s="30">
        <v>6.4001136585278536E-3</v>
      </c>
    </row>
    <row r="175" spans="1:40" x14ac:dyDescent="0.25">
      <c r="A175" s="30">
        <v>5.8182851441162305E-3</v>
      </c>
    </row>
    <row r="176" spans="1:40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61" operator="equal">
      <formula>$U$1</formula>
    </cfRule>
    <cfRule type="cellIs" dxfId="30" priority="962" operator="equal">
      <formula>$S$1</formula>
    </cfRule>
  </conditionalFormatting>
  <conditionalFormatting sqref="D136">
    <cfRule type="cellIs" dxfId="29" priority="959" operator="equal">
      <formula>$S$1</formula>
    </cfRule>
    <cfRule type="cellIs" dxfId="28" priority="960" operator="equal">
      <formula>$U$1</formula>
    </cfRule>
  </conditionalFormatting>
  <conditionalFormatting sqref="C102">
    <cfRule type="cellIs" dxfId="27" priority="957" operator="equal">
      <formula>$U$1</formula>
    </cfRule>
    <cfRule type="cellIs" dxfId="26" priority="958" operator="equal">
      <formula>$S$1</formula>
    </cfRule>
  </conditionalFormatting>
  <conditionalFormatting sqref="D102">
    <cfRule type="cellIs" dxfId="25" priority="955" operator="equal">
      <formula>$S$1</formula>
    </cfRule>
    <cfRule type="cellIs" dxfId="24" priority="956" operator="equal">
      <formula>$U$1</formula>
    </cfRule>
  </conditionalFormatting>
  <conditionalFormatting sqref="C77">
    <cfRule type="cellIs" dxfId="23" priority="953" operator="equal">
      <formula>$U$1</formula>
    </cfRule>
    <cfRule type="cellIs" dxfId="22" priority="954" operator="equal">
      <formula>$S$1</formula>
    </cfRule>
  </conditionalFormatting>
  <conditionalFormatting sqref="D77">
    <cfRule type="cellIs" dxfId="21" priority="951" operator="equal">
      <formula>$S$1</formula>
    </cfRule>
    <cfRule type="cellIs" dxfId="20" priority="952" operator="equal">
      <formula>$U$1</formula>
    </cfRule>
  </conditionalFormatting>
  <conditionalFormatting sqref="C52">
    <cfRule type="cellIs" dxfId="19" priority="949" operator="equal">
      <formula>$U$1</formula>
    </cfRule>
    <cfRule type="cellIs" dxfId="18" priority="950" operator="equal">
      <formula>$S$1</formula>
    </cfRule>
  </conditionalFormatting>
  <conditionalFormatting sqref="D52">
    <cfRule type="cellIs" dxfId="17" priority="947" operator="equal">
      <formula>$S$1</formula>
    </cfRule>
    <cfRule type="cellIs" dxfId="16" priority="948" operator="equal">
      <formula>$U$1</formula>
    </cfRule>
  </conditionalFormatting>
  <conditionalFormatting sqref="C26">
    <cfRule type="cellIs" dxfId="15" priority="945" operator="equal">
      <formula>$U$1</formula>
    </cfRule>
    <cfRule type="cellIs" dxfId="14" priority="946" operator="equal">
      <formula>$S$1</formula>
    </cfRule>
  </conditionalFormatting>
  <conditionalFormatting sqref="D26">
    <cfRule type="cellIs" dxfId="13" priority="943" operator="equal">
      <formula>$S$1</formula>
    </cfRule>
    <cfRule type="cellIs" dxfId="12" priority="94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3.286616756321796E-2</v>
      </c>
      <c r="F3" s="30">
        <v>3.4509475941378875E-2</v>
      </c>
      <c r="G3" s="30">
        <v>7.1742721991251604E-2</v>
      </c>
      <c r="H3" s="25">
        <f>IF(G3="","",(3*(G3-F3))+E3)</f>
        <v>0.14456590571283615</v>
      </c>
      <c r="I3" s="7"/>
      <c r="J3" s="7">
        <f>(E3+G3)/2</f>
        <v>5.2304444777234782E-2</v>
      </c>
      <c r="K3" s="7">
        <f>H3/2</f>
        <v>7.2282952856418073E-2</v>
      </c>
      <c r="M3" s="26">
        <f>IF(OR(J3="",H3=""),"",H3/J3)</f>
        <v>2.763931561238131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2022-01-28T01:15:50Z</dcterms:modified>
</cp:coreProperties>
</file>