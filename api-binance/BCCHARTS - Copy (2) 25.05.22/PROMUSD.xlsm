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B1072636-9BAD-4E08-808B-57910EE002FD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4"/>
  <c r="C133" i="4" s="1"/>
  <c r="D136" i="4" s="1"/>
  <c r="C118" i="4"/>
  <c r="C116" i="4"/>
  <c r="C118" i="3"/>
  <c r="C122" i="3"/>
  <c r="C133" i="3" s="1"/>
  <c r="C136" i="3" s="1"/>
  <c r="R765" i="1"/>
  <c r="C136" i="5" l="1"/>
  <c r="C138" i="5" s="1"/>
  <c r="C136" i="4"/>
  <c r="C138" i="4" s="1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S213" i="1" l="1"/>
  <c r="T213" i="1" s="1"/>
  <c r="R212" i="1"/>
  <c r="R211" i="1" l="1"/>
  <c r="S212" i="1"/>
  <c r="T212" i="1" s="1"/>
  <c r="R210" i="1" l="1"/>
  <c r="S211" i="1"/>
  <c r="T211" i="1" s="1"/>
  <c r="S210" i="1" l="1"/>
  <c r="T210" i="1" s="1"/>
  <c r="R209" i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S202" i="1" l="1"/>
  <c r="T202" i="1" s="1"/>
  <c r="R201" i="1"/>
  <c r="S201" i="1" l="1"/>
  <c r="T201" i="1" s="1"/>
  <c r="R200" i="1"/>
  <c r="R199" i="1" l="1"/>
  <c r="S200" i="1"/>
  <c r="T200" i="1" s="1"/>
  <c r="R198" i="1" l="1"/>
  <c r="S199" i="1"/>
  <c r="T199" i="1" s="1"/>
  <c r="S198" i="1" l="1"/>
  <c r="T198" i="1" s="1"/>
  <c r="R197" i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S190" i="1" l="1"/>
  <c r="T190" i="1" s="1"/>
  <c r="R189" i="1"/>
  <c r="S189" i="1" l="1"/>
  <c r="T189" i="1" s="1"/>
  <c r="R188" i="1"/>
  <c r="R187" i="1" l="1"/>
  <c r="S188" i="1"/>
  <c r="T188" i="1" s="1"/>
  <c r="R186" i="1" l="1"/>
  <c r="S187" i="1"/>
  <c r="T187" i="1" s="1"/>
  <c r="S186" i="1" l="1"/>
  <c r="T186" i="1" s="1"/>
  <c r="R185" i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S178" i="1" l="1"/>
  <c r="T178" i="1" s="1"/>
  <c r="R177" i="1"/>
  <c r="S177" i="1" l="1"/>
  <c r="T177" i="1" s="1"/>
  <c r="R176" i="1"/>
  <c r="R175" i="1" l="1"/>
  <c r="S176" i="1"/>
  <c r="T176" i="1" s="1"/>
  <c r="R174" i="1" l="1"/>
  <c r="S175" i="1"/>
  <c r="T175" i="1" s="1"/>
  <c r="S174" i="1" l="1"/>
  <c r="T174" i="1" s="1"/>
  <c r="R173" i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S166" i="1" l="1"/>
  <c r="T166" i="1" s="1"/>
  <c r="R165" i="1"/>
  <c r="S165" i="1" l="1"/>
  <c r="T165" i="1" s="1"/>
  <c r="R164" i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S154" i="1" l="1"/>
  <c r="T154" i="1" s="1"/>
  <c r="R153" i="1"/>
  <c r="S153" i="1" l="1"/>
  <c r="T153" i="1" s="1"/>
  <c r="R152" i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S142" i="1" l="1"/>
  <c r="T142" i="1" s="1"/>
  <c r="R141" i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S117" i="1" l="1"/>
  <c r="T117" i="1" s="1"/>
  <c r="R116" i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S106" i="1" l="1"/>
  <c r="T106" i="1" s="1"/>
  <c r="R105" i="1"/>
  <c r="S105" i="1" l="1"/>
  <c r="T105" i="1" s="1"/>
  <c r="R104" i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S93" i="1" l="1"/>
  <c r="T93" i="1" s="1"/>
  <c r="R92" i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S69" i="1" l="1"/>
  <c r="T69" i="1" s="1"/>
  <c r="R68" i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<sst xmlns="http://schemas.openxmlformats.org/spreadsheetml/2006/main" count="5756" uniqueCount="34">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</sst>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8.82</c:v>
                </c:pt>
                <c:pt idx="1">
                  <c:v>8.9499999999999993</c:v>
                </c:pt>
                <c:pt idx="2">
                  <c:v>8.93</c:v>
                </c:pt>
                <c:pt idx="3">
                  <c:v>9.0299999999999994</c:v>
                </c:pt>
                <c:pt idx="4">
                  <c:v>9.4</c:v>
                </c:pt>
                <c:pt idx="5">
                  <c:v>8.9600000000000009</c:v>
                </c:pt>
                <c:pt idx="6">
                  <c:v>9.6</c:v>
                </c:pt>
                <c:pt idx="7">
                  <c:v>11.1</c:v>
                </c:pt>
                <c:pt idx="8">
                  <c:v>12</c:v>
                </c:pt>
                <c:pt idx="9">
                  <c:v>13.22</c:v>
                </c:pt>
                <c:pt idx="10">
                  <c:v>11.31</c:v>
                </c:pt>
                <c:pt idx="11">
                  <c:v>11.44</c:v>
                </c:pt>
                <c:pt idx="12">
                  <c:v>11.45</c:v>
                </c:pt>
                <c:pt idx="13">
                  <c:v>11.48</c:v>
                </c:pt>
                <c:pt idx="14">
                  <c:v>11.05</c:v>
                </c:pt>
                <c:pt idx="15">
                  <c:v>11.75</c:v>
                </c:pt>
                <c:pt idx="16">
                  <c:v>11.13</c:v>
                </c:pt>
                <c:pt idx="17">
                  <c:v>10.84</c:v>
                </c:pt>
                <c:pt idx="18">
                  <c:v>11.29</c:v>
                </c:pt>
                <c:pt idx="19">
                  <c:v>11.04</c:v>
                </c:pt>
                <c:pt idx="20">
                  <c:v>11.3</c:v>
                </c:pt>
                <c:pt idx="21">
                  <c:v>12.13</c:v>
                </c:pt>
                <c:pt idx="22">
                  <c:v>11.99</c:v>
                </c:pt>
                <c:pt idx="23">
                  <c:v>12.58</c:v>
                </c:pt>
                <c:pt idx="24">
                  <c:v>12.52</c:v>
                </c:pt>
                <c:pt idx="25">
                  <c:v>12.37</c:v>
                </c:pt>
                <c:pt idx="26">
                  <c:v>12.44</c:v>
                </c:pt>
                <c:pt idx="27">
                  <c:v>11.94</c:v>
                </c:pt>
                <c:pt idx="28">
                  <c:v>12.19</c:v>
                </c:pt>
                <c:pt idx="29">
                  <c:v>12.11</c:v>
                </c:pt>
                <c:pt idx="30">
                  <c:v>12.38</c:v>
                </c:pt>
                <c:pt idx="31">
                  <c:v>13.29</c:v>
                </c:pt>
                <c:pt idx="32">
                  <c:v>13.17</c:v>
                </c:pt>
                <c:pt idx="33">
                  <c:v>13.56</c:v>
                </c:pt>
                <c:pt idx="34">
                  <c:v>13.08</c:v>
                </c:pt>
                <c:pt idx="35">
                  <c:v>13.36</c:v>
                </c:pt>
                <c:pt idx="36">
                  <c:v>12.77</c:v>
                </c:pt>
                <c:pt idx="37">
                  <c:v>13.22</c:v>
                </c:pt>
                <c:pt idx="38">
                  <c:v>13.14</c:v>
                </c:pt>
                <c:pt idx="39">
                  <c:v>15.14</c:v>
                </c:pt>
                <c:pt idx="40">
                  <c:v>12.53</c:v>
                </c:pt>
                <c:pt idx="41">
                  <c:v>11.37</c:v>
                </c:pt>
                <c:pt idx="42">
                  <c:v>12.23</c:v>
                </c:pt>
                <c:pt idx="43">
                  <c:v>12.03</c:v>
                </c:pt>
                <c:pt idx="44">
                  <c:v>11.65</c:v>
                </c:pt>
                <c:pt idx="45">
                  <c:v>11.33</c:v>
                </c:pt>
                <c:pt idx="46">
                  <c:v>12.82</c:v>
                </c:pt>
                <c:pt idx="47">
                  <c:v>12.65</c:v>
                </c:pt>
                <c:pt idx="48">
                  <c:v>12.44</c:v>
                </c:pt>
                <c:pt idx="49">
                  <c:v>12.88</c:v>
                </c:pt>
                <c:pt idx="50">
                  <c:v>13.82</c:v>
                </c:pt>
                <c:pt idx="51">
                  <c:v>13.81</c:v>
                </c:pt>
                <c:pt idx="52">
                  <c:v>13.98</c:v>
                </c:pt>
                <c:pt idx="53">
                  <c:v>13.38</c:v>
                </c:pt>
                <c:pt idx="54">
                  <c:v>13.46</c:v>
                </c:pt>
                <c:pt idx="55">
                  <c:v>15.7</c:v>
                </c:pt>
                <c:pt idx="56">
                  <c:v>16.07</c:v>
                </c:pt>
                <c:pt idx="57">
                  <c:v>15.59</c:v>
                </c:pt>
                <c:pt idx="58">
                  <c:v>15.66</c:v>
                </c:pt>
                <c:pt idx="59">
                  <c:v>16.25</c:v>
                </c:pt>
                <c:pt idx="60">
                  <c:v>16.14</c:v>
                </c:pt>
                <c:pt idx="61">
                  <c:v>15.81</c:v>
                </c:pt>
                <c:pt idx="62">
                  <c:v>15.54</c:v>
                </c:pt>
                <c:pt idx="63">
                  <c:v>16.940000000000001</c:v>
                </c:pt>
                <c:pt idx="64">
                  <c:v>16.32</c:v>
                </c:pt>
                <c:pt idx="65">
                  <c:v>16.47</c:v>
                </c:pt>
                <c:pt idx="66">
                  <c:v>16.329999999999998</c:v>
                </c:pt>
                <c:pt idx="67">
                  <c:v>17.38</c:v>
                </c:pt>
                <c:pt idx="68">
                  <c:v>16.920000000000002</c:v>
                </c:pt>
                <c:pt idx="69">
                  <c:v>17.02</c:v>
                </c:pt>
                <c:pt idx="70">
                  <c:v>15.56</c:v>
                </c:pt>
                <c:pt idx="71">
                  <c:v>16.93</c:v>
                </c:pt>
                <c:pt idx="72">
                  <c:v>17.170000000000002</c:v>
                </c:pt>
                <c:pt idx="73">
                  <c:v>18.21</c:v>
                </c:pt>
                <c:pt idx="74">
                  <c:v>18.77</c:v>
                </c:pt>
                <c:pt idx="75">
                  <c:v>18.5</c:v>
                </c:pt>
                <c:pt idx="76">
                  <c:v>18.29</c:v>
                </c:pt>
                <c:pt idx="77">
                  <c:v>18.899999999999999</c:v>
                </c:pt>
                <c:pt idx="78">
                  <c:v>18.12</c:v>
                </c:pt>
                <c:pt idx="79">
                  <c:v>18.68</c:v>
                </c:pt>
                <c:pt idx="80">
                  <c:v>19</c:v>
                </c:pt>
                <c:pt idx="81">
                  <c:v>19.239999999999998</c:v>
                </c:pt>
                <c:pt idx="82">
                  <c:v>18.55</c:v>
                </c:pt>
                <c:pt idx="83">
                  <c:v>18.5</c:v>
                </c:pt>
                <c:pt idx="84">
                  <c:v>18.829999999999998</c:v>
                </c:pt>
                <c:pt idx="85">
                  <c:v>18.760000000000002</c:v>
                </c:pt>
                <c:pt idx="86">
                  <c:v>18.850000000000001</c:v>
                </c:pt>
                <c:pt idx="87">
                  <c:v>18.89</c:v>
                </c:pt>
                <c:pt idx="88">
                  <c:v>18.489999999999998</c:v>
                </c:pt>
                <c:pt idx="89">
                  <c:v>17.66</c:v>
                </c:pt>
                <c:pt idx="90">
                  <c:v>18.36</c:v>
                </c:pt>
                <c:pt idx="91">
                  <c:v>18.09</c:v>
                </c:pt>
                <c:pt idx="92">
                  <c:v>17.36</c:v>
                </c:pt>
                <c:pt idx="93">
                  <c:v>19.09</c:v>
                </c:pt>
                <c:pt idx="94">
                  <c:v>19.510000000000002</c:v>
                </c:pt>
                <c:pt idx="95">
                  <c:v>18.28</c:v>
                </c:pt>
                <c:pt idx="96">
                  <c:v>18.84</c:v>
                </c:pt>
                <c:pt idx="97">
                  <c:v>18.940000000000001</c:v>
                </c:pt>
                <c:pt idx="98">
                  <c:v>19.420000000000002</c:v>
                </c:pt>
                <c:pt idx="99">
                  <c:v>19.11</c:v>
                </c:pt>
                <c:pt idx="100">
                  <c:v>18.579999999999998</c:v>
                </c:pt>
                <c:pt idx="101">
                  <c:v>18.600000000000001</c:v>
                </c:pt>
                <c:pt idx="102">
                  <c:v>19.2</c:v>
                </c:pt>
                <c:pt idx="103">
                  <c:v>19.09</c:v>
                </c:pt>
                <c:pt idx="104">
                  <c:v>19.2</c:v>
                </c:pt>
                <c:pt idx="105">
                  <c:v>18.72</c:v>
                </c:pt>
                <c:pt idx="106">
                  <c:v>18.23</c:v>
                </c:pt>
                <c:pt idx="107">
                  <c:v>18.239999999999998</c:v>
                </c:pt>
                <c:pt idx="108">
                  <c:v>18.690000000000001</c:v>
                </c:pt>
                <c:pt idx="109">
                  <c:v>17.600000000000001</c:v>
                </c:pt>
                <c:pt idx="110">
                  <c:v>18.52</c:v>
                </c:pt>
                <c:pt idx="111">
                  <c:v>18.809999999999999</c:v>
                </c:pt>
                <c:pt idx="112">
                  <c:v>19.23</c:v>
                </c:pt>
                <c:pt idx="113">
                  <c:v>18.350000000000001</c:v>
                </c:pt>
                <c:pt idx="114">
                  <c:v>17.52</c:v>
                </c:pt>
                <c:pt idx="115">
                  <c:v>17.18</c:v>
                </c:pt>
                <c:pt idx="116">
                  <c:v>17.46</c:v>
                </c:pt>
                <c:pt idx="117">
                  <c:v>17.190000000000001</c:v>
                </c:pt>
                <c:pt idx="118">
                  <c:v>17.02</c:v>
                </c:pt>
                <c:pt idx="119">
                  <c:v>15.94</c:v>
                </c:pt>
                <c:pt idx="120">
                  <c:v>15.39</c:v>
                </c:pt>
                <c:pt idx="121">
                  <c:v>15.3</c:v>
                </c:pt>
                <c:pt idx="122">
                  <c:v>16.07</c:v>
                </c:pt>
                <c:pt idx="123">
                  <c:v>16.28</c:v>
                </c:pt>
                <c:pt idx="124">
                  <c:v>16</c:v>
                </c:pt>
                <c:pt idx="125">
                  <c:v>15.88</c:v>
                </c:pt>
                <c:pt idx="126">
                  <c:v>17.38</c:v>
                </c:pt>
                <c:pt idx="127">
                  <c:v>16.600000000000001</c:v>
                </c:pt>
                <c:pt idx="128">
                  <c:v>14.76</c:v>
                </c:pt>
                <c:pt idx="129">
                  <c:v>17.21</c:v>
                </c:pt>
                <c:pt idx="130">
                  <c:v>19</c:v>
                </c:pt>
                <c:pt idx="131">
                  <c:v>19.11</c:v>
                </c:pt>
                <c:pt idx="132">
                  <c:v>18.37</c:v>
                </c:pt>
                <c:pt idx="133">
                  <c:v>18.59</c:v>
                </c:pt>
                <c:pt idx="134">
                  <c:v>19.2</c:v>
                </c:pt>
                <c:pt idx="135">
                  <c:v>18.28</c:v>
                </c:pt>
                <c:pt idx="136">
                  <c:v>17.63</c:v>
                </c:pt>
                <c:pt idx="137">
                  <c:v>18.37</c:v>
                </c:pt>
                <c:pt idx="138">
                  <c:v>18.07</c:v>
                </c:pt>
                <c:pt idx="139">
                  <c:v>17.88</c:v>
                </c:pt>
                <c:pt idx="140">
                  <c:v>19.079999999999998</c:v>
                </c:pt>
                <c:pt idx="141">
                  <c:v>18.84</c:v>
                </c:pt>
                <c:pt idx="142">
                  <c:v>18.21</c:v>
                </c:pt>
                <c:pt idx="143">
                  <c:v>21.64</c:v>
                </c:pt>
                <c:pt idx="144">
                  <c:v>22.22</c:v>
                </c:pt>
                <c:pt idx="145">
                  <c:v>23.56</c:v>
                </c:pt>
                <c:pt idx="146">
                  <c:v>24.95</c:v>
                </c:pt>
                <c:pt idx="147">
                  <c:v>18.559999999999999</c:v>
                </c:pt>
                <c:pt idx="148">
                  <c:v>18.73</c:v>
                </c:pt>
                <c:pt idx="149">
                  <c:v>18.14</c:v>
                </c:pt>
                <c:pt idx="150">
                  <c:v>18.68</c:v>
                </c:pt>
                <c:pt idx="151">
                  <c:v>18.329999999999998</c:v>
                </c:pt>
                <c:pt idx="152">
                  <c:v>18.05</c:v>
                </c:pt>
                <c:pt idx="153">
                  <c:v>18.78</c:v>
                </c:pt>
                <c:pt idx="154">
                  <c:v>17.71</c:v>
                </c:pt>
                <c:pt idx="155">
                  <c:v>19.568000000000001</c:v>
                </c:pt>
                <c:pt idx="156">
                  <c:v>19.273</c:v>
                </c:pt>
                <c:pt idx="157">
                  <c:v>20.099</c:v>
                </c:pt>
                <c:pt idx="158">
                  <c:v>20.286000000000001</c:v>
                </c:pt>
                <c:pt idx="159">
                  <c:v>19.89</c:v>
                </c:pt>
                <c:pt idx="160">
                  <c:v>21.088999999999999</c:v>
                </c:pt>
                <c:pt idx="161">
                  <c:v>21.141999999999999</c:v>
                </c:pt>
                <c:pt idx="162">
                  <c:v>19.077999999999999</c:v>
                </c:pt>
                <c:pt idx="163">
                  <c:v>17.297000000000001</c:v>
                </c:pt>
                <c:pt idx="164">
                  <c:v>18.870999999999999</c:v>
                </c:pt>
                <c:pt idx="165">
                  <c:v>20.216000000000001</c:v>
                </c:pt>
                <c:pt idx="166">
                  <c:v>21.166</c:v>
                </c:pt>
                <c:pt idx="167">
                  <c:v>20.25</c:v>
                </c:pt>
                <c:pt idx="168">
                  <c:v>19.251999999999999</c:v>
                </c:pt>
                <c:pt idx="169">
                  <c:v>16.542999999999999</c:v>
                </c:pt>
                <c:pt idx="170">
                  <c:v>15.31</c:v>
                </c:pt>
                <c:pt idx="171">
                  <c:v>14.917999999999999</c:v>
                </c:pt>
                <c:pt idx="172">
                  <c:v>13.749000000000001</c:v>
                </c:pt>
                <c:pt idx="173">
                  <c:v>14.928000000000001</c:v>
                </c:pt>
                <c:pt idx="174">
                  <c:v>15.218999999999999</c:v>
                </c:pt>
                <c:pt idx="175">
                  <c:v>13.32</c:v>
                </c:pt>
                <c:pt idx="176">
                  <c:v>12.544</c:v>
                </c:pt>
                <c:pt idx="177">
                  <c:v>12.285</c:v>
                </c:pt>
                <c:pt idx="178">
                  <c:v>12.419</c:v>
                </c:pt>
                <c:pt idx="179">
                  <c:v>12.465999999999999</c:v>
                </c:pt>
                <c:pt idx="180">
                  <c:v>12.6</c:v>
                </c:pt>
                <c:pt idx="181">
                  <c:v>12.853</c:v>
                </c:pt>
                <c:pt idx="182">
                  <c:v>12.319000000000001</c:v>
                </c:pt>
                <c:pt idx="183">
                  <c:v>12.255000000000001</c:v>
                </c:pt>
                <c:pt idx="184">
                  <c:v>12.782999999999999</c:v>
                </c:pt>
                <c:pt idx="185">
                  <c:v>12.388</c:v>
                </c:pt>
                <c:pt idx="186">
                  <c:v>12.542</c:v>
                </c:pt>
                <c:pt idx="187">
                  <c:v>12.792</c:v>
                </c:pt>
                <c:pt idx="188">
                  <c:v>12.092000000000001</c:v>
                </c:pt>
                <c:pt idx="189">
                  <c:v>10.961</c:v>
                </c:pt>
                <c:pt idx="190">
                  <c:v>10.872999999999999</c:v>
                </c:pt>
                <c:pt idx="191">
                  <c:v>10.167</c:v>
                </c:pt>
                <c:pt idx="192">
                  <c:v>10.92</c:v>
                </c:pt>
                <c:pt idx="193">
                  <c:v>11.4</c:v>
                </c:pt>
                <c:pt idx="194">
                  <c:v>11.34</c:v>
                </c:pt>
                <c:pt idx="195">
                  <c:v>11.292999999999999</c:v>
                </c:pt>
                <c:pt idx="196">
                  <c:v>11.944000000000001</c:v>
                </c:pt>
                <c:pt idx="197">
                  <c:v>12.093</c:v>
                </c:pt>
                <c:pt idx="198">
                  <c:v>11.862</c:v>
                </c:pt>
                <c:pt idx="199">
                  <c:v>12.397</c:v>
                </c:pt>
                <c:pt idx="200">
                  <c:v>12.9</c:v>
                </c:pt>
                <c:pt idx="201">
                  <c:v>12.632</c:v>
                </c:pt>
                <c:pt idx="202">
                  <c:v>12.537000000000001</c:v>
                </c:pt>
                <c:pt idx="203">
                  <c:v>11.885</c:v>
                </c:pt>
                <c:pt idx="204">
                  <c:v>12.731</c:v>
                </c:pt>
                <c:pt idx="205">
                  <c:v>13.215</c:v>
                </c:pt>
                <c:pt idx="206">
                  <c:v>12.379</c:v>
                </c:pt>
                <c:pt idx="207">
                  <c:v>12.99</c:v>
                </c:pt>
                <c:pt idx="208">
                  <c:v>12.63</c:v>
                </c:pt>
                <c:pt idx="209">
                  <c:v>11.547000000000001</c:v>
                </c:pt>
                <c:pt idx="210">
                  <c:v>11.541</c:v>
                </c:pt>
                <c:pt idx="211">
                  <c:v>11.878</c:v>
                </c:pt>
                <c:pt idx="212">
                  <c:v>12.201000000000001</c:v>
                </c:pt>
                <c:pt idx="213">
                  <c:v>11.836</c:v>
                </c:pt>
                <c:pt idx="214">
                  <c:v>11.698</c:v>
                </c:pt>
                <c:pt idx="215">
                  <c:v>11.504</c:v>
                </c:pt>
                <c:pt idx="216">
                  <c:v>10.936</c:v>
                </c:pt>
                <c:pt idx="217">
                  <c:v>12.180999999999999</c:v>
                </c:pt>
                <c:pt idx="218">
                  <c:v>11.83</c:v>
                </c:pt>
                <c:pt idx="219">
                  <c:v>10.991</c:v>
                </c:pt>
                <c:pt idx="220">
                  <c:v>11.606999999999999</c:v>
                </c:pt>
                <c:pt idx="221">
                  <c:v>14.086</c:v>
                </c:pt>
                <c:pt idx="222">
                  <c:v>14.041</c:v>
                </c:pt>
                <c:pt idx="223">
                  <c:v>14.518000000000001</c:v>
                </c:pt>
                <c:pt idx="224">
                  <c:v>13.785</c:v>
                </c:pt>
                <c:pt idx="225">
                  <c:v>12.923</c:v>
                </c:pt>
                <c:pt idx="226">
                  <c:v>14.077</c:v>
                </c:pt>
                <c:pt idx="227">
                  <c:v>14.18</c:v>
                </c:pt>
                <c:pt idx="228">
                  <c:v>14.048</c:v>
                </c:pt>
                <c:pt idx="229">
                  <c:v>14.35</c:v>
                </c:pt>
                <c:pt idx="230">
                  <c:v>11.839</c:v>
                </c:pt>
                <c:pt idx="231">
                  <c:v>13.069000000000001</c:v>
                </c:pt>
                <c:pt idx="232">
                  <c:v>15.895</c:v>
                </c:pt>
                <c:pt idx="233">
                  <c:v>11.737</c:v>
                </c:pt>
                <c:pt idx="234">
                  <c:v>12.021000000000001</c:v>
                </c:pt>
                <c:pt idx="235">
                  <c:v>13.345000000000001</c:v>
                </c:pt>
                <c:pt idx="236">
                  <c:v>13.134</c:v>
                </c:pt>
                <c:pt idx="237">
                  <c:v>13.75</c:v>
                </c:pt>
                <c:pt idx="238">
                  <c:v>15.096</c:v>
                </c:pt>
                <c:pt idx="239">
                  <c:v>14.927</c:v>
                </c:pt>
                <c:pt idx="240">
                  <c:v>14.313000000000001</c:v>
                </c:pt>
                <c:pt idx="241">
                  <c:v>15.273</c:v>
                </c:pt>
                <c:pt idx="242">
                  <c:v>14.663</c:v>
                </c:pt>
                <c:pt idx="243">
                  <c:v>13.2</c:v>
                </c:pt>
                <c:pt idx="244">
                  <c:v>14.05</c:v>
                </c:pt>
                <c:pt idx="245">
                  <c:v>16.076000000000001</c:v>
                </c:pt>
                <c:pt idx="246">
                  <c:v>18.292999999999999</c:v>
                </c:pt>
                <c:pt idx="247">
                  <c:v>18.829000000000001</c:v>
                </c:pt>
                <c:pt idx="248">
                  <c:v>12.776999999999999</c:v>
                </c:pt>
                <c:pt idx="249">
                  <c:v>9.6289999999999996</c:v>
                </c:pt>
                <c:pt idx="250">
                  <c:v>11.718</c:v>
                </c:pt>
                <c:pt idx="251">
                  <c:v>12.063000000000001</c:v>
                </c:pt>
                <c:pt idx="252">
                  <c:v>14.627000000000001</c:v>
                </c:pt>
                <c:pt idx="253">
                  <c:v>13.334</c:v>
                </c:pt>
                <c:pt idx="254">
                  <c:v>21.6</c:v>
                </c:pt>
                <c:pt idx="255">
                  <c:v>21.890999999999998</c:v>
                </c:pt>
                <c:pt idx="256">
                  <c:v>24.7</c:v>
                </c:pt>
                <c:pt idx="257">
                  <c:v>23.623999999999999</c:v>
                </c:pt>
                <c:pt idx="258">
                  <c:v>26.15</c:v>
                </c:pt>
                <c:pt idx="259">
                  <c:v>24.843</c:v>
                </c:pt>
                <c:pt idx="260">
                  <c:v>23.821999999999999</c:v>
                </c:pt>
                <c:pt idx="261">
                  <c:v>31.564</c:v>
                </c:pt>
                <c:pt idx="262">
                  <c:v>30.693000000000001</c:v>
                </c:pt>
                <c:pt idx="263">
                  <c:v>38.590000000000003</c:v>
                </c:pt>
                <c:pt idx="264">
                  <c:v>41.901000000000003</c:v>
                </c:pt>
                <c:pt idx="265">
                  <c:v>33.470999999999997</c:v>
                </c:pt>
                <c:pt idx="266">
                  <c:v>35.591000000000001</c:v>
                </c:pt>
                <c:pt idx="267">
                  <c:v>40.149000000000001</c:v>
                </c:pt>
                <c:pt idx="268">
                  <c:v>46.04</c:v>
                </c:pt>
                <c:pt idx="269">
                  <c:v>56.747</c:v>
                </c:pt>
                <c:pt idx="270">
                  <c:v>63.338999999999999</c:v>
                </c:pt>
                <c:pt idx="271">
                  <c:v>56.496000000000002</c:v>
                </c:pt>
                <c:pt idx="272">
                  <c:v>65.637</c:v>
                </c:pt>
                <c:pt idx="273">
                  <c:v>69.353999999999999</c:v>
                </c:pt>
                <c:pt idx="274">
                  <c:v>11.253</c:v>
                </c:pt>
                <c:pt idx="275">
                  <c:v>10.01</c:v>
                </c:pt>
                <c:pt idx="276">
                  <c:v>9.2309999999999999</c:v>
                </c:pt>
                <c:pt idx="277">
                  <c:v>8.1829999999999998</c:v>
                </c:pt>
                <c:pt idx="278">
                  <c:v>8.3539999999999992</c:v>
                </c:pt>
                <c:pt idx="279">
                  <c:v>8.8217999999999996</c:v>
                </c:pt>
                <c:pt idx="280">
                  <c:v>10.496499999999999</c:v>
                </c:pt>
                <c:pt idx="281">
                  <c:v>10.490600000000001</c:v>
                </c:pt>
                <c:pt idx="282">
                  <c:v>10.8939</c:v>
                </c:pt>
                <c:pt idx="283">
                  <c:v>10.8</c:v>
                </c:pt>
                <c:pt idx="284">
                  <c:v>10.6021</c:v>
                </c:pt>
                <c:pt idx="285">
                  <c:v>11.7279</c:v>
                </c:pt>
                <c:pt idx="286">
                  <c:v>12.554500000000001</c:v>
                </c:pt>
                <c:pt idx="287">
                  <c:v>13.885300000000001</c:v>
                </c:pt>
                <c:pt idx="288">
                  <c:v>13.9101</c:v>
                </c:pt>
                <c:pt idx="289">
                  <c:v>12.016999999999999</c:v>
                </c:pt>
                <c:pt idx="290">
                  <c:v>12.1915</c:v>
                </c:pt>
                <c:pt idx="291">
                  <c:v>12.6919</c:v>
                </c:pt>
                <c:pt idx="292">
                  <c:v>12.0388</c:v>
                </c:pt>
                <c:pt idx="293">
                  <c:v>12.388299999999999</c:v>
                </c:pt>
                <c:pt idx="294">
                  <c:v>12.538500000000001</c:v>
                </c:pt>
                <c:pt idx="295">
                  <c:v>11.343</c:v>
                </c:pt>
                <c:pt idx="296">
                  <c:v>13.048500000000001</c:v>
                </c:pt>
                <c:pt idx="297">
                  <c:v>14.399699999999999</c:v>
                </c:pt>
                <c:pt idx="298">
                  <c:v>10.974299999999999</c:v>
                </c:pt>
                <c:pt idx="299">
                  <c:v>9.9663000000000004</c:v>
                </c:pt>
                <c:pt idx="300">
                  <c:v>10.3485</c:v>
                </c:pt>
                <c:pt idx="301">
                  <c:v>10.7042</c:v>
                </c:pt>
                <c:pt idx="302">
                  <c:v>11.165900000000001</c:v>
                </c:pt>
                <c:pt idx="303">
                  <c:v>11.5555</c:v>
                </c:pt>
                <c:pt idx="304">
                  <c:v>11.0496</c:v>
                </c:pt>
                <c:pt idx="305">
                  <c:v>10.757400000000001</c:v>
                </c:pt>
                <c:pt idx="306">
                  <c:v>10.2113</c:v>
                </c:pt>
                <c:pt idx="307">
                  <c:v>10.3559</c:v>
                </c:pt>
                <c:pt idx="308">
                  <c:v>9.8401999999999994</c:v>
                </c:pt>
                <c:pt idx="309">
                  <c:v>10.919</c:v>
                </c:pt>
                <c:pt idx="310">
                  <c:v>11.449199999999999</c:v>
                </c:pt>
                <c:pt idx="311">
                  <c:v>11.8254</c:v>
                </c:pt>
                <c:pt idx="312">
                  <c:v>12.3752</c:v>
                </c:pt>
                <c:pt idx="313">
                  <c:v>12.802300000000001</c:v>
                </c:pt>
                <c:pt idx="314">
                  <c:v>12.9148</c:v>
                </c:pt>
                <c:pt idx="315">
                  <c:v>13.704800000000001</c:v>
                </c:pt>
                <c:pt idx="316">
                  <c:v>12.5</c:v>
                </c:pt>
                <c:pt idx="317">
                  <c:v>11.751899999999999</c:v>
                </c:pt>
                <c:pt idx="318">
                  <c:v>12.3559</c:v>
                </c:pt>
                <c:pt idx="319">
                  <c:v>12.2201</c:v>
                </c:pt>
                <c:pt idx="320">
                  <c:v>11.9</c:v>
                </c:pt>
                <c:pt idx="321">
                  <c:v>12.2857</c:v>
                </c:pt>
                <c:pt idx="322">
                  <c:v>12.277699999999999</c:v>
                </c:pt>
                <c:pt idx="323">
                  <c:v>12.874000000000001</c:v>
                </c:pt>
                <c:pt idx="324">
                  <c:v>13.400399999999999</c:v>
                </c:pt>
                <c:pt idx="325">
                  <c:v>13.2095</c:v>
                </c:pt>
                <c:pt idx="326">
                  <c:v>13.571099999999999</c:v>
                </c:pt>
                <c:pt idx="327">
                  <c:v>14.1477</c:v>
                </c:pt>
                <c:pt idx="328">
                  <c:v>11.797000000000001</c:v>
                </c:pt>
                <c:pt idx="329">
                  <c:v>11.976100000000001</c:v>
                </c:pt>
                <c:pt idx="330">
                  <c:v>12.688800000000001</c:v>
                </c:pt>
                <c:pt idx="331">
                  <c:v>12.8947</c:v>
                </c:pt>
                <c:pt idx="332">
                  <c:v>13.5562</c:v>
                </c:pt>
                <c:pt idx="333">
                  <c:v>12.1168</c:v>
                </c:pt>
                <c:pt idx="334">
                  <c:v>14.4445</c:v>
                </c:pt>
                <c:pt idx="335">
                  <c:v>16.5</c:v>
                </c:pt>
                <c:pt idx="336">
                  <c:v>19.6953</c:v>
                </c:pt>
                <c:pt idx="337">
                  <c:v>13.530799999999999</c:v>
                </c:pt>
                <c:pt idx="338">
                  <c:v>15.6105</c:v>
                </c:pt>
                <c:pt idx="339">
                  <c:v>18.7912</c:v>
                </c:pt>
                <c:pt idx="340">
                  <c:v>22.7362</c:v>
                </c:pt>
                <c:pt idx="341">
                  <c:v>21.854099999999999</c:v>
                </c:pt>
                <c:pt idx="342">
                  <c:v>25.430299999999999</c:v>
                </c:pt>
                <c:pt idx="343">
                  <c:v>22.999300000000002</c:v>
                </c:pt>
                <c:pt idx="344">
                  <c:v>26.122199999999999</c:v>
                </c:pt>
                <c:pt idx="345">
                  <c:v>25.543700000000001</c:v>
                </c:pt>
                <c:pt idx="346">
                  <c:v>15.684200000000001</c:v>
                </c:pt>
                <c:pt idx="347">
                  <c:v>9.8574999999999999</c:v>
                </c:pt>
                <c:pt idx="348">
                  <c:v>6.9</c:v>
                </c:pt>
                <c:pt idx="349">
                  <c:v>6.3388999999999998</c:v>
                </c:pt>
                <c:pt idx="350">
                  <c:v>5.6863000000000001</c:v>
                </c:pt>
                <c:pt idx="351">
                  <c:v>5.3795000000000002</c:v>
                </c:pt>
                <c:pt idx="352">
                  <c:v>5.2516999999999996</c:v>
                </c:pt>
                <c:pt idx="353">
                  <c:v>5.2792000000000003</c:v>
                </c:pt>
                <c:pt idx="354">
                  <c:v>4.4861000000000004</c:v>
                </c:pt>
                <c:pt idx="355">
                  <c:v>4.4398</c:v>
                </c:pt>
                <c:pt idx="356">
                  <c:v>4.5891999999999999</c:v>
                </c:pt>
                <c:pt idx="357">
                  <c:v>4.1721000000000004</c:v>
                </c:pt>
                <c:pt idx="358">
                  <c:v>3.8027000000000002</c:v>
                </c:pt>
                <c:pt idx="359">
                  <c:v>3.7707000000000002</c:v>
                </c:pt>
                <c:pt idx="360">
                  <c:v>3.4973999999999998</c:v>
                </c:pt>
                <c:pt idx="361">
                  <c:v>3.0861999999999998</c:v>
                </c:pt>
                <c:pt idx="362">
                  <c:v>2.593</c:v>
                </c:pt>
                <c:pt idx="363">
                  <c:v>2.5527000000000002</c:v>
                </c:pt>
                <c:pt idx="364">
                  <c:v>2.5434000000000001</c:v>
                </c:pt>
                <c:pt idx="365">
                  <c:v>2.5768</c:v>
                </c:pt>
                <c:pt idx="366">
                  <c:v>2.3732000000000002</c:v>
                </c:pt>
                <c:pt idx="367">
                  <c:v>2.3288000000000002</c:v>
                </c:pt>
                <c:pt idx="368">
                  <c:v>2.3793000000000002</c:v>
                </c:pt>
                <c:pt idx="369">
                  <c:v>2.3462999999999998</c:v>
                </c:pt>
                <c:pt idx="370">
                  <c:v>2.3601000000000001</c:v>
                </c:pt>
                <c:pt idx="371">
                  <c:v>2.3527</c:v>
                </c:pt>
                <c:pt idx="372">
                  <c:v>2.4434</c:v>
                </c:pt>
                <c:pt idx="373">
                  <c:v>2.4441999999999999</c:v>
                </c:pt>
                <c:pt idx="374">
                  <c:v>2.4735</c:v>
                </c:pt>
                <c:pt idx="375">
                  <c:v>2.6474000000000002</c:v>
                </c:pt>
                <c:pt idx="376">
                  <c:v>2.6013000000000002</c:v>
                </c:pt>
                <c:pt idx="377">
                  <c:v>2.5034000000000001</c:v>
                </c:pt>
                <c:pt idx="378">
                  <c:v>2.4769000000000001</c:v>
                </c:pt>
                <c:pt idx="379">
                  <c:v>2.4653999999999998</c:v>
                </c:pt>
                <c:pt idx="380">
                  <c:v>2.3874</c:v>
                </c:pt>
                <c:pt idx="381">
                  <c:v>2.4201999999999999</c:v>
                </c:pt>
                <c:pt idx="382">
                  <c:v>2.5211999999999999</c:v>
                </c:pt>
                <c:pt idx="383">
                  <c:v>2.5687000000000002</c:v>
                </c:pt>
                <c:pt idx="384">
                  <c:v>2.5819999999999999</c:v>
                </c:pt>
                <c:pt idx="385">
                  <c:v>2.6143000000000001</c:v>
                </c:pt>
                <c:pt idx="386">
                  <c:v>2.4266999999999999</c:v>
                </c:pt>
                <c:pt idx="387">
                  <c:v>2.4815999999999998</c:v>
                </c:pt>
                <c:pt idx="388">
                  <c:v>2.4037000000000002</c:v>
                </c:pt>
                <c:pt idx="389">
                  <c:v>2.5731999999999999</c:v>
                </c:pt>
                <c:pt idx="390">
                  <c:v>2.5093999999999999</c:v>
                </c:pt>
                <c:pt idx="391">
                  <c:v>2.3159000000000001</c:v>
                </c:pt>
                <c:pt idx="392">
                  <c:v>1.8869</c:v>
                </c:pt>
                <c:pt idx="393">
                  <c:v>2.1810999999999998</c:v>
                </c:pt>
                <c:pt idx="394">
                  <c:v>1.9635</c:v>
                </c:pt>
                <c:pt idx="395">
                  <c:v>2.1617000000000002</c:v>
                </c:pt>
                <c:pt idx="396">
                  <c:v>2.2787000000000002</c:v>
                </c:pt>
                <c:pt idx="397">
                  <c:v>2.3079999999999998</c:v>
                </c:pt>
                <c:pt idx="398">
                  <c:v>2.2440000000000002</c:v>
                </c:pt>
                <c:pt idx="399">
                  <c:v>2.1812</c:v>
                </c:pt>
                <c:pt idx="400">
                  <c:v>2.2536999999999998</c:v>
                </c:pt>
                <c:pt idx="401">
                  <c:v>2.4104999999999999</c:v>
                </c:pt>
                <c:pt idx="402">
                  <c:v>2.4620000000000002</c:v>
                </c:pt>
                <c:pt idx="403">
                  <c:v>2.5794999999999999</c:v>
                </c:pt>
                <c:pt idx="404">
                  <c:v>2.61</c:v>
                </c:pt>
                <c:pt idx="405">
                  <c:v>2.8174999999999999</c:v>
                </c:pt>
                <c:pt idx="406">
                  <c:v>2.8668999999999998</c:v>
                </c:pt>
                <c:pt idx="407">
                  <c:v>3.1427999999999998</c:v>
                </c:pt>
                <c:pt idx="408">
                  <c:v>2.9531999999999998</c:v>
                </c:pt>
                <c:pt idx="409">
                  <c:v>2.9018000000000002</c:v>
                </c:pt>
                <c:pt idx="410">
                  <c:v>3.0087000000000002</c:v>
                </c:pt>
                <c:pt idx="411">
                  <c:v>2.9236</c:v>
                </c:pt>
                <c:pt idx="412">
                  <c:v>2.5436000000000001</c:v>
                </c:pt>
                <c:pt idx="413">
                  <c:v>3.2145000000000001</c:v>
                </c:pt>
                <c:pt idx="414">
                  <c:v>2.4716999999999998</c:v>
                </c:pt>
                <c:pt idx="415">
                  <c:v>2.5687000000000002</c:v>
                </c:pt>
                <c:pt idx="416">
                  <c:v>2.6926000000000001</c:v>
                </c:pt>
                <c:pt idx="417">
                  <c:v>2.9384999999999999</c:v>
                </c:pt>
                <c:pt idx="418">
                  <c:v>2.6103000000000001</c:v>
                </c:pt>
                <c:pt idx="419">
                  <c:v>2.6882999999999999</c:v>
                </c:pt>
                <c:pt idx="420">
                  <c:v>2.3610000000000002</c:v>
                </c:pt>
                <c:pt idx="421">
                  <c:v>2.1753</c:v>
                </c:pt>
                <c:pt idx="422">
                  <c:v>2.1467000000000001</c:v>
                </c:pt>
                <c:pt idx="423">
                  <c:v>2.2686999999999999</c:v>
                </c:pt>
                <c:pt idx="424">
                  <c:v>2.1496</c:v>
                </c:pt>
                <c:pt idx="425">
                  <c:v>2.2591999999999999</c:v>
                </c:pt>
                <c:pt idx="426">
                  <c:v>2.0263</c:v>
                </c:pt>
                <c:pt idx="427">
                  <c:v>2.2719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6F-47AB-95B8-2D3837AECFB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-0.23455710413048406</c:v>
                </c:pt>
                <c:pt idx="1">
                  <c:v>-0.23453143033048407</c:v>
                </c:pt>
                <c:pt idx="2">
                  <c:v>-0.23401218233543455</c:v>
                </c:pt>
                <c:pt idx="3">
                  <c:v>-0.23396250423186313</c:v>
                </c:pt>
                <c:pt idx="4">
                  <c:v>-0.23333913870133682</c:v>
                </c:pt>
                <c:pt idx="5">
                  <c:v>-0.23344803040576159</c:v>
                </c:pt>
                <c:pt idx="6">
                  <c:v>-0.23270763534263117</c:v>
                </c:pt>
                <c:pt idx="7">
                  <c:v>-0.23200295705893551</c:v>
                </c:pt>
                <c:pt idx="8">
                  <c:v>-0.23124796104984457</c:v>
                </c:pt>
                <c:pt idx="9">
                  <c:v>-0.22918571855469894</c:v>
                </c:pt>
                <c:pt idx="10">
                  <c:v>-0.2303097386719403</c:v>
                </c:pt>
                <c:pt idx="11">
                  <c:v>-0.2287802105868339</c:v>
                </c:pt>
                <c:pt idx="12">
                  <c:v>-0.22871487061760315</c:v>
                </c:pt>
                <c:pt idx="13">
                  <c:v>-0.22873906983499445</c:v>
                </c:pt>
                <c:pt idx="14">
                  <c:v>-0.22903626213148567</c:v>
                </c:pt>
                <c:pt idx="15">
                  <c:v>-0.2287734507914857</c:v>
                </c:pt>
                <c:pt idx="16">
                  <c:v>-0.22918808546175595</c:v>
                </c:pt>
                <c:pt idx="17">
                  <c:v>-0.22928415222175594</c:v>
                </c:pt>
                <c:pt idx="18">
                  <c:v>-0.22927230294705006</c:v>
                </c:pt>
                <c:pt idx="19">
                  <c:v>-0.22932203064401976</c:v>
                </c:pt>
                <c:pt idx="20">
                  <c:v>-0.2292140168523531</c:v>
                </c:pt>
                <c:pt idx="21">
                  <c:v>-0.22879621436411779</c:v>
                </c:pt>
                <c:pt idx="22">
                  <c:v>-0.2285293972886577</c:v>
                </c:pt>
                <c:pt idx="23">
                  <c:v>-0.22823506379536909</c:v>
                </c:pt>
                <c:pt idx="24">
                  <c:v>-0.22574951820045999</c:v>
                </c:pt>
                <c:pt idx="25">
                  <c:v>-0.22597046139611218</c:v>
                </c:pt>
                <c:pt idx="26">
                  <c:v>-0.22606879807002522</c:v>
                </c:pt>
                <c:pt idx="27">
                  <c:v>-0.22624120512240617</c:v>
                </c:pt>
                <c:pt idx="28">
                  <c:v>-0.22602893959163697</c:v>
                </c:pt>
                <c:pt idx="29">
                  <c:v>-0.22593347635025765</c:v>
                </c:pt>
                <c:pt idx="30">
                  <c:v>-0.22559044828871921</c:v>
                </c:pt>
                <c:pt idx="31">
                  <c:v>-0.22495472758871921</c:v>
                </c:pt>
                <c:pt idx="32">
                  <c:v>-0.22464532199835779</c:v>
                </c:pt>
                <c:pt idx="33">
                  <c:v>-0.22477255038620822</c:v>
                </c:pt>
                <c:pt idx="34">
                  <c:v>-0.2244285362278749</c:v>
                </c:pt>
                <c:pt idx="35">
                  <c:v>-0.22384796261676379</c:v>
                </c:pt>
                <c:pt idx="36">
                  <c:v>-0.22410444232533522</c:v>
                </c:pt>
                <c:pt idx="37">
                  <c:v>-0.22377683915142216</c:v>
                </c:pt>
                <c:pt idx="38">
                  <c:v>-0.22418416043324035</c:v>
                </c:pt>
                <c:pt idx="39">
                  <c:v>-0.22250109554193601</c:v>
                </c:pt>
                <c:pt idx="40">
                  <c:v>-0.22028915771336458</c:v>
                </c:pt>
                <c:pt idx="41">
                  <c:v>-0.22036419396978482</c:v>
                </c:pt>
                <c:pt idx="42">
                  <c:v>-0.22004509672080524</c:v>
                </c:pt>
                <c:pt idx="43">
                  <c:v>-0.21995088007838101</c:v>
                </c:pt>
                <c:pt idx="44">
                  <c:v>-0.22037313106198755</c:v>
                </c:pt>
                <c:pt idx="45">
                  <c:v>-0.22067821432198756</c:v>
                </c:pt>
                <c:pt idx="46">
                  <c:v>-0.22038226921722565</c:v>
                </c:pt>
                <c:pt idx="47">
                  <c:v>-0.22056072496722565</c:v>
                </c:pt>
                <c:pt idx="48">
                  <c:v>-0.22057039566722567</c:v>
                </c:pt>
                <c:pt idx="49">
                  <c:v>-0.22010084285264231</c:v>
                </c:pt>
                <c:pt idx="50">
                  <c:v>-0.21952815439937129</c:v>
                </c:pt>
                <c:pt idx="51">
                  <c:v>-0.21975919657937129</c:v>
                </c:pt>
                <c:pt idx="52">
                  <c:v>-0.21942862356390735</c:v>
                </c:pt>
                <c:pt idx="53">
                  <c:v>-0.21740267016814191</c:v>
                </c:pt>
                <c:pt idx="54">
                  <c:v>-0.21647406829434879</c:v>
                </c:pt>
                <c:pt idx="55">
                  <c:v>-0.21592341120821437</c:v>
                </c:pt>
                <c:pt idx="56">
                  <c:v>-0.21424478948021433</c:v>
                </c:pt>
                <c:pt idx="57">
                  <c:v>-0.21344704724076796</c:v>
                </c:pt>
                <c:pt idx="58">
                  <c:v>-0.21318217685270827</c:v>
                </c:pt>
                <c:pt idx="59">
                  <c:v>-0.21300162908604159</c:v>
                </c:pt>
                <c:pt idx="60">
                  <c:v>-0.21318830200368868</c:v>
                </c:pt>
                <c:pt idx="61">
                  <c:v>-0.21381855080368864</c:v>
                </c:pt>
                <c:pt idx="62">
                  <c:v>-0.2135824567470849</c:v>
                </c:pt>
                <c:pt idx="63">
                  <c:v>-0.21278862896708489</c:v>
                </c:pt>
                <c:pt idx="64">
                  <c:v>-0.21298307009964301</c:v>
                </c:pt>
                <c:pt idx="65">
                  <c:v>-0.21288897029011922</c:v>
                </c:pt>
                <c:pt idx="66">
                  <c:v>-0.21328044228011922</c:v>
                </c:pt>
                <c:pt idx="67">
                  <c:v>-0.21205477565487649</c:v>
                </c:pt>
                <c:pt idx="68">
                  <c:v>-0.2103016747282942</c:v>
                </c:pt>
                <c:pt idx="69">
                  <c:v>-0.21047406544496083</c:v>
                </c:pt>
                <c:pt idx="70">
                  <c:v>-0.2111638361600828</c:v>
                </c:pt>
                <c:pt idx="71">
                  <c:v>-0.21014693715334706</c:v>
                </c:pt>
                <c:pt idx="72">
                  <c:v>-0.21057799300162292</c:v>
                </c:pt>
                <c:pt idx="73">
                  <c:v>-0.21010165276662296</c:v>
                </c:pt>
                <c:pt idx="74">
                  <c:v>-0.20938614664584373</c:v>
                </c:pt>
                <c:pt idx="75">
                  <c:v>-0.20828580964584373</c:v>
                </c:pt>
                <c:pt idx="76">
                  <c:v>-0.20816256591857102</c:v>
                </c:pt>
                <c:pt idx="77">
                  <c:v>-0.20756710593974748</c:v>
                </c:pt>
                <c:pt idx="78">
                  <c:v>-0.20249795092615522</c:v>
                </c:pt>
                <c:pt idx="79">
                  <c:v>-0.20132238464744556</c:v>
                </c:pt>
                <c:pt idx="80">
                  <c:v>-0.20093969545179341</c:v>
                </c:pt>
                <c:pt idx="81">
                  <c:v>-0.20099114992921277</c:v>
                </c:pt>
                <c:pt idx="82">
                  <c:v>-0.2017547230757645</c:v>
                </c:pt>
                <c:pt idx="83">
                  <c:v>-0.20210105096345682</c:v>
                </c:pt>
                <c:pt idx="84">
                  <c:v>-0.20123175985712771</c:v>
                </c:pt>
                <c:pt idx="85">
                  <c:v>-0.2017427371461688</c:v>
                </c:pt>
                <c:pt idx="86">
                  <c:v>-0.20170894677816878</c:v>
                </c:pt>
                <c:pt idx="87">
                  <c:v>-0.201256162072974</c:v>
                </c:pt>
                <c:pt idx="88">
                  <c:v>-0.20267650724570127</c:v>
                </c:pt>
                <c:pt idx="89">
                  <c:v>-0.20246452815208424</c:v>
                </c:pt>
                <c:pt idx="90">
                  <c:v>-0.20154582676391217</c:v>
                </c:pt>
                <c:pt idx="91">
                  <c:v>-0.20182612200038275</c:v>
                </c:pt>
                <c:pt idx="92">
                  <c:v>-0.2025620999374457</c:v>
                </c:pt>
                <c:pt idx="93">
                  <c:v>-0.2003751081934457</c:v>
                </c:pt>
                <c:pt idx="94">
                  <c:v>-0.19882702455873064</c:v>
                </c:pt>
                <c:pt idx="95">
                  <c:v>-0.19763369498836031</c:v>
                </c:pt>
                <c:pt idx="96">
                  <c:v>-0.1968758342890797</c:v>
                </c:pt>
                <c:pt idx="97">
                  <c:v>-0.19704782507307975</c:v>
                </c:pt>
                <c:pt idx="98">
                  <c:v>-0.19044639582405165</c:v>
                </c:pt>
                <c:pt idx="99">
                  <c:v>-0.19085030354694321</c:v>
                </c:pt>
                <c:pt idx="100">
                  <c:v>-0.19138943311211176</c:v>
                </c:pt>
                <c:pt idx="101">
                  <c:v>-0.19128398912120267</c:v>
                </c:pt>
                <c:pt idx="102">
                  <c:v>-0.19078566142120268</c:v>
                </c:pt>
                <c:pt idx="103">
                  <c:v>-0.19131852760887391</c:v>
                </c:pt>
                <c:pt idx="104">
                  <c:v>-0.19085298004243095</c:v>
                </c:pt>
                <c:pt idx="105">
                  <c:v>-0.1925649564215007</c:v>
                </c:pt>
                <c:pt idx="106">
                  <c:v>-0.19163784157604616</c:v>
                </c:pt>
                <c:pt idx="107">
                  <c:v>-0.19160213682184771</c:v>
                </c:pt>
                <c:pt idx="108">
                  <c:v>-0.19196167770130718</c:v>
                </c:pt>
                <c:pt idx="109">
                  <c:v>-0.19247197307364758</c:v>
                </c:pt>
                <c:pt idx="110">
                  <c:v>-0.19115578941114755</c:v>
                </c:pt>
                <c:pt idx="111">
                  <c:v>-0.19081293488028336</c:v>
                </c:pt>
                <c:pt idx="112">
                  <c:v>-0.19008748052140484</c:v>
                </c:pt>
                <c:pt idx="113">
                  <c:v>-0.18768634016493424</c:v>
                </c:pt>
                <c:pt idx="114">
                  <c:v>-0.18422471147921998</c:v>
                </c:pt>
                <c:pt idx="115">
                  <c:v>-0.18108325089233471</c:v>
                </c:pt>
                <c:pt idx="116">
                  <c:v>-0.18065867279709663</c:v>
                </c:pt>
                <c:pt idx="117">
                  <c:v>-0.18080484533777461</c:v>
                </c:pt>
                <c:pt idx="118">
                  <c:v>-0.18065881652038332</c:v>
                </c:pt>
                <c:pt idx="119">
                  <c:v>-0.18147992616688011</c:v>
                </c:pt>
                <c:pt idx="120">
                  <c:v>-0.18171663994188014</c:v>
                </c:pt>
                <c:pt idx="121">
                  <c:v>-0.18109122390262089</c:v>
                </c:pt>
                <c:pt idx="122">
                  <c:v>-0.17991869799492857</c:v>
                </c:pt>
                <c:pt idx="123">
                  <c:v>-0.17540099702836909</c:v>
                </c:pt>
                <c:pt idx="124">
                  <c:v>-0.17572238299200546</c:v>
                </c:pt>
                <c:pt idx="125">
                  <c:v>-0.17554153348089435</c:v>
                </c:pt>
                <c:pt idx="126">
                  <c:v>-0.17500779986786752</c:v>
                </c:pt>
                <c:pt idx="127">
                  <c:v>-0.17578171443813778</c:v>
                </c:pt>
                <c:pt idx="128">
                  <c:v>-0.17678809417914498</c:v>
                </c:pt>
                <c:pt idx="129">
                  <c:v>-0.1755063798248814</c:v>
                </c:pt>
                <c:pt idx="130">
                  <c:v>-0.1749394073318814</c:v>
                </c:pt>
                <c:pt idx="131">
                  <c:v>-0.17492862705188139</c:v>
                </c:pt>
                <c:pt idx="132">
                  <c:v>-0.17207705587541083</c:v>
                </c:pt>
                <c:pt idx="133">
                  <c:v>-0.17050355002177955</c:v>
                </c:pt>
                <c:pt idx="134">
                  <c:v>-0.17020589866614041</c:v>
                </c:pt>
                <c:pt idx="135">
                  <c:v>-0.17053172384947379</c:v>
                </c:pt>
                <c:pt idx="136">
                  <c:v>-0.1712347053294738</c:v>
                </c:pt>
                <c:pt idx="137">
                  <c:v>-0.17170360849743496</c:v>
                </c:pt>
                <c:pt idx="138">
                  <c:v>-0.17171629017354115</c:v>
                </c:pt>
                <c:pt idx="139">
                  <c:v>-0.17072331933446069</c:v>
                </c:pt>
                <c:pt idx="140">
                  <c:v>-0.16865517704722033</c:v>
                </c:pt>
                <c:pt idx="141">
                  <c:v>-0.16644381580367193</c:v>
                </c:pt>
                <c:pt idx="142">
                  <c:v>-0.16501915389741006</c:v>
                </c:pt>
                <c:pt idx="143">
                  <c:v>-0.16229734542918786</c:v>
                </c:pt>
                <c:pt idx="144">
                  <c:v>-0.1610602170006164</c:v>
                </c:pt>
                <c:pt idx="145">
                  <c:v>-0.1575034178056797</c:v>
                </c:pt>
                <c:pt idx="146">
                  <c:v>-0.14196760947751066</c:v>
                </c:pt>
                <c:pt idx="147">
                  <c:v>-0.13400906703828322</c:v>
                </c:pt>
                <c:pt idx="148">
                  <c:v>-0.13330782043021866</c:v>
                </c:pt>
                <c:pt idx="149">
                  <c:v>-0.13382558046450438</c:v>
                </c:pt>
                <c:pt idx="150">
                  <c:v>-0.13317676740488901</c:v>
                </c:pt>
                <c:pt idx="151">
                  <c:v>-0.12996170346894961</c:v>
                </c:pt>
                <c:pt idx="152">
                  <c:v>-0.1306484261392353</c:v>
                </c:pt>
                <c:pt idx="153">
                  <c:v>-0.13079458427256865</c:v>
                </c:pt>
                <c:pt idx="154">
                  <c:v>-0.13183865738903572</c:v>
                </c:pt>
                <c:pt idx="155">
                  <c:v>-0.13072969335602599</c:v>
                </c:pt>
                <c:pt idx="156">
                  <c:v>-0.1321007270449325</c:v>
                </c:pt>
                <c:pt idx="157">
                  <c:v>-0.13106657200995722</c:v>
                </c:pt>
                <c:pt idx="158">
                  <c:v>-0.13114012411355522</c:v>
                </c:pt>
                <c:pt idx="159">
                  <c:v>-0.13116874808145418</c:v>
                </c:pt>
                <c:pt idx="160">
                  <c:v>-0.12985708989373668</c:v>
                </c:pt>
                <c:pt idx="161">
                  <c:v>-0.1267934839739758</c:v>
                </c:pt>
                <c:pt idx="162">
                  <c:v>-0.13027134964822187</c:v>
                </c:pt>
                <c:pt idx="163">
                  <c:v>-0.13187925268656367</c:v>
                </c:pt>
                <c:pt idx="164">
                  <c:v>-0.13064382906340385</c:v>
                </c:pt>
                <c:pt idx="165">
                  <c:v>-0.12877522561389992</c:v>
                </c:pt>
                <c:pt idx="166">
                  <c:v>-0.1289747250497095</c:v>
                </c:pt>
                <c:pt idx="167">
                  <c:v>-0.12559129212553957</c:v>
                </c:pt>
                <c:pt idx="168">
                  <c:v>-0.12743079679982711</c:v>
                </c:pt>
                <c:pt idx="169">
                  <c:v>-0.12457791568720106</c:v>
                </c:pt>
                <c:pt idx="170">
                  <c:v>-0.12279050183532225</c:v>
                </c:pt>
                <c:pt idx="171">
                  <c:v>-0.12499212147607698</c:v>
                </c:pt>
                <c:pt idx="172">
                  <c:v>-0.12606398678531769</c:v>
                </c:pt>
                <c:pt idx="173">
                  <c:v>-0.12415430591118511</c:v>
                </c:pt>
                <c:pt idx="174">
                  <c:v>-0.12414057960115517</c:v>
                </c:pt>
                <c:pt idx="175">
                  <c:v>-0.12419143141448041</c:v>
                </c:pt>
                <c:pt idx="176">
                  <c:v>-0.12330538742624678</c:v>
                </c:pt>
                <c:pt idx="177">
                  <c:v>-0.1233372115730365</c:v>
                </c:pt>
                <c:pt idx="178">
                  <c:v>-0.12306465385036985</c:v>
                </c:pt>
                <c:pt idx="179">
                  <c:v>-0.12244634730255564</c:v>
                </c:pt>
                <c:pt idx="180">
                  <c:v>-0.12074772034607896</c:v>
                </c:pt>
                <c:pt idx="181">
                  <c:v>-0.12040426025526971</c:v>
                </c:pt>
                <c:pt idx="182">
                  <c:v>-0.12107086893865979</c:v>
                </c:pt>
                <c:pt idx="183">
                  <c:v>-0.12162236693460915</c:v>
                </c:pt>
                <c:pt idx="184">
                  <c:v>-0.12117940270612956</c:v>
                </c:pt>
                <c:pt idx="185">
                  <c:v>-0.12288970581618787</c:v>
                </c:pt>
                <c:pt idx="186">
                  <c:v>-0.11864492648875512</c:v>
                </c:pt>
                <c:pt idx="187">
                  <c:v>-0.11984705252296146</c:v>
                </c:pt>
                <c:pt idx="188">
                  <c:v>-0.11782525220427272</c:v>
                </c:pt>
                <c:pt idx="189">
                  <c:v>-0.11727015306838681</c:v>
                </c:pt>
                <c:pt idx="190">
                  <c:v>-0.1176407753910364</c:v>
                </c:pt>
                <c:pt idx="191">
                  <c:v>-0.11833957958892928</c:v>
                </c:pt>
                <c:pt idx="192">
                  <c:v>-0.1179281552551073</c:v>
                </c:pt>
                <c:pt idx="193">
                  <c:v>-0.11763421922277095</c:v>
                </c:pt>
                <c:pt idx="194">
                  <c:v>-0.11775642821273026</c:v>
                </c:pt>
                <c:pt idx="195">
                  <c:v>-0.11808203265273025</c:v>
                </c:pt>
                <c:pt idx="196">
                  <c:v>-0.11708210352633662</c:v>
                </c:pt>
                <c:pt idx="197">
                  <c:v>-0.11705823992084165</c:v>
                </c:pt>
                <c:pt idx="198">
                  <c:v>-0.11715924924512126</c:v>
                </c:pt>
                <c:pt idx="199">
                  <c:v>-0.11638913283401014</c:v>
                </c:pt>
                <c:pt idx="200">
                  <c:v>-0.11563388937548741</c:v>
                </c:pt>
                <c:pt idx="201">
                  <c:v>-0.11518715638755639</c:v>
                </c:pt>
                <c:pt idx="202">
                  <c:v>-0.11520314591596609</c:v>
                </c:pt>
                <c:pt idx="203">
                  <c:v>-0.11635404042062376</c:v>
                </c:pt>
                <c:pt idx="204">
                  <c:v>-0.11480011572976717</c:v>
                </c:pt>
                <c:pt idx="205">
                  <c:v>-0.11268208256534062</c:v>
                </c:pt>
                <c:pt idx="206">
                  <c:v>-0.11481815041376169</c:v>
                </c:pt>
                <c:pt idx="207">
                  <c:v>-0.11461932165138569</c:v>
                </c:pt>
                <c:pt idx="208">
                  <c:v>-0.11561290021212949</c:v>
                </c:pt>
                <c:pt idx="209">
                  <c:v>-0.11435269617720652</c:v>
                </c:pt>
                <c:pt idx="210">
                  <c:v>-0.11514243319845133</c:v>
                </c:pt>
                <c:pt idx="211">
                  <c:v>-0.11515040265320059</c:v>
                </c:pt>
                <c:pt idx="212">
                  <c:v>-0.11567227617358021</c:v>
                </c:pt>
                <c:pt idx="213">
                  <c:v>-0.11580472593978232</c:v>
                </c:pt>
                <c:pt idx="214">
                  <c:v>-0.11583675920260011</c:v>
                </c:pt>
                <c:pt idx="215">
                  <c:v>-0.11809893629530845</c:v>
                </c:pt>
                <c:pt idx="216">
                  <c:v>-0.11920809137527209</c:v>
                </c:pt>
                <c:pt idx="217">
                  <c:v>-0.11802859357403822</c:v>
                </c:pt>
                <c:pt idx="218">
                  <c:v>-0.11984639876926899</c:v>
                </c:pt>
                <c:pt idx="219">
                  <c:v>-0.12080892957211069</c:v>
                </c:pt>
                <c:pt idx="220">
                  <c:v>-0.12070860127655331</c:v>
                </c:pt>
                <c:pt idx="221">
                  <c:v>-0.11673778578338201</c:v>
                </c:pt>
                <c:pt idx="222">
                  <c:v>-0.11838454061061886</c:v>
                </c:pt>
                <c:pt idx="223">
                  <c:v>-0.11426806455387366</c:v>
                </c:pt>
                <c:pt idx="224">
                  <c:v>-0.10576325972877526</c:v>
                </c:pt>
                <c:pt idx="225">
                  <c:v>-0.10351881601775018</c:v>
                </c:pt>
                <c:pt idx="226">
                  <c:v>-0.10196616346708942</c:v>
                </c:pt>
                <c:pt idx="227">
                  <c:v>-0.10098499551211268</c:v>
                </c:pt>
                <c:pt idx="228">
                  <c:v>-0.10239258129901931</c:v>
                </c:pt>
                <c:pt idx="229">
                  <c:v>-0.10408889895846203</c:v>
                </c:pt>
                <c:pt idx="230">
                  <c:v>-0.11016294098506203</c:v>
                </c:pt>
                <c:pt idx="231">
                  <c:v>-0.10714609323722685</c:v>
                </c:pt>
                <c:pt idx="232">
                  <c:v>-9.8518329335273283E-2</c:v>
                </c:pt>
                <c:pt idx="233">
                  <c:v>-0.10216570326070576</c:v>
                </c:pt>
                <c:pt idx="234">
                  <c:v>-0.1017905456586977</c:v>
                </c:pt>
                <c:pt idx="235">
                  <c:v>-0.10057144403940663</c:v>
                </c:pt>
                <c:pt idx="236">
                  <c:v>-0.10018289586815662</c:v>
                </c:pt>
                <c:pt idx="237">
                  <c:v>-9.955308561342649E-2</c:v>
                </c:pt>
                <c:pt idx="238">
                  <c:v>-9.8693191422479981E-2</c:v>
                </c:pt>
                <c:pt idx="239">
                  <c:v>-9.9183790129680011E-2</c:v>
                </c:pt>
                <c:pt idx="240">
                  <c:v>-9.9513150448177948E-2</c:v>
                </c:pt>
                <c:pt idx="241">
                  <c:v>-9.7821655345566028E-2</c:v>
                </c:pt>
                <c:pt idx="242">
                  <c:v>-9.9601248439803988E-2</c:v>
                </c:pt>
                <c:pt idx="243">
                  <c:v>-0.10079457180998178</c:v>
                </c:pt>
                <c:pt idx="244">
                  <c:v>-9.9392432957770283E-2</c:v>
                </c:pt>
                <c:pt idx="245">
                  <c:v>-9.5851747223414066E-2</c:v>
                </c:pt>
                <c:pt idx="246">
                  <c:v>-9.0282427058659978E-2</c:v>
                </c:pt>
                <c:pt idx="247">
                  <c:v>-8.5987340532514611E-2</c:v>
                </c:pt>
                <c:pt idx="248">
                  <c:v>-9.0851823069573387E-2</c:v>
                </c:pt>
                <c:pt idx="249">
                  <c:v>-9.3261929970787263E-2</c:v>
                </c:pt>
                <c:pt idx="250">
                  <c:v>-9.2666268884310246E-2</c:v>
                </c:pt>
                <c:pt idx="251">
                  <c:v>-9.1259942853676529E-2</c:v>
                </c:pt>
                <c:pt idx="252">
                  <c:v>-8.9534572233943982E-2</c:v>
                </c:pt>
                <c:pt idx="253">
                  <c:v>-9.0226682400381786E-2</c:v>
                </c:pt>
                <c:pt idx="254">
                  <c:v>-8.7080867638881315E-2</c:v>
                </c:pt>
                <c:pt idx="255">
                  <c:v>-8.6337668248510954E-2</c:v>
                </c:pt>
                <c:pt idx="256">
                  <c:v>-8.4111258255572058E-2</c:v>
                </c:pt>
                <c:pt idx="257">
                  <c:v>-8.3446828679020341E-2</c:v>
                </c:pt>
                <c:pt idx="258">
                  <c:v>-8.1471210747451422E-2</c:v>
                </c:pt>
                <c:pt idx="259">
                  <c:v>-8.1683426721099656E-2</c:v>
                </c:pt>
                <c:pt idx="260">
                  <c:v>-7.9885583998785037E-2</c:v>
                </c:pt>
                <c:pt idx="261">
                  <c:v>-7.4358241438686565E-2</c:v>
                </c:pt>
                <c:pt idx="262">
                  <c:v>-7.2706665980842869E-2</c:v>
                </c:pt>
                <c:pt idx="263">
                  <c:v>-6.9307524867311468E-2</c:v>
                </c:pt>
                <c:pt idx="264">
                  <c:v>-6.4316521420280923E-2</c:v>
                </c:pt>
                <c:pt idx="265">
                  <c:v>-5.15901115995923E-2</c:v>
                </c:pt>
                <c:pt idx="266">
                  <c:v>-4.875018996477419E-2</c:v>
                </c:pt>
                <c:pt idx="267">
                  <c:v>-4.4110919638174893E-2</c:v>
                </c:pt>
                <c:pt idx="268">
                  <c:v>-4.1318701312624648E-2</c:v>
                </c:pt>
                <c:pt idx="269">
                  <c:v>-3.7008955867643446E-2</c:v>
                </c:pt>
                <c:pt idx="270">
                  <c:v>-3.2986547946431577E-2</c:v>
                </c:pt>
                <c:pt idx="271">
                  <c:v>-2.9308705024242172E-2</c:v>
                </c:pt>
                <c:pt idx="272">
                  <c:v>-2.2167899662647973E-2</c:v>
                </c:pt>
                <c:pt idx="273">
                  <c:v>1.6415942687992346E-2</c:v>
                </c:pt>
                <c:pt idx="274">
                  <c:v>-1.0907101358824818E-2</c:v>
                </c:pt>
                <c:pt idx="275">
                  <c:v>-1.1149756623289811E-2</c:v>
                </c:pt>
                <c:pt idx="276">
                  <c:v>-1.119189415332116E-2</c:v>
                </c:pt>
                <c:pt idx="277">
                  <c:v>-1.1299663421012979E-2</c:v>
                </c:pt>
                <c:pt idx="278">
                  <c:v>-1.1125189210035007E-2</c:v>
                </c:pt>
                <c:pt idx="279">
                  <c:v>-1.1067206911765191E-2</c:v>
                </c:pt>
                <c:pt idx="280">
                  <c:v>-1.107110194709655E-2</c:v>
                </c:pt>
                <c:pt idx="281">
                  <c:v>-1.084129725687316E-2</c:v>
                </c:pt>
                <c:pt idx="282">
                  <c:v>-1.0444801329839118E-2</c:v>
                </c:pt>
                <c:pt idx="283">
                  <c:v>-1.0521770736005243E-2</c:v>
                </c:pt>
                <c:pt idx="284">
                  <c:v>-1.0240391206977372E-2</c:v>
                </c:pt>
                <c:pt idx="285">
                  <c:v>-1.0159574576393148E-2</c:v>
                </c:pt>
                <c:pt idx="286">
                  <c:v>-9.8991051371417511E-3</c:v>
                </c:pt>
                <c:pt idx="287">
                  <c:v>-9.7714036064494424E-3</c:v>
                </c:pt>
                <c:pt idx="288">
                  <c:v>-9.988278039425055E-3</c:v>
                </c:pt>
                <c:pt idx="289">
                  <c:v>-1.0519083589525996E-2</c:v>
                </c:pt>
                <c:pt idx="290">
                  <c:v>-1.0507306524646286E-2</c:v>
                </c:pt>
                <c:pt idx="291">
                  <c:v>-1.0197859523119968E-2</c:v>
                </c:pt>
                <c:pt idx="292">
                  <c:v>-1.0420560523119968E-2</c:v>
                </c:pt>
                <c:pt idx="293">
                  <c:v>-1.026329503282461E-2</c:v>
                </c:pt>
                <c:pt idx="294">
                  <c:v>-1.0099103446743146E-2</c:v>
                </c:pt>
                <c:pt idx="295">
                  <c:v>-9.8836708329524559E-3</c:v>
                </c:pt>
                <c:pt idx="296">
                  <c:v>-9.4912305308433274E-3</c:v>
                </c:pt>
                <c:pt idx="297">
                  <c:v>-6.8941917263953753E-3</c:v>
                </c:pt>
                <c:pt idx="298">
                  <c:v>-7.9858174371028878E-3</c:v>
                </c:pt>
                <c:pt idx="299">
                  <c:v>-8.0152271603159322E-3</c:v>
                </c:pt>
                <c:pt idx="300">
                  <c:v>-7.8610408682307804E-3</c:v>
                </c:pt>
                <c:pt idx="301">
                  <c:v>-7.7500448144929681E-3</c:v>
                </c:pt>
                <c:pt idx="302">
                  <c:v>-7.5809532111980752E-3</c:v>
                </c:pt>
                <c:pt idx="303">
                  <c:v>-7.5341254377044049E-3</c:v>
                </c:pt>
                <c:pt idx="304">
                  <c:v>-7.5209270904441792E-3</c:v>
                </c:pt>
                <c:pt idx="305">
                  <c:v>-7.76814607559736E-3</c:v>
                </c:pt>
                <c:pt idx="306">
                  <c:v>-7.7080212217987025E-3</c:v>
                </c:pt>
                <c:pt idx="307">
                  <c:v>-7.5481789430272743E-3</c:v>
                </c:pt>
                <c:pt idx="308">
                  <c:v>-7.591905123798392E-3</c:v>
                </c:pt>
                <c:pt idx="309">
                  <c:v>-7.3963883906253752E-3</c:v>
                </c:pt>
                <c:pt idx="310">
                  <c:v>-7.2177462597471133E-3</c:v>
                </c:pt>
                <c:pt idx="311">
                  <c:v>-7.0493179337734226E-3</c:v>
                </c:pt>
                <c:pt idx="312">
                  <c:v>-6.6854129097734232E-3</c:v>
                </c:pt>
                <c:pt idx="313">
                  <c:v>-6.5122075550667234E-3</c:v>
                </c:pt>
                <c:pt idx="314">
                  <c:v>-6.2942869199717321E-3</c:v>
                </c:pt>
                <c:pt idx="315">
                  <c:v>-5.9497335374574601E-3</c:v>
                </c:pt>
                <c:pt idx="316">
                  <c:v>-5.6201943985257994E-3</c:v>
                </c:pt>
                <c:pt idx="317">
                  <c:v>-5.88434542422286E-3</c:v>
                </c:pt>
                <c:pt idx="318">
                  <c:v>-5.2608462334674628E-3</c:v>
                </c:pt>
                <c:pt idx="319">
                  <c:v>-4.7533425249762307E-3</c:v>
                </c:pt>
                <c:pt idx="320">
                  <c:v>-4.4835738602290705E-3</c:v>
                </c:pt>
                <c:pt idx="321">
                  <c:v>-3.8507170321554363E-3</c:v>
                </c:pt>
                <c:pt idx="322">
                  <c:v>-3.0366855623554364E-3</c:v>
                </c:pt>
                <c:pt idx="323">
                  <c:v>-2.809823344306532E-3</c:v>
                </c:pt>
                <c:pt idx="324">
                  <c:v>-2.3940258283356207E-3</c:v>
                </c:pt>
                <c:pt idx="325">
                  <c:v>-2.7341784588053291E-3</c:v>
                </c:pt>
                <c:pt idx="326">
                  <c:v>-2.6554383956138954E-3</c:v>
                </c:pt>
                <c:pt idx="327">
                  <c:v>-1.6436656807442358E-3</c:v>
                </c:pt>
                <c:pt idx="328">
                  <c:v>-1.6459559308383215E-4</c:v>
                </c:pt>
                <c:pt idx="329">
                  <c:v>-5.4924323866690171E-4</c:v>
                </c:pt>
                <c:pt idx="330">
                  <c:v>-1.5241413955731305E-4</c:v>
                </c:pt>
                <c:pt idx="331">
                  <c:v>2.7586768368078224E-4</c:v>
                </c:pt>
                <c:pt idx="332">
                  <c:v>4.5276988668313951E-4</c:v>
                </c:pt>
                <c:pt idx="333">
                  <c:v>5.2813102407520834E-4</c:v>
                </c:pt>
                <c:pt idx="334">
                  <c:v>1.1957139333386995E-3</c:v>
                </c:pt>
                <c:pt idx="335">
                  <c:v>2.0703536797432283E-3</c:v>
                </c:pt>
                <c:pt idx="336">
                  <c:v>4.5456390658583593E-3</c:v>
                </c:pt>
                <c:pt idx="337">
                  <c:v>4.7070961266312168E-3</c:v>
                </c:pt>
                <c:pt idx="338">
                  <c:v>5.1414555709382061E-3</c:v>
                </c:pt>
                <c:pt idx="339">
                  <c:v>4.5287973939036469E-3</c:v>
                </c:pt>
                <c:pt idx="340">
                  <c:v>5.0664977347561055E-3</c:v>
                </c:pt>
                <c:pt idx="341">
                  <c:v>5.7818986750036092E-3</c:v>
                </c:pt>
                <c:pt idx="342">
                  <c:v>7.0639869373123115E-3</c:v>
                </c:pt>
                <c:pt idx="343">
                  <c:v>7.7335880572702081E-3</c:v>
                </c:pt>
                <c:pt idx="344">
                  <c:v>8.9121607066690988E-3</c:v>
                </c:pt>
                <c:pt idx="345">
                  <c:v>8.7712609236126372E-3</c:v>
                </c:pt>
                <c:pt idx="346">
                  <c:v>5.0792482812029244E-3</c:v>
                </c:pt>
                <c:pt idx="347">
                  <c:v>2.4662063471148493E-3</c:v>
                </c:pt>
                <c:pt idx="348">
                  <c:v>2.9744081763565591E-3</c:v>
                </c:pt>
                <c:pt idx="349">
                  <c:v>1.547151580470913E-3</c:v>
                </c:pt>
                <c:pt idx="350">
                  <c:v>2.3284801111482086E-5</c:v>
                </c:pt>
                <c:pt idx="351">
                  <c:v>-1.3381404377959284E-3</c:v>
                </c:pt>
                <c:pt idx="352">
                  <c:v>-9.8093458999276811E-4</c:v>
                </c:pt>
                <c:pt idx="353">
                  <c:v>-4.6459230381390459E-4</c:v>
                </c:pt>
                <c:pt idx="354">
                  <c:v>-2.4166506248064637E-3</c:v>
                </c:pt>
                <c:pt idx="355">
                  <c:v>-3.1245501779099214E-3</c:v>
                </c:pt>
                <c:pt idx="356">
                  <c:v>-3.1431981283615326E-3</c:v>
                </c:pt>
                <c:pt idx="357">
                  <c:v>-4.185090392451709E-3</c:v>
                </c:pt>
                <c:pt idx="358">
                  <c:v>-4.7611191584970725E-3</c:v>
                </c:pt>
                <c:pt idx="359">
                  <c:v>-5.3897662806997792E-3</c:v>
                </c:pt>
                <c:pt idx="360">
                  <c:v>-6.05389035931749E-3</c:v>
                </c:pt>
                <c:pt idx="361">
                  <c:v>-6.516213710851231E-3</c:v>
                </c:pt>
                <c:pt idx="362">
                  <c:v>-6.9285298646973841E-3</c:v>
                </c:pt>
                <c:pt idx="363">
                  <c:v>-7.1306945523080031E-3</c:v>
                </c:pt>
                <c:pt idx="364">
                  <c:v>-6.9677970325158455E-3</c:v>
                </c:pt>
                <c:pt idx="365">
                  <c:v>-6.8451360495961388E-3</c:v>
                </c:pt>
                <c:pt idx="366">
                  <c:v>-6.367893096743767E-3</c:v>
                </c:pt>
                <c:pt idx="367">
                  <c:v>-6.581747593571355E-3</c:v>
                </c:pt>
                <c:pt idx="368">
                  <c:v>-6.4277479674407023E-3</c:v>
                </c:pt>
                <c:pt idx="369">
                  <c:v>-6.5510031262642314E-3</c:v>
                </c:pt>
                <c:pt idx="370">
                  <c:v>-6.5056734466830794E-3</c:v>
                </c:pt>
                <c:pt idx="371">
                  <c:v>-6.5960510359392779E-3</c:v>
                </c:pt>
                <c:pt idx="372">
                  <c:v>-6.5350226072313847E-3</c:v>
                </c:pt>
                <c:pt idx="373">
                  <c:v>-6.7276928793576054E-3</c:v>
                </c:pt>
                <c:pt idx="374">
                  <c:v>-6.47076979325867E-3</c:v>
                </c:pt>
                <c:pt idx="375">
                  <c:v>-6.1149127002206958E-3</c:v>
                </c:pt>
                <c:pt idx="376">
                  <c:v>-6.326306571188438E-3</c:v>
                </c:pt>
                <c:pt idx="377">
                  <c:v>-6.5044426960957757E-3</c:v>
                </c:pt>
                <c:pt idx="378">
                  <c:v>-6.762631643663343E-3</c:v>
                </c:pt>
                <c:pt idx="379">
                  <c:v>-6.6916955211541182E-3</c:v>
                </c:pt>
                <c:pt idx="380">
                  <c:v>-6.8284650905491356E-3</c:v>
                </c:pt>
                <c:pt idx="381">
                  <c:v>-6.8429969713962807E-3</c:v>
                </c:pt>
                <c:pt idx="382">
                  <c:v>-6.9721574526675637E-3</c:v>
                </c:pt>
                <c:pt idx="383">
                  <c:v>-6.8564480763517741E-3</c:v>
                </c:pt>
                <c:pt idx="384">
                  <c:v>-7.0440168426262849E-3</c:v>
                </c:pt>
                <c:pt idx="385">
                  <c:v>-7.0186796920066481E-3</c:v>
                </c:pt>
                <c:pt idx="386">
                  <c:v>-7.1932498783147157E-3</c:v>
                </c:pt>
                <c:pt idx="387">
                  <c:v>-7.1167477058240083E-3</c:v>
                </c:pt>
                <c:pt idx="388">
                  <c:v>-7.3472449058240089E-3</c:v>
                </c:pt>
                <c:pt idx="389">
                  <c:v>-7.3133630825161803E-3</c:v>
                </c:pt>
                <c:pt idx="390">
                  <c:v>-7.3730959544559167E-3</c:v>
                </c:pt>
                <c:pt idx="391">
                  <c:v>-7.6134182882245729E-3</c:v>
                </c:pt>
                <c:pt idx="392">
                  <c:v>-7.9372643246501066E-3</c:v>
                </c:pt>
                <c:pt idx="393">
                  <c:v>-7.6678686005407564E-3</c:v>
                </c:pt>
                <c:pt idx="394">
                  <c:v>-7.7003271319229846E-3</c:v>
                </c:pt>
                <c:pt idx="395">
                  <c:v>-7.5950396628709739E-3</c:v>
                </c:pt>
                <c:pt idx="396">
                  <c:v>-7.5757718895207203E-3</c:v>
                </c:pt>
                <c:pt idx="397">
                  <c:v>-7.740784215857866E-3</c:v>
                </c:pt>
                <c:pt idx="398">
                  <c:v>-7.6765116793388296E-3</c:v>
                </c:pt>
                <c:pt idx="399">
                  <c:v>-7.6628207441589314E-3</c:v>
                </c:pt>
                <c:pt idx="400">
                  <c:v>-7.5352423669659491E-3</c:v>
                </c:pt>
                <c:pt idx="401">
                  <c:v>-7.4618983667256141E-3</c:v>
                </c:pt>
                <c:pt idx="402">
                  <c:v>-6.4610031205728884E-3</c:v>
                </c:pt>
                <c:pt idx="403">
                  <c:v>-6.4887810965291726E-3</c:v>
                </c:pt>
                <c:pt idx="404">
                  <c:v>-6.6972935008240073E-3</c:v>
                </c:pt>
                <c:pt idx="405">
                  <c:v>-6.3213750410266202E-3</c:v>
                </c:pt>
                <c:pt idx="406">
                  <c:v>-6.3125535754590687E-3</c:v>
                </c:pt>
                <c:pt idx="407">
                  <c:v>-5.4757005901980276E-3</c:v>
                </c:pt>
                <c:pt idx="408">
                  <c:v>3.2087089314382188E-4</c:v>
                </c:pt>
                <c:pt idx="409">
                  <c:v>2.1362096021290358E-4</c:v>
                </c:pt>
                <c:pt idx="410">
                  <c:v>3.2499416496960075E-4</c:v>
                </c:pt>
                <c:pt idx="411">
                  <c:v>1.8019226322315798E-4</c:v>
                </c:pt>
                <c:pt idx="412">
                  <c:v>-1.4425933150062991E-4</c:v>
                </c:pt>
                <c:pt idx="413">
                  <c:v>7.3939926511122894E-4</c:v>
                </c:pt>
                <c:pt idx="414">
                  <c:v>1.0781281639220308E-4</c:v>
                </c:pt>
                <c:pt idx="415">
                  <c:v>-1.580014373240745E-5</c:v>
                </c:pt>
                <c:pt idx="416">
                  <c:v>3.7571752584320461E-4</c:v>
                </c:pt>
                <c:pt idx="417">
                  <c:v>7.7443307095421087E-4</c:v>
                </c:pt>
                <c:pt idx="418">
                  <c:v>3.7744694438755251E-4</c:v>
                </c:pt>
                <c:pt idx="419">
                  <c:v>5.8338554936855668E-4</c:v>
                </c:pt>
                <c:pt idx="420">
                  <c:v>1.9500937279225516E-4</c:v>
                </c:pt>
                <c:pt idx="421">
                  <c:v>-4.8158078518687543E-4</c:v>
                </c:pt>
                <c:pt idx="422">
                  <c:v>-5.2328473640638829E-4</c:v>
                </c:pt>
                <c:pt idx="423">
                  <c:v>-4.0066625764708324E-4</c:v>
                </c:pt>
                <c:pt idx="424">
                  <c:v>-6.4980683310807586E-4</c:v>
                </c:pt>
                <c:pt idx="425">
                  <c:v>-5.6349760619207347E-4</c:v>
                </c:pt>
                <c:pt idx="426">
                  <c:v>-9.9281852672463669E-4</c:v>
                </c:pt>
                <c:pt idx="427">
                  <c:v>-5.0417839011857566E-4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6F-47AB-95B8-2D3837AECF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3135632"/>
        <c:axId val="643148944"/>
      </c:lineChart>
      <c:dateAx>
        <c:axId val="643135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48944"/>
        <c:crosses val="autoZero"/>
        <c:auto val="1"/>
        <c:lblOffset val="100"/>
        <c:baseTimeUnit val="days"/>
      </c:dateAx>
      <c:valAx>
        <c:axId val="6431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3135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5F752FE-83FC-455F-9B4A-61289DAD62DD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76F1BCA-0E01-410B-BB6E-3177D25BC9F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108.104</v>
      </c>
      <c r="D2" s="4">
        <f>MIN(D3:D1912)</f>
        <v>1.6805000000000001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8.9600000000000009</v>
      </c>
      <c r="C5">
        <v>9.1</v>
      </c>
      <c r="D5">
        <v>8.82</v>
      </c>
      <c r="E5">
        <v>8.82</v>
      </c>
      <c r="F5">
        <v>2567.38</v>
      </c>
      <c r="G5">
        <v>8.82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-2567.38</v>
      </c>
      <c r="R5">
        <f t="shared" ref="R5" si="2">R6+Q5</f>
        <v>-23455710.413048405</v>
      </c>
      <c r="S5">
        <f t="shared" ref="S5" si="3">R5/100000</f>
        <v>-234.55710413048405</v>
      </c>
      <c r="T5">
        <f t="shared" ref="T5" si="4">S5/1000</f>
        <v>-0.23455710413048406</v>
      </c>
    </row>
    <row r="6" spans="1:20" x14ac:dyDescent="0.25">
      <c r="A6" s="5">
        <v>44587</v>
      </c>
      <c r="B6">
        <v>8.94</v>
      </c>
      <c r="C6">
        <v>9.7799999999999994</v>
      </c>
      <c r="D6">
        <v>8.77</v>
      </c>
      <c r="E6">
        <v>8.9499999999999993</v>
      </c>
      <c r="F6">
        <v>80683.149999999994</v>
      </c>
      <c r="G6">
        <v>8.9499999999999993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-0.64356435643564402</v>
      </c>
      <c r="Q6">
        <f t="shared" ref="Q6" si="6">F6*P6</f>
        <v>-51924.799504950526</v>
      </c>
      <c r="R6">
        <f t="shared" ref="R6" si="7">R7+Q6</f>
        <v>-23453143.033048406</v>
      </c>
      <c r="S6">
        <f t="shared" ref="S6" si="8">R6/100000</f>
        <v>-234.53143033048406</v>
      </c>
      <c r="T6">
        <f t="shared" ref="T6" si="9">S6/1000</f>
        <v>-0.23453143033048407</v>
      </c>
    </row>
    <row r="7" spans="1:20" x14ac:dyDescent="0.25">
      <c r="A7" s="5">
        <v>44586</v>
      </c>
      <c r="B7">
        <v>9.0299999999999994</v>
      </c>
      <c r="C7">
        <v>9.24</v>
      </c>
      <c r="D7">
        <v>8.68</v>
      </c>
      <c r="E7">
        <v>8.93</v>
      </c>
      <c r="F7">
        <v>46366.23</v>
      </c>
      <c r="G7">
        <v>8.93</v>
      </c>
      <c r="L7" t="s">
        <v>7</v>
      </c>
      <c r="M7" t="s">
        <v>8</v>
      </c>
      <c r="N7" t="s">
        <v>7</v>
      </c>
      <c r="P7">
        <f t="shared" ref="P7" si="10">IF(C7=D7,0,((E7-D7)-(C7-E7))/(C7-D7))</f>
        <v>-0.10714285714285794</v>
      </c>
      <c r="Q7">
        <f t="shared" ref="Q7" si="11">F7*P7</f>
        <v>-4967.8103571428946</v>
      </c>
      <c r="R7">
        <f t="shared" ref="R7" si="12">R8+Q7</f>
        <v>-23401218.233543456</v>
      </c>
      <c r="S7">
        <f t="shared" ref="S7" si="13">R7/100000</f>
        <v>-234.01218233543455</v>
      </c>
      <c r="T7">
        <f t="shared" ref="T7" si="14">S7/1000</f>
        <v>-0.23401218233543455</v>
      </c>
    </row>
    <row r="8" spans="1:20" x14ac:dyDescent="0.25">
      <c r="A8" s="5">
        <v>44585</v>
      </c>
      <c r="B8">
        <v>9.4</v>
      </c>
      <c r="C8">
        <v>10.199999999999999</v>
      </c>
      <c r="D8">
        <v>8.3000000000000007</v>
      </c>
      <c r="E8">
        <v>9.0299999999999994</v>
      </c>
      <c r="F8">
        <v>269180.57</v>
      </c>
      <c r="G8">
        <v>9.0299999999999994</v>
      </c>
      <c r="L8" t="s">
        <v>8</v>
      </c>
      <c r="M8" t="s">
        <v>8</v>
      </c>
      <c r="N8" t="s">
        <v>7</v>
      </c>
      <c r="P8">
        <f t="shared" ref="P8" si="15">IF(C8=D8,0,((E8-D8)-(C8-E8))/(C8-D8))</f>
        <v>-0.23157894736842191</v>
      </c>
      <c r="Q8">
        <f t="shared" ref="Q8" si="16">F8*P8</f>
        <v>-62336.553052631811</v>
      </c>
      <c r="R8">
        <f t="shared" ref="R8" si="17">R9+Q8</f>
        <v>-23396250.423186313</v>
      </c>
      <c r="S8">
        <f t="shared" ref="S8" si="18">R8/100000</f>
        <v>-233.96250423186314</v>
      </c>
      <c r="T8">
        <f t="shared" ref="T8" si="19">S8/1000</f>
        <v>-0.23396250423186313</v>
      </c>
    </row>
    <row r="9" spans="1:20" x14ac:dyDescent="0.25">
      <c r="A9" s="5">
        <v>44584</v>
      </c>
      <c r="B9">
        <v>8.9600000000000009</v>
      </c>
      <c r="C9">
        <v>9.9</v>
      </c>
      <c r="D9">
        <v>8.77</v>
      </c>
      <c r="E9">
        <v>9.4</v>
      </c>
      <c r="F9">
        <v>94652.02</v>
      </c>
      <c r="G9">
        <v>9.4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0.11504424778761123</v>
      </c>
      <c r="Q9">
        <f t="shared" ref="Q9" si="21">F9*P9</f>
        <v>10889.170442477935</v>
      </c>
      <c r="R9">
        <f t="shared" ref="R9" si="22">R10+Q9</f>
        <v>-23333913.870133683</v>
      </c>
      <c r="S9">
        <f t="shared" ref="S9" si="23">R9/100000</f>
        <v>-233.33913870133682</v>
      </c>
      <c r="T9">
        <f t="shared" ref="T9" si="24">S9/1000</f>
        <v>-0.23333913870133682</v>
      </c>
    </row>
    <row r="10" spans="1:20" x14ac:dyDescent="0.25">
      <c r="A10" s="5">
        <v>44583</v>
      </c>
      <c r="B10">
        <v>9.5500000000000007</v>
      </c>
      <c r="C10">
        <v>10.3</v>
      </c>
      <c r="D10">
        <v>8</v>
      </c>
      <c r="E10">
        <v>8.9600000000000009</v>
      </c>
      <c r="F10">
        <v>448133.85399999999</v>
      </c>
      <c r="G10">
        <v>8.9600000000000009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-0.16521739130434734</v>
      </c>
      <c r="Q10">
        <f t="shared" ref="Q10" si="26">F10*P10</f>
        <v>-74039.506313043268</v>
      </c>
      <c r="R10">
        <f t="shared" ref="R10" si="27">R11+Q10</f>
        <v>-23344803.04057616</v>
      </c>
      <c r="S10">
        <f t="shared" ref="S10" si="28">R10/100000</f>
        <v>-233.44803040576159</v>
      </c>
      <c r="T10">
        <f t="shared" ref="T10" si="29">S10/1000</f>
        <v>-0.23344803040576159</v>
      </c>
    </row>
    <row r="11" spans="1:20" x14ac:dyDescent="0.25">
      <c r="A11" s="5">
        <v>44582</v>
      </c>
      <c r="B11">
        <v>11.07</v>
      </c>
      <c r="C11">
        <v>11.25</v>
      </c>
      <c r="D11">
        <v>9.41</v>
      </c>
      <c r="E11">
        <v>9.6</v>
      </c>
      <c r="F11">
        <v>88808.77</v>
      </c>
      <c r="G11">
        <v>9.6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-0.79347826086956574</v>
      </c>
      <c r="Q11">
        <f t="shared" ref="Q11" si="31">F11*P11</f>
        <v>-70467.828369565264</v>
      </c>
      <c r="R11">
        <f t="shared" ref="R11" si="32">R12+Q11</f>
        <v>-23270763.534263115</v>
      </c>
      <c r="S11">
        <f t="shared" ref="S11" si="33">R11/100000</f>
        <v>-232.70763534263116</v>
      </c>
      <c r="T11">
        <f t="shared" ref="T11" si="34">S11/1000</f>
        <v>-0.23270763534263117</v>
      </c>
    </row>
    <row r="12" spans="1:20" x14ac:dyDescent="0.25">
      <c r="A12" s="5">
        <v>44581</v>
      </c>
      <c r="B12">
        <v>12</v>
      </c>
      <c r="C12">
        <v>12</v>
      </c>
      <c r="D12">
        <v>11.01</v>
      </c>
      <c r="E12">
        <v>11.1</v>
      </c>
      <c r="F12">
        <v>92277.29</v>
      </c>
      <c r="G12">
        <v>11.1</v>
      </c>
      <c r="L12" t="s">
        <v>7</v>
      </c>
      <c r="M12" t="s">
        <v>7</v>
      </c>
      <c r="N12" t="s">
        <v>8</v>
      </c>
      <c r="P12">
        <f t="shared" ref="P12" si="35">IF(C12=D12,0,((E12-D12)-(C12-E12))/(C12-D12))</f>
        <v>-0.81818181818181845</v>
      </c>
      <c r="Q12">
        <f t="shared" ref="Q12" si="36">F12*P12</f>
        <v>-75499.600909090936</v>
      </c>
      <c r="R12">
        <f t="shared" ref="R12" si="37">R13+Q12</f>
        <v>-23200295.70589355</v>
      </c>
      <c r="S12">
        <f t="shared" ref="S12" si="38">R12/100000</f>
        <v>-232.00295705893549</v>
      </c>
      <c r="T12">
        <f t="shared" ref="T12" si="39">S12/1000</f>
        <v>-0.23200295705893551</v>
      </c>
    </row>
    <row r="13" spans="1:20" x14ac:dyDescent="0.25">
      <c r="A13" s="5">
        <v>44580</v>
      </c>
      <c r="B13">
        <v>13.32</v>
      </c>
      <c r="C13">
        <v>13.96</v>
      </c>
      <c r="D13">
        <v>11.9</v>
      </c>
      <c r="E13">
        <v>12</v>
      </c>
      <c r="F13">
        <v>228398.9</v>
      </c>
      <c r="G13">
        <v>12</v>
      </c>
      <c r="L13" t="s">
        <v>7</v>
      </c>
      <c r="M13" t="s">
        <v>7</v>
      </c>
      <c r="N13" t="s">
        <v>8</v>
      </c>
      <c r="P13">
        <f t="shared" ref="P13" si="40">IF(C13=D13,0,((E13-D13)-(C13-E13))/(C13-D13))</f>
        <v>-0.90291262135922368</v>
      </c>
      <c r="Q13">
        <f t="shared" ref="Q13" si="41">F13*P13</f>
        <v>-206224.24951456318</v>
      </c>
      <c r="R13">
        <f t="shared" ref="R13" si="42">R14+Q13</f>
        <v>-23124796.104984459</v>
      </c>
      <c r="S13">
        <f t="shared" ref="S13" si="43">R13/100000</f>
        <v>-231.24796104984458</v>
      </c>
      <c r="T13">
        <f t="shared" ref="T13" si="44">S13/1000</f>
        <v>-0.23124796104984457</v>
      </c>
    </row>
    <row r="14" spans="1:20" x14ac:dyDescent="0.25">
      <c r="A14" s="5">
        <v>44579</v>
      </c>
      <c r="B14">
        <v>11.31</v>
      </c>
      <c r="C14">
        <v>14.69</v>
      </c>
      <c r="D14">
        <v>11.21</v>
      </c>
      <c r="E14">
        <v>13.22</v>
      </c>
      <c r="F14">
        <v>724368.52</v>
      </c>
      <c r="G14">
        <v>13.22</v>
      </c>
      <c r="L14" t="s">
        <v>8</v>
      </c>
      <c r="M14" t="s">
        <v>8</v>
      </c>
      <c r="N14" t="s">
        <v>8</v>
      </c>
      <c r="P14">
        <f t="shared" ref="P14" si="45">IF(C14=D14,0,((E14-D14)-(C14-E14))/(C14-D14))</f>
        <v>0.15517241379310379</v>
      </c>
      <c r="Q14">
        <f t="shared" ref="Q14" si="46">F14*P14</f>
        <v>112402.01172413818</v>
      </c>
      <c r="R14">
        <f t="shared" ref="R14" si="47">R15+Q14</f>
        <v>-22918571.855469894</v>
      </c>
      <c r="S14">
        <f t="shared" ref="S14" si="48">R14/100000</f>
        <v>-229.18571855469892</v>
      </c>
      <c r="T14">
        <f t="shared" ref="T14" si="49">S14/1000</f>
        <v>-0.22918571855469894</v>
      </c>
    </row>
    <row r="15" spans="1:20" x14ac:dyDescent="0.25">
      <c r="A15" s="5">
        <v>44578</v>
      </c>
      <c r="B15">
        <v>11.46</v>
      </c>
      <c r="C15">
        <v>13.05</v>
      </c>
      <c r="D15">
        <v>11.17</v>
      </c>
      <c r="E15">
        <v>11.31</v>
      </c>
      <c r="F15">
        <v>179719.55</v>
      </c>
      <c r="G15">
        <v>11.31</v>
      </c>
      <c r="L15" t="s">
        <v>8</v>
      </c>
      <c r="M15" t="s">
        <v>8</v>
      </c>
      <c r="N15" t="s">
        <v>7</v>
      </c>
      <c r="P15">
        <f t="shared" ref="P15" si="50">IF(C15=D15,0,((E15-D15)-(C15-E15))/(C15-D15))</f>
        <v>-0.85106382978723349</v>
      </c>
      <c r="Q15">
        <f t="shared" ref="Q15" si="51">F15*P15</f>
        <v>-152952.80851063819</v>
      </c>
      <c r="R15">
        <f t="shared" ref="R15" si="52">R16+Q15</f>
        <v>-23030973.86719403</v>
      </c>
      <c r="S15">
        <f t="shared" ref="S15" si="53">R15/100000</f>
        <v>-230.30973867194029</v>
      </c>
      <c r="T15">
        <f t="shared" ref="T15" si="54">S15/1000</f>
        <v>-0.2303097386719403</v>
      </c>
    </row>
    <row r="16" spans="1:20" x14ac:dyDescent="0.25">
      <c r="A16" s="5">
        <v>44577</v>
      </c>
      <c r="B16">
        <v>11.45</v>
      </c>
      <c r="C16">
        <v>11.61</v>
      </c>
      <c r="D16">
        <v>11.35</v>
      </c>
      <c r="E16">
        <v>11.44</v>
      </c>
      <c r="F16">
        <v>21235.49</v>
      </c>
      <c r="G16">
        <v>11.44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-0.30769230769230821</v>
      </c>
      <c r="Q16">
        <f t="shared" ref="Q16" si="56">F16*P16</f>
        <v>-6533.9969230769348</v>
      </c>
      <c r="R16">
        <f t="shared" ref="R16" si="57">R17+Q16</f>
        <v>-22878021.058683392</v>
      </c>
      <c r="S16">
        <f t="shared" ref="S16" si="58">R16/100000</f>
        <v>-228.7802105868339</v>
      </c>
      <c r="T16">
        <f t="shared" ref="T16" si="59">S16/1000</f>
        <v>-0.2287802105868339</v>
      </c>
    </row>
    <row r="17" spans="1:20" x14ac:dyDescent="0.25">
      <c r="A17" s="5">
        <v>44576</v>
      </c>
      <c r="B17">
        <v>11.5</v>
      </c>
      <c r="C17">
        <v>11.66</v>
      </c>
      <c r="D17">
        <v>11.2</v>
      </c>
      <c r="E17">
        <v>11.45</v>
      </c>
      <c r="F17">
        <v>27829.1</v>
      </c>
      <c r="G17">
        <v>11.45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8.695652173912842E-2</v>
      </c>
      <c r="Q17">
        <f t="shared" ref="Q17" si="61">F17*P17</f>
        <v>2419.9217391303787</v>
      </c>
      <c r="R17">
        <f t="shared" ref="R17" si="62">R18+Q17</f>
        <v>-22871487.061760314</v>
      </c>
      <c r="S17">
        <f t="shared" ref="S17" si="63">R17/100000</f>
        <v>-228.71487061760314</v>
      </c>
      <c r="T17">
        <f t="shared" ref="T17" si="64">S17/1000</f>
        <v>-0.22871487061760315</v>
      </c>
    </row>
    <row r="18" spans="1:20" x14ac:dyDescent="0.25">
      <c r="A18" s="5">
        <v>44575</v>
      </c>
      <c r="B18">
        <v>11.02</v>
      </c>
      <c r="C18">
        <v>11.53</v>
      </c>
      <c r="D18">
        <v>10.96</v>
      </c>
      <c r="E18">
        <v>11.48</v>
      </c>
      <c r="F18">
        <v>36042.47</v>
      </c>
      <c r="G18">
        <v>11.48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0.82456140350877516</v>
      </c>
      <c r="Q18">
        <f t="shared" ref="Q18" si="66">F18*P18</f>
        <v>29719.229649122924</v>
      </c>
      <c r="R18">
        <f t="shared" ref="R18" si="67">R19+Q18</f>
        <v>-22873906.983499445</v>
      </c>
      <c r="S18">
        <f t="shared" ref="S18" si="68">R18/100000</f>
        <v>-228.73906983499444</v>
      </c>
      <c r="T18">
        <f t="shared" ref="T18" si="69">S18/1000</f>
        <v>-0.22873906983499445</v>
      </c>
    </row>
    <row r="19" spans="1:20" x14ac:dyDescent="0.25">
      <c r="A19" s="5">
        <v>44574</v>
      </c>
      <c r="B19">
        <v>11.75</v>
      </c>
      <c r="C19">
        <v>11.79</v>
      </c>
      <c r="D19">
        <v>10.89</v>
      </c>
      <c r="E19">
        <v>11.05</v>
      </c>
      <c r="F19">
        <v>40781.07</v>
      </c>
      <c r="G19">
        <v>11.05</v>
      </c>
      <c r="L19" t="s">
        <v>7</v>
      </c>
      <c r="M19" t="s">
        <v>7</v>
      </c>
      <c r="N19" t="s">
        <v>7</v>
      </c>
      <c r="P19">
        <f t="shared" ref="P19" si="70">IF(C19=D19,0,((E19-D19)-(C19-E19))/(C19-D19))</f>
        <v>-0.6444444444444436</v>
      </c>
      <c r="Q19">
        <f t="shared" ref="Q19" si="71">F19*P19</f>
        <v>-26281.133999999965</v>
      </c>
      <c r="R19">
        <f t="shared" ref="R19" si="72">R20+Q19</f>
        <v>-22903626.213148568</v>
      </c>
      <c r="S19">
        <f t="shared" ref="S19" si="73">R19/100000</f>
        <v>-229.03626213148567</v>
      </c>
      <c r="T19">
        <f t="shared" ref="T19" si="74">S19/1000</f>
        <v>-0.22903626213148567</v>
      </c>
    </row>
    <row r="20" spans="1:20" x14ac:dyDescent="0.25">
      <c r="A20" s="5">
        <v>44573</v>
      </c>
      <c r="B20">
        <v>11.13</v>
      </c>
      <c r="C20">
        <v>11.76</v>
      </c>
      <c r="D20">
        <v>11.02</v>
      </c>
      <c r="E20">
        <v>11.75</v>
      </c>
      <c r="F20">
        <v>42615.23</v>
      </c>
      <c r="G20">
        <v>11.75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0.97297297297297358</v>
      </c>
      <c r="Q20">
        <f t="shared" ref="Q20" si="76">F20*P20</f>
        <v>41463.467027027058</v>
      </c>
      <c r="R20">
        <f t="shared" ref="R20" si="77">R21+Q20</f>
        <v>-22877345.079148568</v>
      </c>
      <c r="S20">
        <f t="shared" ref="S20" si="78">R20/100000</f>
        <v>-228.77345079148569</v>
      </c>
      <c r="T20">
        <f t="shared" ref="T20" si="79">S20/1000</f>
        <v>-0.2287734507914857</v>
      </c>
    </row>
    <row r="21" spans="1:20" x14ac:dyDescent="0.25">
      <c r="A21" s="5">
        <v>44572</v>
      </c>
      <c r="B21">
        <v>10.85</v>
      </c>
      <c r="C21">
        <v>11.31</v>
      </c>
      <c r="D21">
        <v>10.71</v>
      </c>
      <c r="E21">
        <v>11.13</v>
      </c>
      <c r="F21">
        <v>24016.69</v>
      </c>
      <c r="G21">
        <v>11.13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0.40000000000000058</v>
      </c>
      <c r="Q21">
        <f t="shared" ref="Q21" si="81">F21*P21</f>
        <v>9606.676000000014</v>
      </c>
      <c r="R21">
        <f t="shared" ref="R21" si="82">R22+Q21</f>
        <v>-22918808.546175595</v>
      </c>
      <c r="S21">
        <f t="shared" ref="S21" si="83">R21/100000</f>
        <v>-229.18808546175595</v>
      </c>
      <c r="T21">
        <f t="shared" ref="T21" si="84">S21/1000</f>
        <v>-0.22918808546175595</v>
      </c>
    </row>
    <row r="22" spans="1:20" x14ac:dyDescent="0.25">
      <c r="A22" s="5">
        <v>44571</v>
      </c>
      <c r="B22">
        <v>11.31</v>
      </c>
      <c r="C22">
        <v>11.45</v>
      </c>
      <c r="D22">
        <v>10.26</v>
      </c>
      <c r="E22">
        <v>10.84</v>
      </c>
      <c r="F22">
        <v>47002.123</v>
      </c>
      <c r="G22">
        <v>10.84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-2.5210084033612919E-2</v>
      </c>
      <c r="Q22">
        <f t="shared" ref="Q22" si="86">F22*P22</f>
        <v>-1184.9274705882106</v>
      </c>
      <c r="R22">
        <f t="shared" ref="R22" si="87">R23+Q22</f>
        <v>-22928415.222175594</v>
      </c>
      <c r="S22">
        <f t="shared" ref="S22" si="88">R22/100000</f>
        <v>-229.28415222175593</v>
      </c>
      <c r="T22">
        <f t="shared" ref="T22" si="89">S22/1000</f>
        <v>-0.22928415222175594</v>
      </c>
    </row>
    <row r="23" spans="1:20" x14ac:dyDescent="0.25">
      <c r="A23" s="5">
        <v>44570</v>
      </c>
      <c r="B23">
        <v>11.03</v>
      </c>
      <c r="C23">
        <v>11.57</v>
      </c>
      <c r="D23">
        <v>10.91</v>
      </c>
      <c r="E23">
        <v>11.29</v>
      </c>
      <c r="F23">
        <v>32820.28</v>
      </c>
      <c r="G23">
        <v>11.29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0.15151515151514824</v>
      </c>
      <c r="Q23">
        <f t="shared" ref="Q23" si="91">F23*P23</f>
        <v>4972.7696969695899</v>
      </c>
      <c r="R23">
        <f t="shared" ref="R23" si="92">R24+Q23</f>
        <v>-22927230.294705007</v>
      </c>
      <c r="S23">
        <f t="shared" ref="S23" si="93">R23/100000</f>
        <v>-229.27230294705006</v>
      </c>
      <c r="T23">
        <f t="shared" ref="T23" si="94">S23/1000</f>
        <v>-0.22927230294705006</v>
      </c>
    </row>
    <row r="24" spans="1:20" x14ac:dyDescent="0.25">
      <c r="A24" s="5">
        <v>44569</v>
      </c>
      <c r="B24">
        <v>11.26</v>
      </c>
      <c r="C24">
        <v>11.62</v>
      </c>
      <c r="D24">
        <v>10.66</v>
      </c>
      <c r="E24">
        <v>11.04</v>
      </c>
      <c r="F24">
        <v>51846.62</v>
      </c>
      <c r="G24">
        <v>11.04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-0.20833333333333465</v>
      </c>
      <c r="Q24">
        <f t="shared" ref="Q24" si="96">F24*P24</f>
        <v>-10801.379166666735</v>
      </c>
      <c r="R24">
        <f t="shared" ref="R24" si="97">R25+Q24</f>
        <v>-22932203.064401977</v>
      </c>
      <c r="S24">
        <f t="shared" ref="S24" si="98">R24/100000</f>
        <v>-229.32203064401978</v>
      </c>
      <c r="T24">
        <f t="shared" ref="T24" si="99">S24/1000</f>
        <v>-0.22932203064401976</v>
      </c>
    </row>
    <row r="25" spans="1:20" x14ac:dyDescent="0.25">
      <c r="A25" s="5">
        <v>44568</v>
      </c>
      <c r="B25">
        <v>12.17</v>
      </c>
      <c r="C25">
        <v>12.2</v>
      </c>
      <c r="D25">
        <v>11.18</v>
      </c>
      <c r="E25">
        <v>11.3</v>
      </c>
      <c r="F25">
        <v>54635.71</v>
      </c>
      <c r="G25">
        <v>11.3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-0.76470588235293913</v>
      </c>
      <c r="Q25">
        <f t="shared" ref="Q25" si="101">F25*P25</f>
        <v>-41780.248823529299</v>
      </c>
      <c r="R25">
        <f t="shared" ref="R25" si="102">R26+Q25</f>
        <v>-22921401.68523531</v>
      </c>
      <c r="S25">
        <f t="shared" ref="S25" si="103">R25/100000</f>
        <v>-229.2140168523531</v>
      </c>
      <c r="T25">
        <f t="shared" ref="T25" si="104">S25/1000</f>
        <v>-0.2292140168523531</v>
      </c>
    </row>
    <row r="26" spans="1:20" x14ac:dyDescent="0.25">
      <c r="A26" s="5">
        <v>44567</v>
      </c>
      <c r="B26">
        <v>11.99</v>
      </c>
      <c r="C26">
        <v>13.2</v>
      </c>
      <c r="D26">
        <v>11.57</v>
      </c>
      <c r="E26">
        <v>12.13</v>
      </c>
      <c r="F26">
        <v>85276.83</v>
      </c>
      <c r="G26">
        <v>12.13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-0.31288343558282106</v>
      </c>
      <c r="Q26">
        <f t="shared" ref="Q26" si="106">F26*P26</f>
        <v>-26681.707546012181</v>
      </c>
      <c r="R26">
        <f t="shared" ref="R26" si="107">R27+Q26</f>
        <v>-22879621.436411779</v>
      </c>
      <c r="S26">
        <f t="shared" ref="S26" si="108">R26/100000</f>
        <v>-228.79621436411779</v>
      </c>
      <c r="T26">
        <f t="shared" ref="T26" si="109">S26/1000</f>
        <v>-0.22879621436411779</v>
      </c>
    </row>
    <row r="27" spans="1:20" x14ac:dyDescent="0.25">
      <c r="A27" s="5">
        <v>44566</v>
      </c>
      <c r="B27">
        <v>12.58</v>
      </c>
      <c r="C27">
        <v>12.99</v>
      </c>
      <c r="D27">
        <v>11.5</v>
      </c>
      <c r="E27">
        <v>11.99</v>
      </c>
      <c r="F27">
        <v>85991.55</v>
      </c>
      <c r="G27">
        <v>11.99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-0.34228187919463066</v>
      </c>
      <c r="Q27">
        <f t="shared" ref="Q27" si="111">F27*P27</f>
        <v>-29433.349328859043</v>
      </c>
      <c r="R27">
        <f t="shared" ref="R27" si="112">R28+Q27</f>
        <v>-22852939.728865769</v>
      </c>
      <c r="S27">
        <f t="shared" ref="S27" si="113">R27/100000</f>
        <v>-228.52939728865769</v>
      </c>
      <c r="T27">
        <f t="shared" ref="T27" si="114">S27/1000</f>
        <v>-0.2285293972886577</v>
      </c>
    </row>
    <row r="28" spans="1:20" x14ac:dyDescent="0.25">
      <c r="A28" s="5">
        <v>44565</v>
      </c>
      <c r="B28">
        <v>12.52</v>
      </c>
      <c r="C28">
        <v>15.15</v>
      </c>
      <c r="D28">
        <v>12.4</v>
      </c>
      <c r="E28">
        <v>12.58</v>
      </c>
      <c r="F28">
        <v>285993.74</v>
      </c>
      <c r="G28">
        <v>12.58</v>
      </c>
      <c r="L28" t="s">
        <v>8</v>
      </c>
      <c r="M28" t="s">
        <v>8</v>
      </c>
      <c r="N28" t="s">
        <v>7</v>
      </c>
      <c r="P28">
        <f t="shared" ref="P28" si="115">IF(C28=D28,0,((E28-D28)-(C28-E28))/(C28-D28))</f>
        <v>-0.86909090909090925</v>
      </c>
      <c r="Q28">
        <f t="shared" ref="Q28" si="116">F28*P28</f>
        <v>-248554.55949090913</v>
      </c>
      <c r="R28">
        <f t="shared" ref="R28" si="117">R29+Q28</f>
        <v>-22823506.379536908</v>
      </c>
      <c r="S28">
        <f t="shared" ref="S28" si="118">R28/100000</f>
        <v>-228.23506379536909</v>
      </c>
      <c r="T28">
        <f t="shared" ref="T28" si="119">S28/1000</f>
        <v>-0.22823506379536909</v>
      </c>
    </row>
    <row r="29" spans="1:20" x14ac:dyDescent="0.25">
      <c r="A29" s="5">
        <v>44564</v>
      </c>
      <c r="B29">
        <v>12.39</v>
      </c>
      <c r="C29">
        <v>12.62</v>
      </c>
      <c r="D29">
        <v>12.16</v>
      </c>
      <c r="E29">
        <v>12.52</v>
      </c>
      <c r="F29">
        <v>39089.949999999997</v>
      </c>
      <c r="G29">
        <v>12.52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0.56521739130434845</v>
      </c>
      <c r="Q29">
        <f t="shared" ref="Q29" si="121">F29*P29</f>
        <v>22094.319565217414</v>
      </c>
      <c r="R29">
        <f t="shared" ref="R29" si="122">R30+Q29</f>
        <v>-22574951.820046</v>
      </c>
      <c r="S29">
        <f t="shared" ref="S29" si="123">R29/100000</f>
        <v>-225.74951820045999</v>
      </c>
      <c r="T29">
        <f t="shared" ref="T29" si="124">S29/1000</f>
        <v>-0.22574951820045999</v>
      </c>
    </row>
    <row r="30" spans="1:20" x14ac:dyDescent="0.25">
      <c r="A30" s="5">
        <v>44563</v>
      </c>
      <c r="B30">
        <v>12.44</v>
      </c>
      <c r="C30">
        <v>12.55</v>
      </c>
      <c r="D30">
        <v>12.09</v>
      </c>
      <c r="E30">
        <v>12.37</v>
      </c>
      <c r="F30">
        <v>45234.87</v>
      </c>
      <c r="G30">
        <v>12.37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0.21739130434782106</v>
      </c>
      <c r="Q30">
        <f t="shared" ref="Q30" si="126">F30*P30</f>
        <v>9833.6673913041213</v>
      </c>
      <c r="R30">
        <f t="shared" ref="R30" si="127">R31+Q30</f>
        <v>-22597046.139611218</v>
      </c>
      <c r="S30">
        <f t="shared" ref="S30" si="128">R30/100000</f>
        <v>-225.97046139611217</v>
      </c>
      <c r="T30">
        <f t="shared" ref="T30" si="129">S30/1000</f>
        <v>-0.22597046139611218</v>
      </c>
    </row>
    <row r="31" spans="1:20" x14ac:dyDescent="0.25">
      <c r="A31" s="5">
        <v>44562</v>
      </c>
      <c r="B31">
        <v>11.94</v>
      </c>
      <c r="C31">
        <v>12.56</v>
      </c>
      <c r="D31">
        <v>11.93</v>
      </c>
      <c r="E31">
        <v>12.44</v>
      </c>
      <c r="F31">
        <v>27850.37</v>
      </c>
      <c r="G31">
        <v>12.44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0.6190476190476164</v>
      </c>
      <c r="Q31">
        <f t="shared" ref="Q31" si="131">F31*P31</f>
        <v>17240.705238095165</v>
      </c>
      <c r="R31">
        <f t="shared" ref="R31" si="132">R32+Q31</f>
        <v>-22606879.807002522</v>
      </c>
      <c r="S31">
        <f t="shared" ref="S31" si="133">R31/100000</f>
        <v>-226.06879807002522</v>
      </c>
      <c r="T31">
        <f t="shared" ref="T31" si="134">S31/1000</f>
        <v>-0.22606879807002522</v>
      </c>
    </row>
    <row r="32" spans="1:20" x14ac:dyDescent="0.25">
      <c r="A32" s="5">
        <v>44561</v>
      </c>
      <c r="B32">
        <v>12.22</v>
      </c>
      <c r="C32">
        <v>12.48</v>
      </c>
      <c r="D32">
        <v>11.83</v>
      </c>
      <c r="E32">
        <v>11.94</v>
      </c>
      <c r="F32">
        <v>32086.65</v>
      </c>
      <c r="G32">
        <v>11.94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-0.66153846153846352</v>
      </c>
      <c r="Q32">
        <f t="shared" ref="Q32" si="136">F32*P32</f>
        <v>-21226.553076923141</v>
      </c>
      <c r="R32">
        <f t="shared" ref="R32" si="137">R33+Q32</f>
        <v>-22624120.512240618</v>
      </c>
      <c r="S32">
        <f t="shared" ref="S32" si="138">R32/100000</f>
        <v>-226.24120512240617</v>
      </c>
      <c r="T32">
        <f t="shared" ref="T32" si="139">S32/1000</f>
        <v>-0.22624120512240617</v>
      </c>
    </row>
    <row r="33" spans="1:20" x14ac:dyDescent="0.25">
      <c r="A33" s="5">
        <v>44560</v>
      </c>
      <c r="B33">
        <v>12.12</v>
      </c>
      <c r="C33">
        <v>12.58</v>
      </c>
      <c r="D33">
        <v>12</v>
      </c>
      <c r="E33">
        <v>12.19</v>
      </c>
      <c r="F33">
        <v>27684.34</v>
      </c>
      <c r="G33">
        <v>12.19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-0.34482758620689835</v>
      </c>
      <c r="Q33">
        <f t="shared" ref="Q33" si="141">F33*P33</f>
        <v>-9546.3241379310839</v>
      </c>
      <c r="R33">
        <f t="shared" ref="R33" si="142">R34+Q33</f>
        <v>-22602893.959163696</v>
      </c>
      <c r="S33">
        <f t="shared" ref="S33" si="143">R33/100000</f>
        <v>-226.02893959163697</v>
      </c>
      <c r="T33">
        <f t="shared" ref="T33" si="144">S33/1000</f>
        <v>-0.22602893959163697</v>
      </c>
    </row>
    <row r="34" spans="1:20" x14ac:dyDescent="0.25">
      <c r="A34" s="5">
        <v>44559</v>
      </c>
      <c r="B34">
        <v>12.38</v>
      </c>
      <c r="C34">
        <v>12.59</v>
      </c>
      <c r="D34">
        <v>12.07</v>
      </c>
      <c r="E34">
        <v>12.11</v>
      </c>
      <c r="F34">
        <v>40539.68</v>
      </c>
      <c r="G34">
        <v>12.11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-0.84615384615384925</v>
      </c>
      <c r="Q34">
        <f t="shared" ref="Q34" si="146">F34*P34</f>
        <v>-34302.806153846279</v>
      </c>
      <c r="R34">
        <f t="shared" ref="R34" si="147">R35+Q34</f>
        <v>-22593347.635025766</v>
      </c>
      <c r="S34">
        <f t="shared" ref="S34" si="148">R34/100000</f>
        <v>-225.93347635025765</v>
      </c>
      <c r="T34">
        <f t="shared" ref="T34" si="149">S34/1000</f>
        <v>-0.22593347635025765</v>
      </c>
    </row>
    <row r="35" spans="1:20" x14ac:dyDescent="0.25">
      <c r="A35" s="5">
        <v>44558</v>
      </c>
      <c r="B35">
        <v>13.3</v>
      </c>
      <c r="C35">
        <v>13.33</v>
      </c>
      <c r="D35">
        <v>12.38</v>
      </c>
      <c r="E35">
        <v>12.38</v>
      </c>
      <c r="F35">
        <v>63572.07</v>
      </c>
      <c r="G35">
        <v>12.38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-1</v>
      </c>
      <c r="Q35">
        <f t="shared" ref="Q35" si="151">F35*P35</f>
        <v>-63572.07</v>
      </c>
      <c r="R35">
        <f t="shared" ref="R35" si="152">R36+Q35</f>
        <v>-22559044.828871921</v>
      </c>
      <c r="S35">
        <f t="shared" ref="S35" si="153">R35/100000</f>
        <v>-225.59044828871922</v>
      </c>
      <c r="T35">
        <f t="shared" ref="T35" si="154">S35/1000</f>
        <v>-0.22559044828871921</v>
      </c>
    </row>
    <row r="36" spans="1:20" x14ac:dyDescent="0.25">
      <c r="A36" s="5">
        <v>44557</v>
      </c>
      <c r="B36">
        <v>13.17</v>
      </c>
      <c r="C36">
        <v>13.89</v>
      </c>
      <c r="D36">
        <v>13.06</v>
      </c>
      <c r="E36">
        <v>13.29</v>
      </c>
      <c r="F36">
        <v>69407.199999999997</v>
      </c>
      <c r="G36">
        <v>13.29</v>
      </c>
      <c r="L36" t="s">
        <v>8</v>
      </c>
      <c r="M36" t="s">
        <v>7</v>
      </c>
      <c r="N36" t="s">
        <v>7</v>
      </c>
      <c r="P36">
        <f t="shared" ref="P36" si="155">IF(C36=D36,0,((E36-D36)-(C36-E36))/(C36-D36))</f>
        <v>-0.4457831325301238</v>
      </c>
      <c r="Q36">
        <f t="shared" ref="Q36" si="156">F36*P36</f>
        <v>-30940.559036144808</v>
      </c>
      <c r="R36">
        <f t="shared" ref="R36" si="157">R37+Q36</f>
        <v>-22495472.75887192</v>
      </c>
      <c r="S36">
        <f t="shared" ref="S36" si="158">R36/100000</f>
        <v>-224.95472758871921</v>
      </c>
      <c r="T36">
        <f t="shared" ref="T36" si="159">S36/1000</f>
        <v>-0.22495472758871921</v>
      </c>
    </row>
    <row r="37" spans="1:20" x14ac:dyDescent="0.25">
      <c r="A37" s="5">
        <v>44556</v>
      </c>
      <c r="B37">
        <v>13.53</v>
      </c>
      <c r="C37">
        <v>13.63</v>
      </c>
      <c r="D37">
        <v>12.56</v>
      </c>
      <c r="E37">
        <v>13.17</v>
      </c>
      <c r="F37">
        <v>90756.25</v>
      </c>
      <c r="G37">
        <v>13.17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0.1401869158878491</v>
      </c>
      <c r="Q37">
        <f t="shared" ref="Q37" si="161">F37*P37</f>
        <v>12722.838785046604</v>
      </c>
      <c r="R37">
        <f t="shared" ref="R37" si="162">R38+Q37</f>
        <v>-22464532.199835777</v>
      </c>
      <c r="S37">
        <f t="shared" ref="S37" si="163">R37/100000</f>
        <v>-224.64532199835779</v>
      </c>
      <c r="T37">
        <f t="shared" ref="T37" si="164">S37/1000</f>
        <v>-0.22464532199835779</v>
      </c>
    </row>
    <row r="38" spans="1:20" x14ac:dyDescent="0.25">
      <c r="A38" s="5">
        <v>44555</v>
      </c>
      <c r="B38">
        <v>13.08</v>
      </c>
      <c r="C38">
        <v>14.59</v>
      </c>
      <c r="D38">
        <v>12.91</v>
      </c>
      <c r="E38">
        <v>13.56</v>
      </c>
      <c r="F38">
        <v>152090.47</v>
      </c>
      <c r="G38">
        <v>13.56</v>
      </c>
      <c r="L38" t="s">
        <v>8</v>
      </c>
      <c r="M38" t="s">
        <v>7</v>
      </c>
      <c r="N38" t="s">
        <v>7</v>
      </c>
      <c r="P38">
        <f t="shared" ref="P38" si="165">IF(C38=D38,0,((E38-D38)-(C38-E38))/(C38-D38))</f>
        <v>-0.22619047619047564</v>
      </c>
      <c r="Q38">
        <f t="shared" ref="Q38" si="166">F38*P38</f>
        <v>-34401.415833333253</v>
      </c>
      <c r="R38">
        <f t="shared" ref="R38" si="167">R39+Q38</f>
        <v>-22477255.038620822</v>
      </c>
      <c r="S38">
        <f t="shared" ref="S38" si="168">R38/100000</f>
        <v>-224.77255038620822</v>
      </c>
      <c r="T38">
        <f t="shared" ref="T38" si="169">S38/1000</f>
        <v>-0.22477255038620822</v>
      </c>
    </row>
    <row r="39" spans="1:20" x14ac:dyDescent="0.25">
      <c r="A39" s="5">
        <v>44554</v>
      </c>
      <c r="B39">
        <v>13.36</v>
      </c>
      <c r="C39">
        <v>14</v>
      </c>
      <c r="D39">
        <v>13.01</v>
      </c>
      <c r="E39">
        <v>13.08</v>
      </c>
      <c r="F39">
        <v>67619.75</v>
      </c>
      <c r="G39">
        <v>13.08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-0.85858585858585801</v>
      </c>
      <c r="Q39">
        <f t="shared" ref="Q39" si="171">F39*P39</f>
        <v>-58057.361111111073</v>
      </c>
      <c r="R39">
        <f t="shared" ref="R39" si="172">R40+Q39</f>
        <v>-22442853.62278749</v>
      </c>
      <c r="S39">
        <f t="shared" ref="S39" si="173">R39/100000</f>
        <v>-224.4285362278749</v>
      </c>
      <c r="T39">
        <f t="shared" ref="T39" si="174">S39/1000</f>
        <v>-0.2244285362278749</v>
      </c>
    </row>
    <row r="40" spans="1:20" x14ac:dyDescent="0.25">
      <c r="A40" s="5">
        <v>44553</v>
      </c>
      <c r="B40">
        <v>12.8</v>
      </c>
      <c r="C40">
        <v>13.72</v>
      </c>
      <c r="D40">
        <v>12.67</v>
      </c>
      <c r="E40">
        <v>13.36</v>
      </c>
      <c r="F40">
        <v>81607.179999999993</v>
      </c>
      <c r="G40">
        <v>13.36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0.31428571428571245</v>
      </c>
      <c r="Q40">
        <f t="shared" ref="Q40" si="176">F40*P40</f>
        <v>25647.970857142704</v>
      </c>
      <c r="R40">
        <f t="shared" ref="R40" si="177">R41+Q40</f>
        <v>-22384796.261676379</v>
      </c>
      <c r="S40">
        <f t="shared" ref="S40" si="178">R40/100000</f>
        <v>-223.84796261676379</v>
      </c>
      <c r="T40">
        <f t="shared" ref="T40" si="179">S40/1000</f>
        <v>-0.22384796261676379</v>
      </c>
    </row>
    <row r="41" spans="1:20" x14ac:dyDescent="0.25">
      <c r="A41" s="5">
        <v>44552</v>
      </c>
      <c r="B41">
        <v>13.22</v>
      </c>
      <c r="C41">
        <v>13.43</v>
      </c>
      <c r="D41">
        <v>12.51</v>
      </c>
      <c r="E41">
        <v>12.77</v>
      </c>
      <c r="F41">
        <v>75348.73</v>
      </c>
      <c r="G41">
        <v>12.77</v>
      </c>
      <c r="L41" t="s">
        <v>7</v>
      </c>
      <c r="M41" t="s">
        <v>7</v>
      </c>
      <c r="N41" t="s">
        <v>7</v>
      </c>
      <c r="P41">
        <f t="shared" ref="P41" si="180">IF(C41=D41,0,((E41-D41)-(C41-E41))/(C41-D41))</f>
        <v>-0.43478260869565261</v>
      </c>
      <c r="Q41">
        <f t="shared" ref="Q41" si="181">F41*P41</f>
        <v>-32760.317391304379</v>
      </c>
      <c r="R41">
        <f t="shared" ref="R41" si="182">R42+Q41</f>
        <v>-22410444.232533522</v>
      </c>
      <c r="S41">
        <f t="shared" ref="S41" si="183">R41/100000</f>
        <v>-224.10444232533521</v>
      </c>
      <c r="T41">
        <f t="shared" ref="T41" si="184">S41/1000</f>
        <v>-0.22410444232533522</v>
      </c>
    </row>
    <row r="42" spans="1:20" x14ac:dyDescent="0.25">
      <c r="A42" s="5">
        <v>44551</v>
      </c>
      <c r="B42">
        <v>13.15</v>
      </c>
      <c r="C42">
        <v>13.52</v>
      </c>
      <c r="D42">
        <v>12.64</v>
      </c>
      <c r="E42">
        <v>13.22</v>
      </c>
      <c r="F42">
        <v>128015.26</v>
      </c>
      <c r="G42">
        <v>13.22</v>
      </c>
      <c r="L42" t="s">
        <v>7</v>
      </c>
      <c r="M42" t="s">
        <v>7</v>
      </c>
      <c r="N42" t="s">
        <v>7</v>
      </c>
      <c r="P42">
        <f t="shared" ref="P42" si="185">IF(C42=D42,0,((E42-D42)-(C42-E42))/(C42-D42))</f>
        <v>0.31818181818181984</v>
      </c>
      <c r="Q42">
        <f t="shared" ref="Q42" si="186">F42*P42</f>
        <v>40732.128181818392</v>
      </c>
      <c r="R42">
        <f t="shared" ref="R42" si="187">R43+Q42</f>
        <v>-22377683.915142216</v>
      </c>
      <c r="S42">
        <f t="shared" ref="S42" si="188">R42/100000</f>
        <v>-223.77683915142217</v>
      </c>
      <c r="T42">
        <f t="shared" ref="T42" si="189">S42/1000</f>
        <v>-0.22377683915142216</v>
      </c>
    </row>
    <row r="43" spans="1:20" x14ac:dyDescent="0.25">
      <c r="A43" s="5">
        <v>44550</v>
      </c>
      <c r="B43">
        <v>15.12</v>
      </c>
      <c r="C43">
        <v>16.16</v>
      </c>
      <c r="D43">
        <v>12.94</v>
      </c>
      <c r="E43">
        <v>13.14</v>
      </c>
      <c r="F43">
        <v>192179.75</v>
      </c>
      <c r="G43">
        <v>13.14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-0.87577639751552727</v>
      </c>
      <c r="Q43">
        <f t="shared" ref="Q43" si="191">F43*P43</f>
        <v>-168306.48913043464</v>
      </c>
      <c r="R43">
        <f t="shared" ref="R43" si="192">R44+Q43</f>
        <v>-22418416.043324035</v>
      </c>
      <c r="S43">
        <f t="shared" ref="S43" si="193">R43/100000</f>
        <v>-224.18416043324035</v>
      </c>
      <c r="T43">
        <f t="shared" ref="T43" si="194">S43/1000</f>
        <v>-0.22418416043324035</v>
      </c>
    </row>
    <row r="44" spans="1:20" x14ac:dyDescent="0.25">
      <c r="A44" s="5">
        <v>44549</v>
      </c>
      <c r="B44">
        <v>12.57</v>
      </c>
      <c r="C44">
        <v>19.73</v>
      </c>
      <c r="D44">
        <v>12.31</v>
      </c>
      <c r="E44">
        <v>15.14</v>
      </c>
      <c r="F44">
        <v>932532.88</v>
      </c>
      <c r="G44">
        <v>15.14</v>
      </c>
      <c r="L44" t="s">
        <v>8</v>
      </c>
      <c r="M44" t="s">
        <v>8</v>
      </c>
      <c r="N44" t="s">
        <v>8</v>
      </c>
      <c r="P44">
        <f t="shared" ref="P44" si="195">IF(C44=D44,0,((E44-D44)-(C44-E44))/(C44-D44))</f>
        <v>-0.23719676549865226</v>
      </c>
      <c r="Q44">
        <f t="shared" ref="Q44" si="196">F44*P44</f>
        <v>-221193.78285714283</v>
      </c>
      <c r="R44">
        <f t="shared" ref="R44" si="197">R45+Q44</f>
        <v>-22250109.554193601</v>
      </c>
      <c r="S44">
        <f t="shared" ref="S44" si="198">R44/100000</f>
        <v>-222.501095541936</v>
      </c>
      <c r="T44">
        <f t="shared" ref="T44" si="199">S44/1000</f>
        <v>-0.22250109554193601</v>
      </c>
    </row>
    <row r="45" spans="1:20" x14ac:dyDescent="0.25">
      <c r="A45" s="5">
        <v>44548</v>
      </c>
      <c r="B45">
        <v>11.36</v>
      </c>
      <c r="C45">
        <v>13.72</v>
      </c>
      <c r="D45">
        <v>11.15</v>
      </c>
      <c r="E45">
        <v>12.53</v>
      </c>
      <c r="F45">
        <v>101496.41</v>
      </c>
      <c r="G45">
        <v>12.53</v>
      </c>
      <c r="L45" t="s">
        <v>7</v>
      </c>
      <c r="M45" t="s">
        <v>8</v>
      </c>
      <c r="N45" t="s">
        <v>7</v>
      </c>
      <c r="P45">
        <f t="shared" ref="P45" si="200">IF(C45=D45,0,((E45-D45)-(C45-E45))/(C45-D45))</f>
        <v>7.3929961089493276E-2</v>
      </c>
      <c r="Q45">
        <f t="shared" ref="Q45" si="201">F45*P45</f>
        <v>7503.6256420232567</v>
      </c>
      <c r="R45">
        <f t="shared" ref="R45" si="202">R46+Q45</f>
        <v>-22028915.771336459</v>
      </c>
      <c r="S45">
        <f t="shared" ref="S45" si="203">R45/100000</f>
        <v>-220.28915771336457</v>
      </c>
      <c r="T45">
        <f t="shared" ref="T45" si="204">S45/1000</f>
        <v>-0.22028915771336458</v>
      </c>
    </row>
    <row r="46" spans="1:20" x14ac:dyDescent="0.25">
      <c r="A46" s="5">
        <v>44547</v>
      </c>
      <c r="B46">
        <v>12.23</v>
      </c>
      <c r="C46">
        <v>12.71</v>
      </c>
      <c r="D46">
        <v>11.24</v>
      </c>
      <c r="E46">
        <v>11.37</v>
      </c>
      <c r="F46">
        <v>38766.36</v>
      </c>
      <c r="G46">
        <v>11.37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-0.82312925170068174</v>
      </c>
      <c r="Q46">
        <f t="shared" ref="Q46" si="206">F46*P46</f>
        <v>-31909.72489795924</v>
      </c>
      <c r="R46">
        <f t="shared" ref="R46" si="207">R47+Q46</f>
        <v>-22036419.396978483</v>
      </c>
      <c r="S46">
        <f t="shared" ref="S46" si="208">R46/100000</f>
        <v>-220.36419396978482</v>
      </c>
      <c r="T46">
        <f t="shared" ref="T46" si="209">S46/1000</f>
        <v>-0.22036419396978482</v>
      </c>
    </row>
    <row r="47" spans="1:20" x14ac:dyDescent="0.25">
      <c r="A47" s="5">
        <v>44546</v>
      </c>
      <c r="B47">
        <v>12.06</v>
      </c>
      <c r="C47">
        <v>12.84</v>
      </c>
      <c r="D47">
        <v>11.85</v>
      </c>
      <c r="E47">
        <v>12.23</v>
      </c>
      <c r="F47">
        <v>40554.120000000003</v>
      </c>
      <c r="G47">
        <v>12.23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-0.2323232323232309</v>
      </c>
      <c r="Q47">
        <f t="shared" ref="Q47" si="211">F47*P47</f>
        <v>-9421.6642424241854</v>
      </c>
      <c r="R47">
        <f t="shared" ref="R47" si="212">R48+Q47</f>
        <v>-22004509.672080524</v>
      </c>
      <c r="S47">
        <f t="shared" ref="S47" si="213">R47/100000</f>
        <v>-220.04509672080525</v>
      </c>
      <c r="T47">
        <f t="shared" ref="T47" si="214">S47/1000</f>
        <v>-0.22004509672080524</v>
      </c>
    </row>
    <row r="48" spans="1:20" x14ac:dyDescent="0.25">
      <c r="A48" s="5">
        <v>44545</v>
      </c>
      <c r="B48">
        <v>11.65</v>
      </c>
      <c r="C48">
        <v>12.14</v>
      </c>
      <c r="D48">
        <v>10.92</v>
      </c>
      <c r="E48">
        <v>12.03</v>
      </c>
      <c r="F48">
        <v>51514.62</v>
      </c>
      <c r="G48">
        <v>12.03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0.81967213114753912</v>
      </c>
      <c r="Q48">
        <f t="shared" ref="Q48" si="216">F48*P48</f>
        <v>42225.09836065564</v>
      </c>
      <c r="R48">
        <f t="shared" ref="R48" si="217">R49+Q48</f>
        <v>-21995088.0078381</v>
      </c>
      <c r="S48">
        <f t="shared" ref="S48" si="218">R48/100000</f>
        <v>-219.950880078381</v>
      </c>
      <c r="T48">
        <f t="shared" ref="T48" si="219">S48/1000</f>
        <v>-0.21995088007838101</v>
      </c>
    </row>
    <row r="49" spans="1:20" x14ac:dyDescent="0.25">
      <c r="A49" s="5">
        <v>44544</v>
      </c>
      <c r="B49">
        <v>11.36</v>
      </c>
      <c r="C49">
        <v>11.8</v>
      </c>
      <c r="D49">
        <v>11.05</v>
      </c>
      <c r="E49">
        <v>11.65</v>
      </c>
      <c r="F49">
        <v>50847.21</v>
      </c>
      <c r="G49">
        <v>11.65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0.59999999999999909</v>
      </c>
      <c r="Q49">
        <f t="shared" ref="Q49" si="221">F49*P49</f>
        <v>30508.325999999954</v>
      </c>
      <c r="R49">
        <f t="shared" ref="R49" si="222">R50+Q49</f>
        <v>-22037313.106198754</v>
      </c>
      <c r="S49">
        <f t="shared" ref="S49" si="223">R49/100000</f>
        <v>-220.37313106198755</v>
      </c>
      <c r="T49">
        <f t="shared" ref="T49" si="224">S49/1000</f>
        <v>-0.22037313106198755</v>
      </c>
    </row>
    <row r="50" spans="1:20" x14ac:dyDescent="0.25">
      <c r="A50" s="5">
        <v>44543</v>
      </c>
      <c r="B50">
        <v>12.82</v>
      </c>
      <c r="C50">
        <v>12.88</v>
      </c>
      <c r="D50">
        <v>10.78</v>
      </c>
      <c r="E50">
        <v>11.33</v>
      </c>
      <c r="F50">
        <v>62148.472000000002</v>
      </c>
      <c r="G50">
        <v>11.33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-0.47619047619047589</v>
      </c>
      <c r="Q50">
        <f t="shared" ref="Q50" si="226">F50*P50</f>
        <v>-29594.510476190459</v>
      </c>
      <c r="R50">
        <f t="shared" ref="R50" si="227">R51+Q50</f>
        <v>-22067821.432198755</v>
      </c>
      <c r="S50">
        <f t="shared" ref="S50" si="228">R50/100000</f>
        <v>-220.67821432198755</v>
      </c>
      <c r="T50">
        <f t="shared" ref="T50" si="229">S50/1000</f>
        <v>-0.22067821432198756</v>
      </c>
    </row>
    <row r="51" spans="1:20" x14ac:dyDescent="0.25">
      <c r="A51" s="5">
        <v>44542</v>
      </c>
      <c r="B51">
        <v>12.84</v>
      </c>
      <c r="C51">
        <v>12.95</v>
      </c>
      <c r="D51">
        <v>12.47</v>
      </c>
      <c r="E51">
        <v>12.82</v>
      </c>
      <c r="F51">
        <v>38935.800000000003</v>
      </c>
      <c r="G51">
        <v>12.82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0.45833333333333598</v>
      </c>
      <c r="Q51">
        <f t="shared" ref="Q51" si="231">F51*P51</f>
        <v>17845.575000000103</v>
      </c>
      <c r="R51">
        <f t="shared" ref="R51" si="232">R52+Q51</f>
        <v>-22038226.921722565</v>
      </c>
      <c r="S51">
        <f t="shared" ref="S51" si="233">R51/100000</f>
        <v>-220.38226921722566</v>
      </c>
      <c r="T51">
        <f t="shared" ref="T51" si="234">S51/1000</f>
        <v>-0.22038226921722565</v>
      </c>
    </row>
    <row r="52" spans="1:20" x14ac:dyDescent="0.25">
      <c r="A52" s="5">
        <v>44541</v>
      </c>
      <c r="B52">
        <v>12.44</v>
      </c>
      <c r="C52">
        <v>12.65</v>
      </c>
      <c r="D52">
        <v>12.4</v>
      </c>
      <c r="E52">
        <v>12.65</v>
      </c>
      <c r="F52">
        <v>967.07</v>
      </c>
      <c r="G52">
        <v>12.65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1</v>
      </c>
      <c r="Q52">
        <f t="shared" ref="Q52" si="236">F52*P52</f>
        <v>967.07</v>
      </c>
      <c r="R52">
        <f t="shared" ref="R52" si="237">R53+Q52</f>
        <v>-22056072.496722564</v>
      </c>
      <c r="S52">
        <f t="shared" ref="S52" si="238">R52/100000</f>
        <v>-220.56072496722564</v>
      </c>
      <c r="T52">
        <f t="shared" ref="T52" si="239">S52/1000</f>
        <v>-0.22056072496722565</v>
      </c>
    </row>
    <row r="53" spans="1:20" x14ac:dyDescent="0.25">
      <c r="A53" s="5">
        <v>44540</v>
      </c>
      <c r="B53">
        <v>12.83</v>
      </c>
      <c r="C53">
        <v>13.39</v>
      </c>
      <c r="D53">
        <v>12.43</v>
      </c>
      <c r="E53">
        <v>12.44</v>
      </c>
      <c r="F53">
        <v>47954.33</v>
      </c>
      <c r="G53">
        <v>12.44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-0.97916666666666718</v>
      </c>
      <c r="Q53">
        <f t="shared" ref="Q53" si="241">F53*P53</f>
        <v>-46955.28145833336</v>
      </c>
      <c r="R53">
        <f t="shared" ref="R53" si="242">R54+Q53</f>
        <v>-22057039.566722564</v>
      </c>
      <c r="S53">
        <f t="shared" ref="S53" si="243">R53/100000</f>
        <v>-220.57039566722565</v>
      </c>
      <c r="T53">
        <f t="shared" ref="T53" si="244">S53/1000</f>
        <v>-0.22057039566722567</v>
      </c>
    </row>
    <row r="54" spans="1:20" x14ac:dyDescent="0.25">
      <c r="A54" s="5">
        <v>44539</v>
      </c>
      <c r="B54">
        <v>13.84</v>
      </c>
      <c r="C54">
        <v>13.9</v>
      </c>
      <c r="D54">
        <v>12.83</v>
      </c>
      <c r="E54">
        <v>12.88</v>
      </c>
      <c r="F54">
        <v>63172.85</v>
      </c>
      <c r="G54">
        <v>12.88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-0.90654205607476501</v>
      </c>
      <c r="Q54">
        <f t="shared" ref="Q54" si="246">F54*P54</f>
        <v>-57268.845327102717</v>
      </c>
      <c r="R54">
        <f t="shared" ref="R54" si="247">R55+Q54</f>
        <v>-22010084.285264231</v>
      </c>
      <c r="S54">
        <f t="shared" ref="S54" si="248">R54/100000</f>
        <v>-220.1008428526423</v>
      </c>
      <c r="T54">
        <f t="shared" ref="T54" si="249">S54/1000</f>
        <v>-0.22010084285264231</v>
      </c>
    </row>
    <row r="55" spans="1:20" x14ac:dyDescent="0.25">
      <c r="A55" s="5">
        <v>44538</v>
      </c>
      <c r="B55">
        <v>13.81</v>
      </c>
      <c r="C55">
        <v>13.95</v>
      </c>
      <c r="D55">
        <v>13.3</v>
      </c>
      <c r="E55">
        <v>13.82</v>
      </c>
      <c r="F55">
        <v>38507.03</v>
      </c>
      <c r="G55">
        <v>13.82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0.6000000000000022</v>
      </c>
      <c r="Q55">
        <f t="shared" ref="Q55" si="251">F55*P55</f>
        <v>23104.218000000084</v>
      </c>
      <c r="R55">
        <f t="shared" ref="R55" si="252">R56+Q55</f>
        <v>-21952815.43993713</v>
      </c>
      <c r="S55">
        <f t="shared" ref="S55" si="253">R55/100000</f>
        <v>-219.52815439937129</v>
      </c>
      <c r="T55">
        <f t="shared" ref="T55" si="254">S55/1000</f>
        <v>-0.21952815439937129</v>
      </c>
    </row>
    <row r="56" spans="1:20" x14ac:dyDescent="0.25">
      <c r="A56" s="5">
        <v>44537</v>
      </c>
      <c r="B56">
        <v>13.97</v>
      </c>
      <c r="C56">
        <v>14.47</v>
      </c>
      <c r="D56">
        <v>13.5</v>
      </c>
      <c r="E56">
        <v>13.81</v>
      </c>
      <c r="F56">
        <v>91615.95</v>
      </c>
      <c r="G56">
        <v>13.81</v>
      </c>
      <c r="L56" t="s">
        <v>7</v>
      </c>
      <c r="M56" t="s">
        <v>7</v>
      </c>
      <c r="N56" t="s">
        <v>7</v>
      </c>
      <c r="P56">
        <f t="shared" ref="P56" si="255">IF(C56=D56,0,((E56-D56)-(C56-E56))/(C56-D56))</f>
        <v>-0.36082474226804062</v>
      </c>
      <c r="Q56">
        <f t="shared" ref="Q56" si="256">F56*P56</f>
        <v>-33057.301546391696</v>
      </c>
      <c r="R56">
        <f t="shared" ref="R56" si="257">R57+Q56</f>
        <v>-21975919.657937128</v>
      </c>
      <c r="S56">
        <f t="shared" ref="S56" si="258">R56/100000</f>
        <v>-219.75919657937129</v>
      </c>
      <c r="T56">
        <f t="shared" ref="T56" si="259">S56/1000</f>
        <v>-0.21975919657937129</v>
      </c>
    </row>
    <row r="57" spans="1:20" x14ac:dyDescent="0.25">
      <c r="A57" s="5">
        <v>44536</v>
      </c>
      <c r="B57">
        <v>13.39</v>
      </c>
      <c r="C57">
        <v>16.39</v>
      </c>
      <c r="D57">
        <v>13.32</v>
      </c>
      <c r="E57">
        <v>13.98</v>
      </c>
      <c r="F57">
        <v>355410.11</v>
      </c>
      <c r="G57">
        <v>13.98</v>
      </c>
      <c r="L57" t="s">
        <v>8</v>
      </c>
      <c r="M57" t="s">
        <v>8</v>
      </c>
      <c r="N57" t="s">
        <v>7</v>
      </c>
      <c r="P57">
        <f t="shared" ref="P57" si="260">IF(C57=D57,0,((E57-D57)-(C57-E57))/(C57-D57))</f>
        <v>-0.5700325732899022</v>
      </c>
      <c r="Q57">
        <f t="shared" ref="Q57" si="261">F57*P57</f>
        <v>-202595.33957654721</v>
      </c>
      <c r="R57">
        <f t="shared" ref="R57" si="262">R58+Q57</f>
        <v>-21942862.356390737</v>
      </c>
      <c r="S57">
        <f t="shared" ref="S57" si="263">R57/100000</f>
        <v>-219.42862356390737</v>
      </c>
      <c r="T57">
        <f t="shared" ref="T57" si="264">S57/1000</f>
        <v>-0.21942862356390735</v>
      </c>
    </row>
    <row r="58" spans="1:20" x14ac:dyDescent="0.25">
      <c r="A58" s="5">
        <v>44535</v>
      </c>
      <c r="B58">
        <v>13.49</v>
      </c>
      <c r="C58">
        <v>14.75</v>
      </c>
      <c r="D58">
        <v>13.3</v>
      </c>
      <c r="E58">
        <v>13.38</v>
      </c>
      <c r="F58">
        <v>104377.73</v>
      </c>
      <c r="G58">
        <v>13.38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-0.88965517241379299</v>
      </c>
      <c r="Q58">
        <f t="shared" ref="Q58" si="266">F58*P58</f>
        <v>-92860.18737931033</v>
      </c>
      <c r="R58">
        <f t="shared" ref="R58" si="267">R59+Q58</f>
        <v>-21740267.016814191</v>
      </c>
      <c r="S58">
        <f t="shared" ref="S58" si="268">R58/100000</f>
        <v>-217.4026701681419</v>
      </c>
      <c r="T58">
        <f t="shared" ref="T58" si="269">S58/1000</f>
        <v>-0.21740267016814191</v>
      </c>
    </row>
    <row r="59" spans="1:20" x14ac:dyDescent="0.25">
      <c r="A59" s="5">
        <v>44534</v>
      </c>
      <c r="B59">
        <v>15.71</v>
      </c>
      <c r="C59">
        <v>15.8</v>
      </c>
      <c r="D59">
        <v>12.23</v>
      </c>
      <c r="E59">
        <v>13.46</v>
      </c>
      <c r="F59">
        <v>177103.22500000001</v>
      </c>
      <c r="G59">
        <v>13.46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-0.310924369747899</v>
      </c>
      <c r="Q59">
        <f t="shared" ref="Q59" si="271">F59*P59</f>
        <v>-55065.708613445349</v>
      </c>
      <c r="R59">
        <f t="shared" ref="R59" si="272">R60+Q59</f>
        <v>-21647406.829434879</v>
      </c>
      <c r="S59">
        <f t="shared" ref="S59" si="273">R59/100000</f>
        <v>-216.4740682943488</v>
      </c>
      <c r="T59">
        <f t="shared" ref="T59" si="274">S59/1000</f>
        <v>-0.21647406829434879</v>
      </c>
    </row>
    <row r="60" spans="1:20" x14ac:dyDescent="0.25">
      <c r="A60" s="5">
        <v>44533</v>
      </c>
      <c r="B60">
        <v>16.11</v>
      </c>
      <c r="C60">
        <v>18</v>
      </c>
      <c r="D60">
        <v>15.5</v>
      </c>
      <c r="E60">
        <v>15.7</v>
      </c>
      <c r="F60">
        <v>199835.92</v>
      </c>
      <c r="G60">
        <v>15.7</v>
      </c>
      <c r="L60" t="s">
        <v>7</v>
      </c>
      <c r="M60" t="s">
        <v>8</v>
      </c>
      <c r="N60" t="s">
        <v>7</v>
      </c>
      <c r="P60">
        <f t="shared" ref="P60" si="275">IF(C60=D60,0,((E60-D60)-(C60-E60))/(C60-D60))</f>
        <v>-0.84000000000000052</v>
      </c>
      <c r="Q60">
        <f t="shared" ref="Q60" si="276">F60*P60</f>
        <v>-167862.17280000012</v>
      </c>
      <c r="R60">
        <f t="shared" ref="R60" si="277">R61+Q60</f>
        <v>-21592341.120821435</v>
      </c>
      <c r="S60">
        <f t="shared" ref="S60" si="278">R60/100000</f>
        <v>-215.92341120821436</v>
      </c>
      <c r="T60">
        <f t="shared" ref="T60" si="279">S60/1000</f>
        <v>-0.21592341120821437</v>
      </c>
    </row>
    <row r="61" spans="1:20" x14ac:dyDescent="0.25">
      <c r="A61" s="5">
        <v>44532</v>
      </c>
      <c r="B61">
        <v>15.6</v>
      </c>
      <c r="C61">
        <v>18.05</v>
      </c>
      <c r="D61">
        <v>15.16</v>
      </c>
      <c r="E61">
        <v>16.07</v>
      </c>
      <c r="F61">
        <v>215464.95999999999</v>
      </c>
      <c r="G61">
        <v>16.07</v>
      </c>
      <c r="L61" t="s">
        <v>8</v>
      </c>
      <c r="M61" t="s">
        <v>8</v>
      </c>
      <c r="N61" t="s">
        <v>7</v>
      </c>
      <c r="P61">
        <f t="shared" ref="P61" si="280">IF(C61=D61,0,((E61-D61)-(C61-E61))/(C61-D61))</f>
        <v>-0.37024221453287198</v>
      </c>
      <c r="Q61">
        <f t="shared" ref="Q61" si="281">F61*P61</f>
        <v>-79774.223944636673</v>
      </c>
      <c r="R61">
        <f t="shared" ref="R61" si="282">R62+Q61</f>
        <v>-21424478.948021434</v>
      </c>
      <c r="S61">
        <f t="shared" ref="S61" si="283">R61/100000</f>
        <v>-214.24478948021434</v>
      </c>
      <c r="T61">
        <f t="shared" ref="T61" si="284">S61/1000</f>
        <v>-0.21424478948021433</v>
      </c>
    </row>
    <row r="62" spans="1:20" x14ac:dyDescent="0.25">
      <c r="A62" s="5">
        <v>44531</v>
      </c>
      <c r="B62">
        <v>15.67</v>
      </c>
      <c r="C62">
        <v>16.100000000000001</v>
      </c>
      <c r="D62">
        <v>15.43</v>
      </c>
      <c r="E62">
        <v>15.59</v>
      </c>
      <c r="F62">
        <v>50703.76</v>
      </c>
      <c r="G62">
        <v>15.59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-0.52238805970149338</v>
      </c>
      <c r="Q62">
        <f t="shared" ref="Q62" si="286">F62*P62</f>
        <v>-26487.038805970195</v>
      </c>
      <c r="R62">
        <f t="shared" ref="R62" si="287">R63+Q62</f>
        <v>-21344704.724076796</v>
      </c>
      <c r="S62">
        <f t="shared" ref="S62" si="288">R62/100000</f>
        <v>-213.44704724076797</v>
      </c>
      <c r="T62">
        <f t="shared" ref="T62" si="289">S62/1000</f>
        <v>-0.21344704724076796</v>
      </c>
    </row>
    <row r="63" spans="1:20" x14ac:dyDescent="0.25">
      <c r="A63" s="5">
        <v>44530</v>
      </c>
      <c r="B63">
        <v>16.27</v>
      </c>
      <c r="C63">
        <v>16.34</v>
      </c>
      <c r="D63">
        <v>15.32</v>
      </c>
      <c r="E63">
        <v>15.66</v>
      </c>
      <c r="F63">
        <v>54164.33</v>
      </c>
      <c r="G63">
        <v>15.66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-0.33333333333333331</v>
      </c>
      <c r="Q63">
        <f t="shared" ref="Q63" si="291">F63*P63</f>
        <v>-18054.776666666665</v>
      </c>
      <c r="R63">
        <f t="shared" ref="R63" si="292">R64+Q63</f>
        <v>-21318217.685270827</v>
      </c>
      <c r="S63">
        <f t="shared" ref="S63" si="293">R63/100000</f>
        <v>-213.18217685270827</v>
      </c>
      <c r="T63">
        <f t="shared" ref="T63" si="294">S63/1000</f>
        <v>-0.21318217685270827</v>
      </c>
    </row>
    <row r="64" spans="1:20" x14ac:dyDescent="0.25">
      <c r="A64" s="5">
        <v>44529</v>
      </c>
      <c r="B64">
        <v>16.14</v>
      </c>
      <c r="C64">
        <v>16.5</v>
      </c>
      <c r="D64">
        <v>15.82</v>
      </c>
      <c r="E64">
        <v>16.25</v>
      </c>
      <c r="F64">
        <v>70520.88</v>
      </c>
      <c r="G64">
        <v>16.25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0.26470588235294085</v>
      </c>
      <c r="Q64">
        <f t="shared" ref="Q64" si="296">F64*P64</f>
        <v>18667.29176470586</v>
      </c>
      <c r="R64">
        <f t="shared" ref="R64" si="297">R65+Q64</f>
        <v>-21300162.90860416</v>
      </c>
      <c r="S64">
        <f t="shared" ref="S64" si="298">R64/100000</f>
        <v>-213.00162908604159</v>
      </c>
      <c r="T64">
        <f t="shared" ref="T64" si="299">S64/1000</f>
        <v>-0.21300162908604159</v>
      </c>
    </row>
    <row r="65" spans="1:20" x14ac:dyDescent="0.25">
      <c r="A65" s="5">
        <v>44528</v>
      </c>
      <c r="B65">
        <v>15.79</v>
      </c>
      <c r="C65">
        <v>16.14</v>
      </c>
      <c r="D65">
        <v>15.12</v>
      </c>
      <c r="E65">
        <v>16.14</v>
      </c>
      <c r="F65">
        <v>63024.88</v>
      </c>
      <c r="G65">
        <v>16.14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1</v>
      </c>
      <c r="Q65">
        <f t="shared" ref="Q65" si="301">F65*P65</f>
        <v>63024.88</v>
      </c>
      <c r="R65">
        <f t="shared" ref="R65" si="302">R66+Q65</f>
        <v>-21318830.200368866</v>
      </c>
      <c r="S65">
        <f t="shared" ref="S65" si="303">R65/100000</f>
        <v>-213.18830200368868</v>
      </c>
      <c r="T65">
        <f t="shared" ref="T65" si="304">S65/1000</f>
        <v>-0.21318830200368868</v>
      </c>
    </row>
    <row r="66" spans="1:20" x14ac:dyDescent="0.25">
      <c r="A66" s="5">
        <v>44527</v>
      </c>
      <c r="B66">
        <v>15.54</v>
      </c>
      <c r="C66">
        <v>16.489999999999998</v>
      </c>
      <c r="D66">
        <v>15.43</v>
      </c>
      <c r="E66">
        <v>15.81</v>
      </c>
      <c r="F66">
        <v>83419.899999999994</v>
      </c>
      <c r="G66">
        <v>15.81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-0.28301886792452596</v>
      </c>
      <c r="Q66">
        <f t="shared" ref="Q66" si="306">F66*P66</f>
        <v>-23609.405660377161</v>
      </c>
      <c r="R66">
        <f t="shared" ref="R66" si="307">R67+Q66</f>
        <v>-21381855.080368865</v>
      </c>
      <c r="S66">
        <f t="shared" ref="S66" si="308">R66/100000</f>
        <v>-213.81855080368865</v>
      </c>
      <c r="T66">
        <f t="shared" ref="T66" si="309">S66/1000</f>
        <v>-0.21381855080368864</v>
      </c>
    </row>
    <row r="67" spans="1:20" x14ac:dyDescent="0.25">
      <c r="A67" s="5">
        <v>44526</v>
      </c>
      <c r="B67">
        <v>16.93</v>
      </c>
      <c r="C67">
        <v>17.38</v>
      </c>
      <c r="D67">
        <v>15.08</v>
      </c>
      <c r="E67">
        <v>15.54</v>
      </c>
      <c r="F67">
        <v>132304.63</v>
      </c>
      <c r="G67">
        <v>15.54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-0.60000000000000064</v>
      </c>
      <c r="Q67">
        <f t="shared" ref="Q67" si="311">F67*P67</f>
        <v>-79382.778000000093</v>
      </c>
      <c r="R67">
        <f t="shared" ref="R67" si="312">R68+Q67</f>
        <v>-21358245.674708489</v>
      </c>
      <c r="S67">
        <f t="shared" ref="S67" si="313">R67/100000</f>
        <v>-213.5824567470849</v>
      </c>
      <c r="T67">
        <f t="shared" ref="T67" si="314">S67/1000</f>
        <v>-0.2135824567470849</v>
      </c>
    </row>
    <row r="68" spans="1:20" x14ac:dyDescent="0.25">
      <c r="A68" s="5">
        <v>44525</v>
      </c>
      <c r="B68">
        <v>16.27</v>
      </c>
      <c r="C68">
        <v>17.66</v>
      </c>
      <c r="D68">
        <v>15.94</v>
      </c>
      <c r="E68">
        <v>16.940000000000001</v>
      </c>
      <c r="F68">
        <v>119442.41</v>
      </c>
      <c r="G68">
        <v>16.940000000000001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0.16279069767442023</v>
      </c>
      <c r="Q68">
        <f t="shared" ref="Q68" si="316">F68*P68</f>
        <v>19444.113255814147</v>
      </c>
      <c r="R68">
        <f t="shared" ref="R68" si="317">R69+Q68</f>
        <v>-21278862.896708488</v>
      </c>
      <c r="S68">
        <f t="shared" ref="S68" si="318">R68/100000</f>
        <v>-212.78862896708489</v>
      </c>
      <c r="T68">
        <f t="shared" ref="T68" si="319">S68/1000</f>
        <v>-0.21278862896708489</v>
      </c>
    </row>
    <row r="69" spans="1:20" x14ac:dyDescent="0.25">
      <c r="A69" s="5">
        <v>44524</v>
      </c>
      <c r="B69">
        <v>16.47</v>
      </c>
      <c r="C69">
        <v>16.63</v>
      </c>
      <c r="D69">
        <v>16.21</v>
      </c>
      <c r="E69">
        <v>16.32</v>
      </c>
      <c r="F69">
        <v>19760.96</v>
      </c>
      <c r="G69">
        <v>16.32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-0.47619047619047661</v>
      </c>
      <c r="Q69">
        <f t="shared" ref="Q69" si="321">F69*P69</f>
        <v>-9409.9809523809599</v>
      </c>
      <c r="R69">
        <f t="shared" ref="R69" si="322">R70+Q69</f>
        <v>-21298307.009964302</v>
      </c>
      <c r="S69">
        <f t="shared" ref="S69" si="323">R69/100000</f>
        <v>-212.98307009964302</v>
      </c>
      <c r="T69">
        <f t="shared" ref="T69" si="324">S69/1000</f>
        <v>-0.21298307009964301</v>
      </c>
    </row>
    <row r="70" spans="1:20" x14ac:dyDescent="0.25">
      <c r="A70" s="5">
        <v>44523</v>
      </c>
      <c r="B70">
        <v>16.32</v>
      </c>
      <c r="C70">
        <v>16.64</v>
      </c>
      <c r="D70">
        <v>16.04</v>
      </c>
      <c r="E70">
        <v>16.47</v>
      </c>
      <c r="F70">
        <v>90339.69</v>
      </c>
      <c r="G70">
        <v>16.47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0.43333333333332902</v>
      </c>
      <c r="Q70">
        <f t="shared" ref="Q70" si="326">F70*P70</f>
        <v>39147.198999999608</v>
      </c>
      <c r="R70">
        <f t="shared" ref="R70" si="327">R71+Q70</f>
        <v>-21288897.02901192</v>
      </c>
      <c r="S70">
        <f t="shared" ref="S70" si="328">R70/100000</f>
        <v>-212.8889702901192</v>
      </c>
      <c r="T70">
        <f t="shared" ref="T70" si="329">S70/1000</f>
        <v>-0.21288897029011922</v>
      </c>
    </row>
    <row r="71" spans="1:20" x14ac:dyDescent="0.25">
      <c r="A71" s="5">
        <v>44522</v>
      </c>
      <c r="B71">
        <v>17.37</v>
      </c>
      <c r="C71">
        <v>18.079999999999998</v>
      </c>
      <c r="D71">
        <v>16.02</v>
      </c>
      <c r="E71">
        <v>16.329999999999998</v>
      </c>
      <c r="F71">
        <v>175338.42</v>
      </c>
      <c r="G71">
        <v>16.329999999999998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-0.69902912621359325</v>
      </c>
      <c r="Q71">
        <f t="shared" ref="Q71" si="331">F71*P71</f>
        <v>-122566.66252427203</v>
      </c>
      <c r="R71">
        <f t="shared" ref="R71" si="332">R72+Q71</f>
        <v>-21328044.228011921</v>
      </c>
      <c r="S71">
        <f t="shared" ref="S71" si="333">R71/100000</f>
        <v>-213.28044228011922</v>
      </c>
      <c r="T71">
        <f t="shared" ref="T71" si="334">S71/1000</f>
        <v>-0.21328044228011922</v>
      </c>
    </row>
    <row r="72" spans="1:20" x14ac:dyDescent="0.25">
      <c r="A72" s="5">
        <v>44521</v>
      </c>
      <c r="B72">
        <v>16.93</v>
      </c>
      <c r="C72">
        <v>19.2</v>
      </c>
      <c r="D72">
        <v>16.829999999999998</v>
      </c>
      <c r="E72">
        <v>17.38</v>
      </c>
      <c r="F72">
        <v>327153.48</v>
      </c>
      <c r="G72">
        <v>17.38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-0.53586497890295315</v>
      </c>
      <c r="Q72">
        <f t="shared" ref="Q72" si="336">F72*P72</f>
        <v>-175310.09265822769</v>
      </c>
      <c r="R72">
        <f t="shared" ref="R72" si="337">R73+Q72</f>
        <v>-21205477.565487649</v>
      </c>
      <c r="S72">
        <f t="shared" ref="S72" si="338">R72/100000</f>
        <v>-212.05477565487649</v>
      </c>
      <c r="T72">
        <f t="shared" ref="T72" si="339">S72/1000</f>
        <v>-0.21205477565487649</v>
      </c>
    </row>
    <row r="73" spans="1:20" x14ac:dyDescent="0.25">
      <c r="A73" s="5">
        <v>44520</v>
      </c>
      <c r="B73">
        <v>17.02</v>
      </c>
      <c r="C73">
        <v>17.41</v>
      </c>
      <c r="D73">
        <v>16.21</v>
      </c>
      <c r="E73">
        <v>16.920000000000002</v>
      </c>
      <c r="F73">
        <v>94031.3</v>
      </c>
      <c r="G73">
        <v>16.920000000000002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0.18333333333333546</v>
      </c>
      <c r="Q73">
        <f t="shared" ref="Q73" si="341">F73*P73</f>
        <v>17239.071666666867</v>
      </c>
      <c r="R73">
        <f t="shared" ref="R73" si="342">R74+Q73</f>
        <v>-21030167.47282942</v>
      </c>
      <c r="S73">
        <f t="shared" ref="S73" si="343">R73/100000</f>
        <v>-210.30167472829419</v>
      </c>
      <c r="T73">
        <f t="shared" ref="T73" si="344">S73/1000</f>
        <v>-0.2103016747282942</v>
      </c>
    </row>
    <row r="74" spans="1:20" x14ac:dyDescent="0.25">
      <c r="A74" s="5">
        <v>44519</v>
      </c>
      <c r="B74">
        <v>15.62</v>
      </c>
      <c r="C74">
        <v>17.3</v>
      </c>
      <c r="D74">
        <v>15.25</v>
      </c>
      <c r="E74">
        <v>17.02</v>
      </c>
      <c r="F74">
        <v>94901.34</v>
      </c>
      <c r="G74">
        <v>17.02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0.72682926829268191</v>
      </c>
      <c r="Q74">
        <f t="shared" ref="Q74" si="346">F74*P74</f>
        <v>68977.07151219502</v>
      </c>
      <c r="R74">
        <f t="shared" ref="R74" si="347">R75+Q74</f>
        <v>-21047406.544496085</v>
      </c>
      <c r="S74">
        <f t="shared" ref="S74" si="348">R74/100000</f>
        <v>-210.47406544496084</v>
      </c>
      <c r="T74">
        <f t="shared" ref="T74" si="349">S74/1000</f>
        <v>-0.21047406544496083</v>
      </c>
    </row>
    <row r="75" spans="1:20" x14ac:dyDescent="0.25">
      <c r="A75" s="5">
        <v>44518</v>
      </c>
      <c r="B75">
        <v>16.91</v>
      </c>
      <c r="C75">
        <v>17.37</v>
      </c>
      <c r="D75">
        <v>15.44</v>
      </c>
      <c r="E75">
        <v>15.56</v>
      </c>
      <c r="F75">
        <v>116131.07</v>
      </c>
      <c r="G75">
        <v>15.56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-0.8756476683937815</v>
      </c>
      <c r="Q75">
        <f t="shared" ref="Q75" si="351">F75*P75</f>
        <v>-101689.90067357503</v>
      </c>
      <c r="R75">
        <f t="shared" ref="R75" si="352">R76+Q75</f>
        <v>-21116383.616008282</v>
      </c>
      <c r="S75">
        <f t="shared" ref="S75" si="353">R75/100000</f>
        <v>-211.16383616008281</v>
      </c>
      <c r="T75">
        <f t="shared" ref="T75" si="354">S75/1000</f>
        <v>-0.2111638361600828</v>
      </c>
    </row>
    <row r="76" spans="1:20" x14ac:dyDescent="0.25">
      <c r="A76" s="5">
        <v>44517</v>
      </c>
      <c r="B76">
        <v>17.16</v>
      </c>
      <c r="C76">
        <v>17.27</v>
      </c>
      <c r="D76">
        <v>16.11</v>
      </c>
      <c r="E76">
        <v>16.93</v>
      </c>
      <c r="F76">
        <v>104171.83</v>
      </c>
      <c r="G76">
        <v>16.93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0.41379310344827619</v>
      </c>
      <c r="Q76">
        <f t="shared" ref="Q76" si="356">F76*P76</f>
        <v>43105.584827586245</v>
      </c>
      <c r="R76">
        <f t="shared" ref="R76" si="357">R77+Q76</f>
        <v>-21014693.715334706</v>
      </c>
      <c r="S76">
        <f t="shared" ref="S76" si="358">R76/100000</f>
        <v>-210.14693715334707</v>
      </c>
      <c r="T76">
        <f t="shared" ref="T76" si="359">S76/1000</f>
        <v>-0.21014693715334706</v>
      </c>
    </row>
    <row r="77" spans="1:20" x14ac:dyDescent="0.25">
      <c r="A77" s="5">
        <v>44516</v>
      </c>
      <c r="B77">
        <v>18.2</v>
      </c>
      <c r="C77">
        <v>18.2</v>
      </c>
      <c r="D77">
        <v>16.600000000000001</v>
      </c>
      <c r="E77">
        <v>17.170000000000002</v>
      </c>
      <c r="F77">
        <v>165683.56</v>
      </c>
      <c r="G77">
        <v>17.170000000000002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-0.2874999999999987</v>
      </c>
      <c r="Q77">
        <f t="shared" ref="Q77" si="361">F77*P77</f>
        <v>-47634.023499999785</v>
      </c>
      <c r="R77">
        <f t="shared" ref="R77" si="362">R78+Q77</f>
        <v>-21057799.300162293</v>
      </c>
      <c r="S77">
        <f t="shared" ref="S77" si="363">R77/100000</f>
        <v>-210.57799300162293</v>
      </c>
      <c r="T77">
        <f t="shared" ref="T77" si="364">S77/1000</f>
        <v>-0.21057799300162292</v>
      </c>
    </row>
    <row r="78" spans="1:20" x14ac:dyDescent="0.25">
      <c r="A78" s="5">
        <v>44515</v>
      </c>
      <c r="B78">
        <v>18.77</v>
      </c>
      <c r="C78">
        <v>18.88</v>
      </c>
      <c r="D78">
        <v>18.11</v>
      </c>
      <c r="E78">
        <v>18.21</v>
      </c>
      <c r="F78">
        <v>96656.09</v>
      </c>
      <c r="G78">
        <v>18.21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-0.7402597402597364</v>
      </c>
      <c r="Q78">
        <f t="shared" ref="Q78" si="366">F78*P78</f>
        <v>-71550.612077921702</v>
      </c>
      <c r="R78">
        <f t="shared" ref="R78" si="367">R79+Q78</f>
        <v>-21010165.276662294</v>
      </c>
      <c r="S78">
        <f t="shared" ref="S78" si="368">R78/100000</f>
        <v>-210.10165276662295</v>
      </c>
      <c r="T78">
        <f t="shared" ref="T78" si="369">S78/1000</f>
        <v>-0.21010165276662296</v>
      </c>
    </row>
    <row r="79" spans="1:20" x14ac:dyDescent="0.25">
      <c r="A79" s="5">
        <v>44514</v>
      </c>
      <c r="B79">
        <v>18.510000000000002</v>
      </c>
      <c r="C79">
        <v>20.53</v>
      </c>
      <c r="D79">
        <v>18.11</v>
      </c>
      <c r="E79">
        <v>18.77</v>
      </c>
      <c r="F79">
        <v>242074.14</v>
      </c>
      <c r="G79">
        <v>18.77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-0.45454545454545481</v>
      </c>
      <c r="Q79">
        <f t="shared" ref="Q79" si="371">F79*P79</f>
        <v>-110033.70000000007</v>
      </c>
      <c r="R79">
        <f t="shared" ref="R79" si="372">R80+Q79</f>
        <v>-20938614.664584372</v>
      </c>
      <c r="S79">
        <f t="shared" ref="S79" si="373">R79/100000</f>
        <v>-209.38614664584372</v>
      </c>
      <c r="T79">
        <f t="shared" ref="T79" si="374">S79/1000</f>
        <v>-0.20938614664584373</v>
      </c>
    </row>
    <row r="80" spans="1:20" x14ac:dyDescent="0.25">
      <c r="A80" s="5">
        <v>44513</v>
      </c>
      <c r="B80">
        <v>18.3</v>
      </c>
      <c r="C80">
        <v>19.100000000000001</v>
      </c>
      <c r="D80">
        <v>18</v>
      </c>
      <c r="E80">
        <v>18.5</v>
      </c>
      <c r="F80">
        <v>135568.1</v>
      </c>
      <c r="G80">
        <v>18.5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-9.0909090909092077E-2</v>
      </c>
      <c r="Q80">
        <f t="shared" ref="Q80" si="376">F80*P80</f>
        <v>-12324.372727272887</v>
      </c>
      <c r="R80">
        <f t="shared" ref="R80" si="377">R81+Q80</f>
        <v>-20828580.964584373</v>
      </c>
      <c r="S80">
        <f t="shared" ref="S80" si="378">R80/100000</f>
        <v>-208.28580964584373</v>
      </c>
      <c r="T80">
        <f t="shared" ref="T80" si="379">S80/1000</f>
        <v>-0.20828580964584373</v>
      </c>
    </row>
    <row r="81" spans="1:20" x14ac:dyDescent="0.25">
      <c r="A81" s="5">
        <v>44512</v>
      </c>
      <c r="B81">
        <v>18.899999999999999</v>
      </c>
      <c r="C81">
        <v>18.899999999999999</v>
      </c>
      <c r="D81">
        <v>18.05</v>
      </c>
      <c r="E81">
        <v>18.29</v>
      </c>
      <c r="F81">
        <v>136794.85999999999</v>
      </c>
      <c r="G81">
        <v>18.29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-0.43529411764706111</v>
      </c>
      <c r="Q81">
        <f t="shared" ref="Q81" si="381">F81*P81</f>
        <v>-59545.997882353251</v>
      </c>
      <c r="R81">
        <f t="shared" ref="R81" si="382">R82+Q81</f>
        <v>-20816256.591857102</v>
      </c>
      <c r="S81">
        <f t="shared" ref="S81" si="383">R81/100000</f>
        <v>-208.162565918571</v>
      </c>
      <c r="T81">
        <f t="shared" ref="T81" si="384">S81/1000</f>
        <v>-0.20816256591857102</v>
      </c>
    </row>
    <row r="82" spans="1:20" x14ac:dyDescent="0.25">
      <c r="A82" s="5">
        <v>44511</v>
      </c>
      <c r="B82">
        <v>18.16</v>
      </c>
      <c r="C82">
        <v>24.23</v>
      </c>
      <c r="D82">
        <v>18.05</v>
      </c>
      <c r="E82">
        <v>18.899999999999999</v>
      </c>
      <c r="F82">
        <v>699271.83</v>
      </c>
      <c r="G82">
        <v>18.899999999999999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-0.7249190938511334</v>
      </c>
      <c r="Q82">
        <f t="shared" ref="Q82" si="386">F82*P82</f>
        <v>-506915.5013592238</v>
      </c>
      <c r="R82">
        <f t="shared" ref="R82" si="387">R83+Q82</f>
        <v>-20756710.593974747</v>
      </c>
      <c r="S82">
        <f t="shared" ref="S82" si="388">R82/100000</f>
        <v>-207.56710593974748</v>
      </c>
      <c r="T82">
        <f t="shared" ref="T82" si="389">S82/1000</f>
        <v>-0.20756710593974748</v>
      </c>
    </row>
    <row r="83" spans="1:20" x14ac:dyDescent="0.25">
      <c r="A83" s="5">
        <v>44510</v>
      </c>
      <c r="B83">
        <v>18.72</v>
      </c>
      <c r="C83">
        <v>19.55</v>
      </c>
      <c r="D83">
        <v>18</v>
      </c>
      <c r="E83">
        <v>18.12</v>
      </c>
      <c r="F83">
        <v>139093.72</v>
      </c>
      <c r="G83">
        <v>18.12</v>
      </c>
      <c r="L83" t="s">
        <v>8</v>
      </c>
      <c r="M83" t="s">
        <v>7</v>
      </c>
      <c r="N83" t="s">
        <v>7</v>
      </c>
      <c r="P83">
        <f t="shared" ref="P83" si="390">IF(C83=D83,0,((E83-D83)-(C83-E83))/(C83-D83))</f>
        <v>-0.84516129032257947</v>
      </c>
      <c r="Q83">
        <f t="shared" ref="Q83" si="391">F83*P83</f>
        <v>-117556.62787096758</v>
      </c>
      <c r="R83">
        <f t="shared" ref="R83" si="392">R84+Q83</f>
        <v>-20249795.092615522</v>
      </c>
      <c r="S83">
        <f t="shared" ref="S83" si="393">R83/100000</f>
        <v>-202.49795092615523</v>
      </c>
      <c r="T83">
        <f t="shared" ref="T83" si="394">S83/1000</f>
        <v>-0.20249795092615522</v>
      </c>
    </row>
    <row r="84" spans="1:20" x14ac:dyDescent="0.25">
      <c r="A84" s="5">
        <v>44509</v>
      </c>
      <c r="B84">
        <v>19.02</v>
      </c>
      <c r="C84">
        <v>19.29</v>
      </c>
      <c r="D84">
        <v>18.37</v>
      </c>
      <c r="E84">
        <v>18.68</v>
      </c>
      <c r="F84">
        <v>117358.02</v>
      </c>
      <c r="G84">
        <v>18.68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-0.32608695652174058</v>
      </c>
      <c r="Q84">
        <f t="shared" ref="Q84" si="396">F84*P84</f>
        <v>-38268.919565217562</v>
      </c>
      <c r="R84">
        <f t="shared" ref="R84" si="397">R85+Q84</f>
        <v>-20132238.464744557</v>
      </c>
      <c r="S84">
        <f t="shared" ref="S84" si="398">R84/100000</f>
        <v>-201.32238464744557</v>
      </c>
      <c r="T84">
        <f t="shared" ref="T84" si="399">S84/1000</f>
        <v>-0.20132238464744556</v>
      </c>
    </row>
    <row r="85" spans="1:20" x14ac:dyDescent="0.25">
      <c r="A85" s="5">
        <v>44508</v>
      </c>
      <c r="B85">
        <v>19.239999999999998</v>
      </c>
      <c r="C85">
        <v>19.29</v>
      </c>
      <c r="D85">
        <v>18.670000000000002</v>
      </c>
      <c r="E85">
        <v>19</v>
      </c>
      <c r="F85">
        <v>79754.44</v>
      </c>
      <c r="G85">
        <v>19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6.4516129032256953E-2</v>
      </c>
      <c r="Q85">
        <f t="shared" ref="Q85" si="401">F85*P85</f>
        <v>5145.4477419353952</v>
      </c>
      <c r="R85">
        <f t="shared" ref="R85" si="402">R86+Q85</f>
        <v>-20093969.545179341</v>
      </c>
      <c r="S85">
        <f t="shared" ref="S85" si="403">R85/100000</f>
        <v>-200.9396954517934</v>
      </c>
      <c r="T85">
        <f t="shared" ref="T85" si="404">S85/1000</f>
        <v>-0.20093969545179341</v>
      </c>
    </row>
    <row r="86" spans="1:20" x14ac:dyDescent="0.25">
      <c r="A86" s="5">
        <v>44507</v>
      </c>
      <c r="B86">
        <v>18.55</v>
      </c>
      <c r="C86">
        <v>19.45</v>
      </c>
      <c r="D86">
        <v>18.29</v>
      </c>
      <c r="E86">
        <v>19.239999999999998</v>
      </c>
      <c r="F86">
        <v>119695.25</v>
      </c>
      <c r="G86">
        <v>19.239999999999998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0.63793103448275723</v>
      </c>
      <c r="Q86">
        <f t="shared" ref="Q86" si="406">F86*P86</f>
        <v>76357.314655172246</v>
      </c>
      <c r="R86">
        <f t="shared" ref="R86" si="407">R87+Q86</f>
        <v>-20099114.992921278</v>
      </c>
      <c r="S86">
        <f t="shared" ref="S86" si="408">R86/100000</f>
        <v>-200.99114992921278</v>
      </c>
      <c r="T86">
        <f t="shared" ref="T86" si="409">S86/1000</f>
        <v>-0.20099114992921277</v>
      </c>
    </row>
    <row r="87" spans="1:20" x14ac:dyDescent="0.25">
      <c r="A87" s="5">
        <v>44506</v>
      </c>
      <c r="B87">
        <v>18.5</v>
      </c>
      <c r="C87">
        <v>18.66</v>
      </c>
      <c r="D87">
        <v>18.010000000000002</v>
      </c>
      <c r="E87">
        <v>18.55</v>
      </c>
      <c r="F87">
        <v>52351.89</v>
      </c>
      <c r="G87">
        <v>18.55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0.66153846153846252</v>
      </c>
      <c r="Q87">
        <f t="shared" ref="Q87" si="411">F87*P87</f>
        <v>34632.788769230821</v>
      </c>
      <c r="R87">
        <f t="shared" ref="R87" si="412">R88+Q87</f>
        <v>-20175472.307576451</v>
      </c>
      <c r="S87">
        <f t="shared" ref="S87" si="413">R87/100000</f>
        <v>-201.7547230757645</v>
      </c>
      <c r="T87">
        <f t="shared" ref="T87" si="414">S87/1000</f>
        <v>-0.2017547230757645</v>
      </c>
    </row>
    <row r="88" spans="1:20" x14ac:dyDescent="0.25">
      <c r="A88" s="5">
        <v>44505</v>
      </c>
      <c r="B88">
        <v>18.82</v>
      </c>
      <c r="C88">
        <v>19.25</v>
      </c>
      <c r="D88">
        <v>18.46</v>
      </c>
      <c r="E88">
        <v>18.5</v>
      </c>
      <c r="F88">
        <v>96723.94</v>
      </c>
      <c r="G88">
        <v>18.5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-0.89873417721519189</v>
      </c>
      <c r="Q88">
        <f t="shared" ref="Q88" si="416">F88*P88</f>
        <v>-86929.110632911586</v>
      </c>
      <c r="R88">
        <f t="shared" ref="R88" si="417">R89+Q88</f>
        <v>-20210105.096345682</v>
      </c>
      <c r="S88">
        <f t="shared" ref="S88" si="418">R88/100000</f>
        <v>-202.10105096345683</v>
      </c>
      <c r="T88">
        <f t="shared" ref="T88" si="419">S88/1000</f>
        <v>-0.20210105096345682</v>
      </c>
    </row>
    <row r="89" spans="1:20" x14ac:dyDescent="0.25">
      <c r="A89" s="5">
        <v>44504</v>
      </c>
      <c r="B89">
        <v>18.79</v>
      </c>
      <c r="C89">
        <v>19.03</v>
      </c>
      <c r="D89">
        <v>18.3</v>
      </c>
      <c r="E89">
        <v>18.829999999999998</v>
      </c>
      <c r="F89">
        <v>113034.37</v>
      </c>
      <c r="G89">
        <v>18.829999999999998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0.45205479452054048</v>
      </c>
      <c r="Q89">
        <f t="shared" ref="Q89" si="421">F89*P89</f>
        <v>51097.728904108742</v>
      </c>
      <c r="R89">
        <f t="shared" ref="R89" si="422">R90+Q89</f>
        <v>-20123175.98571277</v>
      </c>
      <c r="S89">
        <f t="shared" ref="S89" si="423">R89/100000</f>
        <v>-201.23175985712771</v>
      </c>
      <c r="T89">
        <f t="shared" ref="T89" si="424">S89/1000</f>
        <v>-0.20123175985712771</v>
      </c>
    </row>
    <row r="90" spans="1:20" x14ac:dyDescent="0.25">
      <c r="A90" s="5">
        <v>44503</v>
      </c>
      <c r="B90">
        <v>18.84</v>
      </c>
      <c r="C90">
        <v>19.149999999999999</v>
      </c>
      <c r="D90">
        <v>18.399999999999999</v>
      </c>
      <c r="E90">
        <v>18.760000000000002</v>
      </c>
      <c r="F90">
        <v>84475.92</v>
      </c>
      <c r="G90">
        <v>18.760000000000002</v>
      </c>
      <c r="L90" t="s">
        <v>7</v>
      </c>
      <c r="M90" t="s">
        <v>7</v>
      </c>
      <c r="N90" t="s">
        <v>7</v>
      </c>
      <c r="P90">
        <f t="shared" ref="P90" si="425">IF(C90=D90,0,((E90-D90)-(C90-E90))/(C90-D90))</f>
        <v>-3.9999999999992042E-2</v>
      </c>
      <c r="Q90">
        <f t="shared" ref="Q90" si="426">F90*P90</f>
        <v>-3379.0367999993277</v>
      </c>
      <c r="R90">
        <f t="shared" ref="R90" si="427">R91+Q90</f>
        <v>-20174273.71461688</v>
      </c>
      <c r="S90">
        <f t="shared" ref="S90" si="428">R90/100000</f>
        <v>-201.74273714616879</v>
      </c>
      <c r="T90">
        <f t="shared" ref="T90" si="429">S90/1000</f>
        <v>-0.2017427371461688</v>
      </c>
    </row>
    <row r="91" spans="1:20" x14ac:dyDescent="0.25">
      <c r="A91" s="5">
        <v>44502</v>
      </c>
      <c r="B91">
        <v>18.920000000000002</v>
      </c>
      <c r="C91">
        <v>19.37</v>
      </c>
      <c r="D91">
        <v>18.600000000000001</v>
      </c>
      <c r="E91">
        <v>18.850000000000001</v>
      </c>
      <c r="F91">
        <v>129127.49</v>
      </c>
      <c r="G91">
        <v>18.850000000000001</v>
      </c>
      <c r="L91" t="s">
        <v>7</v>
      </c>
      <c r="M91" t="s">
        <v>7</v>
      </c>
      <c r="N91" t="s">
        <v>7</v>
      </c>
      <c r="P91">
        <f t="shared" ref="P91" si="430">IF(C91=D91,0,((E91-D91)-(C91-E91))/(C91-D91))</f>
        <v>-0.35064935064935027</v>
      </c>
      <c r="Q91">
        <f t="shared" ref="Q91" si="431">F91*P91</f>
        <v>-45278.47051948047</v>
      </c>
      <c r="R91">
        <f t="shared" ref="R91" si="432">R92+Q91</f>
        <v>-20170894.677816879</v>
      </c>
      <c r="S91">
        <f t="shared" ref="S91" si="433">R91/100000</f>
        <v>-201.70894677816878</v>
      </c>
      <c r="T91">
        <f t="shared" ref="T91" si="434">S91/1000</f>
        <v>-0.20170894677816878</v>
      </c>
    </row>
    <row r="92" spans="1:20" x14ac:dyDescent="0.25">
      <c r="A92" s="5">
        <v>44501</v>
      </c>
      <c r="B92">
        <v>18.489999999999998</v>
      </c>
      <c r="C92">
        <v>19.100000000000001</v>
      </c>
      <c r="D92">
        <v>18.11</v>
      </c>
      <c r="E92">
        <v>18.89</v>
      </c>
      <c r="F92">
        <v>246691.53</v>
      </c>
      <c r="G92">
        <v>18.89</v>
      </c>
      <c r="L92" t="s">
        <v>7</v>
      </c>
      <c r="M92" t="s">
        <v>7</v>
      </c>
      <c r="N92" t="s">
        <v>7</v>
      </c>
      <c r="P92">
        <f t="shared" ref="P92" si="435">IF(C92=D92,0,((E92-D92)-(C92-E92))/(C92-D92))</f>
        <v>0.57575757575757491</v>
      </c>
      <c r="Q92">
        <f t="shared" ref="Q92" si="436">F92*P92</f>
        <v>142034.51727272707</v>
      </c>
      <c r="R92">
        <f t="shared" ref="R92" si="437">R93+Q92</f>
        <v>-20125616.2072974</v>
      </c>
      <c r="S92">
        <f t="shared" ref="S92" si="438">R92/100000</f>
        <v>-201.25616207297401</v>
      </c>
      <c r="T92">
        <f t="shared" ref="T92" si="439">S92/1000</f>
        <v>-0.201256162072974</v>
      </c>
    </row>
    <row r="93" spans="1:20" x14ac:dyDescent="0.25">
      <c r="A93" s="5">
        <v>44500</v>
      </c>
      <c r="B93">
        <v>17.66</v>
      </c>
      <c r="C93">
        <v>19.5</v>
      </c>
      <c r="D93">
        <v>17.62</v>
      </c>
      <c r="E93">
        <v>18.489999999999998</v>
      </c>
      <c r="F93">
        <v>284657.64</v>
      </c>
      <c r="G93">
        <v>18.489999999999998</v>
      </c>
      <c r="L93" t="s">
        <v>8</v>
      </c>
      <c r="M93" t="s">
        <v>7</v>
      </c>
      <c r="N93" t="s">
        <v>7</v>
      </c>
      <c r="P93">
        <f t="shared" ref="P93" si="440">IF(C93=D93,0,((E93-D93)-(C93-E93))/(C93-D93))</f>
        <v>-7.446808510638521E-2</v>
      </c>
      <c r="Q93">
        <f t="shared" ref="Q93" si="441">F93*P93</f>
        <v>-21197.909361702765</v>
      </c>
      <c r="R93">
        <f t="shared" ref="R93" si="442">R94+Q93</f>
        <v>-20267650.724570125</v>
      </c>
      <c r="S93">
        <f t="shared" ref="S93" si="443">R93/100000</f>
        <v>-202.67650724570126</v>
      </c>
      <c r="T93">
        <f t="shared" ref="T93" si="444">S93/1000</f>
        <v>-0.20267650724570127</v>
      </c>
    </row>
    <row r="94" spans="1:20" x14ac:dyDescent="0.25">
      <c r="A94" s="5">
        <v>44499</v>
      </c>
      <c r="B94">
        <v>18.39</v>
      </c>
      <c r="C94">
        <v>18.43</v>
      </c>
      <c r="D94">
        <v>17.5</v>
      </c>
      <c r="E94">
        <v>17.66</v>
      </c>
      <c r="F94">
        <v>140064.31</v>
      </c>
      <c r="G94">
        <v>17.66</v>
      </c>
      <c r="L94" t="s">
        <v>8</v>
      </c>
      <c r="M94" t="s">
        <v>7</v>
      </c>
      <c r="N94" t="s">
        <v>7</v>
      </c>
      <c r="P94">
        <f t="shared" ref="P94" si="445">IF(C94=D94,0,((E94-D94)-(C94-E94))/(C94-D94))</f>
        <v>-0.6559139784946233</v>
      </c>
      <c r="Q94">
        <f t="shared" ref="Q94" si="446">F94*P94</f>
        <v>-91870.13881720425</v>
      </c>
      <c r="R94">
        <f t="shared" ref="R94" si="447">R95+Q94</f>
        <v>-20246452.815208424</v>
      </c>
      <c r="S94">
        <f t="shared" ref="S94" si="448">R94/100000</f>
        <v>-202.46452815208423</v>
      </c>
      <c r="T94">
        <f t="shared" ref="T94" si="449">S94/1000</f>
        <v>-0.20246452815208424</v>
      </c>
    </row>
    <row r="95" spans="1:20" x14ac:dyDescent="0.25">
      <c r="A95" s="5">
        <v>44498</v>
      </c>
      <c r="B95">
        <v>18.09</v>
      </c>
      <c r="C95">
        <v>18.670000000000002</v>
      </c>
      <c r="D95">
        <v>17.82</v>
      </c>
      <c r="E95">
        <v>18.36</v>
      </c>
      <c r="F95">
        <v>103587.37</v>
      </c>
      <c r="G95">
        <v>18.36</v>
      </c>
      <c r="L95" t="s">
        <v>8</v>
      </c>
      <c r="M95" t="s">
        <v>7</v>
      </c>
      <c r="N95" t="s">
        <v>7</v>
      </c>
      <c r="P95">
        <f t="shared" ref="P95" si="450">IF(C95=D95,0,((E95-D95)-(C95-E95))/(C95-D95))</f>
        <v>0.27058823529411352</v>
      </c>
      <c r="Q95">
        <f t="shared" ref="Q95" si="451">F95*P95</f>
        <v>28029.523647058395</v>
      </c>
      <c r="R95">
        <f t="shared" ref="R95" si="452">R96+Q95</f>
        <v>-20154582.676391218</v>
      </c>
      <c r="S95">
        <f t="shared" ref="S95" si="453">R95/100000</f>
        <v>-201.54582676391217</v>
      </c>
      <c r="T95">
        <f t="shared" ref="T95" si="454">S95/1000</f>
        <v>-0.20154582676391217</v>
      </c>
    </row>
    <row r="96" spans="1:20" x14ac:dyDescent="0.25">
      <c r="A96" s="5">
        <v>44497</v>
      </c>
      <c r="B96">
        <v>17.36</v>
      </c>
      <c r="C96">
        <v>18.43</v>
      </c>
      <c r="D96">
        <v>17</v>
      </c>
      <c r="E96">
        <v>18.09</v>
      </c>
      <c r="F96">
        <v>140326.46</v>
      </c>
      <c r="G96">
        <v>18.09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0.52447552447552459</v>
      </c>
      <c r="Q96">
        <f t="shared" ref="Q96" si="456">F96*P96</f>
        <v>73597.793706293713</v>
      </c>
      <c r="R96">
        <f t="shared" ref="R96" si="457">R97+Q96</f>
        <v>-20182612.200038277</v>
      </c>
      <c r="S96">
        <f t="shared" ref="S96" si="458">R96/100000</f>
        <v>-201.82612200038275</v>
      </c>
      <c r="T96">
        <f t="shared" ref="T96" si="459">S96/1000</f>
        <v>-0.20182612200038275</v>
      </c>
    </row>
    <row r="97" spans="1:20" x14ac:dyDescent="0.25">
      <c r="A97" s="5">
        <v>44496</v>
      </c>
      <c r="B97">
        <v>19.04</v>
      </c>
      <c r="C97">
        <v>19.32</v>
      </c>
      <c r="D97">
        <v>17.32</v>
      </c>
      <c r="E97">
        <v>17.36</v>
      </c>
      <c r="F97">
        <v>227811.64</v>
      </c>
      <c r="G97">
        <v>17.36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-0.96000000000000085</v>
      </c>
      <c r="Q97">
        <f t="shared" ref="Q97" si="461">F97*P97</f>
        <v>-218699.17440000022</v>
      </c>
      <c r="R97">
        <f t="shared" ref="R97" si="462">R98+Q97</f>
        <v>-20256209.993744571</v>
      </c>
      <c r="S97">
        <f t="shared" ref="S97" si="463">R97/100000</f>
        <v>-202.56209993744571</v>
      </c>
      <c r="T97">
        <f t="shared" ref="T97" si="464">S97/1000</f>
        <v>-0.2025620999374457</v>
      </c>
    </row>
    <row r="98" spans="1:20" x14ac:dyDescent="0.25">
      <c r="A98" s="5">
        <v>44495</v>
      </c>
      <c r="B98">
        <v>19.5</v>
      </c>
      <c r="C98">
        <v>20.78</v>
      </c>
      <c r="D98">
        <v>18.850000000000001</v>
      </c>
      <c r="E98">
        <v>19.09</v>
      </c>
      <c r="F98">
        <v>206055.27</v>
      </c>
      <c r="G98">
        <v>19.09</v>
      </c>
      <c r="L98" t="s">
        <v>7</v>
      </c>
      <c r="M98" t="s">
        <v>8</v>
      </c>
      <c r="N98" t="s">
        <v>8</v>
      </c>
      <c r="P98">
        <f t="shared" ref="P98" si="465">IF(C98=D98,0,((E98-D98)-(C98-E98))/(C98-D98))</f>
        <v>-0.75129533678756633</v>
      </c>
      <c r="Q98">
        <f t="shared" ref="Q98" si="466">F98*P98</f>
        <v>-154808.3634715029</v>
      </c>
      <c r="R98">
        <f t="shared" ref="R98" si="467">R99+Q98</f>
        <v>-20037510.819344569</v>
      </c>
      <c r="S98">
        <f t="shared" ref="S98" si="468">R98/100000</f>
        <v>-200.3751081934457</v>
      </c>
      <c r="T98">
        <f t="shared" ref="T98" si="469">S98/1000</f>
        <v>-0.2003751081934457</v>
      </c>
    </row>
    <row r="99" spans="1:20" x14ac:dyDescent="0.25">
      <c r="A99" s="5">
        <v>44494</v>
      </c>
      <c r="B99">
        <v>18.28</v>
      </c>
      <c r="C99">
        <v>21.96</v>
      </c>
      <c r="D99">
        <v>18.18</v>
      </c>
      <c r="E99">
        <v>19.510000000000002</v>
      </c>
      <c r="F99">
        <v>402748.73</v>
      </c>
      <c r="G99">
        <v>19.510000000000002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-0.29629629629629556</v>
      </c>
      <c r="Q99">
        <f t="shared" ref="Q99" si="471">F99*P99</f>
        <v>-119332.95703703673</v>
      </c>
      <c r="R99">
        <f t="shared" ref="R99" si="472">R100+Q99</f>
        <v>-19882702.455873065</v>
      </c>
      <c r="S99">
        <f t="shared" ref="S99" si="473">R99/100000</f>
        <v>-198.82702455873064</v>
      </c>
      <c r="T99">
        <f t="shared" ref="T99" si="474">S99/1000</f>
        <v>-0.19882702455873064</v>
      </c>
    </row>
    <row r="100" spans="1:20" x14ac:dyDescent="0.25">
      <c r="A100" s="5">
        <v>44493</v>
      </c>
      <c r="B100">
        <v>18.850000000000001</v>
      </c>
      <c r="C100">
        <v>19.39</v>
      </c>
      <c r="D100">
        <v>18</v>
      </c>
      <c r="E100">
        <v>18.28</v>
      </c>
      <c r="F100">
        <v>126918.84</v>
      </c>
      <c r="G100">
        <v>18.28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-0.59712230215827189</v>
      </c>
      <c r="Q100">
        <f t="shared" ref="Q100" si="476">F100*P100</f>
        <v>-75786.069928057361</v>
      </c>
      <c r="R100">
        <f t="shared" ref="R100" si="477">R101+Q100</f>
        <v>-19763369.498836029</v>
      </c>
      <c r="S100">
        <f t="shared" ref="S100" si="478">R100/100000</f>
        <v>-197.6336949883603</v>
      </c>
      <c r="T100">
        <f t="shared" ref="T100" si="479">S100/1000</f>
        <v>-0.19763369498836031</v>
      </c>
    </row>
    <row r="101" spans="1:20" x14ac:dyDescent="0.25">
      <c r="A101" s="5">
        <v>44492</v>
      </c>
      <c r="B101">
        <v>18.96</v>
      </c>
      <c r="C101">
        <v>19.05</v>
      </c>
      <c r="D101">
        <v>18.55</v>
      </c>
      <c r="E101">
        <v>18.84</v>
      </c>
      <c r="F101">
        <v>107494.24</v>
      </c>
      <c r="G101">
        <v>18.84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0.15999999999999659</v>
      </c>
      <c r="Q101">
        <f t="shared" ref="Q101" si="481">F101*P101</f>
        <v>17199.078399999635</v>
      </c>
      <c r="R101">
        <f t="shared" ref="R101" si="482">R102+Q101</f>
        <v>-19687583.428907972</v>
      </c>
      <c r="S101">
        <f t="shared" ref="S101" si="483">R101/100000</f>
        <v>-196.87583428907971</v>
      </c>
      <c r="T101">
        <f t="shared" ref="T101" si="484">S101/1000</f>
        <v>-0.1968758342890797</v>
      </c>
    </row>
    <row r="102" spans="1:20" x14ac:dyDescent="0.25">
      <c r="A102" s="5">
        <v>44491</v>
      </c>
      <c r="B102">
        <v>19.43</v>
      </c>
      <c r="C102">
        <v>23.42</v>
      </c>
      <c r="D102">
        <v>18.79</v>
      </c>
      <c r="E102">
        <v>18.940000000000001</v>
      </c>
      <c r="F102">
        <v>705880.31</v>
      </c>
      <c r="G102">
        <v>18.940000000000001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-0.93520518358531224</v>
      </c>
      <c r="Q102">
        <f t="shared" ref="Q102" si="486">F102*P102</f>
        <v>-660142.92490280722</v>
      </c>
      <c r="R102">
        <f t="shared" ref="R102" si="487">R103+Q102</f>
        <v>-19704782.507307973</v>
      </c>
      <c r="S102">
        <f t="shared" ref="S102" si="488">R102/100000</f>
        <v>-197.04782507307974</v>
      </c>
      <c r="T102">
        <f t="shared" ref="T102" si="489">S102/1000</f>
        <v>-0.19704782507307975</v>
      </c>
    </row>
    <row r="103" spans="1:20" x14ac:dyDescent="0.25">
      <c r="A103" s="5">
        <v>44490</v>
      </c>
      <c r="B103">
        <v>19.11</v>
      </c>
      <c r="C103">
        <v>19.739999999999998</v>
      </c>
      <c r="D103">
        <v>18.91</v>
      </c>
      <c r="E103">
        <v>19.420000000000002</v>
      </c>
      <c r="F103">
        <v>176443.9</v>
      </c>
      <c r="G103">
        <v>19.420000000000002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0.2289156626506087</v>
      </c>
      <c r="Q103">
        <f t="shared" ref="Q103" si="491">F103*P103</f>
        <v>40390.772289157736</v>
      </c>
      <c r="R103">
        <f t="shared" ref="R103" si="492">R104+Q103</f>
        <v>-19044639.582405165</v>
      </c>
      <c r="S103">
        <f t="shared" ref="S103" si="493">R103/100000</f>
        <v>-190.44639582405165</v>
      </c>
      <c r="T103">
        <f t="shared" ref="T103" si="494">S103/1000</f>
        <v>-0.19044639582405165</v>
      </c>
    </row>
    <row r="104" spans="1:20" x14ac:dyDescent="0.25">
      <c r="A104" s="5">
        <v>44489</v>
      </c>
      <c r="B104">
        <v>18.59</v>
      </c>
      <c r="C104">
        <v>19.39</v>
      </c>
      <c r="D104">
        <v>18.5</v>
      </c>
      <c r="E104">
        <v>19.11</v>
      </c>
      <c r="F104">
        <v>145401.60999999999</v>
      </c>
      <c r="G104">
        <v>19.11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0.37078651685393044</v>
      </c>
      <c r="Q104">
        <f t="shared" ref="Q104" si="496">F104*P104</f>
        <v>53912.956516853614</v>
      </c>
      <c r="R104">
        <f t="shared" ref="R104" si="497">R105+Q104</f>
        <v>-19085030.354694322</v>
      </c>
      <c r="S104">
        <f t="shared" ref="S104" si="498">R104/100000</f>
        <v>-190.85030354694322</v>
      </c>
      <c r="T104">
        <f t="shared" ref="T104" si="499">S104/1000</f>
        <v>-0.19085030354694321</v>
      </c>
    </row>
    <row r="105" spans="1:20" x14ac:dyDescent="0.25">
      <c r="A105" s="5">
        <v>44488</v>
      </c>
      <c r="B105">
        <v>18.600000000000001</v>
      </c>
      <c r="C105">
        <v>18.89</v>
      </c>
      <c r="D105">
        <v>18.34</v>
      </c>
      <c r="E105">
        <v>18.579999999999998</v>
      </c>
      <c r="F105">
        <v>82848.850000000006</v>
      </c>
      <c r="G105">
        <v>18.579999999999998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-0.12727272727273409</v>
      </c>
      <c r="Q105">
        <f t="shared" ref="Q105" si="501">F105*P105</f>
        <v>-10544.399090909656</v>
      </c>
      <c r="R105">
        <f t="shared" ref="R105" si="502">R106+Q105</f>
        <v>-19138943.311211176</v>
      </c>
      <c r="S105">
        <f t="shared" ref="S105" si="503">R105/100000</f>
        <v>-191.38943311211176</v>
      </c>
      <c r="T105">
        <f t="shared" ref="T105" si="504">S105/1000</f>
        <v>-0.19138943311211176</v>
      </c>
    </row>
    <row r="106" spans="1:20" x14ac:dyDescent="0.25">
      <c r="A106" s="5">
        <v>44487</v>
      </c>
      <c r="B106">
        <v>19.2</v>
      </c>
      <c r="C106">
        <v>19.440000000000001</v>
      </c>
      <c r="D106">
        <v>18.28</v>
      </c>
      <c r="E106">
        <v>18.600000000000001</v>
      </c>
      <c r="F106">
        <v>111165.41</v>
      </c>
      <c r="G106">
        <v>18.600000000000001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-0.44827586206896508</v>
      </c>
      <c r="Q106">
        <f t="shared" ref="Q106" si="506">F106*P106</f>
        <v>-49832.769999999953</v>
      </c>
      <c r="R106">
        <f t="shared" ref="R106" si="507">R107+Q106</f>
        <v>-19128398.912120268</v>
      </c>
      <c r="S106">
        <f t="shared" ref="S106" si="508">R106/100000</f>
        <v>-191.28398912120267</v>
      </c>
      <c r="T106">
        <f t="shared" ref="T106" si="509">S106/1000</f>
        <v>-0.19128398912120267</v>
      </c>
    </row>
    <row r="107" spans="1:20" x14ac:dyDescent="0.25">
      <c r="A107" s="5">
        <v>44486</v>
      </c>
      <c r="B107">
        <v>19.059999999999999</v>
      </c>
      <c r="C107">
        <v>19.760000000000002</v>
      </c>
      <c r="D107">
        <v>18.3</v>
      </c>
      <c r="E107">
        <v>19.2</v>
      </c>
      <c r="F107">
        <v>228819.01</v>
      </c>
      <c r="G107">
        <v>19.2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0.23287671232876445</v>
      </c>
      <c r="Q107">
        <f t="shared" ref="Q107" si="511">F107*P107</f>
        <v>53286.61876712268</v>
      </c>
      <c r="R107">
        <f t="shared" ref="R107" si="512">R108+Q107</f>
        <v>-19078566.142120268</v>
      </c>
      <c r="S107">
        <f t="shared" ref="S107" si="513">R107/100000</f>
        <v>-190.78566142120269</v>
      </c>
      <c r="T107">
        <f t="shared" ref="T107" si="514">S107/1000</f>
        <v>-0.19078566142120268</v>
      </c>
    </row>
    <row r="108" spans="1:20" x14ac:dyDescent="0.25">
      <c r="A108" s="5">
        <v>44485</v>
      </c>
      <c r="B108">
        <v>19.21</v>
      </c>
      <c r="C108">
        <v>20</v>
      </c>
      <c r="D108">
        <v>18.510000000000002</v>
      </c>
      <c r="E108">
        <v>19.09</v>
      </c>
      <c r="F108">
        <v>210201.78</v>
      </c>
      <c r="G108">
        <v>19.09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-0.22147651006711558</v>
      </c>
      <c r="Q108">
        <f t="shared" ref="Q108" si="516">F108*P108</f>
        <v>-46554.756644295616</v>
      </c>
      <c r="R108">
        <f t="shared" ref="R108" si="517">R109+Q108</f>
        <v>-19131852.760887392</v>
      </c>
      <c r="S108">
        <f t="shared" ref="S108" si="518">R108/100000</f>
        <v>-191.31852760887392</v>
      </c>
      <c r="T108">
        <f t="shared" ref="T108" si="519">S108/1000</f>
        <v>-0.19131852760887391</v>
      </c>
    </row>
    <row r="109" spans="1:20" x14ac:dyDescent="0.25">
      <c r="A109" s="5">
        <v>44484</v>
      </c>
      <c r="B109">
        <v>18.72</v>
      </c>
      <c r="C109">
        <v>19.350000000000001</v>
      </c>
      <c r="D109">
        <v>18.059999999999999</v>
      </c>
      <c r="E109">
        <v>19.2</v>
      </c>
      <c r="F109">
        <v>223075.71</v>
      </c>
      <c r="G109">
        <v>19.2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0.76744186046511342</v>
      </c>
      <c r="Q109">
        <f t="shared" ref="Q109" si="521">F109*P109</f>
        <v>171197.6379069761</v>
      </c>
      <c r="R109">
        <f t="shared" ref="R109" si="522">R110+Q109</f>
        <v>-19085298.004243094</v>
      </c>
      <c r="S109">
        <f t="shared" ref="S109" si="523">R109/100000</f>
        <v>-190.85298004243094</v>
      </c>
      <c r="T109">
        <f t="shared" ref="T109" si="524">S109/1000</f>
        <v>-0.19085298004243095</v>
      </c>
    </row>
    <row r="110" spans="1:20" x14ac:dyDescent="0.25">
      <c r="A110" s="5">
        <v>44483</v>
      </c>
      <c r="B110">
        <v>18.28</v>
      </c>
      <c r="C110">
        <v>20.2</v>
      </c>
      <c r="D110">
        <v>18</v>
      </c>
      <c r="E110">
        <v>18.72</v>
      </c>
      <c r="F110">
        <v>268375.34999999998</v>
      </c>
      <c r="G110">
        <v>18.72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-0.34545454545454629</v>
      </c>
      <c r="Q110">
        <f t="shared" ref="Q110" si="526">F110*P110</f>
        <v>-92711.484545454761</v>
      </c>
      <c r="R110">
        <f t="shared" ref="R110" si="527">R111+Q110</f>
        <v>-19256495.642150071</v>
      </c>
      <c r="S110">
        <f t="shared" ref="S110" si="528">R110/100000</f>
        <v>-192.56495642150071</v>
      </c>
      <c r="T110">
        <f t="shared" ref="T110" si="529">S110/1000</f>
        <v>-0.1925649564215007</v>
      </c>
    </row>
    <row r="111" spans="1:20" x14ac:dyDescent="0.25">
      <c r="A111" s="5">
        <v>44482</v>
      </c>
      <c r="B111">
        <v>18.260000000000002</v>
      </c>
      <c r="C111">
        <v>18.899999999999999</v>
      </c>
      <c r="D111">
        <v>17.59</v>
      </c>
      <c r="E111">
        <v>18.23</v>
      </c>
      <c r="F111">
        <v>155910.76</v>
      </c>
      <c r="G111">
        <v>18.23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-2.2900763358776804E-2</v>
      </c>
      <c r="Q111">
        <f t="shared" ref="Q111" si="531">F111*P111</f>
        <v>-3570.4754198470446</v>
      </c>
      <c r="R111">
        <f t="shared" ref="R111" si="532">R112+Q111</f>
        <v>-19163784.157604616</v>
      </c>
      <c r="S111">
        <f t="shared" ref="S111" si="533">R111/100000</f>
        <v>-191.63784157604616</v>
      </c>
      <c r="T111">
        <f t="shared" ref="T111" si="534">S111/1000</f>
        <v>-0.19163784157604616</v>
      </c>
    </row>
    <row r="112" spans="1:20" x14ac:dyDescent="0.25">
      <c r="A112" s="5">
        <v>44481</v>
      </c>
      <c r="B112">
        <v>18.68</v>
      </c>
      <c r="C112">
        <v>18.93</v>
      </c>
      <c r="D112">
        <v>17.079999999999998</v>
      </c>
      <c r="E112">
        <v>18.239999999999998</v>
      </c>
      <c r="F112">
        <v>141521.41</v>
      </c>
      <c r="G112">
        <v>18.239999999999998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0.25405405405405324</v>
      </c>
      <c r="Q112">
        <f t="shared" ref="Q112" si="536">F112*P112</f>
        <v>35954.08794594583</v>
      </c>
      <c r="R112">
        <f t="shared" ref="R112" si="537">R113+Q112</f>
        <v>-19160213.682184771</v>
      </c>
      <c r="S112">
        <f t="shared" ref="S112" si="538">R112/100000</f>
        <v>-191.60213682184769</v>
      </c>
      <c r="T112">
        <f t="shared" ref="T112" si="539">S112/1000</f>
        <v>-0.19160213682184771</v>
      </c>
    </row>
    <row r="113" spans="1:20" x14ac:dyDescent="0.25">
      <c r="A113" s="5">
        <v>44480</v>
      </c>
      <c r="B113">
        <v>17.600000000000001</v>
      </c>
      <c r="C113">
        <v>19.38</v>
      </c>
      <c r="D113">
        <v>17.5</v>
      </c>
      <c r="E113">
        <v>18.690000000000001</v>
      </c>
      <c r="F113">
        <v>191871.06</v>
      </c>
      <c r="G113">
        <v>18.690000000000001</v>
      </c>
      <c r="L113" t="s">
        <v>8</v>
      </c>
      <c r="M113" t="s">
        <v>7</v>
      </c>
      <c r="N113" t="s">
        <v>8</v>
      </c>
      <c r="P113">
        <f t="shared" ref="P113" si="540">IF(C113=D113,0,((E113-D113)-(C113-E113))/(C113-D113))</f>
        <v>0.26595744680851269</v>
      </c>
      <c r="Q113">
        <f t="shared" ref="Q113" si="541">F113*P113</f>
        <v>51029.537234042946</v>
      </c>
      <c r="R113">
        <f t="shared" ref="R113" si="542">R114+Q113</f>
        <v>-19196167.770130716</v>
      </c>
      <c r="S113">
        <f t="shared" ref="S113" si="543">R113/100000</f>
        <v>-191.96167770130717</v>
      </c>
      <c r="T113">
        <f t="shared" ref="T113" si="544">S113/1000</f>
        <v>-0.19196167770130718</v>
      </c>
    </row>
    <row r="114" spans="1:20" x14ac:dyDescent="0.25">
      <c r="A114" s="5">
        <v>44479</v>
      </c>
      <c r="B114">
        <v>18.54</v>
      </c>
      <c r="C114">
        <v>18.8</v>
      </c>
      <c r="D114">
        <v>17.52</v>
      </c>
      <c r="E114">
        <v>17.600000000000001</v>
      </c>
      <c r="F114">
        <v>150420.99</v>
      </c>
      <c r="G114">
        <v>17.600000000000001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-0.87499999999999722</v>
      </c>
      <c r="Q114">
        <f t="shared" ref="Q114" si="546">F114*P114</f>
        <v>-131618.36624999958</v>
      </c>
      <c r="R114">
        <f t="shared" ref="R114" si="547">R115+Q114</f>
        <v>-19247197.307364758</v>
      </c>
      <c r="S114">
        <f t="shared" ref="S114" si="548">R114/100000</f>
        <v>-192.47197307364758</v>
      </c>
      <c r="T114">
        <f t="shared" ref="T114" si="549">S114/1000</f>
        <v>-0.19247197307364758</v>
      </c>
    </row>
    <row r="115" spans="1:20" x14ac:dyDescent="0.25">
      <c r="A115" s="5">
        <v>44478</v>
      </c>
      <c r="B115">
        <v>18.84</v>
      </c>
      <c r="C115">
        <v>19.010000000000002</v>
      </c>
      <c r="D115">
        <v>18.2</v>
      </c>
      <c r="E115">
        <v>18.52</v>
      </c>
      <c r="F115">
        <v>163360.1</v>
      </c>
      <c r="G115">
        <v>18.52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-0.20987654320987806</v>
      </c>
      <c r="Q115">
        <f t="shared" ref="Q115" si="551">F115*P115</f>
        <v>-34285.453086419999</v>
      </c>
      <c r="R115">
        <f t="shared" ref="R115" si="552">R116+Q115</f>
        <v>-19115578.941114757</v>
      </c>
      <c r="S115">
        <f t="shared" ref="S115" si="553">R115/100000</f>
        <v>-191.15578941114757</v>
      </c>
      <c r="T115">
        <f t="shared" ref="T115" si="554">S115/1000</f>
        <v>-0.19115578941114755</v>
      </c>
    </row>
    <row r="116" spans="1:20" x14ac:dyDescent="0.25">
      <c r="A116" s="5">
        <v>44477</v>
      </c>
      <c r="B116">
        <v>19.2</v>
      </c>
      <c r="C116">
        <v>19.510000000000002</v>
      </c>
      <c r="D116">
        <v>18.440000000000001</v>
      </c>
      <c r="E116">
        <v>18.809999999999999</v>
      </c>
      <c r="F116">
        <v>235223.08</v>
      </c>
      <c r="G116">
        <v>18.809999999999999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-0.308411214953276</v>
      </c>
      <c r="Q116">
        <f t="shared" ref="Q116" si="556">F116*P116</f>
        <v>-72545.435887851636</v>
      </c>
      <c r="R116">
        <f t="shared" ref="R116" si="557">R117+Q116</f>
        <v>-19081293.488028336</v>
      </c>
      <c r="S116">
        <f t="shared" ref="S116" si="558">R116/100000</f>
        <v>-190.81293488028336</v>
      </c>
      <c r="T116">
        <f t="shared" ref="T116" si="559">S116/1000</f>
        <v>-0.19081293488028336</v>
      </c>
    </row>
    <row r="117" spans="1:20" x14ac:dyDescent="0.25">
      <c r="A117" s="5">
        <v>44476</v>
      </c>
      <c r="B117">
        <v>18.32</v>
      </c>
      <c r="C117">
        <v>21.5</v>
      </c>
      <c r="D117">
        <v>18.100000000000001</v>
      </c>
      <c r="E117">
        <v>19.23</v>
      </c>
      <c r="F117">
        <v>716129.58</v>
      </c>
      <c r="G117">
        <v>19.23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-0.33529411764705913</v>
      </c>
      <c r="Q117">
        <f t="shared" ref="Q117" si="561">F117*P117</f>
        <v>-240114.03564705903</v>
      </c>
      <c r="R117">
        <f t="shared" ref="R117" si="562">R118+Q117</f>
        <v>-19008748.052140485</v>
      </c>
      <c r="S117">
        <f t="shared" ref="S117" si="563">R117/100000</f>
        <v>-190.08748052140484</v>
      </c>
      <c r="T117">
        <f t="shared" ref="T117" si="564">S117/1000</f>
        <v>-0.19008748052140484</v>
      </c>
    </row>
    <row r="118" spans="1:20" x14ac:dyDescent="0.25">
      <c r="A118" s="5">
        <v>44475</v>
      </c>
      <c r="B118">
        <v>17.510000000000002</v>
      </c>
      <c r="C118">
        <v>21.17</v>
      </c>
      <c r="D118">
        <v>16.97</v>
      </c>
      <c r="E118">
        <v>18.350000000000001</v>
      </c>
      <c r="F118">
        <v>1009641.7</v>
      </c>
      <c r="G118">
        <v>18.350000000000001</v>
      </c>
      <c r="L118" t="s">
        <v>8</v>
      </c>
      <c r="M118" t="s">
        <v>7</v>
      </c>
      <c r="N118" t="s">
        <v>8</v>
      </c>
      <c r="P118">
        <f t="shared" ref="P118" si="565">IF(C118=D118,0,((E118-D118)-(C118-E118))/(C118-D118))</f>
        <v>-0.34285714285714208</v>
      </c>
      <c r="Q118">
        <f t="shared" ref="Q118" si="566">F118*P118</f>
        <v>-346162.86857142777</v>
      </c>
      <c r="R118">
        <f t="shared" ref="R118" si="567">R119+Q118</f>
        <v>-18768634.016493425</v>
      </c>
      <c r="S118">
        <f t="shared" ref="S118" si="568">R118/100000</f>
        <v>-187.68634016493425</v>
      </c>
      <c r="T118">
        <f t="shared" ref="T118" si="569">S118/1000</f>
        <v>-0.18768634016493424</v>
      </c>
    </row>
    <row r="119" spans="1:20" x14ac:dyDescent="0.25">
      <c r="A119" s="5">
        <v>44474</v>
      </c>
      <c r="B119">
        <v>17.21</v>
      </c>
      <c r="C119">
        <v>20.64</v>
      </c>
      <c r="D119">
        <v>16.98</v>
      </c>
      <c r="E119">
        <v>17.52</v>
      </c>
      <c r="F119">
        <v>445649.06</v>
      </c>
      <c r="G119">
        <v>17.52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-0.7049180327868857</v>
      </c>
      <c r="Q119">
        <f t="shared" ref="Q119" si="571">F119*P119</f>
        <v>-314146.05868852476</v>
      </c>
      <c r="R119">
        <f t="shared" ref="R119" si="572">R120+Q119</f>
        <v>-18422471.147921998</v>
      </c>
      <c r="S119">
        <f t="shared" ref="S119" si="573">R119/100000</f>
        <v>-184.22471147921999</v>
      </c>
      <c r="T119">
        <f t="shared" ref="T119" si="574">S119/1000</f>
        <v>-0.18422471147921998</v>
      </c>
    </row>
    <row r="120" spans="1:20" x14ac:dyDescent="0.25">
      <c r="A120" s="5">
        <v>44473</v>
      </c>
      <c r="B120">
        <v>17.29</v>
      </c>
      <c r="C120">
        <v>17.96</v>
      </c>
      <c r="D120">
        <v>16.7</v>
      </c>
      <c r="E120">
        <v>17.18</v>
      </c>
      <c r="F120">
        <v>178322.8</v>
      </c>
      <c r="G120">
        <v>17.18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-0.23809523809523836</v>
      </c>
      <c r="Q120">
        <f t="shared" ref="Q120" si="576">F120*P120</f>
        <v>-42457.80952380957</v>
      </c>
      <c r="R120">
        <f t="shared" ref="R120" si="577">R121+Q120</f>
        <v>-18108325.089233473</v>
      </c>
      <c r="S120">
        <f t="shared" ref="S120" si="578">R120/100000</f>
        <v>-181.08325089233472</v>
      </c>
      <c r="T120">
        <f t="shared" ref="T120" si="579">S120/1000</f>
        <v>-0.18108325089233471</v>
      </c>
    </row>
    <row r="121" spans="1:20" x14ac:dyDescent="0.25">
      <c r="A121" s="5">
        <v>44472</v>
      </c>
      <c r="B121">
        <v>17.170000000000002</v>
      </c>
      <c r="C121">
        <v>17.98</v>
      </c>
      <c r="D121">
        <v>16.8</v>
      </c>
      <c r="E121">
        <v>17.46</v>
      </c>
      <c r="F121">
        <v>123202.57</v>
      </c>
      <c r="G121">
        <v>17.46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0.11864406779661069</v>
      </c>
      <c r="Q121">
        <f t="shared" ref="Q121" si="581">F121*P121</f>
        <v>14617.254067796675</v>
      </c>
      <c r="R121">
        <f t="shared" ref="R121" si="582">R122+Q121</f>
        <v>-18065867.279709663</v>
      </c>
      <c r="S121">
        <f t="shared" ref="S121" si="583">R121/100000</f>
        <v>-180.65867279709664</v>
      </c>
      <c r="T121">
        <f t="shared" ref="T121" si="584">S121/1000</f>
        <v>-0.18065867279709663</v>
      </c>
    </row>
    <row r="122" spans="1:20" x14ac:dyDescent="0.25">
      <c r="A122" s="5">
        <v>44471</v>
      </c>
      <c r="B122">
        <v>17.02</v>
      </c>
      <c r="C122">
        <v>17.690000000000001</v>
      </c>
      <c r="D122">
        <v>16.77</v>
      </c>
      <c r="E122">
        <v>17.190000000000001</v>
      </c>
      <c r="F122">
        <v>167933.14</v>
      </c>
      <c r="G122">
        <v>17.190000000000001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-8.695652173912842E-2</v>
      </c>
      <c r="Q122">
        <f t="shared" ref="Q122" si="586">F122*P122</f>
        <v>-14602.881739130098</v>
      </c>
      <c r="R122">
        <f t="shared" ref="R122" si="587">R123+Q122</f>
        <v>-18080484.53377746</v>
      </c>
      <c r="S122">
        <f t="shared" ref="S122" si="588">R122/100000</f>
        <v>-180.80484533777459</v>
      </c>
      <c r="T122">
        <f t="shared" ref="T122" si="589">S122/1000</f>
        <v>-0.18080484533777461</v>
      </c>
    </row>
    <row r="123" spans="1:20" x14ac:dyDescent="0.25">
      <c r="A123" s="5">
        <v>44470</v>
      </c>
      <c r="B123">
        <v>15.94</v>
      </c>
      <c r="C123">
        <v>17.41</v>
      </c>
      <c r="D123">
        <v>15.84</v>
      </c>
      <c r="E123">
        <v>17.02</v>
      </c>
      <c r="F123">
        <v>163182.54999999999</v>
      </c>
      <c r="G123">
        <v>17.02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0.50318471337579551</v>
      </c>
      <c r="Q123">
        <f t="shared" ref="Q123" si="591">F123*P123</f>
        <v>82110.964649681409</v>
      </c>
      <c r="R123">
        <f t="shared" ref="R123" si="592">R124+Q123</f>
        <v>-18065881.652038332</v>
      </c>
      <c r="S123">
        <f t="shared" ref="S123" si="593">R123/100000</f>
        <v>-180.65881652038331</v>
      </c>
      <c r="T123">
        <f t="shared" ref="T123" si="594">S123/1000</f>
        <v>-0.18065881652038332</v>
      </c>
    </row>
    <row r="124" spans="1:20" x14ac:dyDescent="0.25">
      <c r="A124" s="5">
        <v>44469</v>
      </c>
      <c r="B124">
        <v>15.39</v>
      </c>
      <c r="C124">
        <v>16.3</v>
      </c>
      <c r="D124">
        <v>15.34</v>
      </c>
      <c r="E124">
        <v>15.94</v>
      </c>
      <c r="F124">
        <v>94685.51</v>
      </c>
      <c r="G124">
        <v>15.94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0.24999999999999814</v>
      </c>
      <c r="Q124">
        <f t="shared" ref="Q124" si="596">F124*P124</f>
        <v>23671.377499999824</v>
      </c>
      <c r="R124">
        <f t="shared" ref="R124" si="597">R125+Q124</f>
        <v>-18147992.616688013</v>
      </c>
      <c r="S124">
        <f t="shared" ref="S124" si="598">R124/100000</f>
        <v>-181.47992616688012</v>
      </c>
      <c r="T124">
        <f t="shared" ref="T124" si="599">S124/1000</f>
        <v>-0.18147992616688011</v>
      </c>
    </row>
    <row r="125" spans="1:20" x14ac:dyDescent="0.25">
      <c r="A125" s="5">
        <v>44468</v>
      </c>
      <c r="B125">
        <v>15.3</v>
      </c>
      <c r="C125">
        <v>16.36</v>
      </c>
      <c r="D125">
        <v>15.01</v>
      </c>
      <c r="E125">
        <v>15.39</v>
      </c>
      <c r="F125">
        <v>143103.67000000001</v>
      </c>
      <c r="G125">
        <v>15.39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-0.43703703703703572</v>
      </c>
      <c r="Q125">
        <f t="shared" ref="Q125" si="601">F125*P125</f>
        <v>-62541.603925925745</v>
      </c>
      <c r="R125">
        <f t="shared" ref="R125" si="602">R126+Q125</f>
        <v>-18171663.994188014</v>
      </c>
      <c r="S125">
        <f t="shared" ref="S125" si="603">R125/100000</f>
        <v>-181.71663994188015</v>
      </c>
      <c r="T125">
        <f t="shared" ref="T125" si="604">S125/1000</f>
        <v>-0.18171663994188014</v>
      </c>
    </row>
    <row r="126" spans="1:20" x14ac:dyDescent="0.25">
      <c r="A126" s="5">
        <v>44467</v>
      </c>
      <c r="B126">
        <v>16.03</v>
      </c>
      <c r="C126">
        <v>16.43</v>
      </c>
      <c r="D126">
        <v>15.13</v>
      </c>
      <c r="E126">
        <v>15.3</v>
      </c>
      <c r="F126">
        <v>158779.54999999999</v>
      </c>
      <c r="G126">
        <v>15.3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-0.73846153846153839</v>
      </c>
      <c r="Q126">
        <f t="shared" ref="Q126" si="606">F126*P126</f>
        <v>-117252.59076923075</v>
      </c>
      <c r="R126">
        <f t="shared" ref="R126" si="607">R127+Q126</f>
        <v>-18109122.39026209</v>
      </c>
      <c r="S126">
        <f t="shared" ref="S126" si="608">R126/100000</f>
        <v>-181.0912239026209</v>
      </c>
      <c r="T126">
        <f t="shared" ref="T126" si="609">S126/1000</f>
        <v>-0.18109122390262089</v>
      </c>
    </row>
    <row r="127" spans="1:20" x14ac:dyDescent="0.25">
      <c r="A127" s="5">
        <v>44466</v>
      </c>
      <c r="B127">
        <v>16.3</v>
      </c>
      <c r="C127">
        <v>19.14</v>
      </c>
      <c r="D127">
        <v>16.03</v>
      </c>
      <c r="E127">
        <v>16.07</v>
      </c>
      <c r="F127">
        <v>463698.02</v>
      </c>
      <c r="G127">
        <v>16.07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-0.9742765273311903</v>
      </c>
      <c r="Q127">
        <f t="shared" ref="Q127" si="611">F127*P127</f>
        <v>-451770.09665594884</v>
      </c>
      <c r="R127">
        <f t="shared" ref="R127" si="612">R128+Q127</f>
        <v>-17991869.799492858</v>
      </c>
      <c r="S127">
        <f t="shared" ref="S127" si="613">R127/100000</f>
        <v>-179.91869799492858</v>
      </c>
      <c r="T127">
        <f t="shared" ref="T127" si="614">S127/1000</f>
        <v>-0.17991869799492857</v>
      </c>
    </row>
    <row r="128" spans="1:20" x14ac:dyDescent="0.25">
      <c r="A128" s="5">
        <v>44465</v>
      </c>
      <c r="B128">
        <v>15.99</v>
      </c>
      <c r="C128">
        <v>17.22</v>
      </c>
      <c r="D128">
        <v>15.02</v>
      </c>
      <c r="E128">
        <v>16.28</v>
      </c>
      <c r="F128">
        <v>220952.85</v>
      </c>
      <c r="G128">
        <v>16.28</v>
      </c>
      <c r="L128" t="s">
        <v>8</v>
      </c>
      <c r="M128" t="s">
        <v>8</v>
      </c>
      <c r="N128" t="s">
        <v>7</v>
      </c>
      <c r="P128">
        <f t="shared" ref="P128" si="615">IF(C128=D128,0,((E128-D128)-(C128-E128))/(C128-D128))</f>
        <v>0.14545454545454725</v>
      </c>
      <c r="Q128">
        <f t="shared" ref="Q128" si="616">F128*P128</f>
        <v>32138.596363636763</v>
      </c>
      <c r="R128">
        <f t="shared" ref="R128" si="617">R129+Q128</f>
        <v>-17540099.702836908</v>
      </c>
      <c r="S128">
        <f t="shared" ref="S128" si="618">R128/100000</f>
        <v>-175.40099702836909</v>
      </c>
      <c r="T128">
        <f t="shared" ref="T128" si="619">S128/1000</f>
        <v>-0.17540099702836909</v>
      </c>
    </row>
    <row r="129" spans="1:20" x14ac:dyDescent="0.25">
      <c r="A129" s="5">
        <v>44464</v>
      </c>
      <c r="B129">
        <v>15.88</v>
      </c>
      <c r="C129">
        <v>16.79</v>
      </c>
      <c r="D129">
        <v>15.44</v>
      </c>
      <c r="E129">
        <v>16</v>
      </c>
      <c r="F129">
        <v>106150.8</v>
      </c>
      <c r="G129">
        <v>16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-0.17037037037036942</v>
      </c>
      <c r="Q129">
        <f t="shared" ref="Q129" si="621">F129*P129</f>
        <v>-18084.951111111011</v>
      </c>
      <c r="R129">
        <f t="shared" ref="R129" si="622">R130+Q129</f>
        <v>-17572238.299200546</v>
      </c>
      <c r="S129">
        <f t="shared" ref="S129" si="623">R129/100000</f>
        <v>-175.72238299200546</v>
      </c>
      <c r="T129">
        <f t="shared" ref="T129" si="624">S129/1000</f>
        <v>-0.17572238299200546</v>
      </c>
    </row>
    <row r="130" spans="1:20" x14ac:dyDescent="0.25">
      <c r="A130" s="5">
        <v>44463</v>
      </c>
      <c r="B130">
        <v>17.39</v>
      </c>
      <c r="C130">
        <v>17.57</v>
      </c>
      <c r="D130">
        <v>14.96</v>
      </c>
      <c r="E130">
        <v>15.88</v>
      </c>
      <c r="F130">
        <v>180914.9</v>
      </c>
      <c r="G130">
        <v>15.88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-0.29501915708812249</v>
      </c>
      <c r="Q130">
        <f t="shared" ref="Q130" si="626">F130*P130</f>
        <v>-53373.361302681966</v>
      </c>
      <c r="R130">
        <f t="shared" ref="R130" si="627">R131+Q130</f>
        <v>-17554153.348089434</v>
      </c>
      <c r="S130">
        <f t="shared" ref="S130" si="628">R130/100000</f>
        <v>-175.54153348089434</v>
      </c>
      <c r="T130">
        <f t="shared" ref="T130" si="629">S130/1000</f>
        <v>-0.17554153348089435</v>
      </c>
    </row>
    <row r="131" spans="1:20" x14ac:dyDescent="0.25">
      <c r="A131" s="5">
        <v>44462</v>
      </c>
      <c r="B131">
        <v>16.559999999999999</v>
      </c>
      <c r="C131">
        <v>17.78</v>
      </c>
      <c r="D131">
        <v>16.3</v>
      </c>
      <c r="E131">
        <v>17.38</v>
      </c>
      <c r="F131">
        <v>168440.23</v>
      </c>
      <c r="G131">
        <v>17.38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0.45945945945945671</v>
      </c>
      <c r="Q131">
        <f t="shared" ref="Q131" si="631">F131*P131</f>
        <v>77391.457027026569</v>
      </c>
      <c r="R131">
        <f t="shared" ref="R131" si="632">R132+Q131</f>
        <v>-17500779.986786753</v>
      </c>
      <c r="S131">
        <f t="shared" ref="S131" si="633">R131/100000</f>
        <v>-175.00779986786753</v>
      </c>
      <c r="T131">
        <f t="shared" ref="T131" si="634">S131/1000</f>
        <v>-0.17500779986786752</v>
      </c>
    </row>
    <row r="132" spans="1:20" x14ac:dyDescent="0.25">
      <c r="A132" s="5">
        <v>44461</v>
      </c>
      <c r="B132">
        <v>14.77</v>
      </c>
      <c r="C132">
        <v>17.45</v>
      </c>
      <c r="D132">
        <v>14.67</v>
      </c>
      <c r="E132">
        <v>16.600000000000001</v>
      </c>
      <c r="F132">
        <v>259049.60000000001</v>
      </c>
      <c r="G132">
        <v>16.600000000000001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0.38848920863309494</v>
      </c>
      <c r="Q132">
        <f t="shared" ref="Q132" si="636">F132*P132</f>
        <v>100637.97410071979</v>
      </c>
      <c r="R132">
        <f t="shared" ref="R132" si="637">R133+Q132</f>
        <v>-17578171.443813778</v>
      </c>
      <c r="S132">
        <f t="shared" ref="S132" si="638">R132/100000</f>
        <v>-175.78171443813778</v>
      </c>
      <c r="T132">
        <f t="shared" ref="T132" si="639">S132/1000</f>
        <v>-0.17578171443813778</v>
      </c>
    </row>
    <row r="133" spans="1:20" x14ac:dyDescent="0.25">
      <c r="A133" s="5">
        <v>44460</v>
      </c>
      <c r="B133">
        <v>15.8</v>
      </c>
      <c r="C133">
        <v>17.14</v>
      </c>
      <c r="D133">
        <v>14.56</v>
      </c>
      <c r="E133">
        <v>14.76</v>
      </c>
      <c r="F133">
        <v>151689.13</v>
      </c>
      <c r="G133">
        <v>14.76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-0.84496124031007802</v>
      </c>
      <c r="Q133">
        <f t="shared" ref="Q133" si="641">F133*P133</f>
        <v>-128171.43542635666</v>
      </c>
      <c r="R133">
        <f t="shared" ref="R133" si="642">R134+Q133</f>
        <v>-17678809.417914499</v>
      </c>
      <c r="S133">
        <f t="shared" ref="S133" si="643">R133/100000</f>
        <v>-176.78809417914499</v>
      </c>
      <c r="T133">
        <f t="shared" ref="T133" si="644">S133/1000</f>
        <v>-0.17678809417914498</v>
      </c>
    </row>
    <row r="134" spans="1:20" x14ac:dyDescent="0.25">
      <c r="A134" s="5">
        <v>44459</v>
      </c>
      <c r="B134">
        <v>18.989999999999998</v>
      </c>
      <c r="C134">
        <v>19</v>
      </c>
      <c r="D134">
        <v>17</v>
      </c>
      <c r="E134">
        <v>17.21</v>
      </c>
      <c r="F134">
        <v>71768.67</v>
      </c>
      <c r="G134">
        <v>17.21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-0.78999999999999915</v>
      </c>
      <c r="Q134">
        <f t="shared" ref="Q134" si="646">F134*P134</f>
        <v>-56697.249299999938</v>
      </c>
      <c r="R134">
        <f t="shared" ref="R134" si="647">R135+Q134</f>
        <v>-17550637.98248814</v>
      </c>
      <c r="S134">
        <f t="shared" ref="S134" si="648">R134/100000</f>
        <v>-175.50637982488141</v>
      </c>
      <c r="T134">
        <f t="shared" ref="T134" si="649">S134/1000</f>
        <v>-0.1755063798248814</v>
      </c>
    </row>
    <row r="135" spans="1:20" x14ac:dyDescent="0.25">
      <c r="A135" s="5">
        <v>44458</v>
      </c>
      <c r="B135">
        <v>19.149999999999999</v>
      </c>
      <c r="C135">
        <v>19.48</v>
      </c>
      <c r="D135">
        <v>18.53</v>
      </c>
      <c r="E135">
        <v>19</v>
      </c>
      <c r="F135">
        <v>102412.66</v>
      </c>
      <c r="G135">
        <v>19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-1.0526315789475337E-2</v>
      </c>
      <c r="Q135">
        <f t="shared" ref="Q135" si="651">F135*P135</f>
        <v>-1078.0280000001694</v>
      </c>
      <c r="R135">
        <f t="shared" ref="R135" si="652">R136+Q135</f>
        <v>-17493940.733188141</v>
      </c>
      <c r="S135">
        <f t="shared" ref="S135" si="653">R135/100000</f>
        <v>-174.9394073318814</v>
      </c>
      <c r="T135">
        <f t="shared" ref="T135" si="654">S135/1000</f>
        <v>-0.1749394073318814</v>
      </c>
    </row>
    <row r="136" spans="1:20" x14ac:dyDescent="0.25">
      <c r="A136" s="5">
        <v>44457</v>
      </c>
      <c r="B136">
        <v>18.350000000000001</v>
      </c>
      <c r="C136">
        <v>21.98</v>
      </c>
      <c r="D136">
        <v>18.239999999999998</v>
      </c>
      <c r="E136">
        <v>19.11</v>
      </c>
      <c r="F136">
        <v>533243.81000000006</v>
      </c>
      <c r="G136">
        <v>19.11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-0.53475935828876975</v>
      </c>
      <c r="Q136">
        <f t="shared" ref="Q136" si="656">F136*P136</f>
        <v>-285157.11764705868</v>
      </c>
      <c r="R136">
        <f t="shared" ref="R136" si="657">R137+Q136</f>
        <v>-17492862.70518814</v>
      </c>
      <c r="S136">
        <f t="shared" ref="S136" si="658">R136/100000</f>
        <v>-174.92862705188139</v>
      </c>
      <c r="T136">
        <f t="shared" ref="T136" si="659">S136/1000</f>
        <v>-0.17492862705188139</v>
      </c>
    </row>
    <row r="137" spans="1:20" x14ac:dyDescent="0.25">
      <c r="A137" s="5">
        <v>44456</v>
      </c>
      <c r="B137">
        <v>18.59</v>
      </c>
      <c r="C137">
        <v>19.809999999999999</v>
      </c>
      <c r="D137">
        <v>18.02</v>
      </c>
      <c r="E137">
        <v>18.37</v>
      </c>
      <c r="F137">
        <v>258401.42</v>
      </c>
      <c r="G137">
        <v>18.37</v>
      </c>
      <c r="L137" t="s">
        <v>8</v>
      </c>
      <c r="M137" t="s">
        <v>8</v>
      </c>
      <c r="N137" t="s">
        <v>8</v>
      </c>
      <c r="P137">
        <f t="shared" ref="P137" si="660">IF(C137=D137,0,((E137-D137)-(C137-E137))/(C137-D137))</f>
        <v>-0.60893854748603171</v>
      </c>
      <c r="Q137">
        <f t="shared" ref="Q137" si="661">F137*P137</f>
        <v>-157350.58536312802</v>
      </c>
      <c r="R137">
        <f t="shared" ref="R137" si="662">R138+Q137</f>
        <v>-17207705.587541081</v>
      </c>
      <c r="S137">
        <f t="shared" ref="S137" si="663">R137/100000</f>
        <v>-172.07705587541082</v>
      </c>
      <c r="T137">
        <f t="shared" ref="T137" si="664">S137/1000</f>
        <v>-0.17207705587541083</v>
      </c>
    </row>
    <row r="138" spans="1:20" x14ac:dyDescent="0.25">
      <c r="A138" s="5">
        <v>44455</v>
      </c>
      <c r="B138">
        <v>19.22</v>
      </c>
      <c r="C138">
        <v>19.399999999999999</v>
      </c>
      <c r="D138">
        <v>18.07</v>
      </c>
      <c r="E138">
        <v>18.59</v>
      </c>
      <c r="F138">
        <v>136509.07</v>
      </c>
      <c r="G138">
        <v>18.59</v>
      </c>
      <c r="L138" t="s">
        <v>7</v>
      </c>
      <c r="M138" t="s">
        <v>8</v>
      </c>
      <c r="N138" t="s">
        <v>8</v>
      </c>
      <c r="P138">
        <f t="shared" ref="P138" si="665">IF(C138=D138,0,((E138-D138)-(C138-E138))/(C138-D138))</f>
        <v>-0.21804511278195451</v>
      </c>
      <c r="Q138">
        <f t="shared" ref="Q138" si="666">F138*P138</f>
        <v>-29765.135563909724</v>
      </c>
      <c r="R138">
        <f t="shared" ref="R138" si="667">R139+Q138</f>
        <v>-17050355.002177954</v>
      </c>
      <c r="S138">
        <f t="shared" ref="S138" si="668">R138/100000</f>
        <v>-170.50355002177955</v>
      </c>
      <c r="T138">
        <f t="shared" ref="T138" si="669">S138/1000</f>
        <v>-0.17050355002177955</v>
      </c>
    </row>
    <row r="139" spans="1:20" x14ac:dyDescent="0.25">
      <c r="A139" s="5">
        <v>44454</v>
      </c>
      <c r="B139">
        <v>18.309999999999999</v>
      </c>
      <c r="C139">
        <v>19.850000000000001</v>
      </c>
      <c r="D139">
        <v>18.29</v>
      </c>
      <c r="E139">
        <v>19.2</v>
      </c>
      <c r="F139">
        <v>195495.11</v>
      </c>
      <c r="G139">
        <v>19.2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0.16666666666666516</v>
      </c>
      <c r="Q139">
        <f t="shared" ref="Q139" si="671">F139*P139</f>
        <v>32582.518333333035</v>
      </c>
      <c r="R139">
        <f t="shared" ref="R139" si="672">R140+Q139</f>
        <v>-17020589.866614044</v>
      </c>
      <c r="S139">
        <f t="shared" ref="S139" si="673">R139/100000</f>
        <v>-170.20589866614043</v>
      </c>
      <c r="T139">
        <f t="shared" ref="T139" si="674">S139/1000</f>
        <v>-0.17020589866614041</v>
      </c>
    </row>
    <row r="140" spans="1:20" x14ac:dyDescent="0.25">
      <c r="A140" s="5">
        <v>44453</v>
      </c>
      <c r="B140">
        <v>17.62</v>
      </c>
      <c r="C140">
        <v>18.7</v>
      </c>
      <c r="D140">
        <v>17.3</v>
      </c>
      <c r="E140">
        <v>18.28</v>
      </c>
      <c r="F140">
        <v>175745.37</v>
      </c>
      <c r="G140">
        <v>18.28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0.40000000000000202</v>
      </c>
      <c r="Q140">
        <f t="shared" ref="Q140" si="676">F140*P140</f>
        <v>70298.14800000035</v>
      </c>
      <c r="R140">
        <f t="shared" ref="R140" si="677">R141+Q140</f>
        <v>-17053172.384947378</v>
      </c>
      <c r="S140">
        <f t="shared" ref="S140" si="678">R140/100000</f>
        <v>-170.53172384947379</v>
      </c>
      <c r="T140">
        <f t="shared" ref="T140" si="679">S140/1000</f>
        <v>-0.17053172384947379</v>
      </c>
    </row>
    <row r="141" spans="1:20" x14ac:dyDescent="0.25">
      <c r="A141" s="5">
        <v>44452</v>
      </c>
      <c r="B141">
        <v>18.36</v>
      </c>
      <c r="C141">
        <v>18.37</v>
      </c>
      <c r="D141">
        <v>16.309999999999999</v>
      </c>
      <c r="E141">
        <v>17.63</v>
      </c>
      <c r="F141">
        <v>166541.47</v>
      </c>
      <c r="G141">
        <v>17.63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0.2815533980582513</v>
      </c>
      <c r="Q141">
        <f t="shared" ref="Q141" si="681">F141*P141</f>
        <v>46890.31679611632</v>
      </c>
      <c r="R141">
        <f t="shared" ref="R141" si="682">R142+Q141</f>
        <v>-17123470.53294738</v>
      </c>
      <c r="S141">
        <f t="shared" ref="S141" si="683">R141/100000</f>
        <v>-171.2347053294738</v>
      </c>
      <c r="T141">
        <f t="shared" ref="T141" si="684">S141/1000</f>
        <v>-0.1712347053294738</v>
      </c>
    </row>
    <row r="142" spans="1:20" x14ac:dyDescent="0.25">
      <c r="A142" s="5">
        <v>44451</v>
      </c>
      <c r="B142">
        <v>18.07</v>
      </c>
      <c r="C142">
        <v>18.93</v>
      </c>
      <c r="D142">
        <v>17.8</v>
      </c>
      <c r="E142">
        <v>18.37</v>
      </c>
      <c r="F142">
        <v>143302.94</v>
      </c>
      <c r="G142">
        <v>18.37</v>
      </c>
      <c r="L142" t="s">
        <v>7</v>
      </c>
      <c r="M142" t="s">
        <v>7</v>
      </c>
      <c r="N142" t="s">
        <v>8</v>
      </c>
      <c r="P142">
        <f t="shared" ref="P142" si="685">IF(C142=D142,0,((E142-D142)-(C142-E142))/(C142-D142))</f>
        <v>8.8495575221252849E-3</v>
      </c>
      <c r="Q142">
        <f t="shared" ref="Q142" si="686">F142*P142</f>
        <v>1268.1676106196685</v>
      </c>
      <c r="R142">
        <f t="shared" ref="R142" si="687">R143+Q142</f>
        <v>-17170360.849743497</v>
      </c>
      <c r="S142">
        <f t="shared" ref="S142" si="688">R142/100000</f>
        <v>-171.70360849743497</v>
      </c>
      <c r="T142">
        <f t="shared" ref="T142" si="689">S142/1000</f>
        <v>-0.17170360849743496</v>
      </c>
    </row>
    <row r="143" spans="1:20" x14ac:dyDescent="0.25">
      <c r="A143" s="5">
        <v>44450</v>
      </c>
      <c r="B143">
        <v>17.91</v>
      </c>
      <c r="C143">
        <v>19.47</v>
      </c>
      <c r="D143">
        <v>17.73</v>
      </c>
      <c r="E143">
        <v>18.07</v>
      </c>
      <c r="F143">
        <v>162997.1</v>
      </c>
      <c r="G143">
        <v>18.07</v>
      </c>
      <c r="L143" t="s">
        <v>8</v>
      </c>
      <c r="M143" t="s">
        <v>7</v>
      </c>
      <c r="N143" t="s">
        <v>8</v>
      </c>
      <c r="P143">
        <f t="shared" ref="P143" si="690">IF(C143=D143,0,((E143-D143)-(C143-E143))/(C143-D143))</f>
        <v>-0.60919540229885039</v>
      </c>
      <c r="Q143">
        <f t="shared" ref="Q143" si="691">F143*P143</f>
        <v>-99297.083908045955</v>
      </c>
      <c r="R143">
        <f t="shared" ref="R143" si="692">R144+Q143</f>
        <v>-17171629.017354116</v>
      </c>
      <c r="S143">
        <f t="shared" ref="S143" si="693">R143/100000</f>
        <v>-171.71629017354115</v>
      </c>
      <c r="T143">
        <f t="shared" ref="T143" si="694">S143/1000</f>
        <v>-0.17171629017354115</v>
      </c>
    </row>
    <row r="144" spans="1:20" x14ac:dyDescent="0.25">
      <c r="A144" s="5">
        <v>44449</v>
      </c>
      <c r="B144">
        <v>19.13</v>
      </c>
      <c r="C144">
        <v>20.8</v>
      </c>
      <c r="D144">
        <v>17.43</v>
      </c>
      <c r="E144">
        <v>17.88</v>
      </c>
      <c r="F144">
        <v>282171.64</v>
      </c>
      <c r="G144">
        <v>17.88</v>
      </c>
      <c r="L144" t="s">
        <v>7</v>
      </c>
      <c r="M144" t="s">
        <v>7</v>
      </c>
      <c r="N144" t="s">
        <v>8</v>
      </c>
      <c r="P144">
        <f t="shared" ref="P144" si="695">IF(C144=D144,0,((E144-D144)-(C144-E144))/(C144-D144))</f>
        <v>-0.7329376854599412</v>
      </c>
      <c r="Q144">
        <f t="shared" ref="Q144" si="696">F144*P144</f>
        <v>-206814.22872403578</v>
      </c>
      <c r="R144">
        <f t="shared" ref="R144" si="697">R145+Q144</f>
        <v>-17072331.933446068</v>
      </c>
      <c r="S144">
        <f t="shared" ref="S144" si="698">R144/100000</f>
        <v>-170.72331933446068</v>
      </c>
      <c r="T144">
        <f t="shared" ref="T144" si="699">S144/1000</f>
        <v>-0.17072331933446069</v>
      </c>
    </row>
    <row r="145" spans="1:20" x14ac:dyDescent="0.25">
      <c r="A145" s="5">
        <v>44448</v>
      </c>
      <c r="B145">
        <v>18.84</v>
      </c>
      <c r="C145">
        <v>20.98</v>
      </c>
      <c r="D145">
        <v>18.5</v>
      </c>
      <c r="E145">
        <v>19.079999999999998</v>
      </c>
      <c r="F145">
        <v>415467.87</v>
      </c>
      <c r="G145">
        <v>19.079999999999998</v>
      </c>
      <c r="L145" t="s">
        <v>7</v>
      </c>
      <c r="M145" t="s">
        <v>7</v>
      </c>
      <c r="N145" t="s">
        <v>8</v>
      </c>
      <c r="P145">
        <f t="shared" ref="P145" si="700">IF(C145=D145,0,((E145-D145)-(C145-E145))/(C145-D145))</f>
        <v>-0.53225806451613045</v>
      </c>
      <c r="Q145">
        <f t="shared" ref="Q145" si="701">F145*P145</f>
        <v>-221136.1243548393</v>
      </c>
      <c r="R145">
        <f t="shared" ref="R145" si="702">R146+Q145</f>
        <v>-16865517.704722032</v>
      </c>
      <c r="S145">
        <f t="shared" ref="S145" si="703">R145/100000</f>
        <v>-168.65517704722032</v>
      </c>
      <c r="T145">
        <f t="shared" ref="T145" si="704">S145/1000</f>
        <v>-0.16865517704722033</v>
      </c>
    </row>
    <row r="146" spans="1:20" x14ac:dyDescent="0.25">
      <c r="A146" s="5">
        <v>44447</v>
      </c>
      <c r="B146">
        <v>18.21</v>
      </c>
      <c r="C146">
        <v>21.88</v>
      </c>
      <c r="D146">
        <v>16.61</v>
      </c>
      <c r="E146">
        <v>18.84</v>
      </c>
      <c r="F146">
        <v>926909.66</v>
      </c>
      <c r="G146">
        <v>18.84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-0.15370018975332045</v>
      </c>
      <c r="Q146">
        <f t="shared" ref="Q146" si="706">F146*P146</f>
        <v>-142466.19062618574</v>
      </c>
      <c r="R146">
        <f t="shared" ref="R146" si="707">R147+Q146</f>
        <v>-16644381.580367193</v>
      </c>
      <c r="S146">
        <f t="shared" ref="S146" si="708">R146/100000</f>
        <v>-166.44381580367192</v>
      </c>
      <c r="T146">
        <f t="shared" ref="T146" si="709">S146/1000</f>
        <v>-0.16644381580367193</v>
      </c>
    </row>
    <row r="147" spans="1:20" x14ac:dyDescent="0.25">
      <c r="A147" s="5">
        <v>44446</v>
      </c>
      <c r="B147">
        <v>21.67</v>
      </c>
      <c r="C147">
        <v>24.18</v>
      </c>
      <c r="D147">
        <v>14.73</v>
      </c>
      <c r="E147">
        <v>18.21</v>
      </c>
      <c r="F147">
        <v>1032975.503</v>
      </c>
      <c r="G147">
        <v>18.21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-0.26349206349206333</v>
      </c>
      <c r="Q147">
        <f t="shared" ref="Q147" si="711">F147*P147</f>
        <v>-272180.84682222205</v>
      </c>
      <c r="R147">
        <f t="shared" ref="R147" si="712">R148+Q147</f>
        <v>-16501915.389741007</v>
      </c>
      <c r="S147">
        <f t="shared" ref="S147" si="713">R147/100000</f>
        <v>-165.01915389741006</v>
      </c>
      <c r="T147">
        <f t="shared" ref="T147" si="714">S147/1000</f>
        <v>-0.16501915389741006</v>
      </c>
    </row>
    <row r="148" spans="1:20" x14ac:dyDescent="0.25">
      <c r="A148" s="5">
        <v>44445</v>
      </c>
      <c r="B148">
        <v>22.22</v>
      </c>
      <c r="C148">
        <v>22.8</v>
      </c>
      <c r="D148">
        <v>20.91</v>
      </c>
      <c r="E148">
        <v>21.64</v>
      </c>
      <c r="F148">
        <v>543761.1</v>
      </c>
      <c r="G148">
        <v>21.64</v>
      </c>
      <c r="L148" t="s">
        <v>7</v>
      </c>
      <c r="M148" t="s">
        <v>7</v>
      </c>
      <c r="N148" t="s">
        <v>7</v>
      </c>
      <c r="P148">
        <f t="shared" ref="P148" si="715">IF(C148=D148,0,((E148-D148)-(C148-E148))/(C148-D148))</f>
        <v>-0.22751322751322731</v>
      </c>
      <c r="Q148">
        <f t="shared" ref="Q148" si="716">F148*P148</f>
        <v>-123712.84285714274</v>
      </c>
      <c r="R148">
        <f t="shared" ref="R148" si="717">R149+Q148</f>
        <v>-16229734.542918785</v>
      </c>
      <c r="S148">
        <f t="shared" ref="S148" si="718">R148/100000</f>
        <v>-162.29734542918786</v>
      </c>
      <c r="T148">
        <f t="shared" ref="T148" si="719">S148/1000</f>
        <v>-0.16229734542918786</v>
      </c>
    </row>
    <row r="149" spans="1:20" x14ac:dyDescent="0.25">
      <c r="A149" s="5">
        <v>44444</v>
      </c>
      <c r="B149">
        <v>23.56</v>
      </c>
      <c r="C149">
        <v>24.67</v>
      </c>
      <c r="D149">
        <v>21.51</v>
      </c>
      <c r="E149">
        <v>22.22</v>
      </c>
      <c r="F149">
        <v>645947.43999999994</v>
      </c>
      <c r="G149">
        <v>22.22</v>
      </c>
      <c r="L149" t="s">
        <v>7</v>
      </c>
      <c r="M149" t="s">
        <v>7</v>
      </c>
      <c r="N149" t="s">
        <v>7</v>
      </c>
      <c r="P149">
        <f t="shared" ref="P149" si="720">IF(C149=D149,0,((E149-D149)-(C149-E149))/(C149-D149))</f>
        <v>-0.55063291139240678</v>
      </c>
      <c r="Q149">
        <f t="shared" ref="Q149" si="721">F149*P149</f>
        <v>-355679.91949367197</v>
      </c>
      <c r="R149">
        <f t="shared" ref="R149" si="722">R150+Q149</f>
        <v>-16106021.700061642</v>
      </c>
      <c r="S149">
        <f t="shared" ref="S149" si="723">R149/100000</f>
        <v>-161.0602170006164</v>
      </c>
      <c r="T149">
        <f t="shared" ref="T149" si="724">S149/1000</f>
        <v>-0.1610602170006164</v>
      </c>
    </row>
    <row r="150" spans="1:20" x14ac:dyDescent="0.25">
      <c r="A150" s="5">
        <v>44443</v>
      </c>
      <c r="B150">
        <v>25</v>
      </c>
      <c r="C150">
        <v>28.68</v>
      </c>
      <c r="D150">
        <v>23</v>
      </c>
      <c r="E150">
        <v>23.56</v>
      </c>
      <c r="F150">
        <v>1935162.09</v>
      </c>
      <c r="G150">
        <v>23.56</v>
      </c>
      <c r="L150" t="s">
        <v>7</v>
      </c>
      <c r="M150" t="s">
        <v>7</v>
      </c>
      <c r="N150" t="s">
        <v>7</v>
      </c>
      <c r="P150">
        <f t="shared" ref="P150" si="725">IF(C150=D150,0,((E150-D150)-(C150-E150))/(C150-D150))</f>
        <v>-0.80281690140845119</v>
      </c>
      <c r="Q150">
        <f t="shared" ref="Q150" si="726">F150*P150</f>
        <v>-1553580.8328169023</v>
      </c>
      <c r="R150">
        <f t="shared" ref="R150" si="727">R151+Q150</f>
        <v>-15750341.78056797</v>
      </c>
      <c r="S150">
        <f t="shared" ref="S150" si="728">R150/100000</f>
        <v>-157.5034178056797</v>
      </c>
      <c r="T150">
        <f t="shared" ref="T150" si="729">S150/1000</f>
        <v>-0.1575034178056797</v>
      </c>
    </row>
    <row r="151" spans="1:20" x14ac:dyDescent="0.25">
      <c r="A151" s="5">
        <v>44442</v>
      </c>
      <c r="B151">
        <v>18.559999999999999</v>
      </c>
      <c r="C151">
        <v>34.56</v>
      </c>
      <c r="D151">
        <v>18.25</v>
      </c>
      <c r="E151">
        <v>24.95</v>
      </c>
      <c r="F151">
        <v>4460612.6179999998</v>
      </c>
      <c r="G151">
        <v>24.95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-0.17841814837523012</v>
      </c>
      <c r="Q151">
        <f t="shared" ref="Q151" si="731">F151*P151</f>
        <v>-795854.24392274767</v>
      </c>
      <c r="R151">
        <f t="shared" ref="R151" si="732">R152+Q151</f>
        <v>-14196760.947751068</v>
      </c>
      <c r="S151">
        <f t="shared" ref="S151" si="733">R151/100000</f>
        <v>-141.96760947751068</v>
      </c>
      <c r="T151">
        <f t="shared" ref="T151" si="734">S151/1000</f>
        <v>-0.14196760947751066</v>
      </c>
    </row>
    <row r="152" spans="1:20" x14ac:dyDescent="0.25">
      <c r="A152" s="5">
        <v>44441</v>
      </c>
      <c r="B152">
        <v>18.739999999999998</v>
      </c>
      <c r="C152">
        <v>19.59</v>
      </c>
      <c r="D152">
        <v>18.350000000000001</v>
      </c>
      <c r="E152">
        <v>18.559999999999999</v>
      </c>
      <c r="F152">
        <v>106042.17</v>
      </c>
      <c r="G152">
        <v>18.559999999999999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-0.66129032258064913</v>
      </c>
      <c r="Q152">
        <f t="shared" ref="Q152" si="736">F152*P152</f>
        <v>-70124.660806452026</v>
      </c>
      <c r="R152">
        <f t="shared" ref="R152" si="737">R153+Q152</f>
        <v>-13400906.70382832</v>
      </c>
      <c r="S152">
        <f t="shared" ref="S152" si="738">R152/100000</f>
        <v>-134.00906703828321</v>
      </c>
      <c r="T152">
        <f t="shared" ref="T152" si="739">S152/1000</f>
        <v>-0.13400906703828322</v>
      </c>
    </row>
    <row r="153" spans="1:20" x14ac:dyDescent="0.25">
      <c r="A153" s="5">
        <v>44440</v>
      </c>
      <c r="B153">
        <v>18.07</v>
      </c>
      <c r="C153">
        <v>19.14</v>
      </c>
      <c r="D153">
        <v>17.739999999999998</v>
      </c>
      <c r="E153">
        <v>18.73</v>
      </c>
      <c r="F153">
        <v>124976.56</v>
      </c>
      <c r="G153">
        <v>18.73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0.41428571428571498</v>
      </c>
      <c r="Q153">
        <f t="shared" ref="Q153" si="741">F153*P153</f>
        <v>51776.003428571516</v>
      </c>
      <c r="R153">
        <f t="shared" ref="R153" si="742">R154+Q153</f>
        <v>-13330782.043021867</v>
      </c>
      <c r="S153">
        <f t="shared" ref="S153" si="743">R153/100000</f>
        <v>-133.30782043021867</v>
      </c>
      <c r="T153">
        <f t="shared" ref="T153" si="744">S153/1000</f>
        <v>-0.13330782043021866</v>
      </c>
    </row>
    <row r="154" spans="1:20" x14ac:dyDescent="0.25">
      <c r="A154" s="5">
        <v>44439</v>
      </c>
      <c r="B154">
        <v>18.68</v>
      </c>
      <c r="C154">
        <v>18.89</v>
      </c>
      <c r="D154">
        <v>17.850000000000001</v>
      </c>
      <c r="E154">
        <v>18.14</v>
      </c>
      <c r="F154">
        <v>146688.17000000001</v>
      </c>
      <c r="G154">
        <v>18.14</v>
      </c>
      <c r="L154" t="s">
        <v>7</v>
      </c>
      <c r="M154" t="s">
        <v>8</v>
      </c>
      <c r="N154" t="s">
        <v>7</v>
      </c>
      <c r="P154">
        <f t="shared" ref="P154" si="745">IF(C154=D154,0,((E154-D154)-(C154-E154))/(C154-D154))</f>
        <v>-0.44230769230769351</v>
      </c>
      <c r="Q154">
        <f t="shared" ref="Q154" si="746">F154*P154</f>
        <v>-64881.305961538645</v>
      </c>
      <c r="R154">
        <f t="shared" ref="R154" si="747">R155+Q154</f>
        <v>-13382558.046450438</v>
      </c>
      <c r="S154">
        <f t="shared" ref="S154" si="748">R154/100000</f>
        <v>-133.82558046450438</v>
      </c>
      <c r="T154">
        <f t="shared" ref="T154" si="749">S154/1000</f>
        <v>-0.13382558046450438</v>
      </c>
    </row>
    <row r="155" spans="1:20" x14ac:dyDescent="0.25">
      <c r="A155" s="5">
        <v>44438</v>
      </c>
      <c r="B155">
        <v>18.350000000000001</v>
      </c>
      <c r="C155">
        <v>21.3</v>
      </c>
      <c r="D155">
        <v>18</v>
      </c>
      <c r="E155">
        <v>18.68</v>
      </c>
      <c r="F155">
        <v>546892.31900000002</v>
      </c>
      <c r="G155">
        <v>18.68</v>
      </c>
      <c r="L155" t="s">
        <v>8</v>
      </c>
      <c r="M155" t="s">
        <v>8</v>
      </c>
      <c r="N155" t="s">
        <v>7</v>
      </c>
      <c r="P155">
        <f t="shared" ref="P155" si="750">IF(C155=D155,0,((E155-D155)-(C155-E155))/(C155-D155))</f>
        <v>-0.58787878787878811</v>
      </c>
      <c r="Q155">
        <f t="shared" ref="Q155" si="751">F155*P155</f>
        <v>-321506.39359393955</v>
      </c>
      <c r="R155">
        <f t="shared" ref="R155" si="752">R156+Q155</f>
        <v>-13317676.7404889</v>
      </c>
      <c r="S155">
        <f t="shared" ref="S155" si="753">R155/100000</f>
        <v>-133.17676740488901</v>
      </c>
      <c r="T155">
        <f t="shared" ref="T155" si="754">S155/1000</f>
        <v>-0.13317676740488901</v>
      </c>
    </row>
    <row r="156" spans="1:20" x14ac:dyDescent="0.25">
      <c r="A156" s="5">
        <v>44437</v>
      </c>
      <c r="B156">
        <v>18.09</v>
      </c>
      <c r="C156">
        <v>18.850000000000001</v>
      </c>
      <c r="D156">
        <v>17.100000000000001</v>
      </c>
      <c r="E156">
        <v>18.329999999999998</v>
      </c>
      <c r="F156">
        <v>169262.63</v>
      </c>
      <c r="G156">
        <v>18.329999999999998</v>
      </c>
      <c r="L156" t="s">
        <v>8</v>
      </c>
      <c r="M156" t="s">
        <v>7</v>
      </c>
      <c r="N156" t="s">
        <v>7</v>
      </c>
      <c r="P156">
        <f t="shared" ref="P156" si="755">IF(C156=D156,0,((E156-D156)-(C156-E156))/(C156-D156))</f>
        <v>0.40571428571428214</v>
      </c>
      <c r="Q156">
        <f t="shared" ref="Q156" si="756">F156*P156</f>
        <v>68672.26702857083</v>
      </c>
      <c r="R156">
        <f t="shared" ref="R156" si="757">R157+Q156</f>
        <v>-12996170.346894961</v>
      </c>
      <c r="S156">
        <f t="shared" ref="S156" si="758">R156/100000</f>
        <v>-129.96170346894962</v>
      </c>
      <c r="T156">
        <f t="shared" ref="T156" si="759">S156/1000</f>
        <v>-0.12996170346894961</v>
      </c>
    </row>
    <row r="157" spans="1:20" x14ac:dyDescent="0.25">
      <c r="A157" s="5">
        <v>44436</v>
      </c>
      <c r="B157">
        <v>18.79</v>
      </c>
      <c r="C157">
        <v>18.98</v>
      </c>
      <c r="D157">
        <v>16.91</v>
      </c>
      <c r="E157">
        <v>18.05</v>
      </c>
      <c r="F157">
        <v>144070.16</v>
      </c>
      <c r="G157">
        <v>18.05</v>
      </c>
      <c r="L157" t="s">
        <v>7</v>
      </c>
      <c r="M157" t="s">
        <v>7</v>
      </c>
      <c r="N157" t="s">
        <v>7</v>
      </c>
      <c r="P157">
        <f t="shared" ref="P157" si="760">IF(C157=D157,0,((E157-D157)-(C157-E157))/(C157-D157))</f>
        <v>0.10144927536231924</v>
      </c>
      <c r="Q157">
        <f t="shared" ref="Q157" si="761">F157*P157</f>
        <v>14615.81333333339</v>
      </c>
      <c r="R157">
        <f t="shared" ref="R157" si="762">R158+Q157</f>
        <v>-13064842.613923531</v>
      </c>
      <c r="S157">
        <f t="shared" ref="S157" si="763">R157/100000</f>
        <v>-130.64842613923531</v>
      </c>
      <c r="T157">
        <f t="shared" ref="T157" si="764">S157/1000</f>
        <v>-0.1306484261392353</v>
      </c>
    </row>
    <row r="158" spans="1:20" x14ac:dyDescent="0.25">
      <c r="A158" s="5">
        <v>44435</v>
      </c>
      <c r="B158">
        <v>17.71</v>
      </c>
      <c r="C158">
        <v>18.89</v>
      </c>
      <c r="D158">
        <v>17.22</v>
      </c>
      <c r="E158">
        <v>18.78</v>
      </c>
      <c r="F158">
        <v>120248.421</v>
      </c>
      <c r="G158">
        <v>18.78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0.86826347305389306</v>
      </c>
      <c r="Q158">
        <f t="shared" ref="Q158" si="766">F158*P158</f>
        <v>104407.31164670669</v>
      </c>
      <c r="R158">
        <f t="shared" ref="R158" si="767">R159+Q158</f>
        <v>-13079458.427256864</v>
      </c>
      <c r="S158">
        <f t="shared" ref="S158" si="768">R158/100000</f>
        <v>-130.79458427256864</v>
      </c>
      <c r="T158">
        <f t="shared" ref="T158" si="769">S158/1000</f>
        <v>-0.13079458427256865</v>
      </c>
    </row>
    <row r="159" spans="1:20" x14ac:dyDescent="0.25">
      <c r="A159" s="5">
        <v>44434</v>
      </c>
      <c r="B159">
        <v>19.568000000000001</v>
      </c>
      <c r="C159">
        <v>19.693000000000001</v>
      </c>
      <c r="D159">
        <v>17.53</v>
      </c>
      <c r="E159">
        <v>17.71</v>
      </c>
      <c r="F159">
        <v>133038.78</v>
      </c>
      <c r="G159">
        <v>17.71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-0.83356449375866881</v>
      </c>
      <c r="Q159">
        <f t="shared" ref="Q159" si="771">F159*P159</f>
        <v>-110896.40330097091</v>
      </c>
      <c r="R159">
        <f t="shared" ref="R159" si="772">R160+Q159</f>
        <v>-13183865.738903571</v>
      </c>
      <c r="S159">
        <f t="shared" ref="S159" si="773">R159/100000</f>
        <v>-131.83865738903572</v>
      </c>
      <c r="T159">
        <f t="shared" ref="T159" si="774">S159/1000</f>
        <v>-0.13183865738903572</v>
      </c>
    </row>
    <row r="160" spans="1:20" x14ac:dyDescent="0.25">
      <c r="A160" s="5">
        <v>44433</v>
      </c>
      <c r="B160">
        <v>19.273</v>
      </c>
      <c r="C160">
        <v>19.925000000000001</v>
      </c>
      <c r="D160">
        <v>18.032</v>
      </c>
      <c r="E160">
        <v>19.568000000000001</v>
      </c>
      <c r="F160">
        <v>220132.89</v>
      </c>
      <c r="G160">
        <v>19.568000000000001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0.62282091917591209</v>
      </c>
      <c r="Q160">
        <f t="shared" ref="Q160" si="776">F160*P160</f>
        <v>137103.36889064996</v>
      </c>
      <c r="R160">
        <f t="shared" ref="R160" si="777">R161+Q160</f>
        <v>-13072969.3356026</v>
      </c>
      <c r="S160">
        <f t="shared" ref="S160" si="778">R160/100000</f>
        <v>-130.72969335602599</v>
      </c>
      <c r="T160">
        <f t="shared" ref="T160" si="779">S160/1000</f>
        <v>-0.13072969335602599</v>
      </c>
    </row>
    <row r="161" spans="1:20" x14ac:dyDescent="0.25">
      <c r="A161" s="5">
        <v>44432</v>
      </c>
      <c r="B161">
        <v>20.059999999999999</v>
      </c>
      <c r="C161">
        <v>21.14</v>
      </c>
      <c r="D161">
        <v>18.712</v>
      </c>
      <c r="E161">
        <v>19.273</v>
      </c>
      <c r="F161">
        <v>192260.98199999999</v>
      </c>
      <c r="G161">
        <v>19.273</v>
      </c>
      <c r="L161" t="s">
        <v>8</v>
      </c>
      <c r="M161" t="s">
        <v>7</v>
      </c>
      <c r="N161" t="s">
        <v>8</v>
      </c>
      <c r="P161">
        <f t="shared" ref="P161" si="780">IF(C161=D161,0,((E161-D161)-(C161-E161))/(C161-D161))</f>
        <v>-0.53789126853377289</v>
      </c>
      <c r="Q161">
        <f t="shared" ref="Q161" si="781">F161*P161</f>
        <v>-103415.50349752887</v>
      </c>
      <c r="R161">
        <f t="shared" ref="R161" si="782">R162+Q161</f>
        <v>-13210072.704493251</v>
      </c>
      <c r="S161">
        <f t="shared" ref="S161" si="783">R161/100000</f>
        <v>-132.10072704493251</v>
      </c>
      <c r="T161">
        <f t="shared" ref="T161" si="784">S161/1000</f>
        <v>-0.1321007270449325</v>
      </c>
    </row>
    <row r="162" spans="1:20" x14ac:dyDescent="0.25">
      <c r="A162" s="5">
        <v>44431</v>
      </c>
      <c r="B162">
        <v>19.600999999999999</v>
      </c>
      <c r="C162">
        <v>20.88</v>
      </c>
      <c r="D162">
        <v>19.268000000000001</v>
      </c>
      <c r="E162">
        <v>20.099</v>
      </c>
      <c r="F162">
        <v>237131.98199999999</v>
      </c>
      <c r="G162">
        <v>20.099</v>
      </c>
      <c r="L162" t="s">
        <v>8</v>
      </c>
      <c r="M162" t="s">
        <v>7</v>
      </c>
      <c r="N162" t="s">
        <v>8</v>
      </c>
      <c r="P162">
        <f t="shared" ref="P162" si="785">IF(C162=D162,0,((E162-D162)-(C162-E162))/(C162-D162))</f>
        <v>3.101736972704762E-2</v>
      </c>
      <c r="Q162">
        <f t="shared" ref="Q162" si="786">F162*P162</f>
        <v>7355.210359801601</v>
      </c>
      <c r="R162">
        <f t="shared" ref="R162" si="787">R163+Q162</f>
        <v>-13106657.200995721</v>
      </c>
      <c r="S162">
        <f t="shared" ref="S162" si="788">R162/100000</f>
        <v>-131.06657200995721</v>
      </c>
      <c r="T162">
        <f t="shared" ref="T162" si="789">S162/1000</f>
        <v>-0.13106657200995722</v>
      </c>
    </row>
    <row r="163" spans="1:20" x14ac:dyDescent="0.25">
      <c r="A163" s="5">
        <v>44430</v>
      </c>
      <c r="B163">
        <v>19.891999999999999</v>
      </c>
      <c r="C163">
        <v>20.640999999999998</v>
      </c>
      <c r="D163">
        <v>19.888999999999999</v>
      </c>
      <c r="E163">
        <v>20.286000000000001</v>
      </c>
      <c r="F163">
        <v>51250.533000000003</v>
      </c>
      <c r="G163">
        <v>20.286000000000001</v>
      </c>
      <c r="L163" t="s">
        <v>7</v>
      </c>
      <c r="M163" t="s">
        <v>7</v>
      </c>
      <c r="N163" t="s">
        <v>8</v>
      </c>
      <c r="P163">
        <f t="shared" ref="P163" si="790">IF(C163=D163,0,((E163-D163)-(C163-E163))/(C163-D163))</f>
        <v>5.5851063829794156E-2</v>
      </c>
      <c r="Q163">
        <f t="shared" ref="Q163" si="791">F163*P163</f>
        <v>2862.3967898939718</v>
      </c>
      <c r="R163">
        <f t="shared" ref="R163" si="792">R164+Q163</f>
        <v>-13114012.411355523</v>
      </c>
      <c r="S163">
        <f t="shared" ref="S163" si="793">R163/100000</f>
        <v>-131.14012411355523</v>
      </c>
      <c r="T163">
        <f t="shared" ref="T163" si="794">S163/1000</f>
        <v>-0.13114012411355522</v>
      </c>
    </row>
    <row r="164" spans="1:20" x14ac:dyDescent="0.25">
      <c r="A164" s="5">
        <v>44429</v>
      </c>
      <c r="B164">
        <v>21.11</v>
      </c>
      <c r="C164">
        <v>21.401</v>
      </c>
      <c r="D164">
        <v>19.446999999999999</v>
      </c>
      <c r="E164">
        <v>19.89</v>
      </c>
      <c r="F164">
        <v>239979.41</v>
      </c>
      <c r="G164">
        <v>19.89</v>
      </c>
      <c r="L164" t="s">
        <v>7</v>
      </c>
      <c r="M164" t="s">
        <v>7</v>
      </c>
      <c r="N164" t="s">
        <v>8</v>
      </c>
      <c r="P164">
        <f t="shared" ref="P164" si="795">IF(C164=D164,0,((E164-D164)-(C164-E164))/(C164-D164))</f>
        <v>-0.54657113613101205</v>
      </c>
      <c r="Q164">
        <f t="shared" ref="Q164" si="796">F164*P164</f>
        <v>-131165.81877174997</v>
      </c>
      <c r="R164">
        <f t="shared" ref="R164" si="797">R165+Q164</f>
        <v>-13116874.808145417</v>
      </c>
      <c r="S164">
        <f t="shared" ref="S164" si="798">R164/100000</f>
        <v>-131.16874808145417</v>
      </c>
      <c r="T164">
        <f t="shared" ref="T164" si="799">S164/1000</f>
        <v>-0.13116874808145418</v>
      </c>
    </row>
    <row r="165" spans="1:20" x14ac:dyDescent="0.25">
      <c r="A165" s="5">
        <v>44428</v>
      </c>
      <c r="B165">
        <v>21.135999999999999</v>
      </c>
      <c r="C165">
        <v>23.748000000000001</v>
      </c>
      <c r="D165">
        <v>20.57</v>
      </c>
      <c r="E165">
        <v>21.088999999999999</v>
      </c>
      <c r="F165">
        <v>454959.79499999998</v>
      </c>
      <c r="G165">
        <v>21.088999999999999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-0.67337948395217229</v>
      </c>
      <c r="Q165">
        <f t="shared" ref="Q165" si="801">F165*P165</f>
        <v>-306360.59197608609</v>
      </c>
      <c r="R165">
        <f t="shared" ref="R165" si="802">R166+Q165</f>
        <v>-12985708.989373667</v>
      </c>
      <c r="S165">
        <f t="shared" ref="S165" si="803">R165/100000</f>
        <v>-129.85708989373668</v>
      </c>
      <c r="T165">
        <f t="shared" ref="T165" si="804">S165/1000</f>
        <v>-0.12985708989373668</v>
      </c>
    </row>
    <row r="166" spans="1:20" x14ac:dyDescent="0.25">
      <c r="A166" s="5">
        <v>44427</v>
      </c>
      <c r="B166">
        <v>19.125</v>
      </c>
      <c r="C166">
        <v>21.841999999999999</v>
      </c>
      <c r="D166">
        <v>18.745000000000001</v>
      </c>
      <c r="E166">
        <v>21.141999999999999</v>
      </c>
      <c r="F166">
        <v>634705.36199999996</v>
      </c>
      <c r="G166">
        <v>21.141999999999999</v>
      </c>
      <c r="L166" t="s">
        <v>8</v>
      </c>
      <c r="M166" t="s">
        <v>8</v>
      </c>
      <c r="N166" t="s">
        <v>7</v>
      </c>
      <c r="P166">
        <f t="shared" ref="P166" si="805">IF(C166=D166,0,((E166-D166)-(C166-E166))/(C166-D166))</f>
        <v>0.54794962867290942</v>
      </c>
      <c r="Q166">
        <f t="shared" ref="Q166" si="806">F166*P166</f>
        <v>347786.56742460455</v>
      </c>
      <c r="R166">
        <f t="shared" ref="R166" si="807">R167+Q166</f>
        <v>-12679348.397397581</v>
      </c>
      <c r="S166">
        <f t="shared" ref="S166" si="808">R166/100000</f>
        <v>-126.79348397397581</v>
      </c>
      <c r="T166">
        <f t="shared" ref="T166" si="809">S166/1000</f>
        <v>-0.1267934839739758</v>
      </c>
    </row>
    <row r="167" spans="1:20" x14ac:dyDescent="0.25">
      <c r="A167" s="5">
        <v>44426</v>
      </c>
      <c r="B167">
        <v>17.3</v>
      </c>
      <c r="C167">
        <v>20.498999999999999</v>
      </c>
      <c r="D167">
        <v>16.373999999999999</v>
      </c>
      <c r="E167">
        <v>19.077999999999999</v>
      </c>
      <c r="F167">
        <v>516960.25199999998</v>
      </c>
      <c r="G167">
        <v>19.077999999999999</v>
      </c>
      <c r="L167" t="s">
        <v>7</v>
      </c>
      <c r="M167" t="s">
        <v>8</v>
      </c>
      <c r="N167" t="s">
        <v>7</v>
      </c>
      <c r="P167">
        <f t="shared" ref="P167" si="810">IF(C167=D167,0,((E167-D167)-(C167-E167))/(C167-D167))</f>
        <v>0.31103030303030332</v>
      </c>
      <c r="Q167">
        <f t="shared" ref="Q167" si="811">F167*P167</f>
        <v>160790.30383418198</v>
      </c>
      <c r="R167">
        <f t="shared" ref="R167" si="812">R168+Q167</f>
        <v>-13027134.964822186</v>
      </c>
      <c r="S167">
        <f t="shared" ref="S167" si="813">R167/100000</f>
        <v>-130.27134964822187</v>
      </c>
      <c r="T167">
        <f t="shared" ref="T167" si="814">S167/1000</f>
        <v>-0.13027134964822187</v>
      </c>
    </row>
    <row r="168" spans="1:20" x14ac:dyDescent="0.25">
      <c r="A168" s="5">
        <v>44425</v>
      </c>
      <c r="B168">
        <v>18.867000000000001</v>
      </c>
      <c r="C168">
        <v>18.888000000000002</v>
      </c>
      <c r="D168">
        <v>16.698</v>
      </c>
      <c r="E168">
        <v>17.297000000000001</v>
      </c>
      <c r="F168">
        <v>272739.69099999999</v>
      </c>
      <c r="G168">
        <v>17.297000000000001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-0.45296803652968048</v>
      </c>
      <c r="Q168">
        <f t="shared" ref="Q168" si="816">F168*P168</f>
        <v>-123542.36231598177</v>
      </c>
      <c r="R168">
        <f t="shared" ref="R168" si="817">R169+Q168</f>
        <v>-13187925.268656367</v>
      </c>
      <c r="S168">
        <f t="shared" ref="S168" si="818">R168/100000</f>
        <v>-131.87925268656366</v>
      </c>
      <c r="T168">
        <f t="shared" ref="T168" si="819">S168/1000</f>
        <v>-0.13187925268656367</v>
      </c>
    </row>
    <row r="169" spans="1:20" x14ac:dyDescent="0.25">
      <c r="A169" s="5">
        <v>44424</v>
      </c>
      <c r="B169">
        <v>20.262</v>
      </c>
      <c r="C169">
        <v>20.798999999999999</v>
      </c>
      <c r="D169">
        <v>18.501000000000001</v>
      </c>
      <c r="E169">
        <v>18.870999999999999</v>
      </c>
      <c r="F169">
        <v>275613.01199999999</v>
      </c>
      <c r="G169">
        <v>18.870999999999999</v>
      </c>
      <c r="L169" t="s">
        <v>7</v>
      </c>
      <c r="M169" t="s">
        <v>7</v>
      </c>
      <c r="N169" t="s">
        <v>8</v>
      </c>
      <c r="P169">
        <f t="shared" ref="P169" si="820">IF(C169=D169,0,((E169-D169)-(C169-E169))/(C169-D169))</f>
        <v>-0.67798085291558075</v>
      </c>
      <c r="Q169">
        <f t="shared" ref="Q169" si="821">F169*P169</f>
        <v>-186860.34495039217</v>
      </c>
      <c r="R169">
        <f t="shared" ref="R169" si="822">R170+Q169</f>
        <v>-13064382.906340385</v>
      </c>
      <c r="S169">
        <f t="shared" ref="S169" si="823">R169/100000</f>
        <v>-130.64382906340384</v>
      </c>
      <c r="T169">
        <f t="shared" ref="T169" si="824">S169/1000</f>
        <v>-0.13064382906340385</v>
      </c>
    </row>
    <row r="170" spans="1:20" x14ac:dyDescent="0.25">
      <c r="A170" s="5">
        <v>44423</v>
      </c>
      <c r="B170">
        <v>21.16</v>
      </c>
      <c r="C170">
        <v>21.38</v>
      </c>
      <c r="D170">
        <v>18.890999999999998</v>
      </c>
      <c r="E170">
        <v>20.216000000000001</v>
      </c>
      <c r="F170">
        <v>308418.69300000003</v>
      </c>
      <c r="G170">
        <v>20.216000000000001</v>
      </c>
      <c r="L170" t="s">
        <v>7</v>
      </c>
      <c r="M170" t="s">
        <v>7</v>
      </c>
      <c r="N170" t="s">
        <v>8</v>
      </c>
      <c r="P170">
        <f t="shared" ref="P170" si="825">IF(C170=D170,0,((E170-D170)-(C170-E170))/(C170-D170))</f>
        <v>6.4684612294095972E-2</v>
      </c>
      <c r="Q170">
        <f t="shared" ref="Q170" si="826">F170*P170</f>
        <v>19949.943580956813</v>
      </c>
      <c r="R170">
        <f t="shared" ref="R170" si="827">R171+Q170</f>
        <v>-12877522.561389992</v>
      </c>
      <c r="S170">
        <f t="shared" ref="S170" si="828">R170/100000</f>
        <v>-128.77522561389992</v>
      </c>
      <c r="T170">
        <f t="shared" ref="T170" si="829">S170/1000</f>
        <v>-0.12877522561389992</v>
      </c>
    </row>
    <row r="171" spans="1:20" x14ac:dyDescent="0.25">
      <c r="A171" s="5">
        <v>44422</v>
      </c>
      <c r="B171">
        <v>20.274000000000001</v>
      </c>
      <c r="C171">
        <v>23.95</v>
      </c>
      <c r="D171">
        <v>20.100999999999999</v>
      </c>
      <c r="E171">
        <v>21.166</v>
      </c>
      <c r="F171">
        <v>757581.92700000003</v>
      </c>
      <c r="G171">
        <v>21.166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-0.44660950896336649</v>
      </c>
      <c r="Q171">
        <f t="shared" ref="Q171" si="831">F171*P171</f>
        <v>-338343.29241699097</v>
      </c>
      <c r="R171">
        <f t="shared" ref="R171" si="832">R172+Q171</f>
        <v>-12897472.504970949</v>
      </c>
      <c r="S171">
        <f t="shared" ref="S171" si="833">R171/100000</f>
        <v>-128.97472504970949</v>
      </c>
      <c r="T171">
        <f t="shared" ref="T171" si="834">S171/1000</f>
        <v>-0.1289747250497095</v>
      </c>
    </row>
    <row r="172" spans="1:20" x14ac:dyDescent="0.25">
      <c r="A172" s="5">
        <v>44421</v>
      </c>
      <c r="B172">
        <v>19.244</v>
      </c>
      <c r="C172">
        <v>21.344000000000001</v>
      </c>
      <c r="D172">
        <v>18.2</v>
      </c>
      <c r="E172">
        <v>20.25</v>
      </c>
      <c r="F172">
        <v>604958.44099999999</v>
      </c>
      <c r="G172">
        <v>20.25</v>
      </c>
      <c r="L172" t="s">
        <v>7</v>
      </c>
      <c r="M172" t="s">
        <v>7</v>
      </c>
      <c r="N172" t="s">
        <v>8</v>
      </c>
      <c r="P172">
        <f t="shared" ref="P172" si="835">IF(C172=D172,0,((E172-D172)-(C172-E172))/(C172-D172))</f>
        <v>0.30407124681933806</v>
      </c>
      <c r="Q172">
        <f t="shared" ref="Q172" si="836">F172*P172</f>
        <v>183950.46742875295</v>
      </c>
      <c r="R172">
        <f t="shared" ref="R172" si="837">R173+Q172</f>
        <v>-12559129.212553957</v>
      </c>
      <c r="S172">
        <f t="shared" ref="S172" si="838">R172/100000</f>
        <v>-125.59129212553958</v>
      </c>
      <c r="T172">
        <f t="shared" ref="T172" si="839">S172/1000</f>
        <v>-0.12559129212553957</v>
      </c>
    </row>
    <row r="173" spans="1:20" x14ac:dyDescent="0.25">
      <c r="A173" s="5">
        <v>44420</v>
      </c>
      <c r="B173">
        <v>16.542999999999999</v>
      </c>
      <c r="C173">
        <v>24</v>
      </c>
      <c r="D173">
        <v>15.63</v>
      </c>
      <c r="E173">
        <v>19.251999999999999</v>
      </c>
      <c r="F173">
        <v>2120658.5180000002</v>
      </c>
      <c r="G173">
        <v>19.251999999999999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-0.13452807646356071</v>
      </c>
      <c r="Q173">
        <f t="shared" ref="Q173" si="841">F173*P173</f>
        <v>-285288.11126260535</v>
      </c>
      <c r="R173">
        <f t="shared" ref="R173" si="842">R174+Q173</f>
        <v>-12743079.679982711</v>
      </c>
      <c r="S173">
        <f t="shared" ref="S173" si="843">R173/100000</f>
        <v>-127.43079679982711</v>
      </c>
      <c r="T173">
        <f t="shared" ref="T173" si="844">S173/1000</f>
        <v>-0.12743079679982711</v>
      </c>
    </row>
    <row r="174" spans="1:20" x14ac:dyDescent="0.25">
      <c r="A174" s="5">
        <v>44419</v>
      </c>
      <c r="B174">
        <v>15.347</v>
      </c>
      <c r="C174">
        <v>18.77</v>
      </c>
      <c r="D174">
        <v>14.991</v>
      </c>
      <c r="E174">
        <v>16.542999999999999</v>
      </c>
      <c r="F174">
        <v>1000686.955</v>
      </c>
      <c r="G174">
        <v>16.542999999999999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-0.17861868219105603</v>
      </c>
      <c r="Q174">
        <f t="shared" ref="Q174" si="846">F174*P174</f>
        <v>-178741.38518788057</v>
      </c>
      <c r="R174">
        <f t="shared" ref="R174" si="847">R175+Q174</f>
        <v>-12457791.568720106</v>
      </c>
      <c r="S174">
        <f t="shared" ref="S174" si="848">R174/100000</f>
        <v>-124.57791568720106</v>
      </c>
      <c r="T174">
        <f t="shared" ref="T174" si="849">S174/1000</f>
        <v>-0.12457791568720106</v>
      </c>
    </row>
    <row r="175" spans="1:20" x14ac:dyDescent="0.25">
      <c r="A175" s="5">
        <v>44418</v>
      </c>
      <c r="B175">
        <v>14.917999999999999</v>
      </c>
      <c r="C175">
        <v>15.45</v>
      </c>
      <c r="D175">
        <v>14.39</v>
      </c>
      <c r="E175">
        <v>15.31</v>
      </c>
      <c r="F175">
        <v>299194.46399999998</v>
      </c>
      <c r="G175">
        <v>15.31</v>
      </c>
      <c r="L175" t="s">
        <v>7</v>
      </c>
      <c r="M175" t="s">
        <v>7</v>
      </c>
      <c r="N175" t="s">
        <v>8</v>
      </c>
      <c r="P175">
        <f t="shared" ref="P175" si="850">IF(C175=D175,0,((E175-D175)-(C175-E175))/(C175-D175))</f>
        <v>0.73584905660377553</v>
      </c>
      <c r="Q175">
        <f t="shared" ref="Q175" si="851">F175*P175</f>
        <v>220161.96407547226</v>
      </c>
      <c r="R175">
        <f t="shared" ref="R175" si="852">R176+Q175</f>
        <v>-12279050.183532225</v>
      </c>
      <c r="S175">
        <f t="shared" ref="S175" si="853">R175/100000</f>
        <v>-122.79050183532225</v>
      </c>
      <c r="T175">
        <f t="shared" ref="T175" si="854">S175/1000</f>
        <v>-0.12279050183532225</v>
      </c>
    </row>
    <row r="176" spans="1:20" x14ac:dyDescent="0.25">
      <c r="A176" s="5">
        <v>44417</v>
      </c>
      <c r="B176">
        <v>13.749000000000001</v>
      </c>
      <c r="C176">
        <v>15.5</v>
      </c>
      <c r="D176">
        <v>13.643000000000001</v>
      </c>
      <c r="E176">
        <v>14.917999999999999</v>
      </c>
      <c r="F176">
        <v>287222.78200000001</v>
      </c>
      <c r="G176">
        <v>14.917999999999999</v>
      </c>
      <c r="L176" t="s">
        <v>8</v>
      </c>
      <c r="M176" t="s">
        <v>7</v>
      </c>
      <c r="N176" t="s">
        <v>8</v>
      </c>
      <c r="P176">
        <f t="shared" ref="P176" si="855">IF(C176=D176,0,((E176-D176)-(C176-E176))/(C176-D176))</f>
        <v>0.37318255250403776</v>
      </c>
      <c r="Q176">
        <f t="shared" ref="Q176" si="856">F176*P176</f>
        <v>107186.53092407079</v>
      </c>
      <c r="R176">
        <f t="shared" ref="R176" si="857">R177+Q176</f>
        <v>-12499212.147607697</v>
      </c>
      <c r="S176">
        <f t="shared" ref="S176" si="858">R176/100000</f>
        <v>-124.99212147607697</v>
      </c>
      <c r="T176">
        <f t="shared" ref="T176" si="859">S176/1000</f>
        <v>-0.12499212147607698</v>
      </c>
    </row>
    <row r="177" spans="1:20" x14ac:dyDescent="0.25">
      <c r="A177" s="5">
        <v>44416</v>
      </c>
      <c r="B177">
        <v>14.925000000000001</v>
      </c>
      <c r="C177">
        <v>14.967000000000001</v>
      </c>
      <c r="D177">
        <v>13.548999999999999</v>
      </c>
      <c r="E177">
        <v>13.749000000000001</v>
      </c>
      <c r="F177">
        <v>266004.66399999999</v>
      </c>
      <c r="G177">
        <v>13.749000000000001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-0.71791255289139499</v>
      </c>
      <c r="Q177">
        <f t="shared" ref="Q177" si="861">F177*P177</f>
        <v>-190968.08741325774</v>
      </c>
      <c r="R177">
        <f t="shared" ref="R177" si="862">R178+Q177</f>
        <v>-12606398.678531768</v>
      </c>
      <c r="S177">
        <f t="shared" ref="S177" si="863">R177/100000</f>
        <v>-126.06398678531768</v>
      </c>
      <c r="T177">
        <f t="shared" ref="T177" si="864">S177/1000</f>
        <v>-0.12606398678531769</v>
      </c>
    </row>
    <row r="178" spans="1:20" x14ac:dyDescent="0.25">
      <c r="A178" s="5">
        <v>44415</v>
      </c>
      <c r="B178">
        <v>15.221</v>
      </c>
      <c r="C178">
        <v>15.598000000000001</v>
      </c>
      <c r="D178">
        <v>14.262</v>
      </c>
      <c r="E178">
        <v>14.928000000000001</v>
      </c>
      <c r="F178">
        <v>458458.755</v>
      </c>
      <c r="G178">
        <v>14.928000000000001</v>
      </c>
      <c r="L178" t="s">
        <v>7</v>
      </c>
      <c r="M178" t="s">
        <v>7</v>
      </c>
      <c r="N178" t="s">
        <v>8</v>
      </c>
      <c r="P178">
        <f t="shared" ref="P178" si="865">IF(C178=D178,0,((E178-D178)-(C178-E178))/(C178-D178))</f>
        <v>-2.9940119760475739E-3</v>
      </c>
      <c r="Q178">
        <f t="shared" ref="Q178" si="866">F178*P178</f>
        <v>-1372.6310029938606</v>
      </c>
      <c r="R178">
        <f t="shared" ref="R178" si="867">R179+Q178</f>
        <v>-12415430.591118511</v>
      </c>
      <c r="S178">
        <f t="shared" ref="S178" si="868">R178/100000</f>
        <v>-124.15430591118511</v>
      </c>
      <c r="T178">
        <f t="shared" ref="T178" si="869">S178/1000</f>
        <v>-0.12415430591118511</v>
      </c>
    </row>
    <row r="179" spans="1:20" x14ac:dyDescent="0.25">
      <c r="A179" s="5">
        <v>44414</v>
      </c>
      <c r="B179">
        <v>13.307</v>
      </c>
      <c r="C179">
        <v>17.27</v>
      </c>
      <c r="D179">
        <v>13.15</v>
      </c>
      <c r="E179">
        <v>15.218999999999999</v>
      </c>
      <c r="F179">
        <v>1163941.5049999999</v>
      </c>
      <c r="G179">
        <v>15.218999999999999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4.3689320388346871E-3</v>
      </c>
      <c r="Q179">
        <f t="shared" ref="Q179" si="871">F179*P179</f>
        <v>5085.1813325239636</v>
      </c>
      <c r="R179">
        <f t="shared" ref="R179" si="872">R180+Q179</f>
        <v>-12414057.960115517</v>
      </c>
      <c r="S179">
        <f t="shared" ref="S179" si="873">R179/100000</f>
        <v>-124.14057960115517</v>
      </c>
      <c r="T179">
        <f t="shared" ref="T179" si="874">S179/1000</f>
        <v>-0.12414057960115517</v>
      </c>
    </row>
    <row r="180" spans="1:20" x14ac:dyDescent="0.25">
      <c r="A180" s="5">
        <v>44413</v>
      </c>
      <c r="B180">
        <v>12.544</v>
      </c>
      <c r="C180">
        <v>14.553000000000001</v>
      </c>
      <c r="D180">
        <v>12.43</v>
      </c>
      <c r="E180">
        <v>13.32</v>
      </c>
      <c r="F180">
        <v>548417.31400000001</v>
      </c>
      <c r="G180">
        <v>13.32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-0.16156382477625991</v>
      </c>
      <c r="Q180">
        <f t="shared" ref="Q180" si="876">F180*P180</f>
        <v>-88604.39882336311</v>
      </c>
      <c r="R180">
        <f t="shared" ref="R180" si="877">R181+Q180</f>
        <v>-12419143.141448041</v>
      </c>
      <c r="S180">
        <f t="shared" ref="S180" si="878">R180/100000</f>
        <v>-124.19143141448042</v>
      </c>
      <c r="T180">
        <f t="shared" ref="T180" si="879">S180/1000</f>
        <v>-0.12419143141448041</v>
      </c>
    </row>
    <row r="181" spans="1:20" x14ac:dyDescent="0.25">
      <c r="A181" s="5">
        <v>44412</v>
      </c>
      <c r="B181">
        <v>12.285</v>
      </c>
      <c r="C181">
        <v>12.85</v>
      </c>
      <c r="D181">
        <v>12.227</v>
      </c>
      <c r="E181">
        <v>12.544</v>
      </c>
      <c r="F181">
        <v>180240.39499999999</v>
      </c>
      <c r="G181">
        <v>12.544</v>
      </c>
      <c r="L181" t="s">
        <v>7</v>
      </c>
      <c r="M181" t="s">
        <v>7</v>
      </c>
      <c r="N181" t="s">
        <v>8</v>
      </c>
      <c r="P181">
        <f t="shared" ref="P181" si="880">IF(C181=D181,0,((E181-D181)-(C181-E181))/(C181-D181))</f>
        <v>1.7656500802569856E-2</v>
      </c>
      <c r="Q181">
        <f t="shared" ref="Q181" si="881">F181*P181</f>
        <v>3182.4146789730075</v>
      </c>
      <c r="R181">
        <f t="shared" ref="R181" si="882">R182+Q181</f>
        <v>-12330538.742624678</v>
      </c>
      <c r="S181">
        <f t="shared" ref="S181" si="883">R181/100000</f>
        <v>-123.30538742624678</v>
      </c>
      <c r="T181">
        <f t="shared" ref="T181" si="884">S181/1000</f>
        <v>-0.12330538742624678</v>
      </c>
    </row>
    <row r="182" spans="1:20" x14ac:dyDescent="0.25">
      <c r="A182" s="5">
        <v>44411</v>
      </c>
      <c r="B182">
        <v>12.427</v>
      </c>
      <c r="C182">
        <v>12.596</v>
      </c>
      <c r="D182">
        <v>12.055999999999999</v>
      </c>
      <c r="E182">
        <v>12.285</v>
      </c>
      <c r="F182">
        <v>179489.23199999999</v>
      </c>
      <c r="G182">
        <v>12.285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-0.15185185185184968</v>
      </c>
      <c r="Q182">
        <f t="shared" ref="Q182" si="886">F182*P182</f>
        <v>-27255.772266666278</v>
      </c>
      <c r="R182">
        <f t="shared" ref="R182" si="887">R183+Q182</f>
        <v>-12333721.15730365</v>
      </c>
      <c r="S182">
        <f t="shared" ref="S182" si="888">R182/100000</f>
        <v>-123.3372115730365</v>
      </c>
      <c r="T182">
        <f t="shared" ref="T182" si="889">S182/1000</f>
        <v>-0.1233372115730365</v>
      </c>
    </row>
    <row r="183" spans="1:20" x14ac:dyDescent="0.25">
      <c r="A183" s="5">
        <v>44410</v>
      </c>
      <c r="B183">
        <v>12.428000000000001</v>
      </c>
      <c r="C183">
        <v>12.781000000000001</v>
      </c>
      <c r="D183">
        <v>12.231999999999999</v>
      </c>
      <c r="E183">
        <v>12.419</v>
      </c>
      <c r="F183">
        <v>193971.59700000001</v>
      </c>
      <c r="G183">
        <v>12.419</v>
      </c>
      <c r="L183" t="s">
        <v>7</v>
      </c>
      <c r="M183" t="s">
        <v>7</v>
      </c>
      <c r="N183" t="s">
        <v>8</v>
      </c>
      <c r="P183">
        <f t="shared" ref="P183" si="890">IF(C183=D183,0,((E183-D183)-(C183-E183))/(C183-D183))</f>
        <v>-0.31876138433515216</v>
      </c>
      <c r="Q183">
        <f t="shared" ref="Q183" si="891">F183*P183</f>
        <v>-61830.654781420249</v>
      </c>
      <c r="R183">
        <f t="shared" ref="R183" si="892">R184+Q183</f>
        <v>-12306465.385036984</v>
      </c>
      <c r="S183">
        <f t="shared" ref="S183" si="893">R183/100000</f>
        <v>-123.06465385036985</v>
      </c>
      <c r="T183">
        <f t="shared" ref="T183" si="894">S183/1000</f>
        <v>-0.12306465385036985</v>
      </c>
    </row>
    <row r="184" spans="1:20" x14ac:dyDescent="0.25">
      <c r="A184" s="5">
        <v>44409</v>
      </c>
      <c r="B184">
        <v>12.6</v>
      </c>
      <c r="C184">
        <v>13.132</v>
      </c>
      <c r="D184">
        <v>12.36</v>
      </c>
      <c r="E184">
        <v>12.465999999999999</v>
      </c>
      <c r="F184">
        <v>234167.859</v>
      </c>
      <c r="G184">
        <v>12.465999999999999</v>
      </c>
      <c r="L184" t="s">
        <v>7</v>
      </c>
      <c r="M184" t="s">
        <v>7</v>
      </c>
      <c r="N184" t="s">
        <v>8</v>
      </c>
      <c r="P184">
        <f t="shared" ref="P184" si="895">IF(C184=D184,0,((E184-D184)-(C184-E184))/(C184-D184))</f>
        <v>-0.7253886010362699</v>
      </c>
      <c r="Q184">
        <f t="shared" ref="Q184" si="896">F184*P184</f>
        <v>-169862.6956476685</v>
      </c>
      <c r="R184">
        <f t="shared" ref="R184" si="897">R185+Q184</f>
        <v>-12244634.730255565</v>
      </c>
      <c r="S184">
        <f t="shared" ref="S184" si="898">R184/100000</f>
        <v>-122.44634730255565</v>
      </c>
      <c r="T184">
        <f t="shared" ref="T184" si="899">S184/1000</f>
        <v>-0.12244634730255564</v>
      </c>
    </row>
    <row r="185" spans="1:20" x14ac:dyDescent="0.25">
      <c r="A185" s="5">
        <v>44408</v>
      </c>
      <c r="B185">
        <v>12.805</v>
      </c>
      <c r="C185">
        <v>12.9</v>
      </c>
      <c r="D185">
        <v>12.381</v>
      </c>
      <c r="E185">
        <v>12.6</v>
      </c>
      <c r="F185">
        <v>220068.87299999999</v>
      </c>
      <c r="G185">
        <v>12.6</v>
      </c>
      <c r="L185" t="s">
        <v>7</v>
      </c>
      <c r="M185" t="s">
        <v>7</v>
      </c>
      <c r="N185" t="s">
        <v>8</v>
      </c>
      <c r="P185">
        <f t="shared" ref="P185" si="900">IF(C185=D185,0,((E185-D185)-(C185-E185))/(C185-D185))</f>
        <v>-0.15606936416185216</v>
      </c>
      <c r="Q185">
        <f t="shared" ref="Q185" si="901">F185*P185</f>
        <v>-34346.009080925396</v>
      </c>
      <c r="R185">
        <f t="shared" ref="R185" si="902">R186+Q185</f>
        <v>-12074772.034607897</v>
      </c>
      <c r="S185">
        <f t="shared" ref="S185" si="903">R185/100000</f>
        <v>-120.74772034607896</v>
      </c>
      <c r="T185">
        <f t="shared" ref="T185" si="904">S185/1000</f>
        <v>-0.12074772034607896</v>
      </c>
    </row>
    <row r="186" spans="1:20" x14ac:dyDescent="0.25">
      <c r="A186" s="5">
        <v>44407</v>
      </c>
      <c r="B186">
        <v>12.291</v>
      </c>
      <c r="C186">
        <v>13.407</v>
      </c>
      <c r="D186">
        <v>12.055999999999999</v>
      </c>
      <c r="E186">
        <v>12.853</v>
      </c>
      <c r="F186">
        <v>370612.48200000002</v>
      </c>
      <c r="G186">
        <v>12.853</v>
      </c>
      <c r="L186" t="s">
        <v>8</v>
      </c>
      <c r="M186" t="s">
        <v>7</v>
      </c>
      <c r="N186" t="s">
        <v>8</v>
      </c>
      <c r="P186">
        <f t="shared" ref="P186" si="905">IF(C186=D186,0,((E186-D186)-(C186-E186))/(C186-D186))</f>
        <v>0.17986676535899346</v>
      </c>
      <c r="Q186">
        <f t="shared" ref="Q186" si="906">F186*P186</f>
        <v>66660.868339008186</v>
      </c>
      <c r="R186">
        <f t="shared" ref="R186" si="907">R187+Q186</f>
        <v>-12040426.025526971</v>
      </c>
      <c r="S186">
        <f t="shared" ref="S186" si="908">R186/100000</f>
        <v>-120.4042602552697</v>
      </c>
      <c r="T186">
        <f t="shared" ref="T186" si="909">S186/1000</f>
        <v>-0.12040426025526971</v>
      </c>
    </row>
    <row r="187" spans="1:20" x14ac:dyDescent="0.25">
      <c r="A187" s="5">
        <v>44406</v>
      </c>
      <c r="B187">
        <v>12.26</v>
      </c>
      <c r="C187">
        <v>12.474</v>
      </c>
      <c r="D187">
        <v>12</v>
      </c>
      <c r="E187">
        <v>12.319000000000001</v>
      </c>
      <c r="F187">
        <v>159396.372</v>
      </c>
      <c r="G187">
        <v>12.319000000000001</v>
      </c>
      <c r="L187" t="s">
        <v>7</v>
      </c>
      <c r="M187" t="s">
        <v>7</v>
      </c>
      <c r="N187" t="s">
        <v>8</v>
      </c>
      <c r="P187">
        <f t="shared" ref="P187" si="910">IF(C187=D187,0,((E187-D187)-(C187-E187))/(C187-D187))</f>
        <v>0.34599156118143759</v>
      </c>
      <c r="Q187">
        <f t="shared" ref="Q187" si="911">F187*P187</f>
        <v>55149.799594937183</v>
      </c>
      <c r="R187">
        <f t="shared" ref="R187" si="912">R188+Q187</f>
        <v>-12107086.893865978</v>
      </c>
      <c r="S187">
        <f t="shared" ref="S187" si="913">R187/100000</f>
        <v>-121.07086893865979</v>
      </c>
      <c r="T187">
        <f t="shared" ref="T187" si="914">S187/1000</f>
        <v>-0.12107086893865979</v>
      </c>
    </row>
    <row r="188" spans="1:20" x14ac:dyDescent="0.25">
      <c r="A188" s="5">
        <v>44405</v>
      </c>
      <c r="B188">
        <v>12.782999999999999</v>
      </c>
      <c r="C188">
        <v>12.929</v>
      </c>
      <c r="D188">
        <v>11.778</v>
      </c>
      <c r="E188">
        <v>12.255000000000001</v>
      </c>
      <c r="F188">
        <v>258808.03400000001</v>
      </c>
      <c r="G188">
        <v>12.255000000000001</v>
      </c>
      <c r="L188" t="s">
        <v>7</v>
      </c>
      <c r="M188" t="s">
        <v>7</v>
      </c>
      <c r="N188" t="s">
        <v>8</v>
      </c>
      <c r="P188">
        <f t="shared" ref="P188" si="915">IF(C188=D188,0,((E188-D188)-(C188-E188))/(C188-D188))</f>
        <v>-0.17115551694178907</v>
      </c>
      <c r="Q188">
        <f t="shared" ref="Q188" si="916">F188*P188</f>
        <v>-44296.422847958122</v>
      </c>
      <c r="R188">
        <f t="shared" ref="R188" si="917">R189+Q188</f>
        <v>-12162236.693460915</v>
      </c>
      <c r="S188">
        <f t="shared" ref="S188" si="918">R188/100000</f>
        <v>-121.62236693460915</v>
      </c>
      <c r="T188">
        <f t="shared" ref="T188" si="919">S188/1000</f>
        <v>-0.12162236693460915</v>
      </c>
    </row>
    <row r="189" spans="1:20" x14ac:dyDescent="0.25">
      <c r="A189" s="5">
        <v>44404</v>
      </c>
      <c r="B189">
        <v>12.417999999999999</v>
      </c>
      <c r="C189">
        <v>12.95</v>
      </c>
      <c r="D189">
        <v>11.920999999999999</v>
      </c>
      <c r="E189">
        <v>12.782999999999999</v>
      </c>
      <c r="F189">
        <v>253223.29500000001</v>
      </c>
      <c r="G189">
        <v>12.782999999999999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0.67541302235179823</v>
      </c>
      <c r="Q189">
        <f t="shared" ref="Q189" si="921">F189*P189</f>
        <v>171030.311005831</v>
      </c>
      <c r="R189">
        <f t="shared" ref="R189" si="922">R190+Q189</f>
        <v>-12117940.270612957</v>
      </c>
      <c r="S189">
        <f t="shared" ref="S189" si="923">R189/100000</f>
        <v>-121.17940270612957</v>
      </c>
      <c r="T189">
        <f t="shared" ref="T189" si="924">S189/1000</f>
        <v>-0.12117940270612956</v>
      </c>
    </row>
    <row r="190" spans="1:20" x14ac:dyDescent="0.25">
      <c r="A190" s="5">
        <v>44403</v>
      </c>
      <c r="B190">
        <v>12.542</v>
      </c>
      <c r="C190">
        <v>14.228999999999999</v>
      </c>
      <c r="D190">
        <v>12.11</v>
      </c>
      <c r="E190">
        <v>12.388</v>
      </c>
      <c r="F190">
        <v>575475.84100000001</v>
      </c>
      <c r="G190">
        <v>12.388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-0.73761208117036292</v>
      </c>
      <c r="Q190">
        <f t="shared" ref="Q190" si="926">F190*P190</f>
        <v>-424477.9327432749</v>
      </c>
      <c r="R190">
        <f t="shared" ref="R190" si="927">R191+Q190</f>
        <v>-12288970.581618788</v>
      </c>
      <c r="S190">
        <f t="shared" ref="S190" si="928">R190/100000</f>
        <v>-122.88970581618787</v>
      </c>
      <c r="T190">
        <f t="shared" ref="T190" si="929">S190/1000</f>
        <v>-0.12288970581618787</v>
      </c>
    </row>
    <row r="191" spans="1:20" x14ac:dyDescent="0.25">
      <c r="A191" s="5">
        <v>44402</v>
      </c>
      <c r="B191">
        <v>12.736000000000001</v>
      </c>
      <c r="C191">
        <v>12.9</v>
      </c>
      <c r="D191">
        <v>11.891999999999999</v>
      </c>
      <c r="E191">
        <v>12.542</v>
      </c>
      <c r="F191">
        <v>414980.49400000001</v>
      </c>
      <c r="G191">
        <v>12.542</v>
      </c>
      <c r="L191" t="s">
        <v>7</v>
      </c>
      <c r="M191" t="s">
        <v>7</v>
      </c>
      <c r="N191" t="s">
        <v>8</v>
      </c>
      <c r="P191">
        <f t="shared" ref="P191" si="930">IF(C191=D191,0,((E191-D191)-(C191-E191))/(C191-D191))</f>
        <v>0.28968253968253926</v>
      </c>
      <c r="Q191">
        <f t="shared" ref="Q191" si="931">F191*P191</f>
        <v>120212.60342063475</v>
      </c>
      <c r="R191">
        <f t="shared" ref="R191" si="932">R192+Q191</f>
        <v>-11864492.648875512</v>
      </c>
      <c r="S191">
        <f t="shared" ref="S191" si="933">R191/100000</f>
        <v>-118.64492648875512</v>
      </c>
      <c r="T191">
        <f t="shared" ref="T191:T197" si="934">S191/1000</f>
        <v>-0.11864492648875512</v>
      </c>
    </row>
    <row r="192" spans="1:20" x14ac:dyDescent="0.25">
      <c r="A192" s="5">
        <v>44401</v>
      </c>
      <c r="B192">
        <v>12.092000000000001</v>
      </c>
      <c r="C192">
        <v>14.6</v>
      </c>
      <c r="D192">
        <v>11.58</v>
      </c>
      <c r="E192">
        <v>12.792</v>
      </c>
      <c r="F192">
        <v>1024469.289</v>
      </c>
      <c r="G192">
        <v>12.792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-0.19735099337748349</v>
      </c>
      <c r="Q192">
        <f t="shared" ref="Q192" si="936">F192*P192</f>
        <v>-202180.03186887421</v>
      </c>
      <c r="R192">
        <f t="shared" ref="R192" si="937">R193+Q192</f>
        <v>-11984705.252296146</v>
      </c>
      <c r="S192">
        <f t="shared" ref="S192" si="938">R192/100000</f>
        <v>-119.84705252296146</v>
      </c>
      <c r="T192">
        <f t="shared" si="934"/>
        <v>-0.11984705252296146</v>
      </c>
    </row>
    <row r="193" spans="1:20" x14ac:dyDescent="0.25">
      <c r="A193" s="5">
        <v>44400</v>
      </c>
      <c r="B193">
        <v>11</v>
      </c>
      <c r="C193">
        <v>13.5</v>
      </c>
      <c r="D193">
        <v>10.836</v>
      </c>
      <c r="E193">
        <v>12.092000000000001</v>
      </c>
      <c r="F193">
        <v>972884.27500000002</v>
      </c>
      <c r="G193">
        <v>12.092000000000001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-5.7057057057056777E-2</v>
      </c>
      <c r="Q193">
        <f t="shared" ref="Q193" si="940">F193*P193</f>
        <v>-55509.913588588315</v>
      </c>
      <c r="R193">
        <f t="shared" ref="R193" si="941">R194+Q193</f>
        <v>-11782525.220427271</v>
      </c>
      <c r="S193">
        <f t="shared" ref="S193" si="942">R193/100000</f>
        <v>-117.82525220427272</v>
      </c>
      <c r="T193">
        <f t="shared" si="934"/>
        <v>-0.11782525220427272</v>
      </c>
    </row>
    <row r="194" spans="1:20" x14ac:dyDescent="0.25">
      <c r="A194" s="5">
        <v>44399</v>
      </c>
      <c r="B194">
        <v>10.87</v>
      </c>
      <c r="C194">
        <v>11.1</v>
      </c>
      <c r="D194">
        <v>10.632</v>
      </c>
      <c r="E194">
        <v>10.961</v>
      </c>
      <c r="F194">
        <v>91290.13</v>
      </c>
      <c r="G194">
        <v>10.961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0.40598290598290876</v>
      </c>
      <c r="Q194">
        <f t="shared" ref="Q194" si="944">F194*P194</f>
        <v>37062.232264957522</v>
      </c>
      <c r="R194">
        <f t="shared" ref="R194" si="945">R195+Q194</f>
        <v>-11727015.306838682</v>
      </c>
      <c r="S194">
        <f t="shared" ref="S194" si="946">R194/100000</f>
        <v>-117.27015306838682</v>
      </c>
      <c r="T194">
        <f t="shared" si="934"/>
        <v>-0.11727015306838681</v>
      </c>
    </row>
    <row r="195" spans="1:20" x14ac:dyDescent="0.25">
      <c r="A195" s="5">
        <v>44398</v>
      </c>
      <c r="B195">
        <v>10.170999999999999</v>
      </c>
      <c r="C195">
        <v>11.2</v>
      </c>
      <c r="D195">
        <v>10.061</v>
      </c>
      <c r="E195">
        <v>10.872999999999999</v>
      </c>
      <c r="F195">
        <v>164110.924</v>
      </c>
      <c r="G195">
        <v>10.872999999999999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0.42581211589113233</v>
      </c>
      <c r="Q195">
        <f t="shared" ref="Q195" si="948">F195*P195</f>
        <v>69880.419789288804</v>
      </c>
      <c r="R195">
        <f t="shared" ref="R195" si="949">R196+Q195</f>
        <v>-11764077.53910364</v>
      </c>
      <c r="S195">
        <f t="shared" ref="S195" si="950">R195/100000</f>
        <v>-117.6407753910364</v>
      </c>
      <c r="T195">
        <f t="shared" si="934"/>
        <v>-0.1176407753910364</v>
      </c>
    </row>
    <row r="196" spans="1:20" x14ac:dyDescent="0.25">
      <c r="A196" s="5">
        <v>44397</v>
      </c>
      <c r="B196">
        <v>10.92</v>
      </c>
      <c r="C196">
        <v>10.920999999999999</v>
      </c>
      <c r="D196">
        <v>9.7750000000000004</v>
      </c>
      <c r="E196">
        <v>10.167</v>
      </c>
      <c r="F196">
        <v>130246.488</v>
      </c>
      <c r="G196">
        <v>10.167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-0.31588132635253091</v>
      </c>
      <c r="Q196">
        <f t="shared" ref="Q196" si="952">F196*P196</f>
        <v>-41142.433382199</v>
      </c>
      <c r="R196">
        <f t="shared" ref="R196" si="953">R197+Q196</f>
        <v>-11833957.958892928</v>
      </c>
      <c r="S196">
        <f t="shared" ref="S196" si="954">R196/100000</f>
        <v>-118.33957958892928</v>
      </c>
      <c r="T196">
        <f t="shared" si="934"/>
        <v>-0.11833957958892928</v>
      </c>
    </row>
    <row r="197" spans="1:20" x14ac:dyDescent="0.25">
      <c r="A197" s="5">
        <v>44396</v>
      </c>
      <c r="B197">
        <v>11.411</v>
      </c>
      <c r="C197">
        <v>11.5</v>
      </c>
      <c r="D197">
        <v>10.507</v>
      </c>
      <c r="E197">
        <v>10.92</v>
      </c>
      <c r="F197">
        <v>174777.533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-0.16817724068479331</v>
      </c>
      <c r="Q197">
        <f t="shared" ref="Q197" si="956">F197*P197</f>
        <v>-29393.603233635404</v>
      </c>
      <c r="R197">
        <f t="shared" ref="R197" si="957">R198+Q197</f>
        <v>-11792815.52551073</v>
      </c>
      <c r="S197">
        <f t="shared" ref="S197" si="958">R197/100000</f>
        <v>-117.9281552551073</v>
      </c>
      <c r="T197">
        <f t="shared" si="934"/>
        <v>-0.1179281552551073</v>
      </c>
    </row>
    <row r="198" spans="1:20" x14ac:dyDescent="0.25">
      <c r="A198" s="5">
        <v>44395</v>
      </c>
      <c r="B198">
        <v>11.34</v>
      </c>
      <c r="C198">
        <v>11.737</v>
      </c>
      <c r="D198">
        <v>11</v>
      </c>
      <c r="E198">
        <v>11.4</v>
      </c>
      <c r="F198">
        <v>142965.12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8.5481682496608688E-2</v>
      </c>
      <c r="Q198">
        <f t="shared" ref="Q198:Q261" si="960">F198*P198</f>
        <v>12220.89899592956</v>
      </c>
      <c r="R198">
        <f t="shared" ref="R198:R261" si="961">R199+Q198</f>
        <v>-11763421.922277095</v>
      </c>
      <c r="S198">
        <f t="shared" ref="S198:S261" si="962">R198/100000</f>
        <v>-117.63421922277095</v>
      </c>
      <c r="T198">
        <f t="shared" ref="T198:T261" si="963">S198/1000</f>
        <v>-0.11763421922277095</v>
      </c>
    </row>
    <row r="199" spans="1:20" x14ac:dyDescent="0.25">
      <c r="A199" s="5">
        <v>44394</v>
      </c>
      <c r="B199">
        <v>11.29</v>
      </c>
      <c r="C199">
        <v>11.52</v>
      </c>
      <c r="D199">
        <v>11.02</v>
      </c>
      <c r="E199">
        <v>11.34</v>
      </c>
      <c r="F199">
        <v>116287.3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0.28000000000000114</v>
      </c>
      <c r="Q199">
        <f t="shared" si="960"/>
        <v>32560.444000000134</v>
      </c>
      <c r="R199">
        <f t="shared" si="961"/>
        <v>-11775642.821273025</v>
      </c>
      <c r="S199">
        <f t="shared" si="962"/>
        <v>-117.75642821273026</v>
      </c>
      <c r="T199">
        <f t="shared" si="963"/>
        <v>-0.11775642821273026</v>
      </c>
    </row>
    <row r="200" spans="1:20" x14ac:dyDescent="0.25">
      <c r="A200" s="5">
        <v>44393</v>
      </c>
      <c r="B200">
        <v>11.944000000000001</v>
      </c>
      <c r="C200">
        <v>12.089</v>
      </c>
      <c r="D200">
        <v>11.21</v>
      </c>
      <c r="E200">
        <v>11.292999999999999</v>
      </c>
      <c r="F200">
        <v>123273.17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-0.81114903299203989</v>
      </c>
      <c r="Q200">
        <f t="shared" si="960"/>
        <v>-99992.912639363334</v>
      </c>
      <c r="R200">
        <f t="shared" si="961"/>
        <v>-11808203.265273025</v>
      </c>
      <c r="S200">
        <f t="shared" si="962"/>
        <v>-118.08203265273025</v>
      </c>
      <c r="T200">
        <f t="shared" si="963"/>
        <v>-0.11808203265273025</v>
      </c>
    </row>
    <row r="201" spans="1:20" x14ac:dyDescent="0.25">
      <c r="A201" s="5">
        <v>44392</v>
      </c>
      <c r="B201">
        <v>12.093</v>
      </c>
      <c r="C201">
        <v>12.297000000000001</v>
      </c>
      <c r="D201">
        <v>11.6</v>
      </c>
      <c r="E201">
        <v>11.944000000000001</v>
      </c>
      <c r="F201">
        <v>184810.367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-1.2912482065995054E-2</v>
      </c>
      <c r="Q201">
        <f t="shared" si="960"/>
        <v>-2386.360549497464</v>
      </c>
      <c r="R201">
        <f t="shared" si="961"/>
        <v>-11708210.352633663</v>
      </c>
      <c r="S201">
        <f t="shared" si="962"/>
        <v>-117.08210352633662</v>
      </c>
      <c r="T201">
        <f t="shared" si="963"/>
        <v>-0.11708210352633662</v>
      </c>
    </row>
    <row r="202" spans="1:20" x14ac:dyDescent="0.25">
      <c r="A202" s="5">
        <v>44391</v>
      </c>
      <c r="B202">
        <v>11.862</v>
      </c>
      <c r="C202">
        <v>12.537000000000001</v>
      </c>
      <c r="D202">
        <v>11.6</v>
      </c>
      <c r="E202">
        <v>12.093</v>
      </c>
      <c r="F202">
        <v>193154.565</v>
      </c>
      <c r="G202">
        <v>0</v>
      </c>
      <c r="L202" t="s">
        <v>8</v>
      </c>
      <c r="M202" t="s">
        <v>7</v>
      </c>
      <c r="N202" t="s">
        <v>8</v>
      </c>
      <c r="P202">
        <f t="shared" si="959"/>
        <v>5.2294557097117854E-2</v>
      </c>
      <c r="Q202">
        <f t="shared" si="960"/>
        <v>10100.932427961461</v>
      </c>
      <c r="R202">
        <f t="shared" si="961"/>
        <v>-11705823.992084164</v>
      </c>
      <c r="S202">
        <f t="shared" si="962"/>
        <v>-117.05823992084164</v>
      </c>
      <c r="T202">
        <f t="shared" si="963"/>
        <v>-0.11705823992084165</v>
      </c>
    </row>
    <row r="203" spans="1:20" x14ac:dyDescent="0.25">
      <c r="A203" s="5">
        <v>44390</v>
      </c>
      <c r="B203">
        <v>12.430999999999999</v>
      </c>
      <c r="C203">
        <v>12.558999999999999</v>
      </c>
      <c r="D203">
        <v>11.65</v>
      </c>
      <c r="E203">
        <v>11.862</v>
      </c>
      <c r="F203">
        <v>144337.28200000001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-0.53355335533553361</v>
      </c>
      <c r="Q203">
        <f t="shared" si="960"/>
        <v>-77011.641111111123</v>
      </c>
      <c r="R203">
        <f t="shared" si="961"/>
        <v>-11715924.924512126</v>
      </c>
      <c r="S203">
        <f t="shared" si="962"/>
        <v>-117.15924924512126</v>
      </c>
      <c r="T203">
        <f t="shared" si="963"/>
        <v>-0.11715924924512126</v>
      </c>
    </row>
    <row r="204" spans="1:20" x14ac:dyDescent="0.25">
      <c r="A204" s="5">
        <v>44389</v>
      </c>
      <c r="B204">
        <v>12.869</v>
      </c>
      <c r="C204">
        <v>12.954000000000001</v>
      </c>
      <c r="D204">
        <v>12.25</v>
      </c>
      <c r="E204">
        <v>12.397</v>
      </c>
      <c r="F204">
        <v>129680.82799999999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-0.58238636363636331</v>
      </c>
      <c r="Q204">
        <f t="shared" si="960"/>
        <v>-75524.345852272687</v>
      </c>
      <c r="R204">
        <f t="shared" si="961"/>
        <v>-11638913.283401014</v>
      </c>
      <c r="S204">
        <f t="shared" si="962"/>
        <v>-116.38913283401014</v>
      </c>
      <c r="T204">
        <f t="shared" si="963"/>
        <v>-0.11638913283401014</v>
      </c>
    </row>
    <row r="205" spans="1:20" x14ac:dyDescent="0.25">
      <c r="A205" s="5">
        <v>44388</v>
      </c>
      <c r="B205">
        <v>12.632999999999999</v>
      </c>
      <c r="C205">
        <v>13.422000000000001</v>
      </c>
      <c r="D205">
        <v>12.581</v>
      </c>
      <c r="E205">
        <v>12.9</v>
      </c>
      <c r="F205">
        <v>185075.095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-0.24137931034482657</v>
      </c>
      <c r="Q205">
        <f t="shared" si="960"/>
        <v>-44673.298793103262</v>
      </c>
      <c r="R205">
        <f t="shared" si="961"/>
        <v>-11563388.937548742</v>
      </c>
      <c r="S205">
        <f t="shared" si="962"/>
        <v>-115.63388937548741</v>
      </c>
      <c r="T205">
        <f t="shared" si="963"/>
        <v>-0.11563388937548741</v>
      </c>
    </row>
    <row r="206" spans="1:20" x14ac:dyDescent="0.25">
      <c r="A206" s="5">
        <v>44387</v>
      </c>
      <c r="B206">
        <v>12.536</v>
      </c>
      <c r="C206">
        <v>13</v>
      </c>
      <c r="D206">
        <v>12.257999999999999</v>
      </c>
      <c r="E206">
        <v>12.632</v>
      </c>
      <c r="F206">
        <v>197737.16800000001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8.0862533692725343E-3</v>
      </c>
      <c r="Q206">
        <f t="shared" si="960"/>
        <v>1598.9528409704092</v>
      </c>
      <c r="R206">
        <f t="shared" si="961"/>
        <v>-11518715.638755638</v>
      </c>
      <c r="S206">
        <f t="shared" si="962"/>
        <v>-115.18715638755639</v>
      </c>
      <c r="T206">
        <f t="shared" si="963"/>
        <v>-0.11518715638755639</v>
      </c>
    </row>
    <row r="207" spans="1:20" x14ac:dyDescent="0.25">
      <c r="A207" s="5">
        <v>44386</v>
      </c>
      <c r="B207">
        <v>11.933999999999999</v>
      </c>
      <c r="C207">
        <v>12.595000000000001</v>
      </c>
      <c r="D207">
        <v>11.558</v>
      </c>
      <c r="E207">
        <v>12.537000000000001</v>
      </c>
      <c r="F207">
        <v>129584.973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0.88813886210221837</v>
      </c>
      <c r="Q207">
        <f t="shared" si="960"/>
        <v>115089.45046576668</v>
      </c>
      <c r="R207">
        <f t="shared" si="961"/>
        <v>-11520314.591596609</v>
      </c>
      <c r="S207">
        <f t="shared" si="962"/>
        <v>-115.20314591596609</v>
      </c>
      <c r="T207">
        <f t="shared" si="963"/>
        <v>-0.11520314591596609</v>
      </c>
    </row>
    <row r="208" spans="1:20" x14ac:dyDescent="0.25">
      <c r="A208" s="5">
        <v>44385</v>
      </c>
      <c r="B208">
        <v>12.731</v>
      </c>
      <c r="C208">
        <v>12.804</v>
      </c>
      <c r="D208">
        <v>11.8</v>
      </c>
      <c r="E208">
        <v>11.885</v>
      </c>
      <c r="F208">
        <v>187067.193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-0.8306772908366552</v>
      </c>
      <c r="Q208">
        <f t="shared" si="960"/>
        <v>-155392.46908565771</v>
      </c>
      <c r="R208">
        <f t="shared" si="961"/>
        <v>-11635404.042062376</v>
      </c>
      <c r="S208">
        <f t="shared" si="962"/>
        <v>-116.35404042062376</v>
      </c>
      <c r="T208">
        <f t="shared" si="963"/>
        <v>-0.11635404042062376</v>
      </c>
    </row>
    <row r="209" spans="1:20" x14ac:dyDescent="0.25">
      <c r="A209" s="5">
        <v>44384</v>
      </c>
      <c r="B209">
        <v>13.202999999999999</v>
      </c>
      <c r="C209">
        <v>13.680999999999999</v>
      </c>
      <c r="D209">
        <v>12.686999999999999</v>
      </c>
      <c r="E209">
        <v>12.731</v>
      </c>
      <c r="F209">
        <v>232375.82399999999</v>
      </c>
      <c r="G209">
        <v>0</v>
      </c>
      <c r="L209" t="s">
        <v>8</v>
      </c>
      <c r="M209" t="s">
        <v>7</v>
      </c>
      <c r="N209" t="s">
        <v>8</v>
      </c>
      <c r="P209">
        <f t="shared" si="959"/>
        <v>-0.91146881287726256</v>
      </c>
      <c r="Q209">
        <f t="shared" si="960"/>
        <v>-211803.31644265569</v>
      </c>
      <c r="R209">
        <f t="shared" si="961"/>
        <v>-11480011.572976718</v>
      </c>
      <c r="S209">
        <f t="shared" si="962"/>
        <v>-114.80011572976717</v>
      </c>
      <c r="T209">
        <f t="shared" si="963"/>
        <v>-0.11480011572976717</v>
      </c>
    </row>
    <row r="210" spans="1:20" x14ac:dyDescent="0.25">
      <c r="A210" s="5">
        <v>44383</v>
      </c>
      <c r="B210">
        <v>12.379</v>
      </c>
      <c r="C210">
        <v>13.302</v>
      </c>
      <c r="D210">
        <v>12.2</v>
      </c>
      <c r="E210">
        <v>13.215</v>
      </c>
      <c r="F210">
        <v>253658.057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0.84210526315789525</v>
      </c>
      <c r="Q210">
        <f t="shared" si="960"/>
        <v>213606.78484210538</v>
      </c>
      <c r="R210">
        <f t="shared" si="961"/>
        <v>-11268208.256534062</v>
      </c>
      <c r="S210">
        <f t="shared" si="962"/>
        <v>-112.68208256534062</v>
      </c>
      <c r="T210">
        <f t="shared" si="963"/>
        <v>-0.11268208256534062</v>
      </c>
    </row>
    <row r="211" spans="1:20" x14ac:dyDescent="0.25">
      <c r="A211" s="5">
        <v>44382</v>
      </c>
      <c r="B211">
        <v>12.968</v>
      </c>
      <c r="C211">
        <v>13</v>
      </c>
      <c r="D211">
        <v>11.851000000000001</v>
      </c>
      <c r="E211">
        <v>12.379</v>
      </c>
      <c r="F211">
        <v>245649.72899999999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-8.0939947780680435E-2</v>
      </c>
      <c r="Q211">
        <f t="shared" si="960"/>
        <v>-19882.876237598299</v>
      </c>
      <c r="R211">
        <f t="shared" si="961"/>
        <v>-11481815.041376168</v>
      </c>
      <c r="S211">
        <f t="shared" si="962"/>
        <v>-114.81815041376169</v>
      </c>
      <c r="T211">
        <f t="shared" si="963"/>
        <v>-0.11481815041376169</v>
      </c>
    </row>
    <row r="212" spans="1:20" x14ac:dyDescent="0.25">
      <c r="A212" s="5">
        <v>44381</v>
      </c>
      <c r="B212">
        <v>12.673</v>
      </c>
      <c r="C212">
        <v>13.448</v>
      </c>
      <c r="D212">
        <v>12.117000000000001</v>
      </c>
      <c r="E212">
        <v>12.99</v>
      </c>
      <c r="F212">
        <v>318663.38900000002</v>
      </c>
      <c r="G212">
        <v>0</v>
      </c>
      <c r="L212" t="s">
        <v>7</v>
      </c>
      <c r="M212" t="s">
        <v>8</v>
      </c>
      <c r="N212" t="s">
        <v>8</v>
      </c>
      <c r="P212">
        <f t="shared" si="959"/>
        <v>0.31179564237415425</v>
      </c>
      <c r="Q212">
        <f t="shared" si="960"/>
        <v>99357.856074380004</v>
      </c>
      <c r="R212">
        <f t="shared" si="961"/>
        <v>-11461932.165138569</v>
      </c>
      <c r="S212">
        <f t="shared" si="962"/>
        <v>-114.61932165138569</v>
      </c>
      <c r="T212">
        <f t="shared" si="963"/>
        <v>-0.11461932165138569</v>
      </c>
    </row>
    <row r="213" spans="1:20" x14ac:dyDescent="0.25">
      <c r="A213" s="5">
        <v>44380</v>
      </c>
      <c r="B213">
        <v>11.547000000000001</v>
      </c>
      <c r="C213">
        <v>14.6</v>
      </c>
      <c r="D213">
        <v>11.353999999999999</v>
      </c>
      <c r="E213">
        <v>12.63</v>
      </c>
      <c r="F213">
        <v>589426.84400000004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-0.21380160197165657</v>
      </c>
      <c r="Q213">
        <f t="shared" si="960"/>
        <v>-126020.40349229772</v>
      </c>
      <c r="R213">
        <f t="shared" si="961"/>
        <v>-11561290.021212948</v>
      </c>
      <c r="S213">
        <f t="shared" si="962"/>
        <v>-115.61290021212949</v>
      </c>
      <c r="T213">
        <f t="shared" si="963"/>
        <v>-0.11561290021212949</v>
      </c>
    </row>
    <row r="214" spans="1:20" x14ac:dyDescent="0.25">
      <c r="A214" s="5">
        <v>44379</v>
      </c>
      <c r="B214">
        <v>11.537000000000001</v>
      </c>
      <c r="C214">
        <v>11.64</v>
      </c>
      <c r="D214">
        <v>11.157999999999999</v>
      </c>
      <c r="E214">
        <v>11.547000000000001</v>
      </c>
      <c r="F214">
        <v>128599.069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0.61410788381742842</v>
      </c>
      <c r="Q214">
        <f t="shared" si="960"/>
        <v>78973.702124481468</v>
      </c>
      <c r="R214">
        <f t="shared" si="961"/>
        <v>-11435269.617720651</v>
      </c>
      <c r="S214">
        <f t="shared" si="962"/>
        <v>-114.35269617720651</v>
      </c>
      <c r="T214">
        <f t="shared" si="963"/>
        <v>-0.11435269617720652</v>
      </c>
    </row>
    <row r="215" spans="1:20" x14ac:dyDescent="0.25">
      <c r="A215" s="5">
        <v>44378</v>
      </c>
      <c r="B215">
        <v>11.849</v>
      </c>
      <c r="C215">
        <v>11.878</v>
      </c>
      <c r="D215">
        <v>11.2</v>
      </c>
      <c r="E215">
        <v>11.541</v>
      </c>
      <c r="F215">
        <v>135082.258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5.8997050147512253E-3</v>
      </c>
      <c r="Q215">
        <f t="shared" si="960"/>
        <v>796.94547492651884</v>
      </c>
      <c r="R215">
        <f t="shared" si="961"/>
        <v>-11514243.319845133</v>
      </c>
      <c r="S215">
        <f t="shared" si="962"/>
        <v>-115.14243319845133</v>
      </c>
      <c r="T215">
        <f t="shared" si="963"/>
        <v>-0.11514243319845133</v>
      </c>
    </row>
    <row r="216" spans="1:20" x14ac:dyDescent="0.25">
      <c r="A216" s="5">
        <v>44377</v>
      </c>
      <c r="B216">
        <v>12.163</v>
      </c>
      <c r="C216">
        <v>12.21</v>
      </c>
      <c r="D216">
        <v>11.209</v>
      </c>
      <c r="E216">
        <v>11.878</v>
      </c>
      <c r="F216">
        <v>155013.47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0.33666333666333598</v>
      </c>
      <c r="Q216">
        <f t="shared" si="960"/>
        <v>52187.352037961929</v>
      </c>
      <c r="R216">
        <f t="shared" si="961"/>
        <v>-11515040.265320059</v>
      </c>
      <c r="S216">
        <f t="shared" si="962"/>
        <v>-115.15040265320059</v>
      </c>
      <c r="T216">
        <f t="shared" si="963"/>
        <v>-0.11515040265320059</v>
      </c>
    </row>
    <row r="217" spans="1:20" x14ac:dyDescent="0.25">
      <c r="A217" s="5">
        <v>44376</v>
      </c>
      <c r="B217">
        <v>11.837999999999999</v>
      </c>
      <c r="C217">
        <v>12.606</v>
      </c>
      <c r="D217">
        <v>11.744999999999999</v>
      </c>
      <c r="E217">
        <v>12.201000000000001</v>
      </c>
      <c r="F217">
        <v>223606.37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5.9233449477354115E-2</v>
      </c>
      <c r="Q217">
        <f t="shared" si="960"/>
        <v>13244.976620209551</v>
      </c>
      <c r="R217">
        <f t="shared" si="961"/>
        <v>-11567227.617358021</v>
      </c>
      <c r="S217">
        <f t="shared" si="962"/>
        <v>-115.67227617358022</v>
      </c>
      <c r="T217">
        <f t="shared" si="963"/>
        <v>-0.11567227617358021</v>
      </c>
    </row>
    <row r="218" spans="1:20" x14ac:dyDescent="0.25">
      <c r="A218" s="5">
        <v>44375</v>
      </c>
      <c r="B218">
        <v>11.698</v>
      </c>
      <c r="C218">
        <v>12.301</v>
      </c>
      <c r="D218">
        <v>11.356999999999999</v>
      </c>
      <c r="E218">
        <v>11.836</v>
      </c>
      <c r="F218">
        <v>215995.715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1.4830508474577448E-2</v>
      </c>
      <c r="Q218">
        <f t="shared" si="960"/>
        <v>3203.326281779915</v>
      </c>
      <c r="R218">
        <f t="shared" si="961"/>
        <v>-11580472.593978232</v>
      </c>
      <c r="S218">
        <f t="shared" si="962"/>
        <v>-115.80472593978232</v>
      </c>
      <c r="T218">
        <f t="shared" si="963"/>
        <v>-0.11580472593978232</v>
      </c>
    </row>
    <row r="219" spans="1:20" x14ac:dyDescent="0.25">
      <c r="A219" s="5">
        <v>44374</v>
      </c>
      <c r="B219">
        <v>11.54</v>
      </c>
      <c r="C219">
        <v>11.760999999999999</v>
      </c>
      <c r="D219">
        <v>10.897</v>
      </c>
      <c r="E219">
        <v>11.698</v>
      </c>
      <c r="F219">
        <v>264840.245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0.85416666666666918</v>
      </c>
      <c r="Q219">
        <f t="shared" si="960"/>
        <v>226217.70927083399</v>
      </c>
      <c r="R219">
        <f t="shared" si="961"/>
        <v>-11583675.920260012</v>
      </c>
      <c r="S219">
        <f t="shared" si="962"/>
        <v>-115.83675920260012</v>
      </c>
      <c r="T219">
        <f t="shared" si="963"/>
        <v>-0.11583675920260011</v>
      </c>
    </row>
    <row r="220" spans="1:20" x14ac:dyDescent="0.25">
      <c r="A220" s="5">
        <v>44373</v>
      </c>
      <c r="B220">
        <v>10.933</v>
      </c>
      <c r="C220">
        <v>12</v>
      </c>
      <c r="D220">
        <v>10.35</v>
      </c>
      <c r="E220">
        <v>11.504</v>
      </c>
      <c r="F220">
        <v>278131.59299999999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0.39878787878787836</v>
      </c>
      <c r="Q220">
        <f t="shared" si="960"/>
        <v>110915.50799636351</v>
      </c>
      <c r="R220">
        <f t="shared" si="961"/>
        <v>-11809893.629530845</v>
      </c>
      <c r="S220">
        <f t="shared" si="962"/>
        <v>-118.09893629530845</v>
      </c>
      <c r="T220">
        <f t="shared" si="963"/>
        <v>-0.11809893629530845</v>
      </c>
    </row>
    <row r="221" spans="1:20" x14ac:dyDescent="0.25">
      <c r="A221" s="5">
        <v>44372</v>
      </c>
      <c r="B221">
        <v>12.164</v>
      </c>
      <c r="C221">
        <v>12.51</v>
      </c>
      <c r="D221">
        <v>10.573</v>
      </c>
      <c r="E221">
        <v>10.936</v>
      </c>
      <c r="F221">
        <v>188661.209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-0.62519359834796107</v>
      </c>
      <c r="Q221">
        <f t="shared" si="960"/>
        <v>-117949.78012338674</v>
      </c>
      <c r="R221">
        <f t="shared" si="961"/>
        <v>-11920809.137527209</v>
      </c>
      <c r="S221">
        <f t="shared" si="962"/>
        <v>-119.20809137527209</v>
      </c>
      <c r="T221">
        <f t="shared" si="963"/>
        <v>-0.11920809137527209</v>
      </c>
    </row>
    <row r="222" spans="1:20" x14ac:dyDescent="0.25">
      <c r="A222" s="5">
        <v>44371</v>
      </c>
      <c r="B222">
        <v>11.83</v>
      </c>
      <c r="C222">
        <v>12.295</v>
      </c>
      <c r="D222">
        <v>11.06</v>
      </c>
      <c r="E222">
        <v>12.180999999999999</v>
      </c>
      <c r="F222">
        <v>222938.37299999999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0.81538461538461404</v>
      </c>
      <c r="Q222">
        <f t="shared" si="960"/>
        <v>181780.51952307663</v>
      </c>
      <c r="R222">
        <f t="shared" si="961"/>
        <v>-11802859.357403822</v>
      </c>
      <c r="S222">
        <f t="shared" si="962"/>
        <v>-118.02859357403823</v>
      </c>
      <c r="T222">
        <f t="shared" si="963"/>
        <v>-0.11802859357403822</v>
      </c>
    </row>
    <row r="223" spans="1:20" x14ac:dyDescent="0.25">
      <c r="A223" s="5">
        <v>44370</v>
      </c>
      <c r="B223">
        <v>10.99</v>
      </c>
      <c r="C223">
        <v>12.494</v>
      </c>
      <c r="D223">
        <v>10.46</v>
      </c>
      <c r="E223">
        <v>11.83</v>
      </c>
      <c r="F223">
        <v>277307.033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0.34709931170108155</v>
      </c>
      <c r="Q223">
        <f t="shared" si="960"/>
        <v>96253.080284169104</v>
      </c>
      <c r="R223">
        <f t="shared" si="961"/>
        <v>-11984639.876926899</v>
      </c>
      <c r="S223">
        <f t="shared" si="962"/>
        <v>-119.84639876926899</v>
      </c>
      <c r="T223">
        <f t="shared" si="963"/>
        <v>-0.11984639876926899</v>
      </c>
    </row>
    <row r="224" spans="1:20" x14ac:dyDescent="0.25">
      <c r="A224" s="5">
        <v>44369</v>
      </c>
      <c r="B224">
        <v>11.606999999999999</v>
      </c>
      <c r="C224">
        <v>12.86</v>
      </c>
      <c r="D224">
        <v>9.1999999999999993</v>
      </c>
      <c r="E224">
        <v>10.991</v>
      </c>
      <c r="F224">
        <v>470771.23300000001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-2.1311475409835901E-2</v>
      </c>
      <c r="Q224">
        <f t="shared" si="960"/>
        <v>-10032.829555737628</v>
      </c>
      <c r="R224">
        <f t="shared" si="961"/>
        <v>-12080892.957211068</v>
      </c>
      <c r="S224">
        <f t="shared" si="962"/>
        <v>-120.80892957211069</v>
      </c>
      <c r="T224">
        <f t="shared" si="963"/>
        <v>-0.12080892957211069</v>
      </c>
    </row>
    <row r="225" spans="1:20" x14ac:dyDescent="0.25">
      <c r="A225" s="5">
        <v>44368</v>
      </c>
      <c r="B225">
        <v>14.086</v>
      </c>
      <c r="C225">
        <v>15.260999999999999</v>
      </c>
      <c r="D225">
        <v>11.414</v>
      </c>
      <c r="E225">
        <v>11.606999999999999</v>
      </c>
      <c r="F225">
        <v>441367.44300000003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-0.89966207434364454</v>
      </c>
      <c r="Q225">
        <f t="shared" si="960"/>
        <v>-397081.5493171303</v>
      </c>
      <c r="R225">
        <f t="shared" si="961"/>
        <v>-12070860.127655331</v>
      </c>
      <c r="S225">
        <f t="shared" si="962"/>
        <v>-120.70860127655331</v>
      </c>
      <c r="T225">
        <f t="shared" si="963"/>
        <v>-0.12070860127655331</v>
      </c>
    </row>
    <row r="226" spans="1:20" x14ac:dyDescent="0.25">
      <c r="A226" s="5">
        <v>44367</v>
      </c>
      <c r="B226">
        <v>14.036</v>
      </c>
      <c r="C226">
        <v>14.5</v>
      </c>
      <c r="D226">
        <v>12.676</v>
      </c>
      <c r="E226">
        <v>14.086</v>
      </c>
      <c r="F226">
        <v>301574.37800000003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0.54605263157894768</v>
      </c>
      <c r="Q226">
        <f t="shared" si="960"/>
        <v>164675.48272368431</v>
      </c>
      <c r="R226">
        <f t="shared" si="961"/>
        <v>-11673778.5783382</v>
      </c>
      <c r="S226">
        <f t="shared" si="962"/>
        <v>-116.73778578338201</v>
      </c>
      <c r="T226">
        <f t="shared" si="963"/>
        <v>-0.11673778578338201</v>
      </c>
    </row>
    <row r="227" spans="1:20" x14ac:dyDescent="0.25">
      <c r="A227" s="5">
        <v>44366</v>
      </c>
      <c r="B227">
        <v>14.519</v>
      </c>
      <c r="C227">
        <v>16</v>
      </c>
      <c r="D227">
        <v>13.962999999999999</v>
      </c>
      <c r="E227">
        <v>14.041</v>
      </c>
      <c r="F227">
        <v>445787.43900000001</v>
      </c>
      <c r="G227">
        <v>0</v>
      </c>
      <c r="L227" t="s">
        <v>7</v>
      </c>
      <c r="M227" t="s">
        <v>7</v>
      </c>
      <c r="N227" t="s">
        <v>8</v>
      </c>
      <c r="P227">
        <f t="shared" si="959"/>
        <v>-0.92341678939616967</v>
      </c>
      <c r="Q227">
        <f t="shared" si="960"/>
        <v>-411647.60567452083</v>
      </c>
      <c r="R227">
        <f t="shared" si="961"/>
        <v>-11838454.061061885</v>
      </c>
      <c r="S227">
        <f t="shared" si="962"/>
        <v>-118.38454061061886</v>
      </c>
      <c r="T227">
        <f t="shared" si="963"/>
        <v>-0.11838454061061886</v>
      </c>
    </row>
    <row r="228" spans="1:20" x14ac:dyDescent="0.25">
      <c r="A228" s="5">
        <v>44365</v>
      </c>
      <c r="B228">
        <v>13.755000000000001</v>
      </c>
      <c r="C228">
        <v>18</v>
      </c>
      <c r="D228">
        <v>13.528</v>
      </c>
      <c r="E228">
        <v>14.518000000000001</v>
      </c>
      <c r="F228">
        <v>1526223.402</v>
      </c>
      <c r="G228">
        <v>0</v>
      </c>
      <c r="L228" t="s">
        <v>8</v>
      </c>
      <c r="M228" t="s">
        <v>8</v>
      </c>
      <c r="N228" t="s">
        <v>8</v>
      </c>
      <c r="P228">
        <f t="shared" si="959"/>
        <v>-0.55724508050089427</v>
      </c>
      <c r="Q228">
        <f t="shared" si="960"/>
        <v>-850480.48250983877</v>
      </c>
      <c r="R228">
        <f t="shared" si="961"/>
        <v>-11426806.455387365</v>
      </c>
      <c r="S228">
        <f t="shared" si="962"/>
        <v>-114.26806455387366</v>
      </c>
      <c r="T228">
        <f t="shared" si="963"/>
        <v>-0.11426806455387366</v>
      </c>
    </row>
    <row r="229" spans="1:20" x14ac:dyDescent="0.25">
      <c r="A229" s="5">
        <v>44364</v>
      </c>
      <c r="B229">
        <v>12.881</v>
      </c>
      <c r="C229">
        <v>15.667999999999999</v>
      </c>
      <c r="D229">
        <v>12.878</v>
      </c>
      <c r="E229">
        <v>13.785</v>
      </c>
      <c r="F229">
        <v>641598.15099999995</v>
      </c>
      <c r="G229">
        <v>0</v>
      </c>
      <c r="L229" t="s">
        <v>8</v>
      </c>
      <c r="M229" t="s">
        <v>8</v>
      </c>
      <c r="N229" t="s">
        <v>8</v>
      </c>
      <c r="P229">
        <f t="shared" si="959"/>
        <v>-0.34982078853046572</v>
      </c>
      <c r="Q229">
        <f t="shared" si="960"/>
        <v>-224444.3711025088</v>
      </c>
      <c r="R229">
        <f t="shared" si="961"/>
        <v>-10576325.972877527</v>
      </c>
      <c r="S229">
        <f t="shared" si="962"/>
        <v>-105.76325972877527</v>
      </c>
      <c r="T229">
        <f t="shared" si="963"/>
        <v>-0.10576325972877526</v>
      </c>
    </row>
    <row r="230" spans="1:20" x14ac:dyDescent="0.25">
      <c r="A230" s="5">
        <v>44363</v>
      </c>
      <c r="B230">
        <v>14.045</v>
      </c>
      <c r="C230">
        <v>14.273999999999999</v>
      </c>
      <c r="D230">
        <v>12.579000000000001</v>
      </c>
      <c r="E230">
        <v>12.923</v>
      </c>
      <c r="F230">
        <v>261345.19099999999</v>
      </c>
      <c r="G230">
        <v>0</v>
      </c>
      <c r="L230" t="s">
        <v>7</v>
      </c>
      <c r="M230" t="s">
        <v>7</v>
      </c>
      <c r="N230" t="s">
        <v>8</v>
      </c>
      <c r="P230">
        <f t="shared" si="959"/>
        <v>-0.59410029498525108</v>
      </c>
      <c r="Q230">
        <f t="shared" si="960"/>
        <v>-155265.25506607679</v>
      </c>
      <c r="R230">
        <f t="shared" si="961"/>
        <v>-10351881.601775018</v>
      </c>
      <c r="S230">
        <f t="shared" si="962"/>
        <v>-103.51881601775018</v>
      </c>
      <c r="T230">
        <f t="shared" si="963"/>
        <v>-0.10351881601775018</v>
      </c>
    </row>
    <row r="231" spans="1:20" x14ac:dyDescent="0.25">
      <c r="A231" s="5">
        <v>44362</v>
      </c>
      <c r="B231">
        <v>14.18</v>
      </c>
      <c r="C231">
        <v>14.654999999999999</v>
      </c>
      <c r="D231">
        <v>13.795</v>
      </c>
      <c r="E231">
        <v>14.077</v>
      </c>
      <c r="F231">
        <v>285069.06800000003</v>
      </c>
      <c r="G231">
        <v>0</v>
      </c>
      <c r="L231" t="s">
        <v>8</v>
      </c>
      <c r="M231" t="s">
        <v>8</v>
      </c>
      <c r="N231" t="s">
        <v>8</v>
      </c>
      <c r="P231">
        <f t="shared" si="959"/>
        <v>-0.34418604651162743</v>
      </c>
      <c r="Q231">
        <f t="shared" si="960"/>
        <v>-98116.795497674291</v>
      </c>
      <c r="R231">
        <f t="shared" si="961"/>
        <v>-10196616.346708942</v>
      </c>
      <c r="S231">
        <f t="shared" si="962"/>
        <v>-101.96616346708942</v>
      </c>
      <c r="T231">
        <f t="shared" si="963"/>
        <v>-0.10196616346708942</v>
      </c>
    </row>
    <row r="232" spans="1:20" x14ac:dyDescent="0.25">
      <c r="A232" s="5">
        <v>44361</v>
      </c>
      <c r="B232">
        <v>14.045999999999999</v>
      </c>
      <c r="C232">
        <v>14.654999999999999</v>
      </c>
      <c r="D232">
        <v>13.252000000000001</v>
      </c>
      <c r="E232">
        <v>14.18</v>
      </c>
      <c r="F232">
        <v>435947.65100000001</v>
      </c>
      <c r="G232">
        <v>0</v>
      </c>
      <c r="L232" t="s">
        <v>7</v>
      </c>
      <c r="M232" t="s">
        <v>8</v>
      </c>
      <c r="N232" t="s">
        <v>8</v>
      </c>
      <c r="P232">
        <f t="shared" si="959"/>
        <v>0.32287954383463996</v>
      </c>
      <c r="Q232">
        <f t="shared" si="960"/>
        <v>140758.57869066283</v>
      </c>
      <c r="R232">
        <f t="shared" si="961"/>
        <v>-10098499.551211268</v>
      </c>
      <c r="S232">
        <f t="shared" si="962"/>
        <v>-100.98499551211268</v>
      </c>
      <c r="T232">
        <f t="shared" si="963"/>
        <v>-0.10098499551211268</v>
      </c>
    </row>
    <row r="233" spans="1:20" x14ac:dyDescent="0.25">
      <c r="A233" s="5">
        <v>44360</v>
      </c>
      <c r="B233">
        <v>14.398999999999999</v>
      </c>
      <c r="C233">
        <v>14.747</v>
      </c>
      <c r="D233">
        <v>12.808999999999999</v>
      </c>
      <c r="E233">
        <v>14.048</v>
      </c>
      <c r="F233">
        <v>608789.56000000006</v>
      </c>
      <c r="G233">
        <v>0</v>
      </c>
      <c r="L233" t="s">
        <v>8</v>
      </c>
      <c r="M233" t="s">
        <v>8</v>
      </c>
      <c r="N233" t="s">
        <v>8</v>
      </c>
      <c r="P233">
        <f t="shared" si="959"/>
        <v>0.2786377708978332</v>
      </c>
      <c r="Q233">
        <f t="shared" si="960"/>
        <v>169631.76594427269</v>
      </c>
      <c r="R233">
        <f t="shared" si="961"/>
        <v>-10239258.129901931</v>
      </c>
      <c r="S233">
        <f t="shared" si="962"/>
        <v>-102.39258129901931</v>
      </c>
      <c r="T233">
        <f t="shared" si="963"/>
        <v>-0.10239258129901931</v>
      </c>
    </row>
    <row r="234" spans="1:20" x14ac:dyDescent="0.25">
      <c r="A234" s="5">
        <v>44359</v>
      </c>
      <c r="B234">
        <v>11.858000000000001</v>
      </c>
      <c r="C234">
        <v>16</v>
      </c>
      <c r="D234">
        <v>11</v>
      </c>
      <c r="E234">
        <v>14.35</v>
      </c>
      <c r="F234">
        <v>1786482.949</v>
      </c>
      <c r="G234">
        <v>0</v>
      </c>
      <c r="L234" t="s">
        <v>7</v>
      </c>
      <c r="M234" t="s">
        <v>7</v>
      </c>
      <c r="N234" t="s">
        <v>8</v>
      </c>
      <c r="P234">
        <f t="shared" si="959"/>
        <v>0.33999999999999986</v>
      </c>
      <c r="Q234">
        <f t="shared" si="960"/>
        <v>607404.20265999972</v>
      </c>
      <c r="R234">
        <f t="shared" si="961"/>
        <v>-10408889.895846203</v>
      </c>
      <c r="S234">
        <f t="shared" si="962"/>
        <v>-104.08889895846202</v>
      </c>
      <c r="T234">
        <f t="shared" si="963"/>
        <v>-0.10408889895846203</v>
      </c>
    </row>
    <row r="235" spans="1:20" x14ac:dyDescent="0.25">
      <c r="A235" s="5">
        <v>44358</v>
      </c>
      <c r="B235">
        <v>13.114000000000001</v>
      </c>
      <c r="C235">
        <v>13.162000000000001</v>
      </c>
      <c r="D235">
        <v>11.632999999999999</v>
      </c>
      <c r="E235">
        <v>11.839</v>
      </c>
      <c r="F235">
        <v>412959.73200000002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-0.73054283845650614</v>
      </c>
      <c r="Q235">
        <f t="shared" si="960"/>
        <v>-301684.77478351811</v>
      </c>
      <c r="R235">
        <f t="shared" si="961"/>
        <v>-11016294.098506203</v>
      </c>
      <c r="S235">
        <f t="shared" si="962"/>
        <v>-110.16294098506204</v>
      </c>
      <c r="T235">
        <f t="shared" si="963"/>
        <v>-0.11016294098506203</v>
      </c>
    </row>
    <row r="236" spans="1:20" x14ac:dyDescent="0.25">
      <c r="A236" s="5">
        <v>44357</v>
      </c>
      <c r="B236">
        <v>15.898</v>
      </c>
      <c r="C236">
        <v>17.016999999999999</v>
      </c>
      <c r="D236">
        <v>12.666</v>
      </c>
      <c r="E236">
        <v>13.069000000000001</v>
      </c>
      <c r="F236">
        <v>1058939.372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-0.81475522868306116</v>
      </c>
      <c r="Q236">
        <f t="shared" si="960"/>
        <v>-862776.39019535715</v>
      </c>
      <c r="R236">
        <f t="shared" si="961"/>
        <v>-10714609.323722685</v>
      </c>
      <c r="S236">
        <f t="shared" si="962"/>
        <v>-107.14609323722685</v>
      </c>
      <c r="T236">
        <f t="shared" si="963"/>
        <v>-0.10714609323722685</v>
      </c>
    </row>
    <row r="237" spans="1:20" x14ac:dyDescent="0.25">
      <c r="A237" s="5">
        <v>44356</v>
      </c>
      <c r="B237">
        <v>11.737</v>
      </c>
      <c r="C237">
        <v>18.8</v>
      </c>
      <c r="D237">
        <v>11.054</v>
      </c>
      <c r="E237">
        <v>15.895</v>
      </c>
      <c r="F237">
        <v>1459326.365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0.24993545055512498</v>
      </c>
      <c r="Q237">
        <f t="shared" si="960"/>
        <v>364737.39254324778</v>
      </c>
      <c r="R237">
        <f t="shared" si="961"/>
        <v>-9851832.9335273281</v>
      </c>
      <c r="S237">
        <f t="shared" si="962"/>
        <v>-98.518329335273279</v>
      </c>
      <c r="T237">
        <f t="shared" si="963"/>
        <v>-9.8518329335273283E-2</v>
      </c>
    </row>
    <row r="238" spans="1:20" x14ac:dyDescent="0.25">
      <c r="A238" s="5">
        <v>44355</v>
      </c>
      <c r="B238">
        <v>11.984999999999999</v>
      </c>
      <c r="C238">
        <v>13</v>
      </c>
      <c r="D238">
        <v>10.759</v>
      </c>
      <c r="E238">
        <v>11.737</v>
      </c>
      <c r="F238">
        <v>294992.34600000002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-0.12717536813922364</v>
      </c>
      <c r="Q238">
        <f t="shared" si="960"/>
        <v>-37515.760200803241</v>
      </c>
      <c r="R238">
        <f t="shared" si="961"/>
        <v>-10216570.326070575</v>
      </c>
      <c r="S238">
        <f t="shared" si="962"/>
        <v>-102.16570326070575</v>
      </c>
      <c r="T238">
        <f t="shared" si="963"/>
        <v>-0.10216570326070576</v>
      </c>
    </row>
    <row r="239" spans="1:20" x14ac:dyDescent="0.25">
      <c r="A239" s="5">
        <v>44354</v>
      </c>
      <c r="B239">
        <v>13.364000000000001</v>
      </c>
      <c r="C239">
        <v>13.5</v>
      </c>
      <c r="D239">
        <v>11.638</v>
      </c>
      <c r="E239">
        <v>12.021000000000001</v>
      </c>
      <c r="F239">
        <v>207113.79699999999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-0.58861439312567043</v>
      </c>
      <c r="Q239">
        <f t="shared" si="960"/>
        <v>-121910.16192910829</v>
      </c>
      <c r="R239">
        <f t="shared" si="961"/>
        <v>-10179054.565869771</v>
      </c>
      <c r="S239">
        <f t="shared" si="962"/>
        <v>-101.79054565869771</v>
      </c>
      <c r="T239">
        <f t="shared" si="963"/>
        <v>-0.1017905456586977</v>
      </c>
    </row>
    <row r="240" spans="1:20" x14ac:dyDescent="0.25">
      <c r="A240" s="5">
        <v>44353</v>
      </c>
      <c r="B240">
        <v>13.141999999999999</v>
      </c>
      <c r="C240">
        <v>14.038</v>
      </c>
      <c r="D240">
        <v>12.917999999999999</v>
      </c>
      <c r="E240">
        <v>13.345000000000001</v>
      </c>
      <c r="F240">
        <v>163599.23000000001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-0.23749999999999821</v>
      </c>
      <c r="Q240">
        <f t="shared" si="960"/>
        <v>-38854.81712499971</v>
      </c>
      <c r="R240">
        <f t="shared" si="961"/>
        <v>-10057144.403940663</v>
      </c>
      <c r="S240">
        <f t="shared" si="962"/>
        <v>-100.57144403940663</v>
      </c>
      <c r="T240">
        <f t="shared" si="963"/>
        <v>-0.10057144403940663</v>
      </c>
    </row>
    <row r="241" spans="1:20" x14ac:dyDescent="0.25">
      <c r="A241" s="5">
        <v>44352</v>
      </c>
      <c r="B241">
        <v>13.818</v>
      </c>
      <c r="C241">
        <v>14.257</v>
      </c>
      <c r="D241">
        <v>12.608000000000001</v>
      </c>
      <c r="E241">
        <v>13.134</v>
      </c>
      <c r="F241">
        <v>173962.66500000001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-0.36203759854457235</v>
      </c>
      <c r="Q241">
        <f t="shared" si="960"/>
        <v>-62981.025473013928</v>
      </c>
      <c r="R241">
        <f t="shared" si="961"/>
        <v>-10018289.586815663</v>
      </c>
      <c r="S241">
        <f t="shared" si="962"/>
        <v>-100.18289586815662</v>
      </c>
      <c r="T241">
        <f t="shared" si="963"/>
        <v>-0.10018289586815662</v>
      </c>
    </row>
    <row r="242" spans="1:20" x14ac:dyDescent="0.25">
      <c r="A242" s="5">
        <v>44351</v>
      </c>
      <c r="B242">
        <v>15.097</v>
      </c>
      <c r="C242">
        <v>15.135999999999999</v>
      </c>
      <c r="D242">
        <v>12.949</v>
      </c>
      <c r="E242">
        <v>13.75</v>
      </c>
      <c r="F242">
        <v>321468.136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-0.26748971193415605</v>
      </c>
      <c r="Q242">
        <f t="shared" si="960"/>
        <v>-85989.419094650104</v>
      </c>
      <c r="R242">
        <f t="shared" si="961"/>
        <v>-9955308.5613426492</v>
      </c>
      <c r="S242">
        <f t="shared" si="962"/>
        <v>-99.553085613426489</v>
      </c>
      <c r="T242">
        <f t="shared" si="963"/>
        <v>-9.955308561342649E-2</v>
      </c>
    </row>
    <row r="243" spans="1:20" x14ac:dyDescent="0.25">
      <c r="A243" s="5">
        <v>44350</v>
      </c>
      <c r="B243">
        <v>14.926</v>
      </c>
      <c r="C243">
        <v>15.5</v>
      </c>
      <c r="D243">
        <v>14.5</v>
      </c>
      <c r="E243">
        <v>15.096</v>
      </c>
      <c r="F243">
        <v>255520.16</v>
      </c>
      <c r="G243">
        <v>0</v>
      </c>
      <c r="L243" t="s">
        <v>7</v>
      </c>
      <c r="M243" t="s">
        <v>8</v>
      </c>
      <c r="N243" t="s">
        <v>7</v>
      </c>
      <c r="P243">
        <f t="shared" si="959"/>
        <v>0.19200000000000017</v>
      </c>
      <c r="Q243">
        <f t="shared" si="960"/>
        <v>49059.870720000043</v>
      </c>
      <c r="R243">
        <f t="shared" si="961"/>
        <v>-9869319.1422479991</v>
      </c>
      <c r="S243">
        <f t="shared" si="962"/>
        <v>-98.693191422479984</v>
      </c>
      <c r="T243">
        <f t="shared" si="963"/>
        <v>-9.8693191422479981E-2</v>
      </c>
    </row>
    <row r="244" spans="1:20" x14ac:dyDescent="0.25">
      <c r="A244" s="5">
        <v>44349</v>
      </c>
      <c r="B244">
        <v>14.32</v>
      </c>
      <c r="C244">
        <v>15.689</v>
      </c>
      <c r="D244">
        <v>13.978</v>
      </c>
      <c r="E244">
        <v>14.927</v>
      </c>
      <c r="F244">
        <v>301355.88500000001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0.10929281122150751</v>
      </c>
      <c r="Q244">
        <f t="shared" si="960"/>
        <v>32936.031849795327</v>
      </c>
      <c r="R244">
        <f t="shared" si="961"/>
        <v>-9918379.012968</v>
      </c>
      <c r="S244">
        <f t="shared" si="962"/>
        <v>-99.183790129680006</v>
      </c>
      <c r="T244">
        <f t="shared" si="963"/>
        <v>-9.9183790129680011E-2</v>
      </c>
    </row>
    <row r="245" spans="1:20" x14ac:dyDescent="0.25">
      <c r="A245" s="5">
        <v>44348</v>
      </c>
      <c r="B245">
        <v>15.236000000000001</v>
      </c>
      <c r="C245">
        <v>15.875999999999999</v>
      </c>
      <c r="D245">
        <v>14</v>
      </c>
      <c r="E245">
        <v>14.313000000000001</v>
      </c>
      <c r="F245">
        <v>253859.58499999999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-0.66631130063965804</v>
      </c>
      <c r="Q245">
        <f t="shared" si="960"/>
        <v>-169149.51026119382</v>
      </c>
      <c r="R245">
        <f t="shared" si="961"/>
        <v>-9951315.044817796</v>
      </c>
      <c r="S245">
        <f t="shared" si="962"/>
        <v>-99.513150448177953</v>
      </c>
      <c r="T245">
        <f t="shared" si="963"/>
        <v>-9.9513150448177948E-2</v>
      </c>
    </row>
    <row r="246" spans="1:20" x14ac:dyDescent="0.25">
      <c r="A246" s="5">
        <v>44347</v>
      </c>
      <c r="B246">
        <v>14.673999999999999</v>
      </c>
      <c r="C246">
        <v>15.782999999999999</v>
      </c>
      <c r="D246">
        <v>13.48</v>
      </c>
      <c r="E246">
        <v>15.273</v>
      </c>
      <c r="F246">
        <v>319439.04100000003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0.55709943551888841</v>
      </c>
      <c r="Q246">
        <f t="shared" si="960"/>
        <v>177959.30942379506</v>
      </c>
      <c r="R246">
        <f t="shared" si="961"/>
        <v>-9782165.5345566031</v>
      </c>
      <c r="S246">
        <f t="shared" si="962"/>
        <v>-97.821655345566029</v>
      </c>
      <c r="T246">
        <f t="shared" si="963"/>
        <v>-9.7821655345566028E-2</v>
      </c>
    </row>
    <row r="247" spans="1:20" x14ac:dyDescent="0.25">
      <c r="A247" s="5">
        <v>44346</v>
      </c>
      <c r="B247">
        <v>13.221</v>
      </c>
      <c r="C247">
        <v>16.611999999999998</v>
      </c>
      <c r="D247">
        <v>12</v>
      </c>
      <c r="E247">
        <v>14.663</v>
      </c>
      <c r="F247">
        <v>770813.35900000005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0.15481352992194328</v>
      </c>
      <c r="Q247">
        <f t="shared" si="960"/>
        <v>119332.33701778011</v>
      </c>
      <c r="R247">
        <f t="shared" si="961"/>
        <v>-9960124.843980398</v>
      </c>
      <c r="S247">
        <f t="shared" si="962"/>
        <v>-99.601248439803982</v>
      </c>
      <c r="T247">
        <f t="shared" si="963"/>
        <v>-9.9601248439803988E-2</v>
      </c>
    </row>
    <row r="248" spans="1:20" x14ac:dyDescent="0.25">
      <c r="A248" s="5">
        <v>44345</v>
      </c>
      <c r="B248">
        <v>14.045999999999999</v>
      </c>
      <c r="C248">
        <v>14.891</v>
      </c>
      <c r="D248">
        <v>12.404</v>
      </c>
      <c r="E248">
        <v>13.2</v>
      </c>
      <c r="F248">
        <v>389622.27100000001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-0.3598713309207886</v>
      </c>
      <c r="Q248">
        <f t="shared" si="960"/>
        <v>-140213.88522115018</v>
      </c>
      <c r="R248">
        <f t="shared" si="961"/>
        <v>-10079457.180998178</v>
      </c>
      <c r="S248">
        <f t="shared" si="962"/>
        <v>-100.79457180998178</v>
      </c>
      <c r="T248">
        <f t="shared" si="963"/>
        <v>-0.10079457180998178</v>
      </c>
    </row>
    <row r="249" spans="1:20" x14ac:dyDescent="0.25">
      <c r="A249" s="5">
        <v>44344</v>
      </c>
      <c r="B249">
        <v>16.068999999999999</v>
      </c>
      <c r="C249">
        <v>18.294</v>
      </c>
      <c r="D249">
        <v>13.005000000000001</v>
      </c>
      <c r="E249">
        <v>14.05</v>
      </c>
      <c r="F249">
        <v>585391.89899999998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-0.60484023444885615</v>
      </c>
      <c r="Q249">
        <f t="shared" si="960"/>
        <v>-354068.5734356211</v>
      </c>
      <c r="R249">
        <f t="shared" si="961"/>
        <v>-9939243.2957770284</v>
      </c>
      <c r="S249">
        <f t="shared" si="962"/>
        <v>-99.392432957770282</v>
      </c>
      <c r="T249">
        <f t="shared" si="963"/>
        <v>-9.9392432957770283E-2</v>
      </c>
    </row>
    <row r="250" spans="1:20" x14ac:dyDescent="0.25">
      <c r="A250" s="5">
        <v>44343</v>
      </c>
      <c r="B250">
        <v>18.292999999999999</v>
      </c>
      <c r="C250">
        <v>18.991</v>
      </c>
      <c r="D250">
        <v>15.635999999999999</v>
      </c>
      <c r="E250">
        <v>16.076000000000001</v>
      </c>
      <c r="F250">
        <v>754952.28899999999</v>
      </c>
      <c r="G250">
        <v>0</v>
      </c>
      <c r="L250" t="s">
        <v>7</v>
      </c>
      <c r="M250" t="s">
        <v>7</v>
      </c>
      <c r="N250" t="s">
        <v>7</v>
      </c>
      <c r="P250">
        <f t="shared" si="959"/>
        <v>-0.73770491803278615</v>
      </c>
      <c r="Q250">
        <f t="shared" si="960"/>
        <v>-556932.01647540927</v>
      </c>
      <c r="R250">
        <f t="shared" si="961"/>
        <v>-9585174.7223414071</v>
      </c>
      <c r="S250">
        <f t="shared" si="962"/>
        <v>-95.851747223414066</v>
      </c>
      <c r="T250">
        <f t="shared" si="963"/>
        <v>-9.5851747223414066E-2</v>
      </c>
    </row>
    <row r="251" spans="1:20" x14ac:dyDescent="0.25">
      <c r="A251" s="5">
        <v>44342</v>
      </c>
      <c r="B251">
        <v>18.829000000000001</v>
      </c>
      <c r="C251">
        <v>21.7</v>
      </c>
      <c r="D251">
        <v>16.61</v>
      </c>
      <c r="E251">
        <v>18.292999999999999</v>
      </c>
      <c r="F251">
        <v>1268096.892</v>
      </c>
      <c r="G251">
        <v>0</v>
      </c>
      <c r="L251" t="s">
        <v>7</v>
      </c>
      <c r="M251" t="s">
        <v>7</v>
      </c>
      <c r="N251" t="s">
        <v>7</v>
      </c>
      <c r="P251">
        <f t="shared" si="959"/>
        <v>-0.33870333988212187</v>
      </c>
      <c r="Q251">
        <f t="shared" si="960"/>
        <v>-429508.65261453838</v>
      </c>
      <c r="R251">
        <f t="shared" si="961"/>
        <v>-9028242.7058659978</v>
      </c>
      <c r="S251">
        <f t="shared" si="962"/>
        <v>-90.282427058659977</v>
      </c>
      <c r="T251">
        <f t="shared" si="963"/>
        <v>-9.0282427058659978E-2</v>
      </c>
    </row>
    <row r="252" spans="1:20" x14ac:dyDescent="0.25">
      <c r="A252" s="5">
        <v>44341</v>
      </c>
      <c r="B252">
        <v>12.776999999999999</v>
      </c>
      <c r="C252">
        <v>24.75</v>
      </c>
      <c r="D252">
        <v>11.122999999999999</v>
      </c>
      <c r="E252">
        <v>18.829000000000001</v>
      </c>
      <c r="F252">
        <v>3713630.45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0.13098994642988199</v>
      </c>
      <c r="Q252">
        <f t="shared" si="960"/>
        <v>486448.25370587857</v>
      </c>
      <c r="R252">
        <f t="shared" si="961"/>
        <v>-8598734.0532514602</v>
      </c>
      <c r="S252">
        <f t="shared" si="962"/>
        <v>-85.987340532514608</v>
      </c>
      <c r="T252">
        <f t="shared" si="963"/>
        <v>-8.5987340532514611E-2</v>
      </c>
    </row>
    <row r="253" spans="1:20" x14ac:dyDescent="0.25">
      <c r="A253" s="5">
        <v>44340</v>
      </c>
      <c r="B253">
        <v>9.6289999999999996</v>
      </c>
      <c r="C253">
        <v>13.885999999999999</v>
      </c>
      <c r="D253">
        <v>9.0419999999999998</v>
      </c>
      <c r="E253">
        <v>12.776999999999999</v>
      </c>
      <c r="F253">
        <v>444575.69799999997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0.54211395540875307</v>
      </c>
      <c r="Q253">
        <f t="shared" si="960"/>
        <v>241010.69012138725</v>
      </c>
      <c r="R253">
        <f t="shared" si="961"/>
        <v>-9085182.306957338</v>
      </c>
      <c r="S253">
        <f t="shared" si="962"/>
        <v>-90.851823069573385</v>
      </c>
      <c r="T253">
        <f t="shared" si="963"/>
        <v>-9.0851823069573387E-2</v>
      </c>
    </row>
    <row r="254" spans="1:20" x14ac:dyDescent="0.25">
      <c r="A254" s="5">
        <v>44339</v>
      </c>
      <c r="B254">
        <v>11.718</v>
      </c>
      <c r="C254">
        <v>12.83</v>
      </c>
      <c r="D254">
        <v>7.3460000000000001</v>
      </c>
      <c r="E254">
        <v>9.6289999999999996</v>
      </c>
      <c r="F254">
        <v>355839.36800000002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-0.1673960612691468</v>
      </c>
      <c r="Q254">
        <f t="shared" si="960"/>
        <v>-59566.10864770248</v>
      </c>
      <c r="R254">
        <f t="shared" si="961"/>
        <v>-9326192.9970787261</v>
      </c>
      <c r="S254">
        <f t="shared" si="962"/>
        <v>-93.261929970787264</v>
      </c>
      <c r="T254">
        <f t="shared" si="963"/>
        <v>-9.3261929970787263E-2</v>
      </c>
    </row>
    <row r="255" spans="1:20" x14ac:dyDescent="0.25">
      <c r="A255" s="5">
        <v>44338</v>
      </c>
      <c r="B255">
        <v>12.063000000000001</v>
      </c>
      <c r="C255">
        <v>14.8</v>
      </c>
      <c r="D255">
        <v>10.571</v>
      </c>
      <c r="E255">
        <v>11.718</v>
      </c>
      <c r="F255">
        <v>307356.73300000001</v>
      </c>
      <c r="G255">
        <v>0</v>
      </c>
      <c r="L255" t="s">
        <v>7</v>
      </c>
      <c r="M255" t="s">
        <v>7</v>
      </c>
      <c r="N255" t="s">
        <v>8</v>
      </c>
      <c r="P255">
        <f t="shared" si="959"/>
        <v>-0.45755497753606056</v>
      </c>
      <c r="Q255">
        <f t="shared" si="960"/>
        <v>-140632.60306337196</v>
      </c>
      <c r="R255">
        <f t="shared" si="961"/>
        <v>-9266626.8884310238</v>
      </c>
      <c r="S255">
        <f t="shared" si="962"/>
        <v>-92.666268884310242</v>
      </c>
      <c r="T255">
        <f t="shared" si="963"/>
        <v>-9.2666268884310246E-2</v>
      </c>
    </row>
    <row r="256" spans="1:20" x14ac:dyDescent="0.25">
      <c r="A256" s="5">
        <v>44337</v>
      </c>
      <c r="B256">
        <v>14.625999999999999</v>
      </c>
      <c r="C256">
        <v>16.98</v>
      </c>
      <c r="D256">
        <v>10.1</v>
      </c>
      <c r="E256">
        <v>12.063000000000001</v>
      </c>
      <c r="F256">
        <v>401846.64399999997</v>
      </c>
      <c r="G256">
        <v>0</v>
      </c>
      <c r="L256" t="s">
        <v>8</v>
      </c>
      <c r="M256" t="s">
        <v>8</v>
      </c>
      <c r="N256" t="s">
        <v>7</v>
      </c>
      <c r="P256">
        <f t="shared" si="959"/>
        <v>-0.42936046511627884</v>
      </c>
      <c r="Q256">
        <f t="shared" si="960"/>
        <v>-172537.06197325571</v>
      </c>
      <c r="R256">
        <f t="shared" si="961"/>
        <v>-9125994.2853676528</v>
      </c>
      <c r="S256">
        <f t="shared" si="962"/>
        <v>-91.259942853676534</v>
      </c>
      <c r="T256">
        <f t="shared" si="963"/>
        <v>-9.1259942853676529E-2</v>
      </c>
    </row>
    <row r="257" spans="1:20" x14ac:dyDescent="0.25">
      <c r="A257" s="5">
        <v>44336</v>
      </c>
      <c r="B257">
        <v>13.439</v>
      </c>
      <c r="C257">
        <v>16.738</v>
      </c>
      <c r="D257">
        <v>11.712999999999999</v>
      </c>
      <c r="E257">
        <v>14.627000000000001</v>
      </c>
      <c r="F257">
        <v>433107.54499999998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0.15980099502487613</v>
      </c>
      <c r="Q257">
        <f t="shared" si="960"/>
        <v>69211.016643781317</v>
      </c>
      <c r="R257">
        <f t="shared" si="961"/>
        <v>-8953457.2233943976</v>
      </c>
      <c r="S257">
        <f t="shared" si="962"/>
        <v>-89.534572233943976</v>
      </c>
      <c r="T257">
        <f t="shared" si="963"/>
        <v>-8.9534572233943982E-2</v>
      </c>
    </row>
    <row r="258" spans="1:20" x14ac:dyDescent="0.25">
      <c r="A258" s="5">
        <v>44335</v>
      </c>
      <c r="B258">
        <v>21.545000000000002</v>
      </c>
      <c r="C258">
        <v>21.782</v>
      </c>
      <c r="D258">
        <v>10.972</v>
      </c>
      <c r="E258">
        <v>13.334</v>
      </c>
      <c r="F258">
        <v>558762.03700000001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-0.56299722479185943</v>
      </c>
      <c r="Q258">
        <f t="shared" si="960"/>
        <v>-314581.47615004628</v>
      </c>
      <c r="R258">
        <f t="shared" si="961"/>
        <v>-9022668.2400381789</v>
      </c>
      <c r="S258">
        <f t="shared" si="962"/>
        <v>-90.22668240038179</v>
      </c>
      <c r="T258">
        <f t="shared" si="963"/>
        <v>-9.0226682400381786E-2</v>
      </c>
    </row>
    <row r="259" spans="1:20" x14ac:dyDescent="0.25">
      <c r="A259" s="5">
        <v>44334</v>
      </c>
      <c r="B259">
        <v>21.914999999999999</v>
      </c>
      <c r="C259">
        <v>23.98</v>
      </c>
      <c r="D259">
        <v>20.2</v>
      </c>
      <c r="E259">
        <v>21.6</v>
      </c>
      <c r="F259">
        <v>286662.62199999997</v>
      </c>
      <c r="G259">
        <v>0</v>
      </c>
      <c r="L259" t="s">
        <v>7</v>
      </c>
      <c r="M259" t="s">
        <v>8</v>
      </c>
      <c r="N259" t="s">
        <v>7</v>
      </c>
      <c r="P259">
        <f t="shared" si="959"/>
        <v>-0.25925925925925836</v>
      </c>
      <c r="Q259">
        <f t="shared" si="960"/>
        <v>-74319.939037036776</v>
      </c>
      <c r="R259">
        <f t="shared" si="961"/>
        <v>-8708086.7638881318</v>
      </c>
      <c r="S259">
        <f t="shared" si="962"/>
        <v>-87.080867638881315</v>
      </c>
      <c r="T259">
        <f t="shared" si="963"/>
        <v>-8.7080867638881315E-2</v>
      </c>
    </row>
    <row r="260" spans="1:20" x14ac:dyDescent="0.25">
      <c r="A260" s="5">
        <v>44333</v>
      </c>
      <c r="B260">
        <v>24.806999999999999</v>
      </c>
      <c r="C260">
        <v>26.245000000000001</v>
      </c>
      <c r="D260">
        <v>20.565999999999999</v>
      </c>
      <c r="E260">
        <v>21.890999999999998</v>
      </c>
      <c r="F260">
        <v>417424.31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-0.53336855080119783</v>
      </c>
      <c r="Q260">
        <f t="shared" si="960"/>
        <v>-222640.99929388994</v>
      </c>
      <c r="R260">
        <f t="shared" si="961"/>
        <v>-8633766.8248510957</v>
      </c>
      <c r="S260">
        <f t="shared" si="962"/>
        <v>-86.337668248510951</v>
      </c>
      <c r="T260">
        <f t="shared" si="963"/>
        <v>-8.6337668248510954E-2</v>
      </c>
    </row>
    <row r="261" spans="1:20" x14ac:dyDescent="0.25">
      <c r="A261" s="5">
        <v>44332</v>
      </c>
      <c r="B261">
        <v>23.623999999999999</v>
      </c>
      <c r="C261">
        <v>27.9</v>
      </c>
      <c r="D261">
        <v>22.1</v>
      </c>
      <c r="E261">
        <v>24.7</v>
      </c>
      <c r="F261">
        <v>642281.924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-0.10344827586206926</v>
      </c>
      <c r="Q261">
        <f t="shared" si="960"/>
        <v>-66442.957655172606</v>
      </c>
      <c r="R261">
        <f t="shared" si="961"/>
        <v>-8411125.8255572058</v>
      </c>
      <c r="S261">
        <f t="shared" si="962"/>
        <v>-84.111258255572054</v>
      </c>
      <c r="T261">
        <f t="shared" si="963"/>
        <v>-8.4111258255572058E-2</v>
      </c>
    </row>
    <row r="262" spans="1:20" x14ac:dyDescent="0.25">
      <c r="A262" s="5">
        <v>44331</v>
      </c>
      <c r="B262">
        <v>26.141999999999999</v>
      </c>
      <c r="C262">
        <v>27</v>
      </c>
      <c r="D262">
        <v>22.856999999999999</v>
      </c>
      <c r="E262">
        <v>23.623999999999999</v>
      </c>
      <c r="F262">
        <v>313721.16100000002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-0.62973690562394435</v>
      </c>
      <c r="Q262">
        <f t="shared" ref="Q262:Q325" si="965">F262*P262</f>
        <v>-197561.79315689128</v>
      </c>
      <c r="R262">
        <f t="shared" ref="R262:R325" si="966">R263+Q262</f>
        <v>-8344682.867902034</v>
      </c>
      <c r="S262">
        <f t="shared" ref="S262:S325" si="967">R262/100000</f>
        <v>-83.446828679020342</v>
      </c>
      <c r="T262">
        <f t="shared" ref="T262:T325" si="968">S262/1000</f>
        <v>-8.3446828679020341E-2</v>
      </c>
    </row>
    <row r="263" spans="1:20" x14ac:dyDescent="0.25">
      <c r="A263" s="5">
        <v>44330</v>
      </c>
      <c r="B263">
        <v>24.844000000000001</v>
      </c>
      <c r="C263">
        <v>28.087</v>
      </c>
      <c r="D263">
        <v>24.021999999999998</v>
      </c>
      <c r="E263">
        <v>26.15</v>
      </c>
      <c r="F263">
        <v>451653.36800000002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4.6986469864698371E-2</v>
      </c>
      <c r="Q263">
        <f t="shared" si="965"/>
        <v>21221.597364821526</v>
      </c>
      <c r="R263">
        <f t="shared" si="966"/>
        <v>-8147121.0747451428</v>
      </c>
      <c r="S263">
        <f t="shared" si="967"/>
        <v>-81.471210747451423</v>
      </c>
      <c r="T263">
        <f t="shared" si="968"/>
        <v>-8.1471210747451422E-2</v>
      </c>
    </row>
    <row r="264" spans="1:20" x14ac:dyDescent="0.25">
      <c r="A264" s="5">
        <v>44329</v>
      </c>
      <c r="B264">
        <v>23.675000000000001</v>
      </c>
      <c r="C264">
        <v>30.555</v>
      </c>
      <c r="D264">
        <v>22.1</v>
      </c>
      <c r="E264">
        <v>24.843</v>
      </c>
      <c r="F264">
        <v>511982.49300000002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-0.35115316380839762</v>
      </c>
      <c r="Q264">
        <f t="shared" si="965"/>
        <v>-179784.27223146078</v>
      </c>
      <c r="R264">
        <f t="shared" si="966"/>
        <v>-8168342.6721099643</v>
      </c>
      <c r="S264">
        <f t="shared" si="967"/>
        <v>-81.68342672109965</v>
      </c>
      <c r="T264">
        <f t="shared" si="968"/>
        <v>-8.1683426721099656E-2</v>
      </c>
    </row>
    <row r="265" spans="1:20" x14ac:dyDescent="0.25">
      <c r="A265" s="5">
        <v>44328</v>
      </c>
      <c r="B265">
        <v>31.564</v>
      </c>
      <c r="C265">
        <v>33.427999999999997</v>
      </c>
      <c r="D265">
        <v>23.68</v>
      </c>
      <c r="E265">
        <v>23.821999999999999</v>
      </c>
      <c r="F265">
        <v>569320.95600000001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-0.97086581862946253</v>
      </c>
      <c r="Q265">
        <f t="shared" si="965"/>
        <v>-552734.25600984821</v>
      </c>
      <c r="R265">
        <f t="shared" si="966"/>
        <v>-7988558.3998785038</v>
      </c>
      <c r="S265">
        <f t="shared" si="967"/>
        <v>-79.885583998785037</v>
      </c>
      <c r="T265">
        <f t="shared" si="968"/>
        <v>-7.9885583998785037E-2</v>
      </c>
    </row>
    <row r="266" spans="1:20" x14ac:dyDescent="0.25">
      <c r="A266" s="5">
        <v>44327</v>
      </c>
      <c r="B266">
        <v>30.716000000000001</v>
      </c>
      <c r="C266">
        <v>36.268000000000001</v>
      </c>
      <c r="D266">
        <v>29.001000000000001</v>
      </c>
      <c r="E266">
        <v>31.564</v>
      </c>
      <c r="F266">
        <v>560579.11499999999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-0.29461951286638255</v>
      </c>
      <c r="Q266">
        <f t="shared" si="965"/>
        <v>-165157.54578436783</v>
      </c>
      <c r="R266">
        <f t="shared" si="966"/>
        <v>-7435824.1438686559</v>
      </c>
      <c r="S266">
        <f t="shared" si="967"/>
        <v>-74.358241438686562</v>
      </c>
      <c r="T266">
        <f t="shared" si="968"/>
        <v>-7.4358241438686565E-2</v>
      </c>
    </row>
    <row r="267" spans="1:20" x14ac:dyDescent="0.25">
      <c r="A267" s="5">
        <v>44326</v>
      </c>
      <c r="B267">
        <v>38.588999999999999</v>
      </c>
      <c r="C267">
        <v>38.6</v>
      </c>
      <c r="D267">
        <v>28.266999999999999</v>
      </c>
      <c r="E267">
        <v>30.693000000000001</v>
      </c>
      <c r="F267">
        <v>640819.652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-0.53043646569244141</v>
      </c>
      <c r="Q267">
        <f t="shared" si="965"/>
        <v>-339914.11135314027</v>
      </c>
      <c r="R267">
        <f t="shared" si="966"/>
        <v>-7270666.5980842877</v>
      </c>
      <c r="S267">
        <f t="shared" si="967"/>
        <v>-72.706665980842871</v>
      </c>
      <c r="T267">
        <f t="shared" si="968"/>
        <v>-7.2706665980842869E-2</v>
      </c>
    </row>
    <row r="268" spans="1:20" x14ac:dyDescent="0.25">
      <c r="A268" s="5">
        <v>44325</v>
      </c>
      <c r="B268">
        <v>41.844999999999999</v>
      </c>
      <c r="C268">
        <v>47.338999999999999</v>
      </c>
      <c r="D268">
        <v>35</v>
      </c>
      <c r="E268">
        <v>38.590000000000003</v>
      </c>
      <c r="F268">
        <v>1193719.5490000001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-0.41810519491044595</v>
      </c>
      <c r="Q268">
        <f t="shared" si="965"/>
        <v>-499100.3447030547</v>
      </c>
      <c r="R268">
        <f t="shared" si="966"/>
        <v>-6930752.4867311474</v>
      </c>
      <c r="S268">
        <f t="shared" si="967"/>
        <v>-69.307524867311471</v>
      </c>
      <c r="T268">
        <f t="shared" si="968"/>
        <v>-6.9307524867311468E-2</v>
      </c>
    </row>
    <row r="269" spans="1:20" x14ac:dyDescent="0.25">
      <c r="A269" s="5">
        <v>44324</v>
      </c>
      <c r="B269">
        <v>33.350999999999999</v>
      </c>
      <c r="C269">
        <v>61.5</v>
      </c>
      <c r="D269">
        <v>33.125</v>
      </c>
      <c r="E269">
        <v>41.901000000000003</v>
      </c>
      <c r="F269">
        <v>3336522.9479999999</v>
      </c>
      <c r="G269">
        <v>0</v>
      </c>
      <c r="L269" t="s">
        <v>8</v>
      </c>
      <c r="M269" t="s">
        <v>8</v>
      </c>
      <c r="N269" t="s">
        <v>8</v>
      </c>
      <c r="P269">
        <f t="shared" si="964"/>
        <v>-0.38142731277533015</v>
      </c>
      <c r="Q269">
        <f t="shared" si="965"/>
        <v>-1272640.9820688625</v>
      </c>
      <c r="R269">
        <f t="shared" si="966"/>
        <v>-6431652.1420280924</v>
      </c>
      <c r="S269">
        <f t="shared" si="967"/>
        <v>-64.316521420280921</v>
      </c>
      <c r="T269">
        <f t="shared" si="968"/>
        <v>-6.4316521420280923E-2</v>
      </c>
    </row>
    <row r="270" spans="1:20" x14ac:dyDescent="0.25">
      <c r="A270" s="5">
        <v>44323</v>
      </c>
      <c r="B270">
        <v>35.591000000000001</v>
      </c>
      <c r="C270">
        <v>39.588999999999999</v>
      </c>
      <c r="D270">
        <v>31.013000000000002</v>
      </c>
      <c r="E270">
        <v>33.470999999999997</v>
      </c>
      <c r="F270">
        <v>665441.74699999997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-0.42677238805970247</v>
      </c>
      <c r="Q270">
        <f t="shared" si="965"/>
        <v>-283992.16348181036</v>
      </c>
      <c r="R270">
        <f t="shared" si="966"/>
        <v>-5159011.1599592296</v>
      </c>
      <c r="S270">
        <f t="shared" si="967"/>
        <v>-51.590111599592298</v>
      </c>
      <c r="T270">
        <f t="shared" si="968"/>
        <v>-5.15901115995923E-2</v>
      </c>
    </row>
    <row r="271" spans="1:20" x14ac:dyDescent="0.25">
      <c r="A271" s="5">
        <v>44322</v>
      </c>
      <c r="B271">
        <v>40.136000000000003</v>
      </c>
      <c r="C271">
        <v>45.085999999999999</v>
      </c>
      <c r="D271">
        <v>33.853000000000002</v>
      </c>
      <c r="E271">
        <v>35.591000000000001</v>
      </c>
      <c r="F271">
        <v>671818.01699999999</v>
      </c>
      <c r="G271">
        <v>0</v>
      </c>
      <c r="L271" t="s">
        <v>7</v>
      </c>
      <c r="M271" t="s">
        <v>7</v>
      </c>
      <c r="N271" t="s">
        <v>7</v>
      </c>
      <c r="P271">
        <f t="shared" si="964"/>
        <v>-0.69055461586397227</v>
      </c>
      <c r="Q271">
        <f t="shared" si="965"/>
        <v>-463927.03265993058</v>
      </c>
      <c r="R271">
        <f t="shared" si="966"/>
        <v>-4875018.9964774195</v>
      </c>
      <c r="S271">
        <f t="shared" si="967"/>
        <v>-48.750189964774194</v>
      </c>
      <c r="T271">
        <f t="shared" si="968"/>
        <v>-4.875018996477419E-2</v>
      </c>
    </row>
    <row r="272" spans="1:20" x14ac:dyDescent="0.25">
      <c r="A272" s="5">
        <v>44321</v>
      </c>
      <c r="B272">
        <v>46.204000000000001</v>
      </c>
      <c r="C272">
        <v>46.834000000000003</v>
      </c>
      <c r="D272">
        <v>38.037999999999997</v>
      </c>
      <c r="E272">
        <v>40.149000000000001</v>
      </c>
      <c r="F272">
        <v>536955.67099999997</v>
      </c>
      <c r="G272">
        <v>0</v>
      </c>
      <c r="L272" t="s">
        <v>7</v>
      </c>
      <c r="M272" t="s">
        <v>7</v>
      </c>
      <c r="N272" t="s">
        <v>7</v>
      </c>
      <c r="P272">
        <f t="shared" si="964"/>
        <v>-0.52000909504320081</v>
      </c>
      <c r="Q272">
        <f t="shared" si="965"/>
        <v>-279221.83255502465</v>
      </c>
      <c r="R272">
        <f t="shared" si="966"/>
        <v>-4411091.9638174893</v>
      </c>
      <c r="S272">
        <f t="shared" si="967"/>
        <v>-44.110919638174892</v>
      </c>
      <c r="T272">
        <f t="shared" si="968"/>
        <v>-4.4110919638174893E-2</v>
      </c>
    </row>
    <row r="273" spans="1:20" x14ac:dyDescent="0.25">
      <c r="A273" s="5">
        <v>44320</v>
      </c>
      <c r="B273">
        <v>56.750999999999998</v>
      </c>
      <c r="C273">
        <v>59.387999999999998</v>
      </c>
      <c r="D273">
        <v>45.021999999999998</v>
      </c>
      <c r="E273">
        <v>46.04</v>
      </c>
      <c r="F273">
        <v>502139.522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-0.85827648614784902</v>
      </c>
      <c r="Q273">
        <f t="shared" si="965"/>
        <v>-430974.54449812055</v>
      </c>
      <c r="R273">
        <f t="shared" si="966"/>
        <v>-4131870.1312624644</v>
      </c>
      <c r="S273">
        <f t="shared" si="967"/>
        <v>-41.318701312624647</v>
      </c>
      <c r="T273">
        <f t="shared" si="968"/>
        <v>-4.1318701312624648E-2</v>
      </c>
    </row>
    <row r="274" spans="1:20" x14ac:dyDescent="0.25">
      <c r="A274" s="5">
        <v>44319</v>
      </c>
      <c r="B274">
        <v>63.314</v>
      </c>
      <c r="C274">
        <v>67.216999999999999</v>
      </c>
      <c r="D274">
        <v>55.747</v>
      </c>
      <c r="E274">
        <v>56.747</v>
      </c>
      <c r="F274">
        <v>487191.32900000003</v>
      </c>
      <c r="G274">
        <v>0</v>
      </c>
      <c r="L274" t="s">
        <v>7</v>
      </c>
      <c r="M274" t="s">
        <v>7</v>
      </c>
      <c r="N274" t="s">
        <v>8</v>
      </c>
      <c r="P274">
        <f t="shared" si="964"/>
        <v>-0.82563208369659979</v>
      </c>
      <c r="Q274">
        <f t="shared" si="965"/>
        <v>-402240.79212118569</v>
      </c>
      <c r="R274">
        <f t="shared" si="966"/>
        <v>-3700895.586764344</v>
      </c>
      <c r="S274">
        <f t="shared" si="967"/>
        <v>-37.008955867643444</v>
      </c>
      <c r="T274">
        <f t="shared" si="968"/>
        <v>-3.7008955867643446E-2</v>
      </c>
    </row>
    <row r="275" spans="1:20" x14ac:dyDescent="0.25">
      <c r="A275" s="5">
        <v>44318</v>
      </c>
      <c r="B275">
        <v>56.146000000000001</v>
      </c>
      <c r="C275">
        <v>79.900000000000006</v>
      </c>
      <c r="D275">
        <v>53.015999999999998</v>
      </c>
      <c r="E275">
        <v>63.338999999999999</v>
      </c>
      <c r="F275">
        <v>1585045.3529999999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-0.23203392352328542</v>
      </c>
      <c r="Q275">
        <f t="shared" si="965"/>
        <v>-367784.29221894091</v>
      </c>
      <c r="R275">
        <f t="shared" si="966"/>
        <v>-3298654.7946431581</v>
      </c>
      <c r="S275">
        <f t="shared" si="967"/>
        <v>-32.986547946431578</v>
      </c>
      <c r="T275">
        <f t="shared" si="968"/>
        <v>-3.2986547946431577E-2</v>
      </c>
    </row>
    <row r="276" spans="1:20" x14ac:dyDescent="0.25">
      <c r="A276" s="5">
        <v>44317</v>
      </c>
      <c r="B276">
        <v>65.680000000000007</v>
      </c>
      <c r="C276">
        <v>70.679000000000002</v>
      </c>
      <c r="D276">
        <v>51.082999999999998</v>
      </c>
      <c r="E276">
        <v>56.496000000000002</v>
      </c>
      <c r="F276">
        <v>1595566.9539999999</v>
      </c>
      <c r="G276">
        <v>0</v>
      </c>
      <c r="L276" t="s">
        <v>7</v>
      </c>
      <c r="M276" t="s">
        <v>7</v>
      </c>
      <c r="N276" t="s">
        <v>7</v>
      </c>
      <c r="P276">
        <f t="shared" si="964"/>
        <v>-0.44754031434986702</v>
      </c>
      <c r="Q276">
        <f t="shared" si="965"/>
        <v>-714080.5361594198</v>
      </c>
      <c r="R276">
        <f t="shared" si="966"/>
        <v>-2930870.5024242173</v>
      </c>
      <c r="S276">
        <f t="shared" si="967"/>
        <v>-29.308705024242172</v>
      </c>
      <c r="T276">
        <f t="shared" si="968"/>
        <v>-2.9308705024242172E-2</v>
      </c>
    </row>
    <row r="277" spans="1:20" x14ac:dyDescent="0.25">
      <c r="A277" s="5">
        <v>44316</v>
      </c>
      <c r="B277">
        <v>69.355999999999995</v>
      </c>
      <c r="C277">
        <v>108.104</v>
      </c>
      <c r="D277">
        <v>61.128</v>
      </c>
      <c r="E277">
        <v>65.637</v>
      </c>
      <c r="F277">
        <v>4775052.8959999997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-0.8080296321525885</v>
      </c>
      <c r="Q277">
        <f t="shared" si="965"/>
        <v>-3858384.235064032</v>
      </c>
      <c r="R277">
        <f t="shared" si="966"/>
        <v>-2216789.9662647974</v>
      </c>
      <c r="S277">
        <f t="shared" si="967"/>
        <v>-22.167899662647972</v>
      </c>
      <c r="T277">
        <f t="shared" si="968"/>
        <v>-2.2167899662647973E-2</v>
      </c>
    </row>
    <row r="278" spans="1:20" x14ac:dyDescent="0.25">
      <c r="A278" s="5">
        <v>44315</v>
      </c>
      <c r="B278">
        <v>11.226000000000001</v>
      </c>
      <c r="C278">
        <v>95</v>
      </c>
      <c r="D278">
        <v>11.031000000000001</v>
      </c>
      <c r="E278">
        <v>69.353999999999999</v>
      </c>
      <c r="F278">
        <v>7021111.7470000004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0.38915552168062023</v>
      </c>
      <c r="Q278">
        <f t="shared" si="965"/>
        <v>2732304.4046817161</v>
      </c>
      <c r="R278">
        <f t="shared" si="966"/>
        <v>1641594.2687992344</v>
      </c>
      <c r="S278">
        <f t="shared" si="967"/>
        <v>16.415942687992345</v>
      </c>
      <c r="T278">
        <f t="shared" si="968"/>
        <v>1.6415942687992346E-2</v>
      </c>
    </row>
    <row r="279" spans="1:20" x14ac:dyDescent="0.25">
      <c r="A279" s="5">
        <v>44314</v>
      </c>
      <c r="B279">
        <v>10.023999999999999</v>
      </c>
      <c r="C279">
        <v>11.3</v>
      </c>
      <c r="D279">
        <v>9.0289999999999999</v>
      </c>
      <c r="E279">
        <v>11.253</v>
      </c>
      <c r="F279">
        <v>25313.279999999999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0.95860854249229366</v>
      </c>
      <c r="Q279">
        <f t="shared" si="965"/>
        <v>24265.526446499327</v>
      </c>
      <c r="R279">
        <f t="shared" si="966"/>
        <v>-1090710.1358824817</v>
      </c>
      <c r="S279">
        <f t="shared" si="967"/>
        <v>-10.907101358824818</v>
      </c>
      <c r="T279">
        <f t="shared" si="968"/>
        <v>-1.0907101358824818E-2</v>
      </c>
    </row>
    <row r="280" spans="1:20" x14ac:dyDescent="0.25">
      <c r="A280" s="5">
        <v>44313</v>
      </c>
      <c r="B280">
        <v>9.2240000000000002</v>
      </c>
      <c r="C280">
        <v>10.5</v>
      </c>
      <c r="D280">
        <v>9.2240000000000002</v>
      </c>
      <c r="E280">
        <v>10.01</v>
      </c>
      <c r="F280">
        <v>18164.691999999999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0.23197492163009359</v>
      </c>
      <c r="Q280">
        <f t="shared" si="965"/>
        <v>4213.7530031347878</v>
      </c>
      <c r="R280">
        <f t="shared" si="966"/>
        <v>-1114975.6623289811</v>
      </c>
      <c r="S280">
        <f t="shared" si="967"/>
        <v>-11.149756623289811</v>
      </c>
      <c r="T280">
        <f t="shared" si="968"/>
        <v>-1.1149756623289811E-2</v>
      </c>
    </row>
    <row r="281" spans="1:20" x14ac:dyDescent="0.25">
      <c r="A281" s="5">
        <v>44312</v>
      </c>
      <c r="B281">
        <v>8.1940000000000008</v>
      </c>
      <c r="C281">
        <v>9.7129999999999992</v>
      </c>
      <c r="D281">
        <v>8.1359999999999992</v>
      </c>
      <c r="E281">
        <v>9.2309999999999999</v>
      </c>
      <c r="F281">
        <v>27724.654999999999</v>
      </c>
      <c r="G281">
        <v>0</v>
      </c>
      <c r="L281" t="s">
        <v>7</v>
      </c>
      <c r="M281" t="s">
        <v>7</v>
      </c>
      <c r="N281" t="s">
        <v>8</v>
      </c>
      <c r="P281">
        <f t="shared" si="964"/>
        <v>0.38871274571972186</v>
      </c>
      <c r="Q281">
        <f t="shared" si="965"/>
        <v>10776.926769182015</v>
      </c>
      <c r="R281">
        <f t="shared" si="966"/>
        <v>-1119189.415332116</v>
      </c>
      <c r="S281">
        <f t="shared" si="967"/>
        <v>-11.19189415332116</v>
      </c>
      <c r="T281">
        <f t="shared" si="968"/>
        <v>-1.119189415332116E-2</v>
      </c>
    </row>
    <row r="282" spans="1:20" x14ac:dyDescent="0.25">
      <c r="A282" s="5">
        <v>44311</v>
      </c>
      <c r="B282">
        <v>8.3920999999999992</v>
      </c>
      <c r="C282">
        <v>10.1</v>
      </c>
      <c r="D282">
        <v>7.83</v>
      </c>
      <c r="E282">
        <v>8.1829999999999998</v>
      </c>
      <c r="F282">
        <v>25323.303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-0.68898678414096937</v>
      </c>
      <c r="Q282">
        <f t="shared" si="965"/>
        <v>-17447.421097797363</v>
      </c>
      <c r="R282">
        <f t="shared" si="966"/>
        <v>-1129966.342101298</v>
      </c>
      <c r="S282">
        <f t="shared" si="967"/>
        <v>-11.29966342101298</v>
      </c>
      <c r="T282">
        <f t="shared" si="968"/>
        <v>-1.1299663421012979E-2</v>
      </c>
    </row>
    <row r="283" spans="1:20" x14ac:dyDescent="0.25">
      <c r="A283" s="5">
        <v>44310</v>
      </c>
      <c r="B283">
        <v>8.8217999999999996</v>
      </c>
      <c r="C283">
        <v>9.1942000000000004</v>
      </c>
      <c r="D283">
        <v>7.9111000000000002</v>
      </c>
      <c r="E283">
        <v>8.3539999999999992</v>
      </c>
      <c r="F283">
        <v>18725.669999999998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-0.30964071389603476</v>
      </c>
      <c r="Q283">
        <f t="shared" si="965"/>
        <v>-5798.229826981561</v>
      </c>
      <c r="R283">
        <f t="shared" si="966"/>
        <v>-1112518.9210035007</v>
      </c>
      <c r="S283">
        <f t="shared" si="967"/>
        <v>-11.125189210035007</v>
      </c>
      <c r="T283">
        <f t="shared" si="968"/>
        <v>-1.1125189210035007E-2</v>
      </c>
    </row>
    <row r="284" spans="1:20" x14ac:dyDescent="0.25">
      <c r="A284" s="5">
        <v>44309</v>
      </c>
      <c r="B284">
        <v>10.493399999999999</v>
      </c>
      <c r="C284">
        <v>10.616899999999999</v>
      </c>
      <c r="D284">
        <v>7</v>
      </c>
      <c r="E284">
        <v>8.8217999999999996</v>
      </c>
      <c r="F284">
        <v>52763.87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7.3820122204097298E-3</v>
      </c>
      <c r="Q284">
        <f t="shared" si="965"/>
        <v>389.50353313611038</v>
      </c>
      <c r="R284">
        <f t="shared" si="966"/>
        <v>-1106720.691176519</v>
      </c>
      <c r="S284">
        <f t="shared" si="967"/>
        <v>-11.06720691176519</v>
      </c>
      <c r="T284">
        <f t="shared" si="968"/>
        <v>-1.1067206911765191E-2</v>
      </c>
    </row>
    <row r="285" spans="1:20" x14ac:dyDescent="0.25">
      <c r="A285" s="5">
        <v>44308</v>
      </c>
      <c r="B285">
        <v>10.4916</v>
      </c>
      <c r="C285">
        <v>10.8521</v>
      </c>
      <c r="D285">
        <v>10.4716</v>
      </c>
      <c r="E285">
        <v>10.496499999999999</v>
      </c>
      <c r="F285">
        <v>26441.09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-0.8691195795006631</v>
      </c>
      <c r="Q285">
        <f t="shared" si="965"/>
        <v>-22980.469022339188</v>
      </c>
      <c r="R285">
        <f t="shared" si="966"/>
        <v>-1107110.1947096551</v>
      </c>
      <c r="S285">
        <f t="shared" si="967"/>
        <v>-11.071101947096551</v>
      </c>
      <c r="T285">
        <f t="shared" si="968"/>
        <v>-1.107110194709655E-2</v>
      </c>
    </row>
    <row r="286" spans="1:20" x14ac:dyDescent="0.25">
      <c r="A286" s="5">
        <v>44307</v>
      </c>
      <c r="B286">
        <v>10.881</v>
      </c>
      <c r="C286">
        <v>11.4733</v>
      </c>
      <c r="D286">
        <v>10.4716</v>
      </c>
      <c r="E286">
        <v>10.490600000000001</v>
      </c>
      <c r="F286">
        <v>41213.03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-0.96206449036637687</v>
      </c>
      <c r="Q286">
        <f t="shared" si="965"/>
        <v>-39649.592703404203</v>
      </c>
      <c r="R286">
        <f t="shared" si="966"/>
        <v>-1084129.7256873159</v>
      </c>
      <c r="S286">
        <f t="shared" si="967"/>
        <v>-10.84129725687316</v>
      </c>
      <c r="T286">
        <f t="shared" si="968"/>
        <v>-1.084129725687316E-2</v>
      </c>
    </row>
    <row r="287" spans="1:20" x14ac:dyDescent="0.25">
      <c r="A287" s="5">
        <v>44306</v>
      </c>
      <c r="B287">
        <v>10.819800000000001</v>
      </c>
      <c r="C287">
        <v>11.2043</v>
      </c>
      <c r="D287">
        <v>10.0642</v>
      </c>
      <c r="E287">
        <v>10.8939</v>
      </c>
      <c r="F287">
        <v>16898.29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0.45548636084554078</v>
      </c>
      <c r="Q287">
        <f t="shared" si="965"/>
        <v>7696.9406166125937</v>
      </c>
      <c r="R287">
        <f t="shared" si="966"/>
        <v>-1044480.1329839118</v>
      </c>
      <c r="S287">
        <f t="shared" si="967"/>
        <v>-10.444801329839118</v>
      </c>
      <c r="T287">
        <f t="shared" si="968"/>
        <v>-1.0444801329839118E-2</v>
      </c>
    </row>
    <row r="288" spans="1:20" x14ac:dyDescent="0.25">
      <c r="A288" s="5">
        <v>44305</v>
      </c>
      <c r="B288">
        <v>10.8011</v>
      </c>
      <c r="C288">
        <v>13</v>
      </c>
      <c r="D288">
        <v>10.058</v>
      </c>
      <c r="E288">
        <v>10.8</v>
      </c>
      <c r="F288">
        <v>56777.68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-0.49558123725356845</v>
      </c>
      <c r="Q288">
        <f t="shared" si="965"/>
        <v>-28137.952902787187</v>
      </c>
      <c r="R288">
        <f t="shared" si="966"/>
        <v>-1052177.0736005243</v>
      </c>
      <c r="S288">
        <f t="shared" si="967"/>
        <v>-10.521770736005243</v>
      </c>
      <c r="T288">
        <f t="shared" si="968"/>
        <v>-1.0521770736005243E-2</v>
      </c>
    </row>
    <row r="289" spans="1:20" x14ac:dyDescent="0.25">
      <c r="A289" s="5">
        <v>44304</v>
      </c>
      <c r="B289">
        <v>11.6877</v>
      </c>
      <c r="C289">
        <v>11.898300000000001</v>
      </c>
      <c r="D289">
        <v>9.7569999999999997</v>
      </c>
      <c r="E289">
        <v>10.6021</v>
      </c>
      <c r="F289">
        <v>38362.370000000003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-0.21066641759678703</v>
      </c>
      <c r="Q289">
        <f t="shared" si="965"/>
        <v>-8081.6630584224558</v>
      </c>
      <c r="R289">
        <f t="shared" si="966"/>
        <v>-1024039.1206977372</v>
      </c>
      <c r="S289">
        <f t="shared" si="967"/>
        <v>-10.240391206977373</v>
      </c>
      <c r="T289">
        <f t="shared" si="968"/>
        <v>-1.0240391206977372E-2</v>
      </c>
    </row>
    <row r="290" spans="1:20" x14ac:dyDescent="0.25">
      <c r="A290" s="5">
        <v>44303</v>
      </c>
      <c r="B290">
        <v>12.5237</v>
      </c>
      <c r="C290">
        <v>13.206799999999999</v>
      </c>
      <c r="D290">
        <v>11.4168</v>
      </c>
      <c r="E290">
        <v>11.7279</v>
      </c>
      <c r="F290">
        <v>39924.67</v>
      </c>
      <c r="G290">
        <v>0</v>
      </c>
      <c r="L290" t="s">
        <v>7</v>
      </c>
      <c r="M290" t="s">
        <v>7</v>
      </c>
      <c r="N290" t="s">
        <v>8</v>
      </c>
      <c r="P290">
        <f t="shared" si="964"/>
        <v>-0.65240223463687164</v>
      </c>
      <c r="Q290">
        <f t="shared" si="965"/>
        <v>-26046.943925139669</v>
      </c>
      <c r="R290">
        <f t="shared" si="966"/>
        <v>-1015957.4576393147</v>
      </c>
      <c r="S290">
        <f t="shared" si="967"/>
        <v>-10.159574576393148</v>
      </c>
      <c r="T290">
        <f t="shared" si="968"/>
        <v>-1.0159574576393148E-2</v>
      </c>
    </row>
    <row r="291" spans="1:20" x14ac:dyDescent="0.25">
      <c r="A291" s="5">
        <v>44302</v>
      </c>
      <c r="B291">
        <v>13.88</v>
      </c>
      <c r="C291">
        <v>14.2</v>
      </c>
      <c r="D291">
        <v>11.6</v>
      </c>
      <c r="E291">
        <v>12.554500000000001</v>
      </c>
      <c r="F291">
        <v>48049.78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-0.2657692307692297</v>
      </c>
      <c r="Q291">
        <f t="shared" si="965"/>
        <v>-12770.153069230717</v>
      </c>
      <c r="R291">
        <f t="shared" si="966"/>
        <v>-989910.51371417509</v>
      </c>
      <c r="S291">
        <f t="shared" si="967"/>
        <v>-9.8991051371417509</v>
      </c>
      <c r="T291">
        <f t="shared" si="968"/>
        <v>-9.8991051371417511E-3</v>
      </c>
    </row>
    <row r="292" spans="1:20" x14ac:dyDescent="0.25">
      <c r="A292" s="5">
        <v>44301</v>
      </c>
      <c r="B292">
        <v>13.9102</v>
      </c>
      <c r="C292">
        <v>13.996499999999999</v>
      </c>
      <c r="D292">
        <v>13.176500000000001</v>
      </c>
      <c r="E292">
        <v>13.885300000000001</v>
      </c>
      <c r="F292">
        <v>29758.54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0.72878048780488147</v>
      </c>
      <c r="Q292">
        <f t="shared" si="965"/>
        <v>21687.44329756108</v>
      </c>
      <c r="R292">
        <f t="shared" si="966"/>
        <v>-977140.36064494436</v>
      </c>
      <c r="S292">
        <f t="shared" si="967"/>
        <v>-9.7714036064494429</v>
      </c>
      <c r="T292">
        <f t="shared" si="968"/>
        <v>-9.7714036064494424E-3</v>
      </c>
    </row>
    <row r="293" spans="1:20" x14ac:dyDescent="0.25">
      <c r="A293" s="5">
        <v>44300</v>
      </c>
      <c r="B293">
        <v>12.016999999999999</v>
      </c>
      <c r="C293">
        <v>14.0937</v>
      </c>
      <c r="D293">
        <v>11.716100000000001</v>
      </c>
      <c r="E293">
        <v>13.9101</v>
      </c>
      <c r="F293">
        <v>62775.73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0.84555854643337802</v>
      </c>
      <c r="Q293">
        <f t="shared" si="965"/>
        <v>53080.555010094205</v>
      </c>
      <c r="R293">
        <f t="shared" si="966"/>
        <v>-998827.80394250539</v>
      </c>
      <c r="S293">
        <f t="shared" si="967"/>
        <v>-9.9882780394250545</v>
      </c>
      <c r="T293">
        <f t="shared" si="968"/>
        <v>-9.988278039425055E-3</v>
      </c>
    </row>
    <row r="294" spans="1:20" x14ac:dyDescent="0.25">
      <c r="A294" s="5">
        <v>44299</v>
      </c>
      <c r="B294">
        <v>12.1838</v>
      </c>
      <c r="C294">
        <v>12.565799999999999</v>
      </c>
      <c r="D294">
        <v>11.51</v>
      </c>
      <c r="E294">
        <v>12.016999999999999</v>
      </c>
      <c r="F294">
        <v>29746.95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-3.9590831596893632E-2</v>
      </c>
      <c r="Q294">
        <f t="shared" si="965"/>
        <v>-1177.706487971215</v>
      </c>
      <c r="R294">
        <f t="shared" si="966"/>
        <v>-1051908.3589525996</v>
      </c>
      <c r="S294">
        <f t="shared" si="967"/>
        <v>-10.519083589525996</v>
      </c>
      <c r="T294">
        <f t="shared" si="968"/>
        <v>-1.0519083589525996E-2</v>
      </c>
    </row>
    <row r="295" spans="1:20" x14ac:dyDescent="0.25">
      <c r="A295" s="5">
        <v>44298</v>
      </c>
      <c r="B295">
        <v>12.6919</v>
      </c>
      <c r="C295">
        <v>13.9</v>
      </c>
      <c r="D295">
        <v>12</v>
      </c>
      <c r="E295">
        <v>12.1915</v>
      </c>
      <c r="F295">
        <v>38757.370000000003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-0.79842105263157948</v>
      </c>
      <c r="Q295">
        <f t="shared" si="965"/>
        <v>-30944.700152631602</v>
      </c>
      <c r="R295">
        <f t="shared" si="966"/>
        <v>-1050730.6524646285</v>
      </c>
      <c r="S295">
        <f t="shared" si="967"/>
        <v>-10.507306524646285</v>
      </c>
      <c r="T295">
        <f t="shared" si="968"/>
        <v>-1.0507306524646286E-2</v>
      </c>
    </row>
    <row r="296" spans="1:20" x14ac:dyDescent="0.25">
      <c r="A296" s="5">
        <v>44297</v>
      </c>
      <c r="B296">
        <v>12.0451</v>
      </c>
      <c r="C296">
        <v>12.6919</v>
      </c>
      <c r="D296">
        <v>11.8308</v>
      </c>
      <c r="E296">
        <v>12.6919</v>
      </c>
      <c r="F296">
        <v>22270.1</v>
      </c>
      <c r="G296">
        <v>0</v>
      </c>
      <c r="L296" t="s">
        <v>8</v>
      </c>
      <c r="M296" t="s">
        <v>7</v>
      </c>
      <c r="N296" t="s">
        <v>8</v>
      </c>
      <c r="P296">
        <f t="shared" si="964"/>
        <v>1</v>
      </c>
      <c r="Q296">
        <f t="shared" si="965"/>
        <v>22270.1</v>
      </c>
      <c r="R296">
        <f t="shared" si="966"/>
        <v>-1019785.9523119968</v>
      </c>
      <c r="S296">
        <f t="shared" si="967"/>
        <v>-10.197859523119968</v>
      </c>
      <c r="T296">
        <f t="shared" si="968"/>
        <v>-1.0197859523119968E-2</v>
      </c>
    </row>
    <row r="297" spans="1:20" x14ac:dyDescent="0.25">
      <c r="A297" s="5">
        <v>44296</v>
      </c>
      <c r="B297">
        <v>12.388299999999999</v>
      </c>
      <c r="C297">
        <v>12.747299999999999</v>
      </c>
      <c r="D297">
        <v>11.823</v>
      </c>
      <c r="E297">
        <v>12.0388</v>
      </c>
      <c r="F297">
        <v>29502.84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-0.5330520393811532</v>
      </c>
      <c r="Q297">
        <f t="shared" si="965"/>
        <v>-15726.549029535861</v>
      </c>
      <c r="R297">
        <f t="shared" si="966"/>
        <v>-1042056.0523119968</v>
      </c>
      <c r="S297">
        <f t="shared" si="967"/>
        <v>-10.420560523119969</v>
      </c>
      <c r="T297">
        <f t="shared" si="968"/>
        <v>-1.0420560523119968E-2</v>
      </c>
    </row>
    <row r="298" spans="1:20" x14ac:dyDescent="0.25">
      <c r="A298" s="5">
        <v>44295</v>
      </c>
      <c r="B298">
        <v>12.494300000000001</v>
      </c>
      <c r="C298">
        <v>13.3</v>
      </c>
      <c r="D298">
        <v>11.922700000000001</v>
      </c>
      <c r="E298">
        <v>12.388299999999999</v>
      </c>
      <c r="F298">
        <v>50692.91</v>
      </c>
      <c r="G298">
        <v>0</v>
      </c>
      <c r="L298" t="s">
        <v>7</v>
      </c>
      <c r="M298" t="s">
        <v>7</v>
      </c>
      <c r="N298" t="s">
        <v>8</v>
      </c>
      <c r="P298">
        <f t="shared" si="964"/>
        <v>-0.32389457634502511</v>
      </c>
      <c r="Q298">
        <f t="shared" si="965"/>
        <v>-16419.158608146488</v>
      </c>
      <c r="R298">
        <f t="shared" si="966"/>
        <v>-1026329.503282461</v>
      </c>
      <c r="S298">
        <f t="shared" si="967"/>
        <v>-10.26329503282461</v>
      </c>
      <c r="T298">
        <f t="shared" si="968"/>
        <v>-1.026329503282461E-2</v>
      </c>
    </row>
    <row r="299" spans="1:20" x14ac:dyDescent="0.25">
      <c r="A299" s="5">
        <v>44294</v>
      </c>
      <c r="B299">
        <v>11.340199999999999</v>
      </c>
      <c r="C299">
        <v>15</v>
      </c>
      <c r="D299">
        <v>11.0002</v>
      </c>
      <c r="E299">
        <v>12.538500000000001</v>
      </c>
      <c r="F299">
        <v>93337.02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-0.23081154057702827</v>
      </c>
      <c r="Q299">
        <f t="shared" si="965"/>
        <v>-21543.261379068899</v>
      </c>
      <c r="R299">
        <f t="shared" si="966"/>
        <v>-1009910.3446743145</v>
      </c>
      <c r="S299">
        <f t="shared" si="967"/>
        <v>-10.099103446743145</v>
      </c>
      <c r="T299">
        <f t="shared" si="968"/>
        <v>-1.0099103446743146E-2</v>
      </c>
    </row>
    <row r="300" spans="1:20" x14ac:dyDescent="0.25">
      <c r="A300" s="5">
        <v>44293</v>
      </c>
      <c r="B300">
        <v>13.048500000000001</v>
      </c>
      <c r="C300">
        <v>13.459899999999999</v>
      </c>
      <c r="D300">
        <v>10.6815</v>
      </c>
      <c r="E300">
        <v>11.343</v>
      </c>
      <c r="F300">
        <v>74917.97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-0.52382666282752643</v>
      </c>
      <c r="Q300">
        <f t="shared" si="965"/>
        <v>-39244.030210912744</v>
      </c>
      <c r="R300">
        <f t="shared" si="966"/>
        <v>-988367.08329524554</v>
      </c>
      <c r="S300">
        <f t="shared" si="967"/>
        <v>-9.8836708329524559</v>
      </c>
      <c r="T300">
        <f t="shared" si="968"/>
        <v>-9.8836708329524559E-3</v>
      </c>
    </row>
    <row r="301" spans="1:20" x14ac:dyDescent="0.25">
      <c r="A301" s="5">
        <v>44292</v>
      </c>
      <c r="B301">
        <v>14.3803</v>
      </c>
      <c r="C301">
        <v>19.589700000000001</v>
      </c>
      <c r="D301">
        <v>12.7506</v>
      </c>
      <c r="E301">
        <v>13.048500000000001</v>
      </c>
      <c r="F301">
        <v>284487.5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-0.91288327411501502</v>
      </c>
      <c r="Q301">
        <f t="shared" si="965"/>
        <v>-259703.88044479533</v>
      </c>
      <c r="R301">
        <f t="shared" si="966"/>
        <v>-949123.05308433285</v>
      </c>
      <c r="S301">
        <f t="shared" si="967"/>
        <v>-9.4912305308433282</v>
      </c>
      <c r="T301">
        <f t="shared" si="968"/>
        <v>-9.4912305308433274E-3</v>
      </c>
    </row>
    <row r="302" spans="1:20" x14ac:dyDescent="0.25">
      <c r="A302" s="5">
        <v>44291</v>
      </c>
      <c r="B302">
        <v>10.9734</v>
      </c>
      <c r="C302">
        <v>15</v>
      </c>
      <c r="D302">
        <v>10.2538</v>
      </c>
      <c r="E302">
        <v>14.399699999999999</v>
      </c>
      <c r="F302">
        <v>146126.85999999999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0.7470397370527998</v>
      </c>
      <c r="Q302">
        <f t="shared" si="965"/>
        <v>109162.57107075128</v>
      </c>
      <c r="R302">
        <f t="shared" si="966"/>
        <v>-689419.17263953749</v>
      </c>
      <c r="S302">
        <f t="shared" si="967"/>
        <v>-6.8941917263953751</v>
      </c>
      <c r="T302">
        <f t="shared" si="968"/>
        <v>-6.8941917263953753E-3</v>
      </c>
    </row>
    <row r="303" spans="1:20" x14ac:dyDescent="0.25">
      <c r="A303" s="5">
        <v>44290</v>
      </c>
      <c r="B303">
        <v>9.9570000000000007</v>
      </c>
      <c r="C303">
        <v>11.9999</v>
      </c>
      <c r="D303">
        <v>9.8412000000000006</v>
      </c>
      <c r="E303">
        <v>10.974299999999999</v>
      </c>
      <c r="F303">
        <v>59057.46</v>
      </c>
      <c r="G303">
        <v>0</v>
      </c>
      <c r="L303" t="s">
        <v>8</v>
      </c>
      <c r="M303" t="s">
        <v>8</v>
      </c>
      <c r="N303" t="s">
        <v>7</v>
      </c>
      <c r="P303">
        <f t="shared" si="964"/>
        <v>4.9798489831842395E-2</v>
      </c>
      <c r="Q303">
        <f t="shared" si="965"/>
        <v>2940.972321304439</v>
      </c>
      <c r="R303">
        <f t="shared" si="966"/>
        <v>-798581.74371028878</v>
      </c>
      <c r="S303">
        <f t="shared" si="967"/>
        <v>-7.9858174371028881</v>
      </c>
      <c r="T303">
        <f t="shared" si="968"/>
        <v>-7.9858174371028878E-3</v>
      </c>
    </row>
    <row r="304" spans="1:20" x14ac:dyDescent="0.25">
      <c r="A304" s="5">
        <v>44289</v>
      </c>
      <c r="B304">
        <v>10.3596</v>
      </c>
      <c r="C304">
        <v>10.503</v>
      </c>
      <c r="D304">
        <v>9.7702000000000009</v>
      </c>
      <c r="E304">
        <v>9.9663000000000004</v>
      </c>
      <c r="F304">
        <v>33173.14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-0.46479257641921479</v>
      </c>
      <c r="Q304">
        <f t="shared" si="965"/>
        <v>-15418.629208515311</v>
      </c>
      <c r="R304">
        <f t="shared" si="966"/>
        <v>-801522.71603159327</v>
      </c>
      <c r="S304">
        <f t="shared" si="967"/>
        <v>-8.0152271603159324</v>
      </c>
      <c r="T304">
        <f t="shared" si="968"/>
        <v>-8.0152271603159322E-3</v>
      </c>
    </row>
    <row r="305" spans="1:20" x14ac:dyDescent="0.25">
      <c r="A305" s="5">
        <v>44288</v>
      </c>
      <c r="B305">
        <v>10.722200000000001</v>
      </c>
      <c r="C305">
        <v>10.873799999999999</v>
      </c>
      <c r="D305">
        <v>10.043100000000001</v>
      </c>
      <c r="E305">
        <v>10.3485</v>
      </c>
      <c r="F305">
        <v>41930.160000000003</v>
      </c>
      <c r="G305">
        <v>0</v>
      </c>
      <c r="L305" t="s">
        <v>7</v>
      </c>
      <c r="M305" t="s">
        <v>7</v>
      </c>
      <c r="N305" t="s">
        <v>7</v>
      </c>
      <c r="P305">
        <f t="shared" si="964"/>
        <v>-0.26471650415312542</v>
      </c>
      <c r="Q305">
        <f t="shared" si="965"/>
        <v>-11099.605373781214</v>
      </c>
      <c r="R305">
        <f t="shared" si="966"/>
        <v>-786104.08682307799</v>
      </c>
      <c r="S305">
        <f t="shared" si="967"/>
        <v>-7.8610408682307797</v>
      </c>
      <c r="T305">
        <f t="shared" si="968"/>
        <v>-7.8610408682307804E-3</v>
      </c>
    </row>
    <row r="306" spans="1:20" x14ac:dyDescent="0.25">
      <c r="A306" s="5">
        <v>44287</v>
      </c>
      <c r="B306">
        <v>11.1942</v>
      </c>
      <c r="C306">
        <v>11.289199999999999</v>
      </c>
      <c r="D306">
        <v>10.5001</v>
      </c>
      <c r="E306">
        <v>10.7042</v>
      </c>
      <c r="F306">
        <v>35030.239999999998</v>
      </c>
      <c r="G306">
        <v>0</v>
      </c>
      <c r="L306" t="s">
        <v>7</v>
      </c>
      <c r="M306" t="s">
        <v>8</v>
      </c>
      <c r="N306" t="s">
        <v>7</v>
      </c>
      <c r="P306">
        <f t="shared" si="964"/>
        <v>-0.48270181219110242</v>
      </c>
      <c r="Q306">
        <f t="shared" si="965"/>
        <v>-16909.160329489241</v>
      </c>
      <c r="R306">
        <f t="shared" si="966"/>
        <v>-775004.48144929681</v>
      </c>
      <c r="S306">
        <f t="shared" si="967"/>
        <v>-7.7500448144929681</v>
      </c>
      <c r="T306">
        <f t="shared" si="968"/>
        <v>-7.7500448144929681E-3</v>
      </c>
    </row>
    <row r="307" spans="1:20" x14ac:dyDescent="0.25">
      <c r="A307" s="5">
        <v>44286</v>
      </c>
      <c r="B307">
        <v>11.5555</v>
      </c>
      <c r="C307">
        <v>11.6</v>
      </c>
      <c r="D307">
        <v>10.81</v>
      </c>
      <c r="E307">
        <v>11.165900000000001</v>
      </c>
      <c r="F307">
        <v>47306.83</v>
      </c>
      <c r="G307">
        <v>0</v>
      </c>
      <c r="L307" t="s">
        <v>7</v>
      </c>
      <c r="M307" t="s">
        <v>8</v>
      </c>
      <c r="N307" t="s">
        <v>7</v>
      </c>
      <c r="P307">
        <f t="shared" si="964"/>
        <v>-9.8987341772150655E-2</v>
      </c>
      <c r="Q307">
        <f t="shared" si="965"/>
        <v>-4682.7773493670302</v>
      </c>
      <c r="R307">
        <f t="shared" si="966"/>
        <v>-758095.32111980754</v>
      </c>
      <c r="S307">
        <f t="shared" si="967"/>
        <v>-7.5809532111980751</v>
      </c>
      <c r="T307">
        <f t="shared" si="968"/>
        <v>-7.5809532111980752E-3</v>
      </c>
    </row>
    <row r="308" spans="1:20" x14ac:dyDescent="0.25">
      <c r="A308" s="5">
        <v>44285</v>
      </c>
      <c r="B308">
        <v>11.0342</v>
      </c>
      <c r="C308">
        <v>12.2874</v>
      </c>
      <c r="D308">
        <v>10.8621</v>
      </c>
      <c r="E308">
        <v>11.5555</v>
      </c>
      <c r="F308">
        <v>48861.31</v>
      </c>
      <c r="G308">
        <v>0</v>
      </c>
      <c r="L308" t="s">
        <v>8</v>
      </c>
      <c r="M308" t="s">
        <v>8</v>
      </c>
      <c r="N308" t="s">
        <v>7</v>
      </c>
      <c r="P308">
        <f t="shared" si="964"/>
        <v>-2.7011857152879456E-2</v>
      </c>
      <c r="Q308">
        <f t="shared" si="965"/>
        <v>-1319.8347260225605</v>
      </c>
      <c r="R308">
        <f t="shared" si="966"/>
        <v>-753412.5437704405</v>
      </c>
      <c r="S308">
        <f t="shared" si="967"/>
        <v>-7.5341254377044047</v>
      </c>
      <c r="T308">
        <f t="shared" si="968"/>
        <v>-7.5341254377044049E-3</v>
      </c>
    </row>
    <row r="309" spans="1:20" x14ac:dyDescent="0.25">
      <c r="A309" s="5">
        <v>44284</v>
      </c>
      <c r="B309">
        <v>10.755000000000001</v>
      </c>
      <c r="C309">
        <v>11.3832</v>
      </c>
      <c r="D309">
        <v>10.110200000000001</v>
      </c>
      <c r="E309">
        <v>11.0496</v>
      </c>
      <c r="F309">
        <v>51949.45</v>
      </c>
      <c r="G309">
        <v>0</v>
      </c>
      <c r="L309" t="s">
        <v>7</v>
      </c>
      <c r="M309" t="s">
        <v>8</v>
      </c>
      <c r="N309" t="s">
        <v>7</v>
      </c>
      <c r="P309">
        <f t="shared" si="964"/>
        <v>0.47588373919874211</v>
      </c>
      <c r="Q309">
        <f t="shared" si="965"/>
        <v>24721.898515318091</v>
      </c>
      <c r="R309">
        <f t="shared" si="966"/>
        <v>-752092.70904441795</v>
      </c>
      <c r="S309">
        <f t="shared" si="967"/>
        <v>-7.5209270904441796</v>
      </c>
      <c r="T309">
        <f t="shared" si="968"/>
        <v>-7.5209270904441792E-3</v>
      </c>
    </row>
    <row r="310" spans="1:20" x14ac:dyDescent="0.25">
      <c r="A310" s="5">
        <v>44283</v>
      </c>
      <c r="B310">
        <v>10.2187</v>
      </c>
      <c r="C310">
        <v>11.59</v>
      </c>
      <c r="D310">
        <v>10.1</v>
      </c>
      <c r="E310">
        <v>10.757400000000001</v>
      </c>
      <c r="F310">
        <v>51133.58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-0.11758389261744862</v>
      </c>
      <c r="Q310">
        <f t="shared" si="965"/>
        <v>-6012.4853798657186</v>
      </c>
      <c r="R310">
        <f t="shared" si="966"/>
        <v>-776814.607559736</v>
      </c>
      <c r="S310">
        <f t="shared" si="967"/>
        <v>-7.7681460755973601</v>
      </c>
      <c r="T310">
        <f t="shared" si="968"/>
        <v>-7.76814607559736E-3</v>
      </c>
    </row>
    <row r="311" spans="1:20" x14ac:dyDescent="0.25">
      <c r="A311" s="5">
        <v>44282</v>
      </c>
      <c r="B311">
        <v>10.3817</v>
      </c>
      <c r="C311">
        <v>10.7</v>
      </c>
      <c r="D311">
        <v>10</v>
      </c>
      <c r="E311">
        <v>10.2113</v>
      </c>
      <c r="F311">
        <v>40335.11</v>
      </c>
      <c r="G311">
        <v>0</v>
      </c>
      <c r="L311" t="s">
        <v>7</v>
      </c>
      <c r="M311" t="s">
        <v>7</v>
      </c>
      <c r="N311" t="s">
        <v>7</v>
      </c>
      <c r="P311">
        <f t="shared" si="964"/>
        <v>-0.3962857142857148</v>
      </c>
      <c r="Q311">
        <f t="shared" si="965"/>
        <v>-15984.227877142877</v>
      </c>
      <c r="R311">
        <f t="shared" si="966"/>
        <v>-770802.12217987026</v>
      </c>
      <c r="S311">
        <f t="shared" si="967"/>
        <v>-7.7080212217987025</v>
      </c>
      <c r="T311">
        <f t="shared" si="968"/>
        <v>-7.7080212217987025E-3</v>
      </c>
    </row>
    <row r="312" spans="1:20" x14ac:dyDescent="0.25">
      <c r="A312" s="5">
        <v>44281</v>
      </c>
      <c r="B312">
        <v>9.8530999999999995</v>
      </c>
      <c r="C312">
        <v>10.7944</v>
      </c>
      <c r="D312">
        <v>9.7751000000000001</v>
      </c>
      <c r="E312">
        <v>10.3559</v>
      </c>
      <c r="F312">
        <v>31321.22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0.13960561169430061</v>
      </c>
      <c r="Q312">
        <f t="shared" si="965"/>
        <v>4372.6180771117624</v>
      </c>
      <c r="R312">
        <f t="shared" si="966"/>
        <v>-754817.89430272742</v>
      </c>
      <c r="S312">
        <f t="shared" si="967"/>
        <v>-7.5481789430272741</v>
      </c>
      <c r="T312">
        <f t="shared" si="968"/>
        <v>-7.5481789430272743E-3</v>
      </c>
    </row>
    <row r="313" spans="1:20" x14ac:dyDescent="0.25">
      <c r="A313" s="5">
        <v>44280</v>
      </c>
      <c r="B313">
        <v>10.9011</v>
      </c>
      <c r="C313">
        <v>10.9802</v>
      </c>
      <c r="D313">
        <v>9.4</v>
      </c>
      <c r="E313">
        <v>9.8401999999999994</v>
      </c>
      <c r="F313">
        <v>44149.120000000003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-0.44285533476775202</v>
      </c>
      <c r="Q313">
        <f t="shared" si="965"/>
        <v>-19551.673317301658</v>
      </c>
      <c r="R313">
        <f t="shared" si="966"/>
        <v>-759190.5123798392</v>
      </c>
      <c r="S313">
        <f t="shared" si="967"/>
        <v>-7.5919051237983917</v>
      </c>
      <c r="T313">
        <f t="shared" si="968"/>
        <v>-7.591905123798392E-3</v>
      </c>
    </row>
    <row r="314" spans="1:20" x14ac:dyDescent="0.25">
      <c r="A314" s="5">
        <v>44279</v>
      </c>
      <c r="B314">
        <v>11.449299999999999</v>
      </c>
      <c r="C314">
        <v>12.0854</v>
      </c>
      <c r="D314">
        <v>10.5756</v>
      </c>
      <c r="E314">
        <v>10.919</v>
      </c>
      <c r="F314">
        <v>32772.04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-0.54510531196184819</v>
      </c>
      <c r="Q314">
        <f t="shared" si="965"/>
        <v>-17864.213087826167</v>
      </c>
      <c r="R314">
        <f t="shared" si="966"/>
        <v>-739638.83906253753</v>
      </c>
      <c r="S314">
        <f t="shared" si="967"/>
        <v>-7.3963883906253756</v>
      </c>
      <c r="T314">
        <f t="shared" si="968"/>
        <v>-7.3963883906253752E-3</v>
      </c>
    </row>
    <row r="315" spans="1:20" x14ac:dyDescent="0.25">
      <c r="A315" s="5">
        <v>44278</v>
      </c>
      <c r="B315">
        <v>11.8561</v>
      </c>
      <c r="C315">
        <v>12.550800000000001</v>
      </c>
      <c r="D315">
        <v>11</v>
      </c>
      <c r="E315">
        <v>11.449199999999999</v>
      </c>
      <c r="F315">
        <v>40036.58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-0.42068609749806657</v>
      </c>
      <c r="Q315">
        <f t="shared" si="965"/>
        <v>-16842.832597369143</v>
      </c>
      <c r="R315">
        <f t="shared" si="966"/>
        <v>-721774.62597471138</v>
      </c>
      <c r="S315">
        <f t="shared" si="967"/>
        <v>-7.2177462597471136</v>
      </c>
      <c r="T315">
        <f t="shared" si="968"/>
        <v>-7.2177462597471133E-3</v>
      </c>
    </row>
    <row r="316" spans="1:20" x14ac:dyDescent="0.25">
      <c r="A316" s="5">
        <v>44277</v>
      </c>
      <c r="B316">
        <v>12.372999999999999</v>
      </c>
      <c r="C316">
        <v>12.72</v>
      </c>
      <c r="D316">
        <v>11.75</v>
      </c>
      <c r="E316">
        <v>11.8254</v>
      </c>
      <c r="F316">
        <v>43089.34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-0.84453608247422662</v>
      </c>
      <c r="Q316">
        <f t="shared" si="965"/>
        <v>-36390.50239999999</v>
      </c>
      <c r="R316">
        <f t="shared" si="966"/>
        <v>-704931.79337734228</v>
      </c>
      <c r="S316">
        <f t="shared" si="967"/>
        <v>-7.0493179337734224</v>
      </c>
      <c r="T316">
        <f t="shared" si="968"/>
        <v>-7.0493179337734226E-3</v>
      </c>
    </row>
    <row r="317" spans="1:20" x14ac:dyDescent="0.25">
      <c r="A317" s="5">
        <v>44276</v>
      </c>
      <c r="B317">
        <v>12.854900000000001</v>
      </c>
      <c r="C317">
        <v>13.0726</v>
      </c>
      <c r="D317">
        <v>12.136699999999999</v>
      </c>
      <c r="E317">
        <v>12.3752</v>
      </c>
      <c r="F317">
        <v>35324.230000000003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-0.49033016347900393</v>
      </c>
      <c r="Q317">
        <f t="shared" si="965"/>
        <v>-17320.535470669936</v>
      </c>
      <c r="R317">
        <f t="shared" si="966"/>
        <v>-668541.29097734229</v>
      </c>
      <c r="S317">
        <f t="shared" si="967"/>
        <v>-6.6854129097734232</v>
      </c>
      <c r="T317">
        <f t="shared" si="968"/>
        <v>-6.6854129097734232E-3</v>
      </c>
    </row>
    <row r="318" spans="1:20" x14ac:dyDescent="0.25">
      <c r="A318" s="5">
        <v>44275</v>
      </c>
      <c r="B318">
        <v>12.914899999999999</v>
      </c>
      <c r="C318">
        <v>13.6586</v>
      </c>
      <c r="D318">
        <v>12.5006</v>
      </c>
      <c r="E318">
        <v>12.802300000000001</v>
      </c>
      <c r="F318">
        <v>45501.64</v>
      </c>
      <c r="G318">
        <v>0</v>
      </c>
      <c r="L318" t="s">
        <v>8</v>
      </c>
      <c r="M318" t="s">
        <v>7</v>
      </c>
      <c r="N318" t="s">
        <v>7</v>
      </c>
      <c r="P318">
        <f t="shared" si="964"/>
        <v>-0.47892918825561237</v>
      </c>
      <c r="Q318">
        <f t="shared" si="965"/>
        <v>-21792.063509499101</v>
      </c>
      <c r="R318">
        <f t="shared" si="966"/>
        <v>-651220.75550667231</v>
      </c>
      <c r="S318">
        <f t="shared" si="967"/>
        <v>-6.5122075550667233</v>
      </c>
      <c r="T318">
        <f t="shared" si="968"/>
        <v>-6.5122075550667234E-3</v>
      </c>
    </row>
    <row r="319" spans="1:20" x14ac:dyDescent="0.25">
      <c r="A319" s="5">
        <v>44274</v>
      </c>
      <c r="B319">
        <v>13.707100000000001</v>
      </c>
      <c r="C319">
        <v>14.25</v>
      </c>
      <c r="D319">
        <v>12.4634</v>
      </c>
      <c r="E319">
        <v>12.9148</v>
      </c>
      <c r="F319">
        <v>69651.399999999994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-0.49468263741184421</v>
      </c>
      <c r="Q319">
        <f t="shared" si="965"/>
        <v>-34455.338251427325</v>
      </c>
      <c r="R319">
        <f t="shared" si="966"/>
        <v>-629428.69199717324</v>
      </c>
      <c r="S319">
        <f t="shared" si="967"/>
        <v>-6.2942869199717322</v>
      </c>
      <c r="T319">
        <f t="shared" si="968"/>
        <v>-6.2942869199717321E-3</v>
      </c>
    </row>
    <row r="320" spans="1:20" x14ac:dyDescent="0.25">
      <c r="A320" s="5">
        <v>44273</v>
      </c>
      <c r="B320">
        <v>12.5001</v>
      </c>
      <c r="C320">
        <v>15.738200000000001</v>
      </c>
      <c r="D320">
        <v>12.361000000000001</v>
      </c>
      <c r="E320">
        <v>13.704800000000001</v>
      </c>
      <c r="F320">
        <v>161386.25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-0.20419282245647294</v>
      </c>
      <c r="Q320">
        <f t="shared" si="965"/>
        <v>-32953.913893165955</v>
      </c>
      <c r="R320">
        <f t="shared" si="966"/>
        <v>-594973.35374574596</v>
      </c>
      <c r="S320">
        <f t="shared" si="967"/>
        <v>-5.94973353745746</v>
      </c>
      <c r="T320">
        <f t="shared" si="968"/>
        <v>-5.9497335374574601E-3</v>
      </c>
    </row>
    <row r="321" spans="1:20" x14ac:dyDescent="0.25">
      <c r="A321" s="5">
        <v>44272</v>
      </c>
      <c r="B321">
        <v>11.766</v>
      </c>
      <c r="C321">
        <v>12.9</v>
      </c>
      <c r="D321">
        <v>11.573</v>
      </c>
      <c r="E321">
        <v>12.5</v>
      </c>
      <c r="F321">
        <v>66513.929999999993</v>
      </c>
      <c r="G321">
        <v>0</v>
      </c>
      <c r="L321" t="s">
        <v>8</v>
      </c>
      <c r="M321" t="s">
        <v>7</v>
      </c>
      <c r="N321" t="s">
        <v>7</v>
      </c>
      <c r="P321">
        <f t="shared" si="964"/>
        <v>0.39713639788997684</v>
      </c>
      <c r="Q321">
        <f t="shared" si="965"/>
        <v>26415.102569706065</v>
      </c>
      <c r="R321">
        <f t="shared" si="966"/>
        <v>-562019.43985257996</v>
      </c>
      <c r="S321">
        <f t="shared" si="967"/>
        <v>-5.6201943985257996</v>
      </c>
      <c r="T321">
        <f t="shared" si="968"/>
        <v>-5.6201943985257994E-3</v>
      </c>
    </row>
    <row r="322" spans="1:20" x14ac:dyDescent="0.25">
      <c r="A322" s="5">
        <v>44271</v>
      </c>
      <c r="B322">
        <v>12.324199999999999</v>
      </c>
      <c r="C322">
        <v>13.2</v>
      </c>
      <c r="D322">
        <v>11.532</v>
      </c>
      <c r="E322">
        <v>11.751899999999999</v>
      </c>
      <c r="F322">
        <v>84676.49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-0.73633093525179949</v>
      </c>
      <c r="Q322">
        <f t="shared" si="965"/>
        <v>-62349.919075539648</v>
      </c>
      <c r="R322">
        <f t="shared" si="966"/>
        <v>-588434.542422286</v>
      </c>
      <c r="S322">
        <f t="shared" si="967"/>
        <v>-5.8843454242228601</v>
      </c>
      <c r="T322">
        <f t="shared" si="968"/>
        <v>-5.88434542422286E-3</v>
      </c>
    </row>
    <row r="323" spans="1:20" x14ac:dyDescent="0.25">
      <c r="A323" s="5">
        <v>44270</v>
      </c>
      <c r="B323">
        <v>12.243499999999999</v>
      </c>
      <c r="C323">
        <v>14.523099999999999</v>
      </c>
      <c r="D323">
        <v>11.4093</v>
      </c>
      <c r="E323">
        <v>12.3559</v>
      </c>
      <c r="F323">
        <v>129466.25</v>
      </c>
      <c r="G323">
        <v>0</v>
      </c>
      <c r="L323" t="s">
        <v>8</v>
      </c>
      <c r="M323" t="s">
        <v>7</v>
      </c>
      <c r="N323" t="s">
        <v>7</v>
      </c>
      <c r="P323">
        <f t="shared" si="964"/>
        <v>-0.39199691695034988</v>
      </c>
      <c r="Q323">
        <f t="shared" si="965"/>
        <v>-50750.370849123239</v>
      </c>
      <c r="R323">
        <f t="shared" si="966"/>
        <v>-526084.62334674632</v>
      </c>
      <c r="S323">
        <f t="shared" si="967"/>
        <v>-5.2608462334674631</v>
      </c>
      <c r="T323">
        <f t="shared" si="968"/>
        <v>-5.2608462334674628E-3</v>
      </c>
    </row>
    <row r="324" spans="1:20" x14ac:dyDescent="0.25">
      <c r="A324" s="5">
        <v>44269</v>
      </c>
      <c r="B324">
        <v>11.9</v>
      </c>
      <c r="C324">
        <v>13.1111</v>
      </c>
      <c r="D324">
        <v>11.8</v>
      </c>
      <c r="E324">
        <v>12.2201</v>
      </c>
      <c r="F324">
        <v>75110.149999999994</v>
      </c>
      <c r="G324">
        <v>0</v>
      </c>
      <c r="L324" t="s">
        <v>8</v>
      </c>
      <c r="M324" t="s">
        <v>7</v>
      </c>
      <c r="N324" t="s">
        <v>7</v>
      </c>
      <c r="P324">
        <f t="shared" si="964"/>
        <v>-0.35916406071237922</v>
      </c>
      <c r="Q324">
        <f t="shared" si="965"/>
        <v>-26976.866474715909</v>
      </c>
      <c r="R324">
        <f t="shared" si="966"/>
        <v>-475334.25249762303</v>
      </c>
      <c r="S324">
        <f t="shared" si="967"/>
        <v>-4.7533425249762304</v>
      </c>
      <c r="T324">
        <f t="shared" si="968"/>
        <v>-4.7533425249762307E-3</v>
      </c>
    </row>
    <row r="325" spans="1:20" x14ac:dyDescent="0.25">
      <c r="A325" s="5">
        <v>44268</v>
      </c>
      <c r="B325">
        <v>12.2844</v>
      </c>
      <c r="C325">
        <v>13.221</v>
      </c>
      <c r="D325">
        <v>11.7</v>
      </c>
      <c r="E325">
        <v>11.9</v>
      </c>
      <c r="F325">
        <v>85867.55</v>
      </c>
      <c r="G325">
        <v>0</v>
      </c>
      <c r="L325" t="s">
        <v>7</v>
      </c>
      <c r="M325" t="s">
        <v>7</v>
      </c>
      <c r="N325" t="s">
        <v>7</v>
      </c>
      <c r="P325">
        <f t="shared" si="964"/>
        <v>-0.73701512163050498</v>
      </c>
      <c r="Q325">
        <f t="shared" si="965"/>
        <v>-63285.682807363468</v>
      </c>
      <c r="R325">
        <f t="shared" si="966"/>
        <v>-448357.3860229071</v>
      </c>
      <c r="S325">
        <f t="shared" si="967"/>
        <v>-4.4835738602290709</v>
      </c>
      <c r="T325">
        <f t="shared" si="968"/>
        <v>-4.4835738602290705E-3</v>
      </c>
    </row>
    <row r="326" spans="1:20" x14ac:dyDescent="0.25">
      <c r="A326" s="5">
        <v>44267</v>
      </c>
      <c r="B326">
        <v>12.292400000000001</v>
      </c>
      <c r="C326">
        <v>14.8</v>
      </c>
      <c r="D326">
        <v>11.9</v>
      </c>
      <c r="E326">
        <v>12.2857</v>
      </c>
      <c r="F326">
        <v>110903.47</v>
      </c>
      <c r="G326">
        <v>0</v>
      </c>
      <c r="L326" t="s">
        <v>8</v>
      </c>
      <c r="M326" t="s">
        <v>8</v>
      </c>
      <c r="N326" t="s">
        <v>7</v>
      </c>
      <c r="P326">
        <f t="shared" ref="P326:P389" si="969">IF(C326=D326,0,((E326-D326)-(C326-E326))/(C326-D326))</f>
        <v>-0.7340000000000001</v>
      </c>
      <c r="Q326">
        <f t="shared" ref="Q326:Q389" si="970">F326*P326</f>
        <v>-81403.146980000005</v>
      </c>
      <c r="R326">
        <f t="shared" ref="R326:R389" si="971">R327+Q326</f>
        <v>-385071.70321554365</v>
      </c>
      <c r="S326">
        <f t="shared" ref="S326:S389" si="972">R326/100000</f>
        <v>-3.8507170321554365</v>
      </c>
      <c r="T326">
        <f t="shared" ref="T326:T389" si="973">S326/1000</f>
        <v>-3.8507170321554363E-3</v>
      </c>
    </row>
    <row r="327" spans="1:20" x14ac:dyDescent="0.25">
      <c r="A327" s="5">
        <v>44266</v>
      </c>
      <c r="B327">
        <v>12.874000000000001</v>
      </c>
      <c r="C327">
        <v>13.1</v>
      </c>
      <c r="D327">
        <v>11.9099</v>
      </c>
      <c r="E327">
        <v>12.277699999999999</v>
      </c>
      <c r="F327">
        <v>59403.46</v>
      </c>
      <c r="G327">
        <v>0</v>
      </c>
      <c r="L327" t="s">
        <v>7</v>
      </c>
      <c r="M327" t="s">
        <v>7</v>
      </c>
      <c r="N327" t="s">
        <v>7</v>
      </c>
      <c r="P327">
        <f t="shared" si="969"/>
        <v>-0.38190068061507565</v>
      </c>
      <c r="Q327">
        <f t="shared" si="970"/>
        <v>-22686.221804890421</v>
      </c>
      <c r="R327">
        <f t="shared" si="971"/>
        <v>-303668.55623554363</v>
      </c>
      <c r="S327">
        <f t="shared" si="972"/>
        <v>-3.0366855623554363</v>
      </c>
      <c r="T327">
        <f t="shared" si="973"/>
        <v>-3.0366855623554364E-3</v>
      </c>
    </row>
    <row r="328" spans="1:20" x14ac:dyDescent="0.25">
      <c r="A328" s="5">
        <v>44265</v>
      </c>
      <c r="B328">
        <v>13.4</v>
      </c>
      <c r="C328">
        <v>13.5021</v>
      </c>
      <c r="D328">
        <v>12.759499999999999</v>
      </c>
      <c r="E328">
        <v>12.874000000000001</v>
      </c>
      <c r="F328">
        <v>60119.01</v>
      </c>
      <c r="G328">
        <v>0</v>
      </c>
      <c r="L328" t="s">
        <v>7</v>
      </c>
      <c r="M328" t="s">
        <v>7</v>
      </c>
      <c r="N328" t="s">
        <v>7</v>
      </c>
      <c r="P328">
        <f t="shared" si="969"/>
        <v>-0.69162402370050857</v>
      </c>
      <c r="Q328">
        <f t="shared" si="970"/>
        <v>-41579.751597091112</v>
      </c>
      <c r="R328">
        <f t="shared" si="971"/>
        <v>-280982.33443065319</v>
      </c>
      <c r="S328">
        <f t="shared" si="972"/>
        <v>-2.8098233443065319</v>
      </c>
      <c r="T328">
        <f t="shared" si="973"/>
        <v>-2.809823344306532E-3</v>
      </c>
    </row>
    <row r="329" spans="1:20" x14ac:dyDescent="0.25">
      <c r="A329" s="5">
        <v>44264</v>
      </c>
      <c r="B329">
        <v>13.2041</v>
      </c>
      <c r="C329">
        <v>13.7668</v>
      </c>
      <c r="D329">
        <v>12.7087</v>
      </c>
      <c r="E329">
        <v>13.400399999999999</v>
      </c>
      <c r="F329">
        <v>110641.1</v>
      </c>
      <c r="G329">
        <v>0</v>
      </c>
      <c r="L329" t="s">
        <v>8</v>
      </c>
      <c r="M329" t="s">
        <v>7</v>
      </c>
      <c r="N329" t="s">
        <v>7</v>
      </c>
      <c r="P329">
        <f t="shared" si="969"/>
        <v>0.30743786031565895</v>
      </c>
      <c r="Q329">
        <f t="shared" si="970"/>
        <v>34015.263046970853</v>
      </c>
      <c r="R329">
        <f t="shared" si="971"/>
        <v>-239402.58283356208</v>
      </c>
      <c r="S329">
        <f t="shared" si="972"/>
        <v>-2.3940258283356206</v>
      </c>
      <c r="T329">
        <f t="shared" si="973"/>
        <v>-2.3940258283356207E-3</v>
      </c>
    </row>
    <row r="330" spans="1:20" x14ac:dyDescent="0.25">
      <c r="A330" s="5">
        <v>44263</v>
      </c>
      <c r="B330">
        <v>13.571099999999999</v>
      </c>
      <c r="C330">
        <v>14.2437</v>
      </c>
      <c r="D330">
        <v>12.3292</v>
      </c>
      <c r="E330">
        <v>13.2095</v>
      </c>
      <c r="F330">
        <v>97951.82</v>
      </c>
      <c r="G330">
        <v>0</v>
      </c>
      <c r="L330" t="s">
        <v>7</v>
      </c>
      <c r="M330" t="s">
        <v>7</v>
      </c>
      <c r="N330" t="s">
        <v>7</v>
      </c>
      <c r="P330">
        <f t="shared" si="969"/>
        <v>-8.0386523896578799E-2</v>
      </c>
      <c r="Q330">
        <f t="shared" si="970"/>
        <v>-7874.0063191433856</v>
      </c>
      <c r="R330">
        <f t="shared" si="971"/>
        <v>-273417.84588053293</v>
      </c>
      <c r="S330">
        <f t="shared" si="972"/>
        <v>-2.7341784588053293</v>
      </c>
      <c r="T330">
        <f t="shared" si="973"/>
        <v>-2.7341784588053291E-3</v>
      </c>
    </row>
    <row r="331" spans="1:20" x14ac:dyDescent="0.25">
      <c r="A331" s="5">
        <v>44262</v>
      </c>
      <c r="B331">
        <v>14.125</v>
      </c>
      <c r="C331">
        <v>15.8</v>
      </c>
      <c r="D331">
        <v>13.206799999999999</v>
      </c>
      <c r="E331">
        <v>13.571099999999999</v>
      </c>
      <c r="F331">
        <v>140712.70000000001</v>
      </c>
      <c r="G331">
        <v>0</v>
      </c>
      <c r="L331" t="s">
        <v>7</v>
      </c>
      <c r="M331" t="s">
        <v>7</v>
      </c>
      <c r="N331" t="s">
        <v>7</v>
      </c>
      <c r="P331">
        <f t="shared" si="969"/>
        <v>-0.71903439765540655</v>
      </c>
      <c r="Q331">
        <f t="shared" si="970"/>
        <v>-101177.27148696594</v>
      </c>
      <c r="R331">
        <f t="shared" si="971"/>
        <v>-265543.83956138953</v>
      </c>
      <c r="S331">
        <f t="shared" si="972"/>
        <v>-2.6554383956138952</v>
      </c>
      <c r="T331">
        <f t="shared" si="973"/>
        <v>-2.6554383956138954E-3</v>
      </c>
    </row>
    <row r="332" spans="1:20" x14ac:dyDescent="0.25">
      <c r="A332" s="5">
        <v>44261</v>
      </c>
      <c r="B332">
        <v>11.8109</v>
      </c>
      <c r="C332">
        <v>19.2928</v>
      </c>
      <c r="D332">
        <v>11.5</v>
      </c>
      <c r="E332">
        <v>14.1477</v>
      </c>
      <c r="F332">
        <v>461523.88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-0.32047531054306527</v>
      </c>
      <c r="Q332">
        <f t="shared" si="970"/>
        <v>-147907.00876604038</v>
      </c>
      <c r="R332">
        <f t="shared" si="971"/>
        <v>-164366.56807442359</v>
      </c>
      <c r="S332">
        <f t="shared" si="972"/>
        <v>-1.6436656807442358</v>
      </c>
      <c r="T332">
        <f t="shared" si="973"/>
        <v>-1.6436656807442358E-3</v>
      </c>
    </row>
    <row r="333" spans="1:20" x14ac:dyDescent="0.25">
      <c r="A333" s="5">
        <v>44260</v>
      </c>
      <c r="B333">
        <v>11.9817</v>
      </c>
      <c r="C333">
        <v>11.9817</v>
      </c>
      <c r="D333">
        <v>10.8146</v>
      </c>
      <c r="E333">
        <v>11.797000000000001</v>
      </c>
      <c r="F333">
        <v>56277.08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0.68348898980378803</v>
      </c>
      <c r="Q333">
        <f t="shared" si="970"/>
        <v>38464.764558306961</v>
      </c>
      <c r="R333">
        <f t="shared" si="971"/>
        <v>-16459.559308383214</v>
      </c>
      <c r="S333">
        <f t="shared" si="972"/>
        <v>-0.16459559308383215</v>
      </c>
      <c r="T333">
        <f t="shared" si="973"/>
        <v>-1.6459559308383215E-4</v>
      </c>
    </row>
    <row r="334" spans="1:20" x14ac:dyDescent="0.25">
      <c r="A334" s="5">
        <v>44259</v>
      </c>
      <c r="B334">
        <v>12.6889</v>
      </c>
      <c r="C334">
        <v>13.206799999999999</v>
      </c>
      <c r="D334">
        <v>11.7468</v>
      </c>
      <c r="E334">
        <v>11.976100000000001</v>
      </c>
      <c r="F334">
        <v>57856.05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-0.68589041095890357</v>
      </c>
      <c r="Q334">
        <f t="shared" si="970"/>
        <v>-39682.909910958871</v>
      </c>
      <c r="R334">
        <f t="shared" si="971"/>
        <v>-54924.323866690174</v>
      </c>
      <c r="S334">
        <f t="shared" si="972"/>
        <v>-0.54924323866690172</v>
      </c>
      <c r="T334">
        <f t="shared" si="973"/>
        <v>-5.4924323866690171E-4</v>
      </c>
    </row>
    <row r="335" spans="1:20" x14ac:dyDescent="0.25">
      <c r="A335" s="5">
        <v>44258</v>
      </c>
      <c r="B335">
        <v>12.8827</v>
      </c>
      <c r="C335">
        <v>13.6</v>
      </c>
      <c r="D335">
        <v>12.55</v>
      </c>
      <c r="E335">
        <v>12.688800000000001</v>
      </c>
      <c r="F335">
        <v>58220.6</v>
      </c>
      <c r="G335">
        <v>0</v>
      </c>
      <c r="L335" t="s">
        <v>8</v>
      </c>
      <c r="M335" t="s">
        <v>7</v>
      </c>
      <c r="N335" t="s">
        <v>7</v>
      </c>
      <c r="P335">
        <f t="shared" si="969"/>
        <v>-0.73561904761904773</v>
      </c>
      <c r="Q335">
        <f t="shared" si="970"/>
        <v>-42828.182323809531</v>
      </c>
      <c r="R335">
        <f t="shared" si="971"/>
        <v>-15241.413955731306</v>
      </c>
      <c r="S335">
        <f t="shared" si="972"/>
        <v>-0.15241413955731306</v>
      </c>
      <c r="T335">
        <f t="shared" si="973"/>
        <v>-1.5241413955731305E-4</v>
      </c>
    </row>
    <row r="336" spans="1:20" x14ac:dyDescent="0.25">
      <c r="A336" s="5">
        <v>44257</v>
      </c>
      <c r="B336">
        <v>13.5548</v>
      </c>
      <c r="C336">
        <v>14.052</v>
      </c>
      <c r="D336">
        <v>12.1435</v>
      </c>
      <c r="E336">
        <v>12.8947</v>
      </c>
      <c r="F336">
        <v>83136.63</v>
      </c>
      <c r="G336">
        <v>0</v>
      </c>
      <c r="L336" t="s">
        <v>7</v>
      </c>
      <c r="M336" t="s">
        <v>7</v>
      </c>
      <c r="N336" t="s">
        <v>7</v>
      </c>
      <c r="P336">
        <f t="shared" si="969"/>
        <v>-0.21278490961488003</v>
      </c>
      <c r="Q336">
        <f t="shared" si="970"/>
        <v>-17690.220300235724</v>
      </c>
      <c r="R336">
        <f t="shared" si="971"/>
        <v>27586.768368078225</v>
      </c>
      <c r="S336">
        <f t="shared" si="972"/>
        <v>0.27586768368078224</v>
      </c>
      <c r="T336">
        <f t="shared" si="973"/>
        <v>2.7586768368078224E-4</v>
      </c>
    </row>
    <row r="337" spans="1:20" x14ac:dyDescent="0.25">
      <c r="A337" s="5">
        <v>44256</v>
      </c>
      <c r="B337">
        <v>12.0998</v>
      </c>
      <c r="C337">
        <v>15.26</v>
      </c>
      <c r="D337">
        <v>12.075100000000001</v>
      </c>
      <c r="E337">
        <v>13.5562</v>
      </c>
      <c r="F337">
        <v>107776.24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-6.9923702471035118E-2</v>
      </c>
      <c r="Q337">
        <f t="shared" si="970"/>
        <v>-7536.113739206874</v>
      </c>
      <c r="R337">
        <f t="shared" si="971"/>
        <v>45276.988668313948</v>
      </c>
      <c r="S337">
        <f t="shared" si="972"/>
        <v>0.4527698866831395</v>
      </c>
      <c r="T337">
        <f t="shared" si="973"/>
        <v>4.5276988668313951E-4</v>
      </c>
    </row>
    <row r="338" spans="1:20" x14ac:dyDescent="0.25">
      <c r="A338" s="5">
        <v>44255</v>
      </c>
      <c r="B338">
        <v>14.4445</v>
      </c>
      <c r="C338">
        <v>15.149900000000001</v>
      </c>
      <c r="D338">
        <v>11.1676</v>
      </c>
      <c r="E338">
        <v>12.1168</v>
      </c>
      <c r="F338">
        <v>127574.04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-0.52329056073123603</v>
      </c>
      <c r="Q338">
        <f t="shared" si="970"/>
        <v>-66758.290926349131</v>
      </c>
      <c r="R338">
        <f t="shared" si="971"/>
        <v>52813.102407520826</v>
      </c>
      <c r="S338">
        <f t="shared" si="972"/>
        <v>0.52813102407520829</v>
      </c>
      <c r="T338">
        <f t="shared" si="973"/>
        <v>5.2813102407520834E-4</v>
      </c>
    </row>
    <row r="339" spans="1:20" x14ac:dyDescent="0.25">
      <c r="A339" s="5">
        <v>44254</v>
      </c>
      <c r="B339">
        <v>16.4375</v>
      </c>
      <c r="C339">
        <v>16.578900000000001</v>
      </c>
      <c r="D339">
        <v>14.2468</v>
      </c>
      <c r="E339">
        <v>14.4445</v>
      </c>
      <c r="F339">
        <v>105320.77</v>
      </c>
      <c r="G339">
        <v>0</v>
      </c>
      <c r="L339" t="s">
        <v>7</v>
      </c>
      <c r="M339" t="s">
        <v>7</v>
      </c>
      <c r="N339" t="s">
        <v>7</v>
      </c>
      <c r="P339">
        <f t="shared" si="969"/>
        <v>-0.83045323956948736</v>
      </c>
      <c r="Q339">
        <f t="shared" si="970"/>
        <v>-87463.974640452885</v>
      </c>
      <c r="R339">
        <f t="shared" si="971"/>
        <v>119571.39333386996</v>
      </c>
      <c r="S339">
        <f t="shared" si="972"/>
        <v>1.1957139333386995</v>
      </c>
      <c r="T339">
        <f t="shared" si="973"/>
        <v>1.1957139333386995E-3</v>
      </c>
    </row>
    <row r="340" spans="1:20" x14ac:dyDescent="0.25">
      <c r="A340" s="5">
        <v>44253</v>
      </c>
      <c r="B340">
        <v>19.5001</v>
      </c>
      <c r="C340">
        <v>23.4999</v>
      </c>
      <c r="D340">
        <v>15</v>
      </c>
      <c r="E340">
        <v>16.5</v>
      </c>
      <c r="F340">
        <v>382546.56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-0.64705467123142624</v>
      </c>
      <c r="Q340">
        <f t="shared" si="970"/>
        <v>-247528.53861151307</v>
      </c>
      <c r="R340">
        <f t="shared" si="971"/>
        <v>207035.36797432284</v>
      </c>
      <c r="S340">
        <f t="shared" si="972"/>
        <v>2.0703536797432283</v>
      </c>
      <c r="T340">
        <f t="shared" si="973"/>
        <v>2.0703536797432283E-3</v>
      </c>
    </row>
    <row r="341" spans="1:20" x14ac:dyDescent="0.25">
      <c r="A341" s="5">
        <v>44252</v>
      </c>
      <c r="B341">
        <v>13.5307</v>
      </c>
      <c r="C341">
        <v>27</v>
      </c>
      <c r="D341">
        <v>13</v>
      </c>
      <c r="E341">
        <v>19.6953</v>
      </c>
      <c r="F341">
        <v>370922.03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-4.3528571428571486E-2</v>
      </c>
      <c r="Q341">
        <f t="shared" si="970"/>
        <v>-16145.706077285737</v>
      </c>
      <c r="R341">
        <f t="shared" si="971"/>
        <v>454563.90658583591</v>
      </c>
      <c r="S341">
        <f t="shared" si="972"/>
        <v>4.5456390658583592</v>
      </c>
      <c r="T341">
        <f t="shared" si="973"/>
        <v>4.5456390658583593E-3</v>
      </c>
    </row>
    <row r="342" spans="1:20" x14ac:dyDescent="0.25">
      <c r="A342" s="5">
        <v>44251</v>
      </c>
      <c r="B342">
        <v>15.437900000000001</v>
      </c>
      <c r="C342">
        <v>15.6335</v>
      </c>
      <c r="D342">
        <v>12.658799999999999</v>
      </c>
      <c r="E342">
        <v>13.530799999999999</v>
      </c>
      <c r="F342">
        <v>104988.14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-0.41372239217400086</v>
      </c>
      <c r="Q342">
        <f t="shared" si="970"/>
        <v>-43435.94443069891</v>
      </c>
      <c r="R342">
        <f t="shared" si="971"/>
        <v>470709.61266312166</v>
      </c>
      <c r="S342">
        <f t="shared" si="972"/>
        <v>4.7070961266312166</v>
      </c>
      <c r="T342">
        <f t="shared" si="973"/>
        <v>4.7070961266312168E-3</v>
      </c>
    </row>
    <row r="343" spans="1:20" x14ac:dyDescent="0.25">
      <c r="A343" s="5">
        <v>44250</v>
      </c>
      <c r="B343">
        <v>18.6555</v>
      </c>
      <c r="C343">
        <v>18.790600000000001</v>
      </c>
      <c r="D343">
        <v>10</v>
      </c>
      <c r="E343">
        <v>15.6105</v>
      </c>
      <c r="F343">
        <v>221594.51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0.27647714604236323</v>
      </c>
      <c r="Q343">
        <f t="shared" si="970"/>
        <v>61265.817703455919</v>
      </c>
      <c r="R343">
        <f t="shared" si="971"/>
        <v>514145.55709382059</v>
      </c>
      <c r="S343">
        <f t="shared" si="972"/>
        <v>5.1414555709382057</v>
      </c>
      <c r="T343">
        <f t="shared" si="973"/>
        <v>5.1414555709382061E-3</v>
      </c>
    </row>
    <row r="344" spans="1:20" x14ac:dyDescent="0.25">
      <c r="A344" s="5">
        <v>44249</v>
      </c>
      <c r="B344">
        <v>22.7362</v>
      </c>
      <c r="C344">
        <v>23.1</v>
      </c>
      <c r="D344">
        <v>17</v>
      </c>
      <c r="E344">
        <v>18.7912</v>
      </c>
      <c r="F344">
        <v>130281.7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-0.41272131147541002</v>
      </c>
      <c r="Q344">
        <f t="shared" si="970"/>
        <v>-53770.034085245927</v>
      </c>
      <c r="R344">
        <f t="shared" si="971"/>
        <v>452879.73939036467</v>
      </c>
      <c r="S344">
        <f t="shared" si="972"/>
        <v>4.5287973939036466</v>
      </c>
      <c r="T344">
        <f t="shared" si="973"/>
        <v>4.5287973939036469E-3</v>
      </c>
    </row>
    <row r="345" spans="1:20" x14ac:dyDescent="0.25">
      <c r="A345" s="5">
        <v>44248</v>
      </c>
      <c r="B345">
        <v>21.942599999999999</v>
      </c>
      <c r="C345">
        <v>27.4</v>
      </c>
      <c r="D345">
        <v>21.0001</v>
      </c>
      <c r="E345">
        <v>22.7362</v>
      </c>
      <c r="F345">
        <v>156385.37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-0.45746027281676255</v>
      </c>
      <c r="Q345">
        <f t="shared" si="970"/>
        <v>-71540.094024750346</v>
      </c>
      <c r="R345">
        <f t="shared" si="971"/>
        <v>506649.77347561059</v>
      </c>
      <c r="S345">
        <f t="shared" si="972"/>
        <v>5.0664977347561058</v>
      </c>
      <c r="T345">
        <f t="shared" si="973"/>
        <v>5.0664977347561055E-3</v>
      </c>
    </row>
    <row r="346" spans="1:20" x14ac:dyDescent="0.25">
      <c r="A346" s="5">
        <v>44247</v>
      </c>
      <c r="B346">
        <v>25.435500000000001</v>
      </c>
      <c r="C346">
        <v>29.12</v>
      </c>
      <c r="D346">
        <v>20.742999999999999</v>
      </c>
      <c r="E346">
        <v>21.854099999999999</v>
      </c>
      <c r="F346">
        <v>174498.82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-0.73472603557359439</v>
      </c>
      <c r="Q346">
        <f t="shared" si="970"/>
        <v>-128208.82623087025</v>
      </c>
      <c r="R346">
        <f t="shared" si="971"/>
        <v>578189.86750036094</v>
      </c>
      <c r="S346">
        <f t="shared" si="972"/>
        <v>5.7818986750036094</v>
      </c>
      <c r="T346">
        <f t="shared" si="973"/>
        <v>5.7818986750036092E-3</v>
      </c>
    </row>
    <row r="347" spans="1:20" x14ac:dyDescent="0.25">
      <c r="A347" s="5">
        <v>44246</v>
      </c>
      <c r="B347">
        <v>22.9468</v>
      </c>
      <c r="C347">
        <v>31.7</v>
      </c>
      <c r="D347">
        <v>21.819700000000001</v>
      </c>
      <c r="E347">
        <v>25.430299999999999</v>
      </c>
      <c r="F347">
        <v>248800.72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-0.26913150410412667</v>
      </c>
      <c r="Q347">
        <f t="shared" si="970"/>
        <v>-66960.111995789674</v>
      </c>
      <c r="R347">
        <f t="shared" si="971"/>
        <v>706398.69373123115</v>
      </c>
      <c r="S347">
        <f t="shared" si="972"/>
        <v>7.0639869373123112</v>
      </c>
      <c r="T347">
        <f t="shared" si="973"/>
        <v>7.0639869373123115E-3</v>
      </c>
    </row>
    <row r="348" spans="1:20" x14ac:dyDescent="0.25">
      <c r="A348" s="5">
        <v>44245</v>
      </c>
      <c r="B348">
        <v>26.1221</v>
      </c>
      <c r="C348">
        <v>28.6</v>
      </c>
      <c r="D348">
        <v>21.38</v>
      </c>
      <c r="E348">
        <v>22.999300000000002</v>
      </c>
      <c r="F348">
        <v>213726.19</v>
      </c>
      <c r="G348">
        <v>0</v>
      </c>
      <c r="L348" t="s">
        <v>7</v>
      </c>
      <c r="M348" t="s">
        <v>7</v>
      </c>
      <c r="N348" t="s">
        <v>8</v>
      </c>
      <c r="P348">
        <f t="shared" si="969"/>
        <v>-0.55144044321329577</v>
      </c>
      <c r="Q348">
        <f t="shared" si="970"/>
        <v>-117857.26493988906</v>
      </c>
      <c r="R348">
        <f t="shared" si="971"/>
        <v>773358.80572702084</v>
      </c>
      <c r="S348">
        <f t="shared" si="972"/>
        <v>7.7335880572702083</v>
      </c>
      <c r="T348">
        <f t="shared" si="973"/>
        <v>7.7335880572702081E-3</v>
      </c>
    </row>
    <row r="349" spans="1:20" x14ac:dyDescent="0.25">
      <c r="A349" s="5">
        <v>44244</v>
      </c>
      <c r="B349">
        <v>25.543700000000001</v>
      </c>
      <c r="C349">
        <v>29.97</v>
      </c>
      <c r="D349">
        <v>22</v>
      </c>
      <c r="E349">
        <v>26.122199999999999</v>
      </c>
      <c r="F349">
        <v>409246.09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3.4429109159347555E-2</v>
      </c>
      <c r="Q349">
        <f t="shared" si="970"/>
        <v>14089.978305646175</v>
      </c>
      <c r="R349">
        <f t="shared" si="971"/>
        <v>891216.07066690992</v>
      </c>
      <c r="S349">
        <f t="shared" si="972"/>
        <v>8.9121607066690984</v>
      </c>
      <c r="T349">
        <f t="shared" si="973"/>
        <v>8.9121607066690988E-3</v>
      </c>
    </row>
    <row r="350" spans="1:20" x14ac:dyDescent="0.25">
      <c r="A350" s="5">
        <v>44243</v>
      </c>
      <c r="B350">
        <v>15.8544</v>
      </c>
      <c r="C350">
        <v>28.528600000000001</v>
      </c>
      <c r="D350">
        <v>14.7867</v>
      </c>
      <c r="E350">
        <v>25.543700000000001</v>
      </c>
      <c r="F350">
        <v>652787.13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0.56557681252228598</v>
      </c>
      <c r="Q350">
        <f t="shared" si="970"/>
        <v>369201.26424097113</v>
      </c>
      <c r="R350">
        <f t="shared" si="971"/>
        <v>877126.0923612637</v>
      </c>
      <c r="S350">
        <f t="shared" si="972"/>
        <v>8.7712609236126369</v>
      </c>
      <c r="T350">
        <f t="shared" si="973"/>
        <v>8.7712609236126372E-3</v>
      </c>
    </row>
    <row r="351" spans="1:20" x14ac:dyDescent="0.25">
      <c r="A351" s="5">
        <v>44242</v>
      </c>
      <c r="B351">
        <v>9.7560000000000002</v>
      </c>
      <c r="C351">
        <v>19.399999999999999</v>
      </c>
      <c r="D351">
        <v>8.5</v>
      </c>
      <c r="E351">
        <v>15.684200000000001</v>
      </c>
      <c r="F351">
        <v>821190.09</v>
      </c>
      <c r="G351">
        <v>0</v>
      </c>
      <c r="L351" t="s">
        <v>8</v>
      </c>
      <c r="M351" t="s">
        <v>8</v>
      </c>
      <c r="N351" t="s">
        <v>8</v>
      </c>
      <c r="P351">
        <f t="shared" si="969"/>
        <v>0.31820183486238562</v>
      </c>
      <c r="Q351">
        <f t="shared" si="970"/>
        <v>261304.19340880756</v>
      </c>
      <c r="R351">
        <f t="shared" si="971"/>
        <v>507924.82812029251</v>
      </c>
      <c r="S351">
        <f t="shared" si="972"/>
        <v>5.0792482812029247</v>
      </c>
      <c r="T351">
        <f t="shared" si="973"/>
        <v>5.0792482812029244E-3</v>
      </c>
    </row>
    <row r="352" spans="1:20" x14ac:dyDescent="0.25">
      <c r="A352" s="5">
        <v>44241</v>
      </c>
      <c r="B352">
        <v>6.9058999999999999</v>
      </c>
      <c r="C352">
        <v>13.3385</v>
      </c>
      <c r="D352">
        <v>6.87</v>
      </c>
      <c r="E352">
        <v>9.8574999999999999</v>
      </c>
      <c r="F352">
        <v>666120.27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-7.6292803586612057E-2</v>
      </c>
      <c r="Q352">
        <f t="shared" si="970"/>
        <v>-50820.182924170993</v>
      </c>
      <c r="R352">
        <f t="shared" si="971"/>
        <v>246620.63471148495</v>
      </c>
      <c r="S352">
        <f t="shared" si="972"/>
        <v>2.4662063471148494</v>
      </c>
      <c r="T352">
        <f t="shared" si="973"/>
        <v>2.4662063471148493E-3</v>
      </c>
    </row>
    <row r="353" spans="1:20" x14ac:dyDescent="0.25">
      <c r="A353" s="5">
        <v>44240</v>
      </c>
      <c r="B353">
        <v>6.3395999999999999</v>
      </c>
      <c r="C353">
        <v>7.0842000000000001</v>
      </c>
      <c r="D353">
        <v>5.7619999999999996</v>
      </c>
      <c r="E353">
        <v>6.9</v>
      </c>
      <c r="F353">
        <v>197852.66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0.7213734684616554</v>
      </c>
      <c r="Q353">
        <f t="shared" si="970"/>
        <v>142725.65958856462</v>
      </c>
      <c r="R353">
        <f t="shared" si="971"/>
        <v>297440.81763565593</v>
      </c>
      <c r="S353">
        <f t="shared" si="972"/>
        <v>2.9744081763565591</v>
      </c>
      <c r="T353">
        <f t="shared" si="973"/>
        <v>2.9744081763565591E-3</v>
      </c>
    </row>
    <row r="354" spans="1:20" x14ac:dyDescent="0.25">
      <c r="A354" s="5">
        <v>44239</v>
      </c>
      <c r="B354">
        <v>5.6913999999999998</v>
      </c>
      <c r="C354">
        <v>6.4368999999999996</v>
      </c>
      <c r="D354">
        <v>5.6501000000000001</v>
      </c>
      <c r="E354">
        <v>6.3388999999999998</v>
      </c>
      <c r="F354">
        <v>202941.5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0.75088967971530263</v>
      </c>
      <c r="Q354">
        <f t="shared" si="970"/>
        <v>152386.67793594309</v>
      </c>
      <c r="R354">
        <f t="shared" si="971"/>
        <v>154715.1580470913</v>
      </c>
      <c r="S354">
        <f t="shared" si="972"/>
        <v>1.5471515804709131</v>
      </c>
      <c r="T354">
        <f t="shared" si="973"/>
        <v>1.547151580470913E-3</v>
      </c>
    </row>
    <row r="355" spans="1:20" x14ac:dyDescent="0.25">
      <c r="A355" s="5">
        <v>44238</v>
      </c>
      <c r="B355">
        <v>5.3864999999999998</v>
      </c>
      <c r="C355">
        <v>5.7228000000000003</v>
      </c>
      <c r="D355">
        <v>5.3329000000000004</v>
      </c>
      <c r="E355">
        <v>5.6863000000000001</v>
      </c>
      <c r="F355">
        <v>167503.85</v>
      </c>
      <c r="G355">
        <v>0</v>
      </c>
      <c r="L355" t="s">
        <v>7</v>
      </c>
      <c r="M355" t="s">
        <v>8</v>
      </c>
      <c r="N355" t="s">
        <v>8</v>
      </c>
      <c r="P355">
        <f t="shared" si="969"/>
        <v>0.81277250577070936</v>
      </c>
      <c r="Q355">
        <f t="shared" si="970"/>
        <v>136142.52389074105</v>
      </c>
      <c r="R355">
        <f t="shared" si="971"/>
        <v>2328.4801111482084</v>
      </c>
      <c r="S355">
        <f t="shared" si="972"/>
        <v>2.3284801111482085E-2</v>
      </c>
      <c r="T355">
        <f t="shared" si="973"/>
        <v>2.3284801111482086E-5</v>
      </c>
    </row>
    <row r="356" spans="1:20" x14ac:dyDescent="0.25">
      <c r="A356" s="5">
        <v>44237</v>
      </c>
      <c r="B356">
        <v>5.2488000000000001</v>
      </c>
      <c r="C356">
        <v>5.7142999999999997</v>
      </c>
      <c r="D356">
        <v>5.1452999999999998</v>
      </c>
      <c r="E356">
        <v>5.3795000000000002</v>
      </c>
      <c r="F356">
        <v>202037.9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-0.17680140597539393</v>
      </c>
      <c r="Q356">
        <f t="shared" si="970"/>
        <v>-35720.584780316043</v>
      </c>
      <c r="R356">
        <f t="shared" si="971"/>
        <v>-133814.04377959284</v>
      </c>
      <c r="S356">
        <f t="shared" si="972"/>
        <v>-1.3381404377959285</v>
      </c>
      <c r="T356">
        <f t="shared" si="973"/>
        <v>-1.3381404377959284E-3</v>
      </c>
    </row>
    <row r="357" spans="1:20" x14ac:dyDescent="0.25">
      <c r="A357" s="5">
        <v>44236</v>
      </c>
      <c r="B357">
        <v>5.2671000000000001</v>
      </c>
      <c r="C357">
        <v>5.5046999999999997</v>
      </c>
      <c r="D357">
        <v>5.0987999999999998</v>
      </c>
      <c r="E357">
        <v>5.2516999999999996</v>
      </c>
      <c r="F357">
        <v>209373.96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-0.24661246612466203</v>
      </c>
      <c r="Q357">
        <f t="shared" si="970"/>
        <v>-51634.228617886343</v>
      </c>
      <c r="R357">
        <f t="shared" si="971"/>
        <v>-98093.458999276801</v>
      </c>
      <c r="S357">
        <f t="shared" si="972"/>
        <v>-0.98093458999276806</v>
      </c>
      <c r="T357">
        <f t="shared" si="973"/>
        <v>-9.8093458999276811E-4</v>
      </c>
    </row>
    <row r="358" spans="1:20" x14ac:dyDescent="0.25">
      <c r="A358" s="5">
        <v>44235</v>
      </c>
      <c r="B358">
        <v>4.4861000000000004</v>
      </c>
      <c r="C358">
        <v>5.2885999999999997</v>
      </c>
      <c r="D358">
        <v>4.4825999999999997</v>
      </c>
      <c r="E358">
        <v>5.2792000000000003</v>
      </c>
      <c r="F358">
        <v>199867.76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0.97667493796526206</v>
      </c>
      <c r="Q358">
        <f t="shared" si="970"/>
        <v>195205.8320992559</v>
      </c>
      <c r="R358">
        <f t="shared" si="971"/>
        <v>-46459.230381390458</v>
      </c>
      <c r="S358">
        <f t="shared" si="972"/>
        <v>-0.46459230381390459</v>
      </c>
      <c r="T358">
        <f t="shared" si="973"/>
        <v>-4.6459230381390459E-4</v>
      </c>
    </row>
    <row r="359" spans="1:20" x14ac:dyDescent="0.25">
      <c r="A359" s="5">
        <v>44234</v>
      </c>
      <c r="B359">
        <v>4.4455999999999998</v>
      </c>
      <c r="C359">
        <v>4.5881999999999996</v>
      </c>
      <c r="D359">
        <v>4.2691999999999997</v>
      </c>
      <c r="E359">
        <v>4.4861000000000004</v>
      </c>
      <c r="F359">
        <v>196707.28</v>
      </c>
      <c r="G359">
        <v>0</v>
      </c>
      <c r="L359" t="s">
        <v>7</v>
      </c>
      <c r="M359" t="s">
        <v>8</v>
      </c>
      <c r="N359" t="s">
        <v>8</v>
      </c>
      <c r="P359">
        <f t="shared" si="969"/>
        <v>0.35987460815047517</v>
      </c>
      <c r="Q359">
        <f t="shared" si="970"/>
        <v>70789.955310345802</v>
      </c>
      <c r="R359">
        <f t="shared" si="971"/>
        <v>-241665.06248064636</v>
      </c>
      <c r="S359">
        <f t="shared" si="972"/>
        <v>-2.4166506248064636</v>
      </c>
      <c r="T359">
        <f t="shared" si="973"/>
        <v>-2.4166506248064637E-3</v>
      </c>
    </row>
    <row r="360" spans="1:20" x14ac:dyDescent="0.25">
      <c r="A360" s="5">
        <v>44233</v>
      </c>
      <c r="B360">
        <v>4.5910000000000002</v>
      </c>
      <c r="C360">
        <v>4.5932000000000004</v>
      </c>
      <c r="D360">
        <v>4.2831999999999999</v>
      </c>
      <c r="E360">
        <v>4.4398</v>
      </c>
      <c r="F360">
        <v>180652.02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1.0322580645160137E-2</v>
      </c>
      <c r="Q360">
        <f t="shared" si="970"/>
        <v>1864.7950451610818</v>
      </c>
      <c r="R360">
        <f t="shared" si="971"/>
        <v>-312455.01779099216</v>
      </c>
      <c r="S360">
        <f t="shared" si="972"/>
        <v>-3.1245501779099216</v>
      </c>
      <c r="T360">
        <f t="shared" si="973"/>
        <v>-3.1245501779099214E-3</v>
      </c>
    </row>
    <row r="361" spans="1:20" x14ac:dyDescent="0.25">
      <c r="A361" s="5">
        <v>44232</v>
      </c>
      <c r="B361">
        <v>4.1711999999999998</v>
      </c>
      <c r="C361">
        <v>4.6680000000000001</v>
      </c>
      <c r="D361">
        <v>4.1711999999999998</v>
      </c>
      <c r="E361">
        <v>4.5891999999999999</v>
      </c>
      <c r="F361">
        <v>152597.9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0.68276972624798649</v>
      </c>
      <c r="Q361">
        <f t="shared" si="970"/>
        <v>104189.22640901762</v>
      </c>
      <c r="R361">
        <f t="shared" si="971"/>
        <v>-314319.81283615326</v>
      </c>
      <c r="S361">
        <f t="shared" si="972"/>
        <v>-3.1431981283615325</v>
      </c>
      <c r="T361">
        <f t="shared" si="973"/>
        <v>-3.1431981283615326E-3</v>
      </c>
    </row>
    <row r="362" spans="1:20" x14ac:dyDescent="0.25">
      <c r="A362" s="5">
        <v>44231</v>
      </c>
      <c r="B362">
        <v>3.8031000000000001</v>
      </c>
      <c r="C362">
        <v>4.3635999999999999</v>
      </c>
      <c r="D362">
        <v>3.4729999999999999</v>
      </c>
      <c r="E362">
        <v>4.1721000000000004</v>
      </c>
      <c r="F362">
        <v>101066.04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0.56995284078149666</v>
      </c>
      <c r="Q362">
        <f t="shared" si="970"/>
        <v>57602.876604536366</v>
      </c>
      <c r="R362">
        <f t="shared" si="971"/>
        <v>-418509.03924517089</v>
      </c>
      <c r="S362">
        <f t="shared" si="972"/>
        <v>-4.1850903924517091</v>
      </c>
      <c r="T362">
        <f t="shared" si="973"/>
        <v>-4.185090392451709E-3</v>
      </c>
    </row>
    <row r="363" spans="1:20" x14ac:dyDescent="0.25">
      <c r="A363" s="5">
        <v>44230</v>
      </c>
      <c r="B363">
        <v>3.766</v>
      </c>
      <c r="C363">
        <v>3.8633999999999999</v>
      </c>
      <c r="D363">
        <v>3.2940999999999998</v>
      </c>
      <c r="E363">
        <v>3.8027000000000002</v>
      </c>
      <c r="F363">
        <v>79903.73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0.786755664851573</v>
      </c>
      <c r="Q363">
        <f t="shared" si="970"/>
        <v>62864.712220270572</v>
      </c>
      <c r="R363">
        <f t="shared" si="971"/>
        <v>-476111.91584970726</v>
      </c>
      <c r="S363">
        <f t="shared" si="972"/>
        <v>-4.7611191584970722</v>
      </c>
      <c r="T363">
        <f t="shared" si="973"/>
        <v>-4.7611191584970725E-3</v>
      </c>
    </row>
    <row r="364" spans="1:20" x14ac:dyDescent="0.25">
      <c r="A364" s="5">
        <v>44229</v>
      </c>
      <c r="B364">
        <v>3.4925999999999999</v>
      </c>
      <c r="C364">
        <v>3.7730000000000001</v>
      </c>
      <c r="D364">
        <v>3.31</v>
      </c>
      <c r="E364">
        <v>3.7707000000000002</v>
      </c>
      <c r="F364">
        <v>67078.850000000006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0.99006479481641485</v>
      </c>
      <c r="Q364">
        <f t="shared" si="970"/>
        <v>66412.407861771077</v>
      </c>
      <c r="R364">
        <f t="shared" si="971"/>
        <v>-538976.62806997786</v>
      </c>
      <c r="S364">
        <f t="shared" si="972"/>
        <v>-5.3897662806997788</v>
      </c>
      <c r="T364">
        <f t="shared" si="973"/>
        <v>-5.3897662806997792E-3</v>
      </c>
    </row>
    <row r="365" spans="1:20" x14ac:dyDescent="0.25">
      <c r="A365" s="5">
        <v>44228</v>
      </c>
      <c r="B365">
        <v>3.0964</v>
      </c>
      <c r="C365">
        <v>3.5470000000000002</v>
      </c>
      <c r="D365">
        <v>3.0417000000000001</v>
      </c>
      <c r="E365">
        <v>3.4973999999999998</v>
      </c>
      <c r="F365">
        <v>57525.73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0.80368098159509083</v>
      </c>
      <c r="Q365">
        <f t="shared" si="970"/>
        <v>46232.335153374166</v>
      </c>
      <c r="R365">
        <f t="shared" si="971"/>
        <v>-605389.03593174892</v>
      </c>
      <c r="S365">
        <f t="shared" si="972"/>
        <v>-6.0538903593174895</v>
      </c>
      <c r="T365">
        <f t="shared" si="973"/>
        <v>-6.05389035931749E-3</v>
      </c>
    </row>
    <row r="366" spans="1:20" x14ac:dyDescent="0.25">
      <c r="A366" s="5">
        <v>44227</v>
      </c>
      <c r="B366">
        <v>2.5973000000000002</v>
      </c>
      <c r="C366">
        <v>3.1968000000000001</v>
      </c>
      <c r="D366">
        <v>2.5806</v>
      </c>
      <c r="E366">
        <v>3.0861999999999998</v>
      </c>
      <c r="F366">
        <v>64321.32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0.6410256410256403</v>
      </c>
      <c r="Q366">
        <f t="shared" si="970"/>
        <v>41231.615384615339</v>
      </c>
      <c r="R366">
        <f t="shared" si="971"/>
        <v>-651621.37108512304</v>
      </c>
      <c r="S366">
        <f t="shared" si="972"/>
        <v>-6.5162137108512308</v>
      </c>
      <c r="T366">
        <f t="shared" si="973"/>
        <v>-6.516213710851231E-3</v>
      </c>
    </row>
    <row r="367" spans="1:20" x14ac:dyDescent="0.25">
      <c r="A367" s="5">
        <v>44226</v>
      </c>
      <c r="B367">
        <v>2.5539999999999998</v>
      </c>
      <c r="C367">
        <v>2.5994999999999999</v>
      </c>
      <c r="D367">
        <v>2.4639000000000002</v>
      </c>
      <c r="E367">
        <v>2.593</v>
      </c>
      <c r="F367">
        <v>22360.14</v>
      </c>
      <c r="G367">
        <v>0</v>
      </c>
      <c r="L367" t="s">
        <v>7</v>
      </c>
      <c r="M367" t="s">
        <v>7</v>
      </c>
      <c r="N367" t="s">
        <v>8</v>
      </c>
      <c r="P367">
        <f t="shared" si="969"/>
        <v>0.90412979351032507</v>
      </c>
      <c r="Q367">
        <f t="shared" si="970"/>
        <v>20216.468761061959</v>
      </c>
      <c r="R367">
        <f t="shared" si="971"/>
        <v>-692852.98646973842</v>
      </c>
      <c r="S367">
        <f t="shared" si="972"/>
        <v>-6.9285298646973841</v>
      </c>
      <c r="T367">
        <f t="shared" si="973"/>
        <v>-6.9285298646973841E-3</v>
      </c>
    </row>
    <row r="368" spans="1:20" x14ac:dyDescent="0.25">
      <c r="A368" s="5">
        <v>44225</v>
      </c>
      <c r="B368">
        <v>2.5539000000000001</v>
      </c>
      <c r="C368">
        <v>2.7079</v>
      </c>
      <c r="D368">
        <v>2.4962</v>
      </c>
      <c r="E368">
        <v>2.5527000000000002</v>
      </c>
      <c r="F368">
        <v>34939.620000000003</v>
      </c>
      <c r="G368">
        <v>0</v>
      </c>
      <c r="L368" t="s">
        <v>8</v>
      </c>
      <c r="M368" t="s">
        <v>7</v>
      </c>
      <c r="N368" t="s">
        <v>8</v>
      </c>
      <c r="P368">
        <f t="shared" si="969"/>
        <v>-0.46622579121398</v>
      </c>
      <c r="Q368">
        <f t="shared" si="970"/>
        <v>-16289.751979215802</v>
      </c>
      <c r="R368">
        <f t="shared" si="971"/>
        <v>-713069.45523080032</v>
      </c>
      <c r="S368">
        <f t="shared" si="972"/>
        <v>-7.130694552308003</v>
      </c>
      <c r="T368">
        <f t="shared" si="973"/>
        <v>-7.1306945523080031E-3</v>
      </c>
    </row>
    <row r="369" spans="1:20" x14ac:dyDescent="0.25">
      <c r="A369" s="5">
        <v>44224</v>
      </c>
      <c r="B369">
        <v>2.5760000000000001</v>
      </c>
      <c r="C369">
        <v>2.7959999999999998</v>
      </c>
      <c r="D369">
        <v>2.3849999999999998</v>
      </c>
      <c r="E369">
        <v>2.5434000000000001</v>
      </c>
      <c r="F369">
        <v>53517.69</v>
      </c>
      <c r="G369">
        <v>0</v>
      </c>
      <c r="L369" t="s">
        <v>7</v>
      </c>
      <c r="M369" t="s">
        <v>7</v>
      </c>
      <c r="N369" t="s">
        <v>8</v>
      </c>
      <c r="P369">
        <f t="shared" si="969"/>
        <v>-0.22919708029196931</v>
      </c>
      <c r="Q369">
        <f t="shared" si="970"/>
        <v>-12266.098291970724</v>
      </c>
      <c r="R369">
        <f t="shared" si="971"/>
        <v>-696779.70325158455</v>
      </c>
      <c r="S369">
        <f t="shared" si="972"/>
        <v>-6.9677970325158451</v>
      </c>
      <c r="T369">
        <f t="shared" si="973"/>
        <v>-6.9677970325158455E-3</v>
      </c>
    </row>
    <row r="370" spans="1:20" x14ac:dyDescent="0.25">
      <c r="A370" s="5">
        <v>44223</v>
      </c>
      <c r="B370">
        <v>2.3673000000000002</v>
      </c>
      <c r="C370">
        <v>3.1139999999999999</v>
      </c>
      <c r="D370">
        <v>2.3654999999999999</v>
      </c>
      <c r="E370">
        <v>2.5768</v>
      </c>
      <c r="F370">
        <v>109609.19</v>
      </c>
      <c r="G370">
        <v>0</v>
      </c>
      <c r="L370" t="s">
        <v>8</v>
      </c>
      <c r="M370" t="s">
        <v>8</v>
      </c>
      <c r="N370" t="s">
        <v>8</v>
      </c>
      <c r="P370">
        <f t="shared" si="969"/>
        <v>-0.43540414161656632</v>
      </c>
      <c r="Q370">
        <f t="shared" si="970"/>
        <v>-47724.295285237124</v>
      </c>
      <c r="R370">
        <f t="shared" si="971"/>
        <v>-684513.60495961388</v>
      </c>
      <c r="S370">
        <f t="shared" si="972"/>
        <v>-6.8451360495961389</v>
      </c>
      <c r="T370">
        <f t="shared" si="973"/>
        <v>-6.8451360495961388E-3</v>
      </c>
    </row>
    <row r="371" spans="1:20" x14ac:dyDescent="0.25">
      <c r="A371" s="5">
        <v>44222</v>
      </c>
      <c r="B371">
        <v>2.3239000000000001</v>
      </c>
      <c r="C371">
        <v>2.38</v>
      </c>
      <c r="D371">
        <v>2.2349999999999999</v>
      </c>
      <c r="E371">
        <v>2.3732000000000002</v>
      </c>
      <c r="F371">
        <v>23598.86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0.90620689655172837</v>
      </c>
      <c r="Q371">
        <f t="shared" si="970"/>
        <v>21385.449682758721</v>
      </c>
      <c r="R371">
        <f t="shared" si="971"/>
        <v>-636789.30967437674</v>
      </c>
      <c r="S371">
        <f t="shared" si="972"/>
        <v>-6.3678930967437672</v>
      </c>
      <c r="T371">
        <f t="shared" si="973"/>
        <v>-6.367893096743767E-3</v>
      </c>
    </row>
    <row r="372" spans="1:20" x14ac:dyDescent="0.25">
      <c r="A372" s="5">
        <v>44221</v>
      </c>
      <c r="B372">
        <v>2.3812000000000002</v>
      </c>
      <c r="C372">
        <v>2.3978000000000002</v>
      </c>
      <c r="D372">
        <v>2.3182</v>
      </c>
      <c r="E372">
        <v>2.3288000000000002</v>
      </c>
      <c r="F372">
        <v>20990.36</v>
      </c>
      <c r="G372">
        <v>0</v>
      </c>
      <c r="L372" t="s">
        <v>8</v>
      </c>
      <c r="M372" t="s">
        <v>7</v>
      </c>
      <c r="N372" t="s">
        <v>8</v>
      </c>
      <c r="P372">
        <f t="shared" si="969"/>
        <v>-0.73366834170853901</v>
      </c>
      <c r="Q372">
        <f t="shared" si="970"/>
        <v>-15399.962613065249</v>
      </c>
      <c r="R372">
        <f t="shared" si="971"/>
        <v>-658174.75935713551</v>
      </c>
      <c r="S372">
        <f t="shared" si="972"/>
        <v>-6.5817475935713547</v>
      </c>
      <c r="T372">
        <f t="shared" si="973"/>
        <v>-6.581747593571355E-3</v>
      </c>
    </row>
    <row r="373" spans="1:20" x14ac:dyDescent="0.25">
      <c r="A373" s="5">
        <v>44220</v>
      </c>
      <c r="B373">
        <v>2.3540999999999999</v>
      </c>
      <c r="C373">
        <v>2.4037000000000002</v>
      </c>
      <c r="D373">
        <v>2.2999999999999998</v>
      </c>
      <c r="E373">
        <v>2.3793000000000002</v>
      </c>
      <c r="F373">
        <v>23281.53</v>
      </c>
      <c r="G373">
        <v>0</v>
      </c>
      <c r="L373" t="s">
        <v>8</v>
      </c>
      <c r="M373" t="s">
        <v>7</v>
      </c>
      <c r="N373" t="s">
        <v>8</v>
      </c>
      <c r="P373">
        <f t="shared" si="969"/>
        <v>0.52941176470588436</v>
      </c>
      <c r="Q373">
        <f t="shared" si="970"/>
        <v>12325.515882352987</v>
      </c>
      <c r="R373">
        <f t="shared" si="971"/>
        <v>-642774.79674407025</v>
      </c>
      <c r="S373">
        <f t="shared" si="972"/>
        <v>-6.4277479674407028</v>
      </c>
      <c r="T373">
        <f t="shared" si="973"/>
        <v>-6.4277479674407023E-3</v>
      </c>
    </row>
    <row r="374" spans="1:20" x14ac:dyDescent="0.25">
      <c r="A374" s="5">
        <v>44219</v>
      </c>
      <c r="B374">
        <v>2.3567</v>
      </c>
      <c r="C374">
        <v>2.4037999999999999</v>
      </c>
      <c r="D374">
        <v>2.3083</v>
      </c>
      <c r="E374">
        <v>2.3462999999999998</v>
      </c>
      <c r="F374">
        <v>22199.919999999998</v>
      </c>
      <c r="G374">
        <v>0</v>
      </c>
      <c r="L374" t="s">
        <v>8</v>
      </c>
      <c r="M374" t="s">
        <v>7</v>
      </c>
      <c r="N374" t="s">
        <v>8</v>
      </c>
      <c r="P374">
        <f t="shared" si="969"/>
        <v>-0.20418848167539594</v>
      </c>
      <c r="Q374">
        <f t="shared" si="970"/>
        <v>-4532.9679581152559</v>
      </c>
      <c r="R374">
        <f t="shared" si="971"/>
        <v>-655100.3126264232</v>
      </c>
      <c r="S374">
        <f t="shared" si="972"/>
        <v>-6.5510031262642316</v>
      </c>
      <c r="T374">
        <f t="shared" si="973"/>
        <v>-6.5510031262642314E-3</v>
      </c>
    </row>
    <row r="375" spans="1:20" x14ac:dyDescent="0.25">
      <c r="A375" s="5">
        <v>44218</v>
      </c>
      <c r="B375">
        <v>2.3580999999999999</v>
      </c>
      <c r="C375">
        <v>2.4207000000000001</v>
      </c>
      <c r="D375">
        <v>2.2513000000000001</v>
      </c>
      <c r="E375">
        <v>2.3601000000000001</v>
      </c>
      <c r="F375">
        <v>31763.41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0.28453364817001192</v>
      </c>
      <c r="Q375">
        <f t="shared" si="970"/>
        <v>9037.7589256198389</v>
      </c>
      <c r="R375">
        <f t="shared" si="971"/>
        <v>-650567.34466830792</v>
      </c>
      <c r="S375">
        <f t="shared" si="972"/>
        <v>-6.5056734466830797</v>
      </c>
      <c r="T375">
        <f t="shared" si="973"/>
        <v>-6.5056734466830794E-3</v>
      </c>
    </row>
    <row r="376" spans="1:20" x14ac:dyDescent="0.25">
      <c r="A376" s="5">
        <v>44217</v>
      </c>
      <c r="B376">
        <v>2.4516</v>
      </c>
      <c r="C376">
        <v>2.4687000000000001</v>
      </c>
      <c r="D376">
        <v>2.2698</v>
      </c>
      <c r="E376">
        <v>2.3527</v>
      </c>
      <c r="F376">
        <v>36672.370000000003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-0.16641528406234346</v>
      </c>
      <c r="Q376">
        <f t="shared" si="970"/>
        <v>-6102.8428707893627</v>
      </c>
      <c r="R376">
        <f t="shared" si="971"/>
        <v>-659605.10359392781</v>
      </c>
      <c r="S376">
        <f t="shared" si="972"/>
        <v>-6.5960510359392783</v>
      </c>
      <c r="T376">
        <f t="shared" si="973"/>
        <v>-6.5960510359392779E-3</v>
      </c>
    </row>
    <row r="377" spans="1:20" x14ac:dyDescent="0.25">
      <c r="A377" s="5">
        <v>44216</v>
      </c>
      <c r="B377">
        <v>2.4300000000000002</v>
      </c>
      <c r="C377">
        <v>2.4554</v>
      </c>
      <c r="D377">
        <v>2.3222999999999998</v>
      </c>
      <c r="E377">
        <v>2.4434</v>
      </c>
      <c r="F377">
        <v>23505.42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0.81968444778362148</v>
      </c>
      <c r="Q377">
        <f t="shared" si="970"/>
        <v>19267.027212622092</v>
      </c>
      <c r="R377">
        <f t="shared" si="971"/>
        <v>-653502.26072313846</v>
      </c>
      <c r="S377">
        <f t="shared" si="972"/>
        <v>-6.5350226072313848</v>
      </c>
      <c r="T377">
        <f t="shared" si="973"/>
        <v>-6.5350226072313847E-3</v>
      </c>
    </row>
    <row r="378" spans="1:20" x14ac:dyDescent="0.25">
      <c r="A378" s="5">
        <v>44215</v>
      </c>
      <c r="B378">
        <v>2.4746999999999999</v>
      </c>
      <c r="C378">
        <v>2.5897999999999999</v>
      </c>
      <c r="D378">
        <v>2.4300999999999999</v>
      </c>
      <c r="E378">
        <v>2.4441999999999999</v>
      </c>
      <c r="F378">
        <v>31201.99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-0.82341891045710702</v>
      </c>
      <c r="Q378">
        <f t="shared" si="970"/>
        <v>-25692.308609893549</v>
      </c>
      <c r="R378">
        <f t="shared" si="971"/>
        <v>-672769.28793576057</v>
      </c>
      <c r="S378">
        <f t="shared" si="972"/>
        <v>-6.7276928793576056</v>
      </c>
      <c r="T378">
        <f t="shared" si="973"/>
        <v>-6.7276928793576054E-3</v>
      </c>
    </row>
    <row r="379" spans="1:20" x14ac:dyDescent="0.25">
      <c r="A379" s="5">
        <v>44214</v>
      </c>
      <c r="B379">
        <v>2.6482000000000001</v>
      </c>
      <c r="C379">
        <v>2.7067000000000001</v>
      </c>
      <c r="D379">
        <v>2.4539</v>
      </c>
      <c r="E379">
        <v>2.4735</v>
      </c>
      <c r="F379">
        <v>42116.42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-0.84493670886075911</v>
      </c>
      <c r="Q379">
        <f t="shared" si="970"/>
        <v>-35585.709303797448</v>
      </c>
      <c r="R379">
        <f t="shared" si="971"/>
        <v>-647076.97932586703</v>
      </c>
      <c r="S379">
        <f t="shared" si="972"/>
        <v>-6.4707697932586701</v>
      </c>
      <c r="T379">
        <f t="shared" si="973"/>
        <v>-6.47076979325867E-3</v>
      </c>
    </row>
    <row r="380" spans="1:20" x14ac:dyDescent="0.25">
      <c r="A380" s="5">
        <v>44213</v>
      </c>
      <c r="B380">
        <v>2.5981999999999998</v>
      </c>
      <c r="C380">
        <v>2.6488</v>
      </c>
      <c r="D380">
        <v>2.5</v>
      </c>
      <c r="E380">
        <v>2.6474000000000002</v>
      </c>
      <c r="F380">
        <v>21544.799999999999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0.98118279569892686</v>
      </c>
      <c r="Q380">
        <f t="shared" si="970"/>
        <v>21139.387096774237</v>
      </c>
      <c r="R380">
        <f t="shared" si="971"/>
        <v>-611491.27002206957</v>
      </c>
      <c r="S380">
        <f t="shared" si="972"/>
        <v>-6.114912700220696</v>
      </c>
      <c r="T380">
        <f t="shared" si="973"/>
        <v>-6.1149127002206958E-3</v>
      </c>
    </row>
    <row r="381" spans="1:20" x14ac:dyDescent="0.25">
      <c r="A381" s="5">
        <v>44212</v>
      </c>
      <c r="B381">
        <v>2.5070000000000001</v>
      </c>
      <c r="C381">
        <v>2.6158000000000001</v>
      </c>
      <c r="D381">
        <v>2.4809000000000001</v>
      </c>
      <c r="E381">
        <v>2.6013000000000002</v>
      </c>
      <c r="F381">
        <v>22691.75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0.78502594514455215</v>
      </c>
      <c r="Q381">
        <f t="shared" si="970"/>
        <v>17813.612490733893</v>
      </c>
      <c r="R381">
        <f t="shared" si="971"/>
        <v>-632630.65711884375</v>
      </c>
      <c r="S381">
        <f t="shared" si="972"/>
        <v>-6.3263065711884376</v>
      </c>
      <c r="T381">
        <f t="shared" si="973"/>
        <v>-6.326306571188438E-3</v>
      </c>
    </row>
    <row r="382" spans="1:20" x14ac:dyDescent="0.25">
      <c r="A382" s="5">
        <v>44211</v>
      </c>
      <c r="B382">
        <v>2.4777</v>
      </c>
      <c r="C382">
        <v>2.5571000000000002</v>
      </c>
      <c r="D382">
        <v>2.3351000000000002</v>
      </c>
      <c r="E382">
        <v>2.5034000000000001</v>
      </c>
      <c r="F382">
        <v>50015.66</v>
      </c>
      <c r="G382">
        <v>0</v>
      </c>
      <c r="L382" t="s">
        <v>7</v>
      </c>
      <c r="M382" t="s">
        <v>8</v>
      </c>
      <c r="N382" t="s">
        <v>8</v>
      </c>
      <c r="P382">
        <f t="shared" si="969"/>
        <v>0.51621621621621538</v>
      </c>
      <c r="Q382">
        <f t="shared" si="970"/>
        <v>25818.894756756716</v>
      </c>
      <c r="R382">
        <f t="shared" si="971"/>
        <v>-650444.2696095776</v>
      </c>
      <c r="S382">
        <f t="shared" si="972"/>
        <v>-6.5044426960957757</v>
      </c>
      <c r="T382">
        <f t="shared" si="973"/>
        <v>-6.5044426960957757E-3</v>
      </c>
    </row>
    <row r="383" spans="1:20" x14ac:dyDescent="0.25">
      <c r="A383" s="5">
        <v>44210</v>
      </c>
      <c r="B383">
        <v>2.4746000000000001</v>
      </c>
      <c r="C383">
        <v>2.5638000000000001</v>
      </c>
      <c r="D383">
        <v>2.4283000000000001</v>
      </c>
      <c r="E383">
        <v>2.4769000000000001</v>
      </c>
      <c r="F383">
        <v>25096.2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-0.2826568265682658</v>
      </c>
      <c r="Q383">
        <f t="shared" si="970"/>
        <v>-7093.6122509225124</v>
      </c>
      <c r="R383">
        <f t="shared" si="971"/>
        <v>-676263.16436633433</v>
      </c>
      <c r="S383">
        <f t="shared" si="972"/>
        <v>-6.7626316436633429</v>
      </c>
      <c r="T383">
        <f t="shared" si="973"/>
        <v>-6.762631643663343E-3</v>
      </c>
    </row>
    <row r="384" spans="1:20" x14ac:dyDescent="0.25">
      <c r="A384" s="5">
        <v>44209</v>
      </c>
      <c r="B384">
        <v>2.3885999999999998</v>
      </c>
      <c r="C384">
        <v>2.4868000000000001</v>
      </c>
      <c r="D384">
        <v>2.3462999999999998</v>
      </c>
      <c r="E384">
        <v>2.4653999999999998</v>
      </c>
      <c r="F384">
        <v>19668.5</v>
      </c>
      <c r="G384">
        <v>0</v>
      </c>
      <c r="L384" t="s">
        <v>8</v>
      </c>
      <c r="M384" t="s">
        <v>7</v>
      </c>
      <c r="N384" t="s">
        <v>8</v>
      </c>
      <c r="P384">
        <f t="shared" si="969"/>
        <v>0.69537366548042334</v>
      </c>
      <c r="Q384">
        <f t="shared" si="970"/>
        <v>13676.956939501706</v>
      </c>
      <c r="R384">
        <f t="shared" si="971"/>
        <v>-669169.55211541185</v>
      </c>
      <c r="S384">
        <f t="shared" si="972"/>
        <v>-6.6916955211541183</v>
      </c>
      <c r="T384">
        <f t="shared" si="973"/>
        <v>-6.6916955211541182E-3</v>
      </c>
    </row>
    <row r="385" spans="1:20" x14ac:dyDescent="0.25">
      <c r="A385" s="5">
        <v>44208</v>
      </c>
      <c r="B385">
        <v>2.4180000000000001</v>
      </c>
      <c r="C385">
        <v>2.4634999999999998</v>
      </c>
      <c r="D385">
        <v>2.3006000000000002</v>
      </c>
      <c r="E385">
        <v>2.3874</v>
      </c>
      <c r="F385">
        <v>22123.77</v>
      </c>
      <c r="G385">
        <v>0</v>
      </c>
      <c r="L385" t="s">
        <v>8</v>
      </c>
      <c r="M385" t="s">
        <v>7</v>
      </c>
      <c r="N385" t="s">
        <v>8</v>
      </c>
      <c r="P385">
        <f t="shared" si="969"/>
        <v>6.5684468999385875E-2</v>
      </c>
      <c r="Q385">
        <f t="shared" si="970"/>
        <v>1453.1880847145433</v>
      </c>
      <c r="R385">
        <f t="shared" si="971"/>
        <v>-682846.50905491353</v>
      </c>
      <c r="S385">
        <f t="shared" si="972"/>
        <v>-6.8284650905491358</v>
      </c>
      <c r="T385">
        <f t="shared" si="973"/>
        <v>-6.8284650905491356E-3</v>
      </c>
    </row>
    <row r="386" spans="1:20" x14ac:dyDescent="0.25">
      <c r="A386" s="5">
        <v>44207</v>
      </c>
      <c r="B386">
        <v>2.5024999999999999</v>
      </c>
      <c r="C386">
        <v>2.5211999999999999</v>
      </c>
      <c r="D386">
        <v>2.1688000000000001</v>
      </c>
      <c r="E386">
        <v>2.4201999999999999</v>
      </c>
      <c r="F386">
        <v>30263.4</v>
      </c>
      <c r="G386">
        <v>0</v>
      </c>
      <c r="L386" t="s">
        <v>7</v>
      </c>
      <c r="M386" t="s">
        <v>7</v>
      </c>
      <c r="N386" t="s">
        <v>8</v>
      </c>
      <c r="P386">
        <f t="shared" si="969"/>
        <v>0.42678774120317803</v>
      </c>
      <c r="Q386">
        <f t="shared" si="970"/>
        <v>12916.048127128259</v>
      </c>
      <c r="R386">
        <f t="shared" si="971"/>
        <v>-684299.69713962812</v>
      </c>
      <c r="S386">
        <f t="shared" si="972"/>
        <v>-6.842996971396281</v>
      </c>
      <c r="T386">
        <f t="shared" si="973"/>
        <v>-6.8429969713962807E-3</v>
      </c>
    </row>
    <row r="387" spans="1:20" x14ac:dyDescent="0.25">
      <c r="A387" s="5">
        <v>44206</v>
      </c>
      <c r="B387">
        <v>2.5705</v>
      </c>
      <c r="C387">
        <v>2.7677</v>
      </c>
      <c r="D387">
        <v>2.3801000000000001</v>
      </c>
      <c r="E387">
        <v>2.5211999999999999</v>
      </c>
      <c r="F387">
        <v>42551.19</v>
      </c>
      <c r="G387">
        <v>0</v>
      </c>
      <c r="L387" t="s">
        <v>7</v>
      </c>
      <c r="M387" t="s">
        <v>8</v>
      </c>
      <c r="N387" t="s">
        <v>8</v>
      </c>
      <c r="P387">
        <f t="shared" si="969"/>
        <v>-0.27192982456140452</v>
      </c>
      <c r="Q387">
        <f t="shared" si="970"/>
        <v>-11570.93763157899</v>
      </c>
      <c r="R387">
        <f t="shared" si="971"/>
        <v>-697215.74526675639</v>
      </c>
      <c r="S387">
        <f t="shared" si="972"/>
        <v>-6.972157452667564</v>
      </c>
      <c r="T387">
        <f t="shared" si="973"/>
        <v>-6.9721574526675637E-3</v>
      </c>
    </row>
    <row r="388" spans="1:20" x14ac:dyDescent="0.25">
      <c r="A388" s="5">
        <v>44205</v>
      </c>
      <c r="B388">
        <v>2.5874000000000001</v>
      </c>
      <c r="C388">
        <v>2.5916999999999999</v>
      </c>
      <c r="D388">
        <v>2.4641999999999999</v>
      </c>
      <c r="E388">
        <v>2.5687000000000002</v>
      </c>
      <c r="F388">
        <v>29343.58</v>
      </c>
      <c r="G388">
        <v>0</v>
      </c>
      <c r="L388" t="s">
        <v>7</v>
      </c>
      <c r="M388" t="s">
        <v>8</v>
      </c>
      <c r="N388" t="s">
        <v>8</v>
      </c>
      <c r="P388">
        <f t="shared" si="969"/>
        <v>0.63921568627451453</v>
      </c>
      <c r="Q388">
        <f t="shared" si="970"/>
        <v>18756.876627451122</v>
      </c>
      <c r="R388">
        <f t="shared" si="971"/>
        <v>-685644.80763517739</v>
      </c>
      <c r="S388">
        <f t="shared" si="972"/>
        <v>-6.8564480763517741</v>
      </c>
      <c r="T388">
        <f t="shared" si="973"/>
        <v>-6.8564480763517741E-3</v>
      </c>
    </row>
    <row r="389" spans="1:20" x14ac:dyDescent="0.25">
      <c r="A389" s="5">
        <v>44204</v>
      </c>
      <c r="B389">
        <v>2.6082999999999998</v>
      </c>
      <c r="C389">
        <v>2.6974</v>
      </c>
      <c r="D389">
        <v>2.4876</v>
      </c>
      <c r="E389">
        <v>2.5819999999999999</v>
      </c>
      <c r="F389">
        <v>25313.02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-0.10009532888465374</v>
      </c>
      <c r="Q389">
        <f t="shared" si="970"/>
        <v>-2533.7150619638178</v>
      </c>
      <c r="R389">
        <f t="shared" si="971"/>
        <v>-704401.68426262855</v>
      </c>
      <c r="S389">
        <f t="shared" si="972"/>
        <v>-7.0440168426262852</v>
      </c>
      <c r="T389">
        <f t="shared" si="973"/>
        <v>-7.0440168426262849E-3</v>
      </c>
    </row>
    <row r="390" spans="1:20" x14ac:dyDescent="0.25">
      <c r="A390" s="5">
        <v>44203</v>
      </c>
      <c r="B390">
        <v>2.4392999999999998</v>
      </c>
      <c r="C390">
        <v>2.6623000000000001</v>
      </c>
      <c r="D390">
        <v>2.4169</v>
      </c>
      <c r="E390">
        <v>2.6143000000000001</v>
      </c>
      <c r="F390">
        <v>28674.38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0.6088019559902198</v>
      </c>
      <c r="Q390">
        <f t="shared" ref="Q390:Q453" si="975">F390*P390</f>
        <v>17457.018630806841</v>
      </c>
      <c r="R390">
        <f t="shared" ref="R390:R453" si="976">R391+Q390</f>
        <v>-701867.96920066478</v>
      </c>
      <c r="S390">
        <f t="shared" ref="S390:S453" si="977">R390/100000</f>
        <v>-7.0186796920066481</v>
      </c>
      <c r="T390">
        <f t="shared" ref="T390:T453" si="978">S390/1000</f>
        <v>-7.0186796920066481E-3</v>
      </c>
    </row>
    <row r="391" spans="1:20" x14ac:dyDescent="0.25">
      <c r="A391" s="5">
        <v>44202</v>
      </c>
      <c r="B391">
        <v>2.4809999999999999</v>
      </c>
      <c r="C391">
        <v>2.5007999999999999</v>
      </c>
      <c r="D391">
        <v>2.3932000000000002</v>
      </c>
      <c r="E391">
        <v>2.4266999999999999</v>
      </c>
      <c r="F391">
        <v>20274.96</v>
      </c>
      <c r="G391">
        <v>0</v>
      </c>
      <c r="L391" t="s">
        <v>8</v>
      </c>
      <c r="M391" t="s">
        <v>7</v>
      </c>
      <c r="N391" t="s">
        <v>8</v>
      </c>
      <c r="P391">
        <f t="shared" si="974"/>
        <v>-0.37732342007435438</v>
      </c>
      <c r="Q391">
        <f t="shared" si="975"/>
        <v>-7650.2172490707317</v>
      </c>
      <c r="R391">
        <f t="shared" si="976"/>
        <v>-719324.9878314716</v>
      </c>
      <c r="S391">
        <f t="shared" si="977"/>
        <v>-7.1932498783147159</v>
      </c>
      <c r="T391">
        <f t="shared" si="978"/>
        <v>-7.1932498783147157E-3</v>
      </c>
    </row>
    <row r="392" spans="1:20" x14ac:dyDescent="0.25">
      <c r="A392" s="5">
        <v>44201</v>
      </c>
      <c r="B392">
        <v>2.3967999999999998</v>
      </c>
      <c r="C392">
        <v>2.4815999999999998</v>
      </c>
      <c r="D392">
        <v>2.3227000000000002</v>
      </c>
      <c r="E392">
        <v>2.4815999999999998</v>
      </c>
      <c r="F392">
        <v>23049.72</v>
      </c>
      <c r="G392">
        <v>0</v>
      </c>
      <c r="L392" t="s">
        <v>8</v>
      </c>
      <c r="M392" t="s">
        <v>7</v>
      </c>
      <c r="N392" t="s">
        <v>8</v>
      </c>
      <c r="P392">
        <f t="shared" si="974"/>
        <v>1</v>
      </c>
      <c r="Q392">
        <f t="shared" si="975"/>
        <v>23049.72</v>
      </c>
      <c r="R392">
        <f t="shared" si="976"/>
        <v>-711674.77058240084</v>
      </c>
      <c r="S392">
        <f t="shared" si="977"/>
        <v>-7.1167477058240083</v>
      </c>
      <c r="T392">
        <f t="shared" si="978"/>
        <v>-7.1167477058240083E-3</v>
      </c>
    </row>
    <row r="393" spans="1:20" x14ac:dyDescent="0.25">
      <c r="A393" s="5">
        <v>44200</v>
      </c>
      <c r="B393">
        <v>2.5842999999999998</v>
      </c>
      <c r="C393">
        <v>2.5914000000000001</v>
      </c>
      <c r="D393">
        <v>2.2515999999999998</v>
      </c>
      <c r="E393">
        <v>2.4037000000000002</v>
      </c>
      <c r="F393">
        <v>32340.01</v>
      </c>
      <c r="G393">
        <v>0</v>
      </c>
      <c r="L393" t="s">
        <v>7</v>
      </c>
      <c r="M393" t="s">
        <v>7</v>
      </c>
      <c r="N393" t="s">
        <v>8</v>
      </c>
      <c r="P393">
        <f t="shared" si="974"/>
        <v>-0.10476751030017539</v>
      </c>
      <c r="Q393">
        <f t="shared" si="975"/>
        <v>-3388.1823307827749</v>
      </c>
      <c r="R393">
        <f t="shared" si="976"/>
        <v>-734724.49058240082</v>
      </c>
      <c r="S393">
        <f t="shared" si="977"/>
        <v>-7.3472449058240086</v>
      </c>
      <c r="T393">
        <f t="shared" si="978"/>
        <v>-7.3472449058240089E-3</v>
      </c>
    </row>
    <row r="394" spans="1:20" x14ac:dyDescent="0.25">
      <c r="A394" s="5">
        <v>44199</v>
      </c>
      <c r="B394">
        <v>2.5152999999999999</v>
      </c>
      <c r="C394">
        <v>2.7115</v>
      </c>
      <c r="D394">
        <v>2.3929</v>
      </c>
      <c r="E394">
        <v>2.5731999999999999</v>
      </c>
      <c r="F394">
        <v>45311.65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0.13182674199623295</v>
      </c>
      <c r="Q394">
        <f t="shared" si="975"/>
        <v>5973.2871939736087</v>
      </c>
      <c r="R394">
        <f t="shared" si="976"/>
        <v>-731336.30825161806</v>
      </c>
      <c r="S394">
        <f t="shared" si="977"/>
        <v>-7.3133630825161804</v>
      </c>
      <c r="T394">
        <f t="shared" si="978"/>
        <v>-7.3133630825161803E-3</v>
      </c>
    </row>
    <row r="395" spans="1:20" x14ac:dyDescent="0.25">
      <c r="A395" s="5">
        <v>44198</v>
      </c>
      <c r="B395">
        <v>2.3178999999999998</v>
      </c>
      <c r="C395">
        <v>2.65</v>
      </c>
      <c r="D395">
        <v>2.2212000000000001</v>
      </c>
      <c r="E395">
        <v>2.5093999999999999</v>
      </c>
      <c r="F395">
        <v>69817.22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0.34421641791044727</v>
      </c>
      <c r="Q395">
        <f t="shared" si="975"/>
        <v>24032.233376865639</v>
      </c>
      <c r="R395">
        <f t="shared" si="976"/>
        <v>-737309.59544559172</v>
      </c>
      <c r="S395">
        <f t="shared" si="977"/>
        <v>-7.3730959544559171</v>
      </c>
      <c r="T395">
        <f t="shared" si="978"/>
        <v>-7.3730959544559167E-3</v>
      </c>
    </row>
    <row r="396" spans="1:20" x14ac:dyDescent="0.25">
      <c r="A396" s="5">
        <v>44197</v>
      </c>
      <c r="B396">
        <v>1.8905000000000001</v>
      </c>
      <c r="C396">
        <v>2.3475000000000001</v>
      </c>
      <c r="D396">
        <v>1.8774999999999999</v>
      </c>
      <c r="E396">
        <v>2.3159000000000001</v>
      </c>
      <c r="F396">
        <v>37415.839999999997</v>
      </c>
      <c r="G396">
        <v>0</v>
      </c>
      <c r="L396" t="s">
        <v>8</v>
      </c>
      <c r="M396" t="s">
        <v>8</v>
      </c>
      <c r="N396" t="s">
        <v>7</v>
      </c>
      <c r="P396">
        <f t="shared" si="974"/>
        <v>0.8655319148936168</v>
      </c>
      <c r="Q396">
        <f t="shared" si="975"/>
        <v>32384.603642553182</v>
      </c>
      <c r="R396">
        <f t="shared" si="976"/>
        <v>-761341.82882245735</v>
      </c>
      <c r="S396">
        <f t="shared" si="977"/>
        <v>-7.6134182882245733</v>
      </c>
      <c r="T396">
        <f t="shared" si="978"/>
        <v>-7.6134182882245729E-3</v>
      </c>
    </row>
    <row r="397" spans="1:20" x14ac:dyDescent="0.25">
      <c r="A397" s="5">
        <v>44196</v>
      </c>
      <c r="B397">
        <v>2.177</v>
      </c>
      <c r="C397">
        <v>2.3681999999999999</v>
      </c>
      <c r="D397">
        <v>1.6805000000000001</v>
      </c>
      <c r="E397">
        <v>1.8869</v>
      </c>
      <c r="F397">
        <v>67393.03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-0.3997382579613204</v>
      </c>
      <c r="Q397">
        <f t="shared" si="975"/>
        <v>-26939.572410935005</v>
      </c>
      <c r="R397">
        <f t="shared" si="976"/>
        <v>-793726.43246501056</v>
      </c>
      <c r="S397">
        <f t="shared" si="977"/>
        <v>-7.9372643246501058</v>
      </c>
      <c r="T397">
        <f t="shared" si="978"/>
        <v>-7.9372643246501066E-3</v>
      </c>
    </row>
    <row r="398" spans="1:20" x14ac:dyDescent="0.25">
      <c r="A398" s="5">
        <v>44195</v>
      </c>
      <c r="B398">
        <v>1.95</v>
      </c>
      <c r="C398">
        <v>2.4232</v>
      </c>
      <c r="D398">
        <v>1.8560000000000001</v>
      </c>
      <c r="E398">
        <v>2.1810999999999998</v>
      </c>
      <c r="F398">
        <v>22181.3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0.14633286318758731</v>
      </c>
      <c r="Q398">
        <f t="shared" si="975"/>
        <v>3245.8531382228302</v>
      </c>
      <c r="R398">
        <f t="shared" si="976"/>
        <v>-766786.8600540756</v>
      </c>
      <c r="S398">
        <f t="shared" si="977"/>
        <v>-7.6678686005407561</v>
      </c>
      <c r="T398">
        <f t="shared" si="978"/>
        <v>-7.6678686005407564E-3</v>
      </c>
    </row>
    <row r="399" spans="1:20" x14ac:dyDescent="0.25">
      <c r="A399" s="5">
        <v>44194</v>
      </c>
      <c r="B399">
        <v>2.1501999999999999</v>
      </c>
      <c r="C399">
        <v>2.1922000000000001</v>
      </c>
      <c r="D399">
        <v>1.9211</v>
      </c>
      <c r="E399">
        <v>1.9635</v>
      </c>
      <c r="F399">
        <v>15321.22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-0.68720029509406144</v>
      </c>
      <c r="Q399">
        <f t="shared" si="975"/>
        <v>-10528.746905201036</v>
      </c>
      <c r="R399">
        <f t="shared" si="976"/>
        <v>-770032.71319229843</v>
      </c>
      <c r="S399">
        <f t="shared" si="977"/>
        <v>-7.7003271319229842</v>
      </c>
      <c r="T399">
        <f t="shared" si="978"/>
        <v>-7.7003271319229846E-3</v>
      </c>
    </row>
    <row r="400" spans="1:20" x14ac:dyDescent="0.25">
      <c r="A400" s="5">
        <v>44193</v>
      </c>
      <c r="B400">
        <v>2.2782</v>
      </c>
      <c r="C400">
        <v>2.3351999999999999</v>
      </c>
      <c r="D400">
        <v>2.02</v>
      </c>
      <c r="E400">
        <v>2.1617000000000002</v>
      </c>
      <c r="F400">
        <v>19098.12</v>
      </c>
      <c r="G400">
        <v>0</v>
      </c>
      <c r="L400" t="s">
        <v>7</v>
      </c>
      <c r="M400" t="s">
        <v>7</v>
      </c>
      <c r="N400" t="s">
        <v>7</v>
      </c>
      <c r="P400">
        <f t="shared" si="974"/>
        <v>-0.10088832487309522</v>
      </c>
      <c r="Q400">
        <f t="shared" si="975"/>
        <v>-1926.7773350253572</v>
      </c>
      <c r="R400">
        <f t="shared" si="976"/>
        <v>-759503.96628709743</v>
      </c>
      <c r="S400">
        <f t="shared" si="977"/>
        <v>-7.595039662870974</v>
      </c>
      <c r="T400">
        <f t="shared" si="978"/>
        <v>-7.5950396628709739E-3</v>
      </c>
    </row>
    <row r="401" spans="1:20" x14ac:dyDescent="0.25">
      <c r="A401" s="5">
        <v>44192</v>
      </c>
      <c r="B401">
        <v>2.3041999999999998</v>
      </c>
      <c r="C401">
        <v>2.3132999999999999</v>
      </c>
      <c r="D401">
        <v>2.0421999999999998</v>
      </c>
      <c r="E401">
        <v>2.2787000000000002</v>
      </c>
      <c r="F401">
        <v>22156.93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0.74474363703430668</v>
      </c>
      <c r="Q401">
        <f t="shared" si="975"/>
        <v>16501.232633714542</v>
      </c>
      <c r="R401">
        <f t="shared" si="976"/>
        <v>-757577.18895207206</v>
      </c>
      <c r="S401">
        <f t="shared" si="977"/>
        <v>-7.5757718895207207</v>
      </c>
      <c r="T401">
        <f t="shared" si="978"/>
        <v>-7.5757718895207203E-3</v>
      </c>
    </row>
    <row r="402" spans="1:20" x14ac:dyDescent="0.25">
      <c r="A402" s="5">
        <v>44191</v>
      </c>
      <c r="B402">
        <v>2.2566999999999999</v>
      </c>
      <c r="C402">
        <v>2.4782000000000002</v>
      </c>
      <c r="D402">
        <v>2.2208000000000001</v>
      </c>
      <c r="E402">
        <v>2.3079999999999998</v>
      </c>
      <c r="F402">
        <v>19932.23</v>
      </c>
      <c r="G402">
        <v>0</v>
      </c>
      <c r="L402" t="s">
        <v>8</v>
      </c>
      <c r="M402" t="s">
        <v>8</v>
      </c>
      <c r="N402" t="s">
        <v>7</v>
      </c>
      <c r="P402">
        <f t="shared" si="974"/>
        <v>-0.32245532245532482</v>
      </c>
      <c r="Q402">
        <f t="shared" si="975"/>
        <v>-6427.2536519036985</v>
      </c>
      <c r="R402">
        <f t="shared" si="976"/>
        <v>-774078.42158578662</v>
      </c>
      <c r="S402">
        <f t="shared" si="977"/>
        <v>-7.7407842158578664</v>
      </c>
      <c r="T402">
        <f t="shared" si="978"/>
        <v>-7.740784215857866E-3</v>
      </c>
    </row>
    <row r="403" spans="1:20" x14ac:dyDescent="0.25">
      <c r="A403" s="5">
        <v>44190</v>
      </c>
      <c r="B403">
        <v>2.1692999999999998</v>
      </c>
      <c r="C403">
        <v>2.3395000000000001</v>
      </c>
      <c r="D403">
        <v>2.1644000000000001</v>
      </c>
      <c r="E403">
        <v>2.2440000000000002</v>
      </c>
      <c r="F403">
        <v>15077.25</v>
      </c>
      <c r="G403">
        <v>0</v>
      </c>
      <c r="L403" t="s">
        <v>7</v>
      </c>
      <c r="M403" t="s">
        <v>7</v>
      </c>
      <c r="N403" t="s">
        <v>7</v>
      </c>
      <c r="P403">
        <f t="shared" si="974"/>
        <v>-9.080525414049001E-2</v>
      </c>
      <c r="Q403">
        <f t="shared" si="975"/>
        <v>-1369.0935179897031</v>
      </c>
      <c r="R403">
        <f t="shared" si="976"/>
        <v>-767651.16793388291</v>
      </c>
      <c r="S403">
        <f t="shared" si="977"/>
        <v>-7.6765116793388293</v>
      </c>
      <c r="T403">
        <f t="shared" si="978"/>
        <v>-7.6765116793388296E-3</v>
      </c>
    </row>
    <row r="404" spans="1:20" x14ac:dyDescent="0.25">
      <c r="A404" s="5">
        <v>44189</v>
      </c>
      <c r="B404">
        <v>2.2637999999999998</v>
      </c>
      <c r="C404">
        <v>2.3241999999999998</v>
      </c>
      <c r="D404">
        <v>2.1532</v>
      </c>
      <c r="E404">
        <v>2.1812</v>
      </c>
      <c r="F404">
        <v>18970.349999999999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-0.67251461988304029</v>
      </c>
      <c r="Q404">
        <f t="shared" si="975"/>
        <v>-12757.837719298232</v>
      </c>
      <c r="R404">
        <f t="shared" si="976"/>
        <v>-766282.07441589318</v>
      </c>
      <c r="S404">
        <f t="shared" si="977"/>
        <v>-7.6628207441589318</v>
      </c>
      <c r="T404">
        <f t="shared" si="978"/>
        <v>-7.6628207441589314E-3</v>
      </c>
    </row>
    <row r="405" spans="1:20" x14ac:dyDescent="0.25">
      <c r="A405" s="5">
        <v>44188</v>
      </c>
      <c r="B405">
        <v>2.407</v>
      </c>
      <c r="C405">
        <v>2.5436999999999999</v>
      </c>
      <c r="D405">
        <v>2.0444</v>
      </c>
      <c r="E405">
        <v>2.2536999999999998</v>
      </c>
      <c r="F405">
        <v>45378.76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-0.16162627678750299</v>
      </c>
      <c r="Q405">
        <f t="shared" si="975"/>
        <v>-7334.40002403367</v>
      </c>
      <c r="R405">
        <f t="shared" si="976"/>
        <v>-753524.23669659498</v>
      </c>
      <c r="S405">
        <f t="shared" si="977"/>
        <v>-7.5352423669659494</v>
      </c>
      <c r="T405">
        <f t="shared" si="978"/>
        <v>-7.5352423669659491E-3</v>
      </c>
    </row>
    <row r="406" spans="1:20" x14ac:dyDescent="0.25">
      <c r="A406" s="5">
        <v>44187</v>
      </c>
      <c r="B406">
        <v>2.4620000000000002</v>
      </c>
      <c r="C406">
        <v>3.6890000000000001</v>
      </c>
      <c r="D406">
        <v>2.3166000000000002</v>
      </c>
      <c r="E406">
        <v>2.4104999999999999</v>
      </c>
      <c r="F406">
        <v>115957.17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-0.8631594287379778</v>
      </c>
      <c r="Q406">
        <f t="shared" si="975"/>
        <v>-100089.52461527257</v>
      </c>
      <c r="R406">
        <f t="shared" si="976"/>
        <v>-746189.83667256136</v>
      </c>
      <c r="S406">
        <f t="shared" si="977"/>
        <v>-7.461898366725614</v>
      </c>
      <c r="T406">
        <f t="shared" si="978"/>
        <v>-7.4618983667256141E-3</v>
      </c>
    </row>
    <row r="407" spans="1:20" x14ac:dyDescent="0.25">
      <c r="A407" s="5">
        <v>44186</v>
      </c>
      <c r="B407">
        <v>2.5794999999999999</v>
      </c>
      <c r="C407">
        <v>2.6958000000000002</v>
      </c>
      <c r="D407">
        <v>2.1833999999999998</v>
      </c>
      <c r="E407">
        <v>2.4620000000000002</v>
      </c>
      <c r="F407">
        <v>31771.06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8.7431693989071746E-2</v>
      </c>
      <c r="Q407">
        <f t="shared" si="975"/>
        <v>2777.7975956284381</v>
      </c>
      <c r="R407">
        <f t="shared" si="976"/>
        <v>-646100.31205728883</v>
      </c>
      <c r="S407">
        <f t="shared" si="977"/>
        <v>-6.4610031205728884</v>
      </c>
      <c r="T407">
        <f t="shared" si="978"/>
        <v>-6.4610031205728884E-3</v>
      </c>
    </row>
    <row r="408" spans="1:20" x14ac:dyDescent="0.25">
      <c r="A408" s="5">
        <v>44185</v>
      </c>
      <c r="B408">
        <v>2.6135000000000002</v>
      </c>
      <c r="C408">
        <v>2.6339999999999999</v>
      </c>
      <c r="D408">
        <v>2.4617</v>
      </c>
      <c r="E408">
        <v>2.5794999999999999</v>
      </c>
      <c r="F408">
        <v>56756.22</v>
      </c>
      <c r="G408">
        <v>0</v>
      </c>
      <c r="L408" t="s">
        <v>7</v>
      </c>
      <c r="M408" t="s">
        <v>7</v>
      </c>
      <c r="N408" t="s">
        <v>7</v>
      </c>
      <c r="P408">
        <f t="shared" si="974"/>
        <v>0.36738247243180472</v>
      </c>
      <c r="Q408">
        <f t="shared" si="975"/>
        <v>20851.240429483445</v>
      </c>
      <c r="R408">
        <f t="shared" si="976"/>
        <v>-648878.10965291725</v>
      </c>
      <c r="S408">
        <f t="shared" si="977"/>
        <v>-6.4887810965291726</v>
      </c>
      <c r="T408">
        <f t="shared" si="978"/>
        <v>-6.4887810965291726E-3</v>
      </c>
    </row>
    <row r="409" spans="1:20" x14ac:dyDescent="0.25">
      <c r="A409" s="5">
        <v>44184</v>
      </c>
      <c r="B409">
        <v>2.8065000000000002</v>
      </c>
      <c r="C409">
        <v>2.976</v>
      </c>
      <c r="D409">
        <v>2.6009000000000002</v>
      </c>
      <c r="E409">
        <v>2.61</v>
      </c>
      <c r="F409">
        <v>39508.83</v>
      </c>
      <c r="G409">
        <v>0</v>
      </c>
      <c r="L409" t="s">
        <v>7</v>
      </c>
      <c r="M409" t="s">
        <v>7</v>
      </c>
      <c r="N409" t="s">
        <v>7</v>
      </c>
      <c r="P409">
        <f t="shared" si="974"/>
        <v>-0.95147960543855148</v>
      </c>
      <c r="Q409">
        <f t="shared" si="975"/>
        <v>-37591.845979738806</v>
      </c>
      <c r="R409">
        <f t="shared" si="976"/>
        <v>-669729.35008240072</v>
      </c>
      <c r="S409">
        <f t="shared" si="977"/>
        <v>-6.6972935008240073</v>
      </c>
      <c r="T409">
        <f t="shared" si="978"/>
        <v>-6.6972935008240073E-3</v>
      </c>
    </row>
    <row r="410" spans="1:20" x14ac:dyDescent="0.25">
      <c r="A410" s="5">
        <v>44183</v>
      </c>
      <c r="B410">
        <v>2.8189000000000002</v>
      </c>
      <c r="C410">
        <v>2.9927000000000001</v>
      </c>
      <c r="D410">
        <v>2.65</v>
      </c>
      <c r="E410">
        <v>2.8174999999999999</v>
      </c>
      <c r="F410">
        <v>39261.25</v>
      </c>
      <c r="G410">
        <v>0</v>
      </c>
      <c r="L410" t="s">
        <v>8</v>
      </c>
      <c r="M410" t="s">
        <v>7</v>
      </c>
      <c r="N410" t="s">
        <v>7</v>
      </c>
      <c r="P410">
        <f t="shared" si="974"/>
        <v>-2.2468631456084787E-2</v>
      </c>
      <c r="Q410">
        <f t="shared" si="975"/>
        <v>-882.14655675520885</v>
      </c>
      <c r="R410">
        <f t="shared" si="976"/>
        <v>-632137.50410266197</v>
      </c>
      <c r="S410">
        <f t="shared" si="977"/>
        <v>-6.3213750410266201</v>
      </c>
      <c r="T410">
        <f t="shared" si="978"/>
        <v>-6.3213750410266202E-3</v>
      </c>
    </row>
    <row r="411" spans="1:20" x14ac:dyDescent="0.25">
      <c r="A411" s="5">
        <v>44182</v>
      </c>
      <c r="B411">
        <v>3.1478999999999999</v>
      </c>
      <c r="C411">
        <v>3.53</v>
      </c>
      <c r="D411">
        <v>2.6852999999999998</v>
      </c>
      <c r="E411">
        <v>2.8668999999999998</v>
      </c>
      <c r="F411">
        <v>146809.91</v>
      </c>
      <c r="G411">
        <v>0</v>
      </c>
      <c r="L411" t="s">
        <v>7</v>
      </c>
      <c r="M411" t="s">
        <v>7</v>
      </c>
      <c r="N411" t="s">
        <v>7</v>
      </c>
      <c r="P411">
        <f t="shared" si="974"/>
        <v>-0.57002486089736004</v>
      </c>
      <c r="Q411">
        <f t="shared" si="975"/>
        <v>-83685.298526103943</v>
      </c>
      <c r="R411">
        <f t="shared" si="976"/>
        <v>-631255.35754590679</v>
      </c>
      <c r="S411">
        <f t="shared" si="977"/>
        <v>-6.3125535754590683</v>
      </c>
      <c r="T411">
        <f t="shared" si="978"/>
        <v>-6.3125535754590687E-3</v>
      </c>
    </row>
    <row r="412" spans="1:20" x14ac:dyDescent="0.25">
      <c r="A412" s="5">
        <v>44181</v>
      </c>
      <c r="B412">
        <v>2.9540000000000002</v>
      </c>
      <c r="C412">
        <v>5.8605</v>
      </c>
      <c r="D412">
        <v>2.9249999999999998</v>
      </c>
      <c r="E412">
        <v>3.1427999999999998</v>
      </c>
      <c r="F412">
        <v>680660.65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-0.85160960654062345</v>
      </c>
      <c r="Q412">
        <f t="shared" si="975"/>
        <v>-579657.14833418501</v>
      </c>
      <c r="R412">
        <f t="shared" si="976"/>
        <v>-547570.05901980284</v>
      </c>
      <c r="S412">
        <f t="shared" si="977"/>
        <v>-5.475700590198028</v>
      </c>
      <c r="T412">
        <f t="shared" si="978"/>
        <v>-5.4757005901980276E-3</v>
      </c>
    </row>
    <row r="413" spans="1:20" x14ac:dyDescent="0.25">
      <c r="A413" s="5">
        <v>44180</v>
      </c>
      <c r="B413">
        <v>2.895</v>
      </c>
      <c r="C413">
        <v>2.9830000000000001</v>
      </c>
      <c r="D413">
        <v>2.8338999999999999</v>
      </c>
      <c r="E413">
        <v>2.9531999999999998</v>
      </c>
      <c r="F413">
        <v>17867</v>
      </c>
      <c r="G413">
        <v>0</v>
      </c>
      <c r="L413" t="s">
        <v>7</v>
      </c>
      <c r="M413" t="s">
        <v>8</v>
      </c>
      <c r="N413" t="s">
        <v>8</v>
      </c>
      <c r="P413">
        <f t="shared" si="974"/>
        <v>0.60026827632461133</v>
      </c>
      <c r="Q413">
        <f t="shared" si="975"/>
        <v>10724.993293091831</v>
      </c>
      <c r="R413">
        <f t="shared" si="976"/>
        <v>32087.089314382189</v>
      </c>
      <c r="S413">
        <f t="shared" si="977"/>
        <v>0.32087089314382189</v>
      </c>
      <c r="T413">
        <f t="shared" si="978"/>
        <v>3.2087089314382188E-4</v>
      </c>
    </row>
    <row r="414" spans="1:20" x14ac:dyDescent="0.25">
      <c r="A414" s="5">
        <v>44179</v>
      </c>
      <c r="B414">
        <v>3.0068999999999999</v>
      </c>
      <c r="C414">
        <v>3.0465</v>
      </c>
      <c r="D414">
        <v>2.8635999999999999</v>
      </c>
      <c r="E414">
        <v>2.9018000000000002</v>
      </c>
      <c r="F414">
        <v>19126.91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-0.58228540185893685</v>
      </c>
      <c r="Q414">
        <f t="shared" si="975"/>
        <v>-11137.320475669718</v>
      </c>
      <c r="R414">
        <f t="shared" si="976"/>
        <v>21362.096021290359</v>
      </c>
      <c r="S414">
        <f t="shared" si="977"/>
        <v>0.21362096021290358</v>
      </c>
      <c r="T414">
        <f t="shared" si="978"/>
        <v>2.1362096021290358E-4</v>
      </c>
    </row>
    <row r="415" spans="1:20" x14ac:dyDescent="0.25">
      <c r="A415" s="5">
        <v>44178</v>
      </c>
      <c r="B415">
        <v>2.9241000000000001</v>
      </c>
      <c r="C415">
        <v>3.07</v>
      </c>
      <c r="D415">
        <v>2.7608000000000001</v>
      </c>
      <c r="E415">
        <v>3.0087000000000002</v>
      </c>
      <c r="F415">
        <v>23993.97</v>
      </c>
      <c r="G415">
        <v>0</v>
      </c>
      <c r="L415" t="s">
        <v>8</v>
      </c>
      <c r="M415" t="s">
        <v>8</v>
      </c>
      <c r="N415" t="s">
        <v>8</v>
      </c>
      <c r="P415">
        <f t="shared" si="974"/>
        <v>0.60349288486416719</v>
      </c>
      <c r="Q415">
        <f t="shared" si="975"/>
        <v>14480.190174644282</v>
      </c>
      <c r="R415">
        <f t="shared" si="976"/>
        <v>32499.416496960079</v>
      </c>
      <c r="S415">
        <f t="shared" si="977"/>
        <v>0.32499416496960076</v>
      </c>
      <c r="T415">
        <f t="shared" si="978"/>
        <v>3.2499416496960075E-4</v>
      </c>
    </row>
    <row r="416" spans="1:20" x14ac:dyDescent="0.25">
      <c r="A416" s="5">
        <v>44177</v>
      </c>
      <c r="B416">
        <v>2.5464000000000002</v>
      </c>
      <c r="C416">
        <v>2.9899</v>
      </c>
      <c r="D416">
        <v>2.5464000000000002</v>
      </c>
      <c r="E416">
        <v>2.9236</v>
      </c>
      <c r="F416">
        <v>46283.14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0.70101465614430636</v>
      </c>
      <c r="Q416">
        <f t="shared" si="975"/>
        <v>32445.159472378789</v>
      </c>
      <c r="R416">
        <f t="shared" si="976"/>
        <v>18019.226322315797</v>
      </c>
      <c r="S416">
        <f t="shared" si="977"/>
        <v>0.18019226322315798</v>
      </c>
      <c r="T416">
        <f t="shared" si="978"/>
        <v>1.8019226322315798E-4</v>
      </c>
    </row>
    <row r="417" spans="1:20" x14ac:dyDescent="0.25">
      <c r="A417" s="5">
        <v>44176</v>
      </c>
      <c r="B417">
        <v>3.2079</v>
      </c>
      <c r="C417">
        <v>3.2928000000000002</v>
      </c>
      <c r="D417">
        <v>2.4900000000000002</v>
      </c>
      <c r="E417">
        <v>2.5436000000000001</v>
      </c>
      <c r="F417">
        <v>101984.06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-0.86646736422521209</v>
      </c>
      <c r="Q417">
        <f t="shared" si="975"/>
        <v>-88365.859661185881</v>
      </c>
      <c r="R417">
        <f t="shared" si="976"/>
        <v>-14425.933150062992</v>
      </c>
      <c r="S417">
        <f t="shared" si="977"/>
        <v>-0.14425933150062992</v>
      </c>
      <c r="T417">
        <f t="shared" si="978"/>
        <v>-1.4425933150062991E-4</v>
      </c>
    </row>
    <row r="418" spans="1:20" x14ac:dyDescent="0.25">
      <c r="A418" s="5">
        <v>44175</v>
      </c>
      <c r="B418">
        <v>2.4586000000000001</v>
      </c>
      <c r="C418">
        <v>3.3771</v>
      </c>
      <c r="D418">
        <v>2.4247000000000001</v>
      </c>
      <c r="E418">
        <v>3.2145000000000001</v>
      </c>
      <c r="F418">
        <v>95906.08</v>
      </c>
      <c r="G418">
        <v>0</v>
      </c>
      <c r="L418" t="s">
        <v>8</v>
      </c>
      <c r="M418" t="s">
        <v>8</v>
      </c>
      <c r="N418" t="s">
        <v>8</v>
      </c>
      <c r="P418">
        <f t="shared" si="974"/>
        <v>0.65854682906341899</v>
      </c>
      <c r="Q418">
        <f t="shared" si="975"/>
        <v>63158.644871902587</v>
      </c>
      <c r="R418">
        <f t="shared" si="976"/>
        <v>73939.926511122889</v>
      </c>
      <c r="S418">
        <f t="shared" si="977"/>
        <v>0.73939926511122889</v>
      </c>
      <c r="T418">
        <f t="shared" si="978"/>
        <v>7.3939926511122894E-4</v>
      </c>
    </row>
    <row r="419" spans="1:20" x14ac:dyDescent="0.25">
      <c r="A419" s="5">
        <v>44174</v>
      </c>
      <c r="B419">
        <v>2.5693999999999999</v>
      </c>
      <c r="C419">
        <v>2.6025999999999998</v>
      </c>
      <c r="D419">
        <v>2.2494999999999998</v>
      </c>
      <c r="E419">
        <v>2.4716999999999998</v>
      </c>
      <c r="F419">
        <v>47806.94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0.25856697819314628</v>
      </c>
      <c r="Q419">
        <f t="shared" si="975"/>
        <v>12361.296012461053</v>
      </c>
      <c r="R419">
        <f t="shared" si="976"/>
        <v>10781.281639220308</v>
      </c>
      <c r="S419">
        <f t="shared" si="977"/>
        <v>0.10781281639220308</v>
      </c>
      <c r="T419">
        <f t="shared" si="978"/>
        <v>1.0781281639220308E-4</v>
      </c>
    </row>
    <row r="420" spans="1:20" x14ac:dyDescent="0.25">
      <c r="A420" s="5">
        <v>44173</v>
      </c>
      <c r="B420">
        <v>2.6947000000000001</v>
      </c>
      <c r="C420">
        <v>2.8546</v>
      </c>
      <c r="D420">
        <v>2.52</v>
      </c>
      <c r="E420">
        <v>2.5687000000000002</v>
      </c>
      <c r="F420">
        <v>55228.42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-0.70890615660490031</v>
      </c>
      <c r="Q420">
        <f t="shared" si="975"/>
        <v>-39151.766957561209</v>
      </c>
      <c r="R420">
        <f t="shared" si="976"/>
        <v>-1580.014373240745</v>
      </c>
      <c r="S420">
        <f t="shared" si="977"/>
        <v>-1.580014373240745E-2</v>
      </c>
      <c r="T420">
        <f t="shared" si="978"/>
        <v>-1.580014373240745E-5</v>
      </c>
    </row>
    <row r="421" spans="1:20" x14ac:dyDescent="0.25">
      <c r="A421" s="5">
        <v>44172</v>
      </c>
      <c r="B421">
        <v>2.9519000000000002</v>
      </c>
      <c r="C421">
        <v>3.0733000000000001</v>
      </c>
      <c r="D421">
        <v>2.6499000000000001</v>
      </c>
      <c r="E421">
        <v>2.6926000000000001</v>
      </c>
      <c r="F421">
        <v>49945.61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-0.79829948039678811</v>
      </c>
      <c r="Q421">
        <f t="shared" si="975"/>
        <v>-39871.554511100621</v>
      </c>
      <c r="R421">
        <f t="shared" si="976"/>
        <v>37571.752584320464</v>
      </c>
      <c r="S421">
        <f t="shared" si="977"/>
        <v>0.37571752584320461</v>
      </c>
      <c r="T421">
        <f t="shared" si="978"/>
        <v>3.7571752584320461E-4</v>
      </c>
    </row>
    <row r="422" spans="1:20" x14ac:dyDescent="0.25">
      <c r="A422" s="5">
        <v>44171</v>
      </c>
      <c r="B422">
        <v>2.6027</v>
      </c>
      <c r="C422">
        <v>3.0122</v>
      </c>
      <c r="D422">
        <v>2.5989</v>
      </c>
      <c r="E422">
        <v>2.9384999999999999</v>
      </c>
      <c r="F422">
        <v>61705.29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0.6433583353496245</v>
      </c>
      <c r="Q422">
        <f t="shared" si="975"/>
        <v>39698.612656665835</v>
      </c>
      <c r="R422">
        <f t="shared" si="976"/>
        <v>77443.307095421085</v>
      </c>
      <c r="S422">
        <f t="shared" si="977"/>
        <v>0.77443307095421088</v>
      </c>
      <c r="T422">
        <f t="shared" si="978"/>
        <v>7.7443307095421087E-4</v>
      </c>
    </row>
    <row r="423" spans="1:20" x14ac:dyDescent="0.25">
      <c r="A423" s="5">
        <v>44170</v>
      </c>
      <c r="B423">
        <v>2.6764999999999999</v>
      </c>
      <c r="C423">
        <v>2.7827000000000002</v>
      </c>
      <c r="D423">
        <v>2.5457999999999998</v>
      </c>
      <c r="E423">
        <v>2.6103000000000001</v>
      </c>
      <c r="F423">
        <v>45214.879999999997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-0.45546644153651217</v>
      </c>
      <c r="Q423">
        <f t="shared" si="975"/>
        <v>-20593.860498100414</v>
      </c>
      <c r="R423">
        <f t="shared" si="976"/>
        <v>37744.69443875525</v>
      </c>
      <c r="S423">
        <f t="shared" si="977"/>
        <v>0.3774469443875525</v>
      </c>
      <c r="T423">
        <f t="shared" si="978"/>
        <v>3.7744694438755251E-4</v>
      </c>
    </row>
    <row r="424" spans="1:20" x14ac:dyDescent="0.25">
      <c r="A424" s="5">
        <v>44169</v>
      </c>
      <c r="B424">
        <v>2.3664000000000001</v>
      </c>
      <c r="C424">
        <v>2.9287000000000001</v>
      </c>
      <c r="D424">
        <v>2.2721</v>
      </c>
      <c r="E424">
        <v>2.6882999999999999</v>
      </c>
      <c r="F424">
        <v>145055.63</v>
      </c>
      <c r="G424">
        <v>0</v>
      </c>
      <c r="L424" t="s">
        <v>8</v>
      </c>
      <c r="M424" t="s">
        <v>8</v>
      </c>
      <c r="N424" t="s">
        <v>8</v>
      </c>
      <c r="P424">
        <f t="shared" si="974"/>
        <v>0.26774291806274703</v>
      </c>
      <c r="Q424">
        <f t="shared" si="975"/>
        <v>38837.617657630151</v>
      </c>
      <c r="R424">
        <f t="shared" si="976"/>
        <v>58338.554936855668</v>
      </c>
      <c r="S424">
        <f t="shared" si="977"/>
        <v>0.58338554936855669</v>
      </c>
      <c r="T424">
        <f t="shared" si="978"/>
        <v>5.8338554936855668E-4</v>
      </c>
    </row>
    <row r="425" spans="1:20" x14ac:dyDescent="0.25">
      <c r="A425" s="5">
        <v>44168</v>
      </c>
      <c r="B425">
        <v>2.1644000000000001</v>
      </c>
      <c r="C425">
        <v>2.38</v>
      </c>
      <c r="D425">
        <v>1.9871000000000001</v>
      </c>
      <c r="E425">
        <v>2.3610000000000002</v>
      </c>
      <c r="F425">
        <v>74903.429999999993</v>
      </c>
      <c r="G425">
        <v>0</v>
      </c>
      <c r="L425" t="s">
        <v>7</v>
      </c>
      <c r="M425" t="s">
        <v>8</v>
      </c>
      <c r="N425" t="s">
        <v>8</v>
      </c>
      <c r="P425">
        <f t="shared" si="974"/>
        <v>0.9032832781878356</v>
      </c>
      <c r="Q425">
        <f t="shared" si="975"/>
        <v>67659.01579791306</v>
      </c>
      <c r="R425">
        <f t="shared" si="976"/>
        <v>19500.937279225516</v>
      </c>
      <c r="S425">
        <f t="shared" si="977"/>
        <v>0.19500937279225516</v>
      </c>
      <c r="T425">
        <f t="shared" si="978"/>
        <v>1.9500937279225516E-4</v>
      </c>
    </row>
    <row r="426" spans="1:20" x14ac:dyDescent="0.25">
      <c r="A426" s="5">
        <v>44167</v>
      </c>
      <c r="B426">
        <v>2.1501999999999999</v>
      </c>
      <c r="C426">
        <v>2.2149999999999999</v>
      </c>
      <c r="D426">
        <v>2.1124999999999998</v>
      </c>
      <c r="E426">
        <v>2.1753</v>
      </c>
      <c r="F426">
        <v>18505</v>
      </c>
      <c r="G426">
        <v>0</v>
      </c>
      <c r="L426" t="s">
        <v>7</v>
      </c>
      <c r="M426" t="s">
        <v>8</v>
      </c>
      <c r="N426" t="s">
        <v>8</v>
      </c>
      <c r="P426">
        <f t="shared" si="974"/>
        <v>0.22536585365853984</v>
      </c>
      <c r="Q426">
        <f t="shared" si="975"/>
        <v>4170.3951219512801</v>
      </c>
      <c r="R426">
        <f t="shared" si="976"/>
        <v>-48158.078518687544</v>
      </c>
      <c r="S426">
        <f t="shared" si="977"/>
        <v>-0.48158078518687542</v>
      </c>
      <c r="T426">
        <f t="shared" si="978"/>
        <v>-4.8158078518687543E-4</v>
      </c>
    </row>
    <row r="427" spans="1:20" x14ac:dyDescent="0.25">
      <c r="A427" s="5">
        <v>44166</v>
      </c>
      <c r="B427">
        <v>2.2654999999999998</v>
      </c>
      <c r="C427">
        <v>2.2898999999999998</v>
      </c>
      <c r="D427">
        <v>2.0884</v>
      </c>
      <c r="E427">
        <v>2.1467000000000001</v>
      </c>
      <c r="F427">
        <v>29102.03</v>
      </c>
      <c r="G427">
        <v>0</v>
      </c>
      <c r="L427" t="s">
        <v>7</v>
      </c>
      <c r="M427" t="s">
        <v>8</v>
      </c>
      <c r="N427" t="s">
        <v>8</v>
      </c>
      <c r="P427">
        <f t="shared" si="974"/>
        <v>-0.42133995037220767</v>
      </c>
      <c r="Q427">
        <f t="shared" si="975"/>
        <v>-12261.847875930498</v>
      </c>
      <c r="R427">
        <f t="shared" si="976"/>
        <v>-52328.473640638826</v>
      </c>
      <c r="S427">
        <f t="shared" si="977"/>
        <v>-0.52328473640638828</v>
      </c>
      <c r="T427">
        <f t="shared" si="978"/>
        <v>-5.2328473640638829E-4</v>
      </c>
    </row>
    <row r="428" spans="1:20" x14ac:dyDescent="0.25">
      <c r="A428" s="5">
        <v>44165</v>
      </c>
      <c r="B428">
        <v>2.1494</v>
      </c>
      <c r="C428">
        <v>2.3180000000000001</v>
      </c>
      <c r="D428">
        <v>2.036</v>
      </c>
      <c r="E428">
        <v>2.2686999999999999</v>
      </c>
      <c r="F428">
        <v>38308.42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0.65035460992907723</v>
      </c>
      <c r="Q428">
        <f t="shared" si="975"/>
        <v>24914.057546099259</v>
      </c>
      <c r="R428">
        <f t="shared" si="976"/>
        <v>-40066.625764708326</v>
      </c>
      <c r="S428">
        <f t="shared" si="977"/>
        <v>-0.40066625764708325</v>
      </c>
      <c r="T428">
        <f t="shared" si="978"/>
        <v>-4.0066625764708324E-4</v>
      </c>
    </row>
    <row r="429" spans="1:20" x14ac:dyDescent="0.25">
      <c r="A429" s="5">
        <v>44164</v>
      </c>
      <c r="B429">
        <v>2.2397</v>
      </c>
      <c r="C429">
        <v>2.2606999999999999</v>
      </c>
      <c r="D429">
        <v>2.0975999999999999</v>
      </c>
      <c r="E429">
        <v>2.1496</v>
      </c>
      <c r="F429">
        <v>23819.01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-0.36235438381361079</v>
      </c>
      <c r="Q429">
        <f t="shared" si="975"/>
        <v>-8630.9226916002335</v>
      </c>
      <c r="R429">
        <f t="shared" si="976"/>
        <v>-64980.683310807581</v>
      </c>
      <c r="S429">
        <f t="shared" si="977"/>
        <v>-0.64980683310807585</v>
      </c>
      <c r="T429">
        <f t="shared" si="978"/>
        <v>-6.4980683310807586E-4</v>
      </c>
    </row>
    <row r="430" spans="1:20" x14ac:dyDescent="0.25">
      <c r="A430" s="5">
        <v>44163</v>
      </c>
      <c r="B430">
        <v>2.0263</v>
      </c>
      <c r="C430">
        <v>2.3031999999999999</v>
      </c>
      <c r="D430">
        <v>1.9915</v>
      </c>
      <c r="E430">
        <v>2.2591999999999999</v>
      </c>
      <c r="F430">
        <v>59820.89</v>
      </c>
      <c r="G430">
        <v>0</v>
      </c>
      <c r="L430" t="s">
        <v>7</v>
      </c>
      <c r="M430" t="s">
        <v>8</v>
      </c>
      <c r="N430" t="s">
        <v>8</v>
      </c>
      <c r="P430">
        <f t="shared" si="974"/>
        <v>0.71767725376964997</v>
      </c>
      <c r="Q430">
        <f t="shared" si="975"/>
        <v>42932.092053256318</v>
      </c>
      <c r="R430">
        <f t="shared" si="976"/>
        <v>-56349.760619207344</v>
      </c>
      <c r="S430">
        <f t="shared" si="977"/>
        <v>-0.56349760619207345</v>
      </c>
      <c r="T430">
        <f t="shared" si="978"/>
        <v>-5.6349760619207347E-4</v>
      </c>
    </row>
    <row r="431" spans="1:20" x14ac:dyDescent="0.25">
      <c r="A431" s="5">
        <v>44162</v>
      </c>
      <c r="B431">
        <v>2.2549999999999999</v>
      </c>
      <c r="C431">
        <v>2.3753000000000002</v>
      </c>
      <c r="D431">
        <v>1.9628000000000001</v>
      </c>
      <c r="E431">
        <v>2.0263</v>
      </c>
      <c r="F431">
        <v>70600.37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-0.69212121212121269</v>
      </c>
      <c r="Q431">
        <f t="shared" si="975"/>
        <v>-48864.013660606099</v>
      </c>
      <c r="R431">
        <f t="shared" si="976"/>
        <v>-99281.852672463661</v>
      </c>
      <c r="S431">
        <f t="shared" si="977"/>
        <v>-0.99281852672463666</v>
      </c>
      <c r="T431">
        <f t="shared" si="978"/>
        <v>-9.9281852672463669E-4</v>
      </c>
    </row>
    <row r="432" spans="1:20" x14ac:dyDescent="0.25">
      <c r="A432" s="5">
        <v>44161</v>
      </c>
      <c r="B432">
        <v>2.0099999999999998</v>
      </c>
      <c r="C432">
        <v>2.6930999999999998</v>
      </c>
      <c r="D432">
        <v>2.0099999999999998</v>
      </c>
      <c r="E432">
        <v>2.2719</v>
      </c>
      <c r="F432">
        <v>216198.53</v>
      </c>
      <c r="G432">
        <v>0</v>
      </c>
      <c r="P432">
        <f t="shared" si="974"/>
        <v>-0.2332015810276673</v>
      </c>
      <c r="Q432">
        <f t="shared" si="975"/>
        <v>-50417.839011857563</v>
      </c>
      <c r="R432">
        <f t="shared" si="976"/>
        <v>-50417.839011857563</v>
      </c>
      <c r="S432">
        <f t="shared" si="977"/>
        <v>-0.50417839011857568</v>
      </c>
      <c r="T432">
        <f t="shared" si="978"/>
        <v>-5.0417839011857566E-4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HF477" sqref="HF47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$A$476</v>
      </c>
      <c r="D111" s="1" t="str">
        <f>ADDRESS(C121-1,D121,1,1)</f>
        <v>$HF$476</v>
      </c>
      <c r="E111"/>
    </row>
    <row r="112" spans="1:5" x14ac:dyDescent="0.25">
      <c r="A112" s="7">
        <v>12164.144957890772</v>
      </c>
      <c r="C112" s="1" t="str">
        <f>ADDRESS(C121,1,1,1)</f>
        <v>$A$477</v>
      </c>
      <c r="D112" s="1" t="str">
        <f>ADDRESS(C121,D121-1,1,1)</f>
        <v>$HE$477</v>
      </c>
      <c r="E112"/>
    </row>
    <row r="113" spans="1:5" x14ac:dyDescent="0.25">
      <c r="A113" s="7">
        <v>11925.63231165762</v>
      </c>
      <c r="C113" s="1" t="str">
        <f>ADDRESS(C121+1,1,1,1)</f>
        <v>$A$478</v>
      </c>
      <c r="D113" s="1" t="str">
        <f>ADDRESS(C121-1,D121+1,1,1)</f>
        <v>$HG$476</v>
      </c>
    </row>
    <row r="114" spans="1:5" x14ac:dyDescent="0.25">
      <c r="A114" s="7">
        <v>11691.796383978059</v>
      </c>
      <c r="C114" s="1" t="str">
        <f>ADDRESS(C121,D121,1,1)</f>
        <v>$HF$477</v>
      </c>
      <c r="D114" s="1" t="str">
        <f>ADDRESS(C121+1,D121+1,1,1)</f>
        <v>$HG$478</v>
      </c>
    </row>
    <row r="115" spans="1:5" x14ac:dyDescent="0.25">
      <c r="A115" s="7">
        <v>11462.545474488292</v>
      </c>
      <c r="C115" s="1" t="str">
        <f>ADDRESS(C121+1,D121,1,1)</f>
        <v>$HF$478</v>
      </c>
    </row>
    <row r="116" spans="1:5" x14ac:dyDescent="0.25">
      <c r="A116" s="7">
        <v>11237.789680870874</v>
      </c>
      <c r="C116" s="1">
        <f>C117-1</f>
        <v>476</v>
      </c>
    </row>
    <row r="117" spans="1:5" x14ac:dyDescent="0.25">
      <c r="A117" s="7">
        <v>11017.440863598895</v>
      </c>
      <c r="C117" s="1">
        <f>C121</f>
        <v>477</v>
      </c>
      <c r="D117" s="1">
        <f>D121</f>
        <v>214</v>
      </c>
    </row>
    <row r="118" spans="1:5" x14ac:dyDescent="0.25">
      <c r="A118" s="7">
        <v>10801.412611371465</v>
      </c>
      <c r="C118" s="1">
        <f>C117+1</f>
        <v>478</v>
      </c>
      <c r="D118" s="1">
        <f>D117+1</f>
        <v>215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477</v>
      </c>
      <c r="D121" s="19">
        <v>214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R477</v>
      </c>
      <c r="D123" s="1" t="str">
        <f>"C"&amp;D121</f>
        <v>C214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8.8311831929862912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90" x14ac:dyDescent="0.25">
      <c r="A337" s="7">
        <v>141.26772149168937</v>
      </c>
      <c r="B337"/>
      <c r="C337"/>
      <c r="D337"/>
      <c r="E337"/>
    </row>
    <row r="338" spans="1:90" x14ac:dyDescent="0.25">
      <c r="A338" s="7">
        <v>138.4977661683229</v>
      </c>
      <c r="B338"/>
      <c r="C338"/>
      <c r="D338"/>
      <c r="E338"/>
    </row>
    <row r="339" spans="1:90" x14ac:dyDescent="0.25">
      <c r="A339" s="7">
        <v>135.7821236944342</v>
      </c>
      <c r="B339"/>
      <c r="C339"/>
      <c r="D339"/>
      <c r="E339"/>
    </row>
    <row r="340" spans="1:90" x14ac:dyDescent="0.25">
      <c r="A340" s="7">
        <v>133.11972911219038</v>
      </c>
      <c r="B340"/>
      <c r="C340"/>
      <c r="D340"/>
      <c r="E340"/>
    </row>
    <row r="341" spans="1:90" x14ac:dyDescent="0.25">
      <c r="A341" s="7">
        <v>130.50953834528468</v>
      </c>
      <c r="B341"/>
      <c r="C341"/>
      <c r="D341"/>
      <c r="E341"/>
    </row>
    <row r="342" spans="1:90" x14ac:dyDescent="0.25">
      <c r="A342" s="7">
        <v>127.95052778949477</v>
      </c>
      <c r="B342"/>
      <c r="C342"/>
      <c r="D342"/>
      <c r="E342"/>
    </row>
    <row r="343" spans="1:90" x14ac:dyDescent="0.25">
      <c r="A343" s="7">
        <v>125.44169391126938</v>
      </c>
      <c r="B343"/>
      <c r="C343"/>
      <c r="D343"/>
      <c r="E343"/>
    </row>
    <row r="344" spans="1:90" x14ac:dyDescent="0.25">
      <c r="A344" s="7">
        <v>122.98205285418567</v>
      </c>
      <c r="B344"/>
      <c r="C344"/>
      <c r="D344"/>
      <c r="E344"/>
    </row>
    <row r="345" spans="1:90" x14ac:dyDescent="0.25">
      <c r="A345" s="7">
        <v>120.5706400531232</v>
      </c>
      <c r="B345"/>
      <c r="C345"/>
      <c r="D345"/>
      <c r="E345"/>
    </row>
    <row r="346" spans="1:90" x14ac:dyDescent="0.25">
      <c r="A346" s="7">
        <v>118.20650985600314</v>
      </c>
      <c r="B346"/>
      <c r="C346"/>
      <c r="D346"/>
      <c r="E346"/>
    </row>
    <row r="347" spans="1:90" x14ac:dyDescent="0.25">
      <c r="A347" s="7">
        <v>115.88873515294425</v>
      </c>
      <c r="B347"/>
      <c r="C347"/>
      <c r="D347"/>
      <c r="E347"/>
    </row>
    <row r="348" spans="1:90" x14ac:dyDescent="0.25">
      <c r="A348" s="7">
        <v>113.61640701269044</v>
      </c>
      <c r="B348"/>
      <c r="C348"/>
      <c r="D348"/>
      <c r="E348"/>
    </row>
    <row r="349" spans="1:90" x14ac:dyDescent="0.25">
      <c r="A349" s="7">
        <v>111.38863432616711</v>
      </c>
      <c r="B349"/>
      <c r="C349"/>
      <c r="D349"/>
      <c r="E349"/>
    </row>
    <row r="350" spans="1:90" x14ac:dyDescent="0.25">
      <c r="A350" s="7">
        <v>109.20454345702657</v>
      </c>
      <c r="B350"/>
      <c r="C350"/>
      <c r="D350"/>
      <c r="E350"/>
    </row>
    <row r="351" spans="1:90" x14ac:dyDescent="0.25">
      <c r="A351" s="7">
        <v>107.06327789904566</v>
      </c>
      <c r="B351"/>
      <c r="C351"/>
      <c r="D351"/>
      <c r="E351"/>
      <c r="CK351" s="27" t="s">
        <v>8</v>
      </c>
    </row>
    <row r="352" spans="1:90" x14ac:dyDescent="0.25">
      <c r="A352" s="7">
        <v>104.96399794024084</v>
      </c>
      <c r="B352"/>
      <c r="C352"/>
      <c r="D352"/>
      <c r="E352"/>
      <c r="CK352" s="27" t="s">
        <v>8</v>
      </c>
      <c r="CL352" s="27" t="s">
        <v>7</v>
      </c>
    </row>
    <row r="353" spans="1:92" x14ac:dyDescent="0.25">
      <c r="A353" s="7">
        <v>102.90588033356946</v>
      </c>
      <c r="B353"/>
      <c r="C353"/>
      <c r="D353"/>
      <c r="E353"/>
      <c r="CK353" s="27" t="s">
        <v>8</v>
      </c>
      <c r="CL353" s="27" t="s">
        <v>7</v>
      </c>
    </row>
    <row r="354" spans="1:92" x14ac:dyDescent="0.25">
      <c r="A354" s="7">
        <v>100.88811797408771</v>
      </c>
      <c r="B354"/>
      <c r="C354"/>
      <c r="D354"/>
      <c r="E354"/>
      <c r="CK354" s="27" t="s">
        <v>8</v>
      </c>
      <c r="CL354" s="27" t="s">
        <v>7</v>
      </c>
    </row>
    <row r="355" spans="1:92" x14ac:dyDescent="0.25">
      <c r="A355" s="7">
        <v>98.909919582438931</v>
      </c>
      <c r="B355"/>
      <c r="C355"/>
      <c r="D355"/>
      <c r="E355"/>
      <c r="CK355" s="27" t="s">
        <v>8</v>
      </c>
      <c r="CL355" s="27" t="s">
        <v>7</v>
      </c>
    </row>
    <row r="356" spans="1:92" x14ac:dyDescent="0.25">
      <c r="A356" s="7">
        <v>96.970509394547975</v>
      </c>
      <c r="B356"/>
      <c r="C356"/>
      <c r="D356"/>
      <c r="E356"/>
      <c r="CK356" s="27" t="s">
        <v>8</v>
      </c>
      <c r="CL356" s="27" t="s">
        <v>7</v>
      </c>
    </row>
    <row r="357" spans="1:92" x14ac:dyDescent="0.25">
      <c r="A357" s="7">
        <v>95.069126857399979</v>
      </c>
      <c r="B357"/>
      <c r="C357"/>
      <c r="D357"/>
      <c r="E357"/>
      <c r="CK357" s="27" t="s">
        <v>8</v>
      </c>
      <c r="CL357" s="27" t="s">
        <v>7</v>
      </c>
    </row>
    <row r="358" spans="1:92" x14ac:dyDescent="0.25">
      <c r="A358" s="7">
        <v>93.205026330784293</v>
      </c>
      <c r="B358"/>
      <c r="C358"/>
      <c r="D358"/>
      <c r="E358"/>
      <c r="CK358" s="27" t="s">
        <v>8</v>
      </c>
      <c r="CL358" s="27" t="s">
        <v>7</v>
      </c>
    </row>
    <row r="359" spans="1:92" x14ac:dyDescent="0.25">
      <c r="A359" s="7">
        <v>91.377476794886562</v>
      </c>
      <c r="B359"/>
      <c r="C359"/>
      <c r="D359"/>
      <c r="E359"/>
      <c r="CK359" s="27" t="s">
        <v>8</v>
      </c>
      <c r="CL359" s="27" t="s">
        <v>7</v>
      </c>
    </row>
    <row r="360" spans="1:92" x14ac:dyDescent="0.25">
      <c r="A360" s="7">
        <v>89.58576156361427</v>
      </c>
      <c r="B360"/>
      <c r="C360"/>
      <c r="D360"/>
      <c r="E360"/>
      <c r="CK360" s="27" t="s">
        <v>8</v>
      </c>
      <c r="CL360" s="27" t="s">
        <v>7</v>
      </c>
    </row>
    <row r="361" spans="1:92" x14ac:dyDescent="0.25">
      <c r="A361" s="7">
        <v>87.829178003543404</v>
      </c>
      <c r="B361"/>
      <c r="C361"/>
      <c r="D361"/>
      <c r="E361"/>
      <c r="CK361" s="27" t="s">
        <v>8</v>
      </c>
      <c r="CL361" s="27" t="s">
        <v>7</v>
      </c>
    </row>
    <row r="362" spans="1:92" x14ac:dyDescent="0.25">
      <c r="A362" s="7">
        <v>86.107037258375883</v>
      </c>
      <c r="B362"/>
      <c r="C362"/>
      <c r="D362"/>
      <c r="E362"/>
      <c r="CK362" s="27" t="s">
        <v>8</v>
      </c>
      <c r="CL362" s="27" t="s">
        <v>7</v>
      </c>
    </row>
    <row r="363" spans="1:92" x14ac:dyDescent="0.25">
      <c r="A363" s="7">
        <v>84.418663978799884</v>
      </c>
      <c r="B363"/>
      <c r="C363"/>
      <c r="D363"/>
      <c r="E363"/>
      <c r="CK363" s="27" t="s">
        <v>8</v>
      </c>
      <c r="CL363" s="27" t="s">
        <v>7</v>
      </c>
    </row>
    <row r="364" spans="1:92" x14ac:dyDescent="0.25">
      <c r="A364" s="7">
        <v>82.763396057646943</v>
      </c>
      <c r="B364"/>
      <c r="C364"/>
      <c r="D364"/>
      <c r="E364"/>
      <c r="CK364" s="27" t="s">
        <v>8</v>
      </c>
      <c r="CL364" s="27" t="s">
        <v>7</v>
      </c>
    </row>
    <row r="365" spans="1:92" x14ac:dyDescent="0.25">
      <c r="A365" s="7">
        <v>81.140584370242095</v>
      </c>
      <c r="B365"/>
      <c r="C365"/>
      <c r="D365"/>
      <c r="E365"/>
      <c r="CK365" s="27" t="s">
        <v>8</v>
      </c>
      <c r="CL365" s="27" t="s">
        <v>7</v>
      </c>
    </row>
    <row r="366" spans="1:92" x14ac:dyDescent="0.25">
      <c r="A366" s="7">
        <v>79.549592519845191</v>
      </c>
      <c r="B366"/>
      <c r="C366"/>
      <c r="D366"/>
      <c r="E366"/>
      <c r="CK366" s="27" t="s">
        <v>8</v>
      </c>
      <c r="CL366" s="27" t="s">
        <v>7</v>
      </c>
      <c r="CM366" s="27" t="s">
        <v>8</v>
      </c>
    </row>
    <row r="367" spans="1:92" x14ac:dyDescent="0.25">
      <c r="A367" s="7">
        <v>77.989796588083522</v>
      </c>
      <c r="B367"/>
      <c r="C367"/>
      <c r="D367"/>
      <c r="E367"/>
      <c r="CK367" s="27" t="s">
        <v>8</v>
      </c>
      <c r="CL367" s="27" t="s">
        <v>7</v>
      </c>
      <c r="CM367" s="27" t="s">
        <v>8</v>
      </c>
      <c r="CN367" s="27" t="s">
        <v>7</v>
      </c>
    </row>
    <row r="368" spans="1:92" x14ac:dyDescent="0.25">
      <c r="A368" s="7">
        <v>76.460584890277957</v>
      </c>
      <c r="B368"/>
      <c r="C368"/>
      <c r="D368"/>
      <c r="E368"/>
      <c r="CK368" s="27" t="s">
        <v>8</v>
      </c>
      <c r="CL368" s="27" t="s">
        <v>7</v>
      </c>
      <c r="CM368" s="27" t="s">
        <v>8</v>
      </c>
      <c r="CN368" s="27" t="s">
        <v>7</v>
      </c>
    </row>
    <row r="369" spans="1:94" x14ac:dyDescent="0.25">
      <c r="A369" s="7">
        <v>74.961357735566622</v>
      </c>
      <c r="B369"/>
      <c r="C369"/>
      <c r="D369"/>
      <c r="E369"/>
      <c r="CK369" s="27" t="s">
        <v>8</v>
      </c>
      <c r="CL369" s="27" t="s">
        <v>7</v>
      </c>
      <c r="CM369" s="27" t="s">
        <v>8</v>
      </c>
      <c r="CN369" s="27" t="s">
        <v>7</v>
      </c>
    </row>
    <row r="370" spans="1:94" x14ac:dyDescent="0.25">
      <c r="A370" s="7">
        <v>73.491527191731976</v>
      </c>
      <c r="B370"/>
      <c r="C370"/>
      <c r="D370"/>
      <c r="E370"/>
      <c r="CK370" s="27" t="s">
        <v>8</v>
      </c>
      <c r="CL370" s="27" t="s">
        <v>7</v>
      </c>
      <c r="CM370" s="27" t="s">
        <v>8</v>
      </c>
      <c r="CN370" s="27" t="s">
        <v>7</v>
      </c>
    </row>
    <row r="371" spans="1:94" x14ac:dyDescent="0.25">
      <c r="A371" s="7">
        <v>72.050516854639184</v>
      </c>
      <c r="B371"/>
      <c r="C371"/>
      <c r="D371"/>
      <c r="E371"/>
      <c r="CK371" s="27" t="s">
        <v>8</v>
      </c>
      <c r="CL371" s="27" t="s">
        <v>7</v>
      </c>
      <c r="CM371" s="27" t="s">
        <v>8</v>
      </c>
      <c r="CN371" s="27" t="s">
        <v>7</v>
      </c>
    </row>
    <row r="372" spans="1:94" x14ac:dyDescent="0.25">
      <c r="A372" s="7">
        <v>70.637761622195271</v>
      </c>
      <c r="B372"/>
      <c r="C372"/>
      <c r="D372"/>
      <c r="E372"/>
      <c r="CK372" s="27" t="s">
        <v>8</v>
      </c>
      <c r="CL372" s="27" t="s">
        <v>7</v>
      </c>
      <c r="CM372" s="27" t="s">
        <v>8</v>
      </c>
      <c r="CN372" s="27" t="s">
        <v>7</v>
      </c>
    </row>
    <row r="373" spans="1:94" x14ac:dyDescent="0.25">
      <c r="A373" s="7">
        <v>69.252707472740454</v>
      </c>
      <c r="B373"/>
      <c r="C373"/>
      <c r="D373"/>
      <c r="E373"/>
      <c r="CK373" s="27" t="s">
        <v>8</v>
      </c>
      <c r="CL373" s="27" t="s">
        <v>7</v>
      </c>
      <c r="CM373" s="27" t="s">
        <v>8</v>
      </c>
      <c r="CN373" s="27" t="s">
        <v>7</v>
      </c>
    </row>
    <row r="374" spans="1:94" x14ac:dyDescent="0.25">
      <c r="A374" s="7">
        <v>67.894811247784759</v>
      </c>
      <c r="B374"/>
      <c r="C374"/>
      <c r="D374"/>
      <c r="E374"/>
      <c r="CK374" s="27" t="s">
        <v>8</v>
      </c>
      <c r="CL374" s="27" t="s">
        <v>7</v>
      </c>
      <c r="CM374" s="27" t="s">
        <v>8</v>
      </c>
      <c r="CN374" s="27" t="s">
        <v>7</v>
      </c>
    </row>
    <row r="375" spans="1:94" x14ac:dyDescent="0.25">
      <c r="A375" s="7">
        <v>66.563540439004669</v>
      </c>
      <c r="B375"/>
      <c r="C375"/>
      <c r="D375"/>
      <c r="E375"/>
      <c r="CK375" s="27" t="s">
        <v>8</v>
      </c>
      <c r="CL375" s="27" t="s">
        <v>7</v>
      </c>
      <c r="CM375" s="27" t="s">
        <v>8</v>
      </c>
      <c r="CN375" s="27" t="s">
        <v>7</v>
      </c>
    </row>
    <row r="376" spans="1:94" x14ac:dyDescent="0.25">
      <c r="A376" s="7">
        <v>65.258372979416336</v>
      </c>
      <c r="B376"/>
      <c r="C376"/>
      <c r="D376"/>
      <c r="E376"/>
      <c r="CK376" s="27" t="s">
        <v>8</v>
      </c>
      <c r="CL376" s="27" t="s">
        <v>7</v>
      </c>
      <c r="CM376" s="27" t="s">
        <v>8</v>
      </c>
      <c r="CN376" s="27" t="s">
        <v>7</v>
      </c>
    </row>
    <row r="377" spans="1:94" x14ac:dyDescent="0.25">
      <c r="A377" s="7">
        <v>63.978797038643471</v>
      </c>
      <c r="B377"/>
      <c r="C377"/>
      <c r="D377"/>
      <c r="E377"/>
      <c r="CK377" s="27" t="s">
        <v>8</v>
      </c>
      <c r="CL377" s="27" t="s">
        <v>7</v>
      </c>
      <c r="CM377" s="27" t="s">
        <v>8</v>
      </c>
      <c r="CN377" s="27" t="s">
        <v>7</v>
      </c>
    </row>
    <row r="378" spans="1:94" x14ac:dyDescent="0.25">
      <c r="A378" s="7">
        <v>62.724310822199477</v>
      </c>
      <c r="B378"/>
      <c r="C378"/>
      <c r="D378"/>
      <c r="E378"/>
      <c r="CK378" s="27" t="s">
        <v>8</v>
      </c>
      <c r="CL378" s="27" t="s">
        <v>7</v>
      </c>
      <c r="CM378" s="27" t="s">
        <v>8</v>
      </c>
      <c r="CN378" s="27" t="s">
        <v>7</v>
      </c>
    </row>
    <row r="379" spans="1:94" x14ac:dyDescent="0.25">
      <c r="A379" s="7">
        <v>61.494422374705366</v>
      </c>
      <c r="B379"/>
      <c r="C379"/>
      <c r="D379"/>
      <c r="E379"/>
      <c r="CK379" s="27" t="s">
        <v>8</v>
      </c>
      <c r="CL379" s="27" t="s">
        <v>7</v>
      </c>
      <c r="CM379" s="27" t="s">
        <v>8</v>
      </c>
      <c r="CN379" s="27" t="s">
        <v>7</v>
      </c>
      <c r="CO379" s="27" t="s">
        <v>8</v>
      </c>
    </row>
    <row r="380" spans="1:94" x14ac:dyDescent="0.25">
      <c r="A380" s="7">
        <v>60.288649386966043</v>
      </c>
      <c r="B380"/>
      <c r="C380"/>
      <c r="D380"/>
      <c r="E380"/>
      <c r="CK380" s="27" t="s">
        <v>8</v>
      </c>
      <c r="CL380" s="27" t="s">
        <v>7</v>
      </c>
      <c r="CM380" s="27" t="s">
        <v>8</v>
      </c>
      <c r="CN380" s="27" t="s">
        <v>7</v>
      </c>
      <c r="CO380" s="27" t="s">
        <v>8</v>
      </c>
      <c r="CP380" s="27" t="s">
        <v>7</v>
      </c>
    </row>
    <row r="381" spans="1:94" x14ac:dyDescent="0.25">
      <c r="A381" s="7">
        <v>59.106519006829451</v>
      </c>
      <c r="B381"/>
      <c r="C381"/>
      <c r="D381"/>
      <c r="E381"/>
      <c r="CK381" s="27" t="s">
        <v>8</v>
      </c>
      <c r="CL381" s="27" t="s">
        <v>7</v>
      </c>
      <c r="CM381" s="27" t="s">
        <v>8</v>
      </c>
      <c r="CN381" s="27" t="s">
        <v>7</v>
      </c>
      <c r="CO381" s="27" t="s">
        <v>8</v>
      </c>
      <c r="CP381" s="27" t="s">
        <v>7</v>
      </c>
    </row>
    <row r="382" spans="1:94" x14ac:dyDescent="0.25">
      <c r="A382" s="7">
        <v>57.947567653754362</v>
      </c>
      <c r="B382"/>
      <c r="C382"/>
      <c r="D382"/>
      <c r="E382"/>
      <c r="CK382" s="27" t="s">
        <v>8</v>
      </c>
      <c r="CL382" s="27" t="s">
        <v>7</v>
      </c>
      <c r="CM382" s="27" t="s">
        <v>8</v>
      </c>
      <c r="CN382" s="27" t="s">
        <v>7</v>
      </c>
      <c r="CO382" s="27" t="s">
        <v>8</v>
      </c>
      <c r="CP382" s="27" t="s">
        <v>7</v>
      </c>
    </row>
    <row r="383" spans="1:94" x14ac:dyDescent="0.25">
      <c r="A383" s="7">
        <v>56.811340837014079</v>
      </c>
      <c r="B383"/>
      <c r="C383"/>
      <c r="D383"/>
      <c r="E383"/>
      <c r="CK383" s="27" t="s">
        <v>8</v>
      </c>
      <c r="CL383" s="27" t="s">
        <v>7</v>
      </c>
      <c r="CM383" s="27" t="s">
        <v>8</v>
      </c>
      <c r="CN383" s="27" t="s">
        <v>7</v>
      </c>
      <c r="CO383" s="27" t="s">
        <v>8</v>
      </c>
      <c r="CP383" s="27" t="s">
        <v>7</v>
      </c>
    </row>
    <row r="384" spans="1:94" x14ac:dyDescent="0.25">
      <c r="A384" s="7">
        <v>55.69739297746478</v>
      </c>
      <c r="B384"/>
      <c r="C384"/>
      <c r="D384"/>
      <c r="E384"/>
      <c r="CK384" s="27" t="s">
        <v>8</v>
      </c>
      <c r="CL384" s="27" t="s">
        <v>7</v>
      </c>
      <c r="CM384" s="27" t="s">
        <v>8</v>
      </c>
      <c r="CN384" s="27" t="s">
        <v>7</v>
      </c>
      <c r="CO384" s="27" t="s">
        <v>8</v>
      </c>
      <c r="CP384" s="27" t="s">
        <v>7</v>
      </c>
    </row>
    <row r="385" spans="1:94" x14ac:dyDescent="0.25">
      <c r="A385" s="7">
        <v>54.605287232808607</v>
      </c>
      <c r="B385"/>
      <c r="C385"/>
      <c r="D385"/>
      <c r="E385"/>
      <c r="CK385" s="27" t="s">
        <v>8</v>
      </c>
      <c r="CL385" s="27" t="s">
        <v>7</v>
      </c>
      <c r="CM385" s="27" t="s">
        <v>8</v>
      </c>
      <c r="CN385" s="27" t="s">
        <v>7</v>
      </c>
      <c r="CO385" s="27" t="s">
        <v>8</v>
      </c>
      <c r="CP385" s="27" t="s">
        <v>7</v>
      </c>
    </row>
    <row r="386" spans="1:94" x14ac:dyDescent="0.25">
      <c r="A386" s="7">
        <v>53.534595326282947</v>
      </c>
      <c r="B386"/>
      <c r="C386"/>
      <c r="D386"/>
      <c r="E386"/>
      <c r="CK386" s="27" t="s">
        <v>8</v>
      </c>
      <c r="CL386" s="27" t="s">
        <v>7</v>
      </c>
      <c r="CM386" s="27" t="s">
        <v>8</v>
      </c>
      <c r="CN386" s="27" t="s">
        <v>7</v>
      </c>
      <c r="CO386" s="27" t="s">
        <v>8</v>
      </c>
      <c r="CP386" s="27" t="s">
        <v>7</v>
      </c>
    </row>
    <row r="387" spans="1:94" x14ac:dyDescent="0.25">
      <c r="A387" s="7">
        <v>52.484897378708773</v>
      </c>
      <c r="B387"/>
      <c r="C387"/>
      <c r="D387"/>
      <c r="E387"/>
      <c r="CK387" s="27" t="s">
        <v>8</v>
      </c>
      <c r="CL387" s="27" t="s">
        <v>7</v>
      </c>
      <c r="CM387" s="27" t="s">
        <v>8</v>
      </c>
      <c r="CN387" s="27" t="s">
        <v>7</v>
      </c>
      <c r="CO387" s="27" t="s">
        <v>8</v>
      </c>
      <c r="CP387" s="27" t="s">
        <v>7</v>
      </c>
    </row>
    <row r="388" spans="1:94" x14ac:dyDescent="0.25">
      <c r="A388" s="7">
        <v>51.455781743832127</v>
      </c>
      <c r="B388"/>
      <c r="C388"/>
      <c r="D388"/>
      <c r="E388"/>
      <c r="CK388" s="27" t="s">
        <v>8</v>
      </c>
      <c r="CL388" s="27" t="s">
        <v>7</v>
      </c>
      <c r="CN388" s="27" t="s">
        <v>7</v>
      </c>
      <c r="CO388" s="27" t="s">
        <v>8</v>
      </c>
      <c r="CP388" s="27" t="s">
        <v>7</v>
      </c>
    </row>
    <row r="389" spans="1:94" x14ac:dyDescent="0.25">
      <c r="A389" s="7">
        <v>50.446844846894244</v>
      </c>
      <c r="B389"/>
      <c r="C389"/>
      <c r="D389"/>
      <c r="E389"/>
      <c r="CK389" s="27" t="s">
        <v>8</v>
      </c>
      <c r="CN389" s="27" t="s">
        <v>7</v>
      </c>
      <c r="CO389" s="27" t="s">
        <v>8</v>
      </c>
      <c r="CP389" s="27" t="s">
        <v>7</v>
      </c>
    </row>
    <row r="390" spans="1:94" x14ac:dyDescent="0.25">
      <c r="A390" s="7">
        <v>49.457691026366902</v>
      </c>
      <c r="B390"/>
      <c r="C390"/>
      <c r="D390"/>
      <c r="E390"/>
      <c r="CK390" s="27" t="s">
        <v>8</v>
      </c>
      <c r="CN390" s="27" t="s">
        <v>7</v>
      </c>
      <c r="CO390" s="27" t="s">
        <v>8</v>
      </c>
      <c r="CP390" s="27" t="s">
        <v>7</v>
      </c>
    </row>
    <row r="391" spans="1:94" x14ac:dyDescent="0.25">
      <c r="A391" s="7">
        <v>48.487932378791079</v>
      </c>
      <c r="B391"/>
      <c r="C391"/>
      <c r="D391"/>
      <c r="E391"/>
      <c r="CK391" s="27" t="s">
        <v>8</v>
      </c>
      <c r="CN391" s="27" t="s">
        <v>7</v>
      </c>
      <c r="CO391" s="27" t="s">
        <v>8</v>
      </c>
      <c r="CP391" s="27" t="s">
        <v>7</v>
      </c>
    </row>
    <row r="392" spans="1:94" x14ac:dyDescent="0.25">
      <c r="A392" s="7">
        <v>47.537188606657921</v>
      </c>
      <c r="B392"/>
      <c r="C392"/>
      <c r="D392"/>
      <c r="E392"/>
      <c r="CK392" s="27" t="s">
        <v>8</v>
      </c>
      <c r="CN392" s="27" t="s">
        <v>7</v>
      </c>
      <c r="CO392" s="27" t="s">
        <v>8</v>
      </c>
      <c r="CP392" s="27" t="s">
        <v>7</v>
      </c>
    </row>
    <row r="393" spans="1:94" x14ac:dyDescent="0.25">
      <c r="A393" s="7">
        <v>46.605086869272469</v>
      </c>
      <c r="B393"/>
      <c r="C393"/>
      <c r="D393"/>
      <c r="E393"/>
      <c r="CK393" s="27" t="s">
        <v>8</v>
      </c>
      <c r="CN393" s="27" t="s">
        <v>7</v>
      </c>
      <c r="CO393" s="27" t="s">
        <v>8</v>
      </c>
      <c r="CP393" s="27" t="s">
        <v>7</v>
      </c>
    </row>
    <row r="394" spans="1:94" x14ac:dyDescent="0.25">
      <c r="A394" s="7">
        <v>45.691261636541633</v>
      </c>
      <c r="B394"/>
      <c r="C394"/>
      <c r="D394"/>
      <c r="E394"/>
      <c r="CK394" s="27" t="s">
        <v>8</v>
      </c>
      <c r="CN394" s="27" t="s">
        <v>7</v>
      </c>
      <c r="CO394" s="27" t="s">
        <v>8</v>
      </c>
      <c r="CP394" s="27" t="s">
        <v>7</v>
      </c>
    </row>
    <row r="395" spans="1:94" x14ac:dyDescent="0.25">
      <c r="A395" s="7">
        <v>44.795354545629053</v>
      </c>
      <c r="B395"/>
      <c r="C395"/>
      <c r="D395"/>
      <c r="E395"/>
      <c r="CK395" s="27" t="s">
        <v>8</v>
      </c>
      <c r="CN395" s="27" t="s">
        <v>7</v>
      </c>
      <c r="CO395" s="27" t="s">
        <v>8</v>
      </c>
      <c r="CP395" s="27" t="s">
        <v>7</v>
      </c>
    </row>
    <row r="396" spans="1:94" x14ac:dyDescent="0.25">
      <c r="A396" s="7">
        <v>43.917014260420636</v>
      </c>
      <c r="B396"/>
      <c r="C396"/>
      <c r="D396"/>
      <c r="E396"/>
      <c r="CK396" s="27" t="s">
        <v>8</v>
      </c>
      <c r="CN396" s="27" t="s">
        <v>7</v>
      </c>
      <c r="CO396" s="27" t="s">
        <v>8</v>
      </c>
      <c r="CP396" s="27" t="s">
        <v>7</v>
      </c>
    </row>
    <row r="397" spans="1:94" x14ac:dyDescent="0.25">
      <c r="A397" s="7">
        <v>43.055896333745721</v>
      </c>
      <c r="B397"/>
      <c r="C397"/>
      <c r="D397"/>
      <c r="E397"/>
      <c r="CK397" s="27" t="s">
        <v>8</v>
      </c>
      <c r="CN397" s="27" t="s">
        <v>7</v>
      </c>
      <c r="CO397" s="27" t="s">
        <v>8</v>
      </c>
      <c r="CP397" s="27" t="s">
        <v>7</v>
      </c>
    </row>
    <row r="398" spans="1:94" x14ac:dyDescent="0.25">
      <c r="A398" s="7">
        <v>42.211663072299729</v>
      </c>
      <c r="B398"/>
      <c r="C398"/>
      <c r="D398"/>
      <c r="E398"/>
      <c r="CK398" s="27" t="s">
        <v>8</v>
      </c>
      <c r="CN398" s="27" t="s">
        <v>7</v>
      </c>
      <c r="CO398" s="27" t="s">
        <v>8</v>
      </c>
      <c r="CP398" s="27" t="s">
        <v>7</v>
      </c>
    </row>
    <row r="399" spans="1:94" x14ac:dyDescent="0.25">
      <c r="A399" s="7">
        <v>41.383983404215421</v>
      </c>
      <c r="B399"/>
      <c r="C399"/>
      <c r="D399"/>
      <c r="E399"/>
      <c r="CK399" s="27" t="s">
        <v>8</v>
      </c>
      <c r="CN399" s="27" t="s">
        <v>7</v>
      </c>
      <c r="CO399" s="27" t="s">
        <v>8</v>
      </c>
      <c r="CP399" s="27" t="s">
        <v>7</v>
      </c>
    </row>
    <row r="400" spans="1:94" x14ac:dyDescent="0.25">
      <c r="A400" s="7">
        <v>40.572532749230803</v>
      </c>
      <c r="B400"/>
      <c r="C400"/>
      <c r="D400"/>
      <c r="E400"/>
      <c r="CK400" s="27" t="s">
        <v>8</v>
      </c>
      <c r="CN400" s="27" t="s">
        <v>7</v>
      </c>
      <c r="CO400" s="27" t="s">
        <v>8</v>
      </c>
      <c r="CP400" s="27" t="s">
        <v>7</v>
      </c>
    </row>
    <row r="401" spans="1:150" x14ac:dyDescent="0.25">
      <c r="A401" s="7">
        <v>39.776992891402749</v>
      </c>
      <c r="B401"/>
      <c r="C401"/>
      <c r="D401"/>
      <c r="E401"/>
      <c r="CK401" s="27" t="s">
        <v>8</v>
      </c>
      <c r="CN401" s="27" t="s">
        <v>7</v>
      </c>
      <c r="CO401" s="27" t="s">
        <v>8</v>
      </c>
      <c r="CP401" s="27" t="s">
        <v>7</v>
      </c>
    </row>
    <row r="402" spans="1:150" x14ac:dyDescent="0.25">
      <c r="A402" s="7">
        <v>38.997051854316418</v>
      </c>
      <c r="B402"/>
      <c r="C402"/>
      <c r="D402"/>
      <c r="E402"/>
      <c r="CK402" s="27" t="s">
        <v>8</v>
      </c>
      <c r="CN402" s="27" t="s">
        <v>7</v>
      </c>
      <c r="CO402" s="27" t="s">
        <v>8</v>
      </c>
      <c r="CP402" s="27" t="s">
        <v>7</v>
      </c>
    </row>
    <row r="403" spans="1:150" x14ac:dyDescent="0.25">
      <c r="A403" s="7">
        <v>38.232403778741585</v>
      </c>
      <c r="B403"/>
      <c r="C403"/>
      <c r="D403"/>
      <c r="E403"/>
      <c r="CK403" s="27" t="s">
        <v>8</v>
      </c>
      <c r="CN403" s="27" t="s">
        <v>7</v>
      </c>
      <c r="CO403" s="27" t="s">
        <v>8</v>
      </c>
      <c r="CP403" s="27" t="s">
        <v>7</v>
      </c>
    </row>
    <row r="404" spans="1:150" x14ac:dyDescent="0.25">
      <c r="A404" s="7">
        <v>37.48274880268783</v>
      </c>
      <c r="B404"/>
      <c r="C404"/>
      <c r="D404"/>
      <c r="E404"/>
      <c r="CK404" s="27" t="s">
        <v>8</v>
      </c>
      <c r="CN404" s="27" t="s">
        <v>7</v>
      </c>
      <c r="CO404" s="27" t="s">
        <v>8</v>
      </c>
      <c r="CP404" s="27" t="s">
        <v>7</v>
      </c>
    </row>
    <row r="405" spans="1:150" x14ac:dyDescent="0.25">
      <c r="A405" s="7">
        <v>36.747792943811596</v>
      </c>
      <c r="B405"/>
      <c r="C405"/>
      <c r="D405"/>
      <c r="E405"/>
      <c r="CK405" s="27" t="s">
        <v>8</v>
      </c>
      <c r="CN405" s="27" t="s">
        <v>7</v>
      </c>
      <c r="CO405" s="27" t="s">
        <v>8</v>
      </c>
      <c r="CP405" s="27" t="s">
        <v>7</v>
      </c>
    </row>
    <row r="406" spans="1:150" x14ac:dyDescent="0.25">
      <c r="A406" s="7">
        <v>36.027247984129012</v>
      </c>
      <c r="B406"/>
      <c r="C406"/>
      <c r="D406"/>
      <c r="E406"/>
      <c r="CK406" s="27" t="s">
        <v>8</v>
      </c>
      <c r="CN406" s="27" t="s">
        <v>7</v>
      </c>
      <c r="CO406" s="27" t="s">
        <v>8</v>
      </c>
      <c r="CP406" s="27" t="s">
        <v>7</v>
      </c>
      <c r="CQ406" s="27" t="s">
        <v>8</v>
      </c>
    </row>
    <row r="407" spans="1:150" x14ac:dyDescent="0.25">
      <c r="A407" s="7">
        <v>35.320831356989224</v>
      </c>
      <c r="B407"/>
      <c r="C407"/>
      <c r="D407"/>
      <c r="E407"/>
      <c r="CK407" s="27" t="s">
        <v>8</v>
      </c>
      <c r="CN407" s="27" t="s">
        <v>7</v>
      </c>
      <c r="CO407" s="27" t="s">
        <v>8</v>
      </c>
      <c r="CP407" s="27" t="s">
        <v>7</v>
      </c>
      <c r="CQ407" s="27" t="s">
        <v>8</v>
      </c>
      <c r="CR407" s="27" t="s">
        <v>7</v>
      </c>
    </row>
    <row r="408" spans="1:150" x14ac:dyDescent="0.25">
      <c r="A408" s="7">
        <v>34.628266036263945</v>
      </c>
      <c r="B408"/>
      <c r="C408"/>
      <c r="D408"/>
      <c r="E408"/>
      <c r="CK408" s="27" t="s">
        <v>8</v>
      </c>
      <c r="CN408" s="27" t="s">
        <v>7</v>
      </c>
      <c r="CO408" s="27" t="s">
        <v>8</v>
      </c>
      <c r="CP408" s="27" t="s">
        <v>7</v>
      </c>
      <c r="CQ408" s="27" t="s">
        <v>8</v>
      </c>
      <c r="CR408" s="27" t="s">
        <v>7</v>
      </c>
    </row>
    <row r="409" spans="1:150" x14ac:dyDescent="0.25">
      <c r="A409" s="7">
        <v>33.949280427709752</v>
      </c>
      <c r="B409"/>
      <c r="C409"/>
      <c r="D409"/>
      <c r="E409"/>
      <c r="CK409" s="27" t="s">
        <v>8</v>
      </c>
      <c r="CN409" s="27" t="s">
        <v>7</v>
      </c>
      <c r="CO409" s="27" t="s">
        <v>8</v>
      </c>
      <c r="CP409" s="27" t="s">
        <v>7</v>
      </c>
      <c r="CQ409" s="27" t="s">
        <v>8</v>
      </c>
      <c r="CR409" s="27" t="s">
        <v>7</v>
      </c>
      <c r="ES409" s="27" t="s">
        <v>8</v>
      </c>
    </row>
    <row r="410" spans="1:150" x14ac:dyDescent="0.25">
      <c r="A410" s="7">
        <v>33.28360826246054</v>
      </c>
      <c r="B410"/>
      <c r="C410"/>
      <c r="D410"/>
      <c r="E410"/>
      <c r="CK410" s="27" t="s">
        <v>8</v>
      </c>
      <c r="CN410" s="27" t="s">
        <v>7</v>
      </c>
      <c r="CO410" s="27" t="s">
        <v>8</v>
      </c>
      <c r="CP410" s="27" t="s">
        <v>7</v>
      </c>
      <c r="CQ410" s="27" t="s">
        <v>8</v>
      </c>
      <c r="CR410" s="27" t="s">
        <v>7</v>
      </c>
      <c r="ES410" s="27" t="s">
        <v>8</v>
      </c>
      <c r="ET410" s="27" t="s">
        <v>7</v>
      </c>
    </row>
    <row r="411" spans="1:150" x14ac:dyDescent="0.25">
      <c r="A411" s="7">
        <v>32.630988492608374</v>
      </c>
      <c r="B411"/>
      <c r="C411"/>
      <c r="D411"/>
      <c r="E411"/>
      <c r="CK411" s="27" t="s">
        <v>8</v>
      </c>
      <c r="CN411" s="27" t="s">
        <v>7</v>
      </c>
      <c r="CO411" s="27" t="s">
        <v>8</v>
      </c>
      <c r="CP411" s="27" t="s">
        <v>7</v>
      </c>
      <c r="CQ411" s="27" t="s">
        <v>8</v>
      </c>
      <c r="CR411" s="27" t="s">
        <v>7</v>
      </c>
      <c r="ES411" s="27" t="s">
        <v>8</v>
      </c>
      <c r="ET411" s="27" t="s">
        <v>7</v>
      </c>
    </row>
    <row r="412" spans="1:150" x14ac:dyDescent="0.25">
      <c r="A412" s="7">
        <v>31.99116518883174</v>
      </c>
      <c r="B412"/>
      <c r="C412"/>
      <c r="D412"/>
      <c r="E412"/>
      <c r="CK412" s="27" t="s">
        <v>8</v>
      </c>
      <c r="CN412" s="27" t="s">
        <v>7</v>
      </c>
      <c r="CO412" s="27" t="s">
        <v>8</v>
      </c>
      <c r="CP412" s="27" t="s">
        <v>7</v>
      </c>
      <c r="CQ412" s="27" t="s">
        <v>8</v>
      </c>
      <c r="CR412" s="27" t="s">
        <v>7</v>
      </c>
      <c r="ES412" s="27" t="s">
        <v>8</v>
      </c>
      <c r="ET412" s="27" t="s">
        <v>7</v>
      </c>
    </row>
    <row r="413" spans="1:150" x14ac:dyDescent="0.25">
      <c r="A413" s="7">
        <v>31.363887440031117</v>
      </c>
      <c r="B413"/>
      <c r="C413"/>
      <c r="D413"/>
      <c r="E413"/>
      <c r="AU413" s="27" t="s">
        <v>8</v>
      </c>
      <c r="CK413" s="27" t="s">
        <v>8</v>
      </c>
      <c r="CN413" s="27" t="s">
        <v>7</v>
      </c>
      <c r="CP413" s="27" t="s">
        <v>7</v>
      </c>
      <c r="CQ413" s="27" t="s">
        <v>8</v>
      </c>
      <c r="CR413" s="27" t="s">
        <v>7</v>
      </c>
      <c r="ES413" s="27" t="s">
        <v>8</v>
      </c>
      <c r="ET413" s="27" t="s">
        <v>7</v>
      </c>
    </row>
    <row r="414" spans="1:150" x14ac:dyDescent="0.25">
      <c r="A414" s="7">
        <v>30.748909254932467</v>
      </c>
      <c r="B414"/>
      <c r="C414"/>
      <c r="D414"/>
      <c r="E414"/>
      <c r="AU414" s="27" t="s">
        <v>8</v>
      </c>
      <c r="AV414" s="27" t="s">
        <v>7</v>
      </c>
      <c r="CK414" s="27" t="s">
        <v>8</v>
      </c>
      <c r="CP414" s="27" t="s">
        <v>7</v>
      </c>
      <c r="CQ414" s="27" t="s">
        <v>8</v>
      </c>
      <c r="CR414" s="27" t="s">
        <v>7</v>
      </c>
      <c r="ES414" s="27" t="s">
        <v>8</v>
      </c>
      <c r="ET414" s="27" t="s">
        <v>7</v>
      </c>
    </row>
    <row r="415" spans="1:150" x14ac:dyDescent="0.25">
      <c r="A415" s="7">
        <v>30.145989465620065</v>
      </c>
      <c r="B415"/>
      <c r="C415"/>
      <c r="D415"/>
      <c r="E415"/>
      <c r="AU415" s="27" t="s">
        <v>8</v>
      </c>
      <c r="AV415" s="27" t="s">
        <v>7</v>
      </c>
      <c r="CK415" s="27" t="s">
        <v>8</v>
      </c>
      <c r="CP415" s="27" t="s">
        <v>7</v>
      </c>
      <c r="CQ415" s="27" t="s">
        <v>8</v>
      </c>
      <c r="CR415" s="27" t="s">
        <v>7</v>
      </c>
      <c r="ES415" s="27" t="s">
        <v>8</v>
      </c>
      <c r="ET415" s="27" t="s">
        <v>7</v>
      </c>
    </row>
    <row r="416" spans="1:150" x14ac:dyDescent="0.25">
      <c r="A416" s="7">
        <v>29.55489163296085</v>
      </c>
      <c r="B416"/>
      <c r="C416"/>
      <c r="D416"/>
      <c r="E416"/>
      <c r="AS416" s="27" t="s">
        <v>8</v>
      </c>
      <c r="AU416" s="27" t="s">
        <v>8</v>
      </c>
      <c r="AV416" s="27" t="s">
        <v>7</v>
      </c>
      <c r="CK416" s="27" t="s">
        <v>8</v>
      </c>
      <c r="CP416" s="27" t="s">
        <v>7</v>
      </c>
      <c r="CQ416" s="27" t="s">
        <v>8</v>
      </c>
      <c r="CR416" s="27" t="s">
        <v>7</v>
      </c>
      <c r="ES416" s="27" t="s">
        <v>8</v>
      </c>
      <c r="ET416" s="27" t="s">
        <v>7</v>
      </c>
    </row>
    <row r="417" spans="1:180" x14ac:dyDescent="0.25">
      <c r="A417" s="7">
        <v>28.975383953883185</v>
      </c>
      <c r="B417"/>
      <c r="C417"/>
      <c r="D417"/>
      <c r="E417"/>
      <c r="AS417" s="27" t="s">
        <v>8</v>
      </c>
      <c r="AT417" s="27" t="s">
        <v>7</v>
      </c>
      <c r="AU417" s="27" t="s">
        <v>8</v>
      </c>
      <c r="AV417" s="27" t="s">
        <v>7</v>
      </c>
      <c r="CK417" s="27" t="s">
        <v>8</v>
      </c>
      <c r="CP417" s="27" t="s">
        <v>7</v>
      </c>
      <c r="CQ417" s="27" t="s">
        <v>8</v>
      </c>
      <c r="CR417" s="27" t="s">
        <v>7</v>
      </c>
      <c r="ES417" s="27" t="s">
        <v>8</v>
      </c>
      <c r="ET417" s="27" t="s">
        <v>7</v>
      </c>
    </row>
    <row r="418" spans="1:180" x14ac:dyDescent="0.25">
      <c r="A418" s="7">
        <v>28.407239170473709</v>
      </c>
      <c r="B418"/>
      <c r="C418"/>
      <c r="D418"/>
      <c r="E418"/>
      <c r="AS418" s="27" t="s">
        <v>8</v>
      </c>
      <c r="AT418" s="27" t="s">
        <v>7</v>
      </c>
      <c r="AU418" s="27" t="s">
        <v>8</v>
      </c>
      <c r="AV418" s="27" t="s">
        <v>7</v>
      </c>
      <c r="CK418" s="27" t="s">
        <v>8</v>
      </c>
      <c r="CP418" s="27" t="s">
        <v>7</v>
      </c>
      <c r="CR418" s="27" t="s">
        <v>7</v>
      </c>
      <c r="ES418" s="27" t="s">
        <v>8</v>
      </c>
      <c r="ET418" s="27" t="s">
        <v>7</v>
      </c>
    </row>
    <row r="419" spans="1:180" x14ac:dyDescent="0.25">
      <c r="A419" s="7">
        <v>27.850234480856578</v>
      </c>
      <c r="B419"/>
      <c r="C419"/>
      <c r="D419"/>
      <c r="E419"/>
      <c r="AS419" s="27" t="s">
        <v>8</v>
      </c>
      <c r="AT419" s="27" t="s">
        <v>7</v>
      </c>
      <c r="AU419" s="27" t="s">
        <v>8</v>
      </c>
      <c r="AV419" s="27" t="s">
        <v>7</v>
      </c>
      <c r="CK419" s="27" t="s">
        <v>8</v>
      </c>
      <c r="CR419" s="27" t="s">
        <v>7</v>
      </c>
      <c r="CS419" s="27" t="s">
        <v>8</v>
      </c>
      <c r="ES419" s="27" t="s">
        <v>8</v>
      </c>
      <c r="ET419" s="27" t="s">
        <v>7</v>
      </c>
    </row>
    <row r="420" spans="1:180" x14ac:dyDescent="0.25">
      <c r="A420" s="7">
        <v>27.304151451820175</v>
      </c>
      <c r="B420"/>
      <c r="C420"/>
      <c r="D420"/>
      <c r="E420"/>
      <c r="AS420" s="27" t="s">
        <v>8</v>
      </c>
      <c r="AT420" s="27" t="s">
        <v>7</v>
      </c>
      <c r="AU420" s="27" t="s">
        <v>8</v>
      </c>
      <c r="AV420" s="27" t="s">
        <v>7</v>
      </c>
      <c r="AW420" s="27" t="s">
        <v>8</v>
      </c>
      <c r="CK420" s="27" t="s">
        <v>8</v>
      </c>
      <c r="CR420" s="27" t="s">
        <v>7</v>
      </c>
      <c r="CS420" s="27" t="s">
        <v>8</v>
      </c>
      <c r="CT420" s="27" t="s">
        <v>7</v>
      </c>
      <c r="ES420" s="27" t="s">
        <v>8</v>
      </c>
      <c r="ET420" s="27" t="s">
        <v>7</v>
      </c>
    </row>
    <row r="421" spans="1:180" x14ac:dyDescent="0.25">
      <c r="A421" s="7">
        <v>26.768775933157034</v>
      </c>
      <c r="B421"/>
      <c r="C421"/>
      <c r="D421"/>
      <c r="E421"/>
      <c r="AS421" s="27" t="s">
        <v>8</v>
      </c>
      <c r="AT421" s="27" t="s">
        <v>7</v>
      </c>
      <c r="AU421" s="27" t="s">
        <v>8</v>
      </c>
      <c r="AV421" s="27" t="s">
        <v>7</v>
      </c>
      <c r="AW421" s="27" t="s">
        <v>8</v>
      </c>
      <c r="AX421" s="27" t="s">
        <v>7</v>
      </c>
      <c r="AY421" s="27" t="s">
        <v>8</v>
      </c>
      <c r="CK421" s="27" t="s">
        <v>8</v>
      </c>
      <c r="CR421" s="27" t="s">
        <v>7</v>
      </c>
      <c r="CS421" s="27" t="s">
        <v>8</v>
      </c>
      <c r="CT421" s="27" t="s">
        <v>7</v>
      </c>
      <c r="ES421" s="27" t="s">
        <v>8</v>
      </c>
      <c r="ET421" s="27" t="s">
        <v>7</v>
      </c>
    </row>
    <row r="422" spans="1:180" x14ac:dyDescent="0.25">
      <c r="A422" s="7">
        <v>26.243897973683367</v>
      </c>
      <c r="B422"/>
      <c r="C422"/>
      <c r="D422"/>
      <c r="E422"/>
      <c r="AS422" s="27" t="s">
        <v>8</v>
      </c>
      <c r="AT422" s="27" t="s">
        <v>7</v>
      </c>
      <c r="AU422" s="27" t="s">
        <v>8</v>
      </c>
      <c r="AV422" s="27" t="s">
        <v>7</v>
      </c>
      <c r="AW422" s="27" t="s">
        <v>8</v>
      </c>
      <c r="AX422" s="27" t="s">
        <v>7</v>
      </c>
      <c r="AY422" s="27" t="s">
        <v>8</v>
      </c>
      <c r="AZ422" s="27" t="s">
        <v>7</v>
      </c>
      <c r="CK422" s="27" t="s">
        <v>8</v>
      </c>
      <c r="CR422" s="27" t="s">
        <v>7</v>
      </c>
      <c r="CS422" s="27" t="s">
        <v>8</v>
      </c>
      <c r="CT422" s="27" t="s">
        <v>7</v>
      </c>
      <c r="ES422" s="27" t="s">
        <v>8</v>
      </c>
      <c r="ET422" s="27" t="s">
        <v>7</v>
      </c>
    </row>
    <row r="423" spans="1:180" x14ac:dyDescent="0.25">
      <c r="A423" s="7">
        <v>25.729311738905263</v>
      </c>
      <c r="B423"/>
      <c r="C423"/>
      <c r="D423"/>
      <c r="E423"/>
      <c r="AS423" s="27" t="s">
        <v>8</v>
      </c>
      <c r="AT423" s="27" t="s">
        <v>7</v>
      </c>
      <c r="AU423" s="27" t="s">
        <v>8</v>
      </c>
      <c r="AV423" s="27" t="s">
        <v>7</v>
      </c>
      <c r="AW423" s="27" t="s">
        <v>8</v>
      </c>
      <c r="AX423" s="27" t="s">
        <v>7</v>
      </c>
      <c r="AY423" s="27" t="s">
        <v>8</v>
      </c>
      <c r="AZ423" s="27" t="s">
        <v>7</v>
      </c>
      <c r="CK423" s="27" t="s">
        <v>8</v>
      </c>
      <c r="CR423" s="27" t="s">
        <v>7</v>
      </c>
      <c r="CS423" s="27" t="s">
        <v>8</v>
      </c>
      <c r="CT423" s="27" t="s">
        <v>7</v>
      </c>
      <c r="ES423" s="27" t="s">
        <v>8</v>
      </c>
      <c r="ET423" s="27" t="s">
        <v>7</v>
      </c>
    </row>
    <row r="424" spans="1:180" x14ac:dyDescent="0.25">
      <c r="A424" s="7">
        <v>25.224815430299277</v>
      </c>
      <c r="B424"/>
      <c r="C424"/>
      <c r="D424"/>
      <c r="E424"/>
      <c r="AS424" s="27" t="s">
        <v>8</v>
      </c>
      <c r="AT424" s="27" t="s">
        <v>7</v>
      </c>
      <c r="AU424" s="27" t="s">
        <v>8</v>
      </c>
      <c r="AV424" s="27" t="s">
        <v>7</v>
      </c>
      <c r="AW424" s="27" t="s">
        <v>8</v>
      </c>
      <c r="AX424" s="27" t="s">
        <v>7</v>
      </c>
      <c r="AY424" s="27" t="s">
        <v>8</v>
      </c>
      <c r="AZ424" s="27" t="s">
        <v>7</v>
      </c>
      <c r="CK424" s="27" t="s">
        <v>8</v>
      </c>
      <c r="CR424" s="27" t="s">
        <v>7</v>
      </c>
      <c r="CS424" s="27" t="s">
        <v>8</v>
      </c>
      <c r="CT424" s="27" t="s">
        <v>7</v>
      </c>
      <c r="ES424" s="27" t="s">
        <v>8</v>
      </c>
      <c r="ET424" s="27" t="s">
        <v>7</v>
      </c>
    </row>
    <row r="425" spans="1:180" x14ac:dyDescent="0.25">
      <c r="A425" s="7">
        <v>24.73021120617576</v>
      </c>
      <c r="B425"/>
      <c r="C425"/>
      <c r="D425"/>
      <c r="E425"/>
      <c r="AS425" s="27" t="s">
        <v>8</v>
      </c>
      <c r="AT425" s="27" t="s">
        <v>7</v>
      </c>
      <c r="AU425" s="27" t="s">
        <v>8</v>
      </c>
      <c r="AV425" s="27" t="s">
        <v>7</v>
      </c>
      <c r="AW425" s="27" t="s">
        <v>8</v>
      </c>
      <c r="AX425" s="27" t="s">
        <v>7</v>
      </c>
      <c r="AY425" s="27" t="s">
        <v>8</v>
      </c>
      <c r="AZ425" s="27" t="s">
        <v>7</v>
      </c>
      <c r="CK425" s="27" t="s">
        <v>8</v>
      </c>
      <c r="CR425" s="27" t="s">
        <v>7</v>
      </c>
      <c r="CS425" s="27" t="s">
        <v>8</v>
      </c>
      <c r="CT425" s="27" t="s">
        <v>7</v>
      </c>
      <c r="CW425" s="27" t="s">
        <v>8</v>
      </c>
      <c r="ES425" s="27" t="s">
        <v>8</v>
      </c>
      <c r="ET425" s="27" t="s">
        <v>7</v>
      </c>
    </row>
    <row r="426" spans="1:180" x14ac:dyDescent="0.25">
      <c r="A426" s="7">
        <v>24.24530510409388</v>
      </c>
      <c r="B426"/>
      <c r="C426"/>
      <c r="D426"/>
      <c r="E426"/>
      <c r="AS426" s="27" t="s">
        <v>8</v>
      </c>
      <c r="AT426" s="27" t="s">
        <v>7</v>
      </c>
      <c r="AU426" s="27" t="s">
        <v>8</v>
      </c>
      <c r="AV426" s="27" t="s">
        <v>7</v>
      </c>
      <c r="AW426" s="27" t="s">
        <v>8</v>
      </c>
      <c r="AX426" s="27" t="s">
        <v>7</v>
      </c>
      <c r="AY426" s="27" t="s">
        <v>8</v>
      </c>
      <c r="AZ426" s="27" t="s">
        <v>7</v>
      </c>
      <c r="CK426" s="27" t="s">
        <v>8</v>
      </c>
      <c r="CR426" s="27" t="s">
        <v>7</v>
      </c>
      <c r="CS426" s="27" t="s">
        <v>8</v>
      </c>
      <c r="CT426" s="27" t="s">
        <v>7</v>
      </c>
      <c r="CW426" s="27" t="s">
        <v>8</v>
      </c>
      <c r="CX426" s="27" t="s">
        <v>7</v>
      </c>
      <c r="ES426" s="27" t="s">
        <v>8</v>
      </c>
      <c r="ET426" s="27" t="s">
        <v>7</v>
      </c>
    </row>
    <row r="427" spans="1:180" x14ac:dyDescent="0.25">
      <c r="A427" s="7">
        <v>23.769906964797922</v>
      </c>
      <c r="B427"/>
      <c r="C427"/>
      <c r="D427"/>
      <c r="E427"/>
      <c r="AS427" s="27" t="s">
        <v>8</v>
      </c>
      <c r="AT427" s="27" t="s">
        <v>7</v>
      </c>
      <c r="AU427" s="27" t="s">
        <v>8</v>
      </c>
      <c r="AV427" s="27" t="s">
        <v>7</v>
      </c>
      <c r="AW427" s="27" t="s">
        <v>8</v>
      </c>
      <c r="AX427" s="27" t="s">
        <v>7</v>
      </c>
      <c r="AY427" s="27" t="s">
        <v>8</v>
      </c>
      <c r="AZ427" s="27" t="s">
        <v>7</v>
      </c>
      <c r="CK427" s="27" t="s">
        <v>8</v>
      </c>
      <c r="CR427" s="27" t="s">
        <v>7</v>
      </c>
      <c r="CS427" s="27" t="s">
        <v>8</v>
      </c>
      <c r="CT427" s="27" t="s">
        <v>7</v>
      </c>
      <c r="CW427" s="27" t="s">
        <v>8</v>
      </c>
      <c r="CX427" s="27" t="s">
        <v>7</v>
      </c>
      <c r="EI427" s="27" t="s">
        <v>8</v>
      </c>
      <c r="EK427" s="27" t="s">
        <v>8</v>
      </c>
      <c r="ES427" s="27" t="s">
        <v>8</v>
      </c>
      <c r="ET427" s="27" t="s">
        <v>7</v>
      </c>
      <c r="FW427" s="27" t="s">
        <v>8</v>
      </c>
    </row>
    <row r="428" spans="1:180" x14ac:dyDescent="0.25">
      <c r="A428" s="7">
        <v>23.303830357645023</v>
      </c>
      <c r="B428"/>
      <c r="C428"/>
      <c r="D428"/>
      <c r="E428"/>
      <c r="AS428" s="27" t="s">
        <v>8</v>
      </c>
      <c r="AT428" s="27" t="s">
        <v>7</v>
      </c>
      <c r="AU428" s="27" t="s">
        <v>8</v>
      </c>
      <c r="AV428" s="27" t="s">
        <v>7</v>
      </c>
      <c r="AW428" s="27" t="s">
        <v>8</v>
      </c>
      <c r="AX428" s="27" t="s">
        <v>7</v>
      </c>
      <c r="AY428" s="27" t="s">
        <v>8</v>
      </c>
      <c r="AZ428" s="27" t="s">
        <v>7</v>
      </c>
      <c r="CK428" s="27" t="s">
        <v>8</v>
      </c>
      <c r="CR428" s="27" t="s">
        <v>7</v>
      </c>
      <c r="CS428" s="27" t="s">
        <v>8</v>
      </c>
      <c r="CT428" s="27" t="s">
        <v>7</v>
      </c>
      <c r="CW428" s="27" t="s">
        <v>8</v>
      </c>
      <c r="CX428" s="27" t="s">
        <v>7</v>
      </c>
      <c r="EI428" s="27" t="s">
        <v>8</v>
      </c>
      <c r="EJ428" s="27" t="s">
        <v>7</v>
      </c>
      <c r="EK428" s="27" t="s">
        <v>8</v>
      </c>
      <c r="EL428" s="27" t="s">
        <v>7</v>
      </c>
      <c r="EM428" s="27" t="s">
        <v>8</v>
      </c>
      <c r="ES428" s="27" t="s">
        <v>8</v>
      </c>
      <c r="ET428" s="27" t="s">
        <v>7</v>
      </c>
      <c r="FQ428" s="27" t="s">
        <v>8</v>
      </c>
      <c r="FW428" s="27" t="s">
        <v>8</v>
      </c>
      <c r="FX428" s="27" t="s">
        <v>7</v>
      </c>
    </row>
    <row r="429" spans="1:180" x14ac:dyDescent="0.25">
      <c r="A429" s="7">
        <v>22.84689250749512</v>
      </c>
      <c r="B429"/>
      <c r="C429"/>
      <c r="D429"/>
      <c r="E429"/>
      <c r="AS429" s="27" t="s">
        <v>8</v>
      </c>
      <c r="AT429" s="27" t="s">
        <v>7</v>
      </c>
      <c r="AU429" s="27" t="s">
        <v>8</v>
      </c>
      <c r="AV429" s="27" t="s">
        <v>7</v>
      </c>
      <c r="AW429" s="27" t="s">
        <v>8</v>
      </c>
      <c r="AX429" s="27" t="s">
        <v>7</v>
      </c>
      <c r="AY429" s="27" t="s">
        <v>8</v>
      </c>
      <c r="AZ429" s="27" t="s">
        <v>7</v>
      </c>
      <c r="CK429" s="27" t="s">
        <v>8</v>
      </c>
      <c r="CR429" s="27" t="s">
        <v>7</v>
      </c>
      <c r="CS429" s="27" t="s">
        <v>8</v>
      </c>
      <c r="CT429" s="27" t="s">
        <v>7</v>
      </c>
      <c r="CW429" s="27" t="s">
        <v>8</v>
      </c>
      <c r="CX429" s="27" t="s">
        <v>7</v>
      </c>
      <c r="EI429" s="27" t="s">
        <v>8</v>
      </c>
      <c r="EJ429" s="27" t="s">
        <v>7</v>
      </c>
      <c r="EK429" s="27" t="s">
        <v>8</v>
      </c>
      <c r="EL429" s="27" t="s">
        <v>7</v>
      </c>
      <c r="EM429" s="27" t="s">
        <v>8</v>
      </c>
      <c r="EN429" s="27" t="s">
        <v>7</v>
      </c>
      <c r="ES429" s="27" t="s">
        <v>8</v>
      </c>
      <c r="ET429" s="27" t="s">
        <v>7</v>
      </c>
      <c r="FQ429" s="27" t="s">
        <v>8</v>
      </c>
      <c r="FR429" s="27" t="s">
        <v>7</v>
      </c>
      <c r="FW429" s="27" t="s">
        <v>8</v>
      </c>
      <c r="FX429" s="27" t="s">
        <v>7</v>
      </c>
    </row>
    <row r="430" spans="1:180" x14ac:dyDescent="0.25">
      <c r="A430" s="7">
        <v>22.398914223034431</v>
      </c>
      <c r="B430"/>
      <c r="C430"/>
      <c r="D430"/>
      <c r="E430"/>
      <c r="AS430" s="27" t="s">
        <v>8</v>
      </c>
      <c r="AT430" s="27" t="s">
        <v>7</v>
      </c>
      <c r="AU430" s="27" t="s">
        <v>8</v>
      </c>
      <c r="AV430" s="27" t="s">
        <v>7</v>
      </c>
      <c r="AW430" s="27" t="s">
        <v>8</v>
      </c>
      <c r="AX430" s="27" t="s">
        <v>7</v>
      </c>
      <c r="AY430" s="27" t="s">
        <v>8</v>
      </c>
      <c r="AZ430" s="27" t="s">
        <v>7</v>
      </c>
      <c r="CK430" s="27" t="s">
        <v>8</v>
      </c>
      <c r="CR430" s="27" t="s">
        <v>7</v>
      </c>
      <c r="CT430" s="27" t="s">
        <v>7</v>
      </c>
      <c r="CW430" s="27" t="s">
        <v>8</v>
      </c>
      <c r="CX430" s="27" t="s">
        <v>7</v>
      </c>
      <c r="EI430" s="27" t="s">
        <v>8</v>
      </c>
      <c r="EJ430" s="27" t="s">
        <v>7</v>
      </c>
      <c r="EK430" s="27" t="s">
        <v>8</v>
      </c>
      <c r="EL430" s="27" t="s">
        <v>7</v>
      </c>
      <c r="EM430" s="27" t="s">
        <v>8</v>
      </c>
      <c r="EN430" s="27" t="s">
        <v>7</v>
      </c>
      <c r="ES430" s="27" t="s">
        <v>8</v>
      </c>
      <c r="ET430" s="27" t="s">
        <v>7</v>
      </c>
      <c r="FQ430" s="27" t="s">
        <v>8</v>
      </c>
      <c r="FR430" s="27" t="s">
        <v>7</v>
      </c>
      <c r="FW430" s="27" t="s">
        <v>8</v>
      </c>
      <c r="FX430" s="27" t="s">
        <v>7</v>
      </c>
    </row>
    <row r="431" spans="1:180" x14ac:dyDescent="0.25">
      <c r="A431" s="7">
        <v>21.959719826504344</v>
      </c>
      <c r="B431"/>
      <c r="C431"/>
      <c r="D431"/>
      <c r="E431"/>
      <c r="AS431" s="27" t="s">
        <v>8</v>
      </c>
      <c r="AT431" s="27" t="s">
        <v>7</v>
      </c>
      <c r="AU431" s="27" t="s">
        <v>8</v>
      </c>
      <c r="AV431" s="27" t="s">
        <v>7</v>
      </c>
      <c r="AW431" s="27" t="s">
        <v>8</v>
      </c>
      <c r="AX431" s="27" t="s">
        <v>7</v>
      </c>
      <c r="AY431" s="27" t="s">
        <v>8</v>
      </c>
      <c r="AZ431" s="27" t="s">
        <v>7</v>
      </c>
      <c r="CK431" s="27" t="s">
        <v>8</v>
      </c>
      <c r="CT431" s="27" t="s">
        <v>7</v>
      </c>
      <c r="CW431" s="27" t="s">
        <v>8</v>
      </c>
      <c r="CX431" s="27" t="s">
        <v>7</v>
      </c>
      <c r="EI431" s="27" t="s">
        <v>8</v>
      </c>
      <c r="EJ431" s="27" t="s">
        <v>7</v>
      </c>
      <c r="EK431" s="27" t="s">
        <v>8</v>
      </c>
      <c r="EL431" s="27" t="s">
        <v>7</v>
      </c>
      <c r="EM431" s="27" t="s">
        <v>8</v>
      </c>
      <c r="EN431" s="27" t="s">
        <v>7</v>
      </c>
      <c r="ES431" s="27" t="s">
        <v>8</v>
      </c>
      <c r="ET431" s="27" t="s">
        <v>7</v>
      </c>
      <c r="FA431" s="27" t="s">
        <v>8</v>
      </c>
      <c r="FQ431" s="27" t="s">
        <v>8</v>
      </c>
      <c r="FR431" s="27" t="s">
        <v>7</v>
      </c>
      <c r="FS431" s="27" t="s">
        <v>8</v>
      </c>
      <c r="FW431" s="27" t="s">
        <v>8</v>
      </c>
      <c r="FX431" s="27" t="s">
        <v>7</v>
      </c>
    </row>
    <row r="432" spans="1:180" x14ac:dyDescent="0.25">
      <c r="A432" s="7">
        <v>21.52913708480818</v>
      </c>
      <c r="B432"/>
      <c r="C432"/>
      <c r="D432"/>
      <c r="E432"/>
      <c r="AS432" s="27" t="s">
        <v>8</v>
      </c>
      <c r="AT432" s="27" t="s">
        <v>7</v>
      </c>
      <c r="AV432" s="27" t="s">
        <v>7</v>
      </c>
      <c r="AW432" s="27" t="s">
        <v>8</v>
      </c>
      <c r="AX432" s="27" t="s">
        <v>7</v>
      </c>
      <c r="AY432" s="27" t="s">
        <v>8</v>
      </c>
      <c r="AZ432" s="27" t="s">
        <v>7</v>
      </c>
      <c r="CK432" s="27" t="s">
        <v>8</v>
      </c>
      <c r="CT432" s="27" t="s">
        <v>7</v>
      </c>
      <c r="CW432" s="27" t="s">
        <v>8</v>
      </c>
      <c r="CX432" s="27" t="s">
        <v>7</v>
      </c>
      <c r="EI432" s="27" t="s">
        <v>8</v>
      </c>
      <c r="EJ432" s="27" t="s">
        <v>7</v>
      </c>
      <c r="EK432" s="27" t="s">
        <v>8</v>
      </c>
      <c r="EL432" s="27" t="s">
        <v>7</v>
      </c>
      <c r="EM432" s="27" t="s">
        <v>8</v>
      </c>
      <c r="EN432" s="27" t="s">
        <v>7</v>
      </c>
      <c r="ES432" s="27" t="s">
        <v>8</v>
      </c>
      <c r="ET432" s="27" t="s">
        <v>7</v>
      </c>
      <c r="EU432" s="27" t="s">
        <v>8</v>
      </c>
      <c r="FA432" s="27" t="s">
        <v>8</v>
      </c>
      <c r="FB432" s="27" t="s">
        <v>7</v>
      </c>
      <c r="FQ432" s="27" t="s">
        <v>8</v>
      </c>
      <c r="FR432" s="27" t="s">
        <v>7</v>
      </c>
      <c r="FS432" s="27" t="s">
        <v>8</v>
      </c>
      <c r="FT432" s="27" t="s">
        <v>7</v>
      </c>
      <c r="FW432" s="27" t="s">
        <v>8</v>
      </c>
      <c r="FX432" s="27" t="s">
        <v>7</v>
      </c>
    </row>
    <row r="433" spans="1:196" x14ac:dyDescent="0.25">
      <c r="A433" s="7">
        <v>21.106997141968804</v>
      </c>
      <c r="B433"/>
      <c r="C433"/>
      <c r="D433"/>
      <c r="E433"/>
      <c r="AS433" s="27" t="s">
        <v>8</v>
      </c>
      <c r="AV433" s="27" t="s">
        <v>7</v>
      </c>
      <c r="AX433" s="27" t="s">
        <v>7</v>
      </c>
      <c r="AY433" s="27" t="s">
        <v>8</v>
      </c>
      <c r="AZ433" s="27" t="s">
        <v>7</v>
      </c>
      <c r="CK433" s="27" t="s">
        <v>8</v>
      </c>
      <c r="CT433" s="27" t="s">
        <v>7</v>
      </c>
      <c r="CW433" s="27" t="s">
        <v>8</v>
      </c>
      <c r="CX433" s="27" t="s">
        <v>7</v>
      </c>
      <c r="EI433" s="27" t="s">
        <v>8</v>
      </c>
      <c r="EJ433" s="27" t="s">
        <v>7</v>
      </c>
      <c r="EK433" s="27" t="s">
        <v>8</v>
      </c>
      <c r="EL433" s="27" t="s">
        <v>7</v>
      </c>
      <c r="EM433" s="27" t="s">
        <v>8</v>
      </c>
      <c r="EN433" s="27" t="s">
        <v>7</v>
      </c>
      <c r="EO433" s="27" t="s">
        <v>8</v>
      </c>
      <c r="EQ433" s="27" t="s">
        <v>8</v>
      </c>
      <c r="ES433" s="27" t="s">
        <v>8</v>
      </c>
      <c r="ET433" s="27" t="s">
        <v>7</v>
      </c>
      <c r="EU433" s="27" t="s">
        <v>8</v>
      </c>
      <c r="EV433" s="27" t="s">
        <v>7</v>
      </c>
      <c r="FA433" s="27" t="s">
        <v>8</v>
      </c>
      <c r="FB433" s="27" t="s">
        <v>7</v>
      </c>
      <c r="FG433" s="27" t="s">
        <v>8</v>
      </c>
      <c r="FQ433" s="27" t="s">
        <v>8</v>
      </c>
      <c r="FR433" s="27" t="s">
        <v>7</v>
      </c>
      <c r="FS433" s="27" t="s">
        <v>8</v>
      </c>
      <c r="FT433" s="27" t="s">
        <v>7</v>
      </c>
      <c r="FW433" s="27" t="s">
        <v>8</v>
      </c>
      <c r="FX433" s="27" t="s">
        <v>7</v>
      </c>
    </row>
    <row r="434" spans="1:196" x14ac:dyDescent="0.25">
      <c r="A434" s="7">
        <v>20.693134452910591</v>
      </c>
      <c r="B434"/>
      <c r="C434"/>
      <c r="D434"/>
      <c r="E434"/>
      <c r="AS434" s="27" t="s">
        <v>8</v>
      </c>
      <c r="AX434" s="27" t="s">
        <v>7</v>
      </c>
      <c r="AY434" s="27" t="s">
        <v>8</v>
      </c>
      <c r="AZ434" s="27" t="s">
        <v>7</v>
      </c>
      <c r="CK434" s="27" t="s">
        <v>8</v>
      </c>
      <c r="CT434" s="27" t="s">
        <v>7</v>
      </c>
      <c r="CW434" s="27" t="s">
        <v>8</v>
      </c>
      <c r="CX434" s="27" t="s">
        <v>7</v>
      </c>
      <c r="EI434" s="27" t="s">
        <v>8</v>
      </c>
      <c r="EJ434" s="27" t="s">
        <v>7</v>
      </c>
      <c r="EK434" s="27" t="s">
        <v>8</v>
      </c>
      <c r="EL434" s="27" t="s">
        <v>7</v>
      </c>
      <c r="EM434" s="27" t="s">
        <v>8</v>
      </c>
      <c r="EN434" s="27" t="s">
        <v>7</v>
      </c>
      <c r="EO434" s="27" t="s">
        <v>8</v>
      </c>
      <c r="EP434" s="27" t="s">
        <v>7</v>
      </c>
      <c r="EQ434" s="27" t="s">
        <v>8</v>
      </c>
      <c r="ER434" s="27" t="s">
        <v>7</v>
      </c>
      <c r="ES434" s="27" t="s">
        <v>8</v>
      </c>
      <c r="ET434" s="27" t="s">
        <v>7</v>
      </c>
      <c r="EU434" s="27" t="s">
        <v>8</v>
      </c>
      <c r="EV434" s="27" t="s">
        <v>7</v>
      </c>
      <c r="FA434" s="27" t="s">
        <v>8</v>
      </c>
      <c r="FB434" s="27" t="s">
        <v>7</v>
      </c>
      <c r="FG434" s="27" t="s">
        <v>8</v>
      </c>
      <c r="FH434" s="27" t="s">
        <v>7</v>
      </c>
      <c r="FQ434" s="27" t="s">
        <v>8</v>
      </c>
      <c r="FR434" s="27" t="s">
        <v>7</v>
      </c>
      <c r="FS434" s="27" t="s">
        <v>8</v>
      </c>
      <c r="FT434" s="27" t="s">
        <v>7</v>
      </c>
      <c r="FW434" s="27" t="s">
        <v>8</v>
      </c>
      <c r="FX434" s="27" t="s">
        <v>7</v>
      </c>
    </row>
    <row r="435" spans="1:196" x14ac:dyDescent="0.25">
      <c r="A435" s="7">
        <v>20.287386718539796</v>
      </c>
      <c r="B435"/>
      <c r="C435"/>
      <c r="D435"/>
      <c r="E435"/>
      <c r="AS435" s="27" t="s">
        <v>8</v>
      </c>
      <c r="AX435" s="27" t="s">
        <v>7</v>
      </c>
      <c r="AY435" s="27" t="s">
        <v>8</v>
      </c>
      <c r="AZ435" s="27" t="s">
        <v>7</v>
      </c>
      <c r="CK435" s="27" t="s">
        <v>8</v>
      </c>
      <c r="CT435" s="27" t="s">
        <v>7</v>
      </c>
      <c r="CW435" s="27" t="s">
        <v>8</v>
      </c>
      <c r="CX435" s="27" t="s">
        <v>7</v>
      </c>
      <c r="EI435" s="27" t="s">
        <v>8</v>
      </c>
      <c r="EJ435" s="27" t="s">
        <v>7</v>
      </c>
      <c r="EK435" s="27" t="s">
        <v>8</v>
      </c>
      <c r="EL435" s="27" t="s">
        <v>7</v>
      </c>
      <c r="EM435" s="27" t="s">
        <v>8</v>
      </c>
      <c r="EN435" s="27" t="s">
        <v>7</v>
      </c>
      <c r="EO435" s="27" t="s">
        <v>8</v>
      </c>
      <c r="EP435" s="27" t="s">
        <v>7</v>
      </c>
      <c r="EQ435" s="27" t="s">
        <v>8</v>
      </c>
      <c r="ER435" s="27" t="s">
        <v>7</v>
      </c>
      <c r="ES435" s="27" t="s">
        <v>8</v>
      </c>
      <c r="ET435" s="27" t="s">
        <v>7</v>
      </c>
      <c r="EU435" s="27" t="s">
        <v>8</v>
      </c>
      <c r="EV435" s="27" t="s">
        <v>7</v>
      </c>
      <c r="FA435" s="27" t="s">
        <v>8</v>
      </c>
      <c r="FB435" s="27" t="s">
        <v>7</v>
      </c>
      <c r="FG435" s="27" t="s">
        <v>8</v>
      </c>
      <c r="FH435" s="27" t="s">
        <v>7</v>
      </c>
      <c r="FQ435" s="27" t="s">
        <v>8</v>
      </c>
      <c r="FR435" s="27" t="s">
        <v>7</v>
      </c>
      <c r="FS435" s="27" t="s">
        <v>8</v>
      </c>
      <c r="FT435" s="27" t="s">
        <v>7</v>
      </c>
      <c r="FW435" s="27" t="s">
        <v>8</v>
      </c>
      <c r="FX435" s="27" t="s">
        <v>7</v>
      </c>
      <c r="FY435" s="27" t="s">
        <v>8</v>
      </c>
    </row>
    <row r="436" spans="1:196" x14ac:dyDescent="0.25">
      <c r="A436" s="7">
        <v>19.889594822097838</v>
      </c>
      <c r="B436"/>
      <c r="C436"/>
      <c r="D436"/>
      <c r="E436"/>
      <c r="AS436" s="27" t="s">
        <v>8</v>
      </c>
      <c r="AX436" s="27" t="s">
        <v>7</v>
      </c>
      <c r="AY436" s="27" t="s">
        <v>8</v>
      </c>
      <c r="AZ436" s="27" t="s">
        <v>7</v>
      </c>
      <c r="CK436" s="27" t="s">
        <v>8</v>
      </c>
      <c r="CT436" s="27" t="s">
        <v>7</v>
      </c>
      <c r="CW436" s="27" t="s">
        <v>8</v>
      </c>
      <c r="CX436" s="27" t="s">
        <v>7</v>
      </c>
      <c r="EI436" s="27" t="s">
        <v>8</v>
      </c>
      <c r="EJ436" s="27" t="s">
        <v>7</v>
      </c>
      <c r="EK436" s="27" t="s">
        <v>8</v>
      </c>
      <c r="EL436" s="27" t="s">
        <v>7</v>
      </c>
      <c r="EM436" s="27" t="s">
        <v>8</v>
      </c>
      <c r="EN436" s="27" t="s">
        <v>7</v>
      </c>
      <c r="EO436" s="27" t="s">
        <v>8</v>
      </c>
      <c r="EP436" s="27" t="s">
        <v>7</v>
      </c>
      <c r="EQ436" s="27" t="s">
        <v>8</v>
      </c>
      <c r="ER436" s="27" t="s">
        <v>7</v>
      </c>
      <c r="ES436" s="27" t="s">
        <v>8</v>
      </c>
      <c r="ET436" s="27" t="s">
        <v>7</v>
      </c>
      <c r="EU436" s="27" t="s">
        <v>8</v>
      </c>
      <c r="EV436" s="27" t="s">
        <v>7</v>
      </c>
      <c r="FA436" s="27" t="s">
        <v>8</v>
      </c>
      <c r="FB436" s="27" t="s">
        <v>7</v>
      </c>
      <c r="FG436" s="27" t="s">
        <v>8</v>
      </c>
      <c r="FH436" s="27" t="s">
        <v>7</v>
      </c>
      <c r="FM436" s="27" t="s">
        <v>8</v>
      </c>
      <c r="FO436" s="27" t="s">
        <v>8</v>
      </c>
      <c r="FQ436" s="27" t="s">
        <v>8</v>
      </c>
      <c r="FR436" s="27" t="s">
        <v>7</v>
      </c>
      <c r="FS436" s="27" t="s">
        <v>8</v>
      </c>
      <c r="FT436" s="27" t="s">
        <v>7</v>
      </c>
      <c r="FW436" s="27" t="s">
        <v>8</v>
      </c>
      <c r="FX436" s="27" t="s">
        <v>7</v>
      </c>
      <c r="FY436" s="27" t="s">
        <v>8</v>
      </c>
      <c r="FZ436" s="27" t="s">
        <v>7</v>
      </c>
    </row>
    <row r="437" spans="1:196" x14ac:dyDescent="0.25">
      <c r="A437" s="7">
        <v>19.499602766762585</v>
      </c>
      <c r="B437"/>
      <c r="C437"/>
      <c r="D437"/>
      <c r="E437"/>
      <c r="AS437" s="27" t="s">
        <v>8</v>
      </c>
      <c r="AX437" s="27" t="s">
        <v>7</v>
      </c>
      <c r="AY437" s="27" t="s">
        <v>8</v>
      </c>
      <c r="AZ437" s="27" t="s">
        <v>7</v>
      </c>
      <c r="BW437" s="27" t="s">
        <v>8</v>
      </c>
      <c r="CK437" s="27" t="s">
        <v>8</v>
      </c>
      <c r="CT437" s="27" t="s">
        <v>7</v>
      </c>
      <c r="CW437" s="27" t="s">
        <v>8</v>
      </c>
      <c r="CX437" s="27" t="s">
        <v>7</v>
      </c>
      <c r="EI437" s="27" t="s">
        <v>8</v>
      </c>
      <c r="EJ437" s="27" t="s">
        <v>7</v>
      </c>
      <c r="EK437" s="27" t="s">
        <v>8</v>
      </c>
      <c r="EL437" s="27" t="s">
        <v>7</v>
      </c>
      <c r="EM437" s="27" t="s">
        <v>8</v>
      </c>
      <c r="EN437" s="27" t="s">
        <v>7</v>
      </c>
      <c r="EP437" s="27" t="s">
        <v>7</v>
      </c>
      <c r="EQ437" s="27" t="s">
        <v>8</v>
      </c>
      <c r="ER437" s="27" t="s">
        <v>7</v>
      </c>
      <c r="ES437" s="27" t="s">
        <v>8</v>
      </c>
      <c r="ET437" s="27" t="s">
        <v>7</v>
      </c>
      <c r="EU437" s="27" t="s">
        <v>8</v>
      </c>
      <c r="EV437" s="27" t="s">
        <v>7</v>
      </c>
      <c r="EY437" s="27" t="s">
        <v>8</v>
      </c>
      <c r="FA437" s="27" t="s">
        <v>8</v>
      </c>
      <c r="FB437" s="27" t="s">
        <v>7</v>
      </c>
      <c r="FG437" s="27" t="s">
        <v>8</v>
      </c>
      <c r="FH437" s="27" t="s">
        <v>7</v>
      </c>
      <c r="FI437" s="27" t="s">
        <v>8</v>
      </c>
      <c r="FM437" s="27" t="s">
        <v>8</v>
      </c>
      <c r="FN437" s="27" t="s">
        <v>7</v>
      </c>
      <c r="FO437" s="27" t="s">
        <v>8</v>
      </c>
      <c r="FP437" s="27" t="s">
        <v>7</v>
      </c>
      <c r="FQ437" s="27" t="s">
        <v>8</v>
      </c>
      <c r="FR437" s="27" t="s">
        <v>7</v>
      </c>
      <c r="FS437" s="27" t="s">
        <v>8</v>
      </c>
      <c r="FT437" s="27" t="s">
        <v>7</v>
      </c>
      <c r="FU437" s="27" t="s">
        <v>8</v>
      </c>
      <c r="FW437" s="27" t="s">
        <v>8</v>
      </c>
      <c r="FX437" s="27" t="s">
        <v>7</v>
      </c>
      <c r="FY437" s="27" t="s">
        <v>8</v>
      </c>
      <c r="FZ437" s="27" t="s">
        <v>7</v>
      </c>
      <c r="GM437" s="27" t="s">
        <v>8</v>
      </c>
    </row>
    <row r="438" spans="1:196" x14ac:dyDescent="0.25">
      <c r="A438" s="7">
        <v>19.117257614473122</v>
      </c>
      <c r="B438"/>
      <c r="C438"/>
      <c r="D438"/>
      <c r="E438"/>
      <c r="AS438" s="27" t="s">
        <v>8</v>
      </c>
      <c r="AX438" s="27" t="s">
        <v>7</v>
      </c>
      <c r="AY438" s="27" t="s">
        <v>8</v>
      </c>
      <c r="AZ438" s="27" t="s">
        <v>7</v>
      </c>
      <c r="BE438" s="27" t="s">
        <v>8</v>
      </c>
      <c r="BW438" s="27" t="s">
        <v>8</v>
      </c>
      <c r="BX438" s="27" t="s">
        <v>7</v>
      </c>
      <c r="CK438" s="27" t="s">
        <v>8</v>
      </c>
      <c r="CT438" s="27" t="s">
        <v>7</v>
      </c>
      <c r="CW438" s="27" t="s">
        <v>8</v>
      </c>
      <c r="CX438" s="27" t="s">
        <v>7</v>
      </c>
      <c r="EI438" s="27" t="s">
        <v>8</v>
      </c>
      <c r="EJ438" s="27" t="s">
        <v>7</v>
      </c>
      <c r="EK438" s="27" t="s">
        <v>8</v>
      </c>
      <c r="EL438" s="27" t="s">
        <v>7</v>
      </c>
      <c r="EM438" s="27" t="s">
        <v>8</v>
      </c>
      <c r="EP438" s="27" t="s">
        <v>7</v>
      </c>
      <c r="EQ438" s="27" t="s">
        <v>8</v>
      </c>
      <c r="ER438" s="27" t="s">
        <v>7</v>
      </c>
      <c r="ES438" s="27" t="s">
        <v>8</v>
      </c>
      <c r="ET438" s="27" t="s">
        <v>7</v>
      </c>
      <c r="EU438" s="27" t="s">
        <v>8</v>
      </c>
      <c r="EV438" s="27" t="s">
        <v>7</v>
      </c>
      <c r="EW438" s="27" t="s">
        <v>8</v>
      </c>
      <c r="EY438" s="27" t="s">
        <v>8</v>
      </c>
      <c r="EZ438" s="27" t="s">
        <v>7</v>
      </c>
      <c r="FA438" s="27" t="s">
        <v>8</v>
      </c>
      <c r="FB438" s="27" t="s">
        <v>7</v>
      </c>
      <c r="FE438" s="27" t="s">
        <v>8</v>
      </c>
      <c r="FG438" s="27" t="s">
        <v>8</v>
      </c>
      <c r="FH438" s="27" t="s">
        <v>7</v>
      </c>
      <c r="FI438" s="27" t="s">
        <v>8</v>
      </c>
      <c r="FJ438" s="27" t="s">
        <v>7</v>
      </c>
      <c r="FK438" s="27" t="s">
        <v>8</v>
      </c>
      <c r="FM438" s="27" t="s">
        <v>8</v>
      </c>
      <c r="FN438" s="27" t="s">
        <v>7</v>
      </c>
      <c r="FO438" s="27" t="s">
        <v>8</v>
      </c>
      <c r="FP438" s="27" t="s">
        <v>7</v>
      </c>
      <c r="FQ438" s="27" t="s">
        <v>8</v>
      </c>
      <c r="FR438" s="27" t="s">
        <v>7</v>
      </c>
      <c r="FS438" s="27" t="s">
        <v>8</v>
      </c>
      <c r="FT438" s="27" t="s">
        <v>7</v>
      </c>
      <c r="FU438" s="27" t="s">
        <v>8</v>
      </c>
      <c r="FV438" s="27" t="s">
        <v>7</v>
      </c>
      <c r="FW438" s="27" t="s">
        <v>8</v>
      </c>
      <c r="FX438" s="27" t="s">
        <v>7</v>
      </c>
      <c r="FY438" s="27" t="s">
        <v>8</v>
      </c>
      <c r="FZ438" s="27" t="s">
        <v>7</v>
      </c>
      <c r="GA438" s="27" t="s">
        <v>8</v>
      </c>
      <c r="GM438" s="27" t="s">
        <v>8</v>
      </c>
      <c r="GN438" s="27" t="s">
        <v>7</v>
      </c>
    </row>
    <row r="439" spans="1:196" x14ac:dyDescent="0.25">
      <c r="A439" s="7">
        <v>18.74240942595404</v>
      </c>
      <c r="B439"/>
      <c r="C439"/>
      <c r="D439"/>
      <c r="E439"/>
      <c r="AS439" s="27" t="s">
        <v>8</v>
      </c>
      <c r="AX439" s="27" t="s">
        <v>7</v>
      </c>
      <c r="AY439" s="27" t="s">
        <v>8</v>
      </c>
      <c r="AZ439" s="27" t="s">
        <v>7</v>
      </c>
      <c r="BE439" s="27" t="s">
        <v>8</v>
      </c>
      <c r="BF439" s="27" t="s">
        <v>7</v>
      </c>
      <c r="BW439" s="27" t="s">
        <v>8</v>
      </c>
      <c r="BX439" s="27" t="s">
        <v>7</v>
      </c>
      <c r="CK439" s="27" t="s">
        <v>8</v>
      </c>
      <c r="CT439" s="27" t="s">
        <v>7</v>
      </c>
      <c r="CW439" s="27" t="s">
        <v>8</v>
      </c>
      <c r="CX439" s="27" t="s">
        <v>7</v>
      </c>
      <c r="DE439" s="27" t="s">
        <v>8</v>
      </c>
      <c r="EI439" s="27" t="s">
        <v>8</v>
      </c>
      <c r="EJ439" s="27" t="s">
        <v>7</v>
      </c>
      <c r="EK439" s="27" t="s">
        <v>8</v>
      </c>
      <c r="EL439" s="27" t="s">
        <v>7</v>
      </c>
      <c r="EM439" s="27" t="s">
        <v>8</v>
      </c>
      <c r="EP439" s="27" t="s">
        <v>7</v>
      </c>
      <c r="EQ439" s="27" t="s">
        <v>8</v>
      </c>
      <c r="ER439" s="27" t="s">
        <v>7</v>
      </c>
      <c r="ES439" s="27" t="s">
        <v>8</v>
      </c>
      <c r="ET439" s="27" t="s">
        <v>7</v>
      </c>
      <c r="EU439" s="27" t="s">
        <v>8</v>
      </c>
      <c r="EV439" s="27" t="s">
        <v>7</v>
      </c>
      <c r="EW439" s="27" t="s">
        <v>8</v>
      </c>
      <c r="EX439" s="27" t="s">
        <v>7</v>
      </c>
      <c r="EY439" s="27" t="s">
        <v>8</v>
      </c>
      <c r="EZ439" s="27" t="s">
        <v>7</v>
      </c>
      <c r="FA439" s="27" t="s">
        <v>8</v>
      </c>
      <c r="FB439" s="27" t="s">
        <v>7</v>
      </c>
      <c r="FE439" s="27" t="s">
        <v>8</v>
      </c>
      <c r="FF439" s="27" t="s">
        <v>7</v>
      </c>
      <c r="FG439" s="27" t="s">
        <v>8</v>
      </c>
      <c r="FH439" s="27" t="s">
        <v>7</v>
      </c>
      <c r="FI439" s="27" t="s">
        <v>8</v>
      </c>
      <c r="FJ439" s="27" t="s">
        <v>7</v>
      </c>
      <c r="FK439" s="27" t="s">
        <v>8</v>
      </c>
      <c r="FL439" s="27" t="s">
        <v>7</v>
      </c>
      <c r="FM439" s="27" t="s">
        <v>8</v>
      </c>
      <c r="FN439" s="27" t="s">
        <v>7</v>
      </c>
      <c r="FO439" s="27" t="s">
        <v>8</v>
      </c>
      <c r="FP439" s="27" t="s">
        <v>7</v>
      </c>
      <c r="FQ439" s="27" t="s">
        <v>8</v>
      </c>
      <c r="FR439" s="27" t="s">
        <v>7</v>
      </c>
      <c r="FS439" s="27" t="s">
        <v>8</v>
      </c>
      <c r="FT439" s="27" t="s">
        <v>7</v>
      </c>
      <c r="FU439" s="27" t="s">
        <v>8</v>
      </c>
      <c r="FV439" s="27" t="s">
        <v>7</v>
      </c>
      <c r="FW439" s="27" t="s">
        <v>8</v>
      </c>
      <c r="FX439" s="27" t="s">
        <v>7</v>
      </c>
      <c r="FY439" s="27" t="s">
        <v>8</v>
      </c>
      <c r="FZ439" s="27" t="s">
        <v>7</v>
      </c>
      <c r="GA439" s="27" t="s">
        <v>8</v>
      </c>
      <c r="GB439" s="27" t="s">
        <v>7</v>
      </c>
      <c r="GM439" s="27" t="s">
        <v>8</v>
      </c>
      <c r="GN439" s="27" t="s">
        <v>7</v>
      </c>
    </row>
    <row r="440" spans="1:196" x14ac:dyDescent="0.25">
      <c r="A440" s="7">
        <v>18.374911201915726</v>
      </c>
      <c r="B440"/>
      <c r="C440"/>
      <c r="D440"/>
      <c r="E440"/>
      <c r="AS440" s="27" t="s">
        <v>8</v>
      </c>
      <c r="AX440" s="27" t="s">
        <v>7</v>
      </c>
      <c r="AY440" s="27" t="s">
        <v>8</v>
      </c>
      <c r="AZ440" s="27" t="s">
        <v>7</v>
      </c>
      <c r="BE440" s="27" t="s">
        <v>8</v>
      </c>
      <c r="BF440" s="27" t="s">
        <v>7</v>
      </c>
      <c r="BW440" s="27" t="s">
        <v>8</v>
      </c>
      <c r="BX440" s="27" t="s">
        <v>7</v>
      </c>
      <c r="CK440" s="27" t="s">
        <v>8</v>
      </c>
      <c r="CT440" s="27" t="s">
        <v>7</v>
      </c>
      <c r="CW440" s="27" t="s">
        <v>8</v>
      </c>
      <c r="CX440" s="27" t="s">
        <v>7</v>
      </c>
      <c r="DE440" s="27" t="s">
        <v>8</v>
      </c>
      <c r="DF440" s="27" t="s">
        <v>7</v>
      </c>
      <c r="EI440" s="27" t="s">
        <v>8</v>
      </c>
      <c r="EJ440" s="27" t="s">
        <v>7</v>
      </c>
      <c r="EL440" s="27" t="s">
        <v>7</v>
      </c>
      <c r="EM440" s="27" t="s">
        <v>8</v>
      </c>
      <c r="EP440" s="27" t="s">
        <v>7</v>
      </c>
      <c r="EQ440" s="27" t="s">
        <v>8</v>
      </c>
      <c r="ER440" s="27" t="s">
        <v>7</v>
      </c>
      <c r="ES440" s="27" t="s">
        <v>8</v>
      </c>
      <c r="ET440" s="27" t="s">
        <v>7</v>
      </c>
      <c r="EU440" s="27" t="s">
        <v>8</v>
      </c>
      <c r="EV440" s="27" t="s">
        <v>7</v>
      </c>
      <c r="EW440" s="27" t="s">
        <v>8</v>
      </c>
      <c r="EX440" s="27" t="s">
        <v>7</v>
      </c>
      <c r="EY440" s="27" t="s">
        <v>8</v>
      </c>
      <c r="EZ440" s="27" t="s">
        <v>7</v>
      </c>
      <c r="FB440" s="27" t="s">
        <v>7</v>
      </c>
      <c r="FE440" s="27" t="s">
        <v>8</v>
      </c>
      <c r="FF440" s="27" t="s">
        <v>7</v>
      </c>
      <c r="FG440" s="27" t="s">
        <v>8</v>
      </c>
      <c r="FH440" s="27" t="s">
        <v>7</v>
      </c>
      <c r="FJ440" s="27" t="s">
        <v>7</v>
      </c>
      <c r="FK440" s="27" t="s">
        <v>8</v>
      </c>
      <c r="FL440" s="27" t="s">
        <v>7</v>
      </c>
      <c r="FM440" s="27" t="s">
        <v>8</v>
      </c>
      <c r="FN440" s="27" t="s">
        <v>7</v>
      </c>
      <c r="FP440" s="27" t="s">
        <v>7</v>
      </c>
      <c r="FR440" s="27" t="s">
        <v>7</v>
      </c>
      <c r="FS440" s="27" t="s">
        <v>8</v>
      </c>
      <c r="FT440" s="27" t="s">
        <v>7</v>
      </c>
      <c r="FU440" s="27" t="s">
        <v>8</v>
      </c>
      <c r="FV440" s="27" t="s">
        <v>7</v>
      </c>
      <c r="FW440" s="27" t="s">
        <v>8</v>
      </c>
      <c r="FX440" s="27" t="s">
        <v>7</v>
      </c>
      <c r="FY440" s="27" t="s">
        <v>8</v>
      </c>
      <c r="FZ440" s="27" t="s">
        <v>7</v>
      </c>
      <c r="GA440" s="27" t="s">
        <v>8</v>
      </c>
      <c r="GB440" s="27" t="s">
        <v>7</v>
      </c>
      <c r="GM440" s="27" t="s">
        <v>8</v>
      </c>
      <c r="GN440" s="27" t="s">
        <v>7</v>
      </c>
    </row>
    <row r="441" spans="1:196" x14ac:dyDescent="0.25">
      <c r="A441" s="7">
        <v>18.014618825407574</v>
      </c>
      <c r="B441"/>
      <c r="C441"/>
      <c r="D441"/>
      <c r="E441"/>
      <c r="AS441" s="27" t="s">
        <v>8</v>
      </c>
      <c r="AX441" s="27" t="s">
        <v>7</v>
      </c>
      <c r="AY441" s="27" t="s">
        <v>8</v>
      </c>
      <c r="AZ441" s="27" t="s">
        <v>7</v>
      </c>
      <c r="BE441" s="27" t="s">
        <v>8</v>
      </c>
      <c r="BF441" s="27" t="s">
        <v>7</v>
      </c>
      <c r="BW441" s="27" t="s">
        <v>8</v>
      </c>
      <c r="BX441" s="27" t="s">
        <v>7</v>
      </c>
      <c r="CK441" s="27" t="s">
        <v>8</v>
      </c>
      <c r="CT441" s="27" t="s">
        <v>7</v>
      </c>
      <c r="CW441" s="27" t="s">
        <v>8</v>
      </c>
      <c r="CX441" s="27" t="s">
        <v>7</v>
      </c>
      <c r="DE441" s="27" t="s">
        <v>8</v>
      </c>
      <c r="DF441" s="27" t="s">
        <v>7</v>
      </c>
      <c r="EI441" s="27" t="s">
        <v>8</v>
      </c>
      <c r="EL441" s="27" t="s">
        <v>7</v>
      </c>
      <c r="EM441" s="27" t="s">
        <v>8</v>
      </c>
      <c r="EP441" s="27" t="s">
        <v>7</v>
      </c>
      <c r="EQ441" s="27" t="s">
        <v>8</v>
      </c>
      <c r="ER441" s="27" t="s">
        <v>7</v>
      </c>
      <c r="ET441" s="27" t="s">
        <v>7</v>
      </c>
      <c r="EU441" s="27" t="s">
        <v>8</v>
      </c>
      <c r="EV441" s="27" t="s">
        <v>7</v>
      </c>
      <c r="EW441" s="27" t="s">
        <v>8</v>
      </c>
      <c r="EX441" s="27" t="s">
        <v>7</v>
      </c>
      <c r="EY441" s="27" t="s">
        <v>8</v>
      </c>
      <c r="FB441" s="27" t="s">
        <v>7</v>
      </c>
      <c r="FE441" s="27" t="s">
        <v>8</v>
      </c>
      <c r="FF441" s="27" t="s">
        <v>7</v>
      </c>
      <c r="FG441" s="27" t="s">
        <v>8</v>
      </c>
      <c r="FJ441" s="27" t="s">
        <v>7</v>
      </c>
      <c r="FK441" s="27" t="s">
        <v>8</v>
      </c>
      <c r="FL441" s="27" t="s">
        <v>7</v>
      </c>
      <c r="FM441" s="27" t="s">
        <v>8</v>
      </c>
      <c r="FR441" s="27" t="s">
        <v>7</v>
      </c>
      <c r="FT441" s="27" t="s">
        <v>7</v>
      </c>
      <c r="FU441" s="27" t="s">
        <v>8</v>
      </c>
      <c r="FV441" s="27" t="s">
        <v>7</v>
      </c>
      <c r="FX441" s="27" t="s">
        <v>7</v>
      </c>
      <c r="FZ441" s="27" t="s">
        <v>7</v>
      </c>
      <c r="GA441" s="27" t="s">
        <v>8</v>
      </c>
      <c r="GB441" s="27" t="s">
        <v>7</v>
      </c>
      <c r="GG441" s="27" t="s">
        <v>8</v>
      </c>
      <c r="GM441" s="27" t="s">
        <v>8</v>
      </c>
      <c r="GN441" s="27" t="s">
        <v>7</v>
      </c>
    </row>
    <row r="442" spans="1:196" x14ac:dyDescent="0.25">
      <c r="A442" s="7">
        <v>17.661391005301542</v>
      </c>
      <c r="B442"/>
      <c r="C442"/>
      <c r="D442"/>
      <c r="E442"/>
      <c r="AS442" s="27" t="s">
        <v>8</v>
      </c>
      <c r="AX442" s="27" t="s">
        <v>7</v>
      </c>
      <c r="AY442" s="27" t="s">
        <v>8</v>
      </c>
      <c r="AZ442" s="27" t="s">
        <v>7</v>
      </c>
      <c r="BE442" s="27" t="s">
        <v>8</v>
      </c>
      <c r="BF442" s="27" t="s">
        <v>7</v>
      </c>
      <c r="BW442" s="27" t="s">
        <v>8</v>
      </c>
      <c r="BX442" s="27" t="s">
        <v>7</v>
      </c>
      <c r="CK442" s="27" t="s">
        <v>8</v>
      </c>
      <c r="CT442" s="27" t="s">
        <v>7</v>
      </c>
      <c r="CW442" s="27" t="s">
        <v>8</v>
      </c>
      <c r="CX442" s="27" t="s">
        <v>7</v>
      </c>
      <c r="DE442" s="27" t="s">
        <v>8</v>
      </c>
      <c r="DF442" s="27" t="s">
        <v>7</v>
      </c>
      <c r="DK442" s="27" t="s">
        <v>8</v>
      </c>
      <c r="EI442" s="27" t="s">
        <v>8</v>
      </c>
      <c r="EL442" s="27" t="s">
        <v>7</v>
      </c>
      <c r="EM442" s="27" t="s">
        <v>8</v>
      </c>
      <c r="EP442" s="27" t="s">
        <v>7</v>
      </c>
      <c r="EQ442" s="27" t="s">
        <v>8</v>
      </c>
      <c r="ET442" s="27" t="s">
        <v>7</v>
      </c>
      <c r="EU442" s="27" t="s">
        <v>8</v>
      </c>
      <c r="EV442" s="27" t="s">
        <v>7</v>
      </c>
      <c r="EX442" s="27" t="s">
        <v>7</v>
      </c>
      <c r="EY442" s="27" t="s">
        <v>8</v>
      </c>
      <c r="FB442" s="27" t="s">
        <v>7</v>
      </c>
      <c r="FC442" s="27" t="s">
        <v>8</v>
      </c>
      <c r="FE442" s="27" t="s">
        <v>8</v>
      </c>
      <c r="FF442" s="27" t="s">
        <v>7</v>
      </c>
      <c r="FG442" s="27" t="s">
        <v>8</v>
      </c>
      <c r="FJ442" s="27" t="s">
        <v>7</v>
      </c>
      <c r="FL442" s="27" t="s">
        <v>7</v>
      </c>
      <c r="FM442" s="27" t="s">
        <v>8</v>
      </c>
      <c r="FT442" s="27" t="s">
        <v>7</v>
      </c>
      <c r="FU442" s="27" t="s">
        <v>8</v>
      </c>
      <c r="FZ442" s="27" t="s">
        <v>7</v>
      </c>
      <c r="GA442" s="27" t="s">
        <v>8</v>
      </c>
      <c r="GB442" s="27" t="s">
        <v>7</v>
      </c>
      <c r="GG442" s="27" t="s">
        <v>8</v>
      </c>
      <c r="GH442" s="27" t="s">
        <v>7</v>
      </c>
      <c r="GM442" s="27" t="s">
        <v>8</v>
      </c>
      <c r="GN442" s="27" t="s">
        <v>7</v>
      </c>
    </row>
    <row r="443" spans="1:196" x14ac:dyDescent="0.25">
      <c r="A443" s="7">
        <v>17.315089220883866</v>
      </c>
      <c r="B443"/>
      <c r="C443"/>
      <c r="D443"/>
      <c r="E443"/>
      <c r="AS443" s="27" t="s">
        <v>8</v>
      </c>
      <c r="AX443" s="27" t="s">
        <v>7</v>
      </c>
      <c r="AY443" s="27" t="s">
        <v>8</v>
      </c>
      <c r="AZ443" s="27" t="s">
        <v>7</v>
      </c>
      <c r="BE443" s="27" t="s">
        <v>8</v>
      </c>
      <c r="BF443" s="27" t="s">
        <v>7</v>
      </c>
      <c r="BW443" s="27" t="s">
        <v>8</v>
      </c>
      <c r="BX443" s="27" t="s">
        <v>7</v>
      </c>
      <c r="CK443" s="27" t="s">
        <v>8</v>
      </c>
      <c r="CT443" s="27" t="s">
        <v>7</v>
      </c>
      <c r="CW443" s="27" t="s">
        <v>8</v>
      </c>
      <c r="CX443" s="27" t="s">
        <v>7</v>
      </c>
      <c r="DE443" s="27" t="s">
        <v>8</v>
      </c>
      <c r="DF443" s="27" t="s">
        <v>7</v>
      </c>
      <c r="DK443" s="27" t="s">
        <v>8</v>
      </c>
      <c r="DL443" s="27" t="s">
        <v>7</v>
      </c>
      <c r="EI443" s="27" t="s">
        <v>8</v>
      </c>
      <c r="EL443" s="27" t="s">
        <v>7</v>
      </c>
      <c r="EM443" s="27" t="s">
        <v>8</v>
      </c>
      <c r="EP443" s="27" t="s">
        <v>7</v>
      </c>
      <c r="EQ443" s="27" t="s">
        <v>8</v>
      </c>
      <c r="ET443" s="27" t="s">
        <v>7</v>
      </c>
      <c r="EU443" s="27" t="s">
        <v>8</v>
      </c>
      <c r="EX443" s="27" t="s">
        <v>7</v>
      </c>
      <c r="EY443" s="27" t="s">
        <v>8</v>
      </c>
      <c r="FB443" s="27" t="s">
        <v>7</v>
      </c>
      <c r="FC443" s="27" t="s">
        <v>8</v>
      </c>
      <c r="FD443" s="27" t="s">
        <v>7</v>
      </c>
      <c r="FE443" s="27" t="s">
        <v>8</v>
      </c>
      <c r="FF443" s="27" t="s">
        <v>7</v>
      </c>
      <c r="FG443" s="27" t="s">
        <v>8</v>
      </c>
      <c r="FL443" s="27" t="s">
        <v>7</v>
      </c>
      <c r="FT443" s="27" t="s">
        <v>7</v>
      </c>
      <c r="FZ443" s="27" t="s">
        <v>7</v>
      </c>
      <c r="GA443" s="27" t="s">
        <v>8</v>
      </c>
      <c r="GB443" s="27" t="s">
        <v>7</v>
      </c>
      <c r="GG443" s="27" t="s">
        <v>8</v>
      </c>
      <c r="GH443" s="27" t="s">
        <v>7</v>
      </c>
      <c r="GM443" s="27" t="s">
        <v>8</v>
      </c>
      <c r="GN443" s="27" t="s">
        <v>7</v>
      </c>
    </row>
    <row r="444" spans="1:196" x14ac:dyDescent="0.25">
      <c r="A444" s="7">
        <v>16.975577667533202</v>
      </c>
      <c r="B444"/>
      <c r="C444"/>
      <c r="D444"/>
      <c r="E444"/>
      <c r="AS444" s="27" t="s">
        <v>8</v>
      </c>
      <c r="AX444" s="27" t="s">
        <v>7</v>
      </c>
      <c r="AY444" s="27" t="s">
        <v>8</v>
      </c>
      <c r="AZ444" s="27" t="s">
        <v>7</v>
      </c>
      <c r="BE444" s="27" t="s">
        <v>8</v>
      </c>
      <c r="BF444" s="27" t="s">
        <v>7</v>
      </c>
      <c r="BW444" s="27" t="s">
        <v>8</v>
      </c>
      <c r="BX444" s="27" t="s">
        <v>7</v>
      </c>
      <c r="CK444" s="27" t="s">
        <v>8</v>
      </c>
      <c r="CT444" s="27" t="s">
        <v>7</v>
      </c>
      <c r="CU444" s="27" t="s">
        <v>8</v>
      </c>
      <c r="CW444" s="27" t="s">
        <v>8</v>
      </c>
      <c r="CX444" s="27" t="s">
        <v>7</v>
      </c>
      <c r="DE444" s="27" t="s">
        <v>8</v>
      </c>
      <c r="DF444" s="27" t="s">
        <v>7</v>
      </c>
      <c r="DK444" s="27" t="s">
        <v>8</v>
      </c>
      <c r="DL444" s="27" t="s">
        <v>7</v>
      </c>
      <c r="EE444" s="27" t="s">
        <v>8</v>
      </c>
      <c r="EI444" s="27" t="s">
        <v>8</v>
      </c>
      <c r="EL444" s="27" t="s">
        <v>7</v>
      </c>
      <c r="EM444" s="27" t="s">
        <v>8</v>
      </c>
      <c r="EP444" s="27" t="s">
        <v>7</v>
      </c>
      <c r="ET444" s="27" t="s">
        <v>7</v>
      </c>
      <c r="EU444" s="27" t="s">
        <v>8</v>
      </c>
      <c r="EX444" s="27" t="s">
        <v>7</v>
      </c>
      <c r="EY444" s="27" t="s">
        <v>8</v>
      </c>
      <c r="FB444" s="27" t="s">
        <v>7</v>
      </c>
      <c r="FC444" s="27" t="s">
        <v>8</v>
      </c>
      <c r="FD444" s="27" t="s">
        <v>7</v>
      </c>
      <c r="FE444" s="27" t="s">
        <v>8</v>
      </c>
      <c r="FF444" s="27" t="s">
        <v>7</v>
      </c>
      <c r="FG444" s="27" t="s">
        <v>8</v>
      </c>
      <c r="FZ444" s="27" t="s">
        <v>7</v>
      </c>
      <c r="GA444" s="27" t="s">
        <v>8</v>
      </c>
      <c r="GB444" s="27" t="s">
        <v>7</v>
      </c>
      <c r="GG444" s="27" t="s">
        <v>8</v>
      </c>
      <c r="GH444" s="27" t="s">
        <v>7</v>
      </c>
      <c r="GM444" s="27" t="s">
        <v>8</v>
      </c>
      <c r="GN444" s="27" t="s">
        <v>7</v>
      </c>
    </row>
    <row r="445" spans="1:196" x14ac:dyDescent="0.25">
      <c r="A445" s="7">
        <v>16.642723203463923</v>
      </c>
      <c r="B445"/>
      <c r="C445"/>
      <c r="D445"/>
      <c r="E445"/>
      <c r="AS445" s="27" t="s">
        <v>8</v>
      </c>
      <c r="AX445" s="27" t="s">
        <v>7</v>
      </c>
      <c r="AY445" s="27" t="s">
        <v>8</v>
      </c>
      <c r="AZ445" s="27" t="s">
        <v>7</v>
      </c>
      <c r="BE445" s="27" t="s">
        <v>8</v>
      </c>
      <c r="BF445" s="27" t="s">
        <v>7</v>
      </c>
      <c r="BW445" s="27" t="s">
        <v>8</v>
      </c>
      <c r="BX445" s="27" t="s">
        <v>7</v>
      </c>
      <c r="CK445" s="27" t="s">
        <v>8</v>
      </c>
      <c r="CT445" s="27" t="s">
        <v>7</v>
      </c>
      <c r="CU445" s="27" t="s">
        <v>8</v>
      </c>
      <c r="CV445" s="27" t="s">
        <v>7</v>
      </c>
      <c r="CW445" s="27" t="s">
        <v>8</v>
      </c>
      <c r="CX445" s="27" t="s">
        <v>7</v>
      </c>
      <c r="DE445" s="27" t="s">
        <v>8</v>
      </c>
      <c r="DF445" s="27" t="s">
        <v>7</v>
      </c>
      <c r="DK445" s="27" t="s">
        <v>8</v>
      </c>
      <c r="DL445" s="27" t="s">
        <v>7</v>
      </c>
      <c r="EE445" s="27" t="s">
        <v>8</v>
      </c>
      <c r="EF445" s="27" t="s">
        <v>7</v>
      </c>
      <c r="EI445" s="27" t="s">
        <v>8</v>
      </c>
      <c r="EL445" s="27" t="s">
        <v>7</v>
      </c>
      <c r="ET445" s="27" t="s">
        <v>7</v>
      </c>
      <c r="EU445" s="27" t="s">
        <v>8</v>
      </c>
      <c r="EX445" s="27" t="s">
        <v>7</v>
      </c>
      <c r="EY445" s="27" t="s">
        <v>8</v>
      </c>
      <c r="FB445" s="27" t="s">
        <v>7</v>
      </c>
      <c r="FC445" s="27" t="s">
        <v>8</v>
      </c>
      <c r="FD445" s="27" t="s">
        <v>7</v>
      </c>
      <c r="FE445" s="27" t="s">
        <v>8</v>
      </c>
      <c r="FF445" s="27" t="s">
        <v>7</v>
      </c>
      <c r="FG445" s="27" t="s">
        <v>8</v>
      </c>
      <c r="FZ445" s="27" t="s">
        <v>7</v>
      </c>
      <c r="GA445" s="27" t="s">
        <v>8</v>
      </c>
      <c r="GB445" s="27" t="s">
        <v>7</v>
      </c>
      <c r="GG445" s="27" t="s">
        <v>8</v>
      </c>
      <c r="GH445" s="27" t="s">
        <v>7</v>
      </c>
      <c r="GM445" s="27" t="s">
        <v>8</v>
      </c>
      <c r="GN445" s="27" t="s">
        <v>7</v>
      </c>
    </row>
    <row r="446" spans="1:196" x14ac:dyDescent="0.25">
      <c r="A446" s="7">
        <v>16.316395297513651</v>
      </c>
      <c r="B446"/>
      <c r="C446"/>
      <c r="D446"/>
      <c r="E446"/>
      <c r="AS446" s="27" t="s">
        <v>8</v>
      </c>
      <c r="AX446" s="27" t="s">
        <v>7</v>
      </c>
      <c r="AY446" s="27" t="s">
        <v>8</v>
      </c>
      <c r="AZ446" s="27" t="s">
        <v>7</v>
      </c>
      <c r="BE446" s="27" t="s">
        <v>8</v>
      </c>
      <c r="BF446" s="27" t="s">
        <v>7</v>
      </c>
      <c r="BW446" s="27" t="s">
        <v>8</v>
      </c>
      <c r="BX446" s="27" t="s">
        <v>7</v>
      </c>
      <c r="CK446" s="27" t="s">
        <v>8</v>
      </c>
      <c r="CT446" s="27" t="s">
        <v>7</v>
      </c>
      <c r="CU446" s="27" t="s">
        <v>8</v>
      </c>
      <c r="CV446" s="27" t="s">
        <v>7</v>
      </c>
      <c r="CW446" s="27" t="s">
        <v>8</v>
      </c>
      <c r="CX446" s="27" t="s">
        <v>7</v>
      </c>
      <c r="DE446" s="27" t="s">
        <v>8</v>
      </c>
      <c r="DF446" s="27" t="s">
        <v>7</v>
      </c>
      <c r="DK446" s="27" t="s">
        <v>8</v>
      </c>
      <c r="DL446" s="27" t="s">
        <v>7</v>
      </c>
      <c r="EE446" s="27" t="s">
        <v>8</v>
      </c>
      <c r="EF446" s="27" t="s">
        <v>7</v>
      </c>
      <c r="EI446" s="27" t="s">
        <v>8</v>
      </c>
      <c r="ET446" s="27" t="s">
        <v>7</v>
      </c>
      <c r="EU446" s="27" t="s">
        <v>8</v>
      </c>
      <c r="EX446" s="27" t="s">
        <v>7</v>
      </c>
      <c r="FB446" s="27" t="s">
        <v>7</v>
      </c>
      <c r="FC446" s="27" t="s">
        <v>8</v>
      </c>
      <c r="FD446" s="27" t="s">
        <v>7</v>
      </c>
      <c r="FE446" s="27" t="s">
        <v>8</v>
      </c>
      <c r="FF446" s="27" t="s">
        <v>7</v>
      </c>
      <c r="FG446" s="27" t="s">
        <v>8</v>
      </c>
      <c r="FZ446" s="27" t="s">
        <v>7</v>
      </c>
      <c r="GA446" s="27" t="s">
        <v>8</v>
      </c>
      <c r="GB446" s="27" t="s">
        <v>7</v>
      </c>
      <c r="GC446" s="27" t="s">
        <v>8</v>
      </c>
      <c r="GE446" s="27" t="s">
        <v>8</v>
      </c>
      <c r="GG446" s="27" t="s">
        <v>8</v>
      </c>
      <c r="GH446" s="27" t="s">
        <v>7</v>
      </c>
      <c r="GI446" s="27" t="s">
        <v>8</v>
      </c>
      <c r="GM446" s="27" t="s">
        <v>8</v>
      </c>
      <c r="GN446" s="27" t="s">
        <v>7</v>
      </c>
    </row>
    <row r="447" spans="1:196" x14ac:dyDescent="0.25">
      <c r="A447" s="7">
        <v>15.996465977954561</v>
      </c>
      <c r="B447"/>
      <c r="C447"/>
      <c r="D447"/>
      <c r="E447"/>
      <c r="AS447" s="27" t="s">
        <v>8</v>
      </c>
      <c r="AX447" s="27" t="s">
        <v>7</v>
      </c>
      <c r="AY447" s="27" t="s">
        <v>8</v>
      </c>
      <c r="AZ447" s="27" t="s">
        <v>7</v>
      </c>
      <c r="BE447" s="27" t="s">
        <v>8</v>
      </c>
      <c r="BF447" s="27" t="s">
        <v>7</v>
      </c>
      <c r="BW447" s="27" t="s">
        <v>8</v>
      </c>
      <c r="BX447" s="27" t="s">
        <v>7</v>
      </c>
      <c r="CK447" s="27" t="s">
        <v>8</v>
      </c>
      <c r="CT447" s="27" t="s">
        <v>7</v>
      </c>
      <c r="CU447" s="27" t="s">
        <v>8</v>
      </c>
      <c r="CV447" s="27" t="s">
        <v>7</v>
      </c>
      <c r="CW447" s="27" t="s">
        <v>8</v>
      </c>
      <c r="CX447" s="27" t="s">
        <v>7</v>
      </c>
      <c r="DE447" s="27" t="s">
        <v>8</v>
      </c>
      <c r="DF447" s="27" t="s">
        <v>7</v>
      </c>
      <c r="DK447" s="27" t="s">
        <v>8</v>
      </c>
      <c r="DL447" s="27" t="s">
        <v>7</v>
      </c>
      <c r="EE447" s="27" t="s">
        <v>8</v>
      </c>
      <c r="EF447" s="27" t="s">
        <v>7</v>
      </c>
      <c r="EI447" s="27" t="s">
        <v>8</v>
      </c>
      <c r="ET447" s="27" t="s">
        <v>7</v>
      </c>
      <c r="EU447" s="27" t="s">
        <v>8</v>
      </c>
      <c r="FB447" s="27" t="s">
        <v>7</v>
      </c>
      <c r="FC447" s="27" t="s">
        <v>8</v>
      </c>
      <c r="FD447" s="27" t="s">
        <v>7</v>
      </c>
      <c r="FE447" s="27" t="s">
        <v>8</v>
      </c>
      <c r="FF447" s="27" t="s">
        <v>7</v>
      </c>
      <c r="FG447" s="27" t="s">
        <v>8</v>
      </c>
      <c r="FZ447" s="27" t="s">
        <v>7</v>
      </c>
      <c r="GA447" s="27" t="s">
        <v>8</v>
      </c>
      <c r="GB447" s="27" t="s">
        <v>7</v>
      </c>
      <c r="GC447" s="27" t="s">
        <v>8</v>
      </c>
      <c r="GD447" s="27" t="s">
        <v>7</v>
      </c>
      <c r="GE447" s="27" t="s">
        <v>8</v>
      </c>
      <c r="GF447" s="27" t="s">
        <v>7</v>
      </c>
      <c r="GG447" s="27" t="s">
        <v>8</v>
      </c>
      <c r="GH447" s="27" t="s">
        <v>7</v>
      </c>
      <c r="GI447" s="27" t="s">
        <v>8</v>
      </c>
      <c r="GJ447" s="27" t="s">
        <v>7</v>
      </c>
      <c r="GM447" s="27" t="s">
        <v>8</v>
      </c>
      <c r="GN447" s="27" t="s">
        <v>7</v>
      </c>
    </row>
    <row r="448" spans="1:196" x14ac:dyDescent="0.25">
      <c r="A448" s="7">
        <v>15.682809782308393</v>
      </c>
      <c r="B448"/>
      <c r="C448"/>
      <c r="D448"/>
      <c r="E448"/>
      <c r="AS448" s="27" t="s">
        <v>8</v>
      </c>
      <c r="AX448" s="27" t="s">
        <v>7</v>
      </c>
      <c r="AY448" s="27" t="s">
        <v>8</v>
      </c>
      <c r="AZ448" s="27" t="s">
        <v>7</v>
      </c>
      <c r="BE448" s="27" t="s">
        <v>8</v>
      </c>
      <c r="BF448" s="27" t="s">
        <v>7</v>
      </c>
      <c r="BM448" s="27" t="s">
        <v>8</v>
      </c>
      <c r="BW448" s="27" t="s">
        <v>8</v>
      </c>
      <c r="BX448" s="27" t="s">
        <v>7</v>
      </c>
      <c r="CK448" s="27" t="s">
        <v>8</v>
      </c>
      <c r="CT448" s="27" t="s">
        <v>7</v>
      </c>
      <c r="CU448" s="27" t="s">
        <v>8</v>
      </c>
      <c r="CV448" s="27" t="s">
        <v>7</v>
      </c>
      <c r="CW448" s="27" t="s">
        <v>8</v>
      </c>
      <c r="CX448" s="27" t="s">
        <v>7</v>
      </c>
      <c r="CY448" s="27" t="s">
        <v>8</v>
      </c>
      <c r="DA448" s="27" t="s">
        <v>8</v>
      </c>
      <c r="DE448" s="27" t="s">
        <v>8</v>
      </c>
      <c r="DF448" s="27" t="s">
        <v>7</v>
      </c>
      <c r="DK448" s="27" t="s">
        <v>8</v>
      </c>
      <c r="DL448" s="27" t="s">
        <v>7</v>
      </c>
      <c r="EE448" s="27" t="s">
        <v>8</v>
      </c>
      <c r="EF448" s="27" t="s">
        <v>7</v>
      </c>
      <c r="EI448" s="27" t="s">
        <v>8</v>
      </c>
      <c r="ET448" s="27" t="s">
        <v>7</v>
      </c>
      <c r="EU448" s="27" t="s">
        <v>8</v>
      </c>
      <c r="FB448" s="27" t="s">
        <v>7</v>
      </c>
      <c r="FC448" s="27" t="s">
        <v>8</v>
      </c>
      <c r="FD448" s="27" t="s">
        <v>7</v>
      </c>
      <c r="FE448" s="27" t="s">
        <v>8</v>
      </c>
      <c r="FF448" s="27" t="s">
        <v>7</v>
      </c>
      <c r="FG448" s="27" t="s">
        <v>8</v>
      </c>
      <c r="FZ448" s="27" t="s">
        <v>7</v>
      </c>
      <c r="GA448" s="27" t="s">
        <v>8</v>
      </c>
      <c r="GB448" s="27" t="s">
        <v>7</v>
      </c>
      <c r="GC448" s="27" t="s">
        <v>8</v>
      </c>
      <c r="GD448" s="27" t="s">
        <v>7</v>
      </c>
      <c r="GE448" s="27" t="s">
        <v>8</v>
      </c>
      <c r="GF448" s="27" t="s">
        <v>7</v>
      </c>
      <c r="GG448" s="27" t="s">
        <v>8</v>
      </c>
      <c r="GH448" s="27" t="s">
        <v>7</v>
      </c>
      <c r="GI448" s="27" t="s">
        <v>8</v>
      </c>
      <c r="GJ448" s="27" t="s">
        <v>7</v>
      </c>
      <c r="GM448" s="27" t="s">
        <v>8</v>
      </c>
      <c r="GN448" s="27" t="s">
        <v>7</v>
      </c>
    </row>
    <row r="449" spans="1:210" x14ac:dyDescent="0.25">
      <c r="A449" s="7">
        <v>15.375303708145482</v>
      </c>
      <c r="B449"/>
      <c r="C449"/>
      <c r="D449"/>
      <c r="E449"/>
      <c r="AS449" s="27" t="s">
        <v>8</v>
      </c>
      <c r="AX449" s="27" t="s">
        <v>7</v>
      </c>
      <c r="AY449" s="27" t="s">
        <v>8</v>
      </c>
      <c r="AZ449" s="27" t="s">
        <v>7</v>
      </c>
      <c r="BE449" s="27" t="s">
        <v>8</v>
      </c>
      <c r="BF449" s="27" t="s">
        <v>7</v>
      </c>
      <c r="BM449" s="27" t="s">
        <v>8</v>
      </c>
      <c r="BN449" s="27" t="s">
        <v>7</v>
      </c>
      <c r="BW449" s="27" t="s">
        <v>8</v>
      </c>
      <c r="BX449" s="27" t="s">
        <v>7</v>
      </c>
      <c r="CK449" s="27" t="s">
        <v>8</v>
      </c>
      <c r="CT449" s="27" t="s">
        <v>7</v>
      </c>
      <c r="CU449" s="27" t="s">
        <v>8</v>
      </c>
      <c r="CV449" s="27" t="s">
        <v>7</v>
      </c>
      <c r="CW449" s="27" t="s">
        <v>8</v>
      </c>
      <c r="CX449" s="27" t="s">
        <v>7</v>
      </c>
      <c r="CY449" s="27" t="s">
        <v>8</v>
      </c>
      <c r="CZ449" s="27" t="s">
        <v>7</v>
      </c>
      <c r="DA449" s="27" t="s">
        <v>8</v>
      </c>
      <c r="DB449" s="27" t="s">
        <v>7</v>
      </c>
      <c r="DE449" s="27" t="s">
        <v>8</v>
      </c>
      <c r="DF449" s="27" t="s">
        <v>7</v>
      </c>
      <c r="DK449" s="27" t="s">
        <v>8</v>
      </c>
      <c r="DL449" s="27" t="s">
        <v>7</v>
      </c>
      <c r="EE449" s="27" t="s">
        <v>8</v>
      </c>
      <c r="EF449" s="27" t="s">
        <v>7</v>
      </c>
      <c r="EG449" s="27" t="s">
        <v>8</v>
      </c>
      <c r="EI449" s="27" t="s">
        <v>8</v>
      </c>
      <c r="ET449" s="27" t="s">
        <v>7</v>
      </c>
      <c r="EU449" s="27" t="s">
        <v>8</v>
      </c>
      <c r="FB449" s="27" t="s">
        <v>7</v>
      </c>
      <c r="FC449" s="27" t="s">
        <v>8</v>
      </c>
      <c r="FD449" s="27" t="s">
        <v>7</v>
      </c>
      <c r="FE449" s="27" t="s">
        <v>8</v>
      </c>
      <c r="FF449" s="27" t="s">
        <v>7</v>
      </c>
      <c r="FG449" s="27" t="s">
        <v>8</v>
      </c>
      <c r="FZ449" s="27" t="s">
        <v>7</v>
      </c>
      <c r="GB449" s="27" t="s">
        <v>7</v>
      </c>
      <c r="GD449" s="27" t="s">
        <v>7</v>
      </c>
      <c r="GF449" s="27" t="s">
        <v>7</v>
      </c>
      <c r="GH449" s="27" t="s">
        <v>7</v>
      </c>
      <c r="GI449" s="27" t="s">
        <v>8</v>
      </c>
      <c r="GJ449" s="27" t="s">
        <v>7</v>
      </c>
      <c r="GM449" s="27" t="s">
        <v>8</v>
      </c>
      <c r="GN449" s="27" t="s">
        <v>7</v>
      </c>
    </row>
    <row r="450" spans="1:210" x14ac:dyDescent="0.25">
      <c r="A450" s="7">
        <v>15.073827164848511</v>
      </c>
      <c r="B450"/>
      <c r="C450"/>
      <c r="D450"/>
      <c r="E450"/>
      <c r="AS450" s="27" t="s">
        <v>8</v>
      </c>
      <c r="AX450" s="27" t="s">
        <v>7</v>
      </c>
      <c r="AY450" s="27" t="s">
        <v>8</v>
      </c>
      <c r="AZ450" s="27" t="s">
        <v>7</v>
      </c>
      <c r="BA450" s="27" t="s">
        <v>8</v>
      </c>
      <c r="BE450" s="27" t="s">
        <v>8</v>
      </c>
      <c r="BF450" s="27" t="s">
        <v>7</v>
      </c>
      <c r="BM450" s="27" t="s">
        <v>8</v>
      </c>
      <c r="BN450" s="27" t="s">
        <v>7</v>
      </c>
      <c r="BW450" s="27" t="s">
        <v>8</v>
      </c>
      <c r="BX450" s="27" t="s">
        <v>7</v>
      </c>
      <c r="CK450" s="27" t="s">
        <v>8</v>
      </c>
      <c r="CT450" s="27" t="s">
        <v>7</v>
      </c>
      <c r="CU450" s="27" t="s">
        <v>8</v>
      </c>
      <c r="CV450" s="27" t="s">
        <v>7</v>
      </c>
      <c r="CW450" s="27" t="s">
        <v>8</v>
      </c>
      <c r="CX450" s="27" t="s">
        <v>7</v>
      </c>
      <c r="CY450" s="27" t="s">
        <v>8</v>
      </c>
      <c r="CZ450" s="27" t="s">
        <v>7</v>
      </c>
      <c r="DA450" s="27" t="s">
        <v>8</v>
      </c>
      <c r="DB450" s="27" t="s">
        <v>7</v>
      </c>
      <c r="DE450" s="27" t="s">
        <v>8</v>
      </c>
      <c r="DF450" s="27" t="s">
        <v>7</v>
      </c>
      <c r="DK450" s="27" t="s">
        <v>8</v>
      </c>
      <c r="DL450" s="27" t="s">
        <v>7</v>
      </c>
      <c r="EE450" s="27" t="s">
        <v>8</v>
      </c>
      <c r="EF450" s="27" t="s">
        <v>7</v>
      </c>
      <c r="EG450" s="27" t="s">
        <v>8</v>
      </c>
      <c r="EH450" s="27" t="s">
        <v>7</v>
      </c>
      <c r="EI450" s="27" t="s">
        <v>8</v>
      </c>
      <c r="ET450" s="27" t="s">
        <v>7</v>
      </c>
      <c r="EU450" s="27" t="s">
        <v>8</v>
      </c>
      <c r="FB450" s="27" t="s">
        <v>7</v>
      </c>
      <c r="FC450" s="27" t="s">
        <v>8</v>
      </c>
      <c r="FD450" s="27" t="s">
        <v>7</v>
      </c>
      <c r="FF450" s="27" t="s">
        <v>7</v>
      </c>
      <c r="GH450" s="27" t="s">
        <v>7</v>
      </c>
      <c r="GI450" s="27" t="s">
        <v>8</v>
      </c>
      <c r="GJ450" s="27" t="s">
        <v>7</v>
      </c>
      <c r="GM450" s="27" t="s">
        <v>8</v>
      </c>
      <c r="GN450" s="27" t="s">
        <v>7</v>
      </c>
      <c r="GS450" s="27" t="s">
        <v>8</v>
      </c>
    </row>
    <row r="451" spans="1:210" x14ac:dyDescent="0.25">
      <c r="A451" s="7">
        <v>14.77826192632207</v>
      </c>
      <c r="B451"/>
      <c r="C451"/>
      <c r="D451"/>
      <c r="E451"/>
      <c r="AS451" s="27" t="s">
        <v>8</v>
      </c>
      <c r="AX451" s="27" t="s">
        <v>7</v>
      </c>
      <c r="AY451" s="27" t="s">
        <v>8</v>
      </c>
      <c r="AZ451" s="27" t="s">
        <v>7</v>
      </c>
      <c r="BA451" s="27" t="s">
        <v>8</v>
      </c>
      <c r="BB451" s="27" t="s">
        <v>7</v>
      </c>
      <c r="BE451" s="27" t="s">
        <v>8</v>
      </c>
      <c r="BF451" s="27" t="s">
        <v>7</v>
      </c>
      <c r="BI451" s="27" t="s">
        <v>8</v>
      </c>
      <c r="BM451" s="27" t="s">
        <v>8</v>
      </c>
      <c r="BN451" s="27" t="s">
        <v>7</v>
      </c>
      <c r="BW451" s="27" t="s">
        <v>8</v>
      </c>
      <c r="BX451" s="27" t="s">
        <v>7</v>
      </c>
      <c r="BY451" s="27" t="s">
        <v>8</v>
      </c>
      <c r="CK451" s="27" t="s">
        <v>8</v>
      </c>
      <c r="CT451" s="27" t="s">
        <v>7</v>
      </c>
      <c r="CU451" s="27" t="s">
        <v>8</v>
      </c>
      <c r="CV451" s="27" t="s">
        <v>7</v>
      </c>
      <c r="CW451" s="27" t="s">
        <v>8</v>
      </c>
      <c r="CX451" s="27" t="s">
        <v>7</v>
      </c>
      <c r="CY451" s="27" t="s">
        <v>8</v>
      </c>
      <c r="CZ451" s="27" t="s">
        <v>7</v>
      </c>
      <c r="DA451" s="27" t="s">
        <v>8</v>
      </c>
      <c r="DB451" s="27" t="s">
        <v>7</v>
      </c>
      <c r="DE451" s="27" t="s">
        <v>8</v>
      </c>
      <c r="DF451" s="27" t="s">
        <v>7</v>
      </c>
      <c r="DK451" s="27" t="s">
        <v>8</v>
      </c>
      <c r="DL451" s="27" t="s">
        <v>7</v>
      </c>
      <c r="EE451" s="27" t="s">
        <v>8</v>
      </c>
      <c r="EF451" s="27" t="s">
        <v>7</v>
      </c>
      <c r="EG451" s="27" t="s">
        <v>8</v>
      </c>
      <c r="EH451" s="27" t="s">
        <v>7</v>
      </c>
      <c r="EI451" s="27" t="s">
        <v>8</v>
      </c>
      <c r="ET451" s="27" t="s">
        <v>7</v>
      </c>
      <c r="FB451" s="27" t="s">
        <v>7</v>
      </c>
      <c r="GH451" s="27" t="s">
        <v>7</v>
      </c>
      <c r="GI451" s="27" t="s">
        <v>8</v>
      </c>
      <c r="GJ451" s="27" t="s">
        <v>7</v>
      </c>
      <c r="GM451" s="27" t="s">
        <v>8</v>
      </c>
      <c r="GN451" s="27" t="s">
        <v>7</v>
      </c>
      <c r="GS451" s="27" t="s">
        <v>8</v>
      </c>
      <c r="GT451" s="27" t="s">
        <v>7</v>
      </c>
    </row>
    <row r="452" spans="1:210" x14ac:dyDescent="0.25">
      <c r="A452" s="7">
        <v>14.488492084629481</v>
      </c>
      <c r="B452"/>
      <c r="C452"/>
      <c r="D452"/>
      <c r="E452"/>
      <c r="AS452" s="27" t="s">
        <v>8</v>
      </c>
      <c r="AX452" s="27" t="s">
        <v>7</v>
      </c>
      <c r="AY452" s="27" t="s">
        <v>8</v>
      </c>
      <c r="AZ452" s="27" t="s">
        <v>7</v>
      </c>
      <c r="BA452" s="27" t="s">
        <v>8</v>
      </c>
      <c r="BB452" s="27" t="s">
        <v>7</v>
      </c>
      <c r="BE452" s="27" t="s">
        <v>8</v>
      </c>
      <c r="BF452" s="27" t="s">
        <v>7</v>
      </c>
      <c r="BI452" s="27" t="s">
        <v>8</v>
      </c>
      <c r="BJ452" s="27" t="s">
        <v>7</v>
      </c>
      <c r="BK452" s="27" t="s">
        <v>8</v>
      </c>
      <c r="BM452" s="27" t="s">
        <v>8</v>
      </c>
      <c r="BN452" s="27" t="s">
        <v>7</v>
      </c>
      <c r="BW452" s="27" t="s">
        <v>8</v>
      </c>
      <c r="BX452" s="27" t="s">
        <v>7</v>
      </c>
      <c r="BY452" s="27" t="s">
        <v>8</v>
      </c>
      <c r="BZ452" s="27" t="s">
        <v>7</v>
      </c>
      <c r="CK452" s="27" t="s">
        <v>8</v>
      </c>
      <c r="CT452" s="27" t="s">
        <v>7</v>
      </c>
      <c r="CU452" s="27" t="s">
        <v>8</v>
      </c>
      <c r="CV452" s="27" t="s">
        <v>7</v>
      </c>
      <c r="CW452" s="27" t="s">
        <v>8</v>
      </c>
      <c r="CX452" s="27" t="s">
        <v>7</v>
      </c>
      <c r="CY452" s="27" t="s">
        <v>8</v>
      </c>
      <c r="CZ452" s="27" t="s">
        <v>7</v>
      </c>
      <c r="DA452" s="27" t="s">
        <v>8</v>
      </c>
      <c r="DB452" s="27" t="s">
        <v>7</v>
      </c>
      <c r="DE452" s="27" t="s">
        <v>8</v>
      </c>
      <c r="DF452" s="27" t="s">
        <v>7</v>
      </c>
      <c r="DG452" s="27" t="s">
        <v>8</v>
      </c>
      <c r="DI452" s="27" t="s">
        <v>8</v>
      </c>
      <c r="DK452" s="27" t="s">
        <v>8</v>
      </c>
      <c r="DL452" s="27" t="s">
        <v>7</v>
      </c>
      <c r="DQ452" s="27" t="s">
        <v>8</v>
      </c>
      <c r="DY452" s="27" t="s">
        <v>8</v>
      </c>
      <c r="EE452" s="27" t="s">
        <v>8</v>
      </c>
      <c r="EF452" s="27" t="s">
        <v>7</v>
      </c>
      <c r="EG452" s="27" t="s">
        <v>8</v>
      </c>
      <c r="EH452" s="27" t="s">
        <v>7</v>
      </c>
      <c r="GH452" s="27" t="s">
        <v>7</v>
      </c>
      <c r="GI452" s="27" t="s">
        <v>8</v>
      </c>
      <c r="GJ452" s="27" t="s">
        <v>7</v>
      </c>
      <c r="GM452" s="27" t="s">
        <v>8</v>
      </c>
      <c r="GN452" s="27" t="s">
        <v>7</v>
      </c>
      <c r="GO452" s="27" t="s">
        <v>8</v>
      </c>
      <c r="GS452" s="27" t="s">
        <v>8</v>
      </c>
      <c r="GT452" s="27" t="s">
        <v>7</v>
      </c>
      <c r="HA452" s="27" t="s">
        <v>8</v>
      </c>
    </row>
    <row r="453" spans="1:210" x14ac:dyDescent="0.25">
      <c r="A453" s="7">
        <v>14.204404004538707</v>
      </c>
      <c r="B453"/>
      <c r="C453"/>
      <c r="D453"/>
      <c r="E453"/>
      <c r="AS453" s="27" t="s">
        <v>8</v>
      </c>
      <c r="AX453" s="27" t="s">
        <v>7</v>
      </c>
      <c r="AY453" s="27" t="s">
        <v>8</v>
      </c>
      <c r="AZ453" s="27" t="s">
        <v>7</v>
      </c>
      <c r="BA453" s="27" t="s">
        <v>8</v>
      </c>
      <c r="BB453" s="27" t="s">
        <v>7</v>
      </c>
      <c r="BE453" s="27" t="s">
        <v>8</v>
      </c>
      <c r="BF453" s="27" t="s">
        <v>7</v>
      </c>
      <c r="BI453" s="27" t="s">
        <v>8</v>
      </c>
      <c r="BJ453" s="27" t="s">
        <v>7</v>
      </c>
      <c r="BK453" s="27" t="s">
        <v>8</v>
      </c>
      <c r="BL453" s="27" t="s">
        <v>7</v>
      </c>
      <c r="BM453" s="27" t="s">
        <v>8</v>
      </c>
      <c r="BN453" s="27" t="s">
        <v>7</v>
      </c>
      <c r="BW453" s="27" t="s">
        <v>8</v>
      </c>
      <c r="BX453" s="27" t="s">
        <v>7</v>
      </c>
      <c r="BY453" s="27" t="s">
        <v>8</v>
      </c>
      <c r="BZ453" s="27" t="s">
        <v>7</v>
      </c>
      <c r="CK453" s="27" t="s">
        <v>8</v>
      </c>
      <c r="CT453" s="27" t="s">
        <v>7</v>
      </c>
      <c r="CU453" s="27" t="s">
        <v>8</v>
      </c>
      <c r="CV453" s="27" t="s">
        <v>7</v>
      </c>
      <c r="CW453" s="27" t="s">
        <v>8</v>
      </c>
      <c r="CX453" s="27" t="s">
        <v>7</v>
      </c>
      <c r="CY453" s="27" t="s">
        <v>8</v>
      </c>
      <c r="CZ453" s="27" t="s">
        <v>7</v>
      </c>
      <c r="DB453" s="27" t="s">
        <v>7</v>
      </c>
      <c r="DE453" s="27" t="s">
        <v>8</v>
      </c>
      <c r="DF453" s="27" t="s">
        <v>7</v>
      </c>
      <c r="DG453" s="27" t="s">
        <v>8</v>
      </c>
      <c r="DH453" s="27" t="s">
        <v>7</v>
      </c>
      <c r="DI453" s="27" t="s">
        <v>8</v>
      </c>
      <c r="DJ453" s="27" t="s">
        <v>7</v>
      </c>
      <c r="DK453" s="27" t="s">
        <v>8</v>
      </c>
      <c r="DL453" s="27" t="s">
        <v>7</v>
      </c>
      <c r="DQ453" s="27" t="s">
        <v>8</v>
      </c>
      <c r="DR453" s="27" t="s">
        <v>7</v>
      </c>
      <c r="DY453" s="27" t="s">
        <v>8</v>
      </c>
      <c r="DZ453" s="27" t="s">
        <v>7</v>
      </c>
      <c r="EA453" s="27" t="s">
        <v>8</v>
      </c>
      <c r="EE453" s="27" t="s">
        <v>8</v>
      </c>
      <c r="EF453" s="27" t="s">
        <v>7</v>
      </c>
      <c r="EG453" s="27" t="s">
        <v>8</v>
      </c>
      <c r="GH453" s="27" t="s">
        <v>7</v>
      </c>
      <c r="GI453" s="27" t="s">
        <v>8</v>
      </c>
      <c r="GJ453" s="27" t="s">
        <v>7</v>
      </c>
      <c r="GM453" s="27" t="s">
        <v>8</v>
      </c>
      <c r="GN453" s="27" t="s">
        <v>7</v>
      </c>
      <c r="GO453" s="27" t="s">
        <v>8</v>
      </c>
      <c r="GP453" s="27" t="s">
        <v>7</v>
      </c>
      <c r="GS453" s="27" t="s">
        <v>8</v>
      </c>
      <c r="GT453" s="27" t="s">
        <v>7</v>
      </c>
      <c r="HA453" s="27" t="s">
        <v>8</v>
      </c>
      <c r="HB453" s="27" t="s">
        <v>7</v>
      </c>
    </row>
    <row r="454" spans="1:210" x14ac:dyDescent="0.25">
      <c r="A454" s="7">
        <v>13.925886278959517</v>
      </c>
      <c r="B454"/>
      <c r="C454"/>
      <c r="D454"/>
      <c r="E454"/>
      <c r="AS454" s="27" t="s">
        <v>8</v>
      </c>
      <c r="AX454" s="27" t="s">
        <v>7</v>
      </c>
      <c r="AY454" s="27" t="s">
        <v>8</v>
      </c>
      <c r="AZ454" s="27" t="s">
        <v>7</v>
      </c>
      <c r="BA454" s="27" t="s">
        <v>8</v>
      </c>
      <c r="BB454" s="27" t="s">
        <v>7</v>
      </c>
      <c r="BE454" s="27" t="s">
        <v>8</v>
      </c>
      <c r="BF454" s="27" t="s">
        <v>7</v>
      </c>
      <c r="BI454" s="27" t="s">
        <v>8</v>
      </c>
      <c r="BJ454" s="27" t="s">
        <v>7</v>
      </c>
      <c r="BK454" s="27" t="s">
        <v>8</v>
      </c>
      <c r="BL454" s="27" t="s">
        <v>7</v>
      </c>
      <c r="BM454" s="27" t="s">
        <v>8</v>
      </c>
      <c r="BN454" s="27" t="s">
        <v>7</v>
      </c>
      <c r="BW454" s="27" t="s">
        <v>8</v>
      </c>
      <c r="BX454" s="27" t="s">
        <v>7</v>
      </c>
      <c r="BY454" s="27" t="s">
        <v>8</v>
      </c>
      <c r="BZ454" s="27" t="s">
        <v>7</v>
      </c>
      <c r="CC454" s="27" t="s">
        <v>8</v>
      </c>
      <c r="CK454" s="27" t="s">
        <v>8</v>
      </c>
      <c r="CT454" s="27" t="s">
        <v>7</v>
      </c>
      <c r="CU454" s="27" t="s">
        <v>8</v>
      </c>
      <c r="CV454" s="27" t="s">
        <v>7</v>
      </c>
      <c r="CW454" s="27" t="s">
        <v>8</v>
      </c>
      <c r="CX454" s="27" t="s">
        <v>7</v>
      </c>
      <c r="CY454" s="27" t="s">
        <v>8</v>
      </c>
      <c r="DB454" s="27" t="s">
        <v>7</v>
      </c>
      <c r="DC454" s="27" t="s">
        <v>8</v>
      </c>
      <c r="DE454" s="27" t="s">
        <v>8</v>
      </c>
      <c r="DF454" s="27" t="s">
        <v>7</v>
      </c>
      <c r="DG454" s="27" t="s">
        <v>8</v>
      </c>
      <c r="DH454" s="27" t="s">
        <v>7</v>
      </c>
      <c r="DI454" s="27" t="s">
        <v>8</v>
      </c>
      <c r="DJ454" s="27" t="s">
        <v>7</v>
      </c>
      <c r="DK454" s="27" t="s">
        <v>8</v>
      </c>
      <c r="DL454" s="27" t="s">
        <v>7</v>
      </c>
      <c r="DQ454" s="27" t="s">
        <v>8</v>
      </c>
      <c r="DR454" s="27" t="s">
        <v>7</v>
      </c>
      <c r="DY454" s="27" t="s">
        <v>8</v>
      </c>
      <c r="DZ454" s="27" t="s">
        <v>7</v>
      </c>
      <c r="EA454" s="27" t="s">
        <v>8</v>
      </c>
      <c r="EB454" s="27" t="s">
        <v>7</v>
      </c>
      <c r="EE454" s="27" t="s">
        <v>8</v>
      </c>
      <c r="EF454" s="27" t="s">
        <v>7</v>
      </c>
      <c r="EG454" s="27" t="s">
        <v>8</v>
      </c>
      <c r="GH454" s="27" t="s">
        <v>7</v>
      </c>
      <c r="GI454" s="27" t="s">
        <v>8</v>
      </c>
      <c r="GJ454" s="27" t="s">
        <v>7</v>
      </c>
      <c r="GM454" s="27" t="s">
        <v>8</v>
      </c>
      <c r="GN454" s="27" t="s">
        <v>7</v>
      </c>
      <c r="GO454" s="27" t="s">
        <v>8</v>
      </c>
      <c r="GP454" s="27" t="s">
        <v>7</v>
      </c>
      <c r="GS454" s="27" t="s">
        <v>8</v>
      </c>
      <c r="GT454" s="27" t="s">
        <v>7</v>
      </c>
      <c r="HA454" s="27" t="s">
        <v>8</v>
      </c>
      <c r="HB454" s="27" t="s">
        <v>7</v>
      </c>
    </row>
    <row r="455" spans="1:210" x14ac:dyDescent="0.25">
      <c r="A455" s="7">
        <v>13.652829685254428</v>
      </c>
      <c r="B455"/>
      <c r="C455"/>
      <c r="D455"/>
      <c r="E455"/>
      <c r="AS455" s="27" t="s">
        <v>8</v>
      </c>
      <c r="AX455" s="27" t="s">
        <v>7</v>
      </c>
      <c r="AY455" s="27" t="s">
        <v>8</v>
      </c>
      <c r="AZ455" s="27" t="s">
        <v>7</v>
      </c>
      <c r="BA455" s="27" t="s">
        <v>8</v>
      </c>
      <c r="BB455" s="27" t="s">
        <v>7</v>
      </c>
      <c r="BE455" s="27" t="s">
        <v>8</v>
      </c>
      <c r="BF455" s="27" t="s">
        <v>7</v>
      </c>
      <c r="BG455" s="27" t="s">
        <v>8</v>
      </c>
      <c r="BI455" s="27" t="s">
        <v>8</v>
      </c>
      <c r="BJ455" s="27" t="s">
        <v>7</v>
      </c>
      <c r="BK455" s="27" t="s">
        <v>8</v>
      </c>
      <c r="BL455" s="27" t="s">
        <v>7</v>
      </c>
      <c r="BM455" s="27" t="s">
        <v>8</v>
      </c>
      <c r="BN455" s="27" t="s">
        <v>7</v>
      </c>
      <c r="BO455" s="27" t="s">
        <v>8</v>
      </c>
      <c r="BW455" s="27" t="s">
        <v>8</v>
      </c>
      <c r="BX455" s="27" t="s">
        <v>7</v>
      </c>
      <c r="BY455" s="27" t="s">
        <v>8</v>
      </c>
      <c r="BZ455" s="27" t="s">
        <v>7</v>
      </c>
      <c r="CA455" s="27" t="s">
        <v>8</v>
      </c>
      <c r="CC455" s="27" t="s">
        <v>8</v>
      </c>
      <c r="CD455" s="27" t="s">
        <v>7</v>
      </c>
      <c r="CK455" s="27" t="s">
        <v>8</v>
      </c>
      <c r="CT455" s="27" t="s">
        <v>7</v>
      </c>
      <c r="CU455" s="27" t="s">
        <v>8</v>
      </c>
      <c r="CV455" s="27" t="s">
        <v>7</v>
      </c>
      <c r="CW455" s="27" t="s">
        <v>8</v>
      </c>
      <c r="CX455" s="27" t="s">
        <v>7</v>
      </c>
      <c r="CY455" s="27" t="s">
        <v>8</v>
      </c>
      <c r="DB455" s="27" t="s">
        <v>7</v>
      </c>
      <c r="DC455" s="27" t="s">
        <v>8</v>
      </c>
      <c r="DD455" s="27" t="s">
        <v>7</v>
      </c>
      <c r="DE455" s="27" t="s">
        <v>8</v>
      </c>
      <c r="DF455" s="27" t="s">
        <v>7</v>
      </c>
      <c r="DG455" s="27" t="s">
        <v>8</v>
      </c>
      <c r="DH455" s="27" t="s">
        <v>7</v>
      </c>
      <c r="DI455" s="27" t="s">
        <v>8</v>
      </c>
      <c r="DJ455" s="27" t="s">
        <v>7</v>
      </c>
      <c r="DK455" s="27" t="s">
        <v>8</v>
      </c>
      <c r="DL455" s="27" t="s">
        <v>7</v>
      </c>
      <c r="DQ455" s="27" t="s">
        <v>8</v>
      </c>
      <c r="DR455" s="27" t="s">
        <v>7</v>
      </c>
      <c r="DS455" s="27" t="s">
        <v>8</v>
      </c>
      <c r="DY455" s="27" t="s">
        <v>8</v>
      </c>
      <c r="DZ455" s="27" t="s">
        <v>7</v>
      </c>
      <c r="EA455" s="27" t="s">
        <v>8</v>
      </c>
      <c r="EB455" s="27" t="s">
        <v>7</v>
      </c>
      <c r="EE455" s="27" t="s">
        <v>8</v>
      </c>
      <c r="EF455" s="27" t="s">
        <v>7</v>
      </c>
      <c r="GH455" s="27" t="s">
        <v>7</v>
      </c>
      <c r="GI455" s="27" t="s">
        <v>8</v>
      </c>
      <c r="GJ455" s="27" t="s">
        <v>7</v>
      </c>
      <c r="GM455" s="27" t="s">
        <v>8</v>
      </c>
      <c r="GN455" s="27" t="s">
        <v>7</v>
      </c>
      <c r="GO455" s="27" t="s">
        <v>8</v>
      </c>
      <c r="GP455" s="27" t="s">
        <v>7</v>
      </c>
      <c r="GQ455" s="27" t="s">
        <v>8</v>
      </c>
      <c r="GS455" s="27" t="s">
        <v>8</v>
      </c>
      <c r="GT455" s="27" t="s">
        <v>7</v>
      </c>
      <c r="HA455" s="27" t="s">
        <v>8</v>
      </c>
      <c r="HB455" s="27" t="s">
        <v>7</v>
      </c>
    </row>
    <row r="456" spans="1:210" x14ac:dyDescent="0.25">
      <c r="A456" s="7">
        <v>13.385127142406303</v>
      </c>
      <c r="B456"/>
      <c r="C456"/>
      <c r="D456"/>
      <c r="E456"/>
      <c r="AS456" s="27" t="s">
        <v>8</v>
      </c>
      <c r="AX456" s="27" t="s">
        <v>7</v>
      </c>
      <c r="AY456" s="27" t="s">
        <v>8</v>
      </c>
      <c r="AZ456" s="27" t="s">
        <v>7</v>
      </c>
      <c r="BA456" s="27" t="s">
        <v>8</v>
      </c>
      <c r="BB456" s="27" t="s">
        <v>7</v>
      </c>
      <c r="BC456" s="27" t="s">
        <v>8</v>
      </c>
      <c r="BE456" s="27" t="s">
        <v>8</v>
      </c>
      <c r="BF456" s="27" t="s">
        <v>7</v>
      </c>
      <c r="BG456" s="27" t="s">
        <v>8</v>
      </c>
      <c r="BH456" s="27" t="s">
        <v>7</v>
      </c>
      <c r="BI456" s="27" t="s">
        <v>8</v>
      </c>
      <c r="BJ456" s="27" t="s">
        <v>7</v>
      </c>
      <c r="BK456" s="27" t="s">
        <v>8</v>
      </c>
      <c r="BL456" s="27" t="s">
        <v>7</v>
      </c>
      <c r="BM456" s="27" t="s">
        <v>8</v>
      </c>
      <c r="BN456" s="27" t="s">
        <v>7</v>
      </c>
      <c r="BO456" s="27" t="s">
        <v>8</v>
      </c>
      <c r="BP456" s="27" t="s">
        <v>7</v>
      </c>
      <c r="BW456" s="27" t="s">
        <v>8</v>
      </c>
      <c r="BX456" s="27" t="s">
        <v>7</v>
      </c>
      <c r="BY456" s="27" t="s">
        <v>8</v>
      </c>
      <c r="BZ456" s="27" t="s">
        <v>7</v>
      </c>
      <c r="CA456" s="27" t="s">
        <v>8</v>
      </c>
      <c r="CB456" s="27" t="s">
        <v>7</v>
      </c>
      <c r="CC456" s="27" t="s">
        <v>8</v>
      </c>
      <c r="CD456" s="27" t="s">
        <v>7</v>
      </c>
      <c r="CK456" s="27" t="s">
        <v>8</v>
      </c>
      <c r="CT456" s="27" t="s">
        <v>7</v>
      </c>
      <c r="CU456" s="27" t="s">
        <v>8</v>
      </c>
      <c r="CV456" s="27" t="s">
        <v>7</v>
      </c>
      <c r="CW456" s="27" t="s">
        <v>8</v>
      </c>
      <c r="CX456" s="27" t="s">
        <v>7</v>
      </c>
      <c r="CY456" s="27" t="s">
        <v>8</v>
      </c>
      <c r="DB456" s="27" t="s">
        <v>7</v>
      </c>
      <c r="DC456" s="27" t="s">
        <v>8</v>
      </c>
      <c r="DD456" s="27" t="s">
        <v>7</v>
      </c>
      <c r="DE456" s="27" t="s">
        <v>8</v>
      </c>
      <c r="DF456" s="27" t="s">
        <v>7</v>
      </c>
      <c r="DG456" s="27" t="s">
        <v>8</v>
      </c>
      <c r="DH456" s="27" t="s">
        <v>7</v>
      </c>
      <c r="DJ456" s="27" t="s">
        <v>7</v>
      </c>
      <c r="DK456" s="27" t="s">
        <v>8</v>
      </c>
      <c r="DL456" s="27" t="s">
        <v>7</v>
      </c>
      <c r="DQ456" s="27" t="s">
        <v>8</v>
      </c>
      <c r="DR456" s="27" t="s">
        <v>7</v>
      </c>
      <c r="DS456" s="27" t="s">
        <v>8</v>
      </c>
      <c r="DT456" s="27" t="s">
        <v>7</v>
      </c>
      <c r="DU456" s="27" t="s">
        <v>8</v>
      </c>
      <c r="DY456" s="27" t="s">
        <v>8</v>
      </c>
      <c r="DZ456" s="27" t="s">
        <v>7</v>
      </c>
      <c r="EA456" s="27" t="s">
        <v>8</v>
      </c>
      <c r="EB456" s="27" t="s">
        <v>7</v>
      </c>
      <c r="EC456" s="27" t="s">
        <v>8</v>
      </c>
      <c r="EE456" s="27" t="s">
        <v>8</v>
      </c>
      <c r="GH456" s="27" t="s">
        <v>7</v>
      </c>
      <c r="GI456" s="27" t="s">
        <v>8</v>
      </c>
      <c r="GJ456" s="27" t="s">
        <v>7</v>
      </c>
      <c r="GM456" s="27" t="s">
        <v>8</v>
      </c>
      <c r="GN456" s="27" t="s">
        <v>7</v>
      </c>
      <c r="GO456" s="27" t="s">
        <v>8</v>
      </c>
      <c r="GP456" s="27" t="s">
        <v>7</v>
      </c>
      <c r="GQ456" s="27" t="s">
        <v>8</v>
      </c>
      <c r="GR456" s="27" t="s">
        <v>7</v>
      </c>
      <c r="GS456" s="27" t="s">
        <v>8</v>
      </c>
      <c r="GT456" s="27" t="s">
        <v>7</v>
      </c>
      <c r="HA456" s="27" t="s">
        <v>8</v>
      </c>
      <c r="HB456" s="27" t="s">
        <v>7</v>
      </c>
    </row>
    <row r="457" spans="1:210" x14ac:dyDescent="0.25">
      <c r="A457" s="7">
        <v>13.122673669025787</v>
      </c>
      <c r="B457"/>
      <c r="C457"/>
      <c r="D457"/>
      <c r="E457"/>
      <c r="AS457" s="27" t="s">
        <v>8</v>
      </c>
      <c r="AX457" s="27" t="s">
        <v>7</v>
      </c>
      <c r="AY457" s="27" t="s">
        <v>8</v>
      </c>
      <c r="AZ457" s="27" t="s">
        <v>7</v>
      </c>
      <c r="BA457" s="27" t="s">
        <v>8</v>
      </c>
      <c r="BB457" s="27" t="s">
        <v>7</v>
      </c>
      <c r="BC457" s="27" t="s">
        <v>8</v>
      </c>
      <c r="BD457" s="27" t="s">
        <v>7</v>
      </c>
      <c r="BE457" s="27" t="s">
        <v>8</v>
      </c>
      <c r="BF457" s="27" t="s">
        <v>7</v>
      </c>
      <c r="BG457" s="27" t="s">
        <v>8</v>
      </c>
      <c r="BH457" s="27" t="s">
        <v>7</v>
      </c>
      <c r="BI457" s="27" t="s">
        <v>8</v>
      </c>
      <c r="BJ457" s="27" t="s">
        <v>7</v>
      </c>
      <c r="BK457" s="27" t="s">
        <v>8</v>
      </c>
      <c r="BL457" s="27" t="s">
        <v>7</v>
      </c>
      <c r="BM457" s="27" t="s">
        <v>8</v>
      </c>
      <c r="BN457" s="27" t="s">
        <v>7</v>
      </c>
      <c r="BO457" s="27" t="s">
        <v>8</v>
      </c>
      <c r="BP457" s="27" t="s">
        <v>7</v>
      </c>
      <c r="BW457" s="27" t="s">
        <v>8</v>
      </c>
      <c r="BX457" s="27" t="s">
        <v>7</v>
      </c>
      <c r="BY457" s="27" t="s">
        <v>8</v>
      </c>
      <c r="BZ457" s="27" t="s">
        <v>7</v>
      </c>
      <c r="CA457" s="27" t="s">
        <v>8</v>
      </c>
      <c r="CB457" s="27" t="s">
        <v>7</v>
      </c>
      <c r="CC457" s="27" t="s">
        <v>8</v>
      </c>
      <c r="CD457" s="27" t="s">
        <v>7</v>
      </c>
      <c r="CK457" s="27" t="s">
        <v>8</v>
      </c>
      <c r="CT457" s="27" t="s">
        <v>7</v>
      </c>
      <c r="CU457" s="27" t="s">
        <v>8</v>
      </c>
      <c r="CV457" s="27" t="s">
        <v>7</v>
      </c>
      <c r="CW457" s="27" t="s">
        <v>8</v>
      </c>
      <c r="CX457" s="27" t="s">
        <v>7</v>
      </c>
      <c r="CY457" s="27" t="s">
        <v>8</v>
      </c>
      <c r="DB457" s="27" t="s">
        <v>7</v>
      </c>
      <c r="DC457" s="27" t="s">
        <v>8</v>
      </c>
      <c r="DD457" s="27" t="s">
        <v>7</v>
      </c>
      <c r="DE457" s="27" t="s">
        <v>8</v>
      </c>
      <c r="DF457" s="27" t="s">
        <v>7</v>
      </c>
      <c r="DG457" s="27" t="s">
        <v>8</v>
      </c>
      <c r="DJ457" s="27" t="s">
        <v>7</v>
      </c>
      <c r="DK457" s="27" t="s">
        <v>8</v>
      </c>
      <c r="DL457" s="27" t="s">
        <v>7</v>
      </c>
      <c r="DQ457" s="27" t="s">
        <v>8</v>
      </c>
      <c r="DR457" s="27" t="s">
        <v>7</v>
      </c>
      <c r="DS457" s="27" t="s">
        <v>8</v>
      </c>
      <c r="DT457" s="27" t="s">
        <v>7</v>
      </c>
      <c r="DU457" s="27" t="s">
        <v>8</v>
      </c>
      <c r="DV457" s="27" t="s">
        <v>7</v>
      </c>
      <c r="DY457" s="27" t="s">
        <v>8</v>
      </c>
      <c r="DZ457" s="27" t="s">
        <v>7</v>
      </c>
      <c r="EA457" s="27" t="s">
        <v>8</v>
      </c>
      <c r="EB457" s="27" t="s">
        <v>7</v>
      </c>
      <c r="EC457" s="27" t="s">
        <v>8</v>
      </c>
      <c r="ED457" s="27" t="s">
        <v>7</v>
      </c>
      <c r="EE457" s="27" t="s">
        <v>8</v>
      </c>
      <c r="GH457" s="27" t="s">
        <v>7</v>
      </c>
      <c r="GI457" s="27" t="s">
        <v>8</v>
      </c>
      <c r="GJ457" s="27" t="s">
        <v>7</v>
      </c>
      <c r="GM457" s="27" t="s">
        <v>8</v>
      </c>
      <c r="GN457" s="27" t="s">
        <v>7</v>
      </c>
      <c r="GO457" s="27" t="s">
        <v>8</v>
      </c>
      <c r="GP457" s="27" t="s">
        <v>7</v>
      </c>
      <c r="GQ457" s="27" t="s">
        <v>8</v>
      </c>
      <c r="GR457" s="27" t="s">
        <v>7</v>
      </c>
      <c r="GS457" s="27" t="s">
        <v>8</v>
      </c>
      <c r="GT457" s="27" t="s">
        <v>7</v>
      </c>
      <c r="GU457" s="27" t="s">
        <v>8</v>
      </c>
      <c r="HA457" s="27" t="s">
        <v>8</v>
      </c>
      <c r="HB457" s="27" t="s">
        <v>7</v>
      </c>
    </row>
    <row r="458" spans="1:210" x14ac:dyDescent="0.25">
      <c r="A458" s="7">
        <v>12.865366342182144</v>
      </c>
      <c r="B458"/>
      <c r="C458"/>
      <c r="D458"/>
      <c r="E458"/>
      <c r="AS458" s="27" t="s">
        <v>8</v>
      </c>
      <c r="AX458" s="27" t="s">
        <v>7</v>
      </c>
      <c r="AY458" s="27" t="s">
        <v>8</v>
      </c>
      <c r="AZ458" s="27" t="s">
        <v>7</v>
      </c>
      <c r="BA458" s="27" t="s">
        <v>8</v>
      </c>
      <c r="BB458" s="27" t="s">
        <v>7</v>
      </c>
      <c r="BC458" s="27" t="s">
        <v>8</v>
      </c>
      <c r="BD458" s="27" t="s">
        <v>7</v>
      </c>
      <c r="BE458" s="27" t="s">
        <v>8</v>
      </c>
      <c r="BF458" s="27" t="s">
        <v>7</v>
      </c>
      <c r="BG458" s="27" t="s">
        <v>8</v>
      </c>
      <c r="BH458" s="27" t="s">
        <v>7</v>
      </c>
      <c r="BI458" s="27" t="s">
        <v>8</v>
      </c>
      <c r="BJ458" s="27" t="s">
        <v>7</v>
      </c>
      <c r="BK458" s="27" t="s">
        <v>8</v>
      </c>
      <c r="BL458" s="27" t="s">
        <v>7</v>
      </c>
      <c r="BM458" s="27" t="s">
        <v>8</v>
      </c>
      <c r="BN458" s="27" t="s">
        <v>7</v>
      </c>
      <c r="BO458" s="27" t="s">
        <v>8</v>
      </c>
      <c r="BP458" s="27" t="s">
        <v>7</v>
      </c>
      <c r="BW458" s="27" t="s">
        <v>8</v>
      </c>
      <c r="BX458" s="27" t="s">
        <v>7</v>
      </c>
      <c r="BY458" s="27" t="s">
        <v>8</v>
      </c>
      <c r="BZ458" s="27" t="s">
        <v>7</v>
      </c>
      <c r="CA458" s="27" t="s">
        <v>8</v>
      </c>
      <c r="CB458" s="27" t="s">
        <v>7</v>
      </c>
      <c r="CC458" s="27" t="s">
        <v>8</v>
      </c>
      <c r="CD458" s="27" t="s">
        <v>7</v>
      </c>
      <c r="CE458" s="27" t="s">
        <v>8</v>
      </c>
      <c r="CK458" s="27" t="s">
        <v>8</v>
      </c>
      <c r="CT458" s="27" t="s">
        <v>7</v>
      </c>
      <c r="CU458" s="27" t="s">
        <v>8</v>
      </c>
      <c r="CV458" s="27" t="s">
        <v>7</v>
      </c>
      <c r="CW458" s="27" t="s">
        <v>8</v>
      </c>
      <c r="CX458" s="27" t="s">
        <v>7</v>
      </c>
      <c r="CY458" s="27" t="s">
        <v>8</v>
      </c>
      <c r="DB458" s="27" t="s">
        <v>7</v>
      </c>
      <c r="DC458" s="27" t="s">
        <v>8</v>
      </c>
      <c r="DD458" s="27" t="s">
        <v>7</v>
      </c>
      <c r="DE458" s="27" t="s">
        <v>8</v>
      </c>
      <c r="DF458" s="27" t="s">
        <v>7</v>
      </c>
      <c r="DG458" s="27" t="s">
        <v>8</v>
      </c>
      <c r="DJ458" s="27" t="s">
        <v>7</v>
      </c>
      <c r="DK458" s="27" t="s">
        <v>8</v>
      </c>
      <c r="DL458" s="27" t="s">
        <v>7</v>
      </c>
      <c r="DQ458" s="27" t="s">
        <v>8</v>
      </c>
      <c r="DR458" s="27" t="s">
        <v>7</v>
      </c>
      <c r="DS458" s="27" t="s">
        <v>8</v>
      </c>
      <c r="DT458" s="27" t="s">
        <v>7</v>
      </c>
      <c r="DU458" s="27" t="s">
        <v>8</v>
      </c>
      <c r="DV458" s="27" t="s">
        <v>7</v>
      </c>
      <c r="DY458" s="27" t="s">
        <v>8</v>
      </c>
      <c r="DZ458" s="27" t="s">
        <v>7</v>
      </c>
      <c r="EA458" s="27" t="s">
        <v>8</v>
      </c>
      <c r="EB458" s="27" t="s">
        <v>7</v>
      </c>
      <c r="EC458" s="27" t="s">
        <v>8</v>
      </c>
      <c r="ED458" s="27" t="s">
        <v>7</v>
      </c>
      <c r="EE458" s="27" t="s">
        <v>8</v>
      </c>
      <c r="GH458" s="27" t="s">
        <v>7</v>
      </c>
      <c r="GI458" s="27" t="s">
        <v>8</v>
      </c>
      <c r="GJ458" s="27" t="s">
        <v>7</v>
      </c>
      <c r="GM458" s="27" t="s">
        <v>8</v>
      </c>
      <c r="GN458" s="27" t="s">
        <v>7</v>
      </c>
      <c r="GO458" s="27" t="s">
        <v>8</v>
      </c>
      <c r="GP458" s="27" t="s">
        <v>7</v>
      </c>
      <c r="GQ458" s="27" t="s">
        <v>8</v>
      </c>
      <c r="GR458" s="27" t="s">
        <v>7</v>
      </c>
      <c r="GS458" s="27" t="s">
        <v>8</v>
      </c>
      <c r="GT458" s="27" t="s">
        <v>7</v>
      </c>
      <c r="GU458" s="27" t="s">
        <v>8</v>
      </c>
      <c r="GV458" s="27" t="s">
        <v>7</v>
      </c>
      <c r="HA458" s="27" t="s">
        <v>8</v>
      </c>
      <c r="HB458" s="27" t="s">
        <v>7</v>
      </c>
    </row>
    <row r="459" spans="1:210" x14ac:dyDescent="0.25">
      <c r="A459" s="7">
        <v>12.613104257041318</v>
      </c>
      <c r="B459"/>
      <c r="C459"/>
      <c r="D459"/>
      <c r="E459"/>
      <c r="AS459" s="27" t="s">
        <v>8</v>
      </c>
      <c r="AX459" s="27" t="s">
        <v>7</v>
      </c>
      <c r="AY459" s="27" t="s">
        <v>8</v>
      </c>
      <c r="AZ459" s="27" t="s">
        <v>7</v>
      </c>
      <c r="BA459" s="27" t="s">
        <v>8</v>
      </c>
      <c r="BB459" s="27" t="s">
        <v>7</v>
      </c>
      <c r="BC459" s="27" t="s">
        <v>8</v>
      </c>
      <c r="BD459" s="27" t="s">
        <v>7</v>
      </c>
      <c r="BE459" s="27" t="s">
        <v>8</v>
      </c>
      <c r="BF459" s="27" t="s">
        <v>7</v>
      </c>
      <c r="BG459" s="27" t="s">
        <v>8</v>
      </c>
      <c r="BH459" s="27" t="s">
        <v>7</v>
      </c>
      <c r="BI459" s="27" t="s">
        <v>8</v>
      </c>
      <c r="BJ459" s="27" t="s">
        <v>7</v>
      </c>
      <c r="BK459" s="27" t="s">
        <v>8</v>
      </c>
      <c r="BL459" s="27" t="s">
        <v>7</v>
      </c>
      <c r="BM459" s="27" t="s">
        <v>8</v>
      </c>
      <c r="BN459" s="27" t="s">
        <v>7</v>
      </c>
      <c r="BP459" s="27" t="s">
        <v>7</v>
      </c>
      <c r="BW459" s="27" t="s">
        <v>8</v>
      </c>
      <c r="BX459" s="27" t="s">
        <v>7</v>
      </c>
      <c r="BY459" s="27" t="s">
        <v>8</v>
      </c>
      <c r="BZ459" s="27" t="s">
        <v>7</v>
      </c>
      <c r="CA459" s="27" t="s">
        <v>8</v>
      </c>
      <c r="CB459" s="27" t="s">
        <v>7</v>
      </c>
      <c r="CC459" s="27" t="s">
        <v>8</v>
      </c>
      <c r="CD459" s="27" t="s">
        <v>7</v>
      </c>
      <c r="CE459" s="27" t="s">
        <v>8</v>
      </c>
      <c r="CF459" s="27" t="s">
        <v>7</v>
      </c>
      <c r="CK459" s="27" t="s">
        <v>8</v>
      </c>
      <c r="CT459" s="27" t="s">
        <v>7</v>
      </c>
      <c r="CU459" s="27" t="s">
        <v>8</v>
      </c>
      <c r="CV459" s="27" t="s">
        <v>7</v>
      </c>
      <c r="CW459" s="27" t="s">
        <v>8</v>
      </c>
      <c r="CX459" s="27" t="s">
        <v>7</v>
      </c>
      <c r="CY459" s="27" t="s">
        <v>8</v>
      </c>
      <c r="DB459" s="27" t="s">
        <v>7</v>
      </c>
      <c r="DD459" s="27" t="s">
        <v>7</v>
      </c>
      <c r="DE459" s="27" t="s">
        <v>8</v>
      </c>
      <c r="DF459" s="27" t="s">
        <v>7</v>
      </c>
      <c r="DG459" s="27" t="s">
        <v>8</v>
      </c>
      <c r="DJ459" s="27" t="s">
        <v>7</v>
      </c>
      <c r="DL459" s="27" t="s">
        <v>7</v>
      </c>
      <c r="DQ459" s="27" t="s">
        <v>8</v>
      </c>
      <c r="DR459" s="27" t="s">
        <v>7</v>
      </c>
      <c r="DS459" s="27" t="s">
        <v>8</v>
      </c>
      <c r="DT459" s="27" t="s">
        <v>7</v>
      </c>
      <c r="DU459" s="27" t="s">
        <v>8</v>
      </c>
      <c r="DV459" s="27" t="s">
        <v>7</v>
      </c>
      <c r="DY459" s="27" t="s">
        <v>8</v>
      </c>
      <c r="DZ459" s="27" t="s">
        <v>7</v>
      </c>
      <c r="EA459" s="27" t="s">
        <v>8</v>
      </c>
      <c r="EB459" s="27" t="s">
        <v>7</v>
      </c>
      <c r="EC459" s="27" t="s">
        <v>8</v>
      </c>
      <c r="ED459" s="27" t="s">
        <v>7</v>
      </c>
      <c r="EE459" s="27" t="s">
        <v>8</v>
      </c>
      <c r="GH459" s="27" t="s">
        <v>7</v>
      </c>
      <c r="GI459" s="27" t="s">
        <v>8</v>
      </c>
      <c r="GJ459" s="27" t="s">
        <v>7</v>
      </c>
      <c r="GK459" s="27" t="s">
        <v>8</v>
      </c>
      <c r="GM459" s="27" t="s">
        <v>8</v>
      </c>
      <c r="GN459" s="27" t="s">
        <v>7</v>
      </c>
      <c r="GP459" s="27" t="s">
        <v>7</v>
      </c>
      <c r="GR459" s="27" t="s">
        <v>7</v>
      </c>
      <c r="GS459" s="27" t="s">
        <v>8</v>
      </c>
      <c r="GT459" s="27" t="s">
        <v>7</v>
      </c>
      <c r="GU459" s="27" t="s">
        <v>8</v>
      </c>
      <c r="GV459" s="27" t="s">
        <v>7</v>
      </c>
      <c r="HA459" s="27" t="s">
        <v>8</v>
      </c>
      <c r="HB459" s="27" t="s">
        <v>7</v>
      </c>
    </row>
    <row r="460" spans="1:210" x14ac:dyDescent="0.25">
      <c r="A460" s="7">
        <v>12.36578848729541</v>
      </c>
      <c r="B460"/>
      <c r="C460"/>
      <c r="D460"/>
      <c r="E460"/>
      <c r="AS460" s="27" t="s">
        <v>8</v>
      </c>
      <c r="AX460" s="27" t="s">
        <v>7</v>
      </c>
      <c r="AY460" s="27" t="s">
        <v>8</v>
      </c>
      <c r="AZ460" s="27" t="s">
        <v>7</v>
      </c>
      <c r="BA460" s="27" t="s">
        <v>8</v>
      </c>
      <c r="BB460" s="27" t="s">
        <v>7</v>
      </c>
      <c r="BD460" s="27" t="s">
        <v>7</v>
      </c>
      <c r="BE460" s="27" t="s">
        <v>8</v>
      </c>
      <c r="BF460" s="27" t="s">
        <v>7</v>
      </c>
      <c r="BH460" s="27" t="s">
        <v>7</v>
      </c>
      <c r="BI460" s="27" t="s">
        <v>8</v>
      </c>
      <c r="BJ460" s="27" t="s">
        <v>7</v>
      </c>
      <c r="BK460" s="27" t="s">
        <v>8</v>
      </c>
      <c r="BL460" s="27" t="s">
        <v>7</v>
      </c>
      <c r="BM460" s="27" t="s">
        <v>8</v>
      </c>
      <c r="BP460" s="27" t="s">
        <v>7</v>
      </c>
      <c r="BW460" s="27" t="s">
        <v>8</v>
      </c>
      <c r="BX460" s="27" t="s">
        <v>7</v>
      </c>
      <c r="BY460" s="27" t="s">
        <v>8</v>
      </c>
      <c r="BZ460" s="27" t="s">
        <v>7</v>
      </c>
      <c r="CA460" s="27" t="s">
        <v>8</v>
      </c>
      <c r="CB460" s="27" t="s">
        <v>7</v>
      </c>
      <c r="CC460" s="27" t="s">
        <v>8</v>
      </c>
      <c r="CD460" s="27" t="s">
        <v>7</v>
      </c>
      <c r="CE460" s="27" t="s">
        <v>8</v>
      </c>
      <c r="CF460" s="27" t="s">
        <v>7</v>
      </c>
      <c r="CK460" s="27" t="s">
        <v>8</v>
      </c>
      <c r="CT460" s="27" t="s">
        <v>7</v>
      </c>
      <c r="CU460" s="27" t="s">
        <v>8</v>
      </c>
      <c r="CV460" s="27" t="s">
        <v>7</v>
      </c>
      <c r="CW460" s="27" t="s">
        <v>8</v>
      </c>
      <c r="CX460" s="27" t="s">
        <v>7</v>
      </c>
      <c r="CY460" s="27" t="s">
        <v>8</v>
      </c>
      <c r="DD460" s="27" t="s">
        <v>7</v>
      </c>
      <c r="DE460" s="27" t="s">
        <v>8</v>
      </c>
      <c r="DF460" s="27" t="s">
        <v>7</v>
      </c>
      <c r="DG460" s="27" t="s">
        <v>8</v>
      </c>
      <c r="DL460" s="27" t="s">
        <v>7</v>
      </c>
      <c r="DM460" s="27" t="s">
        <v>8</v>
      </c>
      <c r="DO460" s="27" t="s">
        <v>8</v>
      </c>
      <c r="DQ460" s="27" t="s">
        <v>8</v>
      </c>
      <c r="DR460" s="27" t="s">
        <v>7</v>
      </c>
      <c r="DS460" s="27" t="s">
        <v>8</v>
      </c>
      <c r="DT460" s="27" t="s">
        <v>7</v>
      </c>
      <c r="DU460" s="27" t="s">
        <v>8</v>
      </c>
      <c r="DV460" s="27" t="s">
        <v>7</v>
      </c>
      <c r="DW460" s="27" t="s">
        <v>8</v>
      </c>
      <c r="DY460" s="27" t="s">
        <v>8</v>
      </c>
      <c r="DZ460" s="27" t="s">
        <v>7</v>
      </c>
      <c r="EA460" s="27" t="s">
        <v>8</v>
      </c>
      <c r="EB460" s="27" t="s">
        <v>7</v>
      </c>
      <c r="EC460" s="27" t="s">
        <v>8</v>
      </c>
      <c r="ED460" s="27" t="s">
        <v>7</v>
      </c>
      <c r="EE460" s="27" t="s">
        <v>8</v>
      </c>
      <c r="GH460" s="27" t="s">
        <v>7</v>
      </c>
      <c r="GJ460" s="27" t="s">
        <v>7</v>
      </c>
      <c r="GK460" s="27" t="s">
        <v>8</v>
      </c>
      <c r="GL460" s="27" t="s">
        <v>7</v>
      </c>
      <c r="GM460" s="27" t="s">
        <v>8</v>
      </c>
      <c r="GR460" s="27" t="s">
        <v>7</v>
      </c>
      <c r="GS460" s="27" t="s">
        <v>8</v>
      </c>
      <c r="GT460" s="27" t="s">
        <v>7</v>
      </c>
      <c r="GU460" s="27" t="s">
        <v>8</v>
      </c>
      <c r="GV460" s="27" t="s">
        <v>7</v>
      </c>
      <c r="HA460" s="27" t="s">
        <v>8</v>
      </c>
      <c r="HB460" s="27" t="s">
        <v>7</v>
      </c>
    </row>
    <row r="461" spans="1:210" x14ac:dyDescent="0.25">
      <c r="A461" s="7">
        <v>12.123322046368049</v>
      </c>
      <c r="B461"/>
      <c r="C461"/>
      <c r="D461"/>
      <c r="E461"/>
      <c r="AS461" s="27" t="s">
        <v>8</v>
      </c>
      <c r="AX461" s="27" t="s">
        <v>7</v>
      </c>
      <c r="AY461" s="27" t="s">
        <v>8</v>
      </c>
      <c r="AZ461" s="27" t="s">
        <v>7</v>
      </c>
      <c r="BA461" s="27" t="s">
        <v>8</v>
      </c>
      <c r="BD461" s="27" t="s">
        <v>7</v>
      </c>
      <c r="BE461" s="27" t="s">
        <v>8</v>
      </c>
      <c r="BH461" s="27" t="s">
        <v>7</v>
      </c>
      <c r="BJ461" s="27" t="s">
        <v>7</v>
      </c>
      <c r="BK461" s="27" t="s">
        <v>8</v>
      </c>
      <c r="BL461" s="27" t="s">
        <v>7</v>
      </c>
      <c r="BM461" s="27" t="s">
        <v>8</v>
      </c>
      <c r="BP461" s="27" t="s">
        <v>7</v>
      </c>
      <c r="BU461" s="27" t="s">
        <v>8</v>
      </c>
      <c r="BW461" s="27" t="s">
        <v>8</v>
      </c>
      <c r="BX461" s="27" t="s">
        <v>7</v>
      </c>
      <c r="BY461" s="27" t="s">
        <v>8</v>
      </c>
      <c r="BZ461" s="27" t="s">
        <v>7</v>
      </c>
      <c r="CA461" s="27" t="s">
        <v>8</v>
      </c>
      <c r="CB461" s="27" t="s">
        <v>7</v>
      </c>
      <c r="CC461" s="27" t="s">
        <v>8</v>
      </c>
      <c r="CD461" s="27" t="s">
        <v>7</v>
      </c>
      <c r="CE461" s="27" t="s">
        <v>8</v>
      </c>
      <c r="CF461" s="27" t="s">
        <v>7</v>
      </c>
      <c r="CK461" s="27" t="s">
        <v>8</v>
      </c>
      <c r="CT461" s="27" t="s">
        <v>7</v>
      </c>
      <c r="CU461" s="27" t="s">
        <v>8</v>
      </c>
      <c r="CV461" s="27" t="s">
        <v>7</v>
      </c>
      <c r="CW461" s="27" t="s">
        <v>8</v>
      </c>
      <c r="CX461" s="27" t="s">
        <v>7</v>
      </c>
      <c r="DD461" s="27" t="s">
        <v>7</v>
      </c>
      <c r="DE461" s="27" t="s">
        <v>8</v>
      </c>
      <c r="DF461" s="27" t="s">
        <v>7</v>
      </c>
      <c r="DG461" s="27" t="s">
        <v>8</v>
      </c>
      <c r="DL461" s="27" t="s">
        <v>7</v>
      </c>
      <c r="DM461" s="27" t="s">
        <v>8</v>
      </c>
      <c r="DN461" s="27" t="s">
        <v>7</v>
      </c>
      <c r="DO461" s="27" t="s">
        <v>8</v>
      </c>
      <c r="DP461" s="27" t="s">
        <v>7</v>
      </c>
      <c r="DQ461" s="27" t="s">
        <v>8</v>
      </c>
      <c r="DR461" s="27" t="s">
        <v>7</v>
      </c>
      <c r="DS461" s="27" t="s">
        <v>8</v>
      </c>
      <c r="DT461" s="27" t="s">
        <v>7</v>
      </c>
      <c r="DU461" s="27" t="s">
        <v>8</v>
      </c>
      <c r="DV461" s="27" t="s">
        <v>7</v>
      </c>
      <c r="DW461" s="27" t="s">
        <v>8</v>
      </c>
      <c r="DX461" s="27" t="s">
        <v>7</v>
      </c>
      <c r="DY461" s="27" t="s">
        <v>8</v>
      </c>
      <c r="DZ461" s="27" t="s">
        <v>7</v>
      </c>
      <c r="EB461" s="27" t="s">
        <v>7</v>
      </c>
      <c r="EC461" s="27" t="s">
        <v>8</v>
      </c>
      <c r="ED461" s="27" t="s">
        <v>7</v>
      </c>
      <c r="GJ461" s="27" t="s">
        <v>7</v>
      </c>
      <c r="GK461" s="27" t="s">
        <v>8</v>
      </c>
      <c r="GL461" s="27" t="s">
        <v>7</v>
      </c>
      <c r="GM461" s="27" t="s">
        <v>8</v>
      </c>
      <c r="GR461" s="27" t="s">
        <v>7</v>
      </c>
      <c r="GS461" s="27" t="s">
        <v>8</v>
      </c>
      <c r="GT461" s="27" t="s">
        <v>7</v>
      </c>
      <c r="GU461" s="27" t="s">
        <v>8</v>
      </c>
      <c r="GV461" s="27" t="s">
        <v>7</v>
      </c>
      <c r="HA461" s="27" t="s">
        <v>8</v>
      </c>
      <c r="HB461" s="27" t="s">
        <v>7</v>
      </c>
    </row>
    <row r="462" spans="1:210" x14ac:dyDescent="0.25">
      <c r="A462" s="7">
        <v>11.88560984938044</v>
      </c>
      <c r="B462"/>
      <c r="C462"/>
      <c r="D462"/>
      <c r="E462"/>
      <c r="AS462" s="27" t="s">
        <v>8</v>
      </c>
      <c r="AX462" s="27" t="s">
        <v>7</v>
      </c>
      <c r="AY462" s="27" t="s">
        <v>8</v>
      </c>
      <c r="AZ462" s="27" t="s">
        <v>7</v>
      </c>
      <c r="BA462" s="27" t="s">
        <v>8</v>
      </c>
      <c r="BD462" s="27" t="s">
        <v>7</v>
      </c>
      <c r="BE462" s="27" t="s">
        <v>8</v>
      </c>
      <c r="BJ462" s="27" t="s">
        <v>7</v>
      </c>
      <c r="BL462" s="27" t="s">
        <v>7</v>
      </c>
      <c r="BM462" s="27" t="s">
        <v>8</v>
      </c>
      <c r="BP462" s="27" t="s">
        <v>7</v>
      </c>
      <c r="BU462" s="27" t="s">
        <v>8</v>
      </c>
      <c r="BV462" s="27" t="s">
        <v>7</v>
      </c>
      <c r="BW462" s="27" t="s">
        <v>8</v>
      </c>
      <c r="BX462" s="27" t="s">
        <v>7</v>
      </c>
      <c r="BY462" s="27" t="s">
        <v>8</v>
      </c>
      <c r="BZ462" s="27" t="s">
        <v>7</v>
      </c>
      <c r="CB462" s="27" t="s">
        <v>7</v>
      </c>
      <c r="CC462" s="27" t="s">
        <v>8</v>
      </c>
      <c r="CD462" s="27" t="s">
        <v>7</v>
      </c>
      <c r="CE462" s="27" t="s">
        <v>8</v>
      </c>
      <c r="CF462" s="27" t="s">
        <v>7</v>
      </c>
      <c r="CK462" s="27" t="s">
        <v>8</v>
      </c>
      <c r="CT462" s="27" t="s">
        <v>7</v>
      </c>
      <c r="CU462" s="27" t="s">
        <v>8</v>
      </c>
      <c r="CV462" s="27" t="s">
        <v>7</v>
      </c>
      <c r="CW462" s="27" t="s">
        <v>8</v>
      </c>
      <c r="DD462" s="27" t="s">
        <v>7</v>
      </c>
      <c r="DE462" s="27" t="s">
        <v>8</v>
      </c>
      <c r="DF462" s="27" t="s">
        <v>7</v>
      </c>
      <c r="DG462" s="27" t="s">
        <v>8</v>
      </c>
      <c r="DL462" s="27" t="s">
        <v>7</v>
      </c>
      <c r="DM462" s="27" t="s">
        <v>8</v>
      </c>
      <c r="DN462" s="27" t="s">
        <v>7</v>
      </c>
      <c r="DO462" s="27" t="s">
        <v>8</v>
      </c>
      <c r="DP462" s="27" t="s">
        <v>7</v>
      </c>
      <c r="DQ462" s="27" t="s">
        <v>8</v>
      </c>
      <c r="DR462" s="27" t="s">
        <v>7</v>
      </c>
      <c r="DT462" s="27" t="s">
        <v>7</v>
      </c>
      <c r="DU462" s="27" t="s">
        <v>8</v>
      </c>
      <c r="DV462" s="27" t="s">
        <v>7</v>
      </c>
      <c r="DW462" s="27" t="s">
        <v>8</v>
      </c>
      <c r="DX462" s="27" t="s">
        <v>7</v>
      </c>
      <c r="DY462" s="27" t="s">
        <v>8</v>
      </c>
      <c r="EB462" s="27" t="s">
        <v>7</v>
      </c>
      <c r="GJ462" s="27" t="s">
        <v>7</v>
      </c>
      <c r="GK462" s="27" t="s">
        <v>8</v>
      </c>
      <c r="GL462" s="27" t="s">
        <v>7</v>
      </c>
      <c r="GM462" s="27" t="s">
        <v>8</v>
      </c>
      <c r="GR462" s="27" t="s">
        <v>7</v>
      </c>
      <c r="GT462" s="27" t="s">
        <v>7</v>
      </c>
      <c r="GU462" s="27" t="s">
        <v>8</v>
      </c>
      <c r="GV462" s="27" t="s">
        <v>7</v>
      </c>
      <c r="HA462" s="27" t="s">
        <v>8</v>
      </c>
      <c r="HB462" s="27" t="s">
        <v>7</v>
      </c>
    </row>
    <row r="463" spans="1:210" x14ac:dyDescent="0.25">
      <c r="A463" s="7">
        <v>11.652558675863176</v>
      </c>
      <c r="B463"/>
      <c r="C463"/>
      <c r="D463"/>
      <c r="E463"/>
      <c r="AS463" s="27" t="s">
        <v>8</v>
      </c>
      <c r="AX463" s="27" t="s">
        <v>7</v>
      </c>
      <c r="AY463" s="27" t="s">
        <v>8</v>
      </c>
      <c r="AZ463" s="27" t="s">
        <v>7</v>
      </c>
      <c r="BA463" s="27" t="s">
        <v>8</v>
      </c>
      <c r="BD463" s="27" t="s">
        <v>7</v>
      </c>
      <c r="BE463" s="27" t="s">
        <v>8</v>
      </c>
      <c r="BL463" s="27" t="s">
        <v>7</v>
      </c>
      <c r="BP463" s="27" t="s">
        <v>7</v>
      </c>
      <c r="BU463" s="27" t="s">
        <v>8</v>
      </c>
      <c r="BV463" s="27" t="s">
        <v>7</v>
      </c>
      <c r="BW463" s="27" t="s">
        <v>8</v>
      </c>
      <c r="BX463" s="27" t="s">
        <v>7</v>
      </c>
      <c r="BY463" s="27" t="s">
        <v>8</v>
      </c>
      <c r="CB463" s="27" t="s">
        <v>7</v>
      </c>
      <c r="CD463" s="27" t="s">
        <v>7</v>
      </c>
      <c r="CE463" s="27" t="s">
        <v>8</v>
      </c>
      <c r="CF463" s="27" t="s">
        <v>7</v>
      </c>
      <c r="CK463" s="27" t="s">
        <v>8</v>
      </c>
      <c r="CT463" s="27" t="s">
        <v>7</v>
      </c>
      <c r="CU463" s="27" t="s">
        <v>8</v>
      </c>
      <c r="CV463" s="27" t="s">
        <v>7</v>
      </c>
      <c r="CW463" s="27" t="s">
        <v>8</v>
      </c>
      <c r="DD463" s="27" t="s">
        <v>7</v>
      </c>
      <c r="DE463" s="27" t="s">
        <v>8</v>
      </c>
      <c r="DF463" s="27" t="s">
        <v>7</v>
      </c>
      <c r="DG463" s="27" t="s">
        <v>8</v>
      </c>
      <c r="DL463" s="27" t="s">
        <v>7</v>
      </c>
      <c r="DM463" s="27" t="s">
        <v>8</v>
      </c>
      <c r="DN463" s="27" t="s">
        <v>7</v>
      </c>
      <c r="DO463" s="27" t="s">
        <v>8</v>
      </c>
      <c r="DP463" s="27" t="s">
        <v>7</v>
      </c>
      <c r="DQ463" s="27" t="s">
        <v>8</v>
      </c>
      <c r="DT463" s="27" t="s">
        <v>7</v>
      </c>
      <c r="DV463" s="27" t="s">
        <v>7</v>
      </c>
      <c r="DX463" s="27" t="s">
        <v>7</v>
      </c>
      <c r="DY463" s="27" t="s">
        <v>8</v>
      </c>
      <c r="GJ463" s="27" t="s">
        <v>7</v>
      </c>
      <c r="GK463" s="27" t="s">
        <v>8</v>
      </c>
      <c r="GL463" s="27" t="s">
        <v>7</v>
      </c>
      <c r="GM463" s="27" t="s">
        <v>8</v>
      </c>
      <c r="GT463" s="27" t="s">
        <v>7</v>
      </c>
      <c r="GV463" s="27" t="s">
        <v>7</v>
      </c>
      <c r="GY463" s="27" t="s">
        <v>8</v>
      </c>
      <c r="HA463" s="27" t="s">
        <v>8</v>
      </c>
      <c r="HB463" s="27" t="s">
        <v>7</v>
      </c>
    </row>
    <row r="464" spans="1:210" x14ac:dyDescent="0.25">
      <c r="A464" s="7">
        <v>11.424077133199193</v>
      </c>
      <c r="B464"/>
      <c r="C464"/>
      <c r="D464"/>
      <c r="E464"/>
      <c r="AS464" s="27" t="s">
        <v>8</v>
      </c>
      <c r="AX464" s="27" t="s">
        <v>7</v>
      </c>
      <c r="AY464" s="27" t="s">
        <v>8</v>
      </c>
      <c r="AZ464" s="27" t="s">
        <v>7</v>
      </c>
      <c r="BA464" s="27" t="s">
        <v>8</v>
      </c>
      <c r="BD464" s="27" t="s">
        <v>7</v>
      </c>
      <c r="BE464" s="27" t="s">
        <v>8</v>
      </c>
      <c r="BP464" s="27" t="s">
        <v>7</v>
      </c>
      <c r="BS464" s="27" t="s">
        <v>8</v>
      </c>
      <c r="BU464" s="27" t="s">
        <v>8</v>
      </c>
      <c r="BV464" s="27" t="s">
        <v>7</v>
      </c>
      <c r="BW464" s="27" t="s">
        <v>8</v>
      </c>
      <c r="BX464" s="27" t="s">
        <v>7</v>
      </c>
      <c r="BY464" s="27" t="s">
        <v>8</v>
      </c>
      <c r="CD464" s="27" t="s">
        <v>7</v>
      </c>
      <c r="CE464" s="27" t="s">
        <v>8</v>
      </c>
      <c r="CF464" s="27" t="s">
        <v>7</v>
      </c>
      <c r="CG464" s="27" t="s">
        <v>8</v>
      </c>
      <c r="CK464" s="27" t="s">
        <v>8</v>
      </c>
      <c r="CT464" s="27" t="s">
        <v>7</v>
      </c>
      <c r="CU464" s="27" t="s">
        <v>8</v>
      </c>
      <c r="CV464" s="27" t="s">
        <v>7</v>
      </c>
      <c r="CW464" s="27" t="s">
        <v>8</v>
      </c>
      <c r="DD464" s="27" t="s">
        <v>7</v>
      </c>
      <c r="DE464" s="27" t="s">
        <v>8</v>
      </c>
      <c r="DF464" s="27" t="s">
        <v>7</v>
      </c>
      <c r="DG464" s="27" t="s">
        <v>8</v>
      </c>
      <c r="DL464" s="27" t="s">
        <v>7</v>
      </c>
      <c r="DM464" s="27" t="s">
        <v>8</v>
      </c>
      <c r="DN464" s="27" t="s">
        <v>7</v>
      </c>
      <c r="DO464" s="27" t="s">
        <v>8</v>
      </c>
      <c r="DP464" s="27" t="s">
        <v>7</v>
      </c>
      <c r="DQ464" s="27" t="s">
        <v>8</v>
      </c>
      <c r="DX464" s="27" t="s">
        <v>7</v>
      </c>
      <c r="DY464" s="27" t="s">
        <v>8</v>
      </c>
      <c r="GJ464" s="27" t="s">
        <v>7</v>
      </c>
      <c r="GK464" s="27" t="s">
        <v>8</v>
      </c>
      <c r="GL464" s="27" t="s">
        <v>7</v>
      </c>
      <c r="GM464" s="27" t="s">
        <v>8</v>
      </c>
      <c r="GV464" s="27" t="s">
        <v>7</v>
      </c>
      <c r="GW464" s="27" t="s">
        <v>8</v>
      </c>
      <c r="GY464" s="27" t="s">
        <v>8</v>
      </c>
      <c r="GZ464" s="27" t="s">
        <v>7</v>
      </c>
      <c r="HA464" s="27" t="s">
        <v>8</v>
      </c>
      <c r="HB464" s="27" t="s">
        <v>7</v>
      </c>
    </row>
    <row r="465" spans="1:214" x14ac:dyDescent="0.25">
      <c r="A465" s="7">
        <v>11.200075620783522</v>
      </c>
      <c r="B465"/>
      <c r="C465"/>
      <c r="D465"/>
      <c r="E465"/>
      <c r="AS465" s="27" t="s">
        <v>8</v>
      </c>
      <c r="AX465" s="27" t="s">
        <v>7</v>
      </c>
      <c r="AY465" s="27" t="s">
        <v>8</v>
      </c>
      <c r="AZ465" s="27" t="s">
        <v>7</v>
      </c>
      <c r="BD465" s="27" t="s">
        <v>7</v>
      </c>
      <c r="BE465" s="27" t="s">
        <v>8</v>
      </c>
      <c r="BP465" s="27" t="s">
        <v>7</v>
      </c>
      <c r="BS465" s="27" t="s">
        <v>8</v>
      </c>
      <c r="BT465" s="27" t="s">
        <v>7</v>
      </c>
      <c r="BU465" s="27" t="s">
        <v>8</v>
      </c>
      <c r="BV465" s="27" t="s">
        <v>7</v>
      </c>
      <c r="BW465" s="27" t="s">
        <v>8</v>
      </c>
      <c r="BX465" s="27" t="s">
        <v>7</v>
      </c>
      <c r="BY465" s="27" t="s">
        <v>8</v>
      </c>
      <c r="CD465" s="27" t="s">
        <v>7</v>
      </c>
      <c r="CE465" s="27" t="s">
        <v>8</v>
      </c>
      <c r="CF465" s="27" t="s">
        <v>7</v>
      </c>
      <c r="CG465" s="27" t="s">
        <v>8</v>
      </c>
      <c r="CH465" s="27" t="s">
        <v>7</v>
      </c>
      <c r="CK465" s="27" t="s">
        <v>8</v>
      </c>
      <c r="CT465" s="27" t="s">
        <v>7</v>
      </c>
      <c r="CU465" s="27" t="s">
        <v>8</v>
      </c>
      <c r="CV465" s="27" t="s">
        <v>7</v>
      </c>
      <c r="CW465" s="27" t="s">
        <v>8</v>
      </c>
      <c r="DD465" s="27" t="s">
        <v>7</v>
      </c>
      <c r="DE465" s="27" t="s">
        <v>8</v>
      </c>
      <c r="DF465" s="27" t="s">
        <v>7</v>
      </c>
      <c r="DL465" s="27" t="s">
        <v>7</v>
      </c>
      <c r="DM465" s="27" t="s">
        <v>8</v>
      </c>
      <c r="DN465" s="27" t="s">
        <v>7</v>
      </c>
      <c r="DO465" s="27" t="s">
        <v>8</v>
      </c>
      <c r="DP465" s="27" t="s">
        <v>7</v>
      </c>
      <c r="DX465" s="27" t="s">
        <v>7</v>
      </c>
      <c r="DY465" s="27" t="s">
        <v>8</v>
      </c>
      <c r="GJ465" s="27" t="s">
        <v>7</v>
      </c>
      <c r="GK465" s="27" t="s">
        <v>8</v>
      </c>
      <c r="GL465" s="27" t="s">
        <v>7</v>
      </c>
      <c r="GV465" s="27" t="s">
        <v>7</v>
      </c>
      <c r="GW465" s="27" t="s">
        <v>8</v>
      </c>
      <c r="GX465" s="27" t="s">
        <v>7</v>
      </c>
      <c r="GY465" s="27" t="s">
        <v>8</v>
      </c>
      <c r="GZ465" s="27" t="s">
        <v>7</v>
      </c>
      <c r="HA465" s="27" t="s">
        <v>8</v>
      </c>
      <c r="HB465" s="27" t="s">
        <v>7</v>
      </c>
    </row>
    <row r="466" spans="1:214" x14ac:dyDescent="0.25">
      <c r="A466" s="7">
        <v>10.980466294885806</v>
      </c>
      <c r="B466"/>
      <c r="C466"/>
      <c r="D466"/>
      <c r="E466"/>
      <c r="AS466" s="27" t="s">
        <v>8</v>
      </c>
      <c r="AX466" s="27" t="s">
        <v>7</v>
      </c>
      <c r="AY466" s="27" t="s">
        <v>8</v>
      </c>
      <c r="BD466" s="27" t="s">
        <v>7</v>
      </c>
      <c r="BP466" s="27" t="s">
        <v>7</v>
      </c>
      <c r="BS466" s="27" t="s">
        <v>8</v>
      </c>
      <c r="BT466" s="27" t="s">
        <v>7</v>
      </c>
      <c r="BU466" s="27" t="s">
        <v>8</v>
      </c>
      <c r="BV466" s="27" t="s">
        <v>7</v>
      </c>
      <c r="BW466" s="27" t="s">
        <v>8</v>
      </c>
      <c r="BX466" s="27" t="s">
        <v>7</v>
      </c>
      <c r="BY466" s="27" t="s">
        <v>8</v>
      </c>
      <c r="CD466" s="27" t="s">
        <v>7</v>
      </c>
      <c r="CE466" s="27" t="s">
        <v>8</v>
      </c>
      <c r="CF466" s="27" t="s">
        <v>7</v>
      </c>
      <c r="CG466" s="27" t="s">
        <v>8</v>
      </c>
      <c r="CH466" s="27" t="s">
        <v>7</v>
      </c>
      <c r="CK466" s="27" t="s">
        <v>8</v>
      </c>
      <c r="CT466" s="27" t="s">
        <v>7</v>
      </c>
      <c r="CV466" s="27" t="s">
        <v>7</v>
      </c>
      <c r="CW466" s="27" t="s">
        <v>8</v>
      </c>
      <c r="DD466" s="27" t="s">
        <v>7</v>
      </c>
      <c r="DE466" s="27" t="s">
        <v>8</v>
      </c>
      <c r="DL466" s="27" t="s">
        <v>7</v>
      </c>
      <c r="DM466" s="27" t="s">
        <v>8</v>
      </c>
      <c r="DN466" s="27" t="s">
        <v>7</v>
      </c>
      <c r="DO466" s="27" t="s">
        <v>8</v>
      </c>
      <c r="DX466" s="27" t="s">
        <v>7</v>
      </c>
      <c r="DY466" s="27" t="s">
        <v>8</v>
      </c>
      <c r="GJ466" s="27" t="s">
        <v>7</v>
      </c>
      <c r="GV466" s="27" t="s">
        <v>7</v>
      </c>
      <c r="GW466" s="27" t="s">
        <v>8</v>
      </c>
      <c r="GX466" s="27" t="s">
        <v>7</v>
      </c>
      <c r="GY466" s="27" t="s">
        <v>8</v>
      </c>
      <c r="GZ466" s="27" t="s">
        <v>7</v>
      </c>
      <c r="HB466" s="27" t="s">
        <v>7</v>
      </c>
    </row>
    <row r="467" spans="1:214" x14ac:dyDescent="0.25">
      <c r="A467" s="7">
        <v>10.765163034201771</v>
      </c>
      <c r="B467"/>
      <c r="C467"/>
      <c r="D467"/>
      <c r="E467"/>
      <c r="AS467" s="27" t="s">
        <v>8</v>
      </c>
      <c r="AX467" s="27" t="s">
        <v>7</v>
      </c>
      <c r="AY467" s="27" t="s">
        <v>8</v>
      </c>
      <c r="BP467" s="27" t="s">
        <v>7</v>
      </c>
      <c r="BQ467" s="27" t="s">
        <v>8</v>
      </c>
      <c r="BS467" s="27" t="s">
        <v>8</v>
      </c>
      <c r="BT467" s="27" t="s">
        <v>7</v>
      </c>
      <c r="BU467" s="27" t="s">
        <v>8</v>
      </c>
      <c r="BV467" s="27" t="s">
        <v>7</v>
      </c>
      <c r="BW467" s="27" t="s">
        <v>8</v>
      </c>
      <c r="BX467" s="27" t="s">
        <v>7</v>
      </c>
      <c r="CD467" s="27" t="s">
        <v>7</v>
      </c>
      <c r="CE467" s="27" t="s">
        <v>8</v>
      </c>
      <c r="CF467" s="27" t="s">
        <v>7</v>
      </c>
      <c r="CG467" s="27" t="s">
        <v>8</v>
      </c>
      <c r="CH467" s="27" t="s">
        <v>7</v>
      </c>
      <c r="CK467" s="27" t="s">
        <v>8</v>
      </c>
      <c r="CV467" s="27" t="s">
        <v>7</v>
      </c>
      <c r="CW467" s="27" t="s">
        <v>8</v>
      </c>
      <c r="DD467" s="27" t="s">
        <v>7</v>
      </c>
      <c r="DL467" s="27" t="s">
        <v>7</v>
      </c>
      <c r="DM467" s="27" t="s">
        <v>8</v>
      </c>
      <c r="DN467" s="27" t="s">
        <v>7</v>
      </c>
      <c r="DO467" s="27" t="s">
        <v>8</v>
      </c>
      <c r="DX467" s="27" t="s">
        <v>7</v>
      </c>
      <c r="DY467" s="27" t="s">
        <v>8</v>
      </c>
      <c r="GV467" s="27" t="s">
        <v>7</v>
      </c>
      <c r="GX467" s="27" t="s">
        <v>7</v>
      </c>
      <c r="GY467" s="27" t="s">
        <v>8</v>
      </c>
      <c r="HB467" s="27" t="s">
        <v>7</v>
      </c>
    </row>
    <row r="468" spans="1:214" x14ac:dyDescent="0.25">
      <c r="A468" s="7">
        <v>10.554081406080169</v>
      </c>
      <c r="B468"/>
      <c r="C468"/>
      <c r="D468"/>
      <c r="E468"/>
      <c r="AS468" s="27" t="s">
        <v>8</v>
      </c>
      <c r="AX468" s="27" t="s">
        <v>7</v>
      </c>
      <c r="AY468" s="27" t="s">
        <v>8</v>
      </c>
      <c r="BP468" s="27" t="s">
        <v>7</v>
      </c>
      <c r="BQ468" s="27" t="s">
        <v>8</v>
      </c>
      <c r="BR468" s="27" t="s">
        <v>7</v>
      </c>
      <c r="BS468" s="27" t="s">
        <v>8</v>
      </c>
      <c r="BT468" s="27" t="s">
        <v>7</v>
      </c>
      <c r="BU468" s="27" t="s">
        <v>8</v>
      </c>
      <c r="BV468" s="27" t="s">
        <v>7</v>
      </c>
      <c r="BW468" s="27" t="s">
        <v>8</v>
      </c>
      <c r="CD468" s="27" t="s">
        <v>7</v>
      </c>
      <c r="CE468" s="27" t="s">
        <v>8</v>
      </c>
      <c r="CF468" s="27" t="s">
        <v>7</v>
      </c>
      <c r="CG468" s="27" t="s">
        <v>8</v>
      </c>
      <c r="CH468" s="27" t="s">
        <v>7</v>
      </c>
      <c r="CK468" s="27" t="s">
        <v>8</v>
      </c>
      <c r="CV468" s="27" t="s">
        <v>7</v>
      </c>
      <c r="CW468" s="27" t="s">
        <v>8</v>
      </c>
      <c r="DL468" s="27" t="s">
        <v>7</v>
      </c>
      <c r="DM468" s="27" t="s">
        <v>8</v>
      </c>
      <c r="DN468" s="27" t="s">
        <v>7</v>
      </c>
      <c r="DX468" s="18" t="s">
        <v>7</v>
      </c>
      <c r="DY468" s="27" t="s">
        <v>8</v>
      </c>
      <c r="GX468" s="27" t="s">
        <v>7</v>
      </c>
      <c r="GY468" s="27" t="s">
        <v>8</v>
      </c>
      <c r="HB468" s="27" t="s">
        <v>7</v>
      </c>
    </row>
    <row r="469" spans="1:214" x14ac:dyDescent="0.25">
      <c r="A469" s="7">
        <v>10.34713863341193</v>
      </c>
      <c r="B469"/>
      <c r="C469"/>
      <c r="D469"/>
      <c r="E469"/>
      <c r="AS469" s="27" t="s">
        <v>8</v>
      </c>
      <c r="AX469" s="27" t="s">
        <v>7</v>
      </c>
      <c r="AY469" s="27" t="s">
        <v>8</v>
      </c>
      <c r="BP469" s="27" t="s">
        <v>7</v>
      </c>
      <c r="BQ469" s="27" t="s">
        <v>8</v>
      </c>
      <c r="BR469" s="27" t="s">
        <v>7</v>
      </c>
      <c r="BS469" s="27" t="s">
        <v>8</v>
      </c>
      <c r="BT469" s="27" t="s">
        <v>7</v>
      </c>
      <c r="BU469" s="27" t="s">
        <v>8</v>
      </c>
      <c r="BV469" s="27" t="s">
        <v>7</v>
      </c>
      <c r="BW469" s="27" t="s">
        <v>8</v>
      </c>
      <c r="CD469" s="27" t="s">
        <v>7</v>
      </c>
      <c r="CE469" s="27" t="s">
        <v>8</v>
      </c>
      <c r="CF469" s="27" t="s">
        <v>7</v>
      </c>
      <c r="CG469" s="27" t="s">
        <v>8</v>
      </c>
      <c r="CH469" s="27" t="s">
        <v>7</v>
      </c>
      <c r="CK469" s="27" t="s">
        <v>8</v>
      </c>
      <c r="CV469" s="27" t="s">
        <v>7</v>
      </c>
      <c r="CW469" s="27" t="s">
        <v>8</v>
      </c>
      <c r="DL469" s="27" t="s">
        <v>7</v>
      </c>
      <c r="DM469" s="27" t="s">
        <v>8</v>
      </c>
      <c r="DX469" s="27" t="s">
        <v>7</v>
      </c>
      <c r="DY469" s="27" t="s">
        <v>8</v>
      </c>
      <c r="GX469" s="27" t="s">
        <v>7</v>
      </c>
      <c r="HB469" s="27" t="s">
        <v>7</v>
      </c>
    </row>
    <row r="470" spans="1:214" x14ac:dyDescent="0.25">
      <c r="A470" s="7">
        <v>10.14425356216856</v>
      </c>
      <c r="B470"/>
      <c r="C470"/>
      <c r="D470"/>
      <c r="E470"/>
      <c r="AS470" s="27" t="s">
        <v>8</v>
      </c>
      <c r="AX470" s="27" t="s">
        <v>7</v>
      </c>
      <c r="BP470" s="27" t="s">
        <v>7</v>
      </c>
      <c r="BQ470" s="27" t="s">
        <v>8</v>
      </c>
      <c r="BR470" s="27" t="s">
        <v>7</v>
      </c>
      <c r="BT470" s="27" t="s">
        <v>7</v>
      </c>
      <c r="BV470" s="27" t="s">
        <v>7</v>
      </c>
      <c r="BW470" s="27" t="s">
        <v>8</v>
      </c>
      <c r="CD470" s="27" t="s">
        <v>7</v>
      </c>
      <c r="CE470" s="27" t="s">
        <v>8</v>
      </c>
      <c r="CF470" s="27" t="s">
        <v>7</v>
      </c>
      <c r="CH470" s="27" t="s">
        <v>7</v>
      </c>
      <c r="CK470" s="27" t="s">
        <v>8</v>
      </c>
      <c r="CV470" s="27" t="s">
        <v>7</v>
      </c>
      <c r="CW470" s="27" t="s">
        <v>8</v>
      </c>
      <c r="DL470" s="27" t="s">
        <v>7</v>
      </c>
      <c r="DM470" s="27" t="s">
        <v>8</v>
      </c>
      <c r="DX470" s="27" t="s">
        <v>7</v>
      </c>
      <c r="DY470" s="27" t="s">
        <v>8</v>
      </c>
      <c r="HB470" s="27" t="s">
        <v>7</v>
      </c>
      <c r="HC470" s="27" t="s">
        <v>8</v>
      </c>
    </row>
    <row r="471" spans="1:214" x14ac:dyDescent="0.25">
      <c r="A471" s="7">
        <v>9.9453466295770188</v>
      </c>
      <c r="B471"/>
      <c r="C471"/>
      <c r="D471"/>
      <c r="E471"/>
      <c r="AS471" s="27" t="s">
        <v>8</v>
      </c>
      <c r="BP471" s="27" t="s">
        <v>7</v>
      </c>
      <c r="BQ471" s="27" t="s">
        <v>8</v>
      </c>
      <c r="BV471" s="27" t="s">
        <v>7</v>
      </c>
      <c r="CD471" s="27" t="s">
        <v>7</v>
      </c>
      <c r="CH471" s="27" t="s">
        <v>7</v>
      </c>
      <c r="CI471" s="27" t="s">
        <v>8</v>
      </c>
      <c r="CK471" s="27" t="s">
        <v>8</v>
      </c>
      <c r="CV471" s="27" t="s">
        <v>7</v>
      </c>
      <c r="CW471" s="27" t="s">
        <v>8</v>
      </c>
      <c r="DL471" s="27" t="s">
        <v>7</v>
      </c>
      <c r="DM471" s="27" t="s">
        <v>8</v>
      </c>
      <c r="DX471" s="27" t="s">
        <v>7</v>
      </c>
      <c r="HB471" s="27" t="s">
        <v>7</v>
      </c>
      <c r="HC471" s="27" t="s">
        <v>8</v>
      </c>
      <c r="HD471" s="27" t="s">
        <v>7</v>
      </c>
    </row>
    <row r="472" spans="1:214" x14ac:dyDescent="0.25">
      <c r="A472" s="7">
        <v>9.7503398329186464</v>
      </c>
      <c r="B472"/>
      <c r="C472"/>
      <c r="D472"/>
      <c r="E472"/>
      <c r="AS472" s="27" t="s">
        <v>8</v>
      </c>
      <c r="BP472" s="27" t="s">
        <v>7</v>
      </c>
      <c r="BQ472" s="27" t="s">
        <v>8</v>
      </c>
      <c r="CH472" s="27" t="s">
        <v>7</v>
      </c>
      <c r="CI472" s="27" t="s">
        <v>8</v>
      </c>
      <c r="CJ472" s="27" t="s">
        <v>7</v>
      </c>
      <c r="CK472" s="27" t="s">
        <v>8</v>
      </c>
      <c r="CV472" s="27" t="s">
        <v>7</v>
      </c>
      <c r="CW472" s="27" t="s">
        <v>8</v>
      </c>
      <c r="DL472" s="27" t="s">
        <v>7</v>
      </c>
      <c r="DM472" s="27" t="s">
        <v>8</v>
      </c>
      <c r="HB472" s="27" t="s">
        <v>7</v>
      </c>
      <c r="HC472" s="27" t="s">
        <v>8</v>
      </c>
      <c r="HD472" s="27" t="s">
        <v>7</v>
      </c>
      <c r="HE472" s="27" t="s">
        <v>8</v>
      </c>
    </row>
    <row r="473" spans="1:214" x14ac:dyDescent="0.25">
      <c r="A473" s="7">
        <v>9.5591566989398498</v>
      </c>
      <c r="B473"/>
      <c r="C473"/>
      <c r="D473"/>
      <c r="E473"/>
      <c r="AS473" s="27" t="s">
        <v>8</v>
      </c>
      <c r="BP473" s="27" t="s">
        <v>7</v>
      </c>
      <c r="CH473" s="27" t="s">
        <v>7</v>
      </c>
      <c r="CI473" s="27" t="s">
        <v>8</v>
      </c>
      <c r="CJ473" s="27" t="s">
        <v>7</v>
      </c>
      <c r="CK473" s="27" t="s">
        <v>8</v>
      </c>
      <c r="CV473" s="27" t="s">
        <v>7</v>
      </c>
      <c r="CW473" s="27" t="s">
        <v>8</v>
      </c>
      <c r="DL473" s="27" t="s">
        <v>7</v>
      </c>
      <c r="DM473" s="27" t="s">
        <v>8</v>
      </c>
      <c r="HB473" s="27" t="s">
        <v>7</v>
      </c>
      <c r="HC473" s="27" t="s">
        <v>8</v>
      </c>
      <c r="HD473" s="27" t="s">
        <v>7</v>
      </c>
      <c r="HE473" s="27" t="s">
        <v>8</v>
      </c>
      <c r="HF473" s="27" t="s">
        <v>7</v>
      </c>
    </row>
    <row r="474" spans="1:214" x14ac:dyDescent="0.25">
      <c r="A474" s="7">
        <v>9.3717222538625968</v>
      </c>
      <c r="B474"/>
      <c r="C474"/>
      <c r="D474"/>
      <c r="E474"/>
      <c r="AS474" s="27" t="s">
        <v>8</v>
      </c>
      <c r="CH474" s="27" t="s">
        <v>7</v>
      </c>
      <c r="CI474" s="27" t="s">
        <v>8</v>
      </c>
      <c r="CJ474" s="27" t="s">
        <v>7</v>
      </c>
      <c r="CK474" s="27" t="s">
        <v>8</v>
      </c>
      <c r="CV474" s="27" t="s">
        <v>7</v>
      </c>
      <c r="CW474" s="27" t="s">
        <v>8</v>
      </c>
      <c r="DL474" s="27" t="s">
        <v>7</v>
      </c>
      <c r="HB474" s="27" t="s">
        <v>7</v>
      </c>
      <c r="HC474" s="27" t="s">
        <v>8</v>
      </c>
      <c r="HD474" s="27" t="s">
        <v>7</v>
      </c>
      <c r="HE474" s="27" t="s">
        <v>8</v>
      </c>
      <c r="HF474" s="27" t="s">
        <v>7</v>
      </c>
    </row>
    <row r="475" spans="1:214" x14ac:dyDescent="0.25">
      <c r="A475" s="7">
        <v>9.1879629939829375</v>
      </c>
      <c r="B475"/>
      <c r="C475"/>
      <c r="D475"/>
      <c r="E475"/>
      <c r="AS475" s="27" t="s">
        <v>8</v>
      </c>
      <c r="CH475" s="27" t="s">
        <v>7</v>
      </c>
      <c r="CI475" s="27" t="s">
        <v>8</v>
      </c>
      <c r="CJ475" s="27" t="s">
        <v>7</v>
      </c>
      <c r="CK475" s="27" t="s">
        <v>8</v>
      </c>
      <c r="CV475" s="27" t="s">
        <v>7</v>
      </c>
      <c r="CW475" s="27" t="s">
        <v>8</v>
      </c>
      <c r="HB475" s="27" t="s">
        <v>7</v>
      </c>
      <c r="HC475" s="27" t="s">
        <v>8</v>
      </c>
      <c r="HD475" s="27" t="s">
        <v>7</v>
      </c>
      <c r="HE475" s="27" t="s">
        <v>8</v>
      </c>
      <c r="HF475" s="27" t="s">
        <v>7</v>
      </c>
    </row>
    <row r="476" spans="1:214" x14ac:dyDescent="0.25">
      <c r="A476" s="7">
        <v>9.0078068568460168</v>
      </c>
      <c r="B476"/>
      <c r="C476"/>
      <c r="D476"/>
      <c r="E476"/>
      <c r="AS476" s="27" t="s">
        <v>8</v>
      </c>
      <c r="CH476" s="27" t="s">
        <v>7</v>
      </c>
      <c r="CI476" s="27" t="s">
        <v>8</v>
      </c>
      <c r="CJ476" s="27" t="s">
        <v>7</v>
      </c>
      <c r="CK476" s="27" t="s">
        <v>8</v>
      </c>
      <c r="CV476" s="27" t="s">
        <v>7</v>
      </c>
      <c r="CW476" s="27" t="s">
        <v>8</v>
      </c>
      <c r="HB476" s="27" t="s">
        <v>7</v>
      </c>
      <c r="HC476" s="27" t="s">
        <v>8</v>
      </c>
      <c r="HD476" s="27" t="s">
        <v>7</v>
      </c>
      <c r="HE476" s="27" t="s">
        <v>8</v>
      </c>
      <c r="HF476" s="27" t="s">
        <v>7</v>
      </c>
    </row>
    <row r="477" spans="1:214" x14ac:dyDescent="0.25">
      <c r="A477" s="7">
        <v>8.8311831929862912</v>
      </c>
      <c r="B477"/>
      <c r="C477"/>
      <c r="D477"/>
      <c r="E477"/>
      <c r="AS477" s="27" t="s">
        <v>8</v>
      </c>
      <c r="CH477" s="27" t="s">
        <v>7</v>
      </c>
      <c r="CI477" s="27" t="s">
        <v>8</v>
      </c>
      <c r="CJ477" s="27" t="s">
        <v>7</v>
      </c>
      <c r="CK477" s="27" t="s">
        <v>8</v>
      </c>
      <c r="CV477" s="27" t="s">
        <v>7</v>
      </c>
      <c r="CW477" s="27" t="s">
        <v>8</v>
      </c>
      <c r="HB477" s="27" t="s">
        <v>7</v>
      </c>
      <c r="HC477" s="27" t="s">
        <v>8</v>
      </c>
      <c r="HD477" s="27" t="s">
        <v>7</v>
      </c>
      <c r="HF477" s="27" t="s">
        <v>7</v>
      </c>
    </row>
    <row r="478" spans="1:214" x14ac:dyDescent="0.25">
      <c r="A478" s="7">
        <v>8.6580227382218542</v>
      </c>
      <c r="B478"/>
      <c r="C478"/>
      <c r="D478"/>
      <c r="E478"/>
      <c r="AS478" s="27" t="s">
        <v>8</v>
      </c>
      <c r="CH478" s="27" t="s">
        <v>7</v>
      </c>
      <c r="CI478" s="27" t="s">
        <v>8</v>
      </c>
      <c r="CJ478" s="27" t="s">
        <v>7</v>
      </c>
      <c r="CK478" s="27" t="s">
        <v>8</v>
      </c>
      <c r="CV478" s="27" t="s">
        <v>7</v>
      </c>
      <c r="CW478" s="27" t="s">
        <v>8</v>
      </c>
      <c r="HB478" s="27" t="s">
        <v>7</v>
      </c>
      <c r="HC478" s="27" t="s">
        <v>8</v>
      </c>
    </row>
    <row r="479" spans="1:214" x14ac:dyDescent="0.25">
      <c r="A479" s="7">
        <v>8.4882575864920131</v>
      </c>
      <c r="B479"/>
      <c r="C479"/>
      <c r="D479"/>
      <c r="E479"/>
      <c r="AS479" s="27" t="s">
        <v>8</v>
      </c>
      <c r="CH479" s="27" t="s">
        <v>7</v>
      </c>
      <c r="CI479" s="27" t="s">
        <v>8</v>
      </c>
      <c r="CJ479" s="27" t="s">
        <v>7</v>
      </c>
      <c r="CK479" s="27" t="s">
        <v>8</v>
      </c>
      <c r="CV479" s="27" t="s">
        <v>7</v>
      </c>
      <c r="CW479" s="27" t="s">
        <v>8</v>
      </c>
      <c r="HB479" s="27" t="s">
        <v>7</v>
      </c>
      <c r="HC479" s="27" t="s">
        <v>8</v>
      </c>
    </row>
    <row r="480" spans="1:214" x14ac:dyDescent="0.25">
      <c r="A480" s="7">
        <v>8.3218211632274635</v>
      </c>
      <c r="B480"/>
      <c r="C480"/>
      <c r="D480"/>
      <c r="E480"/>
      <c r="AS480" s="27" t="s">
        <v>8</v>
      </c>
      <c r="CH480" s="27" t="s">
        <v>7</v>
      </c>
      <c r="CI480" s="27" t="s">
        <v>8</v>
      </c>
      <c r="CJ480" s="27" t="s">
        <v>7</v>
      </c>
      <c r="CK480" s="27" t="s">
        <v>8</v>
      </c>
      <c r="CV480" s="27" t="s">
        <v>7</v>
      </c>
      <c r="CW480" s="27" t="s">
        <v>8</v>
      </c>
      <c r="HB480" s="27" t="s">
        <v>7</v>
      </c>
      <c r="HC480" s="27" t="s">
        <v>8</v>
      </c>
    </row>
    <row r="481" spans="1:210" x14ac:dyDescent="0.25">
      <c r="A481" s="7">
        <v>8.1586481992426112</v>
      </c>
      <c r="B481"/>
      <c r="C481"/>
      <c r="D481"/>
      <c r="E481"/>
      <c r="AS481" s="27" t="s">
        <v>8</v>
      </c>
      <c r="CH481" s="27" t="s">
        <v>7</v>
      </c>
      <c r="CI481" s="27" t="s">
        <v>8</v>
      </c>
      <c r="CJ481" s="27" t="s">
        <v>7</v>
      </c>
      <c r="CV481" s="27" t="s">
        <v>7</v>
      </c>
      <c r="CW481" s="27" t="s">
        <v>8</v>
      </c>
      <c r="HB481" s="27" t="s">
        <v>7</v>
      </c>
    </row>
    <row r="482" spans="1:210" x14ac:dyDescent="0.25">
      <c r="A482" s="7">
        <v>7.9986747051398144</v>
      </c>
      <c r="B482"/>
      <c r="C482"/>
      <c r="D482"/>
      <c r="E482"/>
      <c r="AS482" s="27" t="s">
        <v>8</v>
      </c>
      <c r="CH482" s="27" t="s">
        <v>7</v>
      </c>
      <c r="CI482" s="27" t="s">
        <v>8</v>
      </c>
      <c r="CV482" s="27" t="s">
        <v>7</v>
      </c>
      <c r="CW482" s="27" t="s">
        <v>8</v>
      </c>
    </row>
    <row r="483" spans="1:210" x14ac:dyDescent="0.25">
      <c r="A483" s="7">
        <v>7.8418379462155041</v>
      </c>
      <c r="B483"/>
      <c r="C483"/>
      <c r="D483"/>
      <c r="E483"/>
      <c r="AS483" s="27" t="s">
        <v>8</v>
      </c>
      <c r="CH483" s="27" t="s">
        <v>7</v>
      </c>
      <c r="CI483" s="27" t="s">
        <v>8</v>
      </c>
      <c r="CV483" s="27" t="s">
        <v>7</v>
      </c>
      <c r="CW483" s="27" t="s">
        <v>8</v>
      </c>
    </row>
    <row r="484" spans="1:210" x14ac:dyDescent="0.25">
      <c r="A484" s="7">
        <v>7.688076417858337</v>
      </c>
      <c r="B484"/>
      <c r="C484"/>
      <c r="D484"/>
      <c r="E484"/>
      <c r="AS484" s="27" t="s">
        <v>8</v>
      </c>
      <c r="CH484" s="27" t="s">
        <v>7</v>
      </c>
      <c r="CI484" s="27" t="s">
        <v>8</v>
      </c>
      <c r="CV484" s="27" t="s">
        <v>7</v>
      </c>
      <c r="CW484" s="27" t="s">
        <v>8</v>
      </c>
    </row>
    <row r="485" spans="1:210" x14ac:dyDescent="0.25">
      <c r="A485" s="7">
        <v>7.5373298214297417</v>
      </c>
      <c r="B485"/>
      <c r="C485"/>
      <c r="D485"/>
      <c r="E485"/>
      <c r="AS485" s="27" t="s">
        <v>8</v>
      </c>
      <c r="CH485" s="27" t="s">
        <v>7</v>
      </c>
      <c r="CI485" s="27" t="s">
        <v>8</v>
      </c>
      <c r="CV485" s="27" t="s">
        <v>7</v>
      </c>
      <c r="CW485" s="27" t="s">
        <v>8</v>
      </c>
    </row>
    <row r="486" spans="1:210" x14ac:dyDescent="0.25">
      <c r="A486" s="7">
        <v>7.389539040617394</v>
      </c>
      <c r="B486"/>
      <c r="C486"/>
      <c r="D486"/>
      <c r="E486"/>
      <c r="AS486" s="27" t="s">
        <v>8</v>
      </c>
      <c r="CH486" s="27" t="s">
        <v>7</v>
      </c>
      <c r="CI486" s="27" t="s">
        <v>8</v>
      </c>
      <c r="CV486" s="27" t="s">
        <v>7</v>
      </c>
    </row>
    <row r="487" spans="1:210" x14ac:dyDescent="0.25">
      <c r="A487" s="7">
        <v>7.2446461182523469</v>
      </c>
      <c r="B487"/>
      <c r="C487"/>
      <c r="D487"/>
      <c r="E487"/>
      <c r="AS487" s="27" t="s">
        <v>8</v>
      </c>
      <c r="CH487" s="27" t="s">
        <v>7</v>
      </c>
      <c r="CI487" s="27" t="s">
        <v>8</v>
      </c>
    </row>
    <row r="488" spans="1:210" x14ac:dyDescent="0.25">
      <c r="A488" s="7">
        <v>7.1025942335807324</v>
      </c>
      <c r="B488"/>
      <c r="C488"/>
      <c r="D488"/>
      <c r="E488"/>
      <c r="AS488" s="27" t="s">
        <v>8</v>
      </c>
      <c r="CH488" s="27" t="s">
        <v>7</v>
      </c>
    </row>
    <row r="489" spans="1:210" x14ac:dyDescent="0.25">
      <c r="A489" s="7">
        <v>6.9633276799811101</v>
      </c>
      <c r="B489"/>
      <c r="C489"/>
      <c r="D489"/>
      <c r="E489"/>
      <c r="AS489" s="27" t="s">
        <v>8</v>
      </c>
    </row>
    <row r="490" spans="1:210" x14ac:dyDescent="0.25">
      <c r="A490" s="7">
        <v>6.8267918431187349</v>
      </c>
      <c r="B490"/>
      <c r="C490"/>
      <c r="D490"/>
      <c r="E490"/>
      <c r="AS490" s="27" t="s">
        <v>8</v>
      </c>
    </row>
    <row r="491" spans="1:210" x14ac:dyDescent="0.25">
      <c r="A491" s="7">
        <v>6.692933179528171</v>
      </c>
      <c r="B491"/>
      <c r="C491"/>
      <c r="D491"/>
      <c r="E491"/>
      <c r="AS491" s="27" t="s">
        <v>8</v>
      </c>
    </row>
    <row r="492" spans="1:210" x14ac:dyDescent="0.25">
      <c r="A492" s="7">
        <v>6.5616991956158541</v>
      </c>
      <c r="B492"/>
      <c r="C492"/>
      <c r="D492"/>
      <c r="E492"/>
      <c r="AS492" s="27" t="s">
        <v>8</v>
      </c>
    </row>
    <row r="493" spans="1:210" x14ac:dyDescent="0.25">
      <c r="A493" s="7">
        <v>6.4330384270743668</v>
      </c>
      <c r="B493"/>
      <c r="C493"/>
      <c r="D493"/>
      <c r="E493"/>
      <c r="AS493" s="27" t="s">
        <v>8</v>
      </c>
    </row>
    <row r="494" spans="1:210" x14ac:dyDescent="0.25">
      <c r="A494" s="7">
        <v>6.3069004187003594</v>
      </c>
      <c r="B494"/>
      <c r="C494"/>
      <c r="D494"/>
      <c r="E494"/>
      <c r="AS494" s="27" t="s">
        <v>8</v>
      </c>
    </row>
    <row r="495" spans="1:210" x14ac:dyDescent="0.25">
      <c r="A495" s="7">
        <v>6.1832357046081956</v>
      </c>
      <c r="B495"/>
      <c r="C495"/>
      <c r="D495"/>
      <c r="E495"/>
      <c r="AS495" s="27" t="s">
        <v>8</v>
      </c>
    </row>
    <row r="496" spans="1:210" x14ac:dyDescent="0.25">
      <c r="A496" s="7">
        <v>6.0619957888315641</v>
      </c>
      <c r="B496"/>
      <c r="C496"/>
      <c r="D496"/>
      <c r="E496"/>
      <c r="AS496" s="27" t="s">
        <v>8</v>
      </c>
    </row>
    <row r="497" spans="1:45" x14ac:dyDescent="0.25">
      <c r="A497" s="7">
        <v>5.9431331263054545</v>
      </c>
      <c r="B497"/>
      <c r="C497"/>
      <c r="D497"/>
      <c r="E497"/>
      <c r="AS497" s="27" t="s">
        <v>8</v>
      </c>
    </row>
    <row r="498" spans="1:45" x14ac:dyDescent="0.25">
      <c r="A498" s="7">
        <v>5.8266011042210337</v>
      </c>
      <c r="B498"/>
      <c r="C498"/>
      <c r="D498"/>
      <c r="E498"/>
      <c r="Q498" s="27" t="s">
        <v>8</v>
      </c>
      <c r="AS498" s="27" t="s">
        <v>8</v>
      </c>
    </row>
    <row r="499" spans="1:45" x14ac:dyDescent="0.25">
      <c r="A499" s="7">
        <v>5.7123540237461112</v>
      </c>
      <c r="B499"/>
      <c r="C499"/>
      <c r="D499"/>
      <c r="E499"/>
      <c r="Q499" s="27" t="s">
        <v>8</v>
      </c>
      <c r="R499" s="27" t="s">
        <v>7</v>
      </c>
      <c r="AQ499" s="27" t="s">
        <v>8</v>
      </c>
      <c r="AS499" s="27" t="s">
        <v>8</v>
      </c>
    </row>
    <row r="500" spans="1:45" x14ac:dyDescent="0.25">
      <c r="A500" s="7">
        <v>5.6003470821040304</v>
      </c>
      <c r="B500"/>
      <c r="C500"/>
      <c r="D500"/>
      <c r="E500"/>
      <c r="Q500" s="27" t="s">
        <v>8</v>
      </c>
      <c r="R500" s="27" t="s">
        <v>7</v>
      </c>
      <c r="AQ500" s="27" t="s">
        <v>8</v>
      </c>
      <c r="AR500" s="27" t="s">
        <v>7</v>
      </c>
      <c r="AS500" s="27" t="s">
        <v>8</v>
      </c>
    </row>
    <row r="501" spans="1:45" x14ac:dyDescent="0.25">
      <c r="A501" s="7">
        <v>5.4905363550039512</v>
      </c>
      <c r="B501"/>
      <c r="C501"/>
      <c r="D501"/>
      <c r="E501"/>
      <c r="Q501" s="27" t="s">
        <v>8</v>
      </c>
      <c r="R501" s="27" t="s">
        <v>7</v>
      </c>
      <c r="AQ501" s="27" t="s">
        <v>8</v>
      </c>
      <c r="AR501" s="27" t="s">
        <v>7</v>
      </c>
      <c r="AS501" s="27" t="s">
        <v>8</v>
      </c>
    </row>
    <row r="502" spans="1:45" x14ac:dyDescent="0.25">
      <c r="A502" s="7">
        <v>5.3828787794156385</v>
      </c>
      <c r="B502"/>
      <c r="C502"/>
      <c r="D502"/>
      <c r="E502"/>
      <c r="Q502" s="27" t="s">
        <v>8</v>
      </c>
      <c r="R502" s="27" t="s">
        <v>7</v>
      </c>
      <c r="AQ502" s="27" t="s">
        <v>8</v>
      </c>
      <c r="AR502" s="27" t="s">
        <v>7</v>
      </c>
    </row>
    <row r="503" spans="1:45" x14ac:dyDescent="0.25">
      <c r="A503" s="7">
        <v>5.2773321366819985</v>
      </c>
      <c r="B503"/>
      <c r="C503"/>
      <c r="D503"/>
      <c r="E503"/>
      <c r="Q503" s="27" t="s">
        <v>8</v>
      </c>
      <c r="R503" s="27" t="s">
        <v>7</v>
      </c>
      <c r="AQ503" s="27" t="s">
        <v>8</v>
      </c>
    </row>
    <row r="504" spans="1:45" x14ac:dyDescent="0.25">
      <c r="A504" s="7">
        <v>5.1738550359627435</v>
      </c>
      <c r="B504"/>
      <c r="C504"/>
      <c r="D504"/>
      <c r="E504"/>
      <c r="Q504" s="27" t="s">
        <v>8</v>
      </c>
      <c r="R504" s="27" t="s">
        <v>7</v>
      </c>
      <c r="AQ504" s="27" t="s">
        <v>8</v>
      </c>
    </row>
    <row r="505" spans="1:45" x14ac:dyDescent="0.25">
      <c r="A505" s="7">
        <v>5.07240689800269</v>
      </c>
      <c r="B505"/>
      <c r="C505"/>
      <c r="D505"/>
      <c r="E505"/>
      <c r="Q505" s="27" t="s">
        <v>8</v>
      </c>
      <c r="R505" s="27" t="s">
        <v>7</v>
      </c>
      <c r="AQ505" s="27" t="s">
        <v>8</v>
      </c>
    </row>
    <row r="506" spans="1:45" x14ac:dyDescent="0.25">
      <c r="A506" s="7">
        <v>4.9729479392183231</v>
      </c>
      <c r="B506"/>
      <c r="C506"/>
      <c r="D506"/>
      <c r="E506"/>
      <c r="Q506" s="27" t="s">
        <v>8</v>
      </c>
      <c r="R506" s="27" t="s">
        <v>7</v>
      </c>
      <c r="AQ506" s="27" t="s">
        <v>8</v>
      </c>
    </row>
    <row r="507" spans="1:45" x14ac:dyDescent="0.25">
      <c r="A507" s="7">
        <v>4.8754391560963954</v>
      </c>
      <c r="B507"/>
      <c r="C507"/>
      <c r="D507"/>
      <c r="E507"/>
      <c r="Q507" s="27" t="s">
        <v>8</v>
      </c>
      <c r="R507" s="27" t="s">
        <v>7</v>
      </c>
      <c r="AQ507" s="27" t="s">
        <v>8</v>
      </c>
    </row>
    <row r="508" spans="1:45" x14ac:dyDescent="0.25">
      <c r="A508" s="7">
        <v>4.7798423098984264</v>
      </c>
      <c r="B508"/>
      <c r="C508"/>
      <c r="D508"/>
      <c r="E508"/>
      <c r="Q508" s="27" t="s">
        <v>8</v>
      </c>
      <c r="R508" s="27" t="s">
        <v>7</v>
      </c>
      <c r="AQ508" s="27" t="s">
        <v>8</v>
      </c>
    </row>
    <row r="509" spans="1:45" x14ac:dyDescent="0.25">
      <c r="A509" s="7">
        <v>4.6861199116651235</v>
      </c>
      <c r="B509"/>
      <c r="C509"/>
      <c r="D509"/>
      <c r="E509"/>
      <c r="Q509" s="27" t="s">
        <v>8</v>
      </c>
      <c r="R509" s="27" t="s">
        <v>7</v>
      </c>
      <c r="AQ509" s="27" t="s">
        <v>8</v>
      </c>
    </row>
    <row r="510" spans="1:45" x14ac:dyDescent="0.25">
      <c r="A510" s="7">
        <v>4.5942352075148269</v>
      </c>
      <c r="B510"/>
      <c r="C510"/>
      <c r="D510"/>
      <c r="E510"/>
      <c r="Q510" s="27" t="s">
        <v>8</v>
      </c>
      <c r="R510" s="27" t="s">
        <v>7</v>
      </c>
      <c r="AO510" s="27" t="s">
        <v>8</v>
      </c>
      <c r="AQ510" s="27" t="s">
        <v>8</v>
      </c>
    </row>
    <row r="511" spans="1:45" x14ac:dyDescent="0.25">
      <c r="A511" s="7">
        <v>4.5041521642302227</v>
      </c>
      <c r="B511"/>
      <c r="C511"/>
      <c r="D511"/>
      <c r="E511"/>
      <c r="Q511" s="27" t="s">
        <v>8</v>
      </c>
      <c r="R511" s="27" t="s">
        <v>7</v>
      </c>
      <c r="AO511" s="27" t="s">
        <v>8</v>
      </c>
      <c r="AP511" s="27" t="s">
        <v>7</v>
      </c>
      <c r="AQ511" s="27" t="s">
        <v>8</v>
      </c>
    </row>
    <row r="512" spans="1:45" x14ac:dyDescent="0.25">
      <c r="A512" s="7">
        <v>4.4158354551276693</v>
      </c>
      <c r="B512"/>
      <c r="C512"/>
      <c r="D512"/>
      <c r="E512"/>
      <c r="Q512" s="27" t="s">
        <v>8</v>
      </c>
      <c r="R512" s="27" t="s">
        <v>7</v>
      </c>
      <c r="AO512" s="27" t="s">
        <v>8</v>
      </c>
      <c r="AP512" s="27" t="s">
        <v>7</v>
      </c>
      <c r="AQ512" s="27" t="s">
        <v>8</v>
      </c>
    </row>
    <row r="513" spans="1:42" x14ac:dyDescent="0.25">
      <c r="A513" s="7">
        <v>4.3292504462035977</v>
      </c>
      <c r="B513"/>
      <c r="C513"/>
      <c r="D513"/>
      <c r="E513"/>
      <c r="Q513" s="27" t="s">
        <v>8</v>
      </c>
      <c r="R513" s="27" t="s">
        <v>7</v>
      </c>
      <c r="AO513" s="27" t="s">
        <v>8</v>
      </c>
      <c r="AP513" s="27" t="s">
        <v>7</v>
      </c>
    </row>
    <row r="514" spans="1:42" x14ac:dyDescent="0.25">
      <c r="A514" s="7">
        <v>4.2443631825525463</v>
      </c>
      <c r="B514"/>
      <c r="C514"/>
      <c r="D514"/>
      <c r="E514"/>
      <c r="Q514" s="27" t="s">
        <v>8</v>
      </c>
      <c r="R514" s="27" t="s">
        <v>7</v>
      </c>
      <c r="AO514" s="27" t="s">
        <v>8</v>
      </c>
    </row>
    <row r="515" spans="1:42" x14ac:dyDescent="0.25">
      <c r="A515" s="7">
        <v>4.1611403750515157</v>
      </c>
      <c r="B515"/>
      <c r="C515"/>
      <c r="D515"/>
      <c r="E515"/>
      <c r="Q515" s="27" t="s">
        <v>8</v>
      </c>
      <c r="R515" s="27" t="s">
        <v>7</v>
      </c>
      <c r="AO515" s="27" t="s">
        <v>8</v>
      </c>
    </row>
    <row r="516" spans="1:42" x14ac:dyDescent="0.25">
      <c r="A516" s="7">
        <v>4.0795493873054074</v>
      </c>
      <c r="B516"/>
      <c r="C516"/>
      <c r="D516"/>
      <c r="E516"/>
      <c r="Q516" s="27" t="s">
        <v>8</v>
      </c>
      <c r="R516" s="27" t="s">
        <v>7</v>
      </c>
      <c r="AO516" s="27" t="s">
        <v>8</v>
      </c>
    </row>
    <row r="517" spans="1:42" x14ac:dyDescent="0.25">
      <c r="A517" s="7">
        <v>3.9995582228484383</v>
      </c>
      <c r="B517"/>
      <c r="C517"/>
      <c r="D517"/>
      <c r="E517"/>
      <c r="Q517" s="27" t="s">
        <v>8</v>
      </c>
      <c r="R517" s="27" t="s">
        <v>7</v>
      </c>
      <c r="AO517" s="27" t="s">
        <v>8</v>
      </c>
    </row>
    <row r="518" spans="1:42" x14ac:dyDescent="0.25">
      <c r="A518" s="7">
        <v>3.9211355125965079</v>
      </c>
      <c r="B518"/>
      <c r="C518"/>
      <c r="D518"/>
      <c r="E518"/>
      <c r="Q518" s="27" t="s">
        <v>8</v>
      </c>
      <c r="R518" s="27" t="s">
        <v>7</v>
      </c>
      <c r="AO518" s="27" t="s">
        <v>8</v>
      </c>
    </row>
    <row r="519" spans="1:42" x14ac:dyDescent="0.25">
      <c r="A519" s="7">
        <v>3.844250502545596</v>
      </c>
      <c r="B519"/>
      <c r="C519"/>
      <c r="D519"/>
      <c r="E519"/>
      <c r="Q519" s="27" t="s">
        <v>8</v>
      </c>
      <c r="R519" s="27" t="s">
        <v>7</v>
      </c>
      <c r="AO519" s="27" t="s">
        <v>8</v>
      </c>
    </row>
    <row r="520" spans="1:42" x14ac:dyDescent="0.25">
      <c r="A520" s="7">
        <v>3.7688730417113687</v>
      </c>
      <c r="B520"/>
      <c r="C520"/>
      <c r="D520"/>
      <c r="E520"/>
      <c r="Q520" s="27" t="s">
        <v>8</v>
      </c>
      <c r="R520" s="27" t="s">
        <v>7</v>
      </c>
      <c r="AO520" s="27" t="s">
        <v>8</v>
      </c>
    </row>
    <row r="521" spans="1:42" x14ac:dyDescent="0.25">
      <c r="A521" s="7">
        <v>3.6949735703052635</v>
      </c>
      <c r="B521"/>
      <c r="C521"/>
      <c r="D521"/>
      <c r="E521"/>
      <c r="Q521" s="27" t="s">
        <v>8</v>
      </c>
      <c r="R521" s="27" t="s">
        <v>7</v>
      </c>
      <c r="AO521" s="27" t="s">
        <v>8</v>
      </c>
    </row>
    <row r="522" spans="1:42" x14ac:dyDescent="0.25">
      <c r="A522" s="7">
        <v>3.6225231081424152</v>
      </c>
      <c r="B522"/>
      <c r="C522"/>
      <c r="D522"/>
      <c r="E522"/>
      <c r="Q522" s="27" t="s">
        <v>8</v>
      </c>
      <c r="R522" s="27" t="s">
        <v>7</v>
      </c>
      <c r="U522" s="27" t="s">
        <v>8</v>
      </c>
      <c r="AO522" s="27" t="s">
        <v>8</v>
      </c>
    </row>
    <row r="523" spans="1:42" x14ac:dyDescent="0.25">
      <c r="A523" s="7">
        <v>3.5514932432768775</v>
      </c>
      <c r="B523"/>
      <c r="C523"/>
      <c r="D523"/>
      <c r="E523"/>
      <c r="Q523" s="27" t="s">
        <v>8</v>
      </c>
      <c r="R523" s="27" t="s">
        <v>7</v>
      </c>
      <c r="U523" s="27" t="s">
        <v>8</v>
      </c>
      <c r="V523" s="27" t="s">
        <v>7</v>
      </c>
      <c r="AO523" s="27" t="s">
        <v>8</v>
      </c>
    </row>
    <row r="524" spans="1:42" x14ac:dyDescent="0.25">
      <c r="A524" s="7">
        <v>3.4818561208596837</v>
      </c>
      <c r="B524"/>
      <c r="C524"/>
      <c r="D524"/>
      <c r="E524"/>
      <c r="Q524" s="27" t="s">
        <v>8</v>
      </c>
      <c r="R524" s="27" t="s">
        <v>7</v>
      </c>
      <c r="U524" s="27" t="s">
        <v>8</v>
      </c>
      <c r="V524" s="27" t="s">
        <v>7</v>
      </c>
      <c r="AO524" s="27" t="s">
        <v>8</v>
      </c>
    </row>
    <row r="525" spans="1:42" x14ac:dyDescent="0.25">
      <c r="A525" s="7">
        <v>3.4135844322153761</v>
      </c>
      <c r="B525"/>
      <c r="C525"/>
      <c r="D525"/>
      <c r="E525"/>
      <c r="Q525" s="27" t="s">
        <v>8</v>
      </c>
      <c r="R525" s="27" t="s">
        <v>7</v>
      </c>
      <c r="U525" s="27" t="s">
        <v>8</v>
      </c>
      <c r="V525" s="27" t="s">
        <v>7</v>
      </c>
      <c r="AO525" s="27" t="s">
        <v>8</v>
      </c>
    </row>
    <row r="526" spans="1:42" x14ac:dyDescent="0.25">
      <c r="A526" s="7">
        <v>3.3466514041327216</v>
      </c>
      <c r="B526"/>
      <c r="C526"/>
      <c r="D526"/>
      <c r="E526"/>
      <c r="M526" s="27" t="s">
        <v>8</v>
      </c>
      <c r="Q526" s="27" t="s">
        <v>8</v>
      </c>
      <c r="R526" s="27" t="s">
        <v>7</v>
      </c>
      <c r="U526" s="27" t="s">
        <v>8</v>
      </c>
      <c r="V526" s="27" t="s">
        <v>7</v>
      </c>
      <c r="AO526" s="27" t="s">
        <v>8</v>
      </c>
    </row>
    <row r="527" spans="1:42" x14ac:dyDescent="0.25">
      <c r="A527" s="7">
        <v>3.2810307883654133</v>
      </c>
      <c r="B527"/>
      <c r="C527"/>
      <c r="D527"/>
      <c r="E527"/>
      <c r="M527" s="27" t="s">
        <v>8</v>
      </c>
      <c r="N527" s="27" t="s">
        <v>7</v>
      </c>
      <c r="Q527" s="27" t="s">
        <v>8</v>
      </c>
      <c r="R527" s="27" t="s">
        <v>7</v>
      </c>
      <c r="U527" s="27" t="s">
        <v>8</v>
      </c>
      <c r="V527" s="27" t="s">
        <v>7</v>
      </c>
      <c r="AO527" s="27" t="s">
        <v>8</v>
      </c>
    </row>
    <row r="528" spans="1:42" x14ac:dyDescent="0.25">
      <c r="A528" s="7">
        <v>3.2166968513386403</v>
      </c>
      <c r="B528"/>
      <c r="C528"/>
      <c r="D528"/>
      <c r="E528"/>
      <c r="M528" s="27" t="s">
        <v>8</v>
      </c>
      <c r="N528" s="27" t="s">
        <v>7</v>
      </c>
      <c r="Q528" s="27" t="s">
        <v>8</v>
      </c>
      <c r="R528" s="27" t="s">
        <v>7</v>
      </c>
      <c r="U528" s="27" t="s">
        <v>8</v>
      </c>
      <c r="V528" s="27" t="s">
        <v>7</v>
      </c>
      <c r="AO528" s="27" t="s">
        <v>8</v>
      </c>
    </row>
    <row r="529" spans="1:41" x14ac:dyDescent="0.25">
      <c r="A529" s="7">
        <v>3.1536243640574906</v>
      </c>
      <c r="B529"/>
      <c r="C529"/>
      <c r="D529"/>
      <c r="E529"/>
      <c r="M529" s="27" t="s">
        <v>8</v>
      </c>
      <c r="N529" s="27" t="s">
        <v>7</v>
      </c>
      <c r="Q529" s="27" t="s">
        <v>8</v>
      </c>
      <c r="R529" s="27" t="s">
        <v>7</v>
      </c>
      <c r="U529" s="27" t="s">
        <v>8</v>
      </c>
      <c r="V529" s="27" t="s">
        <v>7</v>
      </c>
      <c r="AO529" s="27" t="s">
        <v>8</v>
      </c>
    </row>
    <row r="530" spans="1:41" x14ac:dyDescent="0.25">
      <c r="A530" s="7">
        <v>3.0917885922132262</v>
      </c>
      <c r="B530"/>
      <c r="C530"/>
      <c r="D530"/>
      <c r="E530"/>
      <c r="M530" s="27" t="s">
        <v>8</v>
      </c>
      <c r="N530" s="27" t="s">
        <v>7</v>
      </c>
      <c r="Q530" s="27" t="s">
        <v>8</v>
      </c>
      <c r="R530" s="27" t="s">
        <v>7</v>
      </c>
      <c r="U530" s="27" t="s">
        <v>8</v>
      </c>
      <c r="V530" s="27" t="s">
        <v>7</v>
      </c>
      <c r="AK530" s="27" t="s">
        <v>8</v>
      </c>
      <c r="AO530" s="27" t="s">
        <v>8</v>
      </c>
    </row>
    <row r="531" spans="1:41" x14ac:dyDescent="0.25">
      <c r="A531" s="7">
        <v>3.0311652864835552</v>
      </c>
      <c r="B531"/>
      <c r="C531"/>
      <c r="D531"/>
      <c r="E531"/>
      <c r="K531" s="27" t="s">
        <v>8</v>
      </c>
      <c r="M531" s="27" t="s">
        <v>8</v>
      </c>
      <c r="N531" s="27" t="s">
        <v>7</v>
      </c>
      <c r="O531" s="27" t="s">
        <v>8</v>
      </c>
      <c r="Q531" s="27" t="s">
        <v>8</v>
      </c>
      <c r="R531" s="27" t="s">
        <v>7</v>
      </c>
      <c r="U531" s="27" t="s">
        <v>8</v>
      </c>
      <c r="V531" s="27" t="s">
        <v>7</v>
      </c>
      <c r="AK531" s="27" t="s">
        <v>8</v>
      </c>
      <c r="AL531" s="27" t="s">
        <v>7</v>
      </c>
      <c r="AO531" s="27" t="s">
        <v>8</v>
      </c>
    </row>
    <row r="532" spans="1:41" x14ac:dyDescent="0.25">
      <c r="A532" s="7">
        <v>2.9717306730230932</v>
      </c>
      <c r="B532"/>
      <c r="C532"/>
      <c r="D532"/>
      <c r="E532"/>
      <c r="K532" s="27" t="s">
        <v>8</v>
      </c>
      <c r="L532" s="27" t="s">
        <v>7</v>
      </c>
      <c r="M532" s="27" t="s">
        <v>8</v>
      </c>
      <c r="N532" s="27" t="s">
        <v>7</v>
      </c>
      <c r="O532" s="27" t="s">
        <v>8</v>
      </c>
      <c r="P532" s="27" t="s">
        <v>7</v>
      </c>
      <c r="Q532" s="27" t="s">
        <v>8</v>
      </c>
      <c r="R532" s="27" t="s">
        <v>7</v>
      </c>
      <c r="S532" s="27" t="s">
        <v>8</v>
      </c>
      <c r="U532" s="27" t="s">
        <v>8</v>
      </c>
      <c r="V532" s="27" t="s">
        <v>7</v>
      </c>
      <c r="AK532" s="27" t="s">
        <v>8</v>
      </c>
      <c r="AL532" s="27" t="s">
        <v>7</v>
      </c>
      <c r="AO532" s="27" t="s">
        <v>8</v>
      </c>
    </row>
    <row r="533" spans="1:41" x14ac:dyDescent="0.25">
      <c r="A533" s="7">
        <v>2.9134614441402875</v>
      </c>
      <c r="B533"/>
      <c r="C533"/>
      <c r="D533"/>
      <c r="E533"/>
      <c r="I533" s="27" t="s">
        <v>8</v>
      </c>
      <c r="K533" s="27" t="s">
        <v>8</v>
      </c>
      <c r="L533" s="27" t="s">
        <v>7</v>
      </c>
      <c r="M533" s="27" t="s">
        <v>8</v>
      </c>
      <c r="N533" s="27" t="s">
        <v>7</v>
      </c>
      <c r="O533" s="27" t="s">
        <v>8</v>
      </c>
      <c r="P533" s="27" t="s">
        <v>7</v>
      </c>
      <c r="Q533" s="27" t="s">
        <v>8</v>
      </c>
      <c r="R533" s="27" t="s">
        <v>7</v>
      </c>
      <c r="S533" s="27" t="s">
        <v>8</v>
      </c>
      <c r="T533" s="27" t="s">
        <v>7</v>
      </c>
      <c r="U533" s="27" t="s">
        <v>8</v>
      </c>
      <c r="V533" s="27" t="s">
        <v>7</v>
      </c>
      <c r="AK533" s="27" t="s">
        <v>8</v>
      </c>
      <c r="AL533" s="27" t="s">
        <v>7</v>
      </c>
      <c r="AO533" s="27" t="s">
        <v>8</v>
      </c>
    </row>
    <row r="534" spans="1:41" x14ac:dyDescent="0.25">
      <c r="A534" s="7">
        <v>2.8563347491571447</v>
      </c>
      <c r="B534"/>
      <c r="C534"/>
      <c r="D534"/>
      <c r="E534"/>
      <c r="I534" s="27" t="s">
        <v>8</v>
      </c>
      <c r="J534" s="27" t="s">
        <v>7</v>
      </c>
      <c r="K534" s="27" t="s">
        <v>8</v>
      </c>
      <c r="L534" s="27" t="s">
        <v>7</v>
      </c>
      <c r="M534" s="27" t="s">
        <v>8</v>
      </c>
      <c r="N534" s="27" t="s">
        <v>7</v>
      </c>
      <c r="O534" s="27" t="s">
        <v>8</v>
      </c>
      <c r="P534" s="27" t="s">
        <v>7</v>
      </c>
      <c r="R534" s="27" t="s">
        <v>7</v>
      </c>
      <c r="S534" s="27" t="s">
        <v>8</v>
      </c>
      <c r="T534" s="27" t="s">
        <v>7</v>
      </c>
      <c r="U534" s="27" t="s">
        <v>8</v>
      </c>
      <c r="V534" s="27" t="s">
        <v>7</v>
      </c>
      <c r="AK534" s="27" t="s">
        <v>8</v>
      </c>
      <c r="AL534" s="27" t="s">
        <v>7</v>
      </c>
      <c r="AO534" s="27" t="s">
        <v>8</v>
      </c>
    </row>
    <row r="535" spans="1:41" x14ac:dyDescent="0.25">
      <c r="A535" s="7">
        <v>2.8003281854481812</v>
      </c>
      <c r="B535"/>
      <c r="C535"/>
      <c r="D535"/>
      <c r="E535"/>
      <c r="I535" s="27" t="s">
        <v>8</v>
      </c>
      <c r="J535" s="27" t="s">
        <v>7</v>
      </c>
      <c r="K535" s="27" t="s">
        <v>8</v>
      </c>
      <c r="L535" s="27" t="s">
        <v>7</v>
      </c>
      <c r="M535" s="27" t="s">
        <v>8</v>
      </c>
      <c r="N535" s="27" t="s">
        <v>7</v>
      </c>
      <c r="O535" s="27" t="s">
        <v>8</v>
      </c>
      <c r="R535" s="27" t="s">
        <v>7</v>
      </c>
      <c r="S535" s="27" t="s">
        <v>8</v>
      </c>
      <c r="T535" s="27" t="s">
        <v>7</v>
      </c>
      <c r="U535" s="27" t="s">
        <v>8</v>
      </c>
      <c r="V535" s="27" t="s">
        <v>7</v>
      </c>
      <c r="AK535" s="27" t="s">
        <v>8</v>
      </c>
      <c r="AL535" s="27" t="s">
        <v>7</v>
      </c>
      <c r="AO535" s="27" t="s">
        <v>8</v>
      </c>
    </row>
    <row r="536" spans="1:41" x14ac:dyDescent="0.25">
      <c r="A536" s="7">
        <v>2.7454197896550796</v>
      </c>
      <c r="B536"/>
      <c r="C536"/>
      <c r="D536"/>
      <c r="E536"/>
      <c r="I536" s="27" t="s">
        <v>8</v>
      </c>
      <c r="J536" s="27" t="s">
        <v>7</v>
      </c>
      <c r="K536" s="27" t="s">
        <v>8</v>
      </c>
      <c r="L536" s="27" t="s">
        <v>7</v>
      </c>
      <c r="M536" s="27" t="s">
        <v>8</v>
      </c>
      <c r="N536" s="27" t="s">
        <v>7</v>
      </c>
      <c r="O536" s="27" t="s">
        <v>8</v>
      </c>
      <c r="R536" s="27" t="s">
        <v>7</v>
      </c>
      <c r="S536" s="27" t="s">
        <v>8</v>
      </c>
      <c r="T536" s="27" t="s">
        <v>7</v>
      </c>
      <c r="U536" s="27" t="s">
        <v>8</v>
      </c>
      <c r="V536" s="27" t="s">
        <v>7</v>
      </c>
      <c r="AK536" s="27" t="s">
        <v>8</v>
      </c>
      <c r="AL536" s="27" t="s">
        <v>7</v>
      </c>
      <c r="AO536" s="27" t="s">
        <v>8</v>
      </c>
    </row>
    <row r="537" spans="1:41" x14ac:dyDescent="0.25">
      <c r="A537" s="7">
        <v>2.6915880290736074</v>
      </c>
      <c r="B537"/>
      <c r="C537"/>
      <c r="D537"/>
      <c r="E537"/>
      <c r="I537" s="27" t="s">
        <v>8</v>
      </c>
      <c r="J537" s="27" t="s">
        <v>7</v>
      </c>
      <c r="K537" s="27" t="s">
        <v>8</v>
      </c>
      <c r="L537" s="27" t="s">
        <v>7</v>
      </c>
      <c r="M537" s="27" t="s">
        <v>8</v>
      </c>
      <c r="N537" s="27" t="s">
        <v>7</v>
      </c>
      <c r="O537" s="27" t="s">
        <v>8</v>
      </c>
      <c r="R537" s="27" t="s">
        <v>7</v>
      </c>
      <c r="T537" s="27" t="s">
        <v>7</v>
      </c>
      <c r="U537" s="27" t="s">
        <v>8</v>
      </c>
      <c r="V537" s="27" t="s">
        <v>7</v>
      </c>
      <c r="AA537" s="27" t="s">
        <v>8</v>
      </c>
      <c r="AC537" s="27" t="s">
        <v>8</v>
      </c>
      <c r="AG537" s="27" t="s">
        <v>8</v>
      </c>
      <c r="AK537" s="27" t="s">
        <v>8</v>
      </c>
      <c r="AL537" s="27" t="s">
        <v>7</v>
      </c>
      <c r="AM537" s="27" t="s">
        <v>8</v>
      </c>
      <c r="AO537" s="27" t="s">
        <v>8</v>
      </c>
    </row>
    <row r="538" spans="1:41" x14ac:dyDescent="0.25">
      <c r="A538" s="7">
        <v>2.6388117932094191</v>
      </c>
      <c r="B538"/>
      <c r="C538"/>
      <c r="D538"/>
      <c r="E538"/>
      <c r="I538" s="27" t="s">
        <v>8</v>
      </c>
      <c r="J538" s="27" t="s">
        <v>7</v>
      </c>
      <c r="K538" s="27" t="s">
        <v>8</v>
      </c>
      <c r="L538" s="27" t="s">
        <v>7</v>
      </c>
      <c r="M538" s="27" t="s">
        <v>8</v>
      </c>
      <c r="N538" s="27" t="s">
        <v>7</v>
      </c>
      <c r="O538" s="27" t="s">
        <v>8</v>
      </c>
      <c r="T538" s="27" t="s">
        <v>7</v>
      </c>
      <c r="U538" s="27" t="s">
        <v>8</v>
      </c>
      <c r="V538" s="27" t="s">
        <v>7</v>
      </c>
      <c r="AA538" s="27" t="s">
        <v>8</v>
      </c>
      <c r="AB538" s="27" t="s">
        <v>7</v>
      </c>
      <c r="AC538" s="27" t="s">
        <v>8</v>
      </c>
      <c r="AD538" s="27" t="s">
        <v>7</v>
      </c>
      <c r="AG538" s="27" t="s">
        <v>8</v>
      </c>
      <c r="AH538" s="27" t="s">
        <v>7</v>
      </c>
      <c r="AK538" s="27" t="s">
        <v>8</v>
      </c>
      <c r="AL538" s="27" t="s">
        <v>7</v>
      </c>
      <c r="AM538" s="27" t="s">
        <v>8</v>
      </c>
      <c r="AN538" s="27" t="s">
        <v>7</v>
      </c>
      <c r="AO538" s="27" t="s">
        <v>8</v>
      </c>
    </row>
    <row r="539" spans="1:41" x14ac:dyDescent="0.25">
      <c r="A539" s="7">
        <v>2.5870703854994304</v>
      </c>
      <c r="B539"/>
      <c r="C539"/>
      <c r="D539"/>
      <c r="E539"/>
      <c r="I539" s="27" t="s">
        <v>8</v>
      </c>
      <c r="J539" s="27" t="s">
        <v>7</v>
      </c>
      <c r="L539" s="27" t="s">
        <v>7</v>
      </c>
      <c r="M539" s="27" t="s">
        <v>8</v>
      </c>
      <c r="N539" s="27" t="s">
        <v>7</v>
      </c>
      <c r="O539" s="27" t="s">
        <v>8</v>
      </c>
      <c r="T539" s="27" t="s">
        <v>7</v>
      </c>
      <c r="U539" s="27" t="s">
        <v>8</v>
      </c>
      <c r="V539" s="27" t="s">
        <v>7</v>
      </c>
      <c r="AA539" s="27" t="s">
        <v>8</v>
      </c>
      <c r="AB539" s="27" t="s">
        <v>7</v>
      </c>
      <c r="AC539" s="27" t="s">
        <v>8</v>
      </c>
      <c r="AD539" s="27" t="s">
        <v>7</v>
      </c>
      <c r="AG539" s="27" t="s">
        <v>8</v>
      </c>
      <c r="AH539" s="27" t="s">
        <v>7</v>
      </c>
      <c r="AK539" s="27" t="s">
        <v>8</v>
      </c>
      <c r="AL539" s="27" t="s">
        <v>7</v>
      </c>
      <c r="AM539" s="27" t="s">
        <v>8</v>
      </c>
      <c r="AN539" s="27" t="s">
        <v>7</v>
      </c>
      <c r="AO539" s="27" t="s">
        <v>8</v>
      </c>
    </row>
    <row r="540" spans="1:41" x14ac:dyDescent="0.25">
      <c r="A540" s="7">
        <v>2.53634351519552</v>
      </c>
      <c r="B540"/>
      <c r="C540"/>
      <c r="D540"/>
      <c r="E540"/>
      <c r="I540" s="27" t="s">
        <v>8</v>
      </c>
      <c r="L540" s="27" t="s">
        <v>7</v>
      </c>
      <c r="M540" s="27" t="s">
        <v>8</v>
      </c>
      <c r="N540" s="27" t="s">
        <v>7</v>
      </c>
      <c r="T540" s="27" t="s">
        <v>7</v>
      </c>
      <c r="U540" s="27" t="s">
        <v>8</v>
      </c>
      <c r="V540" s="27" t="s">
        <v>7</v>
      </c>
      <c r="AA540" s="27" t="s">
        <v>8</v>
      </c>
      <c r="AB540" s="27" t="s">
        <v>7</v>
      </c>
      <c r="AC540" s="27" t="s">
        <v>8</v>
      </c>
      <c r="AD540" s="27" t="s">
        <v>7</v>
      </c>
      <c r="AE540" s="27" t="s">
        <v>8</v>
      </c>
      <c r="AG540" s="27" t="s">
        <v>8</v>
      </c>
      <c r="AH540" s="27" t="s">
        <v>7</v>
      </c>
      <c r="AK540" s="27" t="s">
        <v>8</v>
      </c>
      <c r="AL540" s="27" t="s">
        <v>7</v>
      </c>
      <c r="AM540" s="27" t="s">
        <v>8</v>
      </c>
      <c r="AN540" s="27" t="s">
        <v>7</v>
      </c>
      <c r="AO540" s="27" t="s">
        <v>8</v>
      </c>
    </row>
    <row r="541" spans="1:41" x14ac:dyDescent="0.25">
      <c r="A541" s="7">
        <v>2.4866112894073726</v>
      </c>
      <c r="B541"/>
      <c r="C541"/>
      <c r="D541"/>
      <c r="E541"/>
      <c r="I541" s="27" t="s">
        <v>8</v>
      </c>
      <c r="L541" s="27" t="s">
        <v>7</v>
      </c>
      <c r="M541" s="27" t="s">
        <v>8</v>
      </c>
      <c r="T541" s="27" t="s">
        <v>7</v>
      </c>
      <c r="U541" s="27" t="s">
        <v>8</v>
      </c>
      <c r="V541" s="27" t="s">
        <v>7</v>
      </c>
      <c r="AA541" s="27" t="s">
        <v>8</v>
      </c>
      <c r="AB541" s="27" t="s">
        <v>7</v>
      </c>
      <c r="AC541" s="27" t="s">
        <v>8</v>
      </c>
      <c r="AD541" s="27" t="s">
        <v>7</v>
      </c>
      <c r="AE541" s="27" t="s">
        <v>8</v>
      </c>
      <c r="AF541" s="27" t="s">
        <v>7</v>
      </c>
      <c r="AG541" s="27" t="s">
        <v>8</v>
      </c>
      <c r="AH541" s="27" t="s">
        <v>7</v>
      </c>
      <c r="AK541" s="27" t="s">
        <v>8</v>
      </c>
      <c r="AL541" s="27" t="s">
        <v>7</v>
      </c>
      <c r="AM541" s="27" t="s">
        <v>8</v>
      </c>
      <c r="AN541" s="27" t="s">
        <v>7</v>
      </c>
    </row>
    <row r="542" spans="1:41" x14ac:dyDescent="0.25">
      <c r="A542" s="7">
        <v>2.4378542053013459</v>
      </c>
      <c r="B542"/>
      <c r="C542"/>
      <c r="D542"/>
      <c r="E542"/>
      <c r="I542" s="27" t="s">
        <v>8</v>
      </c>
      <c r="L542" s="27" t="s">
        <v>7</v>
      </c>
      <c r="M542" s="27" t="s">
        <v>8</v>
      </c>
      <c r="T542" s="27" t="s">
        <v>7</v>
      </c>
      <c r="U542" s="27" t="s">
        <v>8</v>
      </c>
      <c r="V542" s="27" t="s">
        <v>7</v>
      </c>
      <c r="Y542" s="27" t="s">
        <v>8</v>
      </c>
      <c r="AA542" s="27" t="s">
        <v>8</v>
      </c>
      <c r="AB542" s="27" t="s">
        <v>7</v>
      </c>
      <c r="AC542" s="27" t="s">
        <v>8</v>
      </c>
      <c r="AD542" s="27" t="s">
        <v>7</v>
      </c>
      <c r="AE542" s="27" t="s">
        <v>8</v>
      </c>
      <c r="AF542" s="27" t="s">
        <v>7</v>
      </c>
      <c r="AG542" s="27" t="s">
        <v>8</v>
      </c>
      <c r="AH542" s="27" t="s">
        <v>7</v>
      </c>
      <c r="AK542" s="27" t="s">
        <v>8</v>
      </c>
      <c r="AL542" s="27" t="s">
        <v>7</v>
      </c>
      <c r="AM542" s="27" t="s">
        <v>8</v>
      </c>
    </row>
    <row r="543" spans="1:41" x14ac:dyDescent="0.25">
      <c r="A543" s="7">
        <v>2.3900531424522997</v>
      </c>
      <c r="B543"/>
      <c r="C543"/>
      <c r="D543"/>
      <c r="E543"/>
      <c r="I543" s="27" t="s">
        <v>8</v>
      </c>
      <c r="L543" s="27" t="s">
        <v>7</v>
      </c>
      <c r="M543" s="27" t="s">
        <v>8</v>
      </c>
      <c r="T543" s="27" t="s">
        <v>7</v>
      </c>
      <c r="U543" s="27" t="s">
        <v>8</v>
      </c>
      <c r="V543" s="27" t="s">
        <v>7</v>
      </c>
      <c r="Y543" s="27" t="s">
        <v>8</v>
      </c>
      <c r="Z543" s="27" t="s">
        <v>7</v>
      </c>
      <c r="AA543" s="27" t="s">
        <v>8</v>
      </c>
      <c r="AB543" s="27" t="s">
        <v>7</v>
      </c>
      <c r="AC543" s="27" t="s">
        <v>8</v>
      </c>
      <c r="AD543" s="27" t="s">
        <v>7</v>
      </c>
      <c r="AE543" s="27" t="s">
        <v>8</v>
      </c>
      <c r="AF543" s="27" t="s">
        <v>7</v>
      </c>
      <c r="AG543" s="27" t="s">
        <v>8</v>
      </c>
      <c r="AH543" s="27" t="s">
        <v>7</v>
      </c>
      <c r="AI543" s="27" t="s">
        <v>8</v>
      </c>
      <c r="AK543" s="27" t="s">
        <v>8</v>
      </c>
      <c r="AL543" s="27" t="s">
        <v>7</v>
      </c>
    </row>
    <row r="544" spans="1:41" x14ac:dyDescent="0.25">
      <c r="A544" s="7">
        <v>2.343189355345392</v>
      </c>
      <c r="B544"/>
      <c r="C544"/>
      <c r="D544"/>
      <c r="E544" t="s">
        <v>8</v>
      </c>
      <c r="I544" s="27" t="s">
        <v>8</v>
      </c>
      <c r="L544" s="27" t="s">
        <v>7</v>
      </c>
      <c r="M544" s="27" t="s">
        <v>8</v>
      </c>
      <c r="T544" s="27" t="s">
        <v>7</v>
      </c>
      <c r="U544" s="27" t="s">
        <v>8</v>
      </c>
      <c r="V544" s="27" t="s">
        <v>7</v>
      </c>
      <c r="Y544" s="27" t="s">
        <v>8</v>
      </c>
      <c r="Z544" s="27" t="s">
        <v>7</v>
      </c>
      <c r="AA544" s="27" t="s">
        <v>8</v>
      </c>
      <c r="AB544" s="27" t="s">
        <v>7</v>
      </c>
      <c r="AC544" s="27" t="s">
        <v>8</v>
      </c>
      <c r="AD544" s="27" t="s">
        <v>7</v>
      </c>
      <c r="AE544" s="27" t="s">
        <v>8</v>
      </c>
      <c r="AF544" s="27" t="s">
        <v>7</v>
      </c>
      <c r="AH544" s="27" t="s">
        <v>7</v>
      </c>
      <c r="AI544" s="27" t="s">
        <v>8</v>
      </c>
      <c r="AJ544" s="27" t="s">
        <v>7</v>
      </c>
      <c r="AK544" s="27" t="s">
        <v>8</v>
      </c>
    </row>
    <row r="545" spans="1:37" x14ac:dyDescent="0.25">
      <c r="A545" s="7">
        <v>2.2972444660248938</v>
      </c>
      <c r="B545"/>
      <c r="C545"/>
      <c r="D545"/>
      <c r="E545" t="s">
        <v>8</v>
      </c>
      <c r="F545" s="27" t="s">
        <v>7</v>
      </c>
      <c r="G545" s="27" t="s">
        <v>8</v>
      </c>
      <c r="I545" s="27" t="s">
        <v>8</v>
      </c>
      <c r="L545" s="27" t="s">
        <v>7</v>
      </c>
      <c r="M545" s="27" t="s">
        <v>8</v>
      </c>
      <c r="T545" s="27" t="s">
        <v>7</v>
      </c>
      <c r="U545" s="27" t="s">
        <v>8</v>
      </c>
      <c r="V545" s="27" t="s">
        <v>7</v>
      </c>
      <c r="W545" s="27" t="s">
        <v>8</v>
      </c>
      <c r="Y545" s="27" t="s">
        <v>8</v>
      </c>
      <c r="Z545" s="27" t="s">
        <v>7</v>
      </c>
      <c r="AA545" s="27" t="s">
        <v>8</v>
      </c>
      <c r="AB545" s="27" t="s">
        <v>7</v>
      </c>
      <c r="AC545" s="27" t="s">
        <v>8</v>
      </c>
      <c r="AD545" s="27" t="s">
        <v>7</v>
      </c>
      <c r="AE545" s="27" t="s">
        <v>8</v>
      </c>
      <c r="AH545" s="27" t="s">
        <v>7</v>
      </c>
      <c r="AI545" s="27" t="s">
        <v>8</v>
      </c>
      <c r="AJ545" s="27" t="s">
        <v>7</v>
      </c>
      <c r="AK545" s="27" t="s">
        <v>8</v>
      </c>
    </row>
    <row r="546" spans="1:37" x14ac:dyDescent="0.25">
      <c r="A546" s="7">
        <v>2.252200456887151</v>
      </c>
      <c r="B546"/>
      <c r="C546"/>
      <c r="D546"/>
      <c r="E546" t="s">
        <v>8</v>
      </c>
      <c r="F546" s="27" t="s">
        <v>7</v>
      </c>
      <c r="G546" s="27" t="s">
        <v>8</v>
      </c>
      <c r="H546" s="27" t="s">
        <v>7</v>
      </c>
      <c r="I546" s="27" t="s">
        <v>8</v>
      </c>
      <c r="L546" s="27" t="s">
        <v>7</v>
      </c>
      <c r="T546" s="27" t="s">
        <v>7</v>
      </c>
      <c r="U546" s="27" t="s">
        <v>8</v>
      </c>
      <c r="V546" s="27" t="s">
        <v>7</v>
      </c>
      <c r="W546" s="27" t="s">
        <v>8</v>
      </c>
      <c r="X546" s="27" t="s">
        <v>7</v>
      </c>
      <c r="Y546" s="27" t="s">
        <v>8</v>
      </c>
      <c r="Z546" s="27" t="s">
        <v>7</v>
      </c>
      <c r="AA546" s="27" t="s">
        <v>8</v>
      </c>
      <c r="AB546" s="27" t="s">
        <v>7</v>
      </c>
      <c r="AD546" s="27" t="s">
        <v>7</v>
      </c>
      <c r="AE546" s="27" t="s">
        <v>8</v>
      </c>
      <c r="AH546" s="27" t="s">
        <v>7</v>
      </c>
      <c r="AJ546" s="27" t="s">
        <v>7</v>
      </c>
    </row>
    <row r="547" spans="1:37" x14ac:dyDescent="0.25">
      <c r="A547" s="7">
        <v>2.208039663614854</v>
      </c>
      <c r="B547"/>
      <c r="C547"/>
      <c r="D547"/>
      <c r="E547" t="s">
        <v>8</v>
      </c>
      <c r="F547" s="27" t="s">
        <v>7</v>
      </c>
      <c r="G547" s="27" t="s">
        <v>8</v>
      </c>
      <c r="H547" s="27" t="s">
        <v>7</v>
      </c>
      <c r="I547" s="27" t="s">
        <v>8</v>
      </c>
      <c r="T547" s="27" t="s">
        <v>7</v>
      </c>
      <c r="V547" s="27" t="s">
        <v>7</v>
      </c>
      <c r="W547" s="27" t="s">
        <v>8</v>
      </c>
      <c r="X547" s="27" t="s">
        <v>7</v>
      </c>
      <c r="Y547" s="27" t="s">
        <v>8</v>
      </c>
      <c r="Z547" s="27" t="s">
        <v>7</v>
      </c>
      <c r="AA547" s="27" t="s">
        <v>8</v>
      </c>
      <c r="AD547" s="27" t="s">
        <v>7</v>
      </c>
    </row>
    <row r="548" spans="1:37" x14ac:dyDescent="0.25">
      <c r="A548" s="7">
        <v>2.1647447682498568</v>
      </c>
      <c r="B548"/>
      <c r="C548"/>
      <c r="D548"/>
      <c r="E548" t="s">
        <v>8</v>
      </c>
      <c r="F548" s="27" t="s">
        <v>7</v>
      </c>
      <c r="G548" s="27" t="s">
        <v>8</v>
      </c>
      <c r="H548" s="27" t="s">
        <v>7</v>
      </c>
      <c r="I548" s="27" t="s">
        <v>8</v>
      </c>
      <c r="V548" s="27" t="s">
        <v>7</v>
      </c>
      <c r="W548" s="27" t="s">
        <v>8</v>
      </c>
      <c r="X548" s="27" t="s">
        <v>7</v>
      </c>
      <c r="Z548" s="27" t="s">
        <v>7</v>
      </c>
      <c r="AA548" s="27" t="s">
        <v>8</v>
      </c>
    </row>
    <row r="549" spans="1:37" x14ac:dyDescent="0.25">
      <c r="A549" s="7">
        <v>2.1222987924018204</v>
      </c>
      <c r="B549"/>
      <c r="C549"/>
      <c r="D549"/>
      <c r="E549" t="s">
        <v>8</v>
      </c>
      <c r="F549" s="27" t="s">
        <v>7</v>
      </c>
      <c r="G549" s="27" t="s">
        <v>8</v>
      </c>
      <c r="H549" s="27" t="s">
        <v>7</v>
      </c>
      <c r="I549" s="27" t="s">
        <v>8</v>
      </c>
      <c r="V549" s="27" t="s">
        <v>7</v>
      </c>
      <c r="W549" s="27" t="s">
        <v>8</v>
      </c>
      <c r="Z549" s="27" t="s">
        <v>7</v>
      </c>
      <c r="AA549" s="27" t="s">
        <v>8</v>
      </c>
    </row>
    <row r="550" spans="1:37" x14ac:dyDescent="0.25">
      <c r="A550" s="7">
        <v>2.0806850905900198</v>
      </c>
      <c r="B550"/>
      <c r="C550"/>
      <c r="D550"/>
      <c r="E550" t="s">
        <v>8</v>
      </c>
      <c r="F550" s="27" t="s">
        <v>7</v>
      </c>
      <c r="G550" s="27" t="s">
        <v>8</v>
      </c>
      <c r="H550" s="27" t="s">
        <v>7</v>
      </c>
      <c r="I550" s="27" t="s">
        <v>8</v>
      </c>
      <c r="V550" s="27" t="s">
        <v>7</v>
      </c>
      <c r="Z550" s="27" t="s">
        <v>7</v>
      </c>
      <c r="AA550" s="27" t="s">
        <v>8</v>
      </c>
    </row>
    <row r="551" spans="1:37" x14ac:dyDescent="0.25">
      <c r="A551" s="7">
        <v>2.0398873437157055</v>
      </c>
      <c r="B551"/>
      <c r="C551"/>
      <c r="D551"/>
      <c r="E551" t="s">
        <v>8</v>
      </c>
      <c r="F551" s="27" t="s">
        <v>7</v>
      </c>
      <c r="G551" s="27" t="s">
        <v>8</v>
      </c>
      <c r="H551" s="27" t="s">
        <v>7</v>
      </c>
      <c r="I551" s="27" t="s">
        <v>8</v>
      </c>
      <c r="Z551" s="27" t="s">
        <v>7</v>
      </c>
      <c r="AA551" s="27" t="s">
        <v>8</v>
      </c>
    </row>
    <row r="552" spans="1:37" x14ac:dyDescent="0.25">
      <c r="A552" s="7">
        <v>1.9998895526624565</v>
      </c>
      <c r="B552"/>
      <c r="C552"/>
      <c r="D552"/>
      <c r="E552" t="s">
        <v>8</v>
      </c>
      <c r="F552" s="27" t="s">
        <v>7</v>
      </c>
      <c r="H552" s="27" t="s">
        <v>7</v>
      </c>
      <c r="Z552" s="27" t="s">
        <v>7</v>
      </c>
      <c r="AA552" s="27" t="s">
        <v>8</v>
      </c>
    </row>
    <row r="553" spans="1:37" x14ac:dyDescent="0.25">
      <c r="A553" s="7">
        <v>1.9606760320220162</v>
      </c>
      <c r="B553"/>
      <c r="C553"/>
      <c r="D553"/>
      <c r="E553" t="s">
        <v>8</v>
      </c>
      <c r="Z553" s="27" t="s">
        <v>7</v>
      </c>
      <c r="AA553" s="27" t="s">
        <v>8</v>
      </c>
    </row>
    <row r="554" spans="1:37" x14ac:dyDescent="0.25">
      <c r="A554" s="7">
        <v>1.9222314039431532</v>
      </c>
      <c r="B554"/>
      <c r="C554"/>
      <c r="D554"/>
      <c r="E554" t="s">
        <v>8</v>
      </c>
      <c r="Z554" s="27" t="s">
        <v>7</v>
      </c>
      <c r="AA554" s="27" t="s">
        <v>8</v>
      </c>
    </row>
    <row r="555" spans="1:37" x14ac:dyDescent="0.25">
      <c r="A555" s="7">
        <v>1.8845405921011305</v>
      </c>
      <c r="B555"/>
      <c r="C555"/>
      <c r="D555"/>
      <c r="E555" t="s">
        <v>8</v>
      </c>
      <c r="Z555" s="27" t="s">
        <v>7</v>
      </c>
      <c r="AA555" s="27" t="s">
        <v>8</v>
      </c>
    </row>
    <row r="556" spans="1:37" x14ac:dyDescent="0.25">
      <c r="A556" s="7">
        <v>1.8475888157854219</v>
      </c>
      <c r="B556"/>
      <c r="C556"/>
      <c r="D556"/>
      <c r="E556" t="s">
        <v>8</v>
      </c>
      <c r="Z556" s="27" t="s">
        <v>7</v>
      </c>
      <c r="AA556" s="27" t="s">
        <v>8</v>
      </c>
    </row>
    <row r="557" spans="1:37" x14ac:dyDescent="0.25">
      <c r="A557" s="7">
        <v>1.8113615841033548</v>
      </c>
      <c r="B557"/>
      <c r="C557"/>
      <c r="D557"/>
      <c r="E557" t="s">
        <v>8</v>
      </c>
      <c r="Z557" s="27" t="s">
        <v>7</v>
      </c>
      <c r="AA557" s="27" t="s">
        <v>8</v>
      </c>
    </row>
    <row r="558" spans="1:37" x14ac:dyDescent="0.25">
      <c r="A558" s="7">
        <v>1.7758446902974065</v>
      </c>
      <c r="B558"/>
      <c r="C558"/>
      <c r="D558"/>
      <c r="E558" t="s">
        <v>8</v>
      </c>
      <c r="Z558" s="27" t="s">
        <v>7</v>
      </c>
      <c r="AA558" s="27" t="s">
        <v>8</v>
      </c>
    </row>
    <row r="559" spans="1:37" x14ac:dyDescent="0.25">
      <c r="A559" s="7">
        <v>1.7410242061739281</v>
      </c>
      <c r="B559"/>
      <c r="C559"/>
      <c r="D559"/>
      <c r="E559" t="s">
        <v>8</v>
      </c>
      <c r="Z559" s="27" t="s">
        <v>7</v>
      </c>
      <c r="AA559" s="27" t="s">
        <v>8</v>
      </c>
    </row>
    <row r="560" spans="1:37" x14ac:dyDescent="0.25">
      <c r="A560" s="7">
        <v>1.7068864766411058</v>
      </c>
      <c r="B560"/>
      <c r="C560"/>
      <c r="D560"/>
      <c r="E560" t="s">
        <v>8</v>
      </c>
      <c r="Z560" s="27" t="s">
        <v>7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33" operator="equal">
      <formula>$U$1</formula>
    </cfRule>
    <cfRule type="cellIs" dxfId="89" priority="834" operator="equal">
      <formula>$S$1</formula>
    </cfRule>
  </conditionalFormatting>
  <conditionalFormatting sqref="D27">
    <cfRule type="cellIs" dxfId="88" priority="831" operator="equal">
      <formula>$S$1</formula>
    </cfRule>
    <cfRule type="cellIs" dxfId="87" priority="832" operator="equal">
      <formula>$U$1</formula>
    </cfRule>
  </conditionalFormatting>
  <conditionalFormatting sqref="C164">
    <cfRule type="cellIs" dxfId="86" priority="829" operator="equal">
      <formula>$U$1</formula>
    </cfRule>
    <cfRule type="cellIs" dxfId="85" priority="830" operator="equal">
      <formula>$S$1</formula>
    </cfRule>
  </conditionalFormatting>
  <conditionalFormatting sqref="D164">
    <cfRule type="cellIs" dxfId="84" priority="827" operator="equal">
      <formula>$S$1</formula>
    </cfRule>
    <cfRule type="cellIs" dxfId="83" priority="828" operator="equal">
      <formula>$U$1</formula>
    </cfRule>
  </conditionalFormatting>
  <conditionalFormatting sqref="C55">
    <cfRule type="cellIs" dxfId="82" priority="825" operator="equal">
      <formula>$U$1</formula>
    </cfRule>
    <cfRule type="cellIs" dxfId="81" priority="826" operator="equal">
      <formula>$S$1</formula>
    </cfRule>
  </conditionalFormatting>
  <conditionalFormatting sqref="D55">
    <cfRule type="cellIs" dxfId="80" priority="823" operator="equal">
      <formula>$S$1</formula>
    </cfRule>
    <cfRule type="cellIs" dxfId="79" priority="824" operator="equal">
      <formula>$U$1</formula>
    </cfRule>
  </conditionalFormatting>
  <conditionalFormatting sqref="C89">
    <cfRule type="cellIs" dxfId="78" priority="821" operator="equal">
      <formula>$U$1</formula>
    </cfRule>
    <cfRule type="cellIs" dxfId="77" priority="822" operator="equal">
      <formula>$S$1</formula>
    </cfRule>
  </conditionalFormatting>
  <conditionalFormatting sqref="D89">
    <cfRule type="cellIs" dxfId="76" priority="819" operator="equal">
      <formula>$S$1</formula>
    </cfRule>
    <cfRule type="cellIs" dxfId="75" priority="820" operator="equal">
      <formula>$U$1</formula>
    </cfRule>
  </conditionalFormatting>
  <conditionalFormatting sqref="C136">
    <cfRule type="cellIs" dxfId="74" priority="817" operator="equal">
      <formula>$U$1</formula>
    </cfRule>
    <cfRule type="cellIs" dxfId="73" priority="818" operator="equal">
      <formula>$S$1</formula>
    </cfRule>
  </conditionalFormatting>
  <conditionalFormatting sqref="D136">
    <cfRule type="cellIs" dxfId="72" priority="815" operator="equal">
      <formula>$S$1</formula>
    </cfRule>
    <cfRule type="cellIs" dxfId="71" priority="816" operator="equal">
      <formula>$U$1</formula>
    </cfRule>
  </conditionalFormatting>
  <conditionalFormatting sqref="C1">
    <cfRule type="cellIs" dxfId="70" priority="81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S193" sqref="DS193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$A$192</v>
      </c>
      <c r="D111" s="1" t="str">
        <f>ADDRESS(C121-1,D121,1,1)</f>
        <v>$DS$192</v>
      </c>
      <c r="E111"/>
    </row>
    <row r="112" spans="1:5" x14ac:dyDescent="0.25">
      <c r="A112" s="30">
        <v>515.50191262726139</v>
      </c>
      <c r="C112" s="1" t="str">
        <f>ADDRESS(C121,1,1,1)</f>
        <v>$A$193</v>
      </c>
      <c r="D112" s="1" t="str">
        <f>ADDRESS(C121,D121-1,1,1)</f>
        <v>$DR$193</v>
      </c>
      <c r="E112"/>
    </row>
    <row r="113" spans="1:5" x14ac:dyDescent="0.25">
      <c r="A113" s="30">
        <v>490.95420250215363</v>
      </c>
      <c r="C113" s="1" t="str">
        <f>ADDRESS(C121+1,1,1,1)</f>
        <v>$A$194</v>
      </c>
      <c r="D113" s="1" t="str">
        <f>ADDRESS(C121-1,D121+1,1,1)</f>
        <v>$DT$192</v>
      </c>
    </row>
    <row r="114" spans="1:5" x14ac:dyDescent="0.25">
      <c r="A114" s="30">
        <v>467.57543095443202</v>
      </c>
      <c r="C114" s="1" t="str">
        <f>ADDRESS(C121,D121,1,1)</f>
        <v>$DS$193</v>
      </c>
      <c r="D114" s="1" t="str">
        <f>ADDRESS(C121+1,D121+1,1,1)</f>
        <v>$DT$194</v>
      </c>
    </row>
    <row r="115" spans="1:5" x14ac:dyDescent="0.25">
      <c r="A115" s="30">
        <v>445.30993424231622</v>
      </c>
      <c r="C115" s="1" t="str">
        <f>ADDRESS(C121+1,D121,1,1)</f>
        <v>$DS$194</v>
      </c>
    </row>
    <row r="116" spans="1:5" x14ac:dyDescent="0.25">
      <c r="A116" s="30">
        <v>424.10469927839637</v>
      </c>
      <c r="C116" s="1">
        <f>C117-1</f>
        <v>192</v>
      </c>
    </row>
    <row r="117" spans="1:5" x14ac:dyDescent="0.25">
      <c r="A117" s="30">
        <v>403.9092374079965</v>
      </c>
      <c r="C117" s="1">
        <f>C121</f>
        <v>193</v>
      </c>
      <c r="D117" s="1">
        <f>D121</f>
        <v>123</v>
      </c>
    </row>
    <row r="118" spans="1:5" x14ac:dyDescent="0.25">
      <c r="A118" s="30">
        <v>384.6754641980919</v>
      </c>
      <c r="C118" s="1">
        <f>C117+1</f>
        <v>194</v>
      </c>
      <c r="D118" s="1">
        <f>D117+1</f>
        <v>124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193</v>
      </c>
      <c r="D121" s="19">
        <v>123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R193</v>
      </c>
      <c r="D123" s="1" t="str">
        <f>"C"&amp;D121</f>
        <v>C123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9.9059710923258422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6" x14ac:dyDescent="0.25">
      <c r="A145" s="30">
        <v>103.03467644609493</v>
      </c>
      <c r="E145"/>
      <c r="AY145" s="27" t="s">
        <v>8</v>
      </c>
    </row>
    <row r="146" spans="1:56" x14ac:dyDescent="0.25">
      <c r="A146" s="30">
        <v>98.128263281995174</v>
      </c>
      <c r="E146"/>
      <c r="AY146" s="27" t="s">
        <v>8</v>
      </c>
      <c r="AZ146" s="27" t="s">
        <v>7</v>
      </c>
    </row>
    <row r="147" spans="1:56" x14ac:dyDescent="0.25">
      <c r="A147" s="30">
        <v>93.455488839995397</v>
      </c>
      <c r="E147"/>
      <c r="AY147" s="27" t="s">
        <v>8</v>
      </c>
      <c r="AZ147" s="27" t="s">
        <v>7</v>
      </c>
    </row>
    <row r="148" spans="1:56" x14ac:dyDescent="0.25">
      <c r="A148" s="30">
        <v>89.005227466662276</v>
      </c>
      <c r="E148"/>
      <c r="AY148" s="27" t="s">
        <v>8</v>
      </c>
      <c r="AZ148" s="27" t="s">
        <v>7</v>
      </c>
    </row>
    <row r="149" spans="1:56" x14ac:dyDescent="0.25">
      <c r="A149" s="30">
        <v>84.766883301583121</v>
      </c>
      <c r="E149"/>
      <c r="AY149" s="27" t="s">
        <v>8</v>
      </c>
      <c r="AZ149" s="27" t="s">
        <v>7</v>
      </c>
    </row>
    <row r="150" spans="1:56" x14ac:dyDescent="0.25">
      <c r="A150" s="30">
        <v>80.730365049126775</v>
      </c>
      <c r="E150"/>
      <c r="AY150" s="27" t="s">
        <v>8</v>
      </c>
      <c r="AZ150" s="27" t="s">
        <v>7</v>
      </c>
    </row>
    <row r="151" spans="1:56" x14ac:dyDescent="0.25">
      <c r="A151" s="30">
        <v>76.886061951549308</v>
      </c>
      <c r="E151"/>
      <c r="AY151" s="27" t="s">
        <v>8</v>
      </c>
      <c r="AZ151" s="27" t="s">
        <v>7</v>
      </c>
      <c r="BA151" s="27" t="s">
        <v>8</v>
      </c>
    </row>
    <row r="152" spans="1:56" x14ac:dyDescent="0.25">
      <c r="A152" s="30">
        <v>73.22482090623744</v>
      </c>
      <c r="E152"/>
      <c r="AY152" s="27" t="s">
        <v>8</v>
      </c>
      <c r="AZ152" s="27" t="s">
        <v>7</v>
      </c>
      <c r="BA152" s="27" t="s">
        <v>8</v>
      </c>
      <c r="BB152" s="27" t="s">
        <v>7</v>
      </c>
    </row>
    <row r="153" spans="1:56" x14ac:dyDescent="0.25">
      <c r="A153" s="30">
        <v>69.737924672607079</v>
      </c>
      <c r="C153" s="7"/>
      <c r="D153"/>
      <c r="E153"/>
      <c r="AY153" s="27" t="s">
        <v>8</v>
      </c>
      <c r="AZ153" s="27" t="s">
        <v>7</v>
      </c>
      <c r="BA153" s="27" t="s">
        <v>8</v>
      </c>
      <c r="BB153" s="27" t="s">
        <v>7</v>
      </c>
    </row>
    <row r="154" spans="1:56" x14ac:dyDescent="0.25">
      <c r="A154" s="30">
        <v>66.417071116768639</v>
      </c>
      <c r="E154"/>
      <c r="AY154" s="27" t="s">
        <v>8</v>
      </c>
      <c r="AZ154" s="27" t="s">
        <v>7</v>
      </c>
      <c r="BA154" s="27" t="s">
        <v>8</v>
      </c>
      <c r="BB154" s="27" t="s">
        <v>7</v>
      </c>
    </row>
    <row r="155" spans="1:56" x14ac:dyDescent="0.25">
      <c r="A155" s="30">
        <v>63.254353444541557</v>
      </c>
      <c r="E155"/>
      <c r="AY155" s="27" t="s">
        <v>8</v>
      </c>
      <c r="AZ155" s="27" t="s">
        <v>7</v>
      </c>
      <c r="BA155" s="27" t="s">
        <v>8</v>
      </c>
      <c r="BB155" s="27" t="s">
        <v>7</v>
      </c>
    </row>
    <row r="156" spans="1:56" x14ac:dyDescent="0.25">
      <c r="A156" s="30">
        <v>60.242241375753864</v>
      </c>
      <c r="C156"/>
      <c r="D156"/>
      <c r="E156"/>
      <c r="AY156" s="27" t="s">
        <v>8</v>
      </c>
      <c r="AZ156" s="27" t="s">
        <v>7</v>
      </c>
      <c r="BA156" s="27" t="s">
        <v>8</v>
      </c>
      <c r="BB156" s="27" t="s">
        <v>7</v>
      </c>
      <c r="BC156" s="27" t="s">
        <v>8</v>
      </c>
    </row>
    <row r="157" spans="1:56" x14ac:dyDescent="0.25">
      <c r="A157" s="30">
        <v>57.373563215003678</v>
      </c>
      <c r="E157"/>
      <c r="AY157" s="27" t="s">
        <v>8</v>
      </c>
      <c r="AZ157" s="27" t="s">
        <v>7</v>
      </c>
      <c r="BA157" s="27" t="s">
        <v>8</v>
      </c>
      <c r="BB157" s="27" t="s">
        <v>7</v>
      </c>
      <c r="BC157" s="27" t="s">
        <v>8</v>
      </c>
      <c r="BD157" s="27" t="s">
        <v>7</v>
      </c>
    </row>
    <row r="158" spans="1:56" x14ac:dyDescent="0.25">
      <c r="A158" s="30">
        <v>54.641488776193974</v>
      </c>
      <c r="E158"/>
      <c r="AY158" s="27" t="s">
        <v>8</v>
      </c>
      <c r="AZ158" s="27" t="s">
        <v>7</v>
      </c>
      <c r="BA158" s="27" t="s">
        <v>8</v>
      </c>
      <c r="BB158" s="27" t="s">
        <v>7</v>
      </c>
      <c r="BC158" s="27" t="s">
        <v>8</v>
      </c>
      <c r="BD158" s="27" t="s">
        <v>7</v>
      </c>
    </row>
    <row r="159" spans="1:56" x14ac:dyDescent="0.25">
      <c r="A159" s="30">
        <v>52.039513120184736</v>
      </c>
      <c r="E159"/>
      <c r="AY159" s="27" t="s">
        <v>8</v>
      </c>
      <c r="AZ159" s="27" t="s">
        <v>7</v>
      </c>
      <c r="BB159" s="27" t="s">
        <v>7</v>
      </c>
      <c r="BC159" s="27" t="s">
        <v>8</v>
      </c>
      <c r="BD159" s="27" t="s">
        <v>7</v>
      </c>
    </row>
    <row r="160" spans="1:56" x14ac:dyDescent="0.25">
      <c r="A160" s="30">
        <v>49.561441066842605</v>
      </c>
      <c r="C160"/>
      <c r="E160"/>
      <c r="AY160" s="27" t="s">
        <v>8</v>
      </c>
      <c r="BB160" s="27" t="s">
        <v>7</v>
      </c>
      <c r="BC160" s="27" t="s">
        <v>8</v>
      </c>
      <c r="BD160" s="27" t="s">
        <v>7</v>
      </c>
    </row>
    <row r="161" spans="1:110" x14ac:dyDescent="0.25">
      <c r="A161" s="30">
        <v>47.201372444612005</v>
      </c>
      <c r="E161"/>
      <c r="AY161" s="27" t="s">
        <v>8</v>
      </c>
      <c r="BB161" s="27" t="s">
        <v>7</v>
      </c>
      <c r="BC161" s="27" t="s">
        <v>8</v>
      </c>
      <c r="BD161" s="27" t="s">
        <v>7</v>
      </c>
    </row>
    <row r="162" spans="1:110" x14ac:dyDescent="0.25">
      <c r="A162" s="30">
        <v>44.95368804248762</v>
      </c>
      <c r="E162"/>
      <c r="AY162" s="27" t="s">
        <v>8</v>
      </c>
      <c r="BB162" s="27" t="s">
        <v>7</v>
      </c>
      <c r="BC162" s="27" t="s">
        <v>8</v>
      </c>
      <c r="BD162" s="27" t="s">
        <v>7</v>
      </c>
    </row>
    <row r="163" spans="1:110" x14ac:dyDescent="0.25">
      <c r="A163" s="30">
        <v>42.81303623094059</v>
      </c>
      <c r="E163"/>
      <c r="AY163" s="27" t="s">
        <v>8</v>
      </c>
      <c r="BB163" s="27" t="s">
        <v>7</v>
      </c>
      <c r="BC163" s="27" t="s">
        <v>8</v>
      </c>
      <c r="BD163" s="27" t="s">
        <v>7</v>
      </c>
    </row>
    <row r="164" spans="1:110" x14ac:dyDescent="0.25">
      <c r="A164" s="30">
        <v>40.774320219943419</v>
      </c>
      <c r="E164"/>
      <c r="AY164" s="27" t="s">
        <v>8</v>
      </c>
      <c r="BB164" s="27" t="s">
        <v>7</v>
      </c>
      <c r="BC164" s="27" t="s">
        <v>8</v>
      </c>
      <c r="BD164" s="27" t="s">
        <v>7</v>
      </c>
    </row>
    <row r="165" spans="1:110" x14ac:dyDescent="0.25">
      <c r="A165" s="30">
        <v>38.832685923755633</v>
      </c>
      <c r="E165"/>
      <c r="AY165" s="27" t="s">
        <v>8</v>
      </c>
      <c r="BB165" s="27" t="s">
        <v>7</v>
      </c>
      <c r="BC165" s="27" t="s">
        <v>8</v>
      </c>
      <c r="BD165" s="27" t="s">
        <v>7</v>
      </c>
    </row>
    <row r="166" spans="1:110" x14ac:dyDescent="0.25">
      <c r="A166" s="30">
        <v>36.983510403576794</v>
      </c>
      <c r="E166"/>
      <c r="AY166" s="27" t="s">
        <v>8</v>
      </c>
      <c r="BB166" s="27" t="s">
        <v>7</v>
      </c>
      <c r="BC166" s="27" t="s">
        <v>8</v>
      </c>
      <c r="BD166" s="27" t="s">
        <v>7</v>
      </c>
    </row>
    <row r="167" spans="1:110" x14ac:dyDescent="0.25">
      <c r="A167" s="30">
        <v>35.222390860549325</v>
      </c>
      <c r="E167"/>
      <c r="AY167" s="27" t="s">
        <v>8</v>
      </c>
      <c r="BB167" s="27" t="s">
        <v>7</v>
      </c>
      <c r="BC167" s="27" t="s">
        <v>8</v>
      </c>
      <c r="BD167" s="27" t="s">
        <v>7</v>
      </c>
      <c r="BE167" s="27" t="s">
        <v>8</v>
      </c>
    </row>
    <row r="168" spans="1:110" x14ac:dyDescent="0.25">
      <c r="A168" s="30">
        <v>33.545134152904119</v>
      </c>
      <c r="E168"/>
      <c r="AY168" s="27" t="s">
        <v>8</v>
      </c>
      <c r="BB168" s="27" t="s">
        <v>7</v>
      </c>
      <c r="BC168" s="27" t="s">
        <v>8</v>
      </c>
      <c r="BD168" s="27" t="s">
        <v>7</v>
      </c>
      <c r="BE168" s="27" t="s">
        <v>8</v>
      </c>
      <c r="BF168" s="27" t="s">
        <v>7</v>
      </c>
      <c r="CO168" s="27" t="s">
        <v>8</v>
      </c>
    </row>
    <row r="169" spans="1:110" x14ac:dyDescent="0.25">
      <c r="A169" s="30">
        <v>31.947746812289637</v>
      </c>
      <c r="E169"/>
      <c r="AY169" s="27" t="s">
        <v>8</v>
      </c>
      <c r="BB169" s="27" t="s">
        <v>7</v>
      </c>
      <c r="BD169" s="27" t="s">
        <v>7</v>
      </c>
      <c r="BE169" s="27" t="s">
        <v>8</v>
      </c>
      <c r="BF169" s="27" t="s">
        <v>7</v>
      </c>
      <c r="CO169" s="27" t="s">
        <v>8</v>
      </c>
      <c r="CP169" s="27" t="s">
        <v>7</v>
      </c>
    </row>
    <row r="170" spans="1:110" x14ac:dyDescent="0.25">
      <c r="A170" s="30">
        <v>30.426425535513939</v>
      </c>
      <c r="E170"/>
      <c r="Y170" s="27" t="s">
        <v>8</v>
      </c>
      <c r="AY170" s="27" t="s">
        <v>8</v>
      </c>
      <c r="BD170" s="27" t="s">
        <v>7</v>
      </c>
      <c r="BE170" s="27" t="s">
        <v>8</v>
      </c>
      <c r="BF170" s="27" t="s">
        <v>7</v>
      </c>
      <c r="CO170" s="27" t="s">
        <v>8</v>
      </c>
      <c r="CP170" s="27" t="s">
        <v>7</v>
      </c>
    </row>
    <row r="171" spans="1:110" x14ac:dyDescent="0.25">
      <c r="A171" s="30">
        <v>28.977548129060892</v>
      </c>
      <c r="E171"/>
      <c r="W171" s="27" t="s">
        <v>8</v>
      </c>
      <c r="Y171" s="27" t="s">
        <v>8</v>
      </c>
      <c r="Z171" s="27" t="s">
        <v>7</v>
      </c>
      <c r="AY171" s="27" t="s">
        <v>8</v>
      </c>
      <c r="BD171" s="27" t="s">
        <v>7</v>
      </c>
      <c r="BF171" s="27" t="s">
        <v>7</v>
      </c>
      <c r="CO171" s="27" t="s">
        <v>8</v>
      </c>
      <c r="CP171" s="27" t="s">
        <v>7</v>
      </c>
    </row>
    <row r="172" spans="1:110" x14ac:dyDescent="0.25">
      <c r="A172" s="30">
        <v>27.597664884819896</v>
      </c>
      <c r="E172"/>
      <c r="W172" s="27" t="s">
        <v>8</v>
      </c>
      <c r="X172" s="27" t="s">
        <v>7</v>
      </c>
      <c r="Y172" s="27" t="s">
        <v>8</v>
      </c>
      <c r="Z172" s="27" t="s">
        <v>7</v>
      </c>
      <c r="AY172" s="27" t="s">
        <v>8</v>
      </c>
      <c r="BF172" s="27" t="s">
        <v>7</v>
      </c>
      <c r="BG172" s="27" t="s">
        <v>8</v>
      </c>
      <c r="CO172" s="27" t="s">
        <v>8</v>
      </c>
      <c r="CP172" s="27" t="s">
        <v>7</v>
      </c>
    </row>
    <row r="173" spans="1:110" x14ac:dyDescent="0.25">
      <c r="A173" s="30">
        <v>26.283490366495137</v>
      </c>
      <c r="E173"/>
      <c r="W173" s="27" t="s">
        <v>8</v>
      </c>
      <c r="X173" s="27" t="s">
        <v>7</v>
      </c>
      <c r="Y173" s="27" t="s">
        <v>8</v>
      </c>
      <c r="Z173" s="27" t="s">
        <v>7</v>
      </c>
      <c r="AA173" s="27" t="s">
        <v>8</v>
      </c>
      <c r="AC173" s="27" t="s">
        <v>8</v>
      </c>
      <c r="AY173" s="27" t="s">
        <v>8</v>
      </c>
      <c r="BF173" s="27" t="s">
        <v>7</v>
      </c>
      <c r="BG173" s="27" t="s">
        <v>8</v>
      </c>
      <c r="BH173" s="27" t="s">
        <v>7</v>
      </c>
      <c r="CO173" s="27" t="s">
        <v>8</v>
      </c>
      <c r="CP173" s="27" t="s">
        <v>7</v>
      </c>
    </row>
    <row r="174" spans="1:110" x14ac:dyDescent="0.25">
      <c r="A174" s="30">
        <v>25.031895587138223</v>
      </c>
      <c r="E174"/>
      <c r="W174" s="27" t="s">
        <v>8</v>
      </c>
      <c r="X174" s="27" t="s">
        <v>7</v>
      </c>
      <c r="Y174" s="27" t="s">
        <v>8</v>
      </c>
      <c r="Z174" s="27" t="s">
        <v>7</v>
      </c>
      <c r="AA174" s="27" t="s">
        <v>8</v>
      </c>
      <c r="AB174" s="27" t="s">
        <v>7</v>
      </c>
      <c r="AC174" s="27" t="s">
        <v>8</v>
      </c>
      <c r="AD174" s="27" t="s">
        <v>7</v>
      </c>
      <c r="AY174" s="27" t="s">
        <v>8</v>
      </c>
      <c r="BF174" s="27" t="s">
        <v>7</v>
      </c>
      <c r="BG174" s="27" t="s">
        <v>8</v>
      </c>
      <c r="BH174" s="27" t="s">
        <v>7</v>
      </c>
      <c r="CO174" s="27" t="s">
        <v>8</v>
      </c>
      <c r="CP174" s="27" t="s">
        <v>7</v>
      </c>
    </row>
    <row r="175" spans="1:110" x14ac:dyDescent="0.25">
      <c r="A175" s="30">
        <v>23.839900559179259</v>
      </c>
      <c r="E175"/>
      <c r="W175" s="27" t="s">
        <v>8</v>
      </c>
      <c r="X175" s="27" t="s">
        <v>7</v>
      </c>
      <c r="Y175" s="27" t="s">
        <v>8</v>
      </c>
      <c r="Z175" s="27" t="s">
        <v>7</v>
      </c>
      <c r="AA175" s="27" t="s">
        <v>8</v>
      </c>
      <c r="AB175" s="27" t="s">
        <v>7</v>
      </c>
      <c r="AC175" s="27" t="s">
        <v>8</v>
      </c>
      <c r="AD175" s="27" t="s">
        <v>7</v>
      </c>
      <c r="AY175" s="27" t="s">
        <v>8</v>
      </c>
      <c r="BF175" s="27" t="s">
        <v>7</v>
      </c>
      <c r="BG175" s="27" t="s">
        <v>8</v>
      </c>
      <c r="BH175" s="27" t="s">
        <v>7</v>
      </c>
      <c r="BI175" s="27" t="s">
        <v>8</v>
      </c>
      <c r="BM175" s="27" t="s">
        <v>8</v>
      </c>
      <c r="CG175" s="27" t="s">
        <v>8</v>
      </c>
      <c r="CI175" s="27" t="s">
        <v>8</v>
      </c>
      <c r="CO175" s="27" t="s">
        <v>8</v>
      </c>
      <c r="CP175" s="27" t="s">
        <v>7</v>
      </c>
      <c r="DE175" s="27" t="s">
        <v>8</v>
      </c>
    </row>
    <row r="176" spans="1:110" x14ac:dyDescent="0.25">
      <c r="A176" s="30">
        <v>22.704667199218342</v>
      </c>
      <c r="E176"/>
      <c r="W176" s="27" t="s">
        <v>8</v>
      </c>
      <c r="X176" s="27" t="s">
        <v>7</v>
      </c>
      <c r="Y176" s="27" t="s">
        <v>8</v>
      </c>
      <c r="Z176" s="27" t="s">
        <v>7</v>
      </c>
      <c r="AA176" s="27" t="s">
        <v>8</v>
      </c>
      <c r="AB176" s="27" t="s">
        <v>7</v>
      </c>
      <c r="AC176" s="27" t="s">
        <v>8</v>
      </c>
      <c r="AD176" s="27" t="s">
        <v>7</v>
      </c>
      <c r="AY176" s="27" t="s">
        <v>8</v>
      </c>
      <c r="BF176" s="27" t="s">
        <v>7</v>
      </c>
      <c r="BH176" s="27" t="s">
        <v>7</v>
      </c>
      <c r="BI176" s="27" t="s">
        <v>8</v>
      </c>
      <c r="BJ176" s="27" t="s">
        <v>7</v>
      </c>
      <c r="BM176" s="27" t="s">
        <v>8</v>
      </c>
      <c r="BN176" s="27" t="s">
        <v>7</v>
      </c>
      <c r="CG176" s="27" t="s">
        <v>8</v>
      </c>
      <c r="CH176" s="27" t="s">
        <v>7</v>
      </c>
      <c r="CI176" s="27" t="s">
        <v>8</v>
      </c>
      <c r="CJ176" s="27" t="s">
        <v>7</v>
      </c>
      <c r="CK176" s="27" t="s">
        <v>8</v>
      </c>
      <c r="CO176" s="27" t="s">
        <v>8</v>
      </c>
      <c r="CP176" s="27" t="s">
        <v>7</v>
      </c>
      <c r="DA176" s="27" t="s">
        <v>8</v>
      </c>
      <c r="DE176" s="27" t="s">
        <v>8</v>
      </c>
      <c r="DF176" s="27" t="s">
        <v>7</v>
      </c>
    </row>
    <row r="177" spans="1:122" x14ac:dyDescent="0.25">
      <c r="A177" s="30">
        <v>21.623492570684135</v>
      </c>
      <c r="E177"/>
      <c r="W177" s="27" t="s">
        <v>8</v>
      </c>
      <c r="X177" s="27" t="s">
        <v>7</v>
      </c>
      <c r="Z177" s="27" t="s">
        <v>7</v>
      </c>
      <c r="AB177" s="27" t="s">
        <v>7</v>
      </c>
      <c r="AC177" s="27" t="s">
        <v>8</v>
      </c>
      <c r="AD177" s="27" t="s">
        <v>7</v>
      </c>
      <c r="AY177" s="27" t="s">
        <v>8</v>
      </c>
      <c r="BH177" s="27" t="s">
        <v>7</v>
      </c>
      <c r="BI177" s="27" t="s">
        <v>8</v>
      </c>
      <c r="BJ177" s="27" t="s">
        <v>7</v>
      </c>
      <c r="BM177" s="27" t="s">
        <v>8</v>
      </c>
      <c r="BN177" s="27" t="s">
        <v>7</v>
      </c>
      <c r="CG177" s="27" t="s">
        <v>8</v>
      </c>
      <c r="CH177" s="27" t="s">
        <v>7</v>
      </c>
      <c r="CI177" s="27" t="s">
        <v>8</v>
      </c>
      <c r="CJ177" s="27" t="s">
        <v>7</v>
      </c>
      <c r="CK177" s="27" t="s">
        <v>8</v>
      </c>
      <c r="CL177" s="27" t="s">
        <v>7</v>
      </c>
      <c r="CO177" s="27" t="s">
        <v>8</v>
      </c>
      <c r="CP177" s="27" t="s">
        <v>7</v>
      </c>
      <c r="CQ177" s="27" t="s">
        <v>8</v>
      </c>
      <c r="CS177" s="27" t="s">
        <v>8</v>
      </c>
      <c r="DA177" s="27" t="s">
        <v>8</v>
      </c>
      <c r="DB177" s="27" t="s">
        <v>7</v>
      </c>
      <c r="DC177" s="27" t="s">
        <v>8</v>
      </c>
      <c r="DE177" s="27" t="s">
        <v>8</v>
      </c>
      <c r="DF177" s="27" t="s">
        <v>7</v>
      </c>
    </row>
    <row r="178" spans="1:122" x14ac:dyDescent="0.25">
      <c r="A178" s="30">
        <v>20.593802448270605</v>
      </c>
      <c r="C178" s="7"/>
      <c r="D178"/>
      <c r="E178"/>
      <c r="W178" s="27" t="s">
        <v>8</v>
      </c>
      <c r="AB178" s="27" t="s">
        <v>7</v>
      </c>
      <c r="AC178" s="27" t="s">
        <v>8</v>
      </c>
      <c r="AD178" s="27" t="s">
        <v>7</v>
      </c>
      <c r="AY178" s="27" t="s">
        <v>8</v>
      </c>
      <c r="BH178" s="27" t="s">
        <v>7</v>
      </c>
      <c r="BJ178" s="27" t="s">
        <v>7</v>
      </c>
      <c r="BM178" s="27" t="s">
        <v>8</v>
      </c>
      <c r="BN178" s="27" t="s">
        <v>7</v>
      </c>
      <c r="CG178" s="27" t="s">
        <v>8</v>
      </c>
      <c r="CH178" s="27" t="s">
        <v>7</v>
      </c>
      <c r="CI178" s="27" t="s">
        <v>8</v>
      </c>
      <c r="CJ178" s="27" t="s">
        <v>7</v>
      </c>
      <c r="CK178" s="27" t="s">
        <v>8</v>
      </c>
      <c r="CL178" s="27" t="s">
        <v>7</v>
      </c>
      <c r="CM178" s="27" t="s">
        <v>8</v>
      </c>
      <c r="CO178" s="27" t="s">
        <v>8</v>
      </c>
      <c r="CP178" s="27" t="s">
        <v>7</v>
      </c>
      <c r="CQ178" s="27" t="s">
        <v>8</v>
      </c>
      <c r="CR178" s="27" t="s">
        <v>7</v>
      </c>
      <c r="CS178" s="27" t="s">
        <v>8</v>
      </c>
      <c r="CT178" s="27" t="s">
        <v>7</v>
      </c>
      <c r="CW178" s="27" t="s">
        <v>8</v>
      </c>
      <c r="CY178" s="27" t="s">
        <v>8</v>
      </c>
      <c r="DA178" s="27" t="s">
        <v>8</v>
      </c>
      <c r="DB178" s="27" t="s">
        <v>7</v>
      </c>
      <c r="DC178" s="27" t="s">
        <v>8</v>
      </c>
      <c r="DD178" s="27" t="s">
        <v>7</v>
      </c>
      <c r="DE178" s="27" t="s">
        <v>8</v>
      </c>
      <c r="DF178" s="27" t="s">
        <v>7</v>
      </c>
    </row>
    <row r="179" spans="1:122" x14ac:dyDescent="0.25">
      <c r="A179" s="30">
        <v>19.613145188829147</v>
      </c>
      <c r="E179"/>
      <c r="W179" s="27" t="s">
        <v>8</v>
      </c>
      <c r="AB179" s="27" t="s">
        <v>7</v>
      </c>
      <c r="AC179" s="27" t="s">
        <v>8</v>
      </c>
      <c r="AD179" s="27" t="s">
        <v>7</v>
      </c>
      <c r="AY179" s="27" t="s">
        <v>8</v>
      </c>
      <c r="BJ179" s="27" t="s">
        <v>7</v>
      </c>
      <c r="BM179" s="27" t="s">
        <v>8</v>
      </c>
      <c r="BN179" s="27" t="s">
        <v>7</v>
      </c>
      <c r="CG179" s="27" t="s">
        <v>8</v>
      </c>
      <c r="CH179" s="27" t="s">
        <v>7</v>
      </c>
      <c r="CI179" s="27" t="s">
        <v>8</v>
      </c>
      <c r="CJ179" s="27" t="s">
        <v>7</v>
      </c>
      <c r="CK179" s="27" t="s">
        <v>8</v>
      </c>
      <c r="CL179" s="27" t="s">
        <v>7</v>
      </c>
      <c r="CM179" s="27" t="s">
        <v>8</v>
      </c>
      <c r="CN179" s="27" t="s">
        <v>7</v>
      </c>
      <c r="CO179" s="27" t="s">
        <v>8</v>
      </c>
      <c r="CP179" s="27" t="s">
        <v>7</v>
      </c>
      <c r="CQ179" s="27" t="s">
        <v>8</v>
      </c>
      <c r="CR179" s="27" t="s">
        <v>7</v>
      </c>
      <c r="CS179" s="27" t="s">
        <v>8</v>
      </c>
      <c r="CT179" s="27" t="s">
        <v>7</v>
      </c>
      <c r="CW179" s="27" t="s">
        <v>8</v>
      </c>
      <c r="CX179" s="27" t="s">
        <v>7</v>
      </c>
      <c r="CY179" s="27" t="s">
        <v>8</v>
      </c>
      <c r="CZ179" s="27" t="s">
        <v>7</v>
      </c>
      <c r="DA179" s="27" t="s">
        <v>8</v>
      </c>
      <c r="DB179" s="27" t="s">
        <v>7</v>
      </c>
      <c r="DC179" s="27" t="s">
        <v>8</v>
      </c>
      <c r="DD179" s="27" t="s">
        <v>7</v>
      </c>
      <c r="DE179" s="27" t="s">
        <v>8</v>
      </c>
      <c r="DF179" s="27" t="s">
        <v>7</v>
      </c>
      <c r="DM179" s="27" t="s">
        <v>8</v>
      </c>
    </row>
    <row r="180" spans="1:122" x14ac:dyDescent="0.25">
      <c r="A180" s="30">
        <v>18.679185894122998</v>
      </c>
      <c r="E180"/>
      <c r="W180" s="27" t="s">
        <v>8</v>
      </c>
      <c r="AB180" s="27" t="s">
        <v>7</v>
      </c>
      <c r="AC180" s="27" t="s">
        <v>8</v>
      </c>
      <c r="AD180" s="27" t="s">
        <v>7</v>
      </c>
      <c r="AG180" s="27" t="s">
        <v>8</v>
      </c>
      <c r="AO180" s="27" t="s">
        <v>8</v>
      </c>
      <c r="AY180" s="27" t="s">
        <v>8</v>
      </c>
      <c r="BJ180" s="27" t="s">
        <v>7</v>
      </c>
      <c r="BM180" s="27" t="s">
        <v>8</v>
      </c>
      <c r="BN180" s="27" t="s">
        <v>7</v>
      </c>
      <c r="BQ180" s="27" t="s">
        <v>8</v>
      </c>
      <c r="CG180" s="27" t="s">
        <v>8</v>
      </c>
      <c r="CH180" s="27" t="s">
        <v>7</v>
      </c>
      <c r="CJ180" s="27" t="s">
        <v>7</v>
      </c>
      <c r="CK180" s="27" t="s">
        <v>8</v>
      </c>
      <c r="CL180" s="27" t="s">
        <v>7</v>
      </c>
      <c r="CM180" s="27" t="s">
        <v>8</v>
      </c>
      <c r="CN180" s="27" t="s">
        <v>7</v>
      </c>
      <c r="CO180" s="27" t="s">
        <v>8</v>
      </c>
      <c r="CP180" s="27" t="s">
        <v>7</v>
      </c>
      <c r="CQ180" s="27" t="s">
        <v>8</v>
      </c>
      <c r="CR180" s="27" t="s">
        <v>7</v>
      </c>
      <c r="CS180" s="27" t="s">
        <v>8</v>
      </c>
      <c r="CT180" s="27" t="s">
        <v>7</v>
      </c>
      <c r="CU180" s="27" t="s">
        <v>8</v>
      </c>
      <c r="CW180" s="27" t="s">
        <v>8</v>
      </c>
      <c r="CX180" s="27" t="s">
        <v>7</v>
      </c>
      <c r="CY180" s="27" t="s">
        <v>8</v>
      </c>
      <c r="CZ180" s="27" t="s">
        <v>7</v>
      </c>
      <c r="DA180" s="27" t="s">
        <v>8</v>
      </c>
      <c r="DB180" s="27" t="s">
        <v>7</v>
      </c>
      <c r="DD180" s="27" t="s">
        <v>7</v>
      </c>
      <c r="DE180" s="27" t="s">
        <v>8</v>
      </c>
      <c r="DF180" s="27" t="s">
        <v>7</v>
      </c>
      <c r="DG180" s="27" t="s">
        <v>8</v>
      </c>
      <c r="DM180" s="27" t="s">
        <v>8</v>
      </c>
      <c r="DN180" s="27" t="s">
        <v>7</v>
      </c>
    </row>
    <row r="181" spans="1:122" x14ac:dyDescent="0.25">
      <c r="A181" s="30">
        <v>17.78970085154571</v>
      </c>
      <c r="C181"/>
      <c r="D181"/>
      <c r="E181"/>
      <c r="W181" s="27" t="s">
        <v>8</v>
      </c>
      <c r="AB181" s="27" t="s">
        <v>7</v>
      </c>
      <c r="AC181" s="27" t="s">
        <v>8</v>
      </c>
      <c r="AD181" s="27" t="s">
        <v>7</v>
      </c>
      <c r="AG181" s="27" t="s">
        <v>8</v>
      </c>
      <c r="AH181" s="27" t="s">
        <v>7</v>
      </c>
      <c r="AO181" s="27" t="s">
        <v>8</v>
      </c>
      <c r="AP181" s="27" t="s">
        <v>7</v>
      </c>
      <c r="AY181" s="27" t="s">
        <v>8</v>
      </c>
      <c r="BJ181" s="27" t="s">
        <v>7</v>
      </c>
      <c r="BM181" s="27" t="s">
        <v>8</v>
      </c>
      <c r="BN181" s="27" t="s">
        <v>7</v>
      </c>
      <c r="BQ181" s="27" t="s">
        <v>8</v>
      </c>
      <c r="BR181" s="27" t="s">
        <v>7</v>
      </c>
      <c r="BU181" s="27" t="s">
        <v>8</v>
      </c>
      <c r="CG181" s="27" t="s">
        <v>8</v>
      </c>
      <c r="CJ181" s="27" t="s">
        <v>7</v>
      </c>
      <c r="CK181" s="27" t="s">
        <v>8</v>
      </c>
      <c r="CL181" s="27" t="s">
        <v>7</v>
      </c>
      <c r="CM181" s="27" t="s">
        <v>8</v>
      </c>
      <c r="CN181" s="27" t="s">
        <v>7</v>
      </c>
      <c r="CP181" s="27" t="s">
        <v>7</v>
      </c>
      <c r="CQ181" s="27" t="s">
        <v>8</v>
      </c>
      <c r="CR181" s="27" t="s">
        <v>7</v>
      </c>
      <c r="CS181" s="27" t="s">
        <v>8</v>
      </c>
      <c r="CT181" s="27" t="s">
        <v>7</v>
      </c>
      <c r="CU181" s="27" t="s">
        <v>8</v>
      </c>
      <c r="CV181" s="27" t="s">
        <v>7</v>
      </c>
      <c r="CW181" s="27" t="s">
        <v>8</v>
      </c>
      <c r="CX181" s="27" t="s">
        <v>7</v>
      </c>
      <c r="CZ181" s="27" t="s">
        <v>7</v>
      </c>
      <c r="DD181" s="27" t="s">
        <v>7</v>
      </c>
      <c r="DF181" s="27" t="s">
        <v>7</v>
      </c>
      <c r="DG181" s="27" t="s">
        <v>8</v>
      </c>
      <c r="DH181" s="27" t="s">
        <v>7</v>
      </c>
      <c r="DI181" s="27" t="s">
        <v>8</v>
      </c>
      <c r="DM181" s="27" t="s">
        <v>8</v>
      </c>
      <c r="DN181" s="27" t="s">
        <v>7</v>
      </c>
    </row>
    <row r="182" spans="1:122" x14ac:dyDescent="0.25">
      <c r="A182" s="30">
        <v>16.942572239567344</v>
      </c>
      <c r="E182"/>
      <c r="W182" s="27" t="s">
        <v>8</v>
      </c>
      <c r="AB182" s="27" t="s">
        <v>7</v>
      </c>
      <c r="AC182" s="27" t="s">
        <v>8</v>
      </c>
      <c r="AD182" s="27" t="s">
        <v>7</v>
      </c>
      <c r="AG182" s="27" t="s">
        <v>8</v>
      </c>
      <c r="AH182" s="27" t="s">
        <v>7</v>
      </c>
      <c r="AO182" s="27" t="s">
        <v>8</v>
      </c>
      <c r="AP182" s="27" t="s">
        <v>7</v>
      </c>
      <c r="AY182" s="27" t="s">
        <v>8</v>
      </c>
      <c r="BJ182" s="27" t="s">
        <v>7</v>
      </c>
      <c r="BK182" s="27" t="s">
        <v>8</v>
      </c>
      <c r="BM182" s="27" t="s">
        <v>8</v>
      </c>
      <c r="BN182" s="27" t="s">
        <v>7</v>
      </c>
      <c r="BQ182" s="27" t="s">
        <v>8</v>
      </c>
      <c r="BR182" s="27" t="s">
        <v>7</v>
      </c>
      <c r="BU182" s="27" t="s">
        <v>8</v>
      </c>
      <c r="BV182" s="27" t="s">
        <v>7</v>
      </c>
      <c r="CE182" s="27" t="s">
        <v>8</v>
      </c>
      <c r="CG182" s="27" t="s">
        <v>8</v>
      </c>
      <c r="CJ182" s="27" t="s">
        <v>7</v>
      </c>
      <c r="CL182" s="27" t="s">
        <v>7</v>
      </c>
      <c r="CP182" s="27" t="s">
        <v>7</v>
      </c>
      <c r="CQ182" s="27" t="s">
        <v>8</v>
      </c>
      <c r="CR182" s="27" t="s">
        <v>7</v>
      </c>
      <c r="CT182" s="27" t="s">
        <v>7</v>
      </c>
      <c r="CU182" s="27" t="s">
        <v>8</v>
      </c>
      <c r="CV182" s="27" t="s">
        <v>7</v>
      </c>
      <c r="CW182" s="27" t="s">
        <v>8</v>
      </c>
      <c r="DF182" s="27" t="s">
        <v>7</v>
      </c>
      <c r="DG182" s="27" t="s">
        <v>8</v>
      </c>
      <c r="DH182" s="27" t="s">
        <v>7</v>
      </c>
      <c r="DI182" s="27" t="s">
        <v>8</v>
      </c>
      <c r="DJ182" s="27" t="s">
        <v>7</v>
      </c>
      <c r="DM182" s="27" t="s">
        <v>8</v>
      </c>
      <c r="DN182" s="27" t="s">
        <v>7</v>
      </c>
    </row>
    <row r="183" spans="1:122" x14ac:dyDescent="0.25">
      <c r="A183" s="30">
        <v>16.135783085302233</v>
      </c>
      <c r="E183"/>
      <c r="W183" s="27" t="s">
        <v>8</v>
      </c>
      <c r="AB183" s="27" t="s">
        <v>7</v>
      </c>
      <c r="AC183" s="27" t="s">
        <v>8</v>
      </c>
      <c r="AD183" s="27" t="s">
        <v>7</v>
      </c>
      <c r="AG183" s="27" t="s">
        <v>8</v>
      </c>
      <c r="AH183" s="27" t="s">
        <v>7</v>
      </c>
      <c r="AO183" s="27" t="s">
        <v>8</v>
      </c>
      <c r="AP183" s="27" t="s">
        <v>7</v>
      </c>
      <c r="AY183" s="27" t="s">
        <v>8</v>
      </c>
      <c r="BJ183" s="27" t="s">
        <v>7</v>
      </c>
      <c r="BK183" s="27" t="s">
        <v>8</v>
      </c>
      <c r="BL183" s="27" t="s">
        <v>7</v>
      </c>
      <c r="BM183" s="27" t="s">
        <v>8</v>
      </c>
      <c r="BN183" s="27" t="s">
        <v>7</v>
      </c>
      <c r="BQ183" s="27" t="s">
        <v>8</v>
      </c>
      <c r="BR183" s="27" t="s">
        <v>7</v>
      </c>
      <c r="BU183" s="27" t="s">
        <v>8</v>
      </c>
      <c r="BV183" s="27" t="s">
        <v>7</v>
      </c>
      <c r="CE183" s="27" t="s">
        <v>8</v>
      </c>
      <c r="CF183" s="27" t="s">
        <v>7</v>
      </c>
      <c r="CG183" s="27" t="s">
        <v>8</v>
      </c>
      <c r="CP183" s="27" t="s">
        <v>7</v>
      </c>
      <c r="CQ183" s="27" t="s">
        <v>8</v>
      </c>
      <c r="CT183" s="27" t="s">
        <v>7</v>
      </c>
      <c r="CU183" s="27" t="s">
        <v>8</v>
      </c>
      <c r="CV183" s="27" t="s">
        <v>7</v>
      </c>
      <c r="CW183" s="27" t="s">
        <v>8</v>
      </c>
      <c r="DF183" s="27" t="s">
        <v>7</v>
      </c>
      <c r="DG183" s="27" t="s">
        <v>8</v>
      </c>
      <c r="DH183" s="27" t="s">
        <v>7</v>
      </c>
      <c r="DI183" s="27" t="s">
        <v>8</v>
      </c>
      <c r="DJ183" s="27" t="s">
        <v>7</v>
      </c>
      <c r="DK183" s="27" t="s">
        <v>8</v>
      </c>
      <c r="DM183" s="27" t="s">
        <v>8</v>
      </c>
      <c r="DN183" s="27" t="s">
        <v>7</v>
      </c>
    </row>
    <row r="184" spans="1:122" x14ac:dyDescent="0.25">
      <c r="A184" s="30">
        <v>15.367412462192602</v>
      </c>
      <c r="E184"/>
      <c r="W184" s="27" t="s">
        <v>8</v>
      </c>
      <c r="AB184" s="27" t="s">
        <v>7</v>
      </c>
      <c r="AC184" s="27" t="s">
        <v>8</v>
      </c>
      <c r="AD184" s="27" t="s">
        <v>7</v>
      </c>
      <c r="AG184" s="27" t="s">
        <v>8</v>
      </c>
      <c r="AH184" s="27" t="s">
        <v>7</v>
      </c>
      <c r="AK184" s="27" t="s">
        <v>8</v>
      </c>
      <c r="AO184" s="27" t="s">
        <v>8</v>
      </c>
      <c r="AP184" s="27" t="s">
        <v>7</v>
      </c>
      <c r="AY184" s="27" t="s">
        <v>8</v>
      </c>
      <c r="BJ184" s="27" t="s">
        <v>7</v>
      </c>
      <c r="BK184" s="27" t="s">
        <v>8</v>
      </c>
      <c r="BL184" s="27" t="s">
        <v>7</v>
      </c>
      <c r="BM184" s="27" t="s">
        <v>8</v>
      </c>
      <c r="BN184" s="27" t="s">
        <v>7</v>
      </c>
      <c r="BO184" s="27" t="s">
        <v>8</v>
      </c>
      <c r="BQ184" s="27" t="s">
        <v>8</v>
      </c>
      <c r="BR184" s="27" t="s">
        <v>7</v>
      </c>
      <c r="BU184" s="27" t="s">
        <v>8</v>
      </c>
      <c r="BV184" s="27" t="s">
        <v>7</v>
      </c>
      <c r="CE184" s="27" t="s">
        <v>8</v>
      </c>
      <c r="CF184" s="27" t="s">
        <v>7</v>
      </c>
      <c r="CG184" s="27" t="s">
        <v>8</v>
      </c>
      <c r="CP184" s="27" t="s">
        <v>7</v>
      </c>
      <c r="CT184" s="27" t="s">
        <v>7</v>
      </c>
      <c r="CU184" s="27" t="s">
        <v>8</v>
      </c>
      <c r="CV184" s="27" t="s">
        <v>7</v>
      </c>
      <c r="DF184" s="27" t="s">
        <v>7</v>
      </c>
      <c r="DH184" s="27" t="s">
        <v>7</v>
      </c>
      <c r="DJ184" s="27" t="s">
        <v>7</v>
      </c>
      <c r="DK184" s="27" t="s">
        <v>8</v>
      </c>
      <c r="DL184" s="27" t="s">
        <v>7</v>
      </c>
      <c r="DM184" s="27" t="s">
        <v>8</v>
      </c>
      <c r="DN184" s="27" t="s">
        <v>7</v>
      </c>
    </row>
    <row r="185" spans="1:122" x14ac:dyDescent="0.25">
      <c r="A185" s="30">
        <v>14.635630916373906</v>
      </c>
      <c r="C185"/>
      <c r="E185"/>
      <c r="W185" s="27" t="s">
        <v>8</v>
      </c>
      <c r="AB185" s="27" t="s">
        <v>7</v>
      </c>
      <c r="AC185" s="27" t="s">
        <v>8</v>
      </c>
      <c r="AD185" s="27" t="s">
        <v>7</v>
      </c>
      <c r="AE185" s="27" t="s">
        <v>8</v>
      </c>
      <c r="AG185" s="27" t="s">
        <v>8</v>
      </c>
      <c r="AH185" s="27" t="s">
        <v>7</v>
      </c>
      <c r="AI185" s="27" t="s">
        <v>8</v>
      </c>
      <c r="AK185" s="27" t="s">
        <v>8</v>
      </c>
      <c r="AL185" s="27" t="s">
        <v>7</v>
      </c>
      <c r="AO185" s="27" t="s">
        <v>8</v>
      </c>
      <c r="AP185" s="27" t="s">
        <v>7</v>
      </c>
      <c r="AQ185" s="27" t="s">
        <v>8</v>
      </c>
      <c r="AY185" s="27" t="s">
        <v>8</v>
      </c>
      <c r="BJ185" s="27" t="s">
        <v>7</v>
      </c>
      <c r="BK185" s="27" t="s">
        <v>8</v>
      </c>
      <c r="BL185" s="27" t="s">
        <v>7</v>
      </c>
      <c r="BM185" s="27" t="s">
        <v>8</v>
      </c>
      <c r="BN185" s="27" t="s">
        <v>7</v>
      </c>
      <c r="BO185" s="27" t="s">
        <v>8</v>
      </c>
      <c r="BP185" s="27" t="s">
        <v>7</v>
      </c>
      <c r="BQ185" s="27" t="s">
        <v>8</v>
      </c>
      <c r="BR185" s="27" t="s">
        <v>7</v>
      </c>
      <c r="BS185" s="27" t="s">
        <v>8</v>
      </c>
      <c r="BU185" s="27" t="s">
        <v>8</v>
      </c>
      <c r="BV185" s="27" t="s">
        <v>7</v>
      </c>
      <c r="CE185" s="27" t="s">
        <v>8</v>
      </c>
      <c r="CF185" s="27" t="s">
        <v>7</v>
      </c>
      <c r="CG185" s="27" t="s">
        <v>8</v>
      </c>
      <c r="CT185" s="27" t="s">
        <v>7</v>
      </c>
      <c r="DJ185" s="27" t="s">
        <v>7</v>
      </c>
      <c r="DK185" s="27" t="s">
        <v>8</v>
      </c>
      <c r="DL185" s="27" t="s">
        <v>7</v>
      </c>
      <c r="DM185" s="27" t="s">
        <v>8</v>
      </c>
      <c r="DN185" s="27" t="s">
        <v>7</v>
      </c>
      <c r="DO185" s="27" t="s">
        <v>8</v>
      </c>
      <c r="DQ185" s="27" t="s">
        <v>8</v>
      </c>
    </row>
    <row r="186" spans="1:122" x14ac:dyDescent="0.25">
      <c r="A186" s="30">
        <v>13.938696110832291</v>
      </c>
      <c r="E186"/>
      <c r="W186" s="27" t="s">
        <v>8</v>
      </c>
      <c r="AB186" s="27" t="s">
        <v>7</v>
      </c>
      <c r="AC186" s="27" t="s">
        <v>8</v>
      </c>
      <c r="AD186" s="27" t="s">
        <v>7</v>
      </c>
      <c r="AE186" s="27" t="s">
        <v>8</v>
      </c>
      <c r="AF186" s="27" t="s">
        <v>7</v>
      </c>
      <c r="AG186" s="27" t="s">
        <v>8</v>
      </c>
      <c r="AH186" s="27" t="s">
        <v>7</v>
      </c>
      <c r="AI186" s="27" t="s">
        <v>8</v>
      </c>
      <c r="AJ186" s="27" t="s">
        <v>7</v>
      </c>
      <c r="AK186" s="27" t="s">
        <v>8</v>
      </c>
      <c r="AL186" s="27" t="s">
        <v>7</v>
      </c>
      <c r="AO186" s="27" t="s">
        <v>8</v>
      </c>
      <c r="AP186" s="27" t="s">
        <v>7</v>
      </c>
      <c r="AQ186" s="27" t="s">
        <v>8</v>
      </c>
      <c r="AR186" s="27" t="s">
        <v>7</v>
      </c>
      <c r="AS186" s="27" t="s">
        <v>8</v>
      </c>
      <c r="AY186" s="27" t="s">
        <v>8</v>
      </c>
      <c r="BJ186" s="27" t="s">
        <v>7</v>
      </c>
      <c r="BK186" s="27" t="s">
        <v>8</v>
      </c>
      <c r="BL186" s="27" t="s">
        <v>7</v>
      </c>
      <c r="BM186" s="27" t="s">
        <v>8</v>
      </c>
      <c r="BN186" s="27" t="s">
        <v>7</v>
      </c>
      <c r="BO186" s="27" t="s">
        <v>8</v>
      </c>
      <c r="BP186" s="27" t="s">
        <v>7</v>
      </c>
      <c r="BQ186" s="27" t="s">
        <v>8</v>
      </c>
      <c r="BR186" s="27" t="s">
        <v>7</v>
      </c>
      <c r="BS186" s="27" t="s">
        <v>8</v>
      </c>
      <c r="BT186" s="27" t="s">
        <v>7</v>
      </c>
      <c r="BU186" s="27" t="s">
        <v>8</v>
      </c>
      <c r="BV186" s="27" t="s">
        <v>7</v>
      </c>
      <c r="BY186" s="27" t="s">
        <v>8</v>
      </c>
      <c r="CA186" s="27" t="s">
        <v>8</v>
      </c>
      <c r="CC186" s="27" t="s">
        <v>8</v>
      </c>
      <c r="CE186" s="27" t="s">
        <v>8</v>
      </c>
      <c r="CF186" s="27" t="s">
        <v>7</v>
      </c>
      <c r="DJ186" s="27" t="s">
        <v>7</v>
      </c>
      <c r="DK186" s="27" t="s">
        <v>8</v>
      </c>
      <c r="DL186" s="27" t="s">
        <v>7</v>
      </c>
      <c r="DM186" s="27" t="s">
        <v>8</v>
      </c>
      <c r="DN186" s="27" t="s">
        <v>7</v>
      </c>
      <c r="DO186" s="27" t="s">
        <v>8</v>
      </c>
      <c r="DP186" s="27" t="s">
        <v>7</v>
      </c>
      <c r="DQ186" s="27" t="s">
        <v>8</v>
      </c>
      <c r="DR186" s="27" t="s">
        <v>7</v>
      </c>
    </row>
    <row r="187" spans="1:122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W187" s="27" t="s">
        <v>8</v>
      </c>
      <c r="AB187" s="27" t="s">
        <v>7</v>
      </c>
      <c r="AC187" s="27" t="s">
        <v>8</v>
      </c>
      <c r="AD187" s="27" t="s">
        <v>7</v>
      </c>
      <c r="AE187" s="27" t="s">
        <v>8</v>
      </c>
      <c r="AF187" s="27" t="s">
        <v>7</v>
      </c>
      <c r="AG187" s="27" t="s">
        <v>8</v>
      </c>
      <c r="AH187" s="27" t="s">
        <v>7</v>
      </c>
      <c r="AI187" s="27" t="s">
        <v>8</v>
      </c>
      <c r="AJ187" s="27" t="s">
        <v>7</v>
      </c>
      <c r="AK187" s="27" t="s">
        <v>8</v>
      </c>
      <c r="AL187" s="27" t="s">
        <v>7</v>
      </c>
      <c r="AO187" s="27" t="s">
        <v>8</v>
      </c>
      <c r="AP187" s="27" t="s">
        <v>7</v>
      </c>
      <c r="AQ187" s="27" t="s">
        <v>8</v>
      </c>
      <c r="AR187" s="27" t="s">
        <v>7</v>
      </c>
      <c r="AS187" s="27" t="s">
        <v>8</v>
      </c>
      <c r="AT187" s="27" t="s">
        <v>7</v>
      </c>
      <c r="AY187" s="27" t="s">
        <v>8</v>
      </c>
      <c r="BJ187" s="27" t="s">
        <v>7</v>
      </c>
      <c r="BK187" s="27" t="s">
        <v>8</v>
      </c>
      <c r="BL187" s="27" t="s">
        <v>7</v>
      </c>
      <c r="BM187" s="27" t="s">
        <v>8</v>
      </c>
      <c r="BN187" s="27" t="s">
        <v>7</v>
      </c>
      <c r="BO187" s="27" t="s">
        <v>8</v>
      </c>
      <c r="BP187" s="27" t="s">
        <v>7</v>
      </c>
      <c r="BQ187" s="27" t="s">
        <v>8</v>
      </c>
      <c r="BR187" s="27" t="s">
        <v>7</v>
      </c>
      <c r="BS187" s="27" t="s">
        <v>8</v>
      </c>
      <c r="BT187" s="27" t="s">
        <v>7</v>
      </c>
      <c r="BU187" s="27" t="s">
        <v>8</v>
      </c>
      <c r="BV187" s="27" t="s">
        <v>7</v>
      </c>
      <c r="BY187" s="27" t="s">
        <v>8</v>
      </c>
      <c r="BZ187" s="27" t="s">
        <v>7</v>
      </c>
      <c r="CA187" s="27" t="s">
        <v>8</v>
      </c>
      <c r="CB187" s="27" t="s">
        <v>7</v>
      </c>
      <c r="CC187" s="27" t="s">
        <v>8</v>
      </c>
      <c r="CD187" s="27" t="s">
        <v>7</v>
      </c>
      <c r="CE187" s="27" t="s">
        <v>8</v>
      </c>
      <c r="DJ187" s="27" t="s">
        <v>7</v>
      </c>
      <c r="DK187" s="27" t="s">
        <v>8</v>
      </c>
      <c r="DL187" s="27" t="s">
        <v>7</v>
      </c>
      <c r="DM187" s="27" t="s">
        <v>8</v>
      </c>
      <c r="DN187" s="27" t="s">
        <v>7</v>
      </c>
      <c r="DO187" s="27" t="s">
        <v>8</v>
      </c>
      <c r="DP187" s="27" t="s">
        <v>7</v>
      </c>
      <c r="DQ187" s="27" t="s">
        <v>8</v>
      </c>
      <c r="DR187" s="27" t="s">
        <v>7</v>
      </c>
    </row>
    <row r="188" spans="1:122" x14ac:dyDescent="0.25">
      <c r="A188" s="30">
        <v>12.64280826379346</v>
      </c>
      <c r="E188"/>
      <c r="W188" s="27" t="s">
        <v>8</v>
      </c>
      <c r="AB188" s="27" t="s">
        <v>7</v>
      </c>
      <c r="AC188" s="27" t="s">
        <v>8</v>
      </c>
      <c r="AD188" s="27" t="s">
        <v>7</v>
      </c>
      <c r="AE188" s="27" t="s">
        <v>8</v>
      </c>
      <c r="AF188" s="27" t="s">
        <v>7</v>
      </c>
      <c r="AG188" s="27" t="s">
        <v>8</v>
      </c>
      <c r="AH188" s="27" t="s">
        <v>7</v>
      </c>
      <c r="AI188" s="27" t="s">
        <v>8</v>
      </c>
      <c r="AJ188" s="27" t="s">
        <v>7</v>
      </c>
      <c r="AK188" s="27" t="s">
        <v>8</v>
      </c>
      <c r="AL188" s="27" t="s">
        <v>7</v>
      </c>
      <c r="AO188" s="27" t="s">
        <v>8</v>
      </c>
      <c r="AP188" s="27" t="s">
        <v>7</v>
      </c>
      <c r="AQ188" s="27" t="s">
        <v>8</v>
      </c>
      <c r="AR188" s="27" t="s">
        <v>7</v>
      </c>
      <c r="AS188" s="27" t="s">
        <v>8</v>
      </c>
      <c r="AT188" s="27" t="s">
        <v>7</v>
      </c>
      <c r="AU188" s="27" t="s">
        <v>8</v>
      </c>
      <c r="AY188" s="27" t="s">
        <v>8</v>
      </c>
      <c r="BJ188" s="27" t="s">
        <v>7</v>
      </c>
      <c r="BK188" s="27" t="s">
        <v>8</v>
      </c>
      <c r="BL188" s="27" t="s">
        <v>7</v>
      </c>
      <c r="BM188" s="27" t="s">
        <v>8</v>
      </c>
      <c r="BN188" s="27" t="s">
        <v>7</v>
      </c>
      <c r="BO188" s="27" t="s">
        <v>8</v>
      </c>
      <c r="BP188" s="27" t="s">
        <v>7</v>
      </c>
      <c r="BQ188" s="27" t="s">
        <v>8</v>
      </c>
      <c r="BR188" s="27" t="s">
        <v>7</v>
      </c>
      <c r="BS188" s="27" t="s">
        <v>8</v>
      </c>
      <c r="BT188" s="27" t="s">
        <v>7</v>
      </c>
      <c r="BV188" s="27" t="s">
        <v>7</v>
      </c>
      <c r="BY188" s="27" t="s">
        <v>8</v>
      </c>
      <c r="BZ188" s="27" t="s">
        <v>7</v>
      </c>
      <c r="CA188" s="27" t="s">
        <v>8</v>
      </c>
      <c r="CB188" s="27" t="s">
        <v>7</v>
      </c>
      <c r="CC188" s="27" t="s">
        <v>8</v>
      </c>
      <c r="CD188" s="27" t="s">
        <v>7</v>
      </c>
      <c r="CE188" s="27" t="s">
        <v>8</v>
      </c>
      <c r="DJ188" s="27" t="s">
        <v>7</v>
      </c>
      <c r="DL188" s="27" t="s">
        <v>7</v>
      </c>
      <c r="DM188" s="27" t="s">
        <v>8</v>
      </c>
      <c r="DN188" s="27" t="s">
        <v>7</v>
      </c>
      <c r="DO188" s="27" t="s">
        <v>8</v>
      </c>
      <c r="DP188" s="27" t="s">
        <v>7</v>
      </c>
      <c r="DQ188" s="27" t="s">
        <v>8</v>
      </c>
      <c r="DR188" s="27" t="s">
        <v>7</v>
      </c>
    </row>
    <row r="189" spans="1:122" x14ac:dyDescent="0.25">
      <c r="A189" s="30">
        <v>12.04076977504139</v>
      </c>
      <c r="E189"/>
      <c r="W189" s="27" t="s">
        <v>8</v>
      </c>
      <c r="AB189" s="27" t="s">
        <v>7</v>
      </c>
      <c r="AC189" s="27" t="s">
        <v>8</v>
      </c>
      <c r="AD189" s="27" t="s">
        <v>7</v>
      </c>
      <c r="AE189" s="27" t="s">
        <v>8</v>
      </c>
      <c r="AF189" s="27" t="s">
        <v>7</v>
      </c>
      <c r="AG189" s="27" t="s">
        <v>8</v>
      </c>
      <c r="AH189" s="27" t="s">
        <v>7</v>
      </c>
      <c r="AJ189" s="27" t="s">
        <v>7</v>
      </c>
      <c r="AK189" s="27" t="s">
        <v>8</v>
      </c>
      <c r="AL189" s="27" t="s">
        <v>7</v>
      </c>
      <c r="AM189" s="27" t="s">
        <v>8</v>
      </c>
      <c r="AO189" s="27" t="s">
        <v>8</v>
      </c>
      <c r="AP189" s="27" t="s">
        <v>7</v>
      </c>
      <c r="AQ189" s="27" t="s">
        <v>8</v>
      </c>
      <c r="AR189" s="27" t="s">
        <v>7</v>
      </c>
      <c r="AT189" s="27" t="s">
        <v>7</v>
      </c>
      <c r="AU189" s="27" t="s">
        <v>8</v>
      </c>
      <c r="AV189" s="27" t="s">
        <v>7</v>
      </c>
      <c r="AY189" s="27" t="s">
        <v>8</v>
      </c>
      <c r="BJ189" s="27" t="s">
        <v>7</v>
      </c>
      <c r="BK189" s="27" t="s">
        <v>8</v>
      </c>
      <c r="BL189" s="27" t="s">
        <v>7</v>
      </c>
      <c r="BM189" s="27" t="s">
        <v>8</v>
      </c>
      <c r="BN189" s="27" t="s">
        <v>7</v>
      </c>
      <c r="BP189" s="27" t="s">
        <v>7</v>
      </c>
      <c r="BQ189" s="27" t="s">
        <v>8</v>
      </c>
      <c r="BR189" s="27" t="s">
        <v>7</v>
      </c>
      <c r="BS189" s="27" t="s">
        <v>8</v>
      </c>
      <c r="BV189" s="27" t="s">
        <v>7</v>
      </c>
      <c r="BW189" s="27" t="s">
        <v>8</v>
      </c>
      <c r="BY189" s="27" t="s">
        <v>8</v>
      </c>
      <c r="BZ189" s="27" t="s">
        <v>7</v>
      </c>
      <c r="CA189" s="27" t="s">
        <v>8</v>
      </c>
      <c r="CB189" s="27" t="s">
        <v>7</v>
      </c>
      <c r="CD189" s="27" t="s">
        <v>7</v>
      </c>
      <c r="DL189" s="27" t="s">
        <v>7</v>
      </c>
      <c r="DM189" s="27" t="s">
        <v>8</v>
      </c>
      <c r="DN189" s="27" t="s">
        <v>7</v>
      </c>
      <c r="DP189" s="27" t="s">
        <v>7</v>
      </c>
      <c r="DQ189" s="27" t="s">
        <v>8</v>
      </c>
      <c r="DR189" s="27" t="s">
        <v>7</v>
      </c>
    </row>
    <row r="190" spans="1:122" x14ac:dyDescent="0.25">
      <c r="A190" s="30">
        <v>11.467399785753704</v>
      </c>
      <c r="E190"/>
      <c r="W190" s="27" t="s">
        <v>8</v>
      </c>
      <c r="AB190" s="27" t="s">
        <v>7</v>
      </c>
      <c r="AC190" s="27" t="s">
        <v>8</v>
      </c>
      <c r="AD190" s="27" t="s">
        <v>7</v>
      </c>
      <c r="AF190" s="27" t="s">
        <v>7</v>
      </c>
      <c r="AG190" s="27" t="s">
        <v>8</v>
      </c>
      <c r="AJ190" s="27" t="s">
        <v>7</v>
      </c>
      <c r="AL190" s="27" t="s">
        <v>7</v>
      </c>
      <c r="AM190" s="27" t="s">
        <v>8</v>
      </c>
      <c r="AN190" s="27" t="s">
        <v>7</v>
      </c>
      <c r="AO190" s="27" t="s">
        <v>8</v>
      </c>
      <c r="AP190" s="27" t="s">
        <v>7</v>
      </c>
      <c r="AQ190" s="27" t="s">
        <v>8</v>
      </c>
      <c r="AT190" s="27" t="s">
        <v>7</v>
      </c>
      <c r="AU190" s="27" t="s">
        <v>8</v>
      </c>
      <c r="AV190" s="27" t="s">
        <v>7</v>
      </c>
      <c r="AY190" s="27" t="s">
        <v>8</v>
      </c>
      <c r="BJ190" s="27" t="s">
        <v>7</v>
      </c>
      <c r="BL190" s="27" t="s">
        <v>7</v>
      </c>
      <c r="BM190" s="27" t="s">
        <v>8</v>
      </c>
      <c r="BP190" s="27" t="s">
        <v>7</v>
      </c>
      <c r="BQ190" s="27" t="s">
        <v>8</v>
      </c>
      <c r="BR190" s="27" t="s">
        <v>7</v>
      </c>
      <c r="BV190" s="27" t="s">
        <v>7</v>
      </c>
      <c r="BW190" s="27" t="s">
        <v>8</v>
      </c>
      <c r="BX190" s="27" t="s">
        <v>7</v>
      </c>
      <c r="BY190" s="27" t="s">
        <v>8</v>
      </c>
      <c r="BZ190" s="27" t="s">
        <v>7</v>
      </c>
      <c r="CA190" s="27" t="s">
        <v>8</v>
      </c>
      <c r="DL190" s="27" t="s">
        <v>7</v>
      </c>
      <c r="DM190" s="27" t="s">
        <v>8</v>
      </c>
      <c r="DP190" s="27" t="s">
        <v>7</v>
      </c>
      <c r="DQ190" s="27" t="s">
        <v>8</v>
      </c>
      <c r="DR190" s="27" t="s">
        <v>7</v>
      </c>
    </row>
    <row r="191" spans="1:122" x14ac:dyDescent="0.25">
      <c r="A191" s="30">
        <v>10.921333129289241</v>
      </c>
      <c r="E191"/>
      <c r="W191" s="27" t="s">
        <v>8</v>
      </c>
      <c r="AB191" s="27" t="s">
        <v>7</v>
      </c>
      <c r="AC191" s="27" t="s">
        <v>8</v>
      </c>
      <c r="AF191" s="27" t="s">
        <v>7</v>
      </c>
      <c r="AL191" s="27" t="s">
        <v>7</v>
      </c>
      <c r="AM191" s="27" t="s">
        <v>8</v>
      </c>
      <c r="AN191" s="27" t="s">
        <v>7</v>
      </c>
      <c r="AO191" s="27" t="s">
        <v>8</v>
      </c>
      <c r="AP191" s="27" t="s">
        <v>7</v>
      </c>
      <c r="AT191" s="27" t="s">
        <v>7</v>
      </c>
      <c r="AU191" s="27" t="s">
        <v>8</v>
      </c>
      <c r="AV191" s="27" t="s">
        <v>7</v>
      </c>
      <c r="AY191" s="27" t="s">
        <v>8</v>
      </c>
      <c r="BL191" s="27" t="s">
        <v>7</v>
      </c>
      <c r="BM191" s="27" t="s">
        <v>8</v>
      </c>
      <c r="BP191" s="27" t="s">
        <v>7</v>
      </c>
      <c r="BV191" s="27" t="s">
        <v>7</v>
      </c>
      <c r="BW191" s="27" t="s">
        <v>8</v>
      </c>
      <c r="BX191" s="27" t="s">
        <v>7</v>
      </c>
      <c r="BY191" s="27" t="s">
        <v>8</v>
      </c>
      <c r="BZ191" s="18" t="s">
        <v>7</v>
      </c>
      <c r="CA191" s="27" t="s">
        <v>8</v>
      </c>
      <c r="DL191" s="27" t="s">
        <v>7</v>
      </c>
      <c r="DP191" s="27" t="s">
        <v>7</v>
      </c>
      <c r="DQ191" s="27" t="s">
        <v>8</v>
      </c>
      <c r="DR191" s="27" t="s">
        <v>7</v>
      </c>
    </row>
    <row r="192" spans="1:122" x14ac:dyDescent="0.25">
      <c r="A192" s="30">
        <v>10.401269646942135</v>
      </c>
      <c r="E192"/>
      <c r="W192" s="27" t="s">
        <v>8</v>
      </c>
      <c r="AB192" s="27" t="s">
        <v>7</v>
      </c>
      <c r="AL192" s="27" t="s">
        <v>7</v>
      </c>
      <c r="AM192" s="27" t="s">
        <v>8</v>
      </c>
      <c r="AN192" s="27" t="s">
        <v>7</v>
      </c>
      <c r="AO192" s="27" t="s">
        <v>8</v>
      </c>
      <c r="AT192" s="27" t="s">
        <v>7</v>
      </c>
      <c r="AU192" s="27" t="s">
        <v>8</v>
      </c>
      <c r="AV192" s="27" t="s">
        <v>7</v>
      </c>
      <c r="AY192" s="27" t="s">
        <v>8</v>
      </c>
      <c r="BL192" s="27" t="s">
        <v>7</v>
      </c>
      <c r="BM192" s="27" t="s">
        <v>8</v>
      </c>
      <c r="BV192" s="27" t="s">
        <v>7</v>
      </c>
      <c r="BW192" s="27" t="s">
        <v>8</v>
      </c>
      <c r="BX192" s="27" t="s">
        <v>7</v>
      </c>
      <c r="BZ192" s="27" t="s">
        <v>7</v>
      </c>
      <c r="CA192" s="27" t="s">
        <v>8</v>
      </c>
      <c r="DP192" s="27" t="s">
        <v>7</v>
      </c>
      <c r="DR192" s="27" t="s">
        <v>7</v>
      </c>
    </row>
    <row r="193" spans="1:123" x14ac:dyDescent="0.25">
      <c r="A193" s="30">
        <v>9.9059710923258422</v>
      </c>
      <c r="E193"/>
      <c r="W193" s="27" t="s">
        <v>8</v>
      </c>
      <c r="AL193" s="27" t="s">
        <v>7</v>
      </c>
      <c r="AM193" s="27" t="s">
        <v>8</v>
      </c>
      <c r="AN193" s="27" t="s">
        <v>7</v>
      </c>
      <c r="AT193" s="27" t="s">
        <v>7</v>
      </c>
      <c r="AV193" s="27" t="s">
        <v>7</v>
      </c>
      <c r="AW193" s="27" t="s">
        <v>8</v>
      </c>
      <c r="AY193" s="27" t="s">
        <v>8</v>
      </c>
      <c r="BL193" s="27" t="s">
        <v>7</v>
      </c>
      <c r="BM193" s="27" t="s">
        <v>8</v>
      </c>
      <c r="BV193" s="27" t="s">
        <v>7</v>
      </c>
      <c r="BW193" s="27" t="s">
        <v>8</v>
      </c>
      <c r="BZ193" s="27" t="s">
        <v>7</v>
      </c>
      <c r="DR193" s="27" t="s">
        <v>7</v>
      </c>
      <c r="DS193" s="27" t="s">
        <v>8</v>
      </c>
    </row>
    <row r="194" spans="1:123" x14ac:dyDescent="0.25">
      <c r="A194" s="30">
        <v>9.4342581831674686</v>
      </c>
      <c r="E194"/>
      <c r="W194" s="27" t="s">
        <v>8</v>
      </c>
      <c r="AL194" s="27" t="s">
        <v>7</v>
      </c>
      <c r="AV194" s="27" t="s">
        <v>7</v>
      </c>
      <c r="AW194" s="27" t="s">
        <v>8</v>
      </c>
      <c r="AX194" s="27" t="s">
        <v>7</v>
      </c>
      <c r="AY194" s="27" t="s">
        <v>8</v>
      </c>
      <c r="BL194" s="27" t="s">
        <v>7</v>
      </c>
      <c r="BM194" s="27" t="s">
        <v>8</v>
      </c>
      <c r="BV194" s="27" t="s">
        <v>7</v>
      </c>
      <c r="DR194" s="27" t="s">
        <v>7</v>
      </c>
      <c r="DS194" s="27" t="s">
        <v>8</v>
      </c>
    </row>
    <row r="195" spans="1:123" x14ac:dyDescent="0.25">
      <c r="A195" s="30">
        <v>8.9850077934928265</v>
      </c>
      <c r="E195"/>
      <c r="W195" s="27" t="s">
        <v>8</v>
      </c>
      <c r="AV195" s="27" t="s">
        <v>7</v>
      </c>
      <c r="AW195" s="27" t="s">
        <v>8</v>
      </c>
      <c r="AX195" s="27" t="s">
        <v>7</v>
      </c>
      <c r="AY195" s="27" t="s">
        <v>8</v>
      </c>
      <c r="BL195" s="27" t="s">
        <v>7</v>
      </c>
      <c r="BM195" s="27" t="s">
        <v>8</v>
      </c>
      <c r="DR195" s="27" t="s">
        <v>7</v>
      </c>
      <c r="DS195" s="27" t="s">
        <v>8</v>
      </c>
    </row>
    <row r="196" spans="1:123" x14ac:dyDescent="0.25">
      <c r="A196" s="30">
        <v>8.5571502795169767</v>
      </c>
      <c r="E196"/>
      <c r="W196" s="27" t="s">
        <v>8</v>
      </c>
      <c r="AV196" s="27" t="s">
        <v>7</v>
      </c>
      <c r="AW196" s="27" t="s">
        <v>8</v>
      </c>
      <c r="AX196" s="27" t="s">
        <v>7</v>
      </c>
      <c r="AY196" s="27" t="s">
        <v>8</v>
      </c>
      <c r="BL196" s="27" t="s">
        <v>7</v>
      </c>
      <c r="BM196" s="27" t="s">
        <v>8</v>
      </c>
      <c r="DR196" s="27" t="s">
        <v>7</v>
      </c>
      <c r="DS196" s="27" t="s">
        <v>8</v>
      </c>
    </row>
    <row r="197" spans="1:123" x14ac:dyDescent="0.25">
      <c r="A197" s="30">
        <v>8.1496669328733109</v>
      </c>
      <c r="E197"/>
      <c r="W197" s="27" t="s">
        <v>8</v>
      </c>
      <c r="AV197" s="27" t="s">
        <v>7</v>
      </c>
      <c r="AW197" s="27" t="s">
        <v>8</v>
      </c>
      <c r="AX197" s="27" t="s">
        <v>7</v>
      </c>
      <c r="BL197" s="27" t="s">
        <v>7</v>
      </c>
      <c r="BM197" s="27" t="s">
        <v>8</v>
      </c>
      <c r="DR197" s="27" t="s">
        <v>7</v>
      </c>
    </row>
    <row r="198" spans="1:123" x14ac:dyDescent="0.25">
      <c r="A198" s="30">
        <v>7.7615875551174378</v>
      </c>
      <c r="E198"/>
      <c r="W198" s="27" t="s">
        <v>8</v>
      </c>
      <c r="AV198" s="27" t="s">
        <v>7</v>
      </c>
      <c r="AW198" s="27" t="s">
        <v>8</v>
      </c>
      <c r="BL198" s="27" t="s">
        <v>7</v>
      </c>
      <c r="BM198" s="27" t="s">
        <v>8</v>
      </c>
    </row>
    <row r="199" spans="1:123" x14ac:dyDescent="0.25">
      <c r="A199" s="30">
        <v>7.3919881477308929</v>
      </c>
      <c r="E199"/>
      <c r="W199" s="27" t="s">
        <v>8</v>
      </c>
      <c r="AV199" s="27" t="s">
        <v>7</v>
      </c>
      <c r="AW199" s="27" t="s">
        <v>8</v>
      </c>
      <c r="BL199" s="27" t="s">
        <v>7</v>
      </c>
    </row>
    <row r="200" spans="1:123" x14ac:dyDescent="0.25">
      <c r="A200" s="30">
        <v>7.0399887121246598</v>
      </c>
      <c r="E200"/>
      <c r="W200" s="27" t="s">
        <v>8</v>
      </c>
      <c r="AV200" s="27" t="s">
        <v>7</v>
      </c>
    </row>
    <row r="201" spans="1:123" x14ac:dyDescent="0.25">
      <c r="A201" s="30">
        <v>6.7047511544044376</v>
      </c>
      <c r="E201"/>
      <c r="W201" s="27" t="s">
        <v>8</v>
      </c>
    </row>
    <row r="202" spans="1:123" x14ac:dyDescent="0.25">
      <c r="A202" s="30">
        <v>6.3854772899089882</v>
      </c>
      <c r="E202"/>
      <c r="W202" s="27" t="s">
        <v>8</v>
      </c>
    </row>
    <row r="203" spans="1:123" x14ac:dyDescent="0.25">
      <c r="A203" s="30">
        <v>6.0814069427704647</v>
      </c>
      <c r="C203" s="7"/>
      <c r="D203"/>
      <c r="E203"/>
      <c r="W203" s="27" t="s">
        <v>8</v>
      </c>
    </row>
    <row r="204" spans="1:123" x14ac:dyDescent="0.25">
      <c r="A204" s="30">
        <v>5.7918161359718709</v>
      </c>
      <c r="E204"/>
      <c r="I204" s="27" t="s">
        <v>8</v>
      </c>
      <c r="W204" s="27" t="s">
        <v>8</v>
      </c>
    </row>
    <row r="205" spans="1:123" x14ac:dyDescent="0.25">
      <c r="A205" s="30">
        <v>5.5160153675922574</v>
      </c>
      <c r="E205"/>
      <c r="I205" s="27" t="s">
        <v>8</v>
      </c>
      <c r="J205" s="27" t="s">
        <v>7</v>
      </c>
      <c r="W205" s="27" t="s">
        <v>8</v>
      </c>
    </row>
    <row r="206" spans="1:123" x14ac:dyDescent="0.25">
      <c r="A206" s="30">
        <v>5.2533479691354827</v>
      </c>
      <c r="C206"/>
      <c r="D206"/>
      <c r="E206"/>
      <c r="I206" s="27" t="s">
        <v>8</v>
      </c>
      <c r="J206" s="27" t="s">
        <v>7</v>
      </c>
      <c r="W206" s="27" t="s">
        <v>8</v>
      </c>
    </row>
    <row r="207" spans="1:123" x14ac:dyDescent="0.25">
      <c r="A207" s="30">
        <v>5.0031885420337927</v>
      </c>
      <c r="E207"/>
      <c r="I207" s="27" t="s">
        <v>8</v>
      </c>
      <c r="J207" s="27" t="s">
        <v>7</v>
      </c>
      <c r="W207" s="27" t="s">
        <v>8</v>
      </c>
    </row>
    <row r="208" spans="1:123" x14ac:dyDescent="0.25">
      <c r="A208" s="30">
        <v>4.7649414686036122</v>
      </c>
      <c r="E208"/>
      <c r="I208" s="27" t="s">
        <v>8</v>
      </c>
      <c r="J208" s="27" t="s">
        <v>7</v>
      </c>
      <c r="W208" s="27" t="s">
        <v>8</v>
      </c>
    </row>
    <row r="209" spans="1:23" x14ac:dyDescent="0.25">
      <c r="A209" s="30">
        <v>4.5380394939082018</v>
      </c>
      <c r="E209"/>
      <c r="I209" s="27" t="s">
        <v>8</v>
      </c>
      <c r="J209" s="27" t="s">
        <v>7</v>
      </c>
      <c r="W209" s="27" t="s">
        <v>8</v>
      </c>
    </row>
    <row r="210" spans="1:23" x14ac:dyDescent="0.25">
      <c r="A210" s="30">
        <v>4.3219423751506678</v>
      </c>
      <c r="C210"/>
      <c r="E210"/>
      <c r="I210" s="27" t="s">
        <v>8</v>
      </c>
      <c r="J210" s="27" t="s">
        <v>7</v>
      </c>
      <c r="W210" s="27" t="s">
        <v>8</v>
      </c>
    </row>
    <row r="211" spans="1:23" x14ac:dyDescent="0.25">
      <c r="A211" s="30">
        <v>4.1161355953815884</v>
      </c>
      <c r="E211"/>
      <c r="I211" s="27" t="s">
        <v>8</v>
      </c>
      <c r="J211" s="27" t="s">
        <v>7</v>
      </c>
      <c r="W211" s="27" t="s">
        <v>8</v>
      </c>
    </row>
    <row r="212" spans="1:23" x14ac:dyDescent="0.25">
      <c r="A212" s="30">
        <v>3.9201291384586554</v>
      </c>
      <c r="E212"/>
      <c r="I212" s="27" t="s">
        <v>8</v>
      </c>
      <c r="J212" s="27" t="s">
        <v>7</v>
      </c>
      <c r="W212" s="27" t="s">
        <v>8</v>
      </c>
    </row>
    <row r="213" spans="1:23" x14ac:dyDescent="0.25">
      <c r="A213" s="30">
        <v>3.7334563223415764</v>
      </c>
      <c r="E213"/>
      <c r="I213" s="27" t="s">
        <v>8</v>
      </c>
      <c r="J213" s="27" t="s">
        <v>7</v>
      </c>
      <c r="W213" s="27" t="s">
        <v>8</v>
      </c>
    </row>
    <row r="214" spans="1:23" x14ac:dyDescent="0.25">
      <c r="A214" s="30">
        <v>3.5556726879443583</v>
      </c>
      <c r="E214"/>
      <c r="I214" s="27" t="s">
        <v>8</v>
      </c>
      <c r="J214" s="27" t="s">
        <v>7</v>
      </c>
      <c r="K214" s="27" t="s">
        <v>8</v>
      </c>
      <c r="W214" s="27" t="s">
        <v>8</v>
      </c>
    </row>
    <row r="215" spans="1:23" x14ac:dyDescent="0.25">
      <c r="A215" s="30">
        <v>3.3863549408993889</v>
      </c>
      <c r="E215"/>
      <c r="I215" s="27" t="s">
        <v>8</v>
      </c>
      <c r="J215" s="27" t="s">
        <v>7</v>
      </c>
      <c r="K215" s="27" t="s">
        <v>8</v>
      </c>
      <c r="L215" s="27" t="s">
        <v>7</v>
      </c>
      <c r="W215" s="27" t="s">
        <v>8</v>
      </c>
    </row>
    <row r="216" spans="1:23" x14ac:dyDescent="0.25">
      <c r="A216" s="30">
        <v>3.2250999437137038</v>
      </c>
      <c r="E216"/>
      <c r="G216" s="27" t="s">
        <v>8</v>
      </c>
      <c r="I216" s="27" t="s">
        <v>8</v>
      </c>
      <c r="J216" s="27" t="s">
        <v>7</v>
      </c>
      <c r="K216" s="27" t="s">
        <v>8</v>
      </c>
      <c r="L216" s="27" t="s">
        <v>7</v>
      </c>
      <c r="W216" s="27" t="s">
        <v>8</v>
      </c>
    </row>
    <row r="217" spans="1:23" x14ac:dyDescent="0.25">
      <c r="A217" s="30">
        <v>3.0715237559178128</v>
      </c>
      <c r="E217" t="s">
        <v>8</v>
      </c>
      <c r="G217" s="27" t="s">
        <v>8</v>
      </c>
      <c r="H217" s="27" t="s">
        <v>7</v>
      </c>
      <c r="I217" s="27" t="s">
        <v>8</v>
      </c>
      <c r="J217" s="27" t="s">
        <v>7</v>
      </c>
      <c r="K217" s="27" t="s">
        <v>8</v>
      </c>
      <c r="L217" s="27" t="s">
        <v>7</v>
      </c>
      <c r="U217" s="27" t="s">
        <v>8</v>
      </c>
      <c r="W217" s="27" t="s">
        <v>8</v>
      </c>
    </row>
    <row r="218" spans="1:23" x14ac:dyDescent="0.25">
      <c r="A218" s="30">
        <v>2.9252607199217264</v>
      </c>
      <c r="E218" t="s">
        <v>8</v>
      </c>
      <c r="F218" s="27" t="s">
        <v>7</v>
      </c>
      <c r="G218" s="27" t="s">
        <v>8</v>
      </c>
      <c r="H218" s="27" t="s">
        <v>7</v>
      </c>
      <c r="I218" s="27" t="s">
        <v>8</v>
      </c>
      <c r="J218" s="27" t="s">
        <v>7</v>
      </c>
      <c r="K218" s="27" t="s">
        <v>8</v>
      </c>
      <c r="L218" s="27" t="s">
        <v>7</v>
      </c>
      <c r="U218" s="27" t="s">
        <v>8</v>
      </c>
      <c r="V218" s="27" t="s">
        <v>7</v>
      </c>
      <c r="W218" s="27" t="s">
        <v>8</v>
      </c>
    </row>
    <row r="219" spans="1:23" x14ac:dyDescent="0.25">
      <c r="A219" s="30">
        <v>2.7859625904016441</v>
      </c>
      <c r="E219" t="s">
        <v>8</v>
      </c>
      <c r="F219" s="27" t="s">
        <v>7</v>
      </c>
      <c r="G219" s="27" t="s">
        <v>8</v>
      </c>
      <c r="H219" s="27" t="s">
        <v>7</v>
      </c>
      <c r="I219" s="27" t="s">
        <v>8</v>
      </c>
      <c r="J219" s="27" t="s">
        <v>7</v>
      </c>
      <c r="K219" s="27" t="s">
        <v>8</v>
      </c>
      <c r="L219" s="27" t="s">
        <v>7</v>
      </c>
      <c r="U219" s="27" t="s">
        <v>8</v>
      </c>
      <c r="V219" s="27" t="s">
        <v>7</v>
      </c>
      <c r="W219" s="27" t="s">
        <v>8</v>
      </c>
    </row>
    <row r="220" spans="1:23" x14ac:dyDescent="0.25">
      <c r="A220" s="30">
        <v>2.6532977051444226</v>
      </c>
      <c r="E220" t="s">
        <v>8</v>
      </c>
      <c r="F220" s="27" t="s">
        <v>7</v>
      </c>
      <c r="G220" s="27" t="s">
        <v>8</v>
      </c>
      <c r="H220" s="27" t="s">
        <v>7</v>
      </c>
      <c r="I220" s="27" t="s">
        <v>8</v>
      </c>
      <c r="J220" s="27" t="s">
        <v>7</v>
      </c>
      <c r="K220" s="27" t="s">
        <v>8</v>
      </c>
      <c r="L220" s="27" t="s">
        <v>7</v>
      </c>
      <c r="O220" s="27" t="s">
        <v>8</v>
      </c>
      <c r="Q220" s="27" t="s">
        <v>8</v>
      </c>
      <c r="S220" s="27" t="s">
        <v>8</v>
      </c>
      <c r="U220" s="27" t="s">
        <v>8</v>
      </c>
      <c r="V220" s="27" t="s">
        <v>7</v>
      </c>
      <c r="W220" s="27" t="s">
        <v>8</v>
      </c>
    </row>
    <row r="221" spans="1:23" x14ac:dyDescent="0.25">
      <c r="A221" s="30">
        <v>2.5269501953756404</v>
      </c>
      <c r="E221" t="s">
        <v>8</v>
      </c>
      <c r="F221" s="27" t="s">
        <v>7</v>
      </c>
      <c r="G221" s="27" t="s">
        <v>8</v>
      </c>
      <c r="H221" s="27" t="s">
        <v>7</v>
      </c>
      <c r="J221" s="27" t="s">
        <v>7</v>
      </c>
      <c r="K221" s="27" t="s">
        <v>8</v>
      </c>
      <c r="L221" s="27" t="s">
        <v>7</v>
      </c>
      <c r="O221" s="27" t="s">
        <v>8</v>
      </c>
      <c r="P221" s="27" t="s">
        <v>7</v>
      </c>
      <c r="Q221" s="27" t="s">
        <v>8</v>
      </c>
      <c r="R221" s="27" t="s">
        <v>7</v>
      </c>
      <c r="S221" s="27" t="s">
        <v>8</v>
      </c>
      <c r="T221" s="27" t="s">
        <v>7</v>
      </c>
      <c r="U221" s="27" t="s">
        <v>8</v>
      </c>
      <c r="V221" s="27" t="s">
        <v>7</v>
      </c>
      <c r="W221" s="27" t="s">
        <v>8</v>
      </c>
    </row>
    <row r="222" spans="1:23" x14ac:dyDescent="0.25">
      <c r="A222" s="30">
        <v>2.4066192336910861</v>
      </c>
      <c r="E222" t="s">
        <v>8</v>
      </c>
      <c r="F222" s="27" t="s">
        <v>7</v>
      </c>
      <c r="G222" s="27" t="s">
        <v>8</v>
      </c>
      <c r="J222" s="27" t="s">
        <v>7</v>
      </c>
      <c r="K222" s="27" t="s">
        <v>8</v>
      </c>
      <c r="L222" s="27" t="s">
        <v>7</v>
      </c>
      <c r="M222" s="27" t="s">
        <v>8</v>
      </c>
      <c r="O222" s="27" t="s">
        <v>8</v>
      </c>
      <c r="P222" s="27" t="s">
        <v>7</v>
      </c>
      <c r="Q222" s="27" t="s">
        <v>8</v>
      </c>
      <c r="R222" s="27" t="s">
        <v>7</v>
      </c>
      <c r="S222" s="27" t="s">
        <v>8</v>
      </c>
      <c r="T222" s="27" t="s">
        <v>7</v>
      </c>
      <c r="U222" s="27" t="s">
        <v>8</v>
      </c>
      <c r="V222" s="27" t="s">
        <v>7</v>
      </c>
    </row>
    <row r="223" spans="1:23" x14ac:dyDescent="0.25">
      <c r="A223" s="30">
        <v>2.2920183178010345</v>
      </c>
      <c r="E223" t="s">
        <v>8</v>
      </c>
      <c r="F223" s="27" t="s">
        <v>7</v>
      </c>
      <c r="J223" s="27" t="s">
        <v>7</v>
      </c>
      <c r="L223" s="27" t="s">
        <v>7</v>
      </c>
      <c r="M223" s="27" t="s">
        <v>8</v>
      </c>
      <c r="N223" s="27" t="s">
        <v>7</v>
      </c>
      <c r="O223" s="27" t="s">
        <v>8</v>
      </c>
      <c r="P223" s="27" t="s">
        <v>7</v>
      </c>
      <c r="R223" s="27" t="s">
        <v>7</v>
      </c>
      <c r="S223" s="27" t="s">
        <v>8</v>
      </c>
      <c r="T223" s="27" t="s">
        <v>7</v>
      </c>
    </row>
    <row r="224" spans="1:23" x14ac:dyDescent="0.25">
      <c r="A224" s="30">
        <v>2.1828745883819374</v>
      </c>
      <c r="E224" t="s">
        <v>8</v>
      </c>
      <c r="L224" s="27" t="s">
        <v>7</v>
      </c>
      <c r="M224" s="27" t="s">
        <v>8</v>
      </c>
      <c r="N224" s="27" t="s">
        <v>7</v>
      </c>
      <c r="O224" s="27" t="s">
        <v>8</v>
      </c>
      <c r="R224" s="27" t="s">
        <v>7</v>
      </c>
    </row>
    <row r="225" spans="1:15" x14ac:dyDescent="0.25">
      <c r="A225" s="30">
        <v>2.0789281794113688</v>
      </c>
      <c r="E225" t="s">
        <v>8</v>
      </c>
      <c r="L225" s="27" t="s">
        <v>7</v>
      </c>
      <c r="N225" s="27" t="s">
        <v>7</v>
      </c>
      <c r="O225" s="27" t="s">
        <v>8</v>
      </c>
    </row>
    <row r="226" spans="1:15" x14ac:dyDescent="0.25">
      <c r="A226" s="30">
        <v>1.9799315994393987</v>
      </c>
      <c r="E226" t="s">
        <v>8</v>
      </c>
      <c r="N226" s="27" t="s">
        <v>7</v>
      </c>
      <c r="O226" s="27" t="s">
        <v>8</v>
      </c>
    </row>
    <row r="227" spans="1:15" x14ac:dyDescent="0.25">
      <c r="A227" s="30">
        <v>1.8856491423232367</v>
      </c>
      <c r="E227" t="s">
        <v>8</v>
      </c>
      <c r="N227" s="27" t="s">
        <v>7</v>
      </c>
      <c r="O227" s="27" t="s">
        <v>8</v>
      </c>
    </row>
    <row r="228" spans="1:15" x14ac:dyDescent="0.25">
      <c r="A228" s="30">
        <v>1.7958563260221301</v>
      </c>
      <c r="C228" s="7"/>
      <c r="D228"/>
      <c r="E228" t="s">
        <v>8</v>
      </c>
      <c r="N228" s="27" t="s">
        <v>7</v>
      </c>
      <c r="O228" s="27" t="s">
        <v>8</v>
      </c>
    </row>
    <row r="229" spans="1:15" x14ac:dyDescent="0.25">
      <c r="A229" s="30">
        <v>1.7103393581163142</v>
      </c>
      <c r="E229" t="s">
        <v>8</v>
      </c>
      <c r="N229" s="27" t="s">
        <v>7</v>
      </c>
    </row>
    <row r="230" spans="1:15" x14ac:dyDescent="0.25">
      <c r="A230" s="30">
        <v>1.628894626777442</v>
      </c>
      <c r="E230" t="s">
        <v>8</v>
      </c>
    </row>
    <row r="231" spans="1:15" x14ac:dyDescent="0.25">
      <c r="A231" s="30">
        <v>1.5513282159785162</v>
      </c>
      <c r="C231"/>
      <c r="D231"/>
      <c r="E231" t="s">
        <v>8</v>
      </c>
    </row>
    <row r="232" spans="1:15" x14ac:dyDescent="0.25">
      <c r="A232" s="30">
        <v>1.477455443789063</v>
      </c>
      <c r="E232" t="s">
        <v>8</v>
      </c>
    </row>
    <row r="233" spans="1:15" x14ac:dyDescent="0.25">
      <c r="A233" s="30">
        <v>1.4071004226562505</v>
      </c>
      <c r="E233" t="s">
        <v>8</v>
      </c>
    </row>
    <row r="234" spans="1:15" x14ac:dyDescent="0.25">
      <c r="A234" s="30">
        <v>1.3400956406250004</v>
      </c>
      <c r="E234" t="s">
        <v>8</v>
      </c>
    </row>
    <row r="235" spans="1:15" x14ac:dyDescent="0.25">
      <c r="A235" s="30">
        <v>1.2762815625000004</v>
      </c>
      <c r="C235"/>
      <c r="E235" t="s">
        <v>8</v>
      </c>
    </row>
    <row r="236" spans="1:15" x14ac:dyDescent="0.25">
      <c r="A236" s="30">
        <v>1.2155062500000002</v>
      </c>
      <c r="E236" t="s">
        <v>8</v>
      </c>
    </row>
    <row r="237" spans="1:1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15" x14ac:dyDescent="0.25">
      <c r="A238" s="30">
        <v>1.1025</v>
      </c>
      <c r="E238" t="s">
        <v>8</v>
      </c>
    </row>
    <row r="239" spans="1:15" x14ac:dyDescent="0.25">
      <c r="A239" s="30">
        <v>1.05</v>
      </c>
      <c r="E239" t="s">
        <v>8</v>
      </c>
    </row>
    <row r="240" spans="1:1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48" operator="equal">
      <formula>$U$1</formula>
    </cfRule>
    <cfRule type="cellIs" dxfId="67" priority="849" operator="equal">
      <formula>$S$1</formula>
    </cfRule>
  </conditionalFormatting>
  <conditionalFormatting sqref="D136">
    <cfRule type="cellIs" dxfId="66" priority="846" operator="equal">
      <formula>$S$1</formula>
    </cfRule>
    <cfRule type="cellIs" dxfId="65" priority="847" operator="equal">
      <formula>$U$1</formula>
    </cfRule>
  </conditionalFormatting>
  <conditionalFormatting sqref="C162">
    <cfRule type="cellIs" dxfId="64" priority="844" operator="equal">
      <formula>$U$1</formula>
    </cfRule>
    <cfRule type="cellIs" dxfId="63" priority="845" operator="equal">
      <formula>$S$1</formula>
    </cfRule>
  </conditionalFormatting>
  <conditionalFormatting sqref="D162">
    <cfRule type="cellIs" dxfId="62" priority="842" operator="equal">
      <formula>$S$1</formula>
    </cfRule>
    <cfRule type="cellIs" dxfId="61" priority="843" operator="equal">
      <formula>$U$1</formula>
    </cfRule>
  </conditionalFormatting>
  <conditionalFormatting sqref="C187">
    <cfRule type="cellIs" dxfId="60" priority="840" operator="equal">
      <formula>$U$1</formula>
    </cfRule>
    <cfRule type="cellIs" dxfId="59" priority="841" operator="equal">
      <formula>$S$1</formula>
    </cfRule>
  </conditionalFormatting>
  <conditionalFormatting sqref="D187">
    <cfRule type="cellIs" dxfId="58" priority="838" operator="equal">
      <formula>$S$1</formula>
    </cfRule>
    <cfRule type="cellIs" dxfId="57" priority="839" operator="equal">
      <formula>$U$1</formula>
    </cfRule>
  </conditionalFormatting>
  <conditionalFormatting sqref="C212">
    <cfRule type="cellIs" dxfId="56" priority="836" operator="equal">
      <formula>$U$1</formula>
    </cfRule>
    <cfRule type="cellIs" dxfId="55" priority="837" operator="equal">
      <formula>$S$1</formula>
    </cfRule>
  </conditionalFormatting>
  <conditionalFormatting sqref="D212">
    <cfRule type="cellIs" dxfId="54" priority="834" operator="equal">
      <formula>$S$1</formula>
    </cfRule>
    <cfRule type="cellIs" dxfId="53" priority="835" operator="equal">
      <formula>$U$1</formula>
    </cfRule>
  </conditionalFormatting>
  <conditionalFormatting sqref="C237">
    <cfRule type="cellIs" dxfId="52" priority="832" operator="equal">
      <formula>$U$1</formula>
    </cfRule>
    <cfRule type="cellIs" dxfId="51" priority="833" operator="equal">
      <formula>$S$1</formula>
    </cfRule>
  </conditionalFormatting>
  <conditionalFormatting sqref="D237">
    <cfRule type="cellIs" dxfId="50" priority="830" operator="equal">
      <formula>$S$1</formula>
    </cfRule>
    <cfRule type="cellIs" dxfId="49" priority="831" operator="equal">
      <formula>$U$1</formula>
    </cfRule>
  </conditionalFormatting>
  <conditionalFormatting sqref="C106">
    <cfRule type="cellIs" dxfId="48" priority="828" operator="equal">
      <formula>$U$1</formula>
    </cfRule>
    <cfRule type="cellIs" dxfId="47" priority="829" operator="equal">
      <formula>$S$1</formula>
    </cfRule>
  </conditionalFormatting>
  <conditionalFormatting sqref="D106">
    <cfRule type="cellIs" dxfId="46" priority="826" operator="equal">
      <formula>$S$1</formula>
    </cfRule>
    <cfRule type="cellIs" dxfId="45" priority="827" operator="equal">
      <formula>$U$1</formula>
    </cfRule>
  </conditionalFormatting>
  <conditionalFormatting sqref="C81">
    <cfRule type="cellIs" dxfId="44" priority="824" operator="equal">
      <formula>$U$1</formula>
    </cfRule>
    <cfRule type="cellIs" dxfId="43" priority="825" operator="equal">
      <formula>$S$1</formula>
    </cfRule>
  </conditionalFormatting>
  <conditionalFormatting sqref="D81">
    <cfRule type="cellIs" dxfId="42" priority="822" operator="equal">
      <formula>$S$1</formula>
    </cfRule>
    <cfRule type="cellIs" dxfId="41" priority="823" operator="equal">
      <formula>$U$1</formula>
    </cfRule>
  </conditionalFormatting>
  <conditionalFormatting sqref="C56">
    <cfRule type="cellIs" dxfId="40" priority="820" operator="equal">
      <formula>$U$1</formula>
    </cfRule>
    <cfRule type="cellIs" dxfId="39" priority="821" operator="equal">
      <formula>$S$1</formula>
    </cfRule>
  </conditionalFormatting>
  <conditionalFormatting sqref="D56">
    <cfRule type="cellIs" dxfId="38" priority="818" operator="equal">
      <formula>$S$1</formula>
    </cfRule>
    <cfRule type="cellIs" dxfId="37" priority="819" operator="equal">
      <formula>$U$1</formula>
    </cfRule>
  </conditionalFormatting>
  <conditionalFormatting sqref="C31">
    <cfRule type="cellIs" dxfId="36" priority="816" operator="equal">
      <formula>$U$1</formula>
    </cfRule>
    <cfRule type="cellIs" dxfId="35" priority="817" operator="equal">
      <formula>$S$1</formula>
    </cfRule>
  </conditionalFormatting>
  <conditionalFormatting sqref="D31">
    <cfRule type="cellIs" dxfId="34" priority="814" operator="equal">
      <formula>$S$1</formula>
    </cfRule>
    <cfRule type="cellIs" dxfId="33" priority="81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Z99" sqref="AZ9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24" x14ac:dyDescent="0.25">
      <c r="A65" s="30">
        <v>207.96505671840671</v>
      </c>
      <c r="E65"/>
    </row>
    <row r="66" spans="1:24" x14ac:dyDescent="0.25">
      <c r="A66" s="30">
        <v>189.05914247127882</v>
      </c>
      <c r="E66"/>
    </row>
    <row r="67" spans="1:24" x14ac:dyDescent="0.25">
      <c r="A67" s="30">
        <v>171.87194770116255</v>
      </c>
      <c r="C67" s="1" t="s">
        <v>15</v>
      </c>
      <c r="E67"/>
    </row>
    <row r="68" spans="1:24" x14ac:dyDescent="0.25">
      <c r="A68" s="30">
        <v>156.24722518287504</v>
      </c>
      <c r="C68" s="7">
        <v>0.11167815779424731</v>
      </c>
      <c r="D68"/>
      <c r="E68"/>
    </row>
    <row r="69" spans="1:24" x14ac:dyDescent="0.25">
      <c r="A69" s="30">
        <v>142.04293198443185</v>
      </c>
      <c r="E69"/>
    </row>
    <row r="70" spans="1:24" x14ac:dyDescent="0.25">
      <c r="A70" s="30">
        <v>129.1299381676653</v>
      </c>
      <c r="C70" s="1" t="s">
        <v>11</v>
      </c>
      <c r="D70" s="1" t="s">
        <v>12</v>
      </c>
      <c r="E70"/>
    </row>
    <row r="71" spans="1:24" x14ac:dyDescent="0.25">
      <c r="A71" s="30">
        <v>117.39085287969573</v>
      </c>
      <c r="C71"/>
      <c r="D71"/>
      <c r="E71"/>
    </row>
    <row r="72" spans="1:24" x14ac:dyDescent="0.25">
      <c r="A72" s="30">
        <v>106.71895716335975</v>
      </c>
      <c r="E72"/>
      <c r="S72" s="27" t="s">
        <v>8</v>
      </c>
    </row>
    <row r="73" spans="1:24" x14ac:dyDescent="0.25">
      <c r="A73" s="30">
        <v>97.017233784872488</v>
      </c>
      <c r="C73" s="1" t="s">
        <v>13</v>
      </c>
      <c r="E73"/>
      <c r="S73" s="27" t="s">
        <v>8</v>
      </c>
      <c r="T73" s="27" t="s">
        <v>7</v>
      </c>
    </row>
    <row r="74" spans="1:24" x14ac:dyDescent="0.25">
      <c r="A74" s="30">
        <v>88.197485258974979</v>
      </c>
      <c r="C74" s="1">
        <f>C63</f>
        <v>0</v>
      </c>
      <c r="E74"/>
      <c r="S74" s="27" t="s">
        <v>8</v>
      </c>
      <c r="T74" s="27" t="s">
        <v>7</v>
      </c>
    </row>
    <row r="75" spans="1:24" x14ac:dyDescent="0.25">
      <c r="A75" s="30">
        <v>80.179532053613613</v>
      </c>
      <c r="C75"/>
      <c r="D75"/>
      <c r="E75"/>
      <c r="S75" s="27" t="s">
        <v>8</v>
      </c>
      <c r="T75" s="27" t="s">
        <v>7</v>
      </c>
    </row>
    <row r="76" spans="1:24" x14ac:dyDescent="0.25">
      <c r="A76" s="30">
        <v>72.890483685103277</v>
      </c>
      <c r="C76" s="1" t="s">
        <v>14</v>
      </c>
      <c r="E76"/>
      <c r="S76" s="27" t="s">
        <v>8</v>
      </c>
      <c r="T76" s="27" t="s">
        <v>7</v>
      </c>
      <c r="U76" s="27" t="s">
        <v>8</v>
      </c>
    </row>
    <row r="77" spans="1:24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  <c r="S77" s="27" t="s">
        <v>8</v>
      </c>
      <c r="T77" s="27" t="s">
        <v>7</v>
      </c>
      <c r="U77" s="27" t="s">
        <v>8</v>
      </c>
      <c r="V77" s="27" t="s">
        <v>7</v>
      </c>
    </row>
    <row r="78" spans="1:24" x14ac:dyDescent="0.25">
      <c r="A78" s="30">
        <v>60.240069161242367</v>
      </c>
      <c r="E78"/>
      <c r="S78" s="27" t="s">
        <v>8</v>
      </c>
      <c r="T78" s="27" t="s">
        <v>7</v>
      </c>
      <c r="U78" s="27" t="s">
        <v>8</v>
      </c>
      <c r="V78" s="27" t="s">
        <v>7</v>
      </c>
      <c r="W78" s="27" t="s">
        <v>8</v>
      </c>
    </row>
    <row r="79" spans="1:24" x14ac:dyDescent="0.25">
      <c r="A79" s="30">
        <v>54.763699237493057</v>
      </c>
      <c r="E79"/>
      <c r="S79" s="27" t="s">
        <v>8</v>
      </c>
      <c r="T79" s="27" t="s">
        <v>7</v>
      </c>
      <c r="V79" s="27" t="s">
        <v>7</v>
      </c>
      <c r="W79" s="27" t="s">
        <v>8</v>
      </c>
      <c r="X79" s="27" t="s">
        <v>7</v>
      </c>
    </row>
    <row r="80" spans="1:24" x14ac:dyDescent="0.25">
      <c r="A80" s="30">
        <v>49.785181124993684</v>
      </c>
      <c r="E80"/>
      <c r="S80" s="27" t="s">
        <v>8</v>
      </c>
      <c r="V80" s="27" t="s">
        <v>7</v>
      </c>
      <c r="W80" s="27" t="s">
        <v>8</v>
      </c>
      <c r="X80" s="27" t="s">
        <v>7</v>
      </c>
    </row>
    <row r="81" spans="1:52" x14ac:dyDescent="0.25">
      <c r="A81" s="30">
        <v>45.259255568176073</v>
      </c>
      <c r="E81"/>
      <c r="S81" s="27" t="s">
        <v>8</v>
      </c>
      <c r="V81" s="27" t="s">
        <v>7</v>
      </c>
      <c r="W81" s="27" t="s">
        <v>8</v>
      </c>
      <c r="X81" s="27" t="s">
        <v>7</v>
      </c>
    </row>
    <row r="82" spans="1:52" x14ac:dyDescent="0.25">
      <c r="A82" s="30">
        <v>41.144777789250973</v>
      </c>
      <c r="E82"/>
      <c r="S82" s="27" t="s">
        <v>8</v>
      </c>
      <c r="V82" s="27" t="s">
        <v>7</v>
      </c>
      <c r="W82" s="27" t="s">
        <v>8</v>
      </c>
      <c r="X82" s="27" t="s">
        <v>7</v>
      </c>
    </row>
    <row r="83" spans="1:52" x14ac:dyDescent="0.25">
      <c r="A83" s="30">
        <v>37.404343444773609</v>
      </c>
      <c r="E83"/>
      <c r="S83" s="27" t="s">
        <v>8</v>
      </c>
      <c r="V83" s="27" t="s">
        <v>7</v>
      </c>
      <c r="W83" s="27" t="s">
        <v>8</v>
      </c>
      <c r="X83" s="27" t="s">
        <v>7</v>
      </c>
    </row>
    <row r="84" spans="1:52" x14ac:dyDescent="0.25">
      <c r="A84" s="30">
        <v>34.003948586157826</v>
      </c>
      <c r="E84"/>
      <c r="S84" s="27" t="s">
        <v>8</v>
      </c>
      <c r="V84" s="27" t="s">
        <v>7</v>
      </c>
      <c r="X84" s="27" t="s">
        <v>7</v>
      </c>
      <c r="AO84" s="27" t="s">
        <v>8</v>
      </c>
    </row>
    <row r="85" spans="1:52" x14ac:dyDescent="0.25">
      <c r="A85" s="30">
        <v>30.912680532870748</v>
      </c>
      <c r="E85"/>
      <c r="I85" s="27" t="s">
        <v>8</v>
      </c>
      <c r="S85" s="27" t="s">
        <v>8</v>
      </c>
      <c r="X85" s="27" t="s">
        <v>7</v>
      </c>
      <c r="AO85" s="27" t="s">
        <v>8</v>
      </c>
      <c r="AP85" s="27" t="s">
        <v>7</v>
      </c>
    </row>
    <row r="86" spans="1:52" x14ac:dyDescent="0.25">
      <c r="A86" s="30">
        <v>28.102436848064315</v>
      </c>
      <c r="E86"/>
      <c r="I86" s="27" t="s">
        <v>8</v>
      </c>
      <c r="J86" s="27" t="s">
        <v>7</v>
      </c>
      <c r="S86" s="27" t="s">
        <v>8</v>
      </c>
      <c r="X86" s="27" t="s">
        <v>7</v>
      </c>
      <c r="AO86" s="27" t="s">
        <v>8</v>
      </c>
      <c r="AP86" s="27" t="s">
        <v>7</v>
      </c>
    </row>
    <row r="87" spans="1:52" x14ac:dyDescent="0.25">
      <c r="A87" s="30">
        <v>25.547669861876649</v>
      </c>
      <c r="E87"/>
      <c r="I87" s="27" t="s">
        <v>8</v>
      </c>
      <c r="J87" s="27" t="s">
        <v>7</v>
      </c>
      <c r="K87" s="27" t="s">
        <v>8</v>
      </c>
      <c r="S87" s="27" t="s">
        <v>8</v>
      </c>
      <c r="X87" s="27" t="s">
        <v>7</v>
      </c>
      <c r="AO87" s="27" t="s">
        <v>8</v>
      </c>
      <c r="AP87" s="27" t="s">
        <v>7</v>
      </c>
    </row>
    <row r="88" spans="1:52" x14ac:dyDescent="0.25">
      <c r="A88" s="30">
        <v>23.225154419887861</v>
      </c>
      <c r="E88"/>
      <c r="I88" s="27" t="s">
        <v>8</v>
      </c>
      <c r="J88" s="27" t="s">
        <v>7</v>
      </c>
      <c r="K88" s="27" t="s">
        <v>8</v>
      </c>
      <c r="L88" s="27" t="s">
        <v>7</v>
      </c>
      <c r="S88" s="27" t="s">
        <v>8</v>
      </c>
      <c r="X88" s="27" t="s">
        <v>7</v>
      </c>
      <c r="AC88" s="27" t="s">
        <v>8</v>
      </c>
      <c r="AK88" s="27" t="s">
        <v>8</v>
      </c>
      <c r="AM88" s="27" t="s">
        <v>8</v>
      </c>
      <c r="AO88" s="27" t="s">
        <v>8</v>
      </c>
      <c r="AP88" s="27" t="s">
        <v>7</v>
      </c>
      <c r="AS88" s="27" t="s">
        <v>8</v>
      </c>
      <c r="AU88" s="27" t="s">
        <v>8</v>
      </c>
    </row>
    <row r="89" spans="1:52" x14ac:dyDescent="0.25">
      <c r="A89" s="30">
        <v>21.113776745352599</v>
      </c>
      <c r="E89"/>
      <c r="I89" s="27" t="s">
        <v>8</v>
      </c>
      <c r="J89" s="27" t="s">
        <v>7</v>
      </c>
      <c r="K89" s="27" t="s">
        <v>8</v>
      </c>
      <c r="L89" s="27" t="s">
        <v>7</v>
      </c>
      <c r="S89" s="27" t="s">
        <v>8</v>
      </c>
      <c r="X89" s="27" t="s">
        <v>7</v>
      </c>
      <c r="AC89" s="27" t="s">
        <v>8</v>
      </c>
      <c r="AD89" s="27" t="s">
        <v>7</v>
      </c>
      <c r="AK89" s="27" t="s">
        <v>8</v>
      </c>
      <c r="AL89" s="27" t="s">
        <v>7</v>
      </c>
      <c r="AM89" s="27" t="s">
        <v>8</v>
      </c>
      <c r="AN89" s="27" t="s">
        <v>7</v>
      </c>
      <c r="AO89" s="27" t="s">
        <v>8</v>
      </c>
      <c r="AP89" s="27" t="s">
        <v>7</v>
      </c>
      <c r="AQ89" s="27" t="s">
        <v>8</v>
      </c>
      <c r="AS89" s="27" t="s">
        <v>8</v>
      </c>
      <c r="AT89" s="27" t="s">
        <v>7</v>
      </c>
      <c r="AU89" s="27" t="s">
        <v>8</v>
      </c>
      <c r="AV89" s="27" t="s">
        <v>7</v>
      </c>
    </row>
    <row r="90" spans="1:52" x14ac:dyDescent="0.25">
      <c r="A90" s="30">
        <v>19.194342495775089</v>
      </c>
      <c r="E90"/>
      <c r="I90" s="27" t="s">
        <v>8</v>
      </c>
      <c r="J90" s="27" t="s">
        <v>7</v>
      </c>
      <c r="K90" s="27" t="s">
        <v>8</v>
      </c>
      <c r="L90" s="27" t="s">
        <v>7</v>
      </c>
      <c r="M90" s="27" t="s">
        <v>8</v>
      </c>
      <c r="O90" s="27" t="s">
        <v>8</v>
      </c>
      <c r="S90" s="27" t="s">
        <v>8</v>
      </c>
      <c r="X90" s="27" t="s">
        <v>7</v>
      </c>
      <c r="AC90" s="27" t="s">
        <v>8</v>
      </c>
      <c r="AD90" s="27" t="s">
        <v>7</v>
      </c>
      <c r="AK90" s="27" t="s">
        <v>8</v>
      </c>
      <c r="AL90" s="27" t="s">
        <v>7</v>
      </c>
      <c r="AM90" s="27" t="s">
        <v>8</v>
      </c>
      <c r="AN90" s="27" t="s">
        <v>7</v>
      </c>
      <c r="AO90" s="27" t="s">
        <v>8</v>
      </c>
      <c r="AP90" s="27" t="s">
        <v>7</v>
      </c>
      <c r="AQ90" s="27" t="s">
        <v>8</v>
      </c>
      <c r="AR90" s="27" t="s">
        <v>7</v>
      </c>
      <c r="AS90" s="27" t="s">
        <v>8</v>
      </c>
      <c r="AT90" s="27" t="s">
        <v>7</v>
      </c>
      <c r="AU90" s="27" t="s">
        <v>8</v>
      </c>
      <c r="AV90" s="27" t="s">
        <v>7</v>
      </c>
      <c r="AW90" s="27" t="s">
        <v>8</v>
      </c>
    </row>
    <row r="91" spans="1:52" x14ac:dyDescent="0.25">
      <c r="A91" s="30">
        <v>17.449402268886445</v>
      </c>
      <c r="E91"/>
      <c r="I91" s="27" t="s">
        <v>8</v>
      </c>
      <c r="J91" s="27" t="s">
        <v>7</v>
      </c>
      <c r="K91" s="27" t="s">
        <v>8</v>
      </c>
      <c r="L91" s="27" t="s">
        <v>7</v>
      </c>
      <c r="M91" s="27" t="s">
        <v>8</v>
      </c>
      <c r="N91" s="27" t="s">
        <v>7</v>
      </c>
      <c r="O91" s="27" t="s">
        <v>8</v>
      </c>
      <c r="P91" s="27" t="s">
        <v>7</v>
      </c>
      <c r="S91" s="27" t="s">
        <v>8</v>
      </c>
      <c r="X91" s="27" t="s">
        <v>7</v>
      </c>
      <c r="AC91" s="27" t="s">
        <v>8</v>
      </c>
      <c r="AD91" s="27" t="s">
        <v>7</v>
      </c>
      <c r="AE91" s="27" t="s">
        <v>8</v>
      </c>
      <c r="AG91" s="27" t="s">
        <v>8</v>
      </c>
      <c r="AK91" s="27" t="s">
        <v>8</v>
      </c>
      <c r="AL91" s="27" t="s">
        <v>7</v>
      </c>
      <c r="AN91" s="27" t="s">
        <v>7</v>
      </c>
      <c r="AP91" s="27" t="s">
        <v>7</v>
      </c>
      <c r="AQ91" s="27" t="s">
        <v>8</v>
      </c>
      <c r="AR91" s="27" t="s">
        <v>7</v>
      </c>
      <c r="AS91" s="27" t="s">
        <v>8</v>
      </c>
      <c r="AT91" s="27" t="s">
        <v>7</v>
      </c>
      <c r="AV91" s="27" t="s">
        <v>7</v>
      </c>
      <c r="AW91" s="27" t="s">
        <v>8</v>
      </c>
      <c r="AX91" s="27" t="s">
        <v>7</v>
      </c>
    </row>
    <row r="92" spans="1:52" x14ac:dyDescent="0.25">
      <c r="A92" s="30">
        <v>15.863092971714948</v>
      </c>
      <c r="C92" s="1" t="s">
        <v>15</v>
      </c>
      <c r="E92"/>
      <c r="I92" s="27" t="s">
        <v>8</v>
      </c>
      <c r="J92" s="27" t="s">
        <v>7</v>
      </c>
      <c r="K92" s="27" t="s">
        <v>8</v>
      </c>
      <c r="L92" s="27" t="s">
        <v>7</v>
      </c>
      <c r="M92" s="27" t="s">
        <v>8</v>
      </c>
      <c r="N92" s="27" t="s">
        <v>7</v>
      </c>
      <c r="O92" s="27" t="s">
        <v>8</v>
      </c>
      <c r="P92" s="27" t="s">
        <v>7</v>
      </c>
      <c r="S92" s="27" t="s">
        <v>8</v>
      </c>
      <c r="X92" s="27" t="s">
        <v>7</v>
      </c>
      <c r="Y92" s="27" t="s">
        <v>8</v>
      </c>
      <c r="AC92" s="27" t="s">
        <v>8</v>
      </c>
      <c r="AD92" s="27" t="s">
        <v>7</v>
      </c>
      <c r="AE92" s="27" t="s">
        <v>8</v>
      </c>
      <c r="AF92" s="27" t="s">
        <v>7</v>
      </c>
      <c r="AG92" s="27" t="s">
        <v>8</v>
      </c>
      <c r="AH92" s="27" t="s">
        <v>7</v>
      </c>
      <c r="AK92" s="27" t="s">
        <v>8</v>
      </c>
      <c r="AP92" s="27" t="s">
        <v>7</v>
      </c>
      <c r="AR92" s="27" t="s">
        <v>7</v>
      </c>
      <c r="AV92" s="27" t="s">
        <v>7</v>
      </c>
      <c r="AW92" s="27" t="s">
        <v>8</v>
      </c>
      <c r="AX92" s="27" t="s">
        <v>7</v>
      </c>
    </row>
    <row r="93" spans="1:52" x14ac:dyDescent="0.25">
      <c r="A93" s="30">
        <v>14.420993610649951</v>
      </c>
      <c r="C93" s="7">
        <v>0.11167815779424731</v>
      </c>
      <c r="D93"/>
      <c r="E93"/>
      <c r="I93" s="27" t="s">
        <v>8</v>
      </c>
      <c r="J93" s="27" t="s">
        <v>7</v>
      </c>
      <c r="K93" s="27" t="s">
        <v>8</v>
      </c>
      <c r="L93" s="27" t="s">
        <v>7</v>
      </c>
      <c r="M93" s="27" t="s">
        <v>8</v>
      </c>
      <c r="N93" s="27" t="s">
        <v>7</v>
      </c>
      <c r="O93" s="27" t="s">
        <v>8</v>
      </c>
      <c r="P93" s="27" t="s">
        <v>7</v>
      </c>
      <c r="Q93" s="27" t="s">
        <v>8</v>
      </c>
      <c r="S93" s="27" t="s">
        <v>8</v>
      </c>
      <c r="X93" s="27" t="s">
        <v>7</v>
      </c>
      <c r="Y93" s="27" t="s">
        <v>8</v>
      </c>
      <c r="Z93" s="27" t="s">
        <v>7</v>
      </c>
      <c r="AA93" s="27" t="s">
        <v>8</v>
      </c>
      <c r="AC93" s="27" t="s">
        <v>8</v>
      </c>
      <c r="AD93" s="27" t="s">
        <v>7</v>
      </c>
      <c r="AE93" s="27" t="s">
        <v>8</v>
      </c>
      <c r="AF93" s="27" t="s">
        <v>7</v>
      </c>
      <c r="AG93" s="27" t="s">
        <v>8</v>
      </c>
      <c r="AH93" s="27" t="s">
        <v>7</v>
      </c>
      <c r="AI93" s="27" t="s">
        <v>8</v>
      </c>
      <c r="AK93" s="27" t="s">
        <v>8</v>
      </c>
      <c r="AV93" s="27" t="s">
        <v>7</v>
      </c>
      <c r="AW93" s="27" t="s">
        <v>8</v>
      </c>
      <c r="AX93" s="27" t="s">
        <v>7</v>
      </c>
      <c r="AY93" s="27" t="s">
        <v>8</v>
      </c>
    </row>
    <row r="94" spans="1:52" x14ac:dyDescent="0.25">
      <c r="A94" s="30">
        <v>13.109994191499954</v>
      </c>
      <c r="E94"/>
      <c r="I94" s="27" t="s">
        <v>8</v>
      </c>
      <c r="J94" s="27" t="s">
        <v>7</v>
      </c>
      <c r="K94" s="27" t="s">
        <v>8</v>
      </c>
      <c r="L94" s="27" t="s">
        <v>7</v>
      </c>
      <c r="M94" s="27" t="s">
        <v>8</v>
      </c>
      <c r="N94" s="27" t="s">
        <v>7</v>
      </c>
      <c r="O94" s="27" t="s">
        <v>8</v>
      </c>
      <c r="P94" s="27" t="s">
        <v>7</v>
      </c>
      <c r="Q94" s="27" t="s">
        <v>8</v>
      </c>
      <c r="R94" s="27" t="s">
        <v>7</v>
      </c>
      <c r="S94" s="27" t="s">
        <v>8</v>
      </c>
      <c r="X94" s="27" t="s">
        <v>7</v>
      </c>
      <c r="Y94" s="27" t="s">
        <v>8</v>
      </c>
      <c r="Z94" s="27" t="s">
        <v>7</v>
      </c>
      <c r="AA94" s="27" t="s">
        <v>8</v>
      </c>
      <c r="AB94" s="27" t="s">
        <v>7</v>
      </c>
      <c r="AC94" s="27" t="s">
        <v>8</v>
      </c>
      <c r="AD94" s="27" t="s">
        <v>7</v>
      </c>
      <c r="AE94" s="27" t="s">
        <v>8</v>
      </c>
      <c r="AF94" s="27" t="s">
        <v>7</v>
      </c>
      <c r="AG94" s="27" t="s">
        <v>8</v>
      </c>
      <c r="AH94" s="27" t="s">
        <v>7</v>
      </c>
      <c r="AI94" s="27" t="s">
        <v>8</v>
      </c>
      <c r="AJ94" s="27" t="s">
        <v>7</v>
      </c>
      <c r="AK94" s="27" t="s">
        <v>8</v>
      </c>
      <c r="AV94" s="27" t="s">
        <v>7</v>
      </c>
      <c r="AW94" s="27" t="s">
        <v>8</v>
      </c>
      <c r="AX94" s="27" t="s">
        <v>7</v>
      </c>
      <c r="AY94" s="27" t="s">
        <v>8</v>
      </c>
      <c r="AZ94" s="27" t="s">
        <v>7</v>
      </c>
    </row>
    <row r="95" spans="1:52" x14ac:dyDescent="0.25">
      <c r="A95" s="30">
        <v>11.918176537727231</v>
      </c>
      <c r="C95" s="1" t="s">
        <v>11</v>
      </c>
      <c r="D95" s="1" t="s">
        <v>12</v>
      </c>
      <c r="E95"/>
      <c r="I95" s="27" t="s">
        <v>8</v>
      </c>
      <c r="J95" s="27" t="s">
        <v>7</v>
      </c>
      <c r="K95" s="27" t="s">
        <v>8</v>
      </c>
      <c r="L95" s="27" t="s">
        <v>7</v>
      </c>
      <c r="M95" s="27" t="s">
        <v>8</v>
      </c>
      <c r="N95" s="27" t="s">
        <v>7</v>
      </c>
      <c r="O95" s="27" t="s">
        <v>8</v>
      </c>
      <c r="P95" s="27" t="s">
        <v>7</v>
      </c>
      <c r="Q95" s="27" t="s">
        <v>8</v>
      </c>
      <c r="R95" s="27" t="s">
        <v>7</v>
      </c>
      <c r="S95" s="27" t="s">
        <v>8</v>
      </c>
      <c r="X95" s="27" t="s">
        <v>7</v>
      </c>
      <c r="Z95" s="27" t="s">
        <v>7</v>
      </c>
      <c r="AA95" s="27" t="s">
        <v>8</v>
      </c>
      <c r="AB95" s="27" t="s">
        <v>7</v>
      </c>
      <c r="AC95" s="27" t="s">
        <v>8</v>
      </c>
      <c r="AD95" s="27" t="s">
        <v>7</v>
      </c>
      <c r="AE95" s="27" t="s">
        <v>8</v>
      </c>
      <c r="AF95" s="27" t="s">
        <v>7</v>
      </c>
      <c r="AH95" s="27" t="s">
        <v>7</v>
      </c>
      <c r="AI95" s="27" t="s">
        <v>8</v>
      </c>
      <c r="AJ95" s="27" t="s">
        <v>7</v>
      </c>
      <c r="AK95" s="27" t="s">
        <v>8</v>
      </c>
      <c r="AV95" s="27" t="s">
        <v>7</v>
      </c>
      <c r="AW95" s="27" t="s">
        <v>8</v>
      </c>
      <c r="AX95" s="27" t="s">
        <v>7</v>
      </c>
      <c r="AY95" s="27" t="s">
        <v>8</v>
      </c>
      <c r="AZ95" s="27" t="s">
        <v>7</v>
      </c>
    </row>
    <row r="96" spans="1:52" x14ac:dyDescent="0.25">
      <c r="A96" s="30">
        <v>10.834705943388391</v>
      </c>
      <c r="C96"/>
      <c r="D96"/>
      <c r="E96"/>
      <c r="I96" s="27" t="s">
        <v>8</v>
      </c>
      <c r="J96" s="27" t="s">
        <v>7</v>
      </c>
      <c r="L96" s="27" t="s">
        <v>7</v>
      </c>
      <c r="N96" s="27" t="s">
        <v>7</v>
      </c>
      <c r="O96" s="27" t="s">
        <v>8</v>
      </c>
      <c r="P96" s="27" t="s">
        <v>7</v>
      </c>
      <c r="R96" s="27" t="s">
        <v>7</v>
      </c>
      <c r="S96" s="27" t="s">
        <v>8</v>
      </c>
      <c r="Z96" s="27" t="s">
        <v>7</v>
      </c>
      <c r="AB96" s="27" t="s">
        <v>7</v>
      </c>
      <c r="AC96" s="27" t="s">
        <v>8</v>
      </c>
      <c r="AD96" s="27" t="s">
        <v>7</v>
      </c>
      <c r="AH96" s="27" t="s">
        <v>7</v>
      </c>
      <c r="AI96" s="27" t="s">
        <v>8</v>
      </c>
      <c r="AJ96" s="18" t="s">
        <v>7</v>
      </c>
      <c r="AK96" s="27" t="s">
        <v>8</v>
      </c>
      <c r="AV96" s="27" t="s">
        <v>7</v>
      </c>
      <c r="AX96" s="27" t="s">
        <v>7</v>
      </c>
      <c r="AZ96" s="27" t="s">
        <v>7</v>
      </c>
    </row>
    <row r="97" spans="1:52" x14ac:dyDescent="0.25">
      <c r="A97" s="30">
        <v>9.849732675807628</v>
      </c>
      <c r="E97"/>
      <c r="I97" s="27" t="s">
        <v>8</v>
      </c>
      <c r="N97" s="27" t="s">
        <v>7</v>
      </c>
      <c r="R97" s="27" t="s">
        <v>7</v>
      </c>
      <c r="S97" s="27" t="s">
        <v>8</v>
      </c>
      <c r="AB97" s="27" t="s">
        <v>7</v>
      </c>
      <c r="AC97" s="27" t="s">
        <v>8</v>
      </c>
      <c r="AH97" s="27" t="s">
        <v>7</v>
      </c>
      <c r="AJ97" s="27" t="s">
        <v>7</v>
      </c>
      <c r="AZ97" s="27" t="s">
        <v>7</v>
      </c>
    </row>
    <row r="98" spans="1:52" x14ac:dyDescent="0.25">
      <c r="A98" s="30">
        <v>8.9543024325523888</v>
      </c>
      <c r="C98" s="1" t="s">
        <v>13</v>
      </c>
      <c r="E98"/>
      <c r="I98" s="27" t="s">
        <v>8</v>
      </c>
      <c r="R98" s="27" t="s">
        <v>7</v>
      </c>
      <c r="S98" s="27" t="s">
        <v>8</v>
      </c>
      <c r="AB98" s="27" t="s">
        <v>7</v>
      </c>
      <c r="AC98" s="27" t="s">
        <v>8</v>
      </c>
      <c r="AZ98" s="27" t="s">
        <v>7</v>
      </c>
    </row>
    <row r="99" spans="1:52" x14ac:dyDescent="0.25">
      <c r="A99" s="30">
        <v>8.140274938683989</v>
      </c>
      <c r="C99" s="1">
        <f>C88</f>
        <v>0</v>
      </c>
      <c r="E99"/>
      <c r="I99" s="27" t="s">
        <v>8</v>
      </c>
      <c r="R99" s="27" t="s">
        <v>7</v>
      </c>
      <c r="S99" s="27" t="s">
        <v>8</v>
      </c>
      <c r="AB99" s="27" t="s">
        <v>7</v>
      </c>
      <c r="AC99" s="27" t="s">
        <v>8</v>
      </c>
      <c r="AZ99" s="27" t="s">
        <v>7</v>
      </c>
    </row>
    <row r="100" spans="1:52" x14ac:dyDescent="0.25">
      <c r="A100" s="30">
        <v>7.4002499442581717</v>
      </c>
      <c r="C100"/>
      <c r="D100"/>
      <c r="E100"/>
      <c r="I100" s="27" t="s">
        <v>8</v>
      </c>
      <c r="R100" s="27" t="s">
        <v>7</v>
      </c>
      <c r="AB100" s="27" t="s">
        <v>7</v>
      </c>
    </row>
    <row r="101" spans="1:52" x14ac:dyDescent="0.25">
      <c r="A101" s="30">
        <v>6.72749994932561</v>
      </c>
      <c r="C101" s="1" t="s">
        <v>14</v>
      </c>
      <c r="E101"/>
      <c r="I101" s="27" t="s">
        <v>8</v>
      </c>
    </row>
    <row r="102" spans="1:52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I102" s="27" t="s">
        <v>8</v>
      </c>
    </row>
    <row r="103" spans="1:52" x14ac:dyDescent="0.25">
      <c r="A103" s="30">
        <v>5.5599173134922388</v>
      </c>
      <c r="E103" t="s">
        <v>8</v>
      </c>
      <c r="I103" s="27" t="s">
        <v>8</v>
      </c>
    </row>
    <row r="104" spans="1:52" x14ac:dyDescent="0.25">
      <c r="A104" s="30">
        <v>5.0544702849929442</v>
      </c>
      <c r="E104" t="s">
        <v>8</v>
      </c>
      <c r="F104" s="27" t="s">
        <v>7</v>
      </c>
      <c r="I104" s="27" t="s">
        <v>8</v>
      </c>
    </row>
    <row r="105" spans="1:52" x14ac:dyDescent="0.25">
      <c r="A105" s="30">
        <v>4.594972986357222</v>
      </c>
      <c r="E105" t="s">
        <v>8</v>
      </c>
      <c r="F105" s="27" t="s">
        <v>7</v>
      </c>
      <c r="I105" s="27" t="s">
        <v>8</v>
      </c>
    </row>
    <row r="106" spans="1:52" x14ac:dyDescent="0.25">
      <c r="A106" s="30">
        <v>4.1772481694156562</v>
      </c>
      <c r="E106" t="s">
        <v>8</v>
      </c>
      <c r="F106" s="27" t="s">
        <v>7</v>
      </c>
      <c r="I106" s="27" t="s">
        <v>8</v>
      </c>
    </row>
    <row r="107" spans="1:52" x14ac:dyDescent="0.25">
      <c r="A107" s="30">
        <v>3.7974983358324148</v>
      </c>
      <c r="E107" t="s">
        <v>8</v>
      </c>
      <c r="F107" s="27" t="s">
        <v>7</v>
      </c>
      <c r="I107" s="27" t="s">
        <v>8</v>
      </c>
    </row>
    <row r="108" spans="1:52" x14ac:dyDescent="0.25">
      <c r="A108" s="30">
        <v>3.4522712143931042</v>
      </c>
      <c r="E108" t="s">
        <v>8</v>
      </c>
      <c r="F108" s="27" t="s">
        <v>7</v>
      </c>
      <c r="G108" s="27" t="s">
        <v>8</v>
      </c>
      <c r="I108" s="27" t="s">
        <v>8</v>
      </c>
    </row>
    <row r="109" spans="1:52" x14ac:dyDescent="0.25">
      <c r="A109" s="30">
        <v>3.1384283767210035</v>
      </c>
      <c r="E109" t="s">
        <v>8</v>
      </c>
      <c r="F109" s="27" t="s">
        <v>7</v>
      </c>
      <c r="G109" s="27" t="s">
        <v>8</v>
      </c>
      <c r="H109" s="27" t="s">
        <v>7</v>
      </c>
      <c r="I109" s="27" t="s">
        <v>8</v>
      </c>
    </row>
    <row r="110" spans="1:52" x14ac:dyDescent="0.25">
      <c r="A110" s="30">
        <v>2.8531167061100029</v>
      </c>
      <c r="E110" t="s">
        <v>8</v>
      </c>
      <c r="F110" s="27" t="s">
        <v>7</v>
      </c>
      <c r="G110" s="27" t="s">
        <v>8</v>
      </c>
      <c r="H110" s="27" t="s">
        <v>7</v>
      </c>
      <c r="I110" s="27" t="s">
        <v>8</v>
      </c>
    </row>
    <row r="111" spans="1:52" x14ac:dyDescent="0.25">
      <c r="A111" s="30">
        <v>2.5937424601000023</v>
      </c>
      <c r="C111" s="1" t="str">
        <f>ADDRESS(C121-1,1,1,1)</f>
        <v>$A$98</v>
      </c>
      <c r="D111" s="1" t="str">
        <f>ADDRESS(C121-1,D121,1,1)</f>
        <v>$AZ$98</v>
      </c>
      <c r="E111" t="s">
        <v>8</v>
      </c>
      <c r="F111" s="27" t="s">
        <v>7</v>
      </c>
      <c r="G111" s="27" t="s">
        <v>8</v>
      </c>
      <c r="H111" s="27" t="s">
        <v>7</v>
      </c>
      <c r="I111" s="27" t="s">
        <v>8</v>
      </c>
    </row>
    <row r="112" spans="1:52" x14ac:dyDescent="0.25">
      <c r="A112" s="30">
        <v>2.3579476910000019</v>
      </c>
      <c r="C112" s="1" t="str">
        <f>ADDRESS(C121,1,1,1)</f>
        <v>$A$99</v>
      </c>
      <c r="D112" s="1" t="str">
        <f>ADDRESS(C121,D121-1,1,1)</f>
        <v>$AY$99</v>
      </c>
      <c r="E112" t="s">
        <v>8</v>
      </c>
      <c r="F112" s="27" t="s">
        <v>7</v>
      </c>
      <c r="H112" s="27" t="s">
        <v>7</v>
      </c>
      <c r="I112" s="27" t="s">
        <v>8</v>
      </c>
    </row>
    <row r="113" spans="1:9" x14ac:dyDescent="0.25">
      <c r="A113" s="30">
        <v>2.1435888100000016</v>
      </c>
      <c r="C113" s="1" t="str">
        <f>ADDRESS(C121+1,1,1,1)</f>
        <v>$A$100</v>
      </c>
      <c r="D113" s="1" t="str">
        <f>ADDRESS(C121-1,D121+1,1,1)</f>
        <v>$BA$98</v>
      </c>
      <c r="E113" s="1" t="s">
        <v>8</v>
      </c>
      <c r="H113" s="27" t="s">
        <v>7</v>
      </c>
      <c r="I113" s="27" t="s">
        <v>8</v>
      </c>
    </row>
    <row r="114" spans="1:9" x14ac:dyDescent="0.25">
      <c r="A114" s="30">
        <v>1.9487171000000014</v>
      </c>
      <c r="C114" s="1" t="str">
        <f>ADDRESS(C121,D121,1,1)</f>
        <v>$AZ$99</v>
      </c>
      <c r="D114" s="1" t="str">
        <f>ADDRESS(C121+1,D121+1,1,1)</f>
        <v>$BA$100</v>
      </c>
      <c r="E114" s="1" t="s">
        <v>8</v>
      </c>
      <c r="H114" s="27" t="s">
        <v>7</v>
      </c>
      <c r="I114" s="27" t="s">
        <v>8</v>
      </c>
    </row>
    <row r="115" spans="1:9" x14ac:dyDescent="0.25">
      <c r="A115" s="30">
        <v>1.7715610000000011</v>
      </c>
      <c r="C115" s="1" t="str">
        <f>ADDRESS(C121+1,D121,1,1)</f>
        <v>$AZ$100</v>
      </c>
      <c r="E115" s="1" t="s">
        <v>8</v>
      </c>
      <c r="H115" s="27" t="s">
        <v>7</v>
      </c>
    </row>
    <row r="116" spans="1:9" x14ac:dyDescent="0.25">
      <c r="A116" s="30">
        <v>1.6105100000000008</v>
      </c>
      <c r="C116" s="1">
        <f>C117-1</f>
        <v>98</v>
      </c>
      <c r="E116" s="1" t="s">
        <v>8</v>
      </c>
    </row>
    <row r="117" spans="1:9" x14ac:dyDescent="0.25">
      <c r="A117" s="30">
        <v>1.4641000000000006</v>
      </c>
      <c r="C117" s="1">
        <f>C121</f>
        <v>99</v>
      </c>
      <c r="D117" s="1">
        <f>D121</f>
        <v>52</v>
      </c>
      <c r="E117" s="1" t="s">
        <v>8</v>
      </c>
    </row>
    <row r="118" spans="1:9" x14ac:dyDescent="0.25">
      <c r="A118" s="30">
        <v>1.3310000000000004</v>
      </c>
      <c r="C118" s="1">
        <f>C117+1</f>
        <v>100</v>
      </c>
      <c r="D118" s="1">
        <f>D117+1</f>
        <v>53</v>
      </c>
      <c r="E118" s="1" t="s">
        <v>8</v>
      </c>
    </row>
    <row r="119" spans="1:9" x14ac:dyDescent="0.25">
      <c r="A119" s="30">
        <v>1.2100000000000002</v>
      </c>
      <c r="E119" s="1" t="s">
        <v>8</v>
      </c>
    </row>
    <row r="120" spans="1:9" x14ac:dyDescent="0.25">
      <c r="A120" s="30">
        <v>1.1000000000000001</v>
      </c>
      <c r="C120" s="1" t="s">
        <v>9</v>
      </c>
      <c r="E120" s="1" t="s">
        <v>8</v>
      </c>
    </row>
    <row r="121" spans="1:9" x14ac:dyDescent="0.25">
      <c r="A121" s="30">
        <v>1</v>
      </c>
      <c r="C121" s="18">
        <v>99</v>
      </c>
      <c r="D121" s="19">
        <v>52</v>
      </c>
      <c r="E121" s="18" t="s">
        <v>8</v>
      </c>
    </row>
    <row r="122" spans="1:9" x14ac:dyDescent="0.25">
      <c r="A122" s="30">
        <v>0.90909090909090895</v>
      </c>
      <c r="C122" s="1" t="str">
        <f>INDEX(1:1048576,C117,D117)</f>
        <v>O</v>
      </c>
    </row>
    <row r="123" spans="1:9" x14ac:dyDescent="0.25">
      <c r="A123" s="30">
        <v>0.82644628099173523</v>
      </c>
      <c r="C123" s="1" t="str">
        <f>"R"&amp;C121</f>
        <v>R99</v>
      </c>
      <c r="D123" s="1" t="str">
        <f>"C"&amp;D121</f>
        <v>C52</v>
      </c>
    </row>
    <row r="124" spans="1:9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9" x14ac:dyDescent="0.25">
      <c r="A125" s="30">
        <v>0.68301345536507019</v>
      </c>
    </row>
    <row r="126" spans="1:9" x14ac:dyDescent="0.25">
      <c r="A126" s="30">
        <v>0.6209213230591546</v>
      </c>
      <c r="C126" s="1" t="s">
        <v>10</v>
      </c>
    </row>
    <row r="127" spans="1:9" x14ac:dyDescent="0.25">
      <c r="A127" s="30">
        <v>0.56447393005377677</v>
      </c>
      <c r="C127" s="30">
        <v>8.140274938683989</v>
      </c>
      <c r="D127"/>
    </row>
    <row r="128" spans="1:9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32" operator="equal">
      <formula>$U$1</formula>
    </cfRule>
    <cfRule type="cellIs" dxfId="30" priority="833" operator="equal">
      <formula>$S$1</formula>
    </cfRule>
  </conditionalFormatting>
  <conditionalFormatting sqref="D136">
    <cfRule type="cellIs" dxfId="29" priority="830" operator="equal">
      <formula>$S$1</formula>
    </cfRule>
    <cfRule type="cellIs" dxfId="28" priority="831" operator="equal">
      <formula>$U$1</formula>
    </cfRule>
  </conditionalFormatting>
  <conditionalFormatting sqref="C102">
    <cfRule type="cellIs" dxfId="27" priority="828" operator="equal">
      <formula>$U$1</formula>
    </cfRule>
    <cfRule type="cellIs" dxfId="26" priority="829" operator="equal">
      <formula>$S$1</formula>
    </cfRule>
  </conditionalFormatting>
  <conditionalFormatting sqref="D102">
    <cfRule type="cellIs" dxfId="25" priority="826" operator="equal">
      <formula>$S$1</formula>
    </cfRule>
    <cfRule type="cellIs" dxfId="24" priority="827" operator="equal">
      <formula>$U$1</formula>
    </cfRule>
  </conditionalFormatting>
  <conditionalFormatting sqref="C77">
    <cfRule type="cellIs" dxfId="23" priority="824" operator="equal">
      <formula>$U$1</formula>
    </cfRule>
    <cfRule type="cellIs" dxfId="22" priority="825" operator="equal">
      <formula>$S$1</formula>
    </cfRule>
  </conditionalFormatting>
  <conditionalFormatting sqref="D77">
    <cfRule type="cellIs" dxfId="21" priority="822" operator="equal">
      <formula>$S$1</formula>
    </cfRule>
    <cfRule type="cellIs" dxfId="20" priority="823" operator="equal">
      <formula>$U$1</formula>
    </cfRule>
  </conditionalFormatting>
  <conditionalFormatting sqref="C52">
    <cfRule type="cellIs" dxfId="19" priority="820" operator="equal">
      <formula>$U$1</formula>
    </cfRule>
    <cfRule type="cellIs" dxfId="18" priority="821" operator="equal">
      <formula>$S$1</formula>
    </cfRule>
  </conditionalFormatting>
  <conditionalFormatting sqref="D52">
    <cfRule type="cellIs" dxfId="17" priority="818" operator="equal">
      <formula>$S$1</formula>
    </cfRule>
    <cfRule type="cellIs" dxfId="16" priority="819" operator="equal">
      <formula>$U$1</formula>
    </cfRule>
  </conditionalFormatting>
  <conditionalFormatting sqref="C26">
    <cfRule type="cellIs" dxfId="15" priority="816" operator="equal">
      <formula>$U$1</formula>
    </cfRule>
    <cfRule type="cellIs" dxfId="14" priority="817" operator="equal">
      <formula>$S$1</formula>
    </cfRule>
  </conditionalFormatting>
  <conditionalFormatting sqref="D26">
    <cfRule type="cellIs" dxfId="13" priority="814" operator="equal">
      <formula>$S$1</formula>
    </cfRule>
    <cfRule type="cellIs" dxfId="12" priority="81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2022-01-28T01:20:19Z</dcterms:modified>
</cp:coreProperties>
</file>