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1385D98-146F-4DD8-A555-BE528F48AC4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8" i="5"/>
  <c r="C2" i="1" l="1"/>
  <c r="D2" i="1"/>
  <c r="C122" i="5"/>
  <c r="C133" i="5" s="1"/>
  <c r="D136" i="5" s="1"/>
  <c r="C116" i="4"/>
  <c r="C122" i="4"/>
  <c r="C133" i="4" s="1"/>
  <c r="C136" i="4" s="1"/>
  <c r="C116" i="3"/>
  <c r="C122" i="3"/>
  <c r="C133" i="3" s="1"/>
  <c r="D136" i="3" s="1"/>
  <c r="R765" i="1"/>
  <c r="C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<sst xmlns="http://schemas.openxmlformats.org/spreadsheetml/2006/main" count="6253" uniqueCount="34">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</sst>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9.5000000000000001E-2</c:v>
                </c:pt>
                <c:pt idx="1">
                  <c:v>9.6299999999999997E-2</c:v>
                </c:pt>
                <c:pt idx="2">
                  <c:v>9.4100000000000003E-2</c:v>
                </c:pt>
                <c:pt idx="3">
                  <c:v>9.4899999999999998E-2</c:v>
                </c:pt>
                <c:pt idx="4">
                  <c:v>9.6500000000000002E-2</c:v>
                </c:pt>
                <c:pt idx="5">
                  <c:v>9.3399999999999997E-2</c:v>
                </c:pt>
                <c:pt idx="6">
                  <c:v>0.1048</c:v>
                </c:pt>
                <c:pt idx="7">
                  <c:v>0.1241</c:v>
                </c:pt>
                <c:pt idx="8">
                  <c:v>0.1343</c:v>
                </c:pt>
                <c:pt idx="9">
                  <c:v>0.1409</c:v>
                </c:pt>
                <c:pt idx="10">
                  <c:v>0.14219999999999999</c:v>
                </c:pt>
                <c:pt idx="11">
                  <c:v>0.14660000000000001</c:v>
                </c:pt>
                <c:pt idx="12">
                  <c:v>0.1439</c:v>
                </c:pt>
                <c:pt idx="13">
                  <c:v>0.14130000000000001</c:v>
                </c:pt>
                <c:pt idx="14">
                  <c:v>0.14130000000000001</c:v>
                </c:pt>
                <c:pt idx="15">
                  <c:v>0.14749999999999999</c:v>
                </c:pt>
                <c:pt idx="16">
                  <c:v>0.14169999999999999</c:v>
                </c:pt>
                <c:pt idx="17">
                  <c:v>0.14319999999999999</c:v>
                </c:pt>
                <c:pt idx="18">
                  <c:v>0.13850000000000001</c:v>
                </c:pt>
                <c:pt idx="19">
                  <c:v>0.13900000000000001</c:v>
                </c:pt>
                <c:pt idx="20">
                  <c:v>0.15</c:v>
                </c:pt>
                <c:pt idx="21">
                  <c:v>0.14460000000000001</c:v>
                </c:pt>
                <c:pt idx="22">
                  <c:v>0.15210000000000001</c:v>
                </c:pt>
                <c:pt idx="23">
                  <c:v>0.1578</c:v>
                </c:pt>
                <c:pt idx="24">
                  <c:v>0.15970000000000001</c:v>
                </c:pt>
                <c:pt idx="25">
                  <c:v>0.16250000000000001</c:v>
                </c:pt>
                <c:pt idx="26">
                  <c:v>0.1615</c:v>
                </c:pt>
                <c:pt idx="27">
                  <c:v>0.15939999999999999</c:v>
                </c:pt>
                <c:pt idx="28">
                  <c:v>0.16189999999999999</c:v>
                </c:pt>
                <c:pt idx="29">
                  <c:v>0.16020000000000001</c:v>
                </c:pt>
                <c:pt idx="30">
                  <c:v>0.1588</c:v>
                </c:pt>
                <c:pt idx="31">
                  <c:v>0.1641</c:v>
                </c:pt>
                <c:pt idx="32">
                  <c:v>0.16389999999999999</c:v>
                </c:pt>
                <c:pt idx="33">
                  <c:v>0.16339999999999999</c:v>
                </c:pt>
                <c:pt idx="34">
                  <c:v>0.1585</c:v>
                </c:pt>
                <c:pt idx="35">
                  <c:v>0.155</c:v>
                </c:pt>
                <c:pt idx="36">
                  <c:v>0.14979999999999999</c:v>
                </c:pt>
                <c:pt idx="37">
                  <c:v>0.14599999999999999</c:v>
                </c:pt>
                <c:pt idx="38">
                  <c:v>0.1424</c:v>
                </c:pt>
                <c:pt idx="39">
                  <c:v>0.14849999999999999</c:v>
                </c:pt>
                <c:pt idx="40">
                  <c:v>0.16009999999999999</c:v>
                </c:pt>
                <c:pt idx="41">
                  <c:v>0.15640000000000001</c:v>
                </c:pt>
                <c:pt idx="42">
                  <c:v>0.16800000000000001</c:v>
                </c:pt>
                <c:pt idx="43">
                  <c:v>0.14099999999999999</c:v>
                </c:pt>
                <c:pt idx="44">
                  <c:v>0.14099999999999999</c:v>
                </c:pt>
                <c:pt idx="45">
                  <c:v>0.14169999999999999</c:v>
                </c:pt>
                <c:pt idx="46">
                  <c:v>0.16189999999999999</c:v>
                </c:pt>
                <c:pt idx="47">
                  <c:v>0.1618</c:v>
                </c:pt>
                <c:pt idx="48">
                  <c:v>0.16250000000000001</c:v>
                </c:pt>
                <c:pt idx="49">
                  <c:v>0.1744</c:v>
                </c:pt>
                <c:pt idx="50">
                  <c:v>0.17929999999999999</c:v>
                </c:pt>
                <c:pt idx="51">
                  <c:v>0.1762</c:v>
                </c:pt>
                <c:pt idx="52">
                  <c:v>0.18490000000000001</c:v>
                </c:pt>
                <c:pt idx="53">
                  <c:v>0.1883</c:v>
                </c:pt>
                <c:pt idx="54">
                  <c:v>0.21590000000000001</c:v>
                </c:pt>
                <c:pt idx="55">
                  <c:v>0.29649999999999999</c:v>
                </c:pt>
                <c:pt idx="56">
                  <c:v>0.19700000000000001</c:v>
                </c:pt>
                <c:pt idx="57">
                  <c:v>0.18640000000000001</c:v>
                </c:pt>
                <c:pt idx="58">
                  <c:v>0.18779999999999999</c:v>
                </c:pt>
                <c:pt idx="59">
                  <c:v>0.19259999999999999</c:v>
                </c:pt>
                <c:pt idx="60">
                  <c:v>0.20219999999999999</c:v>
                </c:pt>
                <c:pt idx="61">
                  <c:v>0.1981</c:v>
                </c:pt>
                <c:pt idx="62">
                  <c:v>0.19209999999999999</c:v>
                </c:pt>
                <c:pt idx="63">
                  <c:v>0.2039</c:v>
                </c:pt>
                <c:pt idx="64">
                  <c:v>0.1835</c:v>
                </c:pt>
                <c:pt idx="65">
                  <c:v>0.18079999999999999</c:v>
                </c:pt>
                <c:pt idx="66">
                  <c:v>0.18210000000000001</c:v>
                </c:pt>
                <c:pt idx="67">
                  <c:v>0.19189999999999999</c:v>
                </c:pt>
                <c:pt idx="68">
                  <c:v>0.2044</c:v>
                </c:pt>
                <c:pt idx="69">
                  <c:v>0.17530000000000001</c:v>
                </c:pt>
                <c:pt idx="70">
                  <c:v>0.15909999999999999</c:v>
                </c:pt>
                <c:pt idx="71">
                  <c:v>0.17199999999999999</c:v>
                </c:pt>
                <c:pt idx="72">
                  <c:v>0.1714</c:v>
                </c:pt>
                <c:pt idx="73">
                  <c:v>0.18260000000000001</c:v>
                </c:pt>
                <c:pt idx="74">
                  <c:v>0.1842</c:v>
                </c:pt>
                <c:pt idx="75">
                  <c:v>0.188</c:v>
                </c:pt>
                <c:pt idx="76">
                  <c:v>0.19339999999999999</c:v>
                </c:pt>
                <c:pt idx="77">
                  <c:v>0.17780000000000001</c:v>
                </c:pt>
                <c:pt idx="78">
                  <c:v>0.17280000000000001</c:v>
                </c:pt>
                <c:pt idx="79">
                  <c:v>0.1835</c:v>
                </c:pt>
                <c:pt idx="80">
                  <c:v>0.19</c:v>
                </c:pt>
                <c:pt idx="81">
                  <c:v>0.191</c:v>
                </c:pt>
                <c:pt idx="82">
                  <c:v>0.18090000000000001</c:v>
                </c:pt>
                <c:pt idx="83">
                  <c:v>0.18290000000000001</c:v>
                </c:pt>
                <c:pt idx="84">
                  <c:v>0.18390000000000001</c:v>
                </c:pt>
                <c:pt idx="85">
                  <c:v>0.1903</c:v>
                </c:pt>
                <c:pt idx="86">
                  <c:v>0.19009999999999999</c:v>
                </c:pt>
                <c:pt idx="87">
                  <c:v>0.188</c:v>
                </c:pt>
                <c:pt idx="88">
                  <c:v>0.18329999999999999</c:v>
                </c:pt>
                <c:pt idx="89">
                  <c:v>0.188</c:v>
                </c:pt>
                <c:pt idx="90">
                  <c:v>0.17760000000000001</c:v>
                </c:pt>
                <c:pt idx="91">
                  <c:v>0.1691</c:v>
                </c:pt>
                <c:pt idx="92">
                  <c:v>0.1658</c:v>
                </c:pt>
                <c:pt idx="93">
                  <c:v>0.18579999999999999</c:v>
                </c:pt>
                <c:pt idx="94">
                  <c:v>0.19009999999999999</c:v>
                </c:pt>
                <c:pt idx="95">
                  <c:v>0.1908</c:v>
                </c:pt>
                <c:pt idx="96">
                  <c:v>0.19470000000000001</c:v>
                </c:pt>
                <c:pt idx="97">
                  <c:v>0.1913</c:v>
                </c:pt>
                <c:pt idx="98">
                  <c:v>0.19109999999999999</c:v>
                </c:pt>
                <c:pt idx="99">
                  <c:v>0.19600000000000001</c:v>
                </c:pt>
                <c:pt idx="100">
                  <c:v>0.1883</c:v>
                </c:pt>
                <c:pt idx="101">
                  <c:v>0.1915</c:v>
                </c:pt>
                <c:pt idx="102">
                  <c:v>0.19209999999999999</c:v>
                </c:pt>
                <c:pt idx="103">
                  <c:v>0.19350000000000001</c:v>
                </c:pt>
                <c:pt idx="104">
                  <c:v>0.19289999999999999</c:v>
                </c:pt>
                <c:pt idx="105">
                  <c:v>0.18559999999999999</c:v>
                </c:pt>
                <c:pt idx="106">
                  <c:v>0.18529999999999999</c:v>
                </c:pt>
                <c:pt idx="107">
                  <c:v>0.1799</c:v>
                </c:pt>
                <c:pt idx="108">
                  <c:v>0.18110000000000001</c:v>
                </c:pt>
                <c:pt idx="109">
                  <c:v>0.18260000000000001</c:v>
                </c:pt>
                <c:pt idx="110">
                  <c:v>0.1875</c:v>
                </c:pt>
                <c:pt idx="111">
                  <c:v>0.18429999999999999</c:v>
                </c:pt>
                <c:pt idx="112">
                  <c:v>0.1895</c:v>
                </c:pt>
                <c:pt idx="113">
                  <c:v>0.18379999999999999</c:v>
                </c:pt>
                <c:pt idx="114">
                  <c:v>0.1832</c:v>
                </c:pt>
                <c:pt idx="115">
                  <c:v>0.1787</c:v>
                </c:pt>
                <c:pt idx="116">
                  <c:v>0.17899999999999999</c:v>
                </c:pt>
                <c:pt idx="117">
                  <c:v>0.18160000000000001</c:v>
                </c:pt>
                <c:pt idx="118">
                  <c:v>0.18079999999999999</c:v>
                </c:pt>
                <c:pt idx="119">
                  <c:v>0.1661</c:v>
                </c:pt>
                <c:pt idx="120">
                  <c:v>0.15720000000000001</c:v>
                </c:pt>
                <c:pt idx="121">
                  <c:v>0.1542</c:v>
                </c:pt>
                <c:pt idx="122">
                  <c:v>0.16439999999999999</c:v>
                </c:pt>
                <c:pt idx="123">
                  <c:v>0.16700000000000001</c:v>
                </c:pt>
                <c:pt idx="124">
                  <c:v>0.17230000000000001</c:v>
                </c:pt>
                <c:pt idx="125">
                  <c:v>0.1724</c:v>
                </c:pt>
                <c:pt idx="126">
                  <c:v>0.189</c:v>
                </c:pt>
                <c:pt idx="127">
                  <c:v>0.1812</c:v>
                </c:pt>
                <c:pt idx="128">
                  <c:v>0.16420000000000001</c:v>
                </c:pt>
                <c:pt idx="129">
                  <c:v>0.18920000000000001</c:v>
                </c:pt>
                <c:pt idx="130">
                  <c:v>0.2056</c:v>
                </c:pt>
                <c:pt idx="131">
                  <c:v>0.21149999999999999</c:v>
                </c:pt>
                <c:pt idx="132">
                  <c:v>0.1961</c:v>
                </c:pt>
                <c:pt idx="133">
                  <c:v>0.2034</c:v>
                </c:pt>
                <c:pt idx="134">
                  <c:v>0.2104</c:v>
                </c:pt>
                <c:pt idx="135">
                  <c:v>0.19689999999999999</c:v>
                </c:pt>
                <c:pt idx="136">
                  <c:v>0.19350000000000001</c:v>
                </c:pt>
                <c:pt idx="137">
                  <c:v>0.2094</c:v>
                </c:pt>
                <c:pt idx="138">
                  <c:v>0.1988</c:v>
                </c:pt>
                <c:pt idx="139">
                  <c:v>0.2019</c:v>
                </c:pt>
                <c:pt idx="140">
                  <c:v>0.20780000000000001</c:v>
                </c:pt>
                <c:pt idx="141">
                  <c:v>0.2109</c:v>
                </c:pt>
                <c:pt idx="142">
                  <c:v>0.20949999999999999</c:v>
                </c:pt>
                <c:pt idx="143">
                  <c:v>0.25800000000000001</c:v>
                </c:pt>
                <c:pt idx="144">
                  <c:v>0.2402</c:v>
                </c:pt>
                <c:pt idx="145">
                  <c:v>0.24049999999999999</c:v>
                </c:pt>
                <c:pt idx="146">
                  <c:v>0.2331</c:v>
                </c:pt>
                <c:pt idx="147">
                  <c:v>0.22059999999999999</c:v>
                </c:pt>
                <c:pt idx="148">
                  <c:v>0.22090000000000001</c:v>
                </c:pt>
                <c:pt idx="149">
                  <c:v>0.21640000000000001</c:v>
                </c:pt>
                <c:pt idx="150">
                  <c:v>0.22969999999999999</c:v>
                </c:pt>
                <c:pt idx="151">
                  <c:v>0.23569999999999999</c:v>
                </c:pt>
                <c:pt idx="152">
                  <c:v>0.23319999999999999</c:v>
                </c:pt>
                <c:pt idx="153">
                  <c:v>0.2271</c:v>
                </c:pt>
                <c:pt idx="154">
                  <c:v>0.216</c:v>
                </c:pt>
                <c:pt idx="155">
                  <c:v>0.24</c:v>
                </c:pt>
                <c:pt idx="156">
                  <c:v>0.21340000000000001</c:v>
                </c:pt>
                <c:pt idx="157">
                  <c:v>0.2303</c:v>
                </c:pt>
                <c:pt idx="158">
                  <c:v>0.2293</c:v>
                </c:pt>
                <c:pt idx="159">
                  <c:v>0.23130000000000001</c:v>
                </c:pt>
                <c:pt idx="160">
                  <c:v>0.22819999999999999</c:v>
                </c:pt>
                <c:pt idx="161">
                  <c:v>0.22070000000000001</c:v>
                </c:pt>
                <c:pt idx="162">
                  <c:v>0.2102</c:v>
                </c:pt>
                <c:pt idx="163">
                  <c:v>0.2097</c:v>
                </c:pt>
                <c:pt idx="164">
                  <c:v>0.21260000000000001</c:v>
                </c:pt>
                <c:pt idx="165">
                  <c:v>0.22409999999999999</c:v>
                </c:pt>
                <c:pt idx="166">
                  <c:v>0.2238</c:v>
                </c:pt>
                <c:pt idx="167">
                  <c:v>0.22120000000000001</c:v>
                </c:pt>
                <c:pt idx="168">
                  <c:v>0.20100000000000001</c:v>
                </c:pt>
                <c:pt idx="169">
                  <c:v>0.21160000000000001</c:v>
                </c:pt>
                <c:pt idx="170">
                  <c:v>0.21440000000000001</c:v>
                </c:pt>
                <c:pt idx="171">
                  <c:v>0.20910000000000001</c:v>
                </c:pt>
                <c:pt idx="172">
                  <c:v>0.19550000000000001</c:v>
                </c:pt>
                <c:pt idx="173">
                  <c:v>0.2014</c:v>
                </c:pt>
                <c:pt idx="174">
                  <c:v>0.20019999999999999</c:v>
                </c:pt>
                <c:pt idx="175">
                  <c:v>0.21510000000000001</c:v>
                </c:pt>
                <c:pt idx="176">
                  <c:v>0.18340000000000001</c:v>
                </c:pt>
                <c:pt idx="177">
                  <c:v>0.1716</c:v>
                </c:pt>
                <c:pt idx="178">
                  <c:v>0.17649999999999999</c:v>
                </c:pt>
                <c:pt idx="179">
                  <c:v>0.17460000000000001</c:v>
                </c:pt>
                <c:pt idx="180">
                  <c:v>0.19109999999999999</c:v>
                </c:pt>
                <c:pt idx="181">
                  <c:v>0.1774</c:v>
                </c:pt>
                <c:pt idx="182">
                  <c:v>0.18</c:v>
                </c:pt>
                <c:pt idx="183">
                  <c:v>0.17080000000000001</c:v>
                </c:pt>
                <c:pt idx="184">
                  <c:v>0.17349999999999999</c:v>
                </c:pt>
                <c:pt idx="185">
                  <c:v>0.16930000000000001</c:v>
                </c:pt>
                <c:pt idx="186">
                  <c:v>0.18920000000000001</c:v>
                </c:pt>
                <c:pt idx="187">
                  <c:v>0.17150000000000001</c:v>
                </c:pt>
                <c:pt idx="188">
                  <c:v>0.16869999999999999</c:v>
                </c:pt>
                <c:pt idx="189">
                  <c:v>0.1615</c:v>
                </c:pt>
                <c:pt idx="190">
                  <c:v>0.1472</c:v>
                </c:pt>
                <c:pt idx="191">
                  <c:v>0.13689999999999999</c:v>
                </c:pt>
                <c:pt idx="192">
                  <c:v>0.14410000000000001</c:v>
                </c:pt>
                <c:pt idx="193">
                  <c:v>0.16320000000000001</c:v>
                </c:pt>
                <c:pt idx="194">
                  <c:v>0.15540000000000001</c:v>
                </c:pt>
                <c:pt idx="195">
                  <c:v>0.16309999999999999</c:v>
                </c:pt>
                <c:pt idx="196">
                  <c:v>0.19650000000000001</c:v>
                </c:pt>
                <c:pt idx="197">
                  <c:v>0.20180000000000001</c:v>
                </c:pt>
                <c:pt idx="198">
                  <c:v>0.1817</c:v>
                </c:pt>
                <c:pt idx="199">
                  <c:v>0.16880000000000001</c:v>
                </c:pt>
                <c:pt idx="200">
                  <c:v>0.1731</c:v>
                </c:pt>
                <c:pt idx="201">
                  <c:v>0.1678</c:v>
                </c:pt>
                <c:pt idx="202">
                  <c:v>0.16289999999999999</c:v>
                </c:pt>
                <c:pt idx="203">
                  <c:v>0.16309999999999999</c:v>
                </c:pt>
                <c:pt idx="204">
                  <c:v>0.1706</c:v>
                </c:pt>
                <c:pt idx="205">
                  <c:v>0.15640000000000001</c:v>
                </c:pt>
                <c:pt idx="206">
                  <c:v>0.1545</c:v>
                </c:pt>
                <c:pt idx="207">
                  <c:v>0.16259999999999999</c:v>
                </c:pt>
                <c:pt idx="208">
                  <c:v>0.15970000000000001</c:v>
                </c:pt>
                <c:pt idx="209">
                  <c:v>0.15359999999999999</c:v>
                </c:pt>
                <c:pt idx="210">
                  <c:v>0.15740000000000001</c:v>
                </c:pt>
                <c:pt idx="211">
                  <c:v>0.1628</c:v>
                </c:pt>
                <c:pt idx="212">
                  <c:v>0.1646</c:v>
                </c:pt>
                <c:pt idx="213">
                  <c:v>0.15040000000000001</c:v>
                </c:pt>
                <c:pt idx="214">
                  <c:v>0.15</c:v>
                </c:pt>
                <c:pt idx="215">
                  <c:v>0.1431</c:v>
                </c:pt>
                <c:pt idx="216">
                  <c:v>0.14399999999999999</c:v>
                </c:pt>
                <c:pt idx="217">
                  <c:v>0.16070000000000001</c:v>
                </c:pt>
                <c:pt idx="218">
                  <c:v>0.16400000000000001</c:v>
                </c:pt>
                <c:pt idx="219">
                  <c:v>0.15890000000000001</c:v>
                </c:pt>
                <c:pt idx="220">
                  <c:v>0.15709999999999999</c:v>
                </c:pt>
                <c:pt idx="221">
                  <c:v>0.2006</c:v>
                </c:pt>
                <c:pt idx="222">
                  <c:v>0.1847</c:v>
                </c:pt>
                <c:pt idx="223">
                  <c:v>0.19189999999999999</c:v>
                </c:pt>
                <c:pt idx="224">
                  <c:v>0.20680000000000001</c:v>
                </c:pt>
                <c:pt idx="225">
                  <c:v>0.20530000000000001</c:v>
                </c:pt>
                <c:pt idx="226">
                  <c:v>0.22170000000000001</c:v>
                </c:pt>
                <c:pt idx="227">
                  <c:v>0.2369</c:v>
                </c:pt>
                <c:pt idx="228">
                  <c:v>0.2414</c:v>
                </c:pt>
                <c:pt idx="229">
                  <c:v>0.18890000000000001</c:v>
                </c:pt>
                <c:pt idx="230">
                  <c:v>0.20130000000000001</c:v>
                </c:pt>
                <c:pt idx="231">
                  <c:v>0.23150000000000001</c:v>
                </c:pt>
                <c:pt idx="232">
                  <c:v>0.253</c:v>
                </c:pt>
                <c:pt idx="233">
                  <c:v>0.19</c:v>
                </c:pt>
                <c:pt idx="234">
                  <c:v>0.16259999999999999</c:v>
                </c:pt>
                <c:pt idx="235">
                  <c:v>0.18790000000000001</c:v>
                </c:pt>
                <c:pt idx="236">
                  <c:v>0.16209999999999999</c:v>
                </c:pt>
                <c:pt idx="237">
                  <c:v>0.16850000000000001</c:v>
                </c:pt>
                <c:pt idx="238">
                  <c:v>0.18379999999999999</c:v>
                </c:pt>
                <c:pt idx="239">
                  <c:v>0.18079999999999999</c:v>
                </c:pt>
                <c:pt idx="240">
                  <c:v>0.17380000000000001</c:v>
                </c:pt>
                <c:pt idx="241">
                  <c:v>0.18459999999999999</c:v>
                </c:pt>
                <c:pt idx="242">
                  <c:v>0.18190000000000001</c:v>
                </c:pt>
                <c:pt idx="243">
                  <c:v>0.18290000000000001</c:v>
                </c:pt>
                <c:pt idx="244">
                  <c:v>0.17499999999999999</c:v>
                </c:pt>
                <c:pt idx="245">
                  <c:v>0.19500000000000001</c:v>
                </c:pt>
                <c:pt idx="246">
                  <c:v>0.19339999999999999</c:v>
                </c:pt>
                <c:pt idx="247">
                  <c:v>0.15740000000000001</c:v>
                </c:pt>
                <c:pt idx="248">
                  <c:v>0.16059999999999999</c:v>
                </c:pt>
                <c:pt idx="249">
                  <c:v>0.12509999999999999</c:v>
                </c:pt>
                <c:pt idx="250">
                  <c:v>0.15959999999999999</c:v>
                </c:pt>
                <c:pt idx="251">
                  <c:v>0.1706</c:v>
                </c:pt>
                <c:pt idx="252">
                  <c:v>0.1925</c:v>
                </c:pt>
                <c:pt idx="253">
                  <c:v>0.17069999999999999</c:v>
                </c:pt>
                <c:pt idx="254">
                  <c:v>0.2636</c:v>
                </c:pt>
                <c:pt idx="255">
                  <c:v>0.25969999999999999</c:v>
                </c:pt>
                <c:pt idx="256">
                  <c:v>0.2823</c:v>
                </c:pt>
                <c:pt idx="257">
                  <c:v>0.29370000000000002</c:v>
                </c:pt>
                <c:pt idx="258">
                  <c:v>0.28410000000000002</c:v>
                </c:pt>
                <c:pt idx="259">
                  <c:v>0.2797</c:v>
                </c:pt>
                <c:pt idx="260">
                  <c:v>0.26469999999999999</c:v>
                </c:pt>
                <c:pt idx="261">
                  <c:v>0.31590000000000001</c:v>
                </c:pt>
                <c:pt idx="262">
                  <c:v>0.30030000000000001</c:v>
                </c:pt>
                <c:pt idx="263">
                  <c:v>0.33739999999999998</c:v>
                </c:pt>
                <c:pt idx="264">
                  <c:v>0.35370000000000001</c:v>
                </c:pt>
                <c:pt idx="265">
                  <c:v>0.3473</c:v>
                </c:pt>
                <c:pt idx="266">
                  <c:v>0.32819999999999999</c:v>
                </c:pt>
                <c:pt idx="267">
                  <c:v>0.35599999999999998</c:v>
                </c:pt>
                <c:pt idx="268">
                  <c:v>0.32040000000000002</c:v>
                </c:pt>
                <c:pt idx="269">
                  <c:v>0.35970000000000002</c:v>
                </c:pt>
                <c:pt idx="270">
                  <c:v>0.35549999999999998</c:v>
                </c:pt>
                <c:pt idx="271">
                  <c:v>0.35220000000000001</c:v>
                </c:pt>
                <c:pt idx="272">
                  <c:v>0.36159999999999998</c:v>
                </c:pt>
                <c:pt idx="273">
                  <c:v>0.33090000000000003</c:v>
                </c:pt>
                <c:pt idx="274">
                  <c:v>0.3221</c:v>
                </c:pt>
                <c:pt idx="275">
                  <c:v>0.32869999999999999</c:v>
                </c:pt>
                <c:pt idx="276">
                  <c:v>0.3231</c:v>
                </c:pt>
                <c:pt idx="277">
                  <c:v>0.30759999999999998</c:v>
                </c:pt>
                <c:pt idx="278">
                  <c:v>0.25509999999999999</c:v>
                </c:pt>
                <c:pt idx="279">
                  <c:v>0.23669999999999999</c:v>
                </c:pt>
                <c:pt idx="280">
                  <c:v>0.2596</c:v>
                </c:pt>
                <c:pt idx="281">
                  <c:v>0.27839999999999998</c:v>
                </c:pt>
                <c:pt idx="282">
                  <c:v>0.30259999999999998</c:v>
                </c:pt>
                <c:pt idx="283">
                  <c:v>0.3004</c:v>
                </c:pt>
                <c:pt idx="284">
                  <c:v>0.34639999999999999</c:v>
                </c:pt>
                <c:pt idx="285">
                  <c:v>0.39639999999999997</c:v>
                </c:pt>
                <c:pt idx="286">
                  <c:v>0.40739999999999998</c:v>
                </c:pt>
                <c:pt idx="287">
                  <c:v>0.39610000000000001</c:v>
                </c:pt>
                <c:pt idx="288">
                  <c:v>0.4158</c:v>
                </c:pt>
                <c:pt idx="289">
                  <c:v>0.38300000000000001</c:v>
                </c:pt>
                <c:pt idx="290">
                  <c:v>0.3911</c:v>
                </c:pt>
                <c:pt idx="291">
                  <c:v>0.41160000000000002</c:v>
                </c:pt>
                <c:pt idx="292">
                  <c:v>0.43440000000000001</c:v>
                </c:pt>
                <c:pt idx="293">
                  <c:v>0.40279999999999999</c:v>
                </c:pt>
                <c:pt idx="294">
                  <c:v>0.40010000000000001</c:v>
                </c:pt>
                <c:pt idx="295">
                  <c:v>0.39629999999999999</c:v>
                </c:pt>
                <c:pt idx="296">
                  <c:v>0.46970000000000001</c:v>
                </c:pt>
                <c:pt idx="297">
                  <c:v>0.45029999999999998</c:v>
                </c:pt>
                <c:pt idx="298">
                  <c:v>0.40079999999999999</c:v>
                </c:pt>
                <c:pt idx="299">
                  <c:v>0.3513</c:v>
                </c:pt>
                <c:pt idx="300">
                  <c:v>0.31669999999999998</c:v>
                </c:pt>
                <c:pt idx="301">
                  <c:v>0.31009999999999999</c:v>
                </c:pt>
                <c:pt idx="302">
                  <c:v>0.32179999999999997</c:v>
                </c:pt>
                <c:pt idx="303">
                  <c:v>0.34320000000000001</c:v>
                </c:pt>
                <c:pt idx="304">
                  <c:v>0.33150000000000002</c:v>
                </c:pt>
                <c:pt idx="305">
                  <c:v>0.34010000000000001</c:v>
                </c:pt>
                <c:pt idx="306">
                  <c:v>0.33689999999999998</c:v>
                </c:pt>
                <c:pt idx="307">
                  <c:v>0.30409999999999998</c:v>
                </c:pt>
                <c:pt idx="308">
                  <c:v>0.27250000000000002</c:v>
                </c:pt>
                <c:pt idx="309">
                  <c:v>0.28670000000000001</c:v>
                </c:pt>
                <c:pt idx="310">
                  <c:v>0.27689999999999998</c:v>
                </c:pt>
                <c:pt idx="311">
                  <c:v>0.28270000000000001</c:v>
                </c:pt>
                <c:pt idx="312">
                  <c:v>0.29649999999999999</c:v>
                </c:pt>
                <c:pt idx="313">
                  <c:v>0.31630000000000003</c:v>
                </c:pt>
                <c:pt idx="314">
                  <c:v>0.2979</c:v>
                </c:pt>
                <c:pt idx="315">
                  <c:v>0.30409999999999998</c:v>
                </c:pt>
                <c:pt idx="316">
                  <c:v>0.31259999999999999</c:v>
                </c:pt>
                <c:pt idx="317">
                  <c:v>0.28210000000000002</c:v>
                </c:pt>
                <c:pt idx="318">
                  <c:v>0.28110000000000002</c:v>
                </c:pt>
                <c:pt idx="319">
                  <c:v>0.30170000000000002</c:v>
                </c:pt>
                <c:pt idx="320">
                  <c:v>0.34079999999999999</c:v>
                </c:pt>
                <c:pt idx="321">
                  <c:v>0.2077</c:v>
                </c:pt>
                <c:pt idx="322">
                  <c:v>0.2117</c:v>
                </c:pt>
                <c:pt idx="323">
                  <c:v>0.2107</c:v>
                </c:pt>
                <c:pt idx="324">
                  <c:v>0.2258</c:v>
                </c:pt>
                <c:pt idx="325">
                  <c:v>0.20219999999999999</c:v>
                </c:pt>
                <c:pt idx="326">
                  <c:v>0.19189999999999999</c:v>
                </c:pt>
                <c:pt idx="327">
                  <c:v>0.18870000000000001</c:v>
                </c:pt>
                <c:pt idx="328">
                  <c:v>0.1948</c:v>
                </c:pt>
                <c:pt idx="329">
                  <c:v>0.20860000000000001</c:v>
                </c:pt>
                <c:pt idx="330">
                  <c:v>0.20119999999999999</c:v>
                </c:pt>
                <c:pt idx="331">
                  <c:v>0.20749999999999999</c:v>
                </c:pt>
                <c:pt idx="332">
                  <c:v>0.22800000000000001</c:v>
                </c:pt>
                <c:pt idx="333">
                  <c:v>0.2331</c:v>
                </c:pt>
                <c:pt idx="334">
                  <c:v>0.24590000000000001</c:v>
                </c:pt>
                <c:pt idx="335">
                  <c:v>0.1928</c:v>
                </c:pt>
                <c:pt idx="336">
                  <c:v>0.1225</c:v>
                </c:pt>
                <c:pt idx="337">
                  <c:v>0.1326</c:v>
                </c:pt>
                <c:pt idx="338">
                  <c:v>0.1181</c:v>
                </c:pt>
                <c:pt idx="339">
                  <c:v>0.1396</c:v>
                </c:pt>
                <c:pt idx="340">
                  <c:v>0.15529999999999999</c:v>
                </c:pt>
                <c:pt idx="341">
                  <c:v>0.1535</c:v>
                </c:pt>
                <c:pt idx="342">
                  <c:v>0.17510000000000001</c:v>
                </c:pt>
                <c:pt idx="343">
                  <c:v>0.1555</c:v>
                </c:pt>
                <c:pt idx="344">
                  <c:v>0.1517</c:v>
                </c:pt>
                <c:pt idx="345">
                  <c:v>0.13789999999999999</c:v>
                </c:pt>
                <c:pt idx="346">
                  <c:v>0.1353</c:v>
                </c:pt>
                <c:pt idx="347">
                  <c:v>0.14449999999999999</c:v>
                </c:pt>
                <c:pt idx="348">
                  <c:v>0.15629999999999999</c:v>
                </c:pt>
                <c:pt idx="349">
                  <c:v>0.1489</c:v>
                </c:pt>
                <c:pt idx="350">
                  <c:v>0.1431</c:v>
                </c:pt>
                <c:pt idx="351">
                  <c:v>0.12959999999999999</c:v>
                </c:pt>
                <c:pt idx="352">
                  <c:v>0.13950000000000001</c:v>
                </c:pt>
                <c:pt idx="353">
                  <c:v>0.14430000000000001</c:v>
                </c:pt>
                <c:pt idx="354">
                  <c:v>9.1899999999999996E-2</c:v>
                </c:pt>
                <c:pt idx="355">
                  <c:v>9.4700000000000006E-2</c:v>
                </c:pt>
                <c:pt idx="356">
                  <c:v>9.8599999999999993E-2</c:v>
                </c:pt>
                <c:pt idx="357">
                  <c:v>9.0999999999999998E-2</c:v>
                </c:pt>
                <c:pt idx="358">
                  <c:v>8.4099999999999994E-2</c:v>
                </c:pt>
                <c:pt idx="359">
                  <c:v>8.2000000000000003E-2</c:v>
                </c:pt>
                <c:pt idx="360">
                  <c:v>7.4999999999999997E-2</c:v>
                </c:pt>
                <c:pt idx="361">
                  <c:v>7.4399999999999994E-2</c:v>
                </c:pt>
                <c:pt idx="362">
                  <c:v>7.5499999999999998E-2</c:v>
                </c:pt>
                <c:pt idx="363">
                  <c:v>0.1045</c:v>
                </c:pt>
                <c:pt idx="364">
                  <c:v>7.0999999999999994E-2</c:v>
                </c:pt>
                <c:pt idx="365">
                  <c:v>6.8099999999999994E-2</c:v>
                </c:pt>
                <c:pt idx="366">
                  <c:v>7.3499999999999996E-2</c:v>
                </c:pt>
                <c:pt idx="367">
                  <c:v>7.3700000000000002E-2</c:v>
                </c:pt>
                <c:pt idx="368">
                  <c:v>7.7100000000000002E-2</c:v>
                </c:pt>
                <c:pt idx="369">
                  <c:v>7.3800000000000004E-2</c:v>
                </c:pt>
                <c:pt idx="370">
                  <c:v>7.3499999999999996E-2</c:v>
                </c:pt>
                <c:pt idx="371">
                  <c:v>7.1400000000000005E-2</c:v>
                </c:pt>
                <c:pt idx="372">
                  <c:v>7.4499999999999997E-2</c:v>
                </c:pt>
                <c:pt idx="373">
                  <c:v>7.7600000000000002E-2</c:v>
                </c:pt>
                <c:pt idx="374">
                  <c:v>7.8100000000000003E-2</c:v>
                </c:pt>
                <c:pt idx="375">
                  <c:v>7.6499999999999999E-2</c:v>
                </c:pt>
                <c:pt idx="376">
                  <c:v>7.22E-2</c:v>
                </c:pt>
                <c:pt idx="377">
                  <c:v>6.6299999999999998E-2</c:v>
                </c:pt>
                <c:pt idx="378">
                  <c:v>6.7900000000000002E-2</c:v>
                </c:pt>
                <c:pt idx="379">
                  <c:v>6.6900000000000001E-2</c:v>
                </c:pt>
                <c:pt idx="380">
                  <c:v>6.4500000000000002E-2</c:v>
                </c:pt>
                <c:pt idx="381">
                  <c:v>6.4899999999999999E-2</c:v>
                </c:pt>
                <c:pt idx="382">
                  <c:v>7.0400000000000004E-2</c:v>
                </c:pt>
                <c:pt idx="383">
                  <c:v>7.2700000000000001E-2</c:v>
                </c:pt>
                <c:pt idx="384">
                  <c:v>6.59E-2</c:v>
                </c:pt>
                <c:pt idx="385">
                  <c:v>6.6299999999999998E-2</c:v>
                </c:pt>
                <c:pt idx="386">
                  <c:v>6.6199999999999995E-2</c:v>
                </c:pt>
                <c:pt idx="387">
                  <c:v>6.3299999999999995E-2</c:v>
                </c:pt>
                <c:pt idx="388">
                  <c:v>0.06</c:v>
                </c:pt>
                <c:pt idx="389">
                  <c:v>6.2600000000000003E-2</c:v>
                </c:pt>
                <c:pt idx="390">
                  <c:v>6.2100000000000002E-2</c:v>
                </c:pt>
                <c:pt idx="391">
                  <c:v>6.1899999999999997E-2</c:v>
                </c:pt>
                <c:pt idx="392">
                  <c:v>6.0900000000000003E-2</c:v>
                </c:pt>
                <c:pt idx="393">
                  <c:v>6.0999999999999999E-2</c:v>
                </c:pt>
                <c:pt idx="394">
                  <c:v>6.3100000000000003E-2</c:v>
                </c:pt>
                <c:pt idx="395">
                  <c:v>6.3899999999999998E-2</c:v>
                </c:pt>
                <c:pt idx="396">
                  <c:v>6.6699999999999995E-2</c:v>
                </c:pt>
                <c:pt idx="397">
                  <c:v>6.2899999999999998E-2</c:v>
                </c:pt>
                <c:pt idx="398">
                  <c:v>6.5000000000000002E-2</c:v>
                </c:pt>
                <c:pt idx="399">
                  <c:v>6.8400000000000002E-2</c:v>
                </c:pt>
                <c:pt idx="400">
                  <c:v>6.2399999999999997E-2</c:v>
                </c:pt>
                <c:pt idx="401">
                  <c:v>7.8399999999999997E-2</c:v>
                </c:pt>
                <c:pt idx="402">
                  <c:v>8.1199999999999994E-2</c:v>
                </c:pt>
                <c:pt idx="403">
                  <c:v>9.9099999999999994E-2</c:v>
                </c:pt>
                <c:pt idx="404">
                  <c:v>8.5500000000000007E-2</c:v>
                </c:pt>
                <c:pt idx="405">
                  <c:v>8.2799999999999999E-2</c:v>
                </c:pt>
                <c:pt idx="406">
                  <c:v>8.0500000000000002E-2</c:v>
                </c:pt>
                <c:pt idx="407">
                  <c:v>7.9600000000000004E-2</c:v>
                </c:pt>
                <c:pt idx="408">
                  <c:v>7.9699999999999993E-2</c:v>
                </c:pt>
                <c:pt idx="409">
                  <c:v>0.08</c:v>
                </c:pt>
                <c:pt idx="410">
                  <c:v>8.1600000000000006E-2</c:v>
                </c:pt>
                <c:pt idx="411">
                  <c:v>8.3500000000000005E-2</c:v>
                </c:pt>
                <c:pt idx="412">
                  <c:v>8.0399999999999999E-2</c:v>
                </c:pt>
                <c:pt idx="413">
                  <c:v>8.5000000000000006E-2</c:v>
                </c:pt>
                <c:pt idx="414">
                  <c:v>9.0999999999999998E-2</c:v>
                </c:pt>
                <c:pt idx="415">
                  <c:v>8.2299999999999998E-2</c:v>
                </c:pt>
                <c:pt idx="416">
                  <c:v>7.8E-2</c:v>
                </c:pt>
                <c:pt idx="417">
                  <c:v>7.7799999999999994E-2</c:v>
                </c:pt>
                <c:pt idx="418">
                  <c:v>7.9100000000000004E-2</c:v>
                </c:pt>
                <c:pt idx="419">
                  <c:v>7.5200000000000003E-2</c:v>
                </c:pt>
                <c:pt idx="420">
                  <c:v>8.0699999999999994E-2</c:v>
                </c:pt>
                <c:pt idx="421">
                  <c:v>7.8700000000000006E-2</c:v>
                </c:pt>
                <c:pt idx="422">
                  <c:v>7.6600000000000001E-2</c:v>
                </c:pt>
                <c:pt idx="423">
                  <c:v>7.8399999999999997E-2</c:v>
                </c:pt>
                <c:pt idx="424">
                  <c:v>8.09E-2</c:v>
                </c:pt>
                <c:pt idx="425">
                  <c:v>8.2799999999999999E-2</c:v>
                </c:pt>
                <c:pt idx="426">
                  <c:v>8.0100000000000005E-2</c:v>
                </c:pt>
                <c:pt idx="427">
                  <c:v>7.8799999999999995E-2</c:v>
                </c:pt>
                <c:pt idx="428">
                  <c:v>8.3000000000000004E-2</c:v>
                </c:pt>
                <c:pt idx="429">
                  <c:v>8.1900000000000001E-2</c:v>
                </c:pt>
                <c:pt idx="430">
                  <c:v>8.5500000000000007E-2</c:v>
                </c:pt>
                <c:pt idx="431">
                  <c:v>8.3799999999999999E-2</c:v>
                </c:pt>
                <c:pt idx="432">
                  <c:v>8.3799999999999999E-2</c:v>
                </c:pt>
                <c:pt idx="433">
                  <c:v>7.7399999999999997E-2</c:v>
                </c:pt>
                <c:pt idx="434">
                  <c:v>7.4099999999999999E-2</c:v>
                </c:pt>
                <c:pt idx="435">
                  <c:v>7.5899999999999995E-2</c:v>
                </c:pt>
                <c:pt idx="436">
                  <c:v>8.6300000000000002E-2</c:v>
                </c:pt>
                <c:pt idx="437">
                  <c:v>8.2699999999999996E-2</c:v>
                </c:pt>
                <c:pt idx="438">
                  <c:v>8.2500000000000004E-2</c:v>
                </c:pt>
                <c:pt idx="439">
                  <c:v>9.0300000000000005E-2</c:v>
                </c:pt>
                <c:pt idx="440">
                  <c:v>7.7899999999999997E-2</c:v>
                </c:pt>
                <c:pt idx="441">
                  <c:v>7.5700000000000003E-2</c:v>
                </c:pt>
                <c:pt idx="442">
                  <c:v>7.3599999999999999E-2</c:v>
                </c:pt>
                <c:pt idx="443">
                  <c:v>7.7499999999999999E-2</c:v>
                </c:pt>
                <c:pt idx="444">
                  <c:v>7.1199999999999999E-2</c:v>
                </c:pt>
                <c:pt idx="445">
                  <c:v>7.3300000000000004E-2</c:v>
                </c:pt>
                <c:pt idx="446">
                  <c:v>6.9900000000000004E-2</c:v>
                </c:pt>
                <c:pt idx="447">
                  <c:v>7.3700000000000002E-2</c:v>
                </c:pt>
                <c:pt idx="448">
                  <c:v>7.0199999999999999E-2</c:v>
                </c:pt>
                <c:pt idx="449">
                  <c:v>7.0800000000000002E-2</c:v>
                </c:pt>
                <c:pt idx="450">
                  <c:v>6.9800000000000001E-2</c:v>
                </c:pt>
                <c:pt idx="451">
                  <c:v>7.3899999999999993E-2</c:v>
                </c:pt>
                <c:pt idx="452">
                  <c:v>7.4999999999999997E-2</c:v>
                </c:pt>
                <c:pt idx="453">
                  <c:v>7.8E-2</c:v>
                </c:pt>
                <c:pt idx="454">
                  <c:v>7.4800000000000005E-2</c:v>
                </c:pt>
                <c:pt idx="455">
                  <c:v>7.6300000000000007E-2</c:v>
                </c:pt>
                <c:pt idx="456">
                  <c:v>7.8100000000000003E-2</c:v>
                </c:pt>
                <c:pt idx="457">
                  <c:v>8.8400000000000006E-2</c:v>
                </c:pt>
                <c:pt idx="458">
                  <c:v>9.0499999999999997E-2</c:v>
                </c:pt>
                <c:pt idx="459">
                  <c:v>9.74E-2</c:v>
                </c:pt>
                <c:pt idx="460">
                  <c:v>9.9699999999999997E-2</c:v>
                </c:pt>
                <c:pt idx="461">
                  <c:v>9.6699999999999994E-2</c:v>
                </c:pt>
                <c:pt idx="462">
                  <c:v>9.7299999999999998E-2</c:v>
                </c:pt>
                <c:pt idx="463">
                  <c:v>9.7900000000000001E-2</c:v>
                </c:pt>
                <c:pt idx="464">
                  <c:v>0.1014</c:v>
                </c:pt>
                <c:pt idx="465">
                  <c:v>0.1027</c:v>
                </c:pt>
                <c:pt idx="466">
                  <c:v>0.1052</c:v>
                </c:pt>
                <c:pt idx="467">
                  <c:v>0.10150000000000001</c:v>
                </c:pt>
                <c:pt idx="468">
                  <c:v>0.10100000000000001</c:v>
                </c:pt>
                <c:pt idx="469">
                  <c:v>0.1171</c:v>
                </c:pt>
                <c:pt idx="470">
                  <c:v>0.1086</c:v>
                </c:pt>
                <c:pt idx="471">
                  <c:v>0.10349999999999999</c:v>
                </c:pt>
                <c:pt idx="472">
                  <c:v>0.1055</c:v>
                </c:pt>
                <c:pt idx="473">
                  <c:v>0.1079</c:v>
                </c:pt>
                <c:pt idx="474">
                  <c:v>0.107</c:v>
                </c:pt>
                <c:pt idx="475">
                  <c:v>0.11169999999999999</c:v>
                </c:pt>
                <c:pt idx="476">
                  <c:v>0.1022</c:v>
                </c:pt>
                <c:pt idx="477">
                  <c:v>0.1018</c:v>
                </c:pt>
                <c:pt idx="478">
                  <c:v>0.10249999999999999</c:v>
                </c:pt>
                <c:pt idx="479">
                  <c:v>0.11</c:v>
                </c:pt>
                <c:pt idx="480">
                  <c:v>0.10979999999999999</c:v>
                </c:pt>
                <c:pt idx="481">
                  <c:v>0.1113</c:v>
                </c:pt>
                <c:pt idx="482">
                  <c:v>0.1108</c:v>
                </c:pt>
                <c:pt idx="483">
                  <c:v>0.11600000000000001</c:v>
                </c:pt>
                <c:pt idx="484">
                  <c:v>0.12139999999999999</c:v>
                </c:pt>
                <c:pt idx="485">
                  <c:v>0.12</c:v>
                </c:pt>
                <c:pt idx="486">
                  <c:v>0.1225</c:v>
                </c:pt>
                <c:pt idx="487">
                  <c:v>0.1298</c:v>
                </c:pt>
                <c:pt idx="488">
                  <c:v>0.13300000000000001</c:v>
                </c:pt>
                <c:pt idx="489">
                  <c:v>0.13059999999999999</c:v>
                </c:pt>
                <c:pt idx="490">
                  <c:v>0.1288</c:v>
                </c:pt>
                <c:pt idx="491">
                  <c:v>0.12089999999999999</c:v>
                </c:pt>
                <c:pt idx="492">
                  <c:v>0.12379999999999999</c:v>
                </c:pt>
                <c:pt idx="493">
                  <c:v>0.1234</c:v>
                </c:pt>
                <c:pt idx="494">
                  <c:v>0.13700000000000001</c:v>
                </c:pt>
                <c:pt idx="495">
                  <c:v>0.14330000000000001</c:v>
                </c:pt>
                <c:pt idx="496">
                  <c:v>0.14130000000000001</c:v>
                </c:pt>
                <c:pt idx="497">
                  <c:v>0.1368</c:v>
                </c:pt>
                <c:pt idx="498">
                  <c:v>0.1358</c:v>
                </c:pt>
                <c:pt idx="499">
                  <c:v>0.1454</c:v>
                </c:pt>
                <c:pt idx="500">
                  <c:v>0.15809999999999999</c:v>
                </c:pt>
                <c:pt idx="501">
                  <c:v>0.15859999999999999</c:v>
                </c:pt>
                <c:pt idx="502">
                  <c:v>0.1736</c:v>
                </c:pt>
                <c:pt idx="503">
                  <c:v>0.1802</c:v>
                </c:pt>
                <c:pt idx="504">
                  <c:v>0.185</c:v>
                </c:pt>
                <c:pt idx="505">
                  <c:v>0.16159999999999999</c:v>
                </c:pt>
                <c:pt idx="506">
                  <c:v>0.15409999999999999</c:v>
                </c:pt>
                <c:pt idx="507">
                  <c:v>0.15529999999999999</c:v>
                </c:pt>
                <c:pt idx="508">
                  <c:v>0.15870000000000001</c:v>
                </c:pt>
                <c:pt idx="509">
                  <c:v>0.14699999999999999</c:v>
                </c:pt>
                <c:pt idx="510">
                  <c:v>0.19550000000000001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0-48F1-A5FF-CB2A6430240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-30.249085590225519</c:v>
                </c:pt>
                <c:pt idx="1">
                  <c:v>-30.24712964022552</c:v>
                </c:pt>
                <c:pt idx="2">
                  <c:v>-30.232440003142187</c:v>
                </c:pt>
                <c:pt idx="3">
                  <c:v>-30.203228003142186</c:v>
                </c:pt>
                <c:pt idx="4">
                  <c:v>-30.284210784795725</c:v>
                </c:pt>
                <c:pt idx="5">
                  <c:v>-30.27710260612103</c:v>
                </c:pt>
                <c:pt idx="6">
                  <c:v>-30.21198676688185</c:v>
                </c:pt>
                <c:pt idx="7">
                  <c:v>-30.072114708180962</c:v>
                </c:pt>
                <c:pt idx="8">
                  <c:v>-29.999516859007631</c:v>
                </c:pt>
                <c:pt idx="9">
                  <c:v>-29.939727067831157</c:v>
                </c:pt>
                <c:pt idx="10">
                  <c:v>-29.856608813285703</c:v>
                </c:pt>
                <c:pt idx="11">
                  <c:v>-29.827769919590054</c:v>
                </c:pt>
                <c:pt idx="12">
                  <c:v>-29.83971312364411</c:v>
                </c:pt>
                <c:pt idx="13">
                  <c:v>-29.850631145604893</c:v>
                </c:pt>
                <c:pt idx="14">
                  <c:v>-29.704652590049339</c:v>
                </c:pt>
                <c:pt idx="15">
                  <c:v>-29.633361537795817</c:v>
                </c:pt>
                <c:pt idx="16">
                  <c:v>-29.62254424371131</c:v>
                </c:pt>
                <c:pt idx="17">
                  <c:v>-29.599367014313717</c:v>
                </c:pt>
                <c:pt idx="18">
                  <c:v>-29.647264728713719</c:v>
                </c:pt>
                <c:pt idx="19">
                  <c:v>-29.608000376213717</c:v>
                </c:pt>
                <c:pt idx="20">
                  <c:v>-29.471018220399763</c:v>
                </c:pt>
                <c:pt idx="21">
                  <c:v>-29.528165660399765</c:v>
                </c:pt>
                <c:pt idx="22">
                  <c:v>-29.498095343127041</c:v>
                </c:pt>
                <c:pt idx="23">
                  <c:v>-29.409296911854316</c:v>
                </c:pt>
                <c:pt idx="24">
                  <c:v>-29.361989372469697</c:v>
                </c:pt>
                <c:pt idx="25">
                  <c:v>-29.273435766755412</c:v>
                </c:pt>
                <c:pt idx="26">
                  <c:v>-29.293609248422076</c:v>
                </c:pt>
                <c:pt idx="27">
                  <c:v>-29.308488214340443</c:v>
                </c:pt>
                <c:pt idx="28">
                  <c:v>-29.209516165427399</c:v>
                </c:pt>
                <c:pt idx="29">
                  <c:v>-29.111675424099964</c:v>
                </c:pt>
                <c:pt idx="30">
                  <c:v>-28.977834351086269</c:v>
                </c:pt>
                <c:pt idx="31">
                  <c:v>-28.937398288123305</c:v>
                </c:pt>
                <c:pt idx="32">
                  <c:v>-28.650711827700771</c:v>
                </c:pt>
                <c:pt idx="33">
                  <c:v>-28.753134625922993</c:v>
                </c:pt>
                <c:pt idx="34">
                  <c:v>-28.615418048622995</c:v>
                </c:pt>
                <c:pt idx="35">
                  <c:v>-28.487492295240642</c:v>
                </c:pt>
                <c:pt idx="36">
                  <c:v>-28.530124564064167</c:v>
                </c:pt>
                <c:pt idx="37">
                  <c:v>-28.442762793453483</c:v>
                </c:pt>
                <c:pt idx="38">
                  <c:v>-28.444049123705582</c:v>
                </c:pt>
                <c:pt idx="39">
                  <c:v>-28.417083205975082</c:v>
                </c:pt>
                <c:pt idx="40">
                  <c:v>-28.297204737086194</c:v>
                </c:pt>
                <c:pt idx="41">
                  <c:v>-28.34183558532149</c:v>
                </c:pt>
                <c:pt idx="42">
                  <c:v>-26.785598560101707</c:v>
                </c:pt>
                <c:pt idx="43">
                  <c:v>-26.651427197389847</c:v>
                </c:pt>
                <c:pt idx="44">
                  <c:v>-26.73798066881842</c:v>
                </c:pt>
                <c:pt idx="45">
                  <c:v>-26.818362452999725</c:v>
                </c:pt>
                <c:pt idx="46">
                  <c:v>-26.674569176333062</c:v>
                </c:pt>
                <c:pt idx="47">
                  <c:v>-26.518187771156587</c:v>
                </c:pt>
                <c:pt idx="48">
                  <c:v>-26.527805729631162</c:v>
                </c:pt>
                <c:pt idx="49">
                  <c:v>-26.308391502926618</c:v>
                </c:pt>
                <c:pt idx="50">
                  <c:v>-25.998475271300322</c:v>
                </c:pt>
                <c:pt idx="51">
                  <c:v>-25.984432379148419</c:v>
                </c:pt>
                <c:pt idx="52">
                  <c:v>-25.520051136648419</c:v>
                </c:pt>
                <c:pt idx="53">
                  <c:v>-25.95944220932018</c:v>
                </c:pt>
                <c:pt idx="54">
                  <c:v>-24.918980115172332</c:v>
                </c:pt>
                <c:pt idx="55">
                  <c:v>-21.650706487183992</c:v>
                </c:pt>
                <c:pt idx="56">
                  <c:v>-20.651513142262626</c:v>
                </c:pt>
                <c:pt idx="57">
                  <c:v>-20.827114241353534</c:v>
                </c:pt>
                <c:pt idx="58">
                  <c:v>-20.739621947049738</c:v>
                </c:pt>
                <c:pt idx="59">
                  <c:v>-20.665648365686106</c:v>
                </c:pt>
                <c:pt idx="60">
                  <c:v>-20.513205779760181</c:v>
                </c:pt>
                <c:pt idx="61">
                  <c:v>-20.641625531249542</c:v>
                </c:pt>
                <c:pt idx="62">
                  <c:v>-20.53346779986656</c:v>
                </c:pt>
                <c:pt idx="63">
                  <c:v>-20.226586840870745</c:v>
                </c:pt>
                <c:pt idx="64">
                  <c:v>-20.47699194833741</c:v>
                </c:pt>
                <c:pt idx="65">
                  <c:v>-20.499522829159329</c:v>
                </c:pt>
                <c:pt idx="66">
                  <c:v>-20.492826762647699</c:v>
                </c:pt>
                <c:pt idx="67">
                  <c:v>-20.39123270447697</c:v>
                </c:pt>
                <c:pt idx="68">
                  <c:v>-19.507700919956971</c:v>
                </c:pt>
                <c:pt idx="69">
                  <c:v>-19.479414950817503</c:v>
                </c:pt>
                <c:pt idx="70">
                  <c:v>-19.610902005453866</c:v>
                </c:pt>
                <c:pt idx="71">
                  <c:v>-19.537074596590227</c:v>
                </c:pt>
                <c:pt idx="72">
                  <c:v>-19.560643321309328</c:v>
                </c:pt>
                <c:pt idx="73">
                  <c:v>-19.50589967330933</c:v>
                </c:pt>
                <c:pt idx="74">
                  <c:v>-19.377825098582058</c:v>
                </c:pt>
                <c:pt idx="75">
                  <c:v>-19.345689932919406</c:v>
                </c:pt>
                <c:pt idx="76">
                  <c:v>-19.263496587625287</c:v>
                </c:pt>
                <c:pt idx="77">
                  <c:v>-19.316354060919053</c:v>
                </c:pt>
                <c:pt idx="78">
                  <c:v>-19.377318263114176</c:v>
                </c:pt>
                <c:pt idx="79">
                  <c:v>-19.307827087596937</c:v>
                </c:pt>
                <c:pt idx="80">
                  <c:v>-19.205005658506021</c:v>
                </c:pt>
                <c:pt idx="81">
                  <c:v>-19.218497903403982</c:v>
                </c:pt>
                <c:pt idx="82">
                  <c:v>-19.314078125626207</c:v>
                </c:pt>
                <c:pt idx="83">
                  <c:v>-19.323844022245922</c:v>
                </c:pt>
                <c:pt idx="84">
                  <c:v>-19.286651205391991</c:v>
                </c:pt>
                <c:pt idx="85">
                  <c:v>-19.193978997145543</c:v>
                </c:pt>
                <c:pt idx="86">
                  <c:v>-19.225251524381314</c:v>
                </c:pt>
                <c:pt idx="87">
                  <c:v>-19.168488728582997</c:v>
                </c:pt>
                <c:pt idx="88">
                  <c:v>-19.170159890601347</c:v>
                </c:pt>
                <c:pt idx="89">
                  <c:v>-19.011255385582039</c:v>
                </c:pt>
                <c:pt idx="90">
                  <c:v>-19.14309346377102</c:v>
                </c:pt>
                <c:pt idx="91">
                  <c:v>-19.184691819326574</c:v>
                </c:pt>
                <c:pt idx="92">
                  <c:v>-19.191346306608128</c:v>
                </c:pt>
                <c:pt idx="93">
                  <c:v>-19.019659701730081</c:v>
                </c:pt>
                <c:pt idx="94">
                  <c:v>-18.982455428595749</c:v>
                </c:pt>
                <c:pt idx="95">
                  <c:v>-18.968970232232113</c:v>
                </c:pt>
                <c:pt idx="96">
                  <c:v>-18.981724631804763</c:v>
                </c:pt>
                <c:pt idx="97">
                  <c:v>-18.996736892804762</c:v>
                </c:pt>
                <c:pt idx="98">
                  <c:v>-18.975885112804761</c:v>
                </c:pt>
                <c:pt idx="99">
                  <c:v>-18.882589333767722</c:v>
                </c:pt>
                <c:pt idx="100">
                  <c:v>-18.944947376363142</c:v>
                </c:pt>
                <c:pt idx="101">
                  <c:v>-18.885603895442092</c:v>
                </c:pt>
                <c:pt idx="102">
                  <c:v>-18.853737457442094</c:v>
                </c:pt>
                <c:pt idx="103">
                  <c:v>-18.420653039457903</c:v>
                </c:pt>
                <c:pt idx="104">
                  <c:v>-18.324478126162447</c:v>
                </c:pt>
                <c:pt idx="105">
                  <c:v>-18.27821744127036</c:v>
                </c:pt>
                <c:pt idx="106">
                  <c:v>-18.268378980580703</c:v>
                </c:pt>
                <c:pt idx="107">
                  <c:v>-18.289081045868059</c:v>
                </c:pt>
                <c:pt idx="108">
                  <c:v>-18.316956769316338</c:v>
                </c:pt>
                <c:pt idx="109">
                  <c:v>-18.281803812864723</c:v>
                </c:pt>
                <c:pt idx="110">
                  <c:v>-18.217262906670037</c:v>
                </c:pt>
                <c:pt idx="111">
                  <c:v>-18.123902329418573</c:v>
                </c:pt>
                <c:pt idx="112">
                  <c:v>-18.032846564767411</c:v>
                </c:pt>
                <c:pt idx="113">
                  <c:v>-17.746742586985594</c:v>
                </c:pt>
                <c:pt idx="114">
                  <c:v>-17.764369527211837</c:v>
                </c:pt>
                <c:pt idx="115">
                  <c:v>-17.796632760068981</c:v>
                </c:pt>
                <c:pt idx="116">
                  <c:v>-17.877689538864161</c:v>
                </c:pt>
                <c:pt idx="117">
                  <c:v>-17.840054914230016</c:v>
                </c:pt>
                <c:pt idx="118">
                  <c:v>-17.748086372422787</c:v>
                </c:pt>
                <c:pt idx="119">
                  <c:v>-17.658507006232309</c:v>
                </c:pt>
                <c:pt idx="120">
                  <c:v>-17.693208023750557</c:v>
                </c:pt>
                <c:pt idx="121">
                  <c:v>-17.6731416201862</c:v>
                </c:pt>
                <c:pt idx="122">
                  <c:v>-17.482730884962322</c:v>
                </c:pt>
                <c:pt idx="123">
                  <c:v>-17.382578488730438</c:v>
                </c:pt>
                <c:pt idx="124">
                  <c:v>-17.409388480751712</c:v>
                </c:pt>
                <c:pt idx="125">
                  <c:v>-17.394779468751711</c:v>
                </c:pt>
                <c:pt idx="126">
                  <c:v>-17.362896735112137</c:v>
                </c:pt>
                <c:pt idx="127">
                  <c:v>-17.411051790778806</c:v>
                </c:pt>
                <c:pt idx="128">
                  <c:v>-17.558563473155854</c:v>
                </c:pt>
                <c:pt idx="129">
                  <c:v>-17.479640755550218</c:v>
                </c:pt>
                <c:pt idx="130">
                  <c:v>-17.417146511396375</c:v>
                </c:pt>
                <c:pt idx="131">
                  <c:v>-16.659559873110663</c:v>
                </c:pt>
                <c:pt idx="132">
                  <c:v>-16.466339391560766</c:v>
                </c:pt>
                <c:pt idx="133">
                  <c:v>-16.407351087259087</c:v>
                </c:pt>
                <c:pt idx="134">
                  <c:v>-16.348322707717106</c:v>
                </c:pt>
                <c:pt idx="135">
                  <c:v>-16.396268426611119</c:v>
                </c:pt>
                <c:pt idx="136">
                  <c:v>-16.408641160051975</c:v>
                </c:pt>
                <c:pt idx="137">
                  <c:v>-16.374696839816682</c:v>
                </c:pt>
                <c:pt idx="138">
                  <c:v>-16.423413786987414</c:v>
                </c:pt>
                <c:pt idx="139">
                  <c:v>-16.374458094792292</c:v>
                </c:pt>
                <c:pt idx="140">
                  <c:v>-16.339529283795979</c:v>
                </c:pt>
                <c:pt idx="141">
                  <c:v>-16.273806325511959</c:v>
                </c:pt>
                <c:pt idx="142">
                  <c:v>-16.334651998353401</c:v>
                </c:pt>
                <c:pt idx="143">
                  <c:v>-16.265047943525751</c:v>
                </c:pt>
                <c:pt idx="144">
                  <c:v>-16.428079338154319</c:v>
                </c:pt>
                <c:pt idx="145">
                  <c:v>-16.213790816113903</c:v>
                </c:pt>
                <c:pt idx="146">
                  <c:v>-16.297472348935731</c:v>
                </c:pt>
                <c:pt idx="147">
                  <c:v>-16.371900790631841</c:v>
                </c:pt>
                <c:pt idx="148">
                  <c:v>-16.360127315894999</c:v>
                </c:pt>
                <c:pt idx="149">
                  <c:v>-16.431087150754809</c:v>
                </c:pt>
                <c:pt idx="150">
                  <c:v>-16.259723559175864</c:v>
                </c:pt>
                <c:pt idx="151">
                  <c:v>-16.095601270925865</c:v>
                </c:pt>
                <c:pt idx="152">
                  <c:v>-16.127901443722795</c:v>
                </c:pt>
                <c:pt idx="153">
                  <c:v>-16.093584008640729</c:v>
                </c:pt>
                <c:pt idx="154">
                  <c:v>-16.229599679141629</c:v>
                </c:pt>
                <c:pt idx="155">
                  <c:v>-15.858262789670505</c:v>
                </c:pt>
                <c:pt idx="156">
                  <c:v>-16.191770249398125</c:v>
                </c:pt>
                <c:pt idx="157">
                  <c:v>-16.118737161904004</c:v>
                </c:pt>
                <c:pt idx="158">
                  <c:v>-15.982538326275515</c:v>
                </c:pt>
                <c:pt idx="159">
                  <c:v>-15.96629310526375</c:v>
                </c:pt>
                <c:pt idx="160">
                  <c:v>-15.970248403099875</c:v>
                </c:pt>
                <c:pt idx="161">
                  <c:v>-16.122840515653028</c:v>
                </c:pt>
                <c:pt idx="162">
                  <c:v>-16.209170257669861</c:v>
                </c:pt>
                <c:pt idx="163">
                  <c:v>-16.190142369308063</c:v>
                </c:pt>
                <c:pt idx="164">
                  <c:v>-16.038035673294448</c:v>
                </c:pt>
                <c:pt idx="165">
                  <c:v>-15.9115798650325</c:v>
                </c:pt>
                <c:pt idx="166">
                  <c:v>-15.907217049044474</c:v>
                </c:pt>
                <c:pt idx="167">
                  <c:v>-16.030971085816724</c:v>
                </c:pt>
                <c:pt idx="168">
                  <c:v>-16.056668321081638</c:v>
                </c:pt>
                <c:pt idx="169">
                  <c:v>-15.96493134266778</c:v>
                </c:pt>
                <c:pt idx="170">
                  <c:v>-15.756301164360599</c:v>
                </c:pt>
                <c:pt idx="171">
                  <c:v>-15.895968557971507</c:v>
                </c:pt>
                <c:pt idx="172">
                  <c:v>-15.97931722847656</c:v>
                </c:pt>
                <c:pt idx="173">
                  <c:v>-15.555706089586604</c:v>
                </c:pt>
                <c:pt idx="174">
                  <c:v>-15.534196625669528</c:v>
                </c:pt>
                <c:pt idx="175">
                  <c:v>-14.960573318115099</c:v>
                </c:pt>
                <c:pt idx="176">
                  <c:v>-15.012413667531266</c:v>
                </c:pt>
                <c:pt idx="177">
                  <c:v>-15.040357542075041</c:v>
                </c:pt>
                <c:pt idx="178">
                  <c:v>-14.980049402173204</c:v>
                </c:pt>
                <c:pt idx="179">
                  <c:v>-14.967708998376008</c:v>
                </c:pt>
                <c:pt idx="180">
                  <c:v>-14.81330767291241</c:v>
                </c:pt>
                <c:pt idx="181">
                  <c:v>-14.87746501112939</c:v>
                </c:pt>
                <c:pt idx="182">
                  <c:v>-14.906153190009391</c:v>
                </c:pt>
                <c:pt idx="183">
                  <c:v>-14.936661304745241</c:v>
                </c:pt>
                <c:pt idx="184">
                  <c:v>-14.92141467177297</c:v>
                </c:pt>
                <c:pt idx="185">
                  <c:v>-15.015209456594432</c:v>
                </c:pt>
                <c:pt idx="186">
                  <c:v>-14.751006705059028</c:v>
                </c:pt>
                <c:pt idx="187">
                  <c:v>-15.141205547909582</c:v>
                </c:pt>
                <c:pt idx="188">
                  <c:v>-15.160105885681805</c:v>
                </c:pt>
                <c:pt idx="189">
                  <c:v>-15.41290819974121</c:v>
                </c:pt>
                <c:pt idx="190">
                  <c:v>-15.594982976764694</c:v>
                </c:pt>
                <c:pt idx="191">
                  <c:v>-15.66118534693136</c:v>
                </c:pt>
                <c:pt idx="192">
                  <c:v>-15.650331058246984</c:v>
                </c:pt>
                <c:pt idx="193">
                  <c:v>-15.550449491020739</c:v>
                </c:pt>
                <c:pt idx="194">
                  <c:v>-15.543012563604364</c:v>
                </c:pt>
                <c:pt idx="195">
                  <c:v>-15.47403099057844</c:v>
                </c:pt>
                <c:pt idx="196">
                  <c:v>-15.23401702547071</c:v>
                </c:pt>
                <c:pt idx="197">
                  <c:v>-14.692491666211533</c:v>
                </c:pt>
                <c:pt idx="198">
                  <c:v>-14.987229831780656</c:v>
                </c:pt>
                <c:pt idx="199">
                  <c:v>-15.168053636614911</c:v>
                </c:pt>
                <c:pt idx="200">
                  <c:v>-15.054825454397365</c:v>
                </c:pt>
                <c:pt idx="201">
                  <c:v>-15.043011368718838</c:v>
                </c:pt>
                <c:pt idx="202">
                  <c:v>-15.041403578470719</c:v>
                </c:pt>
                <c:pt idx="203">
                  <c:v>-15.125226928571506</c:v>
                </c:pt>
                <c:pt idx="204">
                  <c:v>-14.640483809402456</c:v>
                </c:pt>
                <c:pt idx="205">
                  <c:v>-14.643137704234359</c:v>
                </c:pt>
                <c:pt idx="206">
                  <c:v>-14.615617540078805</c:v>
                </c:pt>
                <c:pt idx="207">
                  <c:v>-14.528238147581026</c:v>
                </c:pt>
                <c:pt idx="208">
                  <c:v>-14.458696814805069</c:v>
                </c:pt>
                <c:pt idx="209">
                  <c:v>-14.488273395690314</c:v>
                </c:pt>
                <c:pt idx="210">
                  <c:v>-14.482299078211554</c:v>
                </c:pt>
                <c:pt idx="211">
                  <c:v>-14.479566086593369</c:v>
                </c:pt>
                <c:pt idx="212">
                  <c:v>-14.524536118084598</c:v>
                </c:pt>
                <c:pt idx="213">
                  <c:v>-14.468555276367834</c:v>
                </c:pt>
                <c:pt idx="214">
                  <c:v>-14.43353213541938</c:v>
                </c:pt>
                <c:pt idx="215">
                  <c:v>-14.380720122092775</c:v>
                </c:pt>
                <c:pt idx="216">
                  <c:v>-14.418336347735631</c:v>
                </c:pt>
                <c:pt idx="217">
                  <c:v>-14.288314558376372</c:v>
                </c:pt>
                <c:pt idx="218">
                  <c:v>-14.257191568168777</c:v>
                </c:pt>
                <c:pt idx="219">
                  <c:v>-14.216862462355239</c:v>
                </c:pt>
                <c:pt idx="220">
                  <c:v>-14.280613719805661</c:v>
                </c:pt>
                <c:pt idx="221">
                  <c:v>-13.763281548442301</c:v>
                </c:pt>
                <c:pt idx="222">
                  <c:v>-13.762643179254255</c:v>
                </c:pt>
                <c:pt idx="223">
                  <c:v>-13.646587850941611</c:v>
                </c:pt>
                <c:pt idx="224">
                  <c:v>-13.579501919479267</c:v>
                </c:pt>
                <c:pt idx="225">
                  <c:v>-13.50061085386019</c:v>
                </c:pt>
                <c:pt idx="226">
                  <c:v>-13.324683231531722</c:v>
                </c:pt>
                <c:pt idx="227">
                  <c:v>-13.064901268113369</c:v>
                </c:pt>
                <c:pt idx="228">
                  <c:v>-13.074037959198952</c:v>
                </c:pt>
                <c:pt idx="229">
                  <c:v>-13.301050977298193</c:v>
                </c:pt>
                <c:pt idx="230">
                  <c:v>-13.205938074477997</c:v>
                </c:pt>
                <c:pt idx="231">
                  <c:v>-12.762120602925066</c:v>
                </c:pt>
                <c:pt idx="232">
                  <c:v>-11.510194937955621</c:v>
                </c:pt>
                <c:pt idx="233">
                  <c:v>-10.763376361276251</c:v>
                </c:pt>
                <c:pt idx="234">
                  <c:v>-10.82562580773579</c:v>
                </c:pt>
                <c:pt idx="235">
                  <c:v>-10.675948120344824</c:v>
                </c:pt>
                <c:pt idx="236">
                  <c:v>-10.626046820585444</c:v>
                </c:pt>
                <c:pt idx="237">
                  <c:v>-10.590539327030138</c:v>
                </c:pt>
                <c:pt idx="238">
                  <c:v>-10.565764558840998</c:v>
                </c:pt>
                <c:pt idx="239">
                  <c:v>-10.575916458979517</c:v>
                </c:pt>
                <c:pt idx="240">
                  <c:v>-10.634060788795379</c:v>
                </c:pt>
                <c:pt idx="241">
                  <c:v>-10.53863656183991</c:v>
                </c:pt>
                <c:pt idx="242">
                  <c:v>-10.633759714165997</c:v>
                </c:pt>
                <c:pt idx="243">
                  <c:v>-10.680496255857321</c:v>
                </c:pt>
                <c:pt idx="244">
                  <c:v>-10.496201522495079</c:v>
                </c:pt>
                <c:pt idx="245">
                  <c:v>-10.417546426433676</c:v>
                </c:pt>
                <c:pt idx="246">
                  <c:v>-9.8821646963964529</c:v>
                </c:pt>
                <c:pt idx="247">
                  <c:v>-10.028572770836563</c:v>
                </c:pt>
                <c:pt idx="248">
                  <c:v>-10.063490468283543</c:v>
                </c:pt>
                <c:pt idx="249">
                  <c:v>-10.157239112058752</c:v>
                </c:pt>
                <c:pt idx="250">
                  <c:v>-10.096495595980665</c:v>
                </c:pt>
                <c:pt idx="251">
                  <c:v>-10.085026494982907</c:v>
                </c:pt>
                <c:pt idx="252">
                  <c:v>-10.015876239788463</c:v>
                </c:pt>
                <c:pt idx="253">
                  <c:v>-10.085981407337439</c:v>
                </c:pt>
                <c:pt idx="254">
                  <c:v>-9.8850559659696291</c:v>
                </c:pt>
                <c:pt idx="255">
                  <c:v>-9.8455016661843135</c:v>
                </c:pt>
                <c:pt idx="256">
                  <c:v>-9.8017139479393425</c:v>
                </c:pt>
                <c:pt idx="257">
                  <c:v>-9.7345148409903182</c:v>
                </c:pt>
                <c:pt idx="258">
                  <c:v>-9.7150631143804418</c:v>
                </c:pt>
                <c:pt idx="259">
                  <c:v>-9.7217786828584067</c:v>
                </c:pt>
                <c:pt idx="260">
                  <c:v>-9.7568964029569223</c:v>
                </c:pt>
                <c:pt idx="261">
                  <c:v>-9.6322483876876923</c:v>
                </c:pt>
                <c:pt idx="262">
                  <c:v>-9.7206184275998275</c:v>
                </c:pt>
                <c:pt idx="263">
                  <c:v>-9.6364358919095903</c:v>
                </c:pt>
                <c:pt idx="264">
                  <c:v>-9.5924778131117261</c:v>
                </c:pt>
                <c:pt idx="265">
                  <c:v>-9.3883918573593004</c:v>
                </c:pt>
                <c:pt idx="266">
                  <c:v>-9.4051235522668541</c:v>
                </c:pt>
                <c:pt idx="267">
                  <c:v>-9.2623097237796905</c:v>
                </c:pt>
                <c:pt idx="268">
                  <c:v>-9.3861812959541364</c:v>
                </c:pt>
                <c:pt idx="269">
                  <c:v>-9.2399158216621906</c:v>
                </c:pt>
                <c:pt idx="270">
                  <c:v>-9.0546634056110964</c:v>
                </c:pt>
                <c:pt idx="271">
                  <c:v>-9.1227076552195392</c:v>
                </c:pt>
                <c:pt idx="272">
                  <c:v>-9.0762618886461137</c:v>
                </c:pt>
                <c:pt idx="273">
                  <c:v>-9.0260190102278592</c:v>
                </c:pt>
                <c:pt idx="274">
                  <c:v>-8.9703608919506799</c:v>
                </c:pt>
                <c:pt idx="275">
                  <c:v>-9.0553672241333736</c:v>
                </c:pt>
                <c:pt idx="276">
                  <c:v>-9.0224589421722978</c:v>
                </c:pt>
                <c:pt idx="277">
                  <c:v>-8.9412678542939208</c:v>
                </c:pt>
                <c:pt idx="278">
                  <c:v>-8.6303915992934126</c:v>
                </c:pt>
                <c:pt idx="279">
                  <c:v>-8.7203082244217995</c:v>
                </c:pt>
                <c:pt idx="280">
                  <c:v>-8.7561495908326705</c:v>
                </c:pt>
                <c:pt idx="281">
                  <c:v>-8.625788025702013</c:v>
                </c:pt>
                <c:pt idx="282">
                  <c:v>-8.5092529559050281</c:v>
                </c:pt>
                <c:pt idx="283">
                  <c:v>-8.5896074263790432</c:v>
                </c:pt>
                <c:pt idx="284">
                  <c:v>-8.4417142374378749</c:v>
                </c:pt>
                <c:pt idx="285">
                  <c:v>-8.4320559973646336</c:v>
                </c:pt>
                <c:pt idx="286">
                  <c:v>-8.2940897181298521</c:v>
                </c:pt>
                <c:pt idx="287">
                  <c:v>-8.3598394975707944</c:v>
                </c:pt>
                <c:pt idx="288">
                  <c:v>-8.1568781714518686</c:v>
                </c:pt>
                <c:pt idx="289">
                  <c:v>-8.3134536771050431</c:v>
                </c:pt>
                <c:pt idx="290">
                  <c:v>-8.2471664637257316</c:v>
                </c:pt>
                <c:pt idx="291">
                  <c:v>-8.1235660509742509</c:v>
                </c:pt>
                <c:pt idx="292">
                  <c:v>-8.083722883119707</c:v>
                </c:pt>
                <c:pt idx="293">
                  <c:v>-8.0015524062980834</c:v>
                </c:pt>
                <c:pt idx="294">
                  <c:v>-7.884908597137108</c:v>
                </c:pt>
                <c:pt idx="295">
                  <c:v>-7.7930302316504303</c:v>
                </c:pt>
                <c:pt idx="296">
                  <c:v>-7.6477571930468056</c:v>
                </c:pt>
                <c:pt idx="297">
                  <c:v>-7.272086044236727</c:v>
                </c:pt>
                <c:pt idx="298">
                  <c:v>-7.1858142736596049</c:v>
                </c:pt>
                <c:pt idx="299">
                  <c:v>-6.8898116321366301</c:v>
                </c:pt>
                <c:pt idx="300">
                  <c:v>-6.9927154863389624</c:v>
                </c:pt>
                <c:pt idx="301">
                  <c:v>-6.9947892715685276</c:v>
                </c:pt>
                <c:pt idx="302">
                  <c:v>-6.8907190111775494</c:v>
                </c:pt>
                <c:pt idx="303">
                  <c:v>-6.8784080186585612</c:v>
                </c:pt>
                <c:pt idx="304">
                  <c:v>-6.7999408444500649</c:v>
                </c:pt>
                <c:pt idx="305">
                  <c:v>-6.7799583492540645</c:v>
                </c:pt>
                <c:pt idx="306">
                  <c:v>-6.7091800407170279</c:v>
                </c:pt>
                <c:pt idx="307">
                  <c:v>-6.8399232685630533</c:v>
                </c:pt>
                <c:pt idx="308">
                  <c:v>-6.9129690035092084</c:v>
                </c:pt>
                <c:pt idx="309">
                  <c:v>-6.8541065758871795</c:v>
                </c:pt>
                <c:pt idx="310">
                  <c:v>-6.7226591569154515</c:v>
                </c:pt>
                <c:pt idx="311">
                  <c:v>-6.7111088639473255</c:v>
                </c:pt>
                <c:pt idx="312">
                  <c:v>-6.5943596338061496</c:v>
                </c:pt>
                <c:pt idx="313">
                  <c:v>-6.5974343344870006</c:v>
                </c:pt>
                <c:pt idx="314">
                  <c:v>-6.7024510252709293</c:v>
                </c:pt>
                <c:pt idx="315">
                  <c:v>-6.5126799790182694</c:v>
                </c:pt>
                <c:pt idx="316">
                  <c:v>-5.8054985764851663</c:v>
                </c:pt>
                <c:pt idx="317">
                  <c:v>-6.0138259546262365</c:v>
                </c:pt>
                <c:pt idx="318">
                  <c:v>-6.1892120688363077</c:v>
                </c:pt>
                <c:pt idx="319">
                  <c:v>-6.2063785718916442</c:v>
                </c:pt>
                <c:pt idx="320">
                  <c:v>-5.1057515939634657</c:v>
                </c:pt>
                <c:pt idx="321">
                  <c:v>-5.466472604175034</c:v>
                </c:pt>
                <c:pt idx="322">
                  <c:v>-5.4161153297052973</c:v>
                </c:pt>
                <c:pt idx="323">
                  <c:v>-5.4351206333167257</c:v>
                </c:pt>
                <c:pt idx="324">
                  <c:v>-5.2819044426113972</c:v>
                </c:pt>
                <c:pt idx="325">
                  <c:v>-5.4118046047804693</c:v>
                </c:pt>
                <c:pt idx="326">
                  <c:v>-5.5452267877663663</c:v>
                </c:pt>
                <c:pt idx="327">
                  <c:v>-5.5791475539622422</c:v>
                </c:pt>
                <c:pt idx="328">
                  <c:v>-5.5630913864071871</c:v>
                </c:pt>
                <c:pt idx="329">
                  <c:v>-5.530869356095053</c:v>
                </c:pt>
                <c:pt idx="330">
                  <c:v>-5.4044652563835145</c:v>
                </c:pt>
                <c:pt idx="331">
                  <c:v>-5.1958362011251316</c:v>
                </c:pt>
                <c:pt idx="332">
                  <c:v>-5.0850351302415797</c:v>
                </c:pt>
                <c:pt idx="333">
                  <c:v>-4.9642111955082466</c:v>
                </c:pt>
                <c:pt idx="334">
                  <c:v>-3.303504317164669</c:v>
                </c:pt>
                <c:pt idx="335">
                  <c:v>-2.412019453924708</c:v>
                </c:pt>
                <c:pt idx="336">
                  <c:v>-2.8169185045583407</c:v>
                </c:pt>
                <c:pt idx="337">
                  <c:v>-2.7555365789623729</c:v>
                </c:pt>
                <c:pt idx="338">
                  <c:v>-2.7742260052316041</c:v>
                </c:pt>
                <c:pt idx="339">
                  <c:v>-2.7557711261635833</c:v>
                </c:pt>
                <c:pt idx="340">
                  <c:v>-2.7507986858912155</c:v>
                </c:pt>
                <c:pt idx="341">
                  <c:v>-2.7226734337755008</c:v>
                </c:pt>
                <c:pt idx="342">
                  <c:v>-2.6403691951378576</c:v>
                </c:pt>
                <c:pt idx="343">
                  <c:v>-2.7591544097459852</c:v>
                </c:pt>
                <c:pt idx="344">
                  <c:v>-2.7458687778306912</c:v>
                </c:pt>
                <c:pt idx="345">
                  <c:v>-2.8051210644596907</c:v>
                </c:pt>
                <c:pt idx="346">
                  <c:v>-2.7465988136017958</c:v>
                </c:pt>
                <c:pt idx="347">
                  <c:v>-2.7436505866870493</c:v>
                </c:pt>
                <c:pt idx="348">
                  <c:v>-2.6729490566370493</c:v>
                </c:pt>
                <c:pt idx="349">
                  <c:v>-2.7284474535863881</c:v>
                </c:pt>
                <c:pt idx="350">
                  <c:v>-2.7980291616180959</c:v>
                </c:pt>
                <c:pt idx="351">
                  <c:v>-2.872851317123096</c:v>
                </c:pt>
                <c:pt idx="352">
                  <c:v>-2.8618650574054487</c:v>
                </c:pt>
                <c:pt idx="353">
                  <c:v>-2.829081951619735</c:v>
                </c:pt>
                <c:pt idx="354">
                  <c:v>-3.2009563146096149</c:v>
                </c:pt>
                <c:pt idx="355">
                  <c:v>-3.1955749538692304</c:v>
                </c:pt>
                <c:pt idx="356">
                  <c:v>-3.1883904046342302</c:v>
                </c:pt>
                <c:pt idx="357">
                  <c:v>-3.2757411546640807</c:v>
                </c:pt>
                <c:pt idx="358">
                  <c:v>-3.0093862210024453</c:v>
                </c:pt>
                <c:pt idx="359">
                  <c:v>-2.9403125389754181</c:v>
                </c:pt>
                <c:pt idx="360">
                  <c:v>-2.9062188700238392</c:v>
                </c:pt>
                <c:pt idx="361">
                  <c:v>-2.9075656101272291</c:v>
                </c:pt>
                <c:pt idx="362">
                  <c:v>-2.9223672507672291</c:v>
                </c:pt>
                <c:pt idx="363">
                  <c:v>-2.300833359300265</c:v>
                </c:pt>
                <c:pt idx="364">
                  <c:v>-2.566017205634282</c:v>
                </c:pt>
                <c:pt idx="365">
                  <c:v>-2.5988354409199963</c:v>
                </c:pt>
                <c:pt idx="366">
                  <c:v>-2.5760451299336951</c:v>
                </c:pt>
                <c:pt idx="367">
                  <c:v>-2.5960541400170287</c:v>
                </c:pt>
                <c:pt idx="368">
                  <c:v>-2.5570800693687525</c:v>
                </c:pt>
                <c:pt idx="369">
                  <c:v>-2.5489603633266475</c:v>
                </c:pt>
                <c:pt idx="370">
                  <c:v>-2.5406668494666476</c:v>
                </c:pt>
                <c:pt idx="371">
                  <c:v>-2.549156119095219</c:v>
                </c:pt>
                <c:pt idx="372">
                  <c:v>-2.4719149316501485</c:v>
                </c:pt>
                <c:pt idx="373">
                  <c:v>-2.4920133457770302</c:v>
                </c:pt>
                <c:pt idx="374">
                  <c:v>-2.4262985429576758</c:v>
                </c:pt>
                <c:pt idx="375">
                  <c:v>-2.4731909761043425</c:v>
                </c:pt>
                <c:pt idx="376">
                  <c:v>-2.5136858730606528</c:v>
                </c:pt>
                <c:pt idx="377">
                  <c:v>-2.5467058004370573</c:v>
                </c:pt>
                <c:pt idx="378">
                  <c:v>-2.5452966121135279</c:v>
                </c:pt>
                <c:pt idx="379">
                  <c:v>-2.5361193656935281</c:v>
                </c:pt>
                <c:pt idx="380">
                  <c:v>-2.5812087162649568</c:v>
                </c:pt>
                <c:pt idx="381">
                  <c:v>-2.578879530899103</c:v>
                </c:pt>
                <c:pt idx="382">
                  <c:v>-2.5691753264991029</c:v>
                </c:pt>
                <c:pt idx="383">
                  <c:v>-2.5254864647199367</c:v>
                </c:pt>
                <c:pt idx="384">
                  <c:v>-2.5580870683564583</c:v>
                </c:pt>
                <c:pt idx="385">
                  <c:v>-2.5995521523912406</c:v>
                </c:pt>
                <c:pt idx="386">
                  <c:v>-2.601165607269702</c:v>
                </c:pt>
                <c:pt idx="387">
                  <c:v>-2.6011656072697016</c:v>
                </c:pt>
                <c:pt idx="388">
                  <c:v>-2.5816283359267262</c:v>
                </c:pt>
                <c:pt idx="389">
                  <c:v>-2.1472478580469927</c:v>
                </c:pt>
                <c:pt idx="390">
                  <c:v>-2.1566995340996247</c:v>
                </c:pt>
                <c:pt idx="391">
                  <c:v>-2.150806591719137</c:v>
                </c:pt>
                <c:pt idx="392">
                  <c:v>-2.1376607457656487</c:v>
                </c:pt>
                <c:pt idx="393">
                  <c:v>-2.1478842778406486</c:v>
                </c:pt>
                <c:pt idx="394">
                  <c:v>-2.1285728087027174</c:v>
                </c:pt>
                <c:pt idx="395">
                  <c:v>-2.148339558998551</c:v>
                </c:pt>
                <c:pt idx="396">
                  <c:v>-1.93587127160515</c:v>
                </c:pt>
                <c:pt idx="397">
                  <c:v>-1.9366582062347497</c:v>
                </c:pt>
                <c:pt idx="398">
                  <c:v>-1.9321224973290894</c:v>
                </c:pt>
                <c:pt idx="399">
                  <c:v>-1.9074715020513118</c:v>
                </c:pt>
                <c:pt idx="400">
                  <c:v>-1.9305616817128504</c:v>
                </c:pt>
                <c:pt idx="401">
                  <c:v>-1.8649471831033266</c:v>
                </c:pt>
                <c:pt idx="402">
                  <c:v>-1.8214378632846597</c:v>
                </c:pt>
                <c:pt idx="403">
                  <c:v>-1.5959062180995007</c:v>
                </c:pt>
                <c:pt idx="404">
                  <c:v>-0.49374148828461989</c:v>
                </c:pt>
                <c:pt idx="405">
                  <c:v>-0.51831136077772344</c:v>
                </c:pt>
                <c:pt idx="406">
                  <c:v>-0.54115540701301756</c:v>
                </c:pt>
                <c:pt idx="407">
                  <c:v>-0.54800348531701759</c:v>
                </c:pt>
                <c:pt idx="408">
                  <c:v>-0.54090195631362781</c:v>
                </c:pt>
                <c:pt idx="409">
                  <c:v>-0.53655654193180957</c:v>
                </c:pt>
                <c:pt idx="410">
                  <c:v>-0.53507244785680963</c:v>
                </c:pt>
                <c:pt idx="411">
                  <c:v>-0.51524278765680953</c:v>
                </c:pt>
                <c:pt idx="412">
                  <c:v>-0.53072589761333144</c:v>
                </c:pt>
                <c:pt idx="413">
                  <c:v>-0.51633753168497321</c:v>
                </c:pt>
                <c:pt idx="414">
                  <c:v>-0.47656533475120716</c:v>
                </c:pt>
                <c:pt idx="415">
                  <c:v>-0.3676415453672654</c:v>
                </c:pt>
                <c:pt idx="416">
                  <c:v>-0.36977739205393201</c:v>
                </c:pt>
                <c:pt idx="417">
                  <c:v>-0.38166107900687318</c:v>
                </c:pt>
                <c:pt idx="418">
                  <c:v>-0.37390113584020646</c:v>
                </c:pt>
                <c:pt idx="419">
                  <c:v>-0.36527844015449229</c:v>
                </c:pt>
                <c:pt idx="420">
                  <c:v>-0.33747079662314905</c:v>
                </c:pt>
                <c:pt idx="421">
                  <c:v>-0.35934766372314902</c:v>
                </c:pt>
                <c:pt idx="422">
                  <c:v>-0.38185740314314914</c:v>
                </c:pt>
                <c:pt idx="423">
                  <c:v>-0.33577064343227953</c:v>
                </c:pt>
                <c:pt idx="424">
                  <c:v>-0.32543429163227944</c:v>
                </c:pt>
                <c:pt idx="425">
                  <c:v>-0.32543429163227944</c:v>
                </c:pt>
                <c:pt idx="426">
                  <c:v>-0.33307156409398159</c:v>
                </c:pt>
                <c:pt idx="427">
                  <c:v>-0.3376283584964207</c:v>
                </c:pt>
                <c:pt idx="428">
                  <c:v>-0.27361331267930356</c:v>
                </c:pt>
                <c:pt idx="429">
                  <c:v>-0.26842037023546794</c:v>
                </c:pt>
                <c:pt idx="430">
                  <c:v>-0.27522336623546795</c:v>
                </c:pt>
                <c:pt idx="431">
                  <c:v>-0.28967213365482286</c:v>
                </c:pt>
                <c:pt idx="432">
                  <c:v>-0.22535614583346364</c:v>
                </c:pt>
                <c:pt idx="433">
                  <c:v>-0.239041237172716</c:v>
                </c:pt>
                <c:pt idx="434">
                  <c:v>-0.24422192004604931</c:v>
                </c:pt>
                <c:pt idx="435">
                  <c:v>-0.23168848368558417</c:v>
                </c:pt>
                <c:pt idx="436">
                  <c:v>-0.21333954337913252</c:v>
                </c:pt>
                <c:pt idx="437">
                  <c:v>-0.23894304035468805</c:v>
                </c:pt>
                <c:pt idx="438">
                  <c:v>-0.22101073644238034</c:v>
                </c:pt>
                <c:pt idx="439">
                  <c:v>-0.20455633822351241</c:v>
                </c:pt>
                <c:pt idx="440">
                  <c:v>-0.25379577556043553</c:v>
                </c:pt>
                <c:pt idx="441">
                  <c:v>-0.25667473137438901</c:v>
                </c:pt>
                <c:pt idx="442">
                  <c:v>-0.266167752374389</c:v>
                </c:pt>
                <c:pt idx="443">
                  <c:v>-0.25104328593517339</c:v>
                </c:pt>
                <c:pt idx="444">
                  <c:v>-0.27815669615363492</c:v>
                </c:pt>
                <c:pt idx="445">
                  <c:v>-0.27562669439908943</c:v>
                </c:pt>
                <c:pt idx="446">
                  <c:v>-0.28421713359676393</c:v>
                </c:pt>
                <c:pt idx="447">
                  <c:v>-0.26257266255198786</c:v>
                </c:pt>
                <c:pt idx="448">
                  <c:v>-0.2814645257787205</c:v>
                </c:pt>
                <c:pt idx="449">
                  <c:v>-0.27927068278892447</c:v>
                </c:pt>
                <c:pt idx="450">
                  <c:v>-0.27981682369237282</c:v>
                </c:pt>
                <c:pt idx="451">
                  <c:v>-0.27237120674475374</c:v>
                </c:pt>
                <c:pt idx="452">
                  <c:v>-0.26912990252354152</c:v>
                </c:pt>
                <c:pt idx="453">
                  <c:v>-0.26427494137243041</c:v>
                </c:pt>
                <c:pt idx="454">
                  <c:v>-0.26427494137243041</c:v>
                </c:pt>
                <c:pt idx="455">
                  <c:v>-0.26460513619896109</c:v>
                </c:pt>
                <c:pt idx="456">
                  <c:v>-0.25060423321043657</c:v>
                </c:pt>
                <c:pt idx="457">
                  <c:v>-0.22059811885698832</c:v>
                </c:pt>
                <c:pt idx="458">
                  <c:v>-0.22124736745092777</c:v>
                </c:pt>
                <c:pt idx="459">
                  <c:v>-0.20333697591548472</c:v>
                </c:pt>
                <c:pt idx="460">
                  <c:v>-0.15826306510050681</c:v>
                </c:pt>
                <c:pt idx="461">
                  <c:v>-0.16112480151341002</c:v>
                </c:pt>
                <c:pt idx="462">
                  <c:v>-0.15797662792866424</c:v>
                </c:pt>
                <c:pt idx="463">
                  <c:v>-0.14760059564817643</c:v>
                </c:pt>
                <c:pt idx="464">
                  <c:v>-4.3241079929886697E-2</c:v>
                </c:pt>
                <c:pt idx="465">
                  <c:v>-4.5730328242007907E-2</c:v>
                </c:pt>
                <c:pt idx="466">
                  <c:v>-4.1709881575341251E-2</c:v>
                </c:pt>
                <c:pt idx="467">
                  <c:v>-4.0801309275341258E-2</c:v>
                </c:pt>
                <c:pt idx="468">
                  <c:v>-3.9451423734164798E-2</c:v>
                </c:pt>
                <c:pt idx="469">
                  <c:v>-2.6441065079619339E-2</c:v>
                </c:pt>
                <c:pt idx="470">
                  <c:v>-1.6482724638240007E-2</c:v>
                </c:pt>
                <c:pt idx="471">
                  <c:v>-2.1967856091337362E-2</c:v>
                </c:pt>
                <c:pt idx="472">
                  <c:v>-2.1466460591337343E-2</c:v>
                </c:pt>
                <c:pt idx="473">
                  <c:v>-1.3590988252051616E-2</c:v>
                </c:pt>
                <c:pt idx="474">
                  <c:v>-1.3996647458503228E-2</c:v>
                </c:pt>
                <c:pt idx="475">
                  <c:v>-4.3607905067791011E-3</c:v>
                </c:pt>
                <c:pt idx="476">
                  <c:v>-1.4453645891394466E-2</c:v>
                </c:pt>
                <c:pt idx="477">
                  <c:v>-1.6393787205680185E-2</c:v>
                </c:pt>
                <c:pt idx="478">
                  <c:v>-1.8441836047615685E-2</c:v>
                </c:pt>
                <c:pt idx="479">
                  <c:v>-1.4356652653998657E-2</c:v>
                </c:pt>
                <c:pt idx="480">
                  <c:v>-1.3602221486256718E-2</c:v>
                </c:pt>
                <c:pt idx="481">
                  <c:v>-1.2623787130701159E-2</c:v>
                </c:pt>
                <c:pt idx="482">
                  <c:v>-1.1947293830701151E-2</c:v>
                </c:pt>
                <c:pt idx="483">
                  <c:v>-8.6597830953165315E-3</c:v>
                </c:pt>
                <c:pt idx="484">
                  <c:v>-1.6401166972396122E-3</c:v>
                </c:pt>
                <c:pt idx="485">
                  <c:v>-4.9975684972396123E-3</c:v>
                </c:pt>
                <c:pt idx="486">
                  <c:v>-4.3814707061948172E-3</c:v>
                </c:pt>
                <c:pt idx="487">
                  <c:v>-1.0824757728614849E-3</c:v>
                </c:pt>
                <c:pt idx="488">
                  <c:v>8.5127297713852269E-4</c:v>
                </c:pt>
                <c:pt idx="489">
                  <c:v>1.5569741371385096E-3</c:v>
                </c:pt>
                <c:pt idx="490">
                  <c:v>-4.3319904228614776E-3</c:v>
                </c:pt>
                <c:pt idx="491">
                  <c:v>-7.0458624667639209E-3</c:v>
                </c:pt>
                <c:pt idx="492">
                  <c:v>-2.2540331235206684E-3</c:v>
                </c:pt>
                <c:pt idx="493">
                  <c:v>-6.1773739841763965E-3</c:v>
                </c:pt>
                <c:pt idx="494">
                  <c:v>-4.3644453743726626E-4</c:v>
                </c:pt>
                <c:pt idx="495">
                  <c:v>1.9310546625627223E-3</c:v>
                </c:pt>
                <c:pt idx="496">
                  <c:v>4.7972985958960428E-3</c:v>
                </c:pt>
                <c:pt idx="497">
                  <c:v>4.3319305292293621E-3</c:v>
                </c:pt>
                <c:pt idx="498">
                  <c:v>3.2626497406217699E-3</c:v>
                </c:pt>
                <c:pt idx="499">
                  <c:v>1.1914064765621747E-2</c:v>
                </c:pt>
                <c:pt idx="500">
                  <c:v>2.0358062108087504E-2</c:v>
                </c:pt>
                <c:pt idx="501">
                  <c:v>2.4124173289905716E-2</c:v>
                </c:pt>
                <c:pt idx="502">
                  <c:v>3.9039661770174781E-2</c:v>
                </c:pt>
                <c:pt idx="503">
                  <c:v>4.4616221918823439E-2</c:v>
                </c:pt>
                <c:pt idx="504">
                  <c:v>3.5185516501241014E-2</c:v>
                </c:pt>
                <c:pt idx="505">
                  <c:v>-8.4922205282260532E-3</c:v>
                </c:pt>
                <c:pt idx="506">
                  <c:v>-1.1863249444505111E-2</c:v>
                </c:pt>
                <c:pt idx="507">
                  <c:v>-8.8645860306436897E-3</c:v>
                </c:pt>
                <c:pt idx="508">
                  <c:v>-1.2072261790796927E-2</c:v>
                </c:pt>
                <c:pt idx="509">
                  <c:v>-2.0989048286098967E-2</c:v>
                </c:pt>
                <c:pt idx="510">
                  <c:v>-2.0593101709090829E-3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E0-48F1-A5FF-CB2A64302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142512"/>
        <c:axId val="528143760"/>
      </c:lineChart>
      <c:dateAx>
        <c:axId val="528142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3760"/>
        <c:crosses val="autoZero"/>
        <c:auto val="1"/>
        <c:lblOffset val="100"/>
        <c:baseTimeUnit val="days"/>
      </c:dateAx>
      <c:valAx>
        <c:axId val="5281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611147-5BC3-4641-B8A7-7874311EDE37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06C54F-0C7A-48E0-80D5-B8561B5C4FD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0.56999999999999995</v>
      </c>
      <c r="D2" s="4">
        <f>MIN(D3:D1912)</f>
        <v>5.7799999999999997E-2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44588</v>
      </c>
      <c r="B5">
        <v>9.6699999999999994E-2</v>
      </c>
      <c r="C5">
        <v>9.7000000000000003E-2</v>
      </c>
      <c r="D5">
        <v>9.5000000000000001E-2</v>
      </c>
      <c r="E5">
        <v>9.5000000000000001E-2</v>
      </c>
      <c r="F5">
        <v>195595</v>
      </c>
      <c r="G5">
        <v>9.5000000000000001E-2</v>
      </c>
      <c r="L5" t="s">
        <v>8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-195595</v>
      </c>
      <c r="R5">
        <f t="shared" ref="R5" si="2">R6+Q5</f>
        <v>-3024908559.022552</v>
      </c>
      <c r="S5">
        <f t="shared" ref="S5" si="3">R5/100000</f>
        <v>-30249.085590225521</v>
      </c>
      <c r="T5">
        <f t="shared" ref="T5" si="4">S5/1000</f>
        <v>-30.249085590225519</v>
      </c>
    </row>
    <row r="6" spans="1:20" x14ac:dyDescent="0.25">
      <c r="A6" s="5">
        <v>44587</v>
      </c>
      <c r="B6">
        <v>9.4E-2</v>
      </c>
      <c r="C6">
        <v>0.1018</v>
      </c>
      <c r="D6">
        <v>9.2200000000000004E-2</v>
      </c>
      <c r="E6">
        <v>9.6299999999999997E-2</v>
      </c>
      <c r="F6">
        <v>10072894</v>
      </c>
      <c r="G6">
        <v>9.6299999999999997E-2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-0.14583333333333465</v>
      </c>
      <c r="Q6">
        <f t="shared" ref="Q6" si="6">F6*P6</f>
        <v>-1468963.7083333465</v>
      </c>
      <c r="R6">
        <f t="shared" ref="R6" si="7">R7+Q6</f>
        <v>-3024712964.022552</v>
      </c>
      <c r="S6">
        <f t="shared" ref="S6" si="8">R6/100000</f>
        <v>-30247.129640225521</v>
      </c>
      <c r="T6">
        <f t="shared" ref="T6" si="9">S6/1000</f>
        <v>-30.24712964022552</v>
      </c>
    </row>
    <row r="7" spans="1:20" x14ac:dyDescent="0.25">
      <c r="A7" s="5">
        <v>44586</v>
      </c>
      <c r="B7">
        <v>9.4700000000000006E-2</v>
      </c>
      <c r="C7">
        <v>9.9900000000000003E-2</v>
      </c>
      <c r="D7">
        <v>9.1200000000000003E-2</v>
      </c>
      <c r="E7">
        <v>9.4100000000000003E-2</v>
      </c>
      <c r="F7">
        <v>8763600</v>
      </c>
      <c r="G7">
        <v>9.4100000000000003E-2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-0.33333333333333331</v>
      </c>
      <c r="Q7">
        <f t="shared" ref="Q7" si="11">F7*P7</f>
        <v>-2921200</v>
      </c>
      <c r="R7">
        <f t="shared" ref="R7" si="12">R8+Q7</f>
        <v>-3023244000.3142185</v>
      </c>
      <c r="S7">
        <f t="shared" ref="S7" si="13">R7/100000</f>
        <v>-30232.440003142186</v>
      </c>
      <c r="T7">
        <f t="shared" ref="T7" si="14">S7/1000</f>
        <v>-30.232440003142187</v>
      </c>
    </row>
    <row r="8" spans="1:20" x14ac:dyDescent="0.25">
      <c r="A8" s="5">
        <v>44585</v>
      </c>
      <c r="B8">
        <v>9.6600000000000005E-2</v>
      </c>
      <c r="C8">
        <v>9.6600000000000005E-2</v>
      </c>
      <c r="D8">
        <v>8.3900000000000002E-2</v>
      </c>
      <c r="E8">
        <v>9.4899999999999998E-2</v>
      </c>
      <c r="F8">
        <v>11058939</v>
      </c>
      <c r="G8">
        <v>9.4899999999999998E-2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0.73228346456692806</v>
      </c>
      <c r="Q8">
        <f t="shared" ref="Q8" si="16">F8*P8</f>
        <v>8098278.1653543189</v>
      </c>
      <c r="R8">
        <f t="shared" ref="R8" si="17">R9+Q8</f>
        <v>-3020322800.3142185</v>
      </c>
      <c r="S8">
        <f t="shared" ref="S8" si="18">R8/100000</f>
        <v>-30203.228003142187</v>
      </c>
      <c r="T8">
        <f t="shared" ref="T8" si="19">S8/1000</f>
        <v>-30.203228003142186</v>
      </c>
    </row>
    <row r="9" spans="1:20" x14ac:dyDescent="0.25">
      <c r="A9" s="5">
        <v>44584</v>
      </c>
      <c r="B9">
        <v>9.3799999999999994E-2</v>
      </c>
      <c r="C9">
        <v>0.10100000000000001</v>
      </c>
      <c r="D9">
        <v>9.2700000000000005E-2</v>
      </c>
      <c r="E9">
        <v>9.6500000000000002E-2</v>
      </c>
      <c r="F9">
        <v>8428269</v>
      </c>
      <c r="G9">
        <v>9.6500000000000002E-2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-8.4337349397591091E-2</v>
      </c>
      <c r="Q9">
        <f t="shared" ref="Q9" si="21">F9*P9</f>
        <v>-710817.86746988562</v>
      </c>
      <c r="R9">
        <f t="shared" ref="R9" si="22">R10+Q9</f>
        <v>-3028421078.4795728</v>
      </c>
      <c r="S9">
        <f t="shared" ref="S9" si="23">R9/100000</f>
        <v>-30284.210784795727</v>
      </c>
      <c r="T9">
        <f t="shared" ref="T9" si="24">S9/1000</f>
        <v>-30.284210784795725</v>
      </c>
    </row>
    <row r="10" spans="1:20" x14ac:dyDescent="0.25">
      <c r="A10" s="5">
        <v>44583</v>
      </c>
      <c r="B10">
        <v>0.1048</v>
      </c>
      <c r="C10">
        <v>0.10730000000000001</v>
      </c>
      <c r="D10">
        <v>8.7900000000000006E-2</v>
      </c>
      <c r="E10">
        <v>9.3399999999999997E-2</v>
      </c>
      <c r="F10">
        <v>15038658.109999999</v>
      </c>
      <c r="G10">
        <v>9.3399999999999997E-2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-0.43298969072165044</v>
      </c>
      <c r="Q10">
        <f t="shared" ref="Q10" si="26">F10*P10</f>
        <v>-6511583.9239175403</v>
      </c>
      <c r="R10">
        <f t="shared" ref="R10" si="27">R11+Q10</f>
        <v>-3027710260.612103</v>
      </c>
      <c r="S10">
        <f t="shared" ref="S10" si="28">R10/100000</f>
        <v>-30277.102606121029</v>
      </c>
      <c r="T10">
        <f t="shared" ref="T10" si="29">S10/1000</f>
        <v>-30.27710260612103</v>
      </c>
    </row>
    <row r="11" spans="1:20" x14ac:dyDescent="0.25">
      <c r="A11" s="5">
        <v>44582</v>
      </c>
      <c r="B11">
        <v>0.1241</v>
      </c>
      <c r="C11">
        <v>0.12570000000000001</v>
      </c>
      <c r="D11">
        <v>0.1033</v>
      </c>
      <c r="E11">
        <v>0.1048</v>
      </c>
      <c r="F11">
        <v>16150175.85</v>
      </c>
      <c r="G11">
        <v>0.1048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-0.86607142857142849</v>
      </c>
      <c r="Q11">
        <f t="shared" ref="Q11" si="31">F11*P11</f>
        <v>-13987205.870089283</v>
      </c>
      <c r="R11">
        <f t="shared" ref="R11" si="32">R12+Q11</f>
        <v>-3021198676.6881852</v>
      </c>
      <c r="S11">
        <f t="shared" ref="S11" si="33">R11/100000</f>
        <v>-30211.986766881852</v>
      </c>
      <c r="T11">
        <f t="shared" ref="T11" si="34">S11/1000</f>
        <v>-30.21198676688185</v>
      </c>
    </row>
    <row r="12" spans="1:20" x14ac:dyDescent="0.25">
      <c r="A12" s="5">
        <v>44581</v>
      </c>
      <c r="B12">
        <v>0.1341</v>
      </c>
      <c r="C12">
        <v>0.13800000000000001</v>
      </c>
      <c r="D12">
        <v>0.123</v>
      </c>
      <c r="E12">
        <v>0.1241</v>
      </c>
      <c r="F12">
        <v>8507560.4499999993</v>
      </c>
      <c r="G12">
        <v>0.1241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-0.85333333333333294</v>
      </c>
      <c r="Q12">
        <f t="shared" ref="Q12" si="36">F12*P12</f>
        <v>-7259784.9173333291</v>
      </c>
      <c r="R12">
        <f t="shared" ref="R12" si="37">R13+Q12</f>
        <v>-3007211470.8180962</v>
      </c>
      <c r="S12">
        <f t="shared" ref="S12" si="38">R12/100000</f>
        <v>-30072.114708180961</v>
      </c>
      <c r="T12">
        <f t="shared" ref="T12" si="39">S12/1000</f>
        <v>-30.072114708180962</v>
      </c>
    </row>
    <row r="13" spans="1:20" x14ac:dyDescent="0.25">
      <c r="A13" s="5">
        <v>44580</v>
      </c>
      <c r="B13">
        <v>0.14069999999999999</v>
      </c>
      <c r="C13">
        <v>0.14180000000000001</v>
      </c>
      <c r="D13">
        <v>0.1333</v>
      </c>
      <c r="E13">
        <v>0.1343</v>
      </c>
      <c r="F13">
        <v>7818665</v>
      </c>
      <c r="G13">
        <v>0.1343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-0.76470588235294112</v>
      </c>
      <c r="Q13">
        <f t="shared" ref="Q13" si="41">F13*P13</f>
        <v>-5978979.1176470583</v>
      </c>
      <c r="R13">
        <f t="shared" ref="R13" si="42">R14+Q13</f>
        <v>-2999951685.900763</v>
      </c>
      <c r="S13">
        <f t="shared" ref="S13" si="43">R13/100000</f>
        <v>-29999.516859007632</v>
      </c>
      <c r="T13">
        <f t="shared" ref="T13" si="44">S13/1000</f>
        <v>-29.999516859007631</v>
      </c>
    </row>
    <row r="14" spans="1:20" x14ac:dyDescent="0.25">
      <c r="A14" s="5">
        <v>44579</v>
      </c>
      <c r="B14">
        <v>0.14230000000000001</v>
      </c>
      <c r="C14">
        <v>0.1489</v>
      </c>
      <c r="D14">
        <v>0.13789999999999999</v>
      </c>
      <c r="E14">
        <v>0.1409</v>
      </c>
      <c r="F14">
        <v>18286016</v>
      </c>
      <c r="G14">
        <v>0.1409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-0.45454545454545453</v>
      </c>
      <c r="Q14">
        <f t="shared" ref="Q14" si="46">F14*P14</f>
        <v>-8311825.4545454541</v>
      </c>
      <c r="R14">
        <f t="shared" ref="R14" si="47">R15+Q14</f>
        <v>-2993972706.7831159</v>
      </c>
      <c r="S14">
        <f t="shared" ref="S14" si="48">R14/100000</f>
        <v>-29939.727067831158</v>
      </c>
      <c r="T14">
        <f t="shared" ref="T14" si="49">S14/1000</f>
        <v>-29.939727067831157</v>
      </c>
    </row>
    <row r="15" spans="1:20" x14ac:dyDescent="0.25">
      <c r="A15" s="5">
        <v>44578</v>
      </c>
      <c r="B15">
        <v>0.14649999999999999</v>
      </c>
      <c r="C15">
        <v>0.1479</v>
      </c>
      <c r="D15">
        <v>0.13869999999999999</v>
      </c>
      <c r="E15">
        <v>0.14219999999999999</v>
      </c>
      <c r="F15">
        <v>12059901</v>
      </c>
      <c r="G15">
        <v>0.14219999999999999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-0.23913043478260915</v>
      </c>
      <c r="Q15">
        <f t="shared" ref="Q15" si="51">F15*P15</f>
        <v>-2883889.3695652229</v>
      </c>
      <c r="R15">
        <f t="shared" ref="R15" si="52">R16+Q15</f>
        <v>-2985660881.3285704</v>
      </c>
      <c r="S15">
        <f t="shared" ref="S15" si="53">R15/100000</f>
        <v>-29856.608813285704</v>
      </c>
      <c r="T15">
        <f t="shared" ref="T15" si="54">S15/1000</f>
        <v>-29.856608813285703</v>
      </c>
    </row>
    <row r="16" spans="1:20" x14ac:dyDescent="0.25">
      <c r="A16" s="5">
        <v>44577</v>
      </c>
      <c r="B16">
        <v>0.14380000000000001</v>
      </c>
      <c r="C16">
        <v>0.14979999999999999</v>
      </c>
      <c r="D16">
        <v>0.1424</v>
      </c>
      <c r="E16">
        <v>0.14660000000000001</v>
      </c>
      <c r="F16">
        <v>8837971</v>
      </c>
      <c r="G16">
        <v>0.14660000000000001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0.13513513513513919</v>
      </c>
      <c r="Q16">
        <f t="shared" ref="Q16" si="56">F16*P16</f>
        <v>1194320.4054054413</v>
      </c>
      <c r="R16">
        <f t="shared" ref="R16" si="57">R17+Q16</f>
        <v>-2982776991.9590054</v>
      </c>
      <c r="S16">
        <f t="shared" ref="S16" si="58">R16/100000</f>
        <v>-29827.769919590053</v>
      </c>
      <c r="T16">
        <f t="shared" ref="T16" si="59">S16/1000</f>
        <v>-29.827769919590054</v>
      </c>
    </row>
    <row r="17" spans="1:20" x14ac:dyDescent="0.25">
      <c r="A17" s="5">
        <v>44576</v>
      </c>
      <c r="B17">
        <v>0.14149999999999999</v>
      </c>
      <c r="C17">
        <v>0.1459</v>
      </c>
      <c r="D17">
        <v>0.14080000000000001</v>
      </c>
      <c r="E17">
        <v>0.1439</v>
      </c>
      <c r="F17">
        <v>5061992</v>
      </c>
      <c r="G17">
        <v>0.1439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0.21568627450980221</v>
      </c>
      <c r="Q17">
        <f t="shared" ref="Q17" si="61">F17*P17</f>
        <v>1091802.1960784227</v>
      </c>
      <c r="R17">
        <f t="shared" ref="R17" si="62">R18+Q17</f>
        <v>-2983971312.3644109</v>
      </c>
      <c r="S17">
        <f t="shared" ref="S17" si="63">R17/100000</f>
        <v>-29839.713123644109</v>
      </c>
      <c r="T17">
        <f t="shared" ref="T17" si="64">S17/1000</f>
        <v>-29.83971312364411</v>
      </c>
    </row>
    <row r="18" spans="1:20" x14ac:dyDescent="0.25">
      <c r="A18" s="5">
        <v>44575</v>
      </c>
      <c r="B18">
        <v>0.14130000000000001</v>
      </c>
      <c r="C18">
        <v>0.154</v>
      </c>
      <c r="D18">
        <v>0.1396</v>
      </c>
      <c r="E18">
        <v>0.14130000000000001</v>
      </c>
      <c r="F18">
        <v>19109920</v>
      </c>
      <c r="G18">
        <v>0.14130000000000001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-0.76388888888888784</v>
      </c>
      <c r="Q18">
        <f t="shared" ref="Q18" si="66">F18*P18</f>
        <v>-14597855.555555535</v>
      </c>
      <c r="R18">
        <f t="shared" ref="R18" si="67">R19+Q18</f>
        <v>-2985063114.5604892</v>
      </c>
      <c r="S18">
        <f t="shared" ref="S18" si="68">R18/100000</f>
        <v>-29850.631145604893</v>
      </c>
      <c r="T18">
        <f t="shared" ref="T18" si="69">S18/1000</f>
        <v>-29.850631145604893</v>
      </c>
    </row>
    <row r="19" spans="1:20" x14ac:dyDescent="0.25">
      <c r="A19" s="5">
        <v>44574</v>
      </c>
      <c r="B19">
        <v>0.14749999999999999</v>
      </c>
      <c r="C19">
        <v>0.1479</v>
      </c>
      <c r="D19">
        <v>0.14080000000000001</v>
      </c>
      <c r="E19">
        <v>0.14130000000000001</v>
      </c>
      <c r="F19">
        <v>8297811</v>
      </c>
      <c r="G19">
        <v>0.14130000000000001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-0.85915492957746453</v>
      </c>
      <c r="Q19">
        <f t="shared" ref="Q19" si="71">F19*P19</f>
        <v>-7129105.2253521103</v>
      </c>
      <c r="R19">
        <f t="shared" ref="R19" si="72">R20+Q19</f>
        <v>-2970465259.0049338</v>
      </c>
      <c r="S19">
        <f t="shared" ref="S19" si="73">R19/100000</f>
        <v>-29704.65259004934</v>
      </c>
      <c r="T19">
        <f t="shared" ref="T19" si="74">S19/1000</f>
        <v>-29.704652590049339</v>
      </c>
    </row>
    <row r="20" spans="1:20" x14ac:dyDescent="0.25">
      <c r="A20" s="5">
        <v>44573</v>
      </c>
      <c r="B20">
        <v>0.1421</v>
      </c>
      <c r="C20">
        <v>0.155</v>
      </c>
      <c r="D20">
        <v>0.14080000000000001</v>
      </c>
      <c r="E20">
        <v>0.14749999999999999</v>
      </c>
      <c r="F20">
        <v>19200697</v>
      </c>
      <c r="G20">
        <v>0.14749999999999999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-5.6338028169015737E-2</v>
      </c>
      <c r="Q20">
        <f t="shared" ref="Q20" si="76">F20*P20</f>
        <v>-1081729.408450736</v>
      </c>
      <c r="R20">
        <f t="shared" ref="R20" si="77">R21+Q20</f>
        <v>-2963336153.7795815</v>
      </c>
      <c r="S20">
        <f t="shared" ref="S20" si="78">R20/100000</f>
        <v>-29633.361537795816</v>
      </c>
      <c r="T20">
        <f t="shared" ref="T20" si="79">S20/1000</f>
        <v>-29.633361537795817</v>
      </c>
    </row>
    <row r="21" spans="1:20" x14ac:dyDescent="0.25">
      <c r="A21" s="5">
        <v>44572</v>
      </c>
      <c r="B21">
        <v>0.14319999999999999</v>
      </c>
      <c r="C21">
        <v>0.1469</v>
      </c>
      <c r="D21">
        <v>0.1386</v>
      </c>
      <c r="E21">
        <v>0.14169999999999999</v>
      </c>
      <c r="F21">
        <v>9160524</v>
      </c>
      <c r="G21">
        <v>0.14169999999999999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-0.25301204819277329</v>
      </c>
      <c r="Q21">
        <f t="shared" ref="Q21" si="81">F21*P21</f>
        <v>-2317722.9397590565</v>
      </c>
      <c r="R21">
        <f t="shared" ref="R21" si="82">R22+Q21</f>
        <v>-2962254424.3711309</v>
      </c>
      <c r="S21">
        <f t="shared" ref="S21" si="83">R21/100000</f>
        <v>-29622.544243711309</v>
      </c>
      <c r="T21">
        <f t="shared" ref="T21" si="84">S21/1000</f>
        <v>-29.62254424371131</v>
      </c>
    </row>
    <row r="22" spans="1:20" x14ac:dyDescent="0.25">
      <c r="A22" s="5">
        <v>44571</v>
      </c>
      <c r="B22">
        <v>0.13850000000000001</v>
      </c>
      <c r="C22">
        <v>0.14699999999999999</v>
      </c>
      <c r="D22">
        <v>0.13700000000000001</v>
      </c>
      <c r="E22">
        <v>0.14319999999999999</v>
      </c>
      <c r="F22">
        <v>19957381</v>
      </c>
      <c r="G22">
        <v>0.14319999999999999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0.23999999999999899</v>
      </c>
      <c r="Q22">
        <f t="shared" ref="Q22" si="86">F22*P22</f>
        <v>4789771.4399999799</v>
      </c>
      <c r="R22">
        <f t="shared" ref="R22" si="87">R23+Q22</f>
        <v>-2959936701.4313717</v>
      </c>
      <c r="S22">
        <f t="shared" ref="S22" si="88">R22/100000</f>
        <v>-29599.367014313717</v>
      </c>
      <c r="T22">
        <f t="shared" ref="T22" si="89">S22/1000</f>
        <v>-29.599367014313717</v>
      </c>
    </row>
    <row r="23" spans="1:20" x14ac:dyDescent="0.25">
      <c r="A23" s="5">
        <v>44570</v>
      </c>
      <c r="B23">
        <v>0.13880000000000001</v>
      </c>
      <c r="C23">
        <v>0.14269999999999999</v>
      </c>
      <c r="D23">
        <v>0.13789999999999999</v>
      </c>
      <c r="E23">
        <v>0.13850000000000001</v>
      </c>
      <c r="F23">
        <v>5235247</v>
      </c>
      <c r="G23">
        <v>0.13850000000000001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-0.74999999999999278</v>
      </c>
      <c r="Q23">
        <f t="shared" ref="Q23" si="91">F23*P23</f>
        <v>-3926435.2499999623</v>
      </c>
      <c r="R23">
        <f t="shared" ref="R23" si="92">R24+Q23</f>
        <v>-2964726472.8713717</v>
      </c>
      <c r="S23">
        <f t="shared" ref="S23" si="93">R23/100000</f>
        <v>-29647.264728713719</v>
      </c>
      <c r="T23">
        <f t="shared" ref="T23" si="94">S23/1000</f>
        <v>-29.647264728713719</v>
      </c>
    </row>
    <row r="24" spans="1:20" x14ac:dyDescent="0.25">
      <c r="A24" s="5">
        <v>44569</v>
      </c>
      <c r="B24">
        <v>0.15</v>
      </c>
      <c r="C24">
        <v>0.158</v>
      </c>
      <c r="D24">
        <v>0.13650000000000001</v>
      </c>
      <c r="E24">
        <v>0.13900000000000001</v>
      </c>
      <c r="F24">
        <v>17849190</v>
      </c>
      <c r="G24">
        <v>0.13900000000000001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-0.76744186046511598</v>
      </c>
      <c r="Q24">
        <f t="shared" ref="Q24" si="96">F24*P24</f>
        <v>-13698215.581395343</v>
      </c>
      <c r="R24">
        <f t="shared" ref="R24" si="97">R25+Q24</f>
        <v>-2960800037.6213717</v>
      </c>
      <c r="S24">
        <f t="shared" ref="S24" si="98">R24/100000</f>
        <v>-29608.000376213717</v>
      </c>
      <c r="T24">
        <f t="shared" ref="T24" si="99">S24/1000</f>
        <v>-29.608000376213717</v>
      </c>
    </row>
    <row r="25" spans="1:20" x14ac:dyDescent="0.25">
      <c r="A25" s="5">
        <v>44568</v>
      </c>
      <c r="B25">
        <v>0.14460000000000001</v>
      </c>
      <c r="C25">
        <v>0.1595</v>
      </c>
      <c r="D25">
        <v>0.13700000000000001</v>
      </c>
      <c r="E25">
        <v>0.15</v>
      </c>
      <c r="F25">
        <v>36737640</v>
      </c>
      <c r="G25">
        <v>0.15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0.1555555555555545</v>
      </c>
      <c r="Q25">
        <f t="shared" ref="Q25" si="101">F25*P25</f>
        <v>5714743.9999999609</v>
      </c>
      <c r="R25">
        <f t="shared" ref="R25" si="102">R26+Q25</f>
        <v>-2947101822.0399766</v>
      </c>
      <c r="S25">
        <f t="shared" ref="S25" si="103">R25/100000</f>
        <v>-29471.018220399765</v>
      </c>
      <c r="T25">
        <f t="shared" ref="T25" si="104">S25/1000</f>
        <v>-29.471018220399763</v>
      </c>
    </row>
    <row r="26" spans="1:20" x14ac:dyDescent="0.25">
      <c r="A26" s="5">
        <v>44567</v>
      </c>
      <c r="B26">
        <v>0.15210000000000001</v>
      </c>
      <c r="C26">
        <v>0.15229999999999999</v>
      </c>
      <c r="D26">
        <v>0.14019999999999999</v>
      </c>
      <c r="E26">
        <v>0.14460000000000001</v>
      </c>
      <c r="F26">
        <v>11025783</v>
      </c>
      <c r="G26">
        <v>0.14460000000000001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-0.27272727272727021</v>
      </c>
      <c r="Q26">
        <f t="shared" ref="Q26" si="106">F26*P26</f>
        <v>-3007031.7272726996</v>
      </c>
      <c r="R26">
        <f t="shared" ref="R26" si="107">R27+Q26</f>
        <v>-2952816566.0399766</v>
      </c>
      <c r="S26">
        <f t="shared" ref="S26" si="108">R26/100000</f>
        <v>-29528.165660399765</v>
      </c>
      <c r="T26">
        <f t="shared" ref="T26" si="109">S26/1000</f>
        <v>-29.528165660399765</v>
      </c>
    </row>
    <row r="27" spans="1:20" x14ac:dyDescent="0.25">
      <c r="A27" s="5">
        <v>44566</v>
      </c>
      <c r="B27">
        <v>0.1578</v>
      </c>
      <c r="C27">
        <v>0.16350000000000001</v>
      </c>
      <c r="D27">
        <v>0.14699999999999999</v>
      </c>
      <c r="E27">
        <v>0.15210000000000001</v>
      </c>
      <c r="F27">
        <v>23256732</v>
      </c>
      <c r="G27">
        <v>0.15210000000000001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-0.38181818181817978</v>
      </c>
      <c r="Q27">
        <f t="shared" ref="Q27" si="111">F27*P27</f>
        <v>-8879843.1272726804</v>
      </c>
      <c r="R27">
        <f t="shared" ref="R27" si="112">R28+Q27</f>
        <v>-2949809534.3127041</v>
      </c>
      <c r="S27">
        <f t="shared" ref="S27" si="113">R27/100000</f>
        <v>-29498.095343127039</v>
      </c>
      <c r="T27">
        <f t="shared" ref="T27" si="114">S27/1000</f>
        <v>-29.498095343127041</v>
      </c>
    </row>
    <row r="28" spans="1:20" x14ac:dyDescent="0.25">
      <c r="A28" s="5">
        <v>44565</v>
      </c>
      <c r="B28">
        <v>0.15970000000000001</v>
      </c>
      <c r="C28">
        <v>0.16250000000000001</v>
      </c>
      <c r="D28">
        <v>0.156</v>
      </c>
      <c r="E28">
        <v>0.1578</v>
      </c>
      <c r="F28">
        <v>10603414</v>
      </c>
      <c r="G28">
        <v>0.1578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-0.44615384615384784</v>
      </c>
      <c r="Q28">
        <f t="shared" ref="Q28" si="116">F28*P28</f>
        <v>-4730753.9384615561</v>
      </c>
      <c r="R28">
        <f t="shared" ref="R28" si="117">R29+Q28</f>
        <v>-2940929691.1854315</v>
      </c>
      <c r="S28">
        <f t="shared" ref="S28" si="118">R28/100000</f>
        <v>-29409.296911854315</v>
      </c>
      <c r="T28">
        <f t="shared" ref="T28" si="119">S28/1000</f>
        <v>-29.409296911854316</v>
      </c>
    </row>
    <row r="29" spans="1:20" x14ac:dyDescent="0.25">
      <c r="A29" s="5">
        <v>44564</v>
      </c>
      <c r="B29">
        <v>0.16250000000000001</v>
      </c>
      <c r="C29">
        <v>0.16850000000000001</v>
      </c>
      <c r="D29">
        <v>0.1573</v>
      </c>
      <c r="E29">
        <v>0.15970000000000001</v>
      </c>
      <c r="F29">
        <v>15496881</v>
      </c>
      <c r="G29">
        <v>0.15970000000000001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-0.57142857142856962</v>
      </c>
      <c r="Q29">
        <f t="shared" ref="Q29" si="121">F29*P29</f>
        <v>-8855360.571428543</v>
      </c>
      <c r="R29">
        <f t="shared" ref="R29" si="122">R30+Q29</f>
        <v>-2936198937.2469697</v>
      </c>
      <c r="S29">
        <f t="shared" ref="S29" si="123">R29/100000</f>
        <v>-29361.989372469696</v>
      </c>
      <c r="T29">
        <f t="shared" ref="T29" si="124">S29/1000</f>
        <v>-29.361989372469697</v>
      </c>
    </row>
    <row r="30" spans="1:20" x14ac:dyDescent="0.25">
      <c r="A30" s="5">
        <v>44563</v>
      </c>
      <c r="B30">
        <v>0.1618</v>
      </c>
      <c r="C30">
        <v>0.16500000000000001</v>
      </c>
      <c r="D30">
        <v>0.159</v>
      </c>
      <c r="E30">
        <v>0.16250000000000001</v>
      </c>
      <c r="F30">
        <v>12104089</v>
      </c>
      <c r="G30">
        <v>0.16250000000000001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0.16666666666666666</v>
      </c>
      <c r="Q30">
        <f t="shared" ref="Q30" si="126">F30*P30</f>
        <v>2017348.1666666665</v>
      </c>
      <c r="R30">
        <f t="shared" ref="R30" si="127">R31+Q30</f>
        <v>-2927343576.6755409</v>
      </c>
      <c r="S30">
        <f t="shared" ref="S30" si="128">R30/100000</f>
        <v>-29273.43576675541</v>
      </c>
      <c r="T30">
        <f t="shared" ref="T30" si="129">S30/1000</f>
        <v>-29.273435766755412</v>
      </c>
    </row>
    <row r="31" spans="1:20" x14ac:dyDescent="0.25">
      <c r="A31" s="5">
        <v>44562</v>
      </c>
      <c r="B31">
        <v>0.15920000000000001</v>
      </c>
      <c r="C31">
        <v>0.16339999999999999</v>
      </c>
      <c r="D31">
        <v>0.1585</v>
      </c>
      <c r="E31">
        <v>0.1615</v>
      </c>
      <c r="F31">
        <v>6627903</v>
      </c>
      <c r="G31">
        <v>0.1615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0.22448979591837151</v>
      </c>
      <c r="Q31">
        <f t="shared" ref="Q31" si="131">F31*P31</f>
        <v>1487896.5918367624</v>
      </c>
      <c r="R31">
        <f t="shared" ref="R31" si="132">R32+Q31</f>
        <v>-2929360924.8422074</v>
      </c>
      <c r="S31">
        <f t="shared" ref="S31" si="133">R31/100000</f>
        <v>-29293.609248422075</v>
      </c>
      <c r="T31">
        <f t="shared" ref="T31" si="134">S31/1000</f>
        <v>-29.293609248422076</v>
      </c>
    </row>
    <row r="32" spans="1:20" x14ac:dyDescent="0.25">
      <c r="A32" s="5">
        <v>44561</v>
      </c>
      <c r="B32">
        <v>0.16170000000000001</v>
      </c>
      <c r="C32">
        <v>0.16750000000000001</v>
      </c>
      <c r="D32">
        <v>0.1583</v>
      </c>
      <c r="E32">
        <v>0.15939999999999999</v>
      </c>
      <c r="F32">
        <v>13007755</v>
      </c>
      <c r="G32">
        <v>0.15939999999999999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-0.76086956521739391</v>
      </c>
      <c r="Q32">
        <f t="shared" ref="Q32" si="136">F32*P32</f>
        <v>-9897204.8913043812</v>
      </c>
      <c r="R32">
        <f t="shared" ref="R32" si="137">R33+Q32</f>
        <v>-2930848821.4340444</v>
      </c>
      <c r="S32">
        <f t="shared" ref="S32" si="138">R32/100000</f>
        <v>-29308.488214340443</v>
      </c>
      <c r="T32">
        <f t="shared" ref="T32" si="139">S32/1000</f>
        <v>-29.308488214340443</v>
      </c>
    </row>
    <row r="33" spans="1:20" x14ac:dyDescent="0.25">
      <c r="A33" s="5">
        <v>44560</v>
      </c>
      <c r="B33">
        <v>0.1603</v>
      </c>
      <c r="C33">
        <v>0.17</v>
      </c>
      <c r="D33">
        <v>0.15870000000000001</v>
      </c>
      <c r="E33">
        <v>0.16189999999999999</v>
      </c>
      <c r="F33">
        <v>22563273</v>
      </c>
      <c r="G33">
        <v>0.16189999999999999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-0.43362831858407447</v>
      </c>
      <c r="Q33">
        <f t="shared" ref="Q33" si="141">F33*P33</f>
        <v>-9784074.1327434462</v>
      </c>
      <c r="R33">
        <f t="shared" ref="R33" si="142">R34+Q33</f>
        <v>-2920951616.5427399</v>
      </c>
      <c r="S33">
        <f t="shared" ref="S33" si="143">R33/100000</f>
        <v>-29209.516165427398</v>
      </c>
      <c r="T33">
        <f t="shared" ref="T33" si="144">S33/1000</f>
        <v>-29.209516165427399</v>
      </c>
    </row>
    <row r="34" spans="1:20" x14ac:dyDescent="0.25">
      <c r="A34" s="5">
        <v>44559</v>
      </c>
      <c r="B34">
        <v>0.15909999999999999</v>
      </c>
      <c r="C34">
        <v>0.17499999999999999</v>
      </c>
      <c r="D34">
        <v>0.15310000000000001</v>
      </c>
      <c r="E34">
        <v>0.16020000000000001</v>
      </c>
      <c r="F34">
        <v>38066487</v>
      </c>
      <c r="G34">
        <v>0.16020000000000001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-0.35159817351598144</v>
      </c>
      <c r="Q34">
        <f t="shared" ref="Q34" si="146">F34*P34</f>
        <v>-13384107.301369851</v>
      </c>
      <c r="R34">
        <f t="shared" ref="R34" si="147">R35+Q34</f>
        <v>-2911167542.4099965</v>
      </c>
      <c r="S34">
        <f t="shared" ref="S34" si="148">R34/100000</f>
        <v>-29111.675424099965</v>
      </c>
      <c r="T34">
        <f t="shared" ref="T34" si="149">S34/1000</f>
        <v>-29.111675424099964</v>
      </c>
    </row>
    <row r="35" spans="1:20" x14ac:dyDescent="0.25">
      <c r="A35" s="5">
        <v>44558</v>
      </c>
      <c r="B35">
        <v>0.16400000000000001</v>
      </c>
      <c r="C35">
        <v>0.1668</v>
      </c>
      <c r="D35">
        <v>0.15329999999999999</v>
      </c>
      <c r="E35">
        <v>0.1588</v>
      </c>
      <c r="F35">
        <v>21835474</v>
      </c>
      <c r="G35">
        <v>0.1588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-0.18518518518518517</v>
      </c>
      <c r="Q35">
        <f t="shared" ref="Q35" si="151">F35*P35</f>
        <v>-4043606.2962962962</v>
      </c>
      <c r="R35">
        <f t="shared" ref="R35" si="152">R36+Q35</f>
        <v>-2897783435.1086268</v>
      </c>
      <c r="S35">
        <f t="shared" ref="S35" si="153">R35/100000</f>
        <v>-28977.834351086269</v>
      </c>
      <c r="T35">
        <f t="shared" ref="T35" si="154">S35/1000</f>
        <v>-28.977834351086269</v>
      </c>
    </row>
    <row r="36" spans="1:20" x14ac:dyDescent="0.25">
      <c r="A36" s="5">
        <v>44557</v>
      </c>
      <c r="B36">
        <v>0.16389999999999999</v>
      </c>
      <c r="C36">
        <v>0.18479999999999999</v>
      </c>
      <c r="D36">
        <v>0.16350000000000001</v>
      </c>
      <c r="E36">
        <v>0.1641</v>
      </c>
      <c r="F36">
        <v>30380207</v>
      </c>
      <c r="G36">
        <v>0.1641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-0.94366197183098688</v>
      </c>
      <c r="Q36">
        <f t="shared" ref="Q36" si="156">F36*P36</f>
        <v>-28668646.04225355</v>
      </c>
      <c r="R36">
        <f t="shared" ref="R36" si="157">R37+Q36</f>
        <v>-2893739828.8123307</v>
      </c>
      <c r="S36">
        <f t="shared" ref="S36" si="158">R36/100000</f>
        <v>-28937.398288123306</v>
      </c>
      <c r="T36">
        <f t="shared" ref="T36" si="159">S36/1000</f>
        <v>-28.937398288123305</v>
      </c>
    </row>
    <row r="37" spans="1:20" x14ac:dyDescent="0.25">
      <c r="A37" s="5">
        <v>44556</v>
      </c>
      <c r="B37">
        <v>0.1636</v>
      </c>
      <c r="C37">
        <v>0.16520000000000001</v>
      </c>
      <c r="D37">
        <v>0.15620000000000001</v>
      </c>
      <c r="E37">
        <v>0.16389999999999999</v>
      </c>
      <c r="F37">
        <v>14403206</v>
      </c>
      <c r="G37">
        <v>0.16389999999999999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0.71111111111110614</v>
      </c>
      <c r="Q37">
        <f t="shared" ref="Q37" si="161">F37*P37</f>
        <v>10242279.822222151</v>
      </c>
      <c r="R37">
        <f t="shared" ref="R37" si="162">R38+Q37</f>
        <v>-2865071182.7700772</v>
      </c>
      <c r="S37">
        <f t="shared" ref="S37" si="163">R37/100000</f>
        <v>-28650.711827700772</v>
      </c>
      <c r="T37">
        <f t="shared" ref="T37" si="164">S37/1000</f>
        <v>-28.650711827700771</v>
      </c>
    </row>
    <row r="38" spans="1:20" x14ac:dyDescent="0.25">
      <c r="A38" s="5">
        <v>44555</v>
      </c>
      <c r="B38">
        <v>0.15859999999999999</v>
      </c>
      <c r="C38">
        <v>0.1777</v>
      </c>
      <c r="D38">
        <v>0.15770000000000001</v>
      </c>
      <c r="E38">
        <v>0.16339999999999999</v>
      </c>
      <c r="F38">
        <v>32027111</v>
      </c>
      <c r="G38">
        <v>0.16339999999999999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-0.43000000000000144</v>
      </c>
      <c r="Q38">
        <f t="shared" ref="Q38" si="166">F38*P38</f>
        <v>-13771657.730000045</v>
      </c>
      <c r="R38">
        <f t="shared" ref="R38" si="167">R39+Q38</f>
        <v>-2875313462.5922995</v>
      </c>
      <c r="S38">
        <f t="shared" ref="S38" si="168">R38/100000</f>
        <v>-28753.134625922994</v>
      </c>
      <c r="T38">
        <f t="shared" ref="T38" si="169">S38/1000</f>
        <v>-28.753134625922993</v>
      </c>
    </row>
    <row r="39" spans="1:20" x14ac:dyDescent="0.25">
      <c r="A39" s="5">
        <v>44554</v>
      </c>
      <c r="B39">
        <v>0.155</v>
      </c>
      <c r="C39">
        <v>0.16839999999999999</v>
      </c>
      <c r="D39">
        <v>0.15479999999999999</v>
      </c>
      <c r="E39">
        <v>0.1585</v>
      </c>
      <c r="F39">
        <v>28061133</v>
      </c>
      <c r="G39">
        <v>0.1585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-0.45588235294117518</v>
      </c>
      <c r="Q39">
        <f t="shared" ref="Q39" si="171">F39*P39</f>
        <v>-12792575.338235257</v>
      </c>
      <c r="R39">
        <f t="shared" ref="R39" si="172">R40+Q39</f>
        <v>-2861541804.8622994</v>
      </c>
      <c r="S39">
        <f t="shared" ref="S39" si="173">R39/100000</f>
        <v>-28615.418048622996</v>
      </c>
      <c r="T39">
        <f t="shared" ref="T39" si="174">S39/1000</f>
        <v>-28.615418048622995</v>
      </c>
    </row>
    <row r="40" spans="1:20" x14ac:dyDescent="0.25">
      <c r="A40" s="5">
        <v>44553</v>
      </c>
      <c r="B40">
        <v>0.14960000000000001</v>
      </c>
      <c r="C40">
        <v>0.16120000000000001</v>
      </c>
      <c r="D40">
        <v>0.1459</v>
      </c>
      <c r="E40">
        <v>0.155</v>
      </c>
      <c r="F40">
        <v>22492197</v>
      </c>
      <c r="G40">
        <v>0.155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0.18954248366012971</v>
      </c>
      <c r="Q40">
        <f t="shared" ref="Q40" si="176">F40*P40</f>
        <v>4263226.8823529184</v>
      </c>
      <c r="R40">
        <f t="shared" ref="R40" si="177">R41+Q40</f>
        <v>-2848749229.5240641</v>
      </c>
      <c r="S40">
        <f t="shared" ref="S40" si="178">R40/100000</f>
        <v>-28487.492295240641</v>
      </c>
      <c r="T40">
        <f t="shared" ref="T40" si="179">S40/1000</f>
        <v>-28.487492295240642</v>
      </c>
    </row>
    <row r="41" spans="1:20" x14ac:dyDescent="0.25">
      <c r="A41" s="5">
        <v>44552</v>
      </c>
      <c r="B41">
        <v>0.14599999999999999</v>
      </c>
      <c r="C41">
        <v>0.1585</v>
      </c>
      <c r="D41">
        <v>0.1454</v>
      </c>
      <c r="E41">
        <v>0.14979999999999999</v>
      </c>
      <c r="F41">
        <v>26614865</v>
      </c>
      <c r="G41">
        <v>0.14979999999999999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-0.3282442748091623</v>
      </c>
      <c r="Q41">
        <f t="shared" ref="Q41" si="181">F41*P41</f>
        <v>-8736177.0610687546</v>
      </c>
      <c r="R41">
        <f t="shared" ref="R41" si="182">R42+Q41</f>
        <v>-2853012456.4064169</v>
      </c>
      <c r="S41">
        <f t="shared" ref="S41" si="183">R41/100000</f>
        <v>-28530.124564064168</v>
      </c>
      <c r="T41">
        <f t="shared" ref="T41" si="184">S41/1000</f>
        <v>-28.530124564064167</v>
      </c>
    </row>
    <row r="42" spans="1:20" x14ac:dyDescent="0.25">
      <c r="A42" s="5">
        <v>44551</v>
      </c>
      <c r="B42">
        <v>0.14230000000000001</v>
      </c>
      <c r="C42">
        <v>0.15190000000000001</v>
      </c>
      <c r="D42">
        <v>0.14000000000000001</v>
      </c>
      <c r="E42">
        <v>0.14599999999999999</v>
      </c>
      <c r="F42">
        <v>15307330</v>
      </c>
      <c r="G42">
        <v>0.14599999999999999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8.4033613445345622E-3</v>
      </c>
      <c r="Q42">
        <f t="shared" ref="Q42" si="186">F42*P42</f>
        <v>128633.02521003423</v>
      </c>
      <c r="R42">
        <f t="shared" ref="R42" si="187">R43+Q42</f>
        <v>-2844276279.3453484</v>
      </c>
      <c r="S42">
        <f t="shared" ref="S42" si="188">R42/100000</f>
        <v>-28442.762793453483</v>
      </c>
      <c r="T42">
        <f t="shared" ref="T42" si="189">S42/1000</f>
        <v>-28.442762793453483</v>
      </c>
    </row>
    <row r="43" spans="1:20" x14ac:dyDescent="0.25">
      <c r="A43" s="5">
        <v>44550</v>
      </c>
      <c r="B43">
        <v>0.1487</v>
      </c>
      <c r="C43">
        <v>0.15060000000000001</v>
      </c>
      <c r="D43">
        <v>0.13650000000000001</v>
      </c>
      <c r="E43">
        <v>0.1424</v>
      </c>
      <c r="F43">
        <v>16531280</v>
      </c>
      <c r="G43">
        <v>0.1424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-0.16312056737588823</v>
      </c>
      <c r="Q43">
        <f t="shared" ref="Q43" si="191">F43*P43</f>
        <v>-2696591.7730496735</v>
      </c>
      <c r="R43">
        <f t="shared" ref="R43" si="192">R44+Q43</f>
        <v>-2844404912.3705583</v>
      </c>
      <c r="S43">
        <f t="shared" ref="S43" si="193">R43/100000</f>
        <v>-28444.049123705583</v>
      </c>
      <c r="T43">
        <f t="shared" ref="T43" si="194">S43/1000</f>
        <v>-28.444049123705582</v>
      </c>
    </row>
    <row r="44" spans="1:20" x14ac:dyDescent="0.25">
      <c r="A44" s="5">
        <v>44549</v>
      </c>
      <c r="B44">
        <v>0.16009999999999999</v>
      </c>
      <c r="C44">
        <v>0.1605</v>
      </c>
      <c r="D44">
        <v>0.14699999999999999</v>
      </c>
      <c r="E44">
        <v>0.14849999999999999</v>
      </c>
      <c r="F44">
        <v>15412946</v>
      </c>
      <c r="G44">
        <v>0.14849999999999999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-0.77777777777777779</v>
      </c>
      <c r="Q44">
        <f t="shared" ref="Q44" si="196">F44*P44</f>
        <v>-11987846.88888889</v>
      </c>
      <c r="R44">
        <f t="shared" ref="R44" si="197">R45+Q44</f>
        <v>-2841708320.5975084</v>
      </c>
      <c r="S44">
        <f t="shared" ref="S44" si="198">R44/100000</f>
        <v>-28417.083205975083</v>
      </c>
      <c r="T44">
        <f t="shared" ref="T44" si="199">S44/1000</f>
        <v>-28.417083205975082</v>
      </c>
    </row>
    <row r="45" spans="1:20" x14ac:dyDescent="0.25">
      <c r="A45" s="5">
        <v>44548</v>
      </c>
      <c r="B45">
        <v>0.15640000000000001</v>
      </c>
      <c r="C45">
        <v>0.16500000000000001</v>
      </c>
      <c r="D45">
        <v>0.15310000000000001</v>
      </c>
      <c r="E45">
        <v>0.16009999999999999</v>
      </c>
      <c r="F45">
        <v>25290814</v>
      </c>
      <c r="G45">
        <v>0.16009999999999999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0.1764705882352911</v>
      </c>
      <c r="Q45">
        <f t="shared" ref="Q45" si="201">F45*P45</f>
        <v>4463084.8235293357</v>
      </c>
      <c r="R45">
        <f t="shared" ref="R45" si="202">R46+Q45</f>
        <v>-2829720473.7086196</v>
      </c>
      <c r="S45">
        <f t="shared" ref="S45" si="203">R45/100000</f>
        <v>-28297.204737086195</v>
      </c>
      <c r="T45">
        <f t="shared" ref="T45" si="204">S45/1000</f>
        <v>-28.297204737086194</v>
      </c>
    </row>
    <row r="46" spans="1:20" x14ac:dyDescent="0.25">
      <c r="A46" s="5">
        <v>44547</v>
      </c>
      <c r="B46">
        <v>0.16819999999999999</v>
      </c>
      <c r="C46">
        <v>0.1925</v>
      </c>
      <c r="D46">
        <v>0.15609999999999999</v>
      </c>
      <c r="E46">
        <v>0.15640000000000001</v>
      </c>
      <c r="F46">
        <v>158231921</v>
      </c>
      <c r="G46">
        <v>0.15640000000000001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-0.98351648351648224</v>
      </c>
      <c r="Q46">
        <f t="shared" ref="Q46" si="206">F46*P46</f>
        <v>-155623702.52197781</v>
      </c>
      <c r="R46">
        <f t="shared" ref="R46" si="207">R47+Q46</f>
        <v>-2834183558.5321488</v>
      </c>
      <c r="S46">
        <f t="shared" ref="S46" si="208">R46/100000</f>
        <v>-28341.835585321489</v>
      </c>
      <c r="T46">
        <f t="shared" ref="T46" si="209">S46/1000</f>
        <v>-28.34183558532149</v>
      </c>
    </row>
    <row r="47" spans="1:20" x14ac:dyDescent="0.25">
      <c r="A47" s="5">
        <v>44546</v>
      </c>
      <c r="B47">
        <v>0.14099999999999999</v>
      </c>
      <c r="C47">
        <v>0.2</v>
      </c>
      <c r="D47">
        <v>0.14099999999999999</v>
      </c>
      <c r="E47">
        <v>0.16800000000000001</v>
      </c>
      <c r="F47">
        <v>158322208</v>
      </c>
      <c r="G47">
        <v>0.16800000000000001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-8.4745762711863973E-2</v>
      </c>
      <c r="Q47">
        <f t="shared" ref="Q47" si="211">F47*P47</f>
        <v>-13417136.271186372</v>
      </c>
      <c r="R47">
        <f t="shared" ref="R47" si="212">R48+Q47</f>
        <v>-2678559856.0101709</v>
      </c>
      <c r="S47">
        <f t="shared" ref="S47" si="213">R47/100000</f>
        <v>-26785.598560101709</v>
      </c>
      <c r="T47">
        <f t="shared" ref="T47" si="214">S47/1000</f>
        <v>-26.785598560101707</v>
      </c>
    </row>
    <row r="48" spans="1:20" x14ac:dyDescent="0.25">
      <c r="A48" s="5">
        <v>44545</v>
      </c>
      <c r="B48">
        <v>0.14080000000000001</v>
      </c>
      <c r="C48">
        <v>0.14430000000000001</v>
      </c>
      <c r="D48">
        <v>0.13170000000000001</v>
      </c>
      <c r="E48">
        <v>0.14099999999999999</v>
      </c>
      <c r="F48">
        <v>18176229</v>
      </c>
      <c r="G48">
        <v>0.14099999999999999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0.47619047619047222</v>
      </c>
      <c r="Q48">
        <f t="shared" ref="Q48" si="216">F48*P48</f>
        <v>8655347.142857071</v>
      </c>
      <c r="R48">
        <f t="shared" ref="R48" si="217">R49+Q48</f>
        <v>-2665142719.7389846</v>
      </c>
      <c r="S48">
        <f t="shared" ref="S48" si="218">R48/100000</f>
        <v>-26651.427197389847</v>
      </c>
      <c r="T48">
        <f t="shared" ref="T48" si="219">S48/1000</f>
        <v>-26.651427197389847</v>
      </c>
    </row>
    <row r="49" spans="1:20" x14ac:dyDescent="0.25">
      <c r="A49" s="5">
        <v>44544</v>
      </c>
      <c r="B49">
        <v>0.14169999999999999</v>
      </c>
      <c r="C49">
        <v>0.14430000000000001</v>
      </c>
      <c r="D49">
        <v>0.1336</v>
      </c>
      <c r="E49">
        <v>0.14099999999999999</v>
      </c>
      <c r="F49">
        <v>20977685.140000001</v>
      </c>
      <c r="G49">
        <v>0.14099999999999999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0.3831775700934541</v>
      </c>
      <c r="Q49">
        <f t="shared" ref="Q49" si="221">F49*P49</f>
        <v>8038178.418130761</v>
      </c>
      <c r="R49">
        <f t="shared" ref="R49" si="222">R50+Q49</f>
        <v>-2673798066.8818417</v>
      </c>
      <c r="S49">
        <f t="shared" ref="S49" si="223">R49/100000</f>
        <v>-26737.980668818418</v>
      </c>
      <c r="T49">
        <f t="shared" ref="T49" si="224">S49/1000</f>
        <v>-26.73798066881842</v>
      </c>
    </row>
    <row r="50" spans="1:20" x14ac:dyDescent="0.25">
      <c r="A50" s="5">
        <v>44543</v>
      </c>
      <c r="B50">
        <v>0.16189999999999999</v>
      </c>
      <c r="C50">
        <v>0.1633</v>
      </c>
      <c r="D50">
        <v>0.13900000000000001</v>
      </c>
      <c r="E50">
        <v>0.14169999999999999</v>
      </c>
      <c r="F50">
        <v>18487707</v>
      </c>
      <c r="G50">
        <v>0.14169999999999999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-0.77777777777777934</v>
      </c>
      <c r="Q50">
        <f t="shared" ref="Q50" si="226">F50*P50</f>
        <v>-14379327.666666696</v>
      </c>
      <c r="R50">
        <f t="shared" ref="R50" si="227">R51+Q50</f>
        <v>-2681836245.2999725</v>
      </c>
      <c r="S50">
        <f t="shared" ref="S50" si="228">R50/100000</f>
        <v>-26818.362452999725</v>
      </c>
      <c r="T50">
        <f t="shared" ref="T50" si="229">S50/1000</f>
        <v>-26.818362452999725</v>
      </c>
    </row>
    <row r="51" spans="1:20" x14ac:dyDescent="0.25">
      <c r="A51" s="5">
        <v>44542</v>
      </c>
      <c r="B51">
        <v>0.16250000000000001</v>
      </c>
      <c r="C51">
        <v>0.17499999999999999</v>
      </c>
      <c r="D51">
        <v>0.158</v>
      </c>
      <c r="E51">
        <v>0.16189999999999999</v>
      </c>
      <c r="F51">
        <v>28896564</v>
      </c>
      <c r="G51">
        <v>0.16189999999999999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-0.54117647058823648</v>
      </c>
      <c r="Q51">
        <f t="shared" ref="Q51" si="231">F51*P51</f>
        <v>-15638140.517647093</v>
      </c>
      <c r="R51">
        <f t="shared" ref="R51" si="232">R52+Q51</f>
        <v>-2667456917.633306</v>
      </c>
      <c r="S51">
        <f t="shared" ref="S51" si="233">R51/100000</f>
        <v>-26674.569176333061</v>
      </c>
      <c r="T51">
        <f t="shared" ref="T51" si="234">S51/1000</f>
        <v>-26.674569176333062</v>
      </c>
    </row>
    <row r="52" spans="1:20" x14ac:dyDescent="0.25">
      <c r="A52" s="5">
        <v>44541</v>
      </c>
      <c r="B52">
        <v>0.16209999999999999</v>
      </c>
      <c r="C52">
        <v>0.16300000000000001</v>
      </c>
      <c r="D52">
        <v>0.15709999999999999</v>
      </c>
      <c r="E52">
        <v>0.1618</v>
      </c>
      <c r="F52">
        <v>1621313</v>
      </c>
      <c r="G52">
        <v>0.1618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0.59322033898304971</v>
      </c>
      <c r="Q52">
        <f t="shared" ref="Q52" si="236">F52*P52</f>
        <v>961795.84745762532</v>
      </c>
      <c r="R52">
        <f t="shared" ref="R52" si="237">R53+Q52</f>
        <v>-2651818777.1156588</v>
      </c>
      <c r="S52">
        <f t="shared" ref="S52" si="238">R52/100000</f>
        <v>-26518.187771156587</v>
      </c>
      <c r="T52">
        <f t="shared" ref="T52" si="239">S52/1000</f>
        <v>-26.518187771156587</v>
      </c>
    </row>
    <row r="53" spans="1:20" x14ac:dyDescent="0.25">
      <c r="A53" s="5">
        <v>44540</v>
      </c>
      <c r="B53">
        <v>0.1744</v>
      </c>
      <c r="C53">
        <v>0.1794</v>
      </c>
      <c r="D53">
        <v>0.1618</v>
      </c>
      <c r="E53">
        <v>0.16250000000000001</v>
      </c>
      <c r="F53">
        <v>23837595</v>
      </c>
      <c r="G53">
        <v>0.16250000000000001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-0.92045454545454475</v>
      </c>
      <c r="Q53">
        <f t="shared" ref="Q53" si="241">F53*P53</f>
        <v>-21941422.670454528</v>
      </c>
      <c r="R53">
        <f t="shared" ref="R53" si="242">R54+Q53</f>
        <v>-2652780572.9631162</v>
      </c>
      <c r="S53">
        <f t="shared" ref="S53" si="243">R53/100000</f>
        <v>-26527.80572963116</v>
      </c>
      <c r="T53">
        <f t="shared" ref="T53" si="244">S53/1000</f>
        <v>-26.527805729631162</v>
      </c>
    </row>
    <row r="54" spans="1:20" x14ac:dyDescent="0.25">
      <c r="A54" s="5">
        <v>44539</v>
      </c>
      <c r="B54">
        <v>0.17910000000000001</v>
      </c>
      <c r="C54">
        <v>0.19700000000000001</v>
      </c>
      <c r="D54">
        <v>0.1681</v>
      </c>
      <c r="E54">
        <v>0.1744</v>
      </c>
      <c r="F54">
        <v>54948338</v>
      </c>
      <c r="G54">
        <v>0.1744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-0.56401384083044992</v>
      </c>
      <c r="Q54">
        <f t="shared" ref="Q54" si="246">F54*P54</f>
        <v>-30991623.162629765</v>
      </c>
      <c r="R54">
        <f t="shared" ref="R54" si="247">R55+Q54</f>
        <v>-2630839150.2926617</v>
      </c>
      <c r="S54">
        <f t="shared" ref="S54" si="248">R54/100000</f>
        <v>-26308.391502926617</v>
      </c>
      <c r="T54">
        <f t="shared" ref="T54" si="249">S54/1000</f>
        <v>-26.308391502926618</v>
      </c>
    </row>
    <row r="55" spans="1:20" x14ac:dyDescent="0.25">
      <c r="A55" s="5">
        <v>44538</v>
      </c>
      <c r="B55">
        <v>0.1772</v>
      </c>
      <c r="C55">
        <v>0.1875</v>
      </c>
      <c r="D55">
        <v>0.17169999999999999</v>
      </c>
      <c r="E55">
        <v>0.17929999999999999</v>
      </c>
      <c r="F55">
        <v>36979616</v>
      </c>
      <c r="G55">
        <v>0.17929999999999999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-3.7974683544304867E-2</v>
      </c>
      <c r="Q55">
        <f t="shared" ref="Q55" si="251">F55*P55</f>
        <v>-1404289.2151899131</v>
      </c>
      <c r="R55">
        <f t="shared" ref="R55" si="252">R56+Q55</f>
        <v>-2599847527.1300321</v>
      </c>
      <c r="S55">
        <f t="shared" ref="S55" si="253">R55/100000</f>
        <v>-25998.475271300322</v>
      </c>
      <c r="T55">
        <f t="shared" ref="T55" si="254">S55/1000</f>
        <v>-25.998475271300322</v>
      </c>
    </row>
    <row r="56" spans="1:20" x14ac:dyDescent="0.25">
      <c r="A56" s="5">
        <v>44537</v>
      </c>
      <c r="B56">
        <v>0.1852</v>
      </c>
      <c r="C56">
        <v>0.193</v>
      </c>
      <c r="D56">
        <v>0.17380000000000001</v>
      </c>
      <c r="E56">
        <v>0.1762</v>
      </c>
      <c r="F56">
        <v>61917499</v>
      </c>
      <c r="G56">
        <v>0.1762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-0.75000000000000144</v>
      </c>
      <c r="Q56">
        <f t="shared" ref="Q56" si="256">F56*P56</f>
        <v>-46438124.250000089</v>
      </c>
      <c r="R56">
        <f t="shared" ref="R56" si="257">R57+Q56</f>
        <v>-2598443237.9148421</v>
      </c>
      <c r="S56">
        <f t="shared" ref="S56" si="258">R56/100000</f>
        <v>-25984.43237914842</v>
      </c>
      <c r="T56">
        <f t="shared" ref="T56" si="259">S56/1000</f>
        <v>-25.984432379148419</v>
      </c>
    </row>
    <row r="57" spans="1:20" x14ac:dyDescent="0.25">
      <c r="A57" s="5">
        <v>44536</v>
      </c>
      <c r="B57">
        <v>0.18859999999999999</v>
      </c>
      <c r="C57">
        <v>0.1928</v>
      </c>
      <c r="D57">
        <v>0.1666</v>
      </c>
      <c r="E57">
        <v>0.18490000000000001</v>
      </c>
      <c r="F57">
        <v>110692751</v>
      </c>
      <c r="G57">
        <v>0.18490000000000001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0.39694656488549696</v>
      </c>
      <c r="Q57">
        <f t="shared" ref="Q57" si="261">F57*P57</f>
        <v>43939107.26717566</v>
      </c>
      <c r="R57">
        <f t="shared" ref="R57" si="262">R58+Q57</f>
        <v>-2552005113.6648421</v>
      </c>
      <c r="S57">
        <f t="shared" ref="S57" si="263">R57/100000</f>
        <v>-25520.051136648421</v>
      </c>
      <c r="T57">
        <f t="shared" ref="T57" si="264">S57/1000</f>
        <v>-25.520051136648419</v>
      </c>
    </row>
    <row r="58" spans="1:20" x14ac:dyDescent="0.25">
      <c r="A58" s="5">
        <v>44535</v>
      </c>
      <c r="B58">
        <v>0.216</v>
      </c>
      <c r="C58">
        <v>0.2321</v>
      </c>
      <c r="D58">
        <v>0.18340000000000001</v>
      </c>
      <c r="E58">
        <v>0.1883</v>
      </c>
      <c r="F58">
        <v>130258365</v>
      </c>
      <c r="G58">
        <v>0.1883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-0.79876796714579101</v>
      </c>
      <c r="Q58">
        <f t="shared" ref="Q58" si="266">F58*P58</f>
        <v>-104046209.41478446</v>
      </c>
      <c r="R58">
        <f t="shared" ref="R58" si="267">R59+Q58</f>
        <v>-2595944220.9320178</v>
      </c>
      <c r="S58">
        <f t="shared" ref="S58" si="268">R58/100000</f>
        <v>-25959.442209320179</v>
      </c>
      <c r="T58">
        <f t="shared" ref="T58" si="269">S58/1000</f>
        <v>-25.95944220932018</v>
      </c>
    </row>
    <row r="59" spans="1:20" x14ac:dyDescent="0.25">
      <c r="A59" s="5">
        <v>44534</v>
      </c>
      <c r="B59">
        <v>0.29670000000000002</v>
      </c>
      <c r="C59">
        <v>0.36680000000000001</v>
      </c>
      <c r="D59">
        <v>0.161</v>
      </c>
      <c r="E59">
        <v>0.21590000000000001</v>
      </c>
      <c r="F59">
        <v>700636159</v>
      </c>
      <c r="G59">
        <v>0.21590000000000001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-0.46647230320699706</v>
      </c>
      <c r="Q59">
        <f t="shared" ref="Q59" si="271">F59*P59</f>
        <v>-326827362.79883379</v>
      </c>
      <c r="R59">
        <f t="shared" ref="R59" si="272">R60+Q59</f>
        <v>-2491898011.5172334</v>
      </c>
      <c r="S59">
        <f t="shared" ref="S59" si="273">R59/100000</f>
        <v>-24918.980115172333</v>
      </c>
      <c r="T59">
        <f t="shared" ref="T59" si="274">S59/1000</f>
        <v>-24.918980115172332</v>
      </c>
    </row>
    <row r="60" spans="1:20" x14ac:dyDescent="0.25">
      <c r="A60" s="5">
        <v>44533</v>
      </c>
      <c r="B60">
        <v>0.1966</v>
      </c>
      <c r="C60">
        <v>0.4375</v>
      </c>
      <c r="D60">
        <v>0.1923</v>
      </c>
      <c r="E60">
        <v>0.29649999999999999</v>
      </c>
      <c r="F60">
        <v>665766870.03999996</v>
      </c>
      <c r="G60">
        <v>0.29649999999999999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-0.15008156606851561</v>
      </c>
      <c r="Q60">
        <f t="shared" ref="Q60" si="276">F60*P60</f>
        <v>-99919334.492137104</v>
      </c>
      <c r="R60">
        <f t="shared" ref="R60" si="277">R61+Q60</f>
        <v>-2165070648.7183995</v>
      </c>
      <c r="S60">
        <f t="shared" ref="S60" si="278">R60/100000</f>
        <v>-21650.706487183994</v>
      </c>
      <c r="T60">
        <f t="shared" ref="T60" si="279">S60/1000</f>
        <v>-21.650706487183992</v>
      </c>
    </row>
    <row r="61" spans="1:20" x14ac:dyDescent="0.25">
      <c r="A61" s="5">
        <v>44532</v>
      </c>
      <c r="B61">
        <v>0.18640000000000001</v>
      </c>
      <c r="C61">
        <v>0.1976</v>
      </c>
      <c r="D61">
        <v>0.18</v>
      </c>
      <c r="E61">
        <v>0.19700000000000001</v>
      </c>
      <c r="F61">
        <v>18844996</v>
      </c>
      <c r="G61">
        <v>0.19700000000000001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0.93181818181818299</v>
      </c>
      <c r="Q61">
        <f t="shared" ref="Q61" si="281">F61*P61</f>
        <v>17560109.909090932</v>
      </c>
      <c r="R61">
        <f t="shared" ref="R61" si="282">R62+Q61</f>
        <v>-2065151314.2262626</v>
      </c>
      <c r="S61">
        <f t="shared" ref="S61" si="283">R61/100000</f>
        <v>-20651.513142262625</v>
      </c>
      <c r="T61">
        <f t="shared" ref="T61" si="284">S61/1000</f>
        <v>-20.651513142262626</v>
      </c>
    </row>
    <row r="62" spans="1:20" x14ac:dyDescent="0.25">
      <c r="A62" s="5">
        <v>44531</v>
      </c>
      <c r="B62">
        <v>0.1875</v>
      </c>
      <c r="C62">
        <v>0.19320000000000001</v>
      </c>
      <c r="D62">
        <v>0.18529999999999999</v>
      </c>
      <c r="E62">
        <v>0.18640000000000001</v>
      </c>
      <c r="F62">
        <v>12126125</v>
      </c>
      <c r="G62">
        <v>0.18640000000000001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-0.72151898734176834</v>
      </c>
      <c r="Q62">
        <f t="shared" ref="Q62" si="286">F62*P62</f>
        <v>-8749229.4303796999</v>
      </c>
      <c r="R62">
        <f t="shared" ref="R62" si="287">R63+Q62</f>
        <v>-2082711424.1353536</v>
      </c>
      <c r="S62">
        <f t="shared" ref="S62" si="288">R62/100000</f>
        <v>-20827.114241353534</v>
      </c>
      <c r="T62">
        <f t="shared" ref="T62" si="289">S62/1000</f>
        <v>-20.827114241353534</v>
      </c>
    </row>
    <row r="63" spans="1:20" x14ac:dyDescent="0.25">
      <c r="A63" s="5">
        <v>44530</v>
      </c>
      <c r="B63">
        <v>0.19259999999999999</v>
      </c>
      <c r="C63">
        <v>0.19489999999999999</v>
      </c>
      <c r="D63">
        <v>0.18609999999999999</v>
      </c>
      <c r="E63">
        <v>0.18779999999999999</v>
      </c>
      <c r="F63">
        <v>12054954</v>
      </c>
      <c r="G63">
        <v>0.18779999999999999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-0.61363636363636209</v>
      </c>
      <c r="Q63">
        <f t="shared" ref="Q63" si="291">F63*P63</f>
        <v>-7397358.1363636181</v>
      </c>
      <c r="R63">
        <f t="shared" ref="R63" si="292">R64+Q63</f>
        <v>-2073962194.7049739</v>
      </c>
      <c r="S63">
        <f t="shared" ref="S63" si="293">R63/100000</f>
        <v>-20739.621947049738</v>
      </c>
      <c r="T63">
        <f t="shared" ref="T63" si="294">S63/1000</f>
        <v>-20.739621947049738</v>
      </c>
    </row>
    <row r="64" spans="1:20" x14ac:dyDescent="0.25">
      <c r="A64" s="5">
        <v>44529</v>
      </c>
      <c r="B64">
        <v>0.2021</v>
      </c>
      <c r="C64">
        <v>0.2051</v>
      </c>
      <c r="D64">
        <v>0.19159999999999999</v>
      </c>
      <c r="E64">
        <v>0.19259999999999999</v>
      </c>
      <c r="F64">
        <v>17895434</v>
      </c>
      <c r="G64">
        <v>0.19259999999999999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-0.85185185185185186</v>
      </c>
      <c r="Q64">
        <f t="shared" ref="Q64" si="296">F64*P64</f>
        <v>-15244258.592592593</v>
      </c>
      <c r="R64">
        <f t="shared" ref="R64" si="297">R65+Q64</f>
        <v>-2066564836.5686104</v>
      </c>
      <c r="S64">
        <f t="shared" ref="S64" si="298">R64/100000</f>
        <v>-20665.648365686106</v>
      </c>
      <c r="T64">
        <f t="shared" ref="T64" si="299">S64/1000</f>
        <v>-20.665648365686106</v>
      </c>
    </row>
    <row r="65" spans="1:20" x14ac:dyDescent="0.25">
      <c r="A65" s="5">
        <v>44528</v>
      </c>
      <c r="B65">
        <v>0.19839999999999999</v>
      </c>
      <c r="C65">
        <v>0.20680000000000001</v>
      </c>
      <c r="D65">
        <v>0.188</v>
      </c>
      <c r="E65">
        <v>0.20219999999999999</v>
      </c>
      <c r="F65">
        <v>25148868</v>
      </c>
      <c r="G65">
        <v>0.20219999999999999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0.5106382978723385</v>
      </c>
      <c r="Q65">
        <f t="shared" ref="Q65" si="301">F65*P65</f>
        <v>12841975.148936123</v>
      </c>
      <c r="R65">
        <f t="shared" ref="R65" si="302">R66+Q65</f>
        <v>-2051320577.976018</v>
      </c>
      <c r="S65">
        <f t="shared" ref="S65" si="303">R65/100000</f>
        <v>-20513.205779760181</v>
      </c>
      <c r="T65">
        <f t="shared" ref="T65" si="304">S65/1000</f>
        <v>-20.513205779760181</v>
      </c>
    </row>
    <row r="66" spans="1:20" x14ac:dyDescent="0.25">
      <c r="A66" s="5">
        <v>44527</v>
      </c>
      <c r="B66">
        <v>0.19139999999999999</v>
      </c>
      <c r="C66">
        <v>0.22439999999999999</v>
      </c>
      <c r="D66">
        <v>0.18679999999999999</v>
      </c>
      <c r="E66">
        <v>0.1981</v>
      </c>
      <c r="F66">
        <v>27111538</v>
      </c>
      <c r="G66">
        <v>0.1981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-0.39893617021276562</v>
      </c>
      <c r="Q66">
        <f t="shared" ref="Q66" si="306">F66*P66</f>
        <v>-10815773.138297863</v>
      </c>
      <c r="R66">
        <f t="shared" ref="R66" si="307">R67+Q66</f>
        <v>-2064162553.124954</v>
      </c>
      <c r="S66">
        <f t="shared" ref="S66" si="308">R66/100000</f>
        <v>-20641.625531249541</v>
      </c>
      <c r="T66">
        <f t="shared" ref="T66" si="309">S66/1000</f>
        <v>-20.641625531249542</v>
      </c>
    </row>
    <row r="67" spans="1:20" x14ac:dyDescent="0.25">
      <c r="A67" s="5">
        <v>44526</v>
      </c>
      <c r="B67">
        <v>0.2039</v>
      </c>
      <c r="C67">
        <v>0.22900000000000001</v>
      </c>
      <c r="D67">
        <v>0.1812</v>
      </c>
      <c r="E67">
        <v>0.19209999999999999</v>
      </c>
      <c r="F67">
        <v>56418884</v>
      </c>
      <c r="G67">
        <v>0.19209999999999999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-0.54393305439330586</v>
      </c>
      <c r="Q67">
        <f t="shared" ref="Q67" si="311">F67*P67</f>
        <v>-30688095.899581615</v>
      </c>
      <c r="R67">
        <f t="shared" ref="R67" si="312">R68+Q67</f>
        <v>-2053346779.9866562</v>
      </c>
      <c r="S67">
        <f t="shared" ref="S67" si="313">R67/100000</f>
        <v>-20533.467799866561</v>
      </c>
      <c r="T67">
        <f t="shared" ref="T67" si="314">S67/1000</f>
        <v>-20.53346779986656</v>
      </c>
    </row>
    <row r="68" spans="1:20" x14ac:dyDescent="0.25">
      <c r="A68" s="5">
        <v>44525</v>
      </c>
      <c r="B68">
        <v>0.18240000000000001</v>
      </c>
      <c r="C68">
        <v>0.21</v>
      </c>
      <c r="D68">
        <v>0.18</v>
      </c>
      <c r="E68">
        <v>0.2039</v>
      </c>
      <c r="F68">
        <v>42203108</v>
      </c>
      <c r="G68">
        <v>0.2039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0.59333333333333371</v>
      </c>
      <c r="Q68">
        <f t="shared" ref="Q68" si="316">F68*P68</f>
        <v>25040510.746666681</v>
      </c>
      <c r="R68">
        <f t="shared" ref="R68" si="317">R69+Q68</f>
        <v>-2022658684.0870745</v>
      </c>
      <c r="S68">
        <f t="shared" ref="S68" si="318">R68/100000</f>
        <v>-20226.586840870747</v>
      </c>
      <c r="T68">
        <f t="shared" ref="T68" si="319">S68/1000</f>
        <v>-20.226586840870745</v>
      </c>
    </row>
    <row r="69" spans="1:20" x14ac:dyDescent="0.25">
      <c r="A69" s="5">
        <v>44524</v>
      </c>
      <c r="B69">
        <v>0.18079999999999999</v>
      </c>
      <c r="C69">
        <v>0.185</v>
      </c>
      <c r="D69">
        <v>0.1777</v>
      </c>
      <c r="E69">
        <v>0.1835</v>
      </c>
      <c r="F69">
        <v>3825010</v>
      </c>
      <c r="G69">
        <v>0.1835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0.58904109589041065</v>
      </c>
      <c r="Q69">
        <f t="shared" ref="Q69" si="321">F69*P69</f>
        <v>2253088.0821917797</v>
      </c>
      <c r="R69">
        <f t="shared" ref="R69" si="322">R70+Q69</f>
        <v>-2047699194.8337412</v>
      </c>
      <c r="S69">
        <f t="shared" ref="S69" si="323">R69/100000</f>
        <v>-20476.991948337411</v>
      </c>
      <c r="T69">
        <f t="shared" ref="T69" si="324">S69/1000</f>
        <v>-20.47699194833741</v>
      </c>
    </row>
    <row r="70" spans="1:20" x14ac:dyDescent="0.25">
      <c r="A70" s="5">
        <v>44523</v>
      </c>
      <c r="B70">
        <v>0.182</v>
      </c>
      <c r="C70">
        <v>0.18529999999999999</v>
      </c>
      <c r="D70">
        <v>0.1767</v>
      </c>
      <c r="E70">
        <v>0.18079999999999999</v>
      </c>
      <c r="F70">
        <v>14396543</v>
      </c>
      <c r="G70">
        <v>0.18079999999999999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-4.6511627906978097E-2</v>
      </c>
      <c r="Q70">
        <f t="shared" ref="Q70" si="326">F70*P70</f>
        <v>-669606.65116281016</v>
      </c>
      <c r="R70">
        <f t="shared" ref="R70" si="327">R71+Q70</f>
        <v>-2049952282.9159329</v>
      </c>
      <c r="S70">
        <f t="shared" ref="S70" si="328">R70/100000</f>
        <v>-20499.52282915933</v>
      </c>
      <c r="T70">
        <f t="shared" ref="T70" si="329">S70/1000</f>
        <v>-20.499522829159329</v>
      </c>
    </row>
    <row r="71" spans="1:20" x14ac:dyDescent="0.25">
      <c r="A71" s="5">
        <v>44522</v>
      </c>
      <c r="B71">
        <v>0.1915</v>
      </c>
      <c r="C71">
        <v>0.19339999999999999</v>
      </c>
      <c r="D71">
        <v>0.17699999999999999</v>
      </c>
      <c r="E71">
        <v>0.18210000000000001</v>
      </c>
      <c r="F71">
        <v>26873267</v>
      </c>
      <c r="G71">
        <v>0.18210000000000001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-0.37804878048780222</v>
      </c>
      <c r="Q71">
        <f t="shared" ref="Q71" si="331">F71*P71</f>
        <v>-10159405.817073099</v>
      </c>
      <c r="R71">
        <f t="shared" ref="R71" si="332">R72+Q71</f>
        <v>-2049282676.26477</v>
      </c>
      <c r="S71">
        <f t="shared" ref="S71" si="333">R71/100000</f>
        <v>-20492.826762647699</v>
      </c>
      <c r="T71">
        <f t="shared" ref="T71" si="334">S71/1000</f>
        <v>-20.492826762647699</v>
      </c>
    </row>
    <row r="72" spans="1:20" x14ac:dyDescent="0.25">
      <c r="A72" s="5">
        <v>44521</v>
      </c>
      <c r="B72">
        <v>0.20399999999999999</v>
      </c>
      <c r="C72">
        <v>0.24</v>
      </c>
      <c r="D72">
        <v>0.19</v>
      </c>
      <c r="E72">
        <v>0.19189999999999999</v>
      </c>
      <c r="F72">
        <v>95620323</v>
      </c>
      <c r="G72">
        <v>0.19189999999999999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-0.9240000000000006</v>
      </c>
      <c r="Q72">
        <f t="shared" ref="Q72" si="336">F72*P72</f>
        <v>-88353178.452000052</v>
      </c>
      <c r="R72">
        <f t="shared" ref="R72" si="337">R73+Q72</f>
        <v>-2039123270.4476969</v>
      </c>
      <c r="S72">
        <f t="shared" ref="S72" si="338">R72/100000</f>
        <v>-20391.23270447697</v>
      </c>
      <c r="T72">
        <f t="shared" ref="T72" si="339">S72/1000</f>
        <v>-20.39123270447697</v>
      </c>
    </row>
    <row r="73" spans="1:20" x14ac:dyDescent="0.25">
      <c r="A73" s="5">
        <v>44520</v>
      </c>
      <c r="B73">
        <v>0.17549999999999999</v>
      </c>
      <c r="C73">
        <v>0.23910000000000001</v>
      </c>
      <c r="D73">
        <v>0.17169999999999999</v>
      </c>
      <c r="E73">
        <v>0.2044</v>
      </c>
      <c r="F73">
        <v>95323716</v>
      </c>
      <c r="G73">
        <v>0.2044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-2.9673590504451057E-2</v>
      </c>
      <c r="Q73">
        <f t="shared" ref="Q73" si="341">F73*P73</f>
        <v>-2828596.9139465895</v>
      </c>
      <c r="R73">
        <f t="shared" ref="R73" si="342">R74+Q73</f>
        <v>-1950770091.9956968</v>
      </c>
      <c r="S73">
        <f t="shared" ref="S73" si="343">R73/100000</f>
        <v>-19507.700919956969</v>
      </c>
      <c r="T73">
        <f t="shared" ref="T73" si="344">S73/1000</f>
        <v>-19.507700919956971</v>
      </c>
    </row>
    <row r="74" spans="1:20" x14ac:dyDescent="0.25">
      <c r="A74" s="5">
        <v>44519</v>
      </c>
      <c r="B74">
        <v>0.15920000000000001</v>
      </c>
      <c r="C74">
        <v>0.1774</v>
      </c>
      <c r="D74">
        <v>0.15540000000000001</v>
      </c>
      <c r="E74">
        <v>0.17530000000000001</v>
      </c>
      <c r="F74">
        <v>16251209</v>
      </c>
      <c r="G74">
        <v>0.17530000000000001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0.80909090909090986</v>
      </c>
      <c r="Q74">
        <f t="shared" ref="Q74" si="346">F74*P74</f>
        <v>13148705.463636376</v>
      </c>
      <c r="R74">
        <f t="shared" ref="R74" si="347">R75+Q74</f>
        <v>-1947941495.0817502</v>
      </c>
      <c r="S74">
        <f t="shared" ref="S74" si="348">R74/100000</f>
        <v>-19479.414950817503</v>
      </c>
      <c r="T74">
        <f t="shared" ref="T74" si="349">S74/1000</f>
        <v>-19.479414950817503</v>
      </c>
    </row>
    <row r="75" spans="1:20" x14ac:dyDescent="0.25">
      <c r="A75" s="5">
        <v>44518</v>
      </c>
      <c r="B75">
        <v>0.17180000000000001</v>
      </c>
      <c r="C75">
        <v>0.1741</v>
      </c>
      <c r="D75">
        <v>0.1565</v>
      </c>
      <c r="E75">
        <v>0.15909999999999999</v>
      </c>
      <c r="F75">
        <v>10478729</v>
      </c>
      <c r="G75">
        <v>0.15909999999999999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-0.70454545454545559</v>
      </c>
      <c r="Q75">
        <f t="shared" ref="Q75" si="351">F75*P75</f>
        <v>-7382740.8863636469</v>
      </c>
      <c r="R75">
        <f t="shared" ref="R75" si="352">R76+Q75</f>
        <v>-1961090200.5453866</v>
      </c>
      <c r="S75">
        <f t="shared" ref="S75" si="353">R75/100000</f>
        <v>-19610.902005453867</v>
      </c>
      <c r="T75">
        <f t="shared" ref="T75" si="354">S75/1000</f>
        <v>-19.610902005453866</v>
      </c>
    </row>
    <row r="76" spans="1:20" x14ac:dyDescent="0.25">
      <c r="A76" s="5">
        <v>44517</v>
      </c>
      <c r="B76">
        <v>0.1716</v>
      </c>
      <c r="C76">
        <v>0.17510000000000001</v>
      </c>
      <c r="D76">
        <v>0.16619999999999999</v>
      </c>
      <c r="E76">
        <v>0.17199999999999999</v>
      </c>
      <c r="F76">
        <v>7768950</v>
      </c>
      <c r="G76">
        <v>0.17199999999999999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0.30337078651685107</v>
      </c>
      <c r="Q76">
        <f t="shared" ref="Q76" si="356">F76*P76</f>
        <v>2356872.4719100902</v>
      </c>
      <c r="R76">
        <f t="shared" ref="R76" si="357">R77+Q76</f>
        <v>-1953707459.6590228</v>
      </c>
      <c r="S76">
        <f t="shared" ref="S76" si="358">R76/100000</f>
        <v>-19537.074596590228</v>
      </c>
      <c r="T76">
        <f t="shared" ref="T76" si="359">S76/1000</f>
        <v>-19.537074596590227</v>
      </c>
    </row>
    <row r="77" spans="1:20" x14ac:dyDescent="0.25">
      <c r="A77" s="5">
        <v>44516</v>
      </c>
      <c r="B77">
        <v>0.1825</v>
      </c>
      <c r="C77">
        <v>0.18260000000000001</v>
      </c>
      <c r="D77">
        <v>0.1666</v>
      </c>
      <c r="E77">
        <v>0.1714</v>
      </c>
      <c r="F77">
        <v>13685912</v>
      </c>
      <c r="G77">
        <v>0.1714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-0.40000000000000069</v>
      </c>
      <c r="Q77">
        <f t="shared" ref="Q77" si="361">F77*P77</f>
        <v>-5474364.8000000091</v>
      </c>
      <c r="R77">
        <f t="shared" ref="R77" si="362">R78+Q77</f>
        <v>-1956064332.1309328</v>
      </c>
      <c r="S77">
        <f t="shared" ref="S77" si="363">R77/100000</f>
        <v>-19560.64332130933</v>
      </c>
      <c r="T77">
        <f t="shared" ref="T77" si="364">S77/1000</f>
        <v>-19.560643321309328</v>
      </c>
    </row>
    <row r="78" spans="1:20" x14ac:dyDescent="0.25">
      <c r="A78" s="5">
        <v>44515</v>
      </c>
      <c r="B78">
        <v>0.1842</v>
      </c>
      <c r="C78">
        <v>0.192</v>
      </c>
      <c r="D78">
        <v>0.18099999999999999</v>
      </c>
      <c r="E78">
        <v>0.18260000000000001</v>
      </c>
      <c r="F78">
        <v>18061799</v>
      </c>
      <c r="G78">
        <v>0.18260000000000001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-0.70909090909090611</v>
      </c>
      <c r="Q78">
        <f t="shared" ref="Q78" si="366">F78*P78</f>
        <v>-12807457.472727219</v>
      </c>
      <c r="R78">
        <f t="shared" ref="R78" si="367">R79+Q78</f>
        <v>-1950589967.3309329</v>
      </c>
      <c r="S78">
        <f t="shared" ref="S78" si="368">R78/100000</f>
        <v>-19505.89967330933</v>
      </c>
      <c r="T78">
        <f t="shared" ref="T78" si="369">S78/1000</f>
        <v>-19.50589967330933</v>
      </c>
    </row>
    <row r="79" spans="1:20" x14ac:dyDescent="0.25">
      <c r="A79" s="5">
        <v>44514</v>
      </c>
      <c r="B79">
        <v>0.18779999999999999</v>
      </c>
      <c r="C79">
        <v>0.18959999999999999</v>
      </c>
      <c r="D79">
        <v>0.18129999999999999</v>
      </c>
      <c r="E79">
        <v>0.1842</v>
      </c>
      <c r="F79">
        <v>10668875</v>
      </c>
      <c r="G79">
        <v>0.1842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-0.3012048192771053</v>
      </c>
      <c r="Q79">
        <f t="shared" ref="Q79" si="371">F79*P79</f>
        <v>-3213516.5662650266</v>
      </c>
      <c r="R79">
        <f t="shared" ref="R79" si="372">R80+Q79</f>
        <v>-1937782509.8582056</v>
      </c>
      <c r="S79">
        <f t="shared" ref="S79" si="373">R79/100000</f>
        <v>-19377.825098582056</v>
      </c>
      <c r="T79">
        <f t="shared" ref="T79" si="374">S79/1000</f>
        <v>-19.377825098582058</v>
      </c>
    </row>
    <row r="80" spans="1:20" x14ac:dyDescent="0.25">
      <c r="A80" s="5">
        <v>44513</v>
      </c>
      <c r="B80">
        <v>0.19320000000000001</v>
      </c>
      <c r="C80">
        <v>0.19520000000000001</v>
      </c>
      <c r="D80">
        <v>0.185</v>
      </c>
      <c r="E80">
        <v>0.188</v>
      </c>
      <c r="F80">
        <v>19961241</v>
      </c>
      <c r="G80">
        <v>0.188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-0.41176470588235325</v>
      </c>
      <c r="Q80">
        <f t="shared" ref="Q80" si="376">F80*P80</f>
        <v>-8219334.5294117713</v>
      </c>
      <c r="R80">
        <f t="shared" ref="R80" si="377">R81+Q80</f>
        <v>-1934568993.2919405</v>
      </c>
      <c r="S80">
        <f t="shared" ref="S80" si="378">R80/100000</f>
        <v>-19345.689932919406</v>
      </c>
      <c r="T80">
        <f t="shared" ref="T80" si="379">S80/1000</f>
        <v>-19.345689932919406</v>
      </c>
    </row>
    <row r="81" spans="1:20" x14ac:dyDescent="0.25">
      <c r="A81" s="5">
        <v>44512</v>
      </c>
      <c r="B81">
        <v>0.1779</v>
      </c>
      <c r="C81">
        <v>0.20899999999999999</v>
      </c>
      <c r="D81">
        <v>0.17530000000000001</v>
      </c>
      <c r="E81">
        <v>0.19339999999999999</v>
      </c>
      <c r="F81">
        <v>71251874</v>
      </c>
      <c r="G81">
        <v>0.19339999999999999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7.4183976261126883E-2</v>
      </c>
      <c r="Q81">
        <f t="shared" ref="Q81" si="381">F81*P81</f>
        <v>5285747.3293768037</v>
      </c>
      <c r="R81">
        <f t="shared" ref="R81" si="382">R82+Q81</f>
        <v>-1926349658.7625287</v>
      </c>
      <c r="S81">
        <f t="shared" ref="S81" si="383">R81/100000</f>
        <v>-19263.496587625286</v>
      </c>
      <c r="T81">
        <f t="shared" ref="T81" si="384">S81/1000</f>
        <v>-19.263496587625287</v>
      </c>
    </row>
    <row r="82" spans="1:20" x14ac:dyDescent="0.25">
      <c r="A82" s="5">
        <v>44511</v>
      </c>
      <c r="B82">
        <v>0.17249999999999999</v>
      </c>
      <c r="C82">
        <v>0.1792</v>
      </c>
      <c r="D82">
        <v>0.17100000000000001</v>
      </c>
      <c r="E82">
        <v>0.17780000000000001</v>
      </c>
      <c r="F82">
        <v>9257527</v>
      </c>
      <c r="G82">
        <v>0.17780000000000001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0.6585365853658568</v>
      </c>
      <c r="Q82">
        <f t="shared" ref="Q82" si="386">F82*P82</f>
        <v>6096420.2195122242</v>
      </c>
      <c r="R82">
        <f t="shared" ref="R82" si="387">R83+Q82</f>
        <v>-1931635406.0919054</v>
      </c>
      <c r="S82">
        <f t="shared" ref="S82" si="388">R82/100000</f>
        <v>-19316.354060919053</v>
      </c>
      <c r="T82">
        <f t="shared" ref="T82" si="389">S82/1000</f>
        <v>-19.316354060919053</v>
      </c>
    </row>
    <row r="83" spans="1:20" x14ac:dyDescent="0.25">
      <c r="A83" s="5">
        <v>44510</v>
      </c>
      <c r="B83">
        <v>0.18340000000000001</v>
      </c>
      <c r="C83">
        <v>0.1898</v>
      </c>
      <c r="D83">
        <v>0.1666</v>
      </c>
      <c r="E83">
        <v>0.17280000000000001</v>
      </c>
      <c r="F83">
        <v>14927734</v>
      </c>
      <c r="G83">
        <v>0.17280000000000001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-0.46551724137930933</v>
      </c>
      <c r="Q83">
        <f t="shared" ref="Q83" si="391">F83*P83</f>
        <v>-6949117.5517241228</v>
      </c>
      <c r="R83">
        <f t="shared" ref="R83" si="392">R84+Q83</f>
        <v>-1937731826.3114176</v>
      </c>
      <c r="S83">
        <f t="shared" ref="S83" si="393">R83/100000</f>
        <v>-19377.318263114175</v>
      </c>
      <c r="T83">
        <f t="shared" ref="T83" si="394">S83/1000</f>
        <v>-19.377318263114176</v>
      </c>
    </row>
    <row r="84" spans="1:20" x14ac:dyDescent="0.25">
      <c r="A84" s="5">
        <v>44509</v>
      </c>
      <c r="B84">
        <v>0.19</v>
      </c>
      <c r="C84">
        <v>0.19209999999999999</v>
      </c>
      <c r="D84">
        <v>0.1822</v>
      </c>
      <c r="E84">
        <v>0.1835</v>
      </c>
      <c r="F84">
        <v>13944276</v>
      </c>
      <c r="G84">
        <v>0.1835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-0.73737373737373801</v>
      </c>
      <c r="Q84">
        <f t="shared" ref="Q84" si="396">F84*P84</f>
        <v>-10282142.909090918</v>
      </c>
      <c r="R84">
        <f t="shared" ref="R84" si="397">R85+Q84</f>
        <v>-1930782708.7596934</v>
      </c>
      <c r="S84">
        <f t="shared" ref="S84" si="398">R84/100000</f>
        <v>-19307.827087596936</v>
      </c>
      <c r="T84">
        <f t="shared" ref="T84" si="399">S84/1000</f>
        <v>-19.307827087596937</v>
      </c>
    </row>
    <row r="85" spans="1:20" x14ac:dyDescent="0.25">
      <c r="A85" s="5">
        <v>44508</v>
      </c>
      <c r="B85">
        <v>0.19120000000000001</v>
      </c>
      <c r="C85">
        <v>0.19450000000000001</v>
      </c>
      <c r="D85">
        <v>0.1847</v>
      </c>
      <c r="E85">
        <v>0.19</v>
      </c>
      <c r="F85">
        <v>16528000</v>
      </c>
      <c r="G85">
        <v>0.19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8.163265306122397E-2</v>
      </c>
      <c r="Q85">
        <f t="shared" ref="Q85" si="401">F85*P85</f>
        <v>1349224.4897959097</v>
      </c>
      <c r="R85">
        <f t="shared" ref="R85" si="402">R86+Q85</f>
        <v>-1920500565.8506024</v>
      </c>
      <c r="S85">
        <f t="shared" ref="S85" si="403">R85/100000</f>
        <v>-19205.005658506023</v>
      </c>
      <c r="T85">
        <f t="shared" ref="T85" si="404">S85/1000</f>
        <v>-19.205005658506021</v>
      </c>
    </row>
    <row r="86" spans="1:20" x14ac:dyDescent="0.25">
      <c r="A86" s="5">
        <v>44507</v>
      </c>
      <c r="B86">
        <v>0.18090000000000001</v>
      </c>
      <c r="C86">
        <v>0.19500000000000001</v>
      </c>
      <c r="D86">
        <v>0.18060000000000001</v>
      </c>
      <c r="E86">
        <v>0.191</v>
      </c>
      <c r="F86">
        <v>21505550</v>
      </c>
      <c r="G86">
        <v>0.191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0.44444444444444381</v>
      </c>
      <c r="Q86">
        <f t="shared" ref="Q86" si="406">F86*P86</f>
        <v>9558022.222222209</v>
      </c>
      <c r="R86">
        <f t="shared" ref="R86" si="407">R87+Q86</f>
        <v>-1921849790.3403983</v>
      </c>
      <c r="S86">
        <f t="shared" ref="S86" si="408">R86/100000</f>
        <v>-19218.497903403982</v>
      </c>
      <c r="T86">
        <f t="shared" ref="T86" si="409">S86/1000</f>
        <v>-19.218497903403982</v>
      </c>
    </row>
    <row r="87" spans="1:20" x14ac:dyDescent="0.25">
      <c r="A87" s="5">
        <v>44506</v>
      </c>
      <c r="B87">
        <v>0.18290000000000001</v>
      </c>
      <c r="C87">
        <v>0.18379999999999999</v>
      </c>
      <c r="D87">
        <v>0.1767</v>
      </c>
      <c r="E87">
        <v>0.18090000000000001</v>
      </c>
      <c r="F87">
        <v>5333682</v>
      </c>
      <c r="G87">
        <v>0.18090000000000001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0.18309859154929919</v>
      </c>
      <c r="Q87">
        <f t="shared" ref="Q87" si="411">F87*P87</f>
        <v>976589.66197184927</v>
      </c>
      <c r="R87">
        <f t="shared" ref="R87" si="412">R88+Q87</f>
        <v>-1931407812.5626204</v>
      </c>
      <c r="S87">
        <f t="shared" ref="S87" si="413">R87/100000</f>
        <v>-19314.078125626205</v>
      </c>
      <c r="T87">
        <f t="shared" ref="T87" si="414">S87/1000</f>
        <v>-19.314078125626207</v>
      </c>
    </row>
    <row r="88" spans="1:20" x14ac:dyDescent="0.25">
      <c r="A88" s="5">
        <v>44505</v>
      </c>
      <c r="B88">
        <v>0.18390000000000001</v>
      </c>
      <c r="C88">
        <v>0.189</v>
      </c>
      <c r="D88">
        <v>0.18010000000000001</v>
      </c>
      <c r="E88">
        <v>0.18290000000000001</v>
      </c>
      <c r="F88">
        <v>10030790</v>
      </c>
      <c r="G88">
        <v>0.18290000000000001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-0.37078651685393266</v>
      </c>
      <c r="Q88">
        <f t="shared" ref="Q88" si="416">F88*P88</f>
        <v>-3719281.6853932589</v>
      </c>
      <c r="R88">
        <f t="shared" ref="R88" si="417">R89+Q88</f>
        <v>-1932384402.2245922</v>
      </c>
      <c r="S88">
        <f t="shared" ref="S88" si="418">R88/100000</f>
        <v>-19323.844022245921</v>
      </c>
      <c r="T88">
        <f t="shared" ref="T88" si="419">S88/1000</f>
        <v>-19.323844022245922</v>
      </c>
    </row>
    <row r="89" spans="1:20" x14ac:dyDescent="0.25">
      <c r="A89" s="5">
        <v>44504</v>
      </c>
      <c r="B89">
        <v>0.19040000000000001</v>
      </c>
      <c r="C89">
        <v>0.19800000000000001</v>
      </c>
      <c r="D89">
        <v>0.1769</v>
      </c>
      <c r="E89">
        <v>0.18390000000000001</v>
      </c>
      <c r="F89">
        <v>27540614</v>
      </c>
      <c r="G89">
        <v>0.18390000000000001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-0.33649289099526031</v>
      </c>
      <c r="Q89">
        <f t="shared" ref="Q89" si="421">F89*P89</f>
        <v>-9267220.8246445395</v>
      </c>
      <c r="R89">
        <f t="shared" ref="R89" si="422">R90+Q89</f>
        <v>-1928665120.5391989</v>
      </c>
      <c r="S89">
        <f t="shared" ref="S89" si="423">R89/100000</f>
        <v>-19286.651205391991</v>
      </c>
      <c r="T89">
        <f t="shared" ref="T89" si="424">S89/1000</f>
        <v>-19.286651205391991</v>
      </c>
    </row>
    <row r="90" spans="1:20" x14ac:dyDescent="0.25">
      <c r="A90" s="5">
        <v>44503</v>
      </c>
      <c r="B90">
        <v>0.19009999999999999</v>
      </c>
      <c r="C90">
        <v>0.19500000000000001</v>
      </c>
      <c r="D90">
        <v>0.1827</v>
      </c>
      <c r="E90">
        <v>0.1903</v>
      </c>
      <c r="F90">
        <v>13263865</v>
      </c>
      <c r="G90">
        <v>0.1903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0.23577235772357599</v>
      </c>
      <c r="Q90">
        <f t="shared" ref="Q90" si="426">F90*P90</f>
        <v>3127252.7235772191</v>
      </c>
      <c r="R90">
        <f t="shared" ref="R90" si="427">R91+Q90</f>
        <v>-1919397899.7145543</v>
      </c>
      <c r="S90">
        <f t="shared" ref="S90" si="428">R90/100000</f>
        <v>-19193.978997145543</v>
      </c>
      <c r="T90">
        <f t="shared" ref="T90" si="429">S90/1000</f>
        <v>-19.193978997145543</v>
      </c>
    </row>
    <row r="91" spans="1:20" x14ac:dyDescent="0.25">
      <c r="A91" s="5">
        <v>44502</v>
      </c>
      <c r="B91">
        <v>0.18759999999999999</v>
      </c>
      <c r="C91">
        <v>0.19800000000000001</v>
      </c>
      <c r="D91">
        <v>0.18609999999999999</v>
      </c>
      <c r="E91">
        <v>0.19009999999999999</v>
      </c>
      <c r="F91">
        <v>17319930</v>
      </c>
      <c r="G91">
        <v>0.19009999999999999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-0.3277310924369754</v>
      </c>
      <c r="Q91">
        <f t="shared" ref="Q91" si="431">F91*P91</f>
        <v>-5676279.5798319429</v>
      </c>
      <c r="R91">
        <f t="shared" ref="R91" si="432">R92+Q91</f>
        <v>-1922525152.4381316</v>
      </c>
      <c r="S91">
        <f t="shared" ref="S91" si="433">R91/100000</f>
        <v>-19225.251524381314</v>
      </c>
      <c r="T91">
        <f t="shared" ref="T91" si="434">S91/1000</f>
        <v>-19.225251524381314</v>
      </c>
    </row>
    <row r="92" spans="1:20" x14ac:dyDescent="0.25">
      <c r="A92" s="5">
        <v>44501</v>
      </c>
      <c r="B92">
        <v>0.18340000000000001</v>
      </c>
      <c r="C92">
        <v>0.1988</v>
      </c>
      <c r="D92">
        <v>0.17699999999999999</v>
      </c>
      <c r="E92">
        <v>0.188</v>
      </c>
      <c r="F92">
        <v>18215666</v>
      </c>
      <c r="G92">
        <v>0.188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9.1743119266057618E-3</v>
      </c>
      <c r="Q92">
        <f t="shared" ref="Q92" si="436">F92*P92</f>
        <v>167116.20183486707</v>
      </c>
      <c r="R92">
        <f t="shared" ref="R92" si="437">R93+Q92</f>
        <v>-1916848872.8582997</v>
      </c>
      <c r="S92">
        <f t="shared" ref="S92" si="438">R92/100000</f>
        <v>-19168.488728582997</v>
      </c>
      <c r="T92">
        <f t="shared" ref="T92" si="439">S92/1000</f>
        <v>-19.168488728582997</v>
      </c>
    </row>
    <row r="93" spans="1:20" x14ac:dyDescent="0.25">
      <c r="A93" s="5">
        <v>44500</v>
      </c>
      <c r="B93">
        <v>0.188</v>
      </c>
      <c r="C93">
        <v>0.20449999999999999</v>
      </c>
      <c r="D93">
        <v>0.17860000000000001</v>
      </c>
      <c r="E93">
        <v>0.18329999999999999</v>
      </c>
      <c r="F93">
        <v>24943192</v>
      </c>
      <c r="G93">
        <v>0.18329999999999999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-0.63706563706563812</v>
      </c>
      <c r="Q93">
        <f t="shared" ref="Q93" si="441">F93*P93</f>
        <v>-15890450.501930529</v>
      </c>
      <c r="R93">
        <f t="shared" ref="R93" si="442">R94+Q93</f>
        <v>-1917015989.0601346</v>
      </c>
      <c r="S93">
        <f t="shared" ref="S93" si="443">R93/100000</f>
        <v>-19170.159890601346</v>
      </c>
      <c r="T93">
        <f t="shared" ref="T93" si="444">S93/1000</f>
        <v>-19.170159890601347</v>
      </c>
    </row>
    <row r="94" spans="1:20" x14ac:dyDescent="0.25">
      <c r="A94" s="5">
        <v>44499</v>
      </c>
      <c r="B94">
        <v>0.17760000000000001</v>
      </c>
      <c r="C94">
        <v>0.19500000000000001</v>
      </c>
      <c r="D94">
        <v>0.1696</v>
      </c>
      <c r="E94">
        <v>0.188</v>
      </c>
      <c r="F94">
        <v>29374449</v>
      </c>
      <c r="G94">
        <v>0.188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0.44881889763779492</v>
      </c>
      <c r="Q94">
        <f t="shared" ref="Q94" si="446">F94*P94</f>
        <v>13183807.818897627</v>
      </c>
      <c r="R94">
        <f t="shared" ref="R94" si="447">R95+Q94</f>
        <v>-1901125538.5582042</v>
      </c>
      <c r="S94">
        <f t="shared" ref="S94" si="448">R94/100000</f>
        <v>-19011.255385582041</v>
      </c>
      <c r="T94">
        <f t="shared" ref="T94" si="449">S94/1000</f>
        <v>-19.011255385582039</v>
      </c>
    </row>
    <row r="95" spans="1:20" x14ac:dyDescent="0.25">
      <c r="A95" s="5">
        <v>44498</v>
      </c>
      <c r="B95">
        <v>0.1691</v>
      </c>
      <c r="C95">
        <v>0.182</v>
      </c>
      <c r="D95">
        <v>0.1676</v>
      </c>
      <c r="E95">
        <v>0.17760000000000001</v>
      </c>
      <c r="F95">
        <v>10696720</v>
      </c>
      <c r="G95">
        <v>0.17760000000000001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0.3888888888888905</v>
      </c>
      <c r="Q95">
        <f t="shared" ref="Q95" si="451">F95*P95</f>
        <v>4159835.5555555727</v>
      </c>
      <c r="R95">
        <f t="shared" ref="R95" si="452">R96+Q95</f>
        <v>-1914309346.3771019</v>
      </c>
      <c r="S95">
        <f t="shared" ref="S95" si="453">R95/100000</f>
        <v>-19143.09346377102</v>
      </c>
      <c r="T95">
        <f t="shared" ref="T95" si="454">S95/1000</f>
        <v>-19.14309346377102</v>
      </c>
    </row>
    <row r="96" spans="1:20" x14ac:dyDescent="0.25">
      <c r="A96" s="5">
        <v>44497</v>
      </c>
      <c r="B96">
        <v>0.1658</v>
      </c>
      <c r="C96">
        <v>0.17380000000000001</v>
      </c>
      <c r="D96">
        <v>0.16350000000000001</v>
      </c>
      <c r="E96">
        <v>0.1691</v>
      </c>
      <c r="F96">
        <v>7615691</v>
      </c>
      <c r="G96">
        <v>0.1691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8.7378640776697464E-2</v>
      </c>
      <c r="Q96">
        <f t="shared" ref="Q96" si="456">F96*P96</f>
        <v>665448.72815532784</v>
      </c>
      <c r="R96">
        <f t="shared" ref="R96" si="457">R97+Q96</f>
        <v>-1918469181.9326575</v>
      </c>
      <c r="S96">
        <f t="shared" ref="S96" si="458">R96/100000</f>
        <v>-19184.691819326574</v>
      </c>
      <c r="T96">
        <f t="shared" ref="T96" si="459">S96/1000</f>
        <v>-19.184691819326574</v>
      </c>
    </row>
    <row r="97" spans="1:20" x14ac:dyDescent="0.25">
      <c r="A97" s="5">
        <v>44496</v>
      </c>
      <c r="B97">
        <v>0.18590000000000001</v>
      </c>
      <c r="C97">
        <v>0.19009999999999999</v>
      </c>
      <c r="D97">
        <v>0.16550000000000001</v>
      </c>
      <c r="E97">
        <v>0.1658</v>
      </c>
      <c r="F97">
        <v>17597877</v>
      </c>
      <c r="G97">
        <v>0.1658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-0.9756097560975614</v>
      </c>
      <c r="Q97">
        <f t="shared" ref="Q97" si="461">F97*P97</f>
        <v>-17168660.487804886</v>
      </c>
      <c r="R97">
        <f t="shared" ref="R97" si="462">R98+Q97</f>
        <v>-1919134630.6608129</v>
      </c>
      <c r="S97">
        <f t="shared" ref="S97" si="463">R97/100000</f>
        <v>-19191.346306608128</v>
      </c>
      <c r="T97">
        <f t="shared" ref="T97" si="464">S97/1000</f>
        <v>-19.191346306608128</v>
      </c>
    </row>
    <row r="98" spans="1:20" x14ac:dyDescent="0.25">
      <c r="A98" s="5">
        <v>44495</v>
      </c>
      <c r="B98">
        <v>0.19009999999999999</v>
      </c>
      <c r="C98">
        <v>0.191</v>
      </c>
      <c r="D98">
        <v>0.18429999999999999</v>
      </c>
      <c r="E98">
        <v>0.18579999999999999</v>
      </c>
      <c r="F98">
        <v>6736990</v>
      </c>
      <c r="G98">
        <v>0.18579999999999999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-0.55223880597014963</v>
      </c>
      <c r="Q98">
        <f t="shared" ref="Q98" si="466">F98*P98</f>
        <v>-3720427.3134328383</v>
      </c>
      <c r="R98">
        <f t="shared" ref="R98" si="467">R99+Q98</f>
        <v>-1901965970.173008</v>
      </c>
      <c r="S98">
        <f t="shared" ref="S98" si="468">R98/100000</f>
        <v>-19019.659701730081</v>
      </c>
      <c r="T98">
        <f t="shared" ref="T98" si="469">S98/1000</f>
        <v>-19.019659701730081</v>
      </c>
    </row>
    <row r="99" spans="1:20" x14ac:dyDescent="0.25">
      <c r="A99" s="5">
        <v>44494</v>
      </c>
      <c r="B99">
        <v>0.19089999999999999</v>
      </c>
      <c r="C99">
        <v>0.19400000000000001</v>
      </c>
      <c r="D99">
        <v>0.18740000000000001</v>
      </c>
      <c r="E99">
        <v>0.19009999999999999</v>
      </c>
      <c r="F99">
        <v>7416858</v>
      </c>
      <c r="G99">
        <v>0.19009999999999999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-0.18181818181818718</v>
      </c>
      <c r="Q99">
        <f t="shared" ref="Q99" si="471">F99*P99</f>
        <v>-1348519.6363636761</v>
      </c>
      <c r="R99">
        <f t="shared" ref="R99" si="472">R100+Q99</f>
        <v>-1898245542.859575</v>
      </c>
      <c r="S99">
        <f t="shared" ref="S99" si="473">R99/100000</f>
        <v>-18982.455428595749</v>
      </c>
      <c r="T99">
        <f t="shared" ref="T99" si="474">S99/1000</f>
        <v>-18.982455428595749</v>
      </c>
    </row>
    <row r="100" spans="1:20" x14ac:dyDescent="0.25">
      <c r="A100" s="5">
        <v>44493</v>
      </c>
      <c r="B100">
        <v>0.19470000000000001</v>
      </c>
      <c r="C100">
        <v>0.19539999999999999</v>
      </c>
      <c r="D100">
        <v>0.1837</v>
      </c>
      <c r="E100">
        <v>0.1908</v>
      </c>
      <c r="F100">
        <v>5969059</v>
      </c>
      <c r="G100">
        <v>0.1908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0.21367521367521408</v>
      </c>
      <c r="Q100">
        <f t="shared" ref="Q100" si="476">F100*P100</f>
        <v>1275439.9572649596</v>
      </c>
      <c r="R100">
        <f t="shared" ref="R100" si="477">R101+Q100</f>
        <v>-1896897023.2232113</v>
      </c>
      <c r="S100">
        <f t="shared" ref="S100" si="478">R100/100000</f>
        <v>-18968.970232232114</v>
      </c>
      <c r="T100">
        <f t="shared" ref="T100" si="479">S100/1000</f>
        <v>-18.968970232232113</v>
      </c>
    </row>
    <row r="101" spans="1:20" x14ac:dyDescent="0.25">
      <c r="A101" s="5">
        <v>44492</v>
      </c>
      <c r="B101">
        <v>0.1915</v>
      </c>
      <c r="C101">
        <v>0.1976</v>
      </c>
      <c r="D101">
        <v>0.18959999999999999</v>
      </c>
      <c r="E101">
        <v>0.19470000000000001</v>
      </c>
      <c r="F101">
        <v>5459004</v>
      </c>
      <c r="G101">
        <v>0.19470000000000001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0.27500000000000419</v>
      </c>
      <c r="Q101">
        <f t="shared" ref="Q101" si="481">F101*P101</f>
        <v>1501226.1000000229</v>
      </c>
      <c r="R101">
        <f t="shared" ref="R101" si="482">R102+Q101</f>
        <v>-1898172463.1804762</v>
      </c>
      <c r="S101">
        <f t="shared" ref="S101" si="483">R101/100000</f>
        <v>-18981.724631804762</v>
      </c>
      <c r="T101">
        <f t="shared" ref="T101" si="484">S101/1000</f>
        <v>-18.981724631804763</v>
      </c>
    </row>
    <row r="102" spans="1:20" x14ac:dyDescent="0.25">
      <c r="A102" s="5">
        <v>44491</v>
      </c>
      <c r="B102">
        <v>0.19109999999999999</v>
      </c>
      <c r="C102">
        <v>0.1968</v>
      </c>
      <c r="D102">
        <v>0.188</v>
      </c>
      <c r="E102">
        <v>0.1913</v>
      </c>
      <c r="F102">
        <v>8340712</v>
      </c>
      <c r="G102">
        <v>0.1913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-0.25000000000000078</v>
      </c>
      <c r="Q102">
        <f t="shared" ref="Q102" si="486">F102*P102</f>
        <v>-2085178.0000000065</v>
      </c>
      <c r="R102">
        <f t="shared" ref="R102" si="487">R103+Q102</f>
        <v>-1899673689.2804761</v>
      </c>
      <c r="S102">
        <f t="shared" ref="S102" si="488">R102/100000</f>
        <v>-18996.736892804762</v>
      </c>
      <c r="T102">
        <f t="shared" ref="T102" si="489">S102/1000</f>
        <v>-18.996736892804762</v>
      </c>
    </row>
    <row r="103" spans="1:20" x14ac:dyDescent="0.25">
      <c r="A103" s="5">
        <v>44490</v>
      </c>
      <c r="B103">
        <v>0.1961</v>
      </c>
      <c r="C103">
        <v>0.20150000000000001</v>
      </c>
      <c r="D103">
        <v>0.188</v>
      </c>
      <c r="E103">
        <v>0.19109999999999999</v>
      </c>
      <c r="F103">
        <v>17253329</v>
      </c>
      <c r="G103">
        <v>0.19109999999999999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-0.54074074074074241</v>
      </c>
      <c r="Q103">
        <f t="shared" ref="Q103" si="491">F103*P103</f>
        <v>-9329577.9037037324</v>
      </c>
      <c r="R103">
        <f t="shared" ref="R103" si="492">R104+Q103</f>
        <v>-1897588511.2804761</v>
      </c>
      <c r="S103">
        <f t="shared" ref="S103" si="493">R103/100000</f>
        <v>-18975.885112804761</v>
      </c>
      <c r="T103">
        <f t="shared" ref="T103" si="494">S103/1000</f>
        <v>-18.975885112804761</v>
      </c>
    </row>
    <row r="104" spans="1:20" x14ac:dyDescent="0.25">
      <c r="A104" s="5">
        <v>44489</v>
      </c>
      <c r="B104">
        <v>0.1883</v>
      </c>
      <c r="C104">
        <v>0.19900000000000001</v>
      </c>
      <c r="D104">
        <v>0.18590000000000001</v>
      </c>
      <c r="E104">
        <v>0.19600000000000001</v>
      </c>
      <c r="F104">
        <v>11505498</v>
      </c>
      <c r="G104">
        <v>0.19600000000000001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0.54198473282442705</v>
      </c>
      <c r="Q104">
        <f t="shared" ref="Q104" si="496">F104*P104</f>
        <v>6235804.25954198</v>
      </c>
      <c r="R104">
        <f t="shared" ref="R104" si="497">R105+Q104</f>
        <v>-1888258933.3767724</v>
      </c>
      <c r="S104">
        <f t="shared" ref="S104" si="498">R104/100000</f>
        <v>-18882.589333767723</v>
      </c>
      <c r="T104">
        <f t="shared" ref="T104" si="499">S104/1000</f>
        <v>-18.882589333767722</v>
      </c>
    </row>
    <row r="105" spans="1:20" x14ac:dyDescent="0.25">
      <c r="A105" s="5">
        <v>44488</v>
      </c>
      <c r="B105">
        <v>0.1915</v>
      </c>
      <c r="C105">
        <v>0.2</v>
      </c>
      <c r="D105">
        <v>0.18479999999999999</v>
      </c>
      <c r="E105">
        <v>0.1883</v>
      </c>
      <c r="F105">
        <v>11000255</v>
      </c>
      <c r="G105">
        <v>0.1883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-0.53947368421052644</v>
      </c>
      <c r="Q105">
        <f t="shared" ref="Q105" si="501">F105*P105</f>
        <v>-5934348.0921052648</v>
      </c>
      <c r="R105">
        <f t="shared" ref="R105" si="502">R106+Q105</f>
        <v>-1894494737.6363144</v>
      </c>
      <c r="S105">
        <f t="shared" ref="S105" si="503">R105/100000</f>
        <v>-18944.947376363143</v>
      </c>
      <c r="T105">
        <f t="shared" ref="T105" si="504">S105/1000</f>
        <v>-18.944947376363142</v>
      </c>
    </row>
    <row r="106" spans="1:20" x14ac:dyDescent="0.25">
      <c r="A106" s="5">
        <v>44487</v>
      </c>
      <c r="B106">
        <v>0.19209999999999999</v>
      </c>
      <c r="C106">
        <v>0.19800000000000001</v>
      </c>
      <c r="D106">
        <v>0.188</v>
      </c>
      <c r="E106">
        <v>0.1915</v>
      </c>
      <c r="F106">
        <v>10622146</v>
      </c>
      <c r="G106">
        <v>0.1915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</v>
      </c>
      <c r="Q106">
        <f t="shared" ref="Q106" si="506">F106*P106</f>
        <v>-3186643.8</v>
      </c>
      <c r="R106">
        <f t="shared" ref="R106" si="507">R107+Q106</f>
        <v>-1888560389.5442092</v>
      </c>
      <c r="S106">
        <f t="shared" ref="S106" si="508">R106/100000</f>
        <v>-18885.603895442091</v>
      </c>
      <c r="T106">
        <f t="shared" ref="T106" si="509">S106/1000</f>
        <v>-18.885603895442092</v>
      </c>
    </row>
    <row r="107" spans="1:20" x14ac:dyDescent="0.25">
      <c r="A107" s="5">
        <v>44486</v>
      </c>
      <c r="B107">
        <v>0.19339999999999999</v>
      </c>
      <c r="C107">
        <v>0.2379</v>
      </c>
      <c r="D107">
        <v>0.18729999999999999</v>
      </c>
      <c r="E107">
        <v>0.19209999999999999</v>
      </c>
      <c r="F107">
        <v>53448955</v>
      </c>
      <c r="G107">
        <v>0.19209999999999999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-0.81027667984189733</v>
      </c>
      <c r="Q107">
        <f t="shared" ref="Q107" si="511">F107*P107</f>
        <v>-43308441.798418976</v>
      </c>
      <c r="R107">
        <f t="shared" ref="R107" si="512">R108+Q107</f>
        <v>-1885373745.7442093</v>
      </c>
      <c r="S107">
        <f t="shared" ref="S107" si="513">R107/100000</f>
        <v>-18853.737457442094</v>
      </c>
      <c r="T107">
        <f t="shared" ref="T107" si="514">S107/1000</f>
        <v>-18.853737457442094</v>
      </c>
    </row>
    <row r="108" spans="1:20" x14ac:dyDescent="0.25">
      <c r="A108" s="5">
        <v>44485</v>
      </c>
      <c r="B108">
        <v>0.19289999999999999</v>
      </c>
      <c r="C108">
        <v>0.2074</v>
      </c>
      <c r="D108">
        <v>0.1898</v>
      </c>
      <c r="E108">
        <v>0.19350000000000001</v>
      </c>
      <c r="F108">
        <v>16594887</v>
      </c>
      <c r="G108">
        <v>0.19350000000000001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-0.5795454545454537</v>
      </c>
      <c r="Q108">
        <f t="shared" ref="Q108" si="516">F108*P108</f>
        <v>-9617491.3295454402</v>
      </c>
      <c r="R108">
        <f t="shared" ref="R108" si="517">R109+Q108</f>
        <v>-1842065303.9457903</v>
      </c>
      <c r="S108">
        <f t="shared" ref="S108" si="518">R108/100000</f>
        <v>-18420.653039457902</v>
      </c>
      <c r="T108">
        <f t="shared" ref="T108" si="519">S108/1000</f>
        <v>-18.420653039457903</v>
      </c>
    </row>
    <row r="109" spans="1:20" x14ac:dyDescent="0.25">
      <c r="A109" s="5">
        <v>44484</v>
      </c>
      <c r="B109">
        <v>0.18579999999999999</v>
      </c>
      <c r="C109">
        <v>0.20880000000000001</v>
      </c>
      <c r="D109">
        <v>0.18099999999999999</v>
      </c>
      <c r="E109">
        <v>0.19289999999999999</v>
      </c>
      <c r="F109">
        <v>32151176</v>
      </c>
      <c r="G109">
        <v>0.19289999999999999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-0.14388489208633196</v>
      </c>
      <c r="Q109">
        <f t="shared" ref="Q109" si="521">F109*P109</f>
        <v>-4626068.4892086657</v>
      </c>
      <c r="R109">
        <f t="shared" ref="R109" si="522">R110+Q109</f>
        <v>-1832447812.6162448</v>
      </c>
      <c r="S109">
        <f t="shared" ref="S109" si="523">R109/100000</f>
        <v>-18324.478126162448</v>
      </c>
      <c r="T109">
        <f t="shared" ref="T109" si="524">S109/1000</f>
        <v>-18.324478126162447</v>
      </c>
    </row>
    <row r="110" spans="1:20" x14ac:dyDescent="0.25">
      <c r="A110" s="5">
        <v>44483</v>
      </c>
      <c r="B110">
        <v>0.18529999999999999</v>
      </c>
      <c r="C110">
        <v>0.19040000000000001</v>
      </c>
      <c r="D110">
        <v>0.1817</v>
      </c>
      <c r="E110">
        <v>0.18559999999999999</v>
      </c>
      <c r="F110">
        <v>9510512</v>
      </c>
      <c r="G110">
        <v>0.18559999999999999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-0.10344827586207336</v>
      </c>
      <c r="Q110">
        <f t="shared" ref="Q110" si="526">F110*P110</f>
        <v>-983846.06896555901</v>
      </c>
      <c r="R110">
        <f t="shared" ref="R110" si="527">R111+Q110</f>
        <v>-1827821744.1270361</v>
      </c>
      <c r="S110">
        <f t="shared" ref="S110" si="528">R110/100000</f>
        <v>-18278.217441270361</v>
      </c>
      <c r="T110">
        <f t="shared" ref="T110" si="529">S110/1000</f>
        <v>-18.27821744127036</v>
      </c>
    </row>
    <row r="111" spans="1:20" x14ac:dyDescent="0.25">
      <c r="A111" s="5">
        <v>44482</v>
      </c>
      <c r="B111">
        <v>0.17979999999999999</v>
      </c>
      <c r="C111">
        <v>0.19239999999999999</v>
      </c>
      <c r="D111">
        <v>0.17499999999999999</v>
      </c>
      <c r="E111">
        <v>0.18529999999999999</v>
      </c>
      <c r="F111">
        <v>11256748</v>
      </c>
      <c r="G111">
        <v>0.18529999999999999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0.18390804597701199</v>
      </c>
      <c r="Q111">
        <f t="shared" ref="Q111" si="531">F111*P111</f>
        <v>2070206.5287356377</v>
      </c>
      <c r="R111">
        <f t="shared" ref="R111" si="532">R112+Q111</f>
        <v>-1826837898.0580704</v>
      </c>
      <c r="S111">
        <f t="shared" ref="S111" si="533">R111/100000</f>
        <v>-18268.378980580703</v>
      </c>
      <c r="T111">
        <f t="shared" ref="T111" si="534">S111/1000</f>
        <v>-18.268378980580703</v>
      </c>
    </row>
    <row r="112" spans="1:20" x14ac:dyDescent="0.25">
      <c r="A112" s="5">
        <v>44481</v>
      </c>
      <c r="B112">
        <v>0.18110000000000001</v>
      </c>
      <c r="C112">
        <v>0.18529999999999999</v>
      </c>
      <c r="D112">
        <v>0.17080000000000001</v>
      </c>
      <c r="E112">
        <v>0.1799</v>
      </c>
      <c r="F112">
        <v>10924270</v>
      </c>
      <c r="G112">
        <v>0.1799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0.25517241379310435</v>
      </c>
      <c r="Q112">
        <f t="shared" ref="Q112" si="536">F112*P112</f>
        <v>2787572.3448275961</v>
      </c>
      <c r="R112">
        <f t="shared" ref="R112" si="537">R113+Q112</f>
        <v>-1828908104.5868061</v>
      </c>
      <c r="S112">
        <f t="shared" ref="S112" si="538">R112/100000</f>
        <v>-18289.081045868061</v>
      </c>
      <c r="T112">
        <f t="shared" ref="T112" si="539">S112/1000</f>
        <v>-18.289081045868059</v>
      </c>
    </row>
    <row r="113" spans="1:20" x14ac:dyDescent="0.25">
      <c r="A113" s="5">
        <v>44480</v>
      </c>
      <c r="B113">
        <v>0.1825</v>
      </c>
      <c r="C113">
        <v>0.1883</v>
      </c>
      <c r="D113">
        <v>0.17899999999999999</v>
      </c>
      <c r="E113">
        <v>0.18110000000000001</v>
      </c>
      <c r="F113">
        <v>6410245</v>
      </c>
      <c r="G113">
        <v>0.18110000000000001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-0.54838709677418973</v>
      </c>
      <c r="Q113">
        <f t="shared" ref="Q113" si="541">F113*P113</f>
        <v>-3515295.645161266</v>
      </c>
      <c r="R113">
        <f t="shared" ref="R113" si="542">R114+Q113</f>
        <v>-1831695676.9316337</v>
      </c>
      <c r="S113">
        <f t="shared" ref="S113" si="543">R113/100000</f>
        <v>-18316.956769316337</v>
      </c>
      <c r="T113">
        <f t="shared" ref="T113" si="544">S113/1000</f>
        <v>-18.316956769316338</v>
      </c>
    </row>
    <row r="114" spans="1:20" x14ac:dyDescent="0.25">
      <c r="A114" s="5">
        <v>44479</v>
      </c>
      <c r="B114">
        <v>0.18770000000000001</v>
      </c>
      <c r="C114">
        <v>0.1925</v>
      </c>
      <c r="D114">
        <v>0.1812</v>
      </c>
      <c r="E114">
        <v>0.18260000000000001</v>
      </c>
      <c r="F114">
        <v>8580144</v>
      </c>
      <c r="G114">
        <v>0.18260000000000001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-0.75221238938052892</v>
      </c>
      <c r="Q114">
        <f t="shared" ref="Q114" si="546">F114*P114</f>
        <v>-6454090.6194690093</v>
      </c>
      <c r="R114">
        <f t="shared" ref="R114" si="547">R115+Q114</f>
        <v>-1828180381.2864726</v>
      </c>
      <c r="S114">
        <f t="shared" ref="S114" si="548">R114/100000</f>
        <v>-18281.803812864724</v>
      </c>
      <c r="T114">
        <f t="shared" ref="T114" si="549">S114/1000</f>
        <v>-18.281803812864723</v>
      </c>
    </row>
    <row r="115" spans="1:20" x14ac:dyDescent="0.25">
      <c r="A115" s="5">
        <v>44478</v>
      </c>
      <c r="B115">
        <v>0.18440000000000001</v>
      </c>
      <c r="C115">
        <v>0.19989999999999999</v>
      </c>
      <c r="D115">
        <v>0.18279999999999999</v>
      </c>
      <c r="E115">
        <v>0.1875</v>
      </c>
      <c r="F115">
        <v>20733323</v>
      </c>
      <c r="G115">
        <v>0.1875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-0.45029239766081769</v>
      </c>
      <c r="Q115">
        <f t="shared" ref="Q115" si="551">F115*P115</f>
        <v>-9336057.7251461782</v>
      </c>
      <c r="R115">
        <f t="shared" ref="R115" si="552">R116+Q115</f>
        <v>-1821726290.6670036</v>
      </c>
      <c r="S115">
        <f t="shared" ref="S115" si="553">R115/100000</f>
        <v>-18217.262906670036</v>
      </c>
      <c r="T115">
        <f t="shared" ref="T115" si="554">S115/1000</f>
        <v>-18.217262906670037</v>
      </c>
    </row>
    <row r="116" spans="1:20" x14ac:dyDescent="0.25">
      <c r="A116" s="5">
        <v>44477</v>
      </c>
      <c r="B116">
        <v>0.1895</v>
      </c>
      <c r="C116">
        <v>0.1915</v>
      </c>
      <c r="D116">
        <v>0.18290000000000001</v>
      </c>
      <c r="E116">
        <v>0.18429999999999999</v>
      </c>
      <c r="F116">
        <v>13501372</v>
      </c>
      <c r="G116">
        <v>0.18429999999999999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-0.67441860465116621</v>
      </c>
      <c r="Q116">
        <f t="shared" ref="Q116" si="556">F116*P116</f>
        <v>-9105576.4651163258</v>
      </c>
      <c r="R116">
        <f t="shared" ref="R116" si="557">R117+Q116</f>
        <v>-1812390232.9418573</v>
      </c>
      <c r="S116">
        <f t="shared" ref="S116" si="558">R116/100000</f>
        <v>-18123.902329418572</v>
      </c>
      <c r="T116">
        <f t="shared" ref="T116" si="559">S116/1000</f>
        <v>-18.123902329418573</v>
      </c>
    </row>
    <row r="117" spans="1:20" x14ac:dyDescent="0.25">
      <c r="A117" s="5">
        <v>44476</v>
      </c>
      <c r="B117">
        <v>0.18379999999999999</v>
      </c>
      <c r="C117">
        <v>0.2339</v>
      </c>
      <c r="D117">
        <v>0.1789</v>
      </c>
      <c r="E117">
        <v>0.1895</v>
      </c>
      <c r="F117">
        <v>46555381</v>
      </c>
      <c r="G117">
        <v>0.1895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-0.61454545454545451</v>
      </c>
      <c r="Q117">
        <f t="shared" ref="Q117" si="561">F117*P117</f>
        <v>-28610397.778181817</v>
      </c>
      <c r="R117">
        <f t="shared" ref="R117" si="562">R118+Q117</f>
        <v>-1803284656.4767411</v>
      </c>
      <c r="S117">
        <f t="shared" ref="S117" si="563">R117/100000</f>
        <v>-18032.846564767409</v>
      </c>
      <c r="T117">
        <f t="shared" ref="T117" si="564">S117/1000</f>
        <v>-18.032846564767411</v>
      </c>
    </row>
    <row r="118" spans="1:20" x14ac:dyDescent="0.25">
      <c r="A118" s="5">
        <v>44475</v>
      </c>
      <c r="B118">
        <v>0.18329999999999999</v>
      </c>
      <c r="C118">
        <v>0.19350000000000001</v>
      </c>
      <c r="D118">
        <v>0.1714</v>
      </c>
      <c r="E118">
        <v>0.18379999999999999</v>
      </c>
      <c r="F118">
        <v>14427977</v>
      </c>
      <c r="G118">
        <v>0.18379999999999999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0.12217194570135652</v>
      </c>
      <c r="Q118">
        <f t="shared" ref="Q118" si="566">F118*P118</f>
        <v>1762694.0226244207</v>
      </c>
      <c r="R118">
        <f t="shared" ref="R118" si="567">R119+Q118</f>
        <v>-1774674258.6985593</v>
      </c>
      <c r="S118">
        <f t="shared" ref="S118" si="568">R118/100000</f>
        <v>-17746.742586985594</v>
      </c>
      <c r="T118">
        <f t="shared" ref="T118" si="569">S118/1000</f>
        <v>-17.746742586985594</v>
      </c>
    </row>
    <row r="119" spans="1:20" x14ac:dyDescent="0.25">
      <c r="A119" s="5">
        <v>44474</v>
      </c>
      <c r="B119">
        <v>0.17860000000000001</v>
      </c>
      <c r="C119">
        <v>0.1875</v>
      </c>
      <c r="D119">
        <v>0.17630000000000001</v>
      </c>
      <c r="E119">
        <v>0.1832</v>
      </c>
      <c r="F119">
        <v>13898008</v>
      </c>
      <c r="G119">
        <v>0.1832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0.23214285714285662</v>
      </c>
      <c r="Q119">
        <f t="shared" ref="Q119" si="571">F119*P119</f>
        <v>3226323.2857142785</v>
      </c>
      <c r="R119">
        <f t="shared" ref="R119" si="572">R120+Q119</f>
        <v>-1776436952.7211838</v>
      </c>
      <c r="S119">
        <f t="shared" ref="S119" si="573">R119/100000</f>
        <v>-17764.369527211838</v>
      </c>
      <c r="T119">
        <f t="shared" ref="T119" si="574">S119/1000</f>
        <v>-17.764369527211837</v>
      </c>
    </row>
    <row r="120" spans="1:20" x14ac:dyDescent="0.25">
      <c r="A120" s="5">
        <v>44473</v>
      </c>
      <c r="B120">
        <v>0.1794</v>
      </c>
      <c r="C120">
        <v>0.1812</v>
      </c>
      <c r="D120">
        <v>0.1729</v>
      </c>
      <c r="E120">
        <v>0.1787</v>
      </c>
      <c r="F120">
        <v>20387008</v>
      </c>
      <c r="G120">
        <v>0.1787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0.39759036144578275</v>
      </c>
      <c r="Q120">
        <f t="shared" ref="Q120" si="576">F120*P120</f>
        <v>8105677.8795180647</v>
      </c>
      <c r="R120">
        <f t="shared" ref="R120" si="577">R121+Q120</f>
        <v>-1779663276.0068982</v>
      </c>
      <c r="S120">
        <f t="shared" ref="S120" si="578">R120/100000</f>
        <v>-17796.63276006898</v>
      </c>
      <c r="T120">
        <f t="shared" ref="T120" si="579">S120/1000</f>
        <v>-17.796632760068981</v>
      </c>
    </row>
    <row r="121" spans="1:20" x14ac:dyDescent="0.25">
      <c r="A121" s="5">
        <v>44472</v>
      </c>
      <c r="B121">
        <v>0.18179999999999999</v>
      </c>
      <c r="C121">
        <v>0.1842</v>
      </c>
      <c r="D121">
        <v>0.17599999999999999</v>
      </c>
      <c r="E121">
        <v>0.17899999999999999</v>
      </c>
      <c r="F121">
        <v>14027451</v>
      </c>
      <c r="G121">
        <v>0.17899999999999999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-0.26829268292682978</v>
      </c>
      <c r="Q121">
        <f t="shared" ref="Q121" si="581">F121*P121</f>
        <v>-3763462.4634146416</v>
      </c>
      <c r="R121">
        <f t="shared" ref="R121" si="582">R122+Q121</f>
        <v>-1787768953.8864162</v>
      </c>
      <c r="S121">
        <f t="shared" ref="S121" si="583">R121/100000</f>
        <v>-17877.689538864161</v>
      </c>
      <c r="T121">
        <f t="shared" ref="T121" si="584">S121/1000</f>
        <v>-17.877689538864161</v>
      </c>
    </row>
    <row r="122" spans="1:20" x14ac:dyDescent="0.25">
      <c r="A122" s="5">
        <v>44471</v>
      </c>
      <c r="B122">
        <v>0.18060000000000001</v>
      </c>
      <c r="C122">
        <v>0.19359999999999999</v>
      </c>
      <c r="D122">
        <v>0.17699999999999999</v>
      </c>
      <c r="E122">
        <v>0.18160000000000001</v>
      </c>
      <c r="F122">
        <v>20630781</v>
      </c>
      <c r="G122">
        <v>0.18160000000000001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-0.44578313253011809</v>
      </c>
      <c r="Q122">
        <f t="shared" ref="Q122" si="586">F122*P122</f>
        <v>-9196854.180722842</v>
      </c>
      <c r="R122">
        <f t="shared" ref="R122" si="587">R123+Q122</f>
        <v>-1784005491.4230015</v>
      </c>
      <c r="S122">
        <f t="shared" ref="S122" si="588">R122/100000</f>
        <v>-17840.054914230015</v>
      </c>
      <c r="T122">
        <f t="shared" ref="T122" si="589">S122/1000</f>
        <v>-17.840054914230016</v>
      </c>
    </row>
    <row r="123" spans="1:20" x14ac:dyDescent="0.25">
      <c r="A123" s="5">
        <v>44470</v>
      </c>
      <c r="B123">
        <v>0.16619999999999999</v>
      </c>
      <c r="C123">
        <v>0.2074</v>
      </c>
      <c r="D123">
        <v>0.1633</v>
      </c>
      <c r="E123">
        <v>0.18079999999999999</v>
      </c>
      <c r="F123">
        <v>43411539</v>
      </c>
      <c r="G123">
        <v>0.18079999999999999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-0.20634920634920692</v>
      </c>
      <c r="Q123">
        <f t="shared" ref="Q123" si="591">F123*P123</f>
        <v>-8957936.6190476436</v>
      </c>
      <c r="R123">
        <f t="shared" ref="R123" si="592">R124+Q123</f>
        <v>-1774808637.2422786</v>
      </c>
      <c r="S123">
        <f t="shared" ref="S123" si="593">R123/100000</f>
        <v>-17748.086372422786</v>
      </c>
      <c r="T123">
        <f t="shared" ref="T123" si="594">S123/1000</f>
        <v>-17.748086372422787</v>
      </c>
    </row>
    <row r="124" spans="1:20" x14ac:dyDescent="0.25">
      <c r="A124" s="5">
        <v>44469</v>
      </c>
      <c r="B124">
        <v>0.15720000000000001</v>
      </c>
      <c r="C124">
        <v>0.17019999999999999</v>
      </c>
      <c r="D124">
        <v>0.1565</v>
      </c>
      <c r="E124">
        <v>0.1661</v>
      </c>
      <c r="F124">
        <v>8643708</v>
      </c>
      <c r="G124">
        <v>0.1661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0.40145985401459922</v>
      </c>
      <c r="Q124">
        <f t="shared" ref="Q124" si="596">F124*P124</f>
        <v>3470101.7518248232</v>
      </c>
      <c r="R124">
        <f t="shared" ref="R124" si="597">R125+Q124</f>
        <v>-1765850700.6232309</v>
      </c>
      <c r="S124">
        <f t="shared" ref="S124" si="598">R124/100000</f>
        <v>-17658.50700623231</v>
      </c>
      <c r="T124">
        <f t="shared" ref="T124" si="599">S124/1000</f>
        <v>-17.658507006232309</v>
      </c>
    </row>
    <row r="125" spans="1:20" x14ac:dyDescent="0.25">
      <c r="A125" s="5">
        <v>44468</v>
      </c>
      <c r="B125">
        <v>0.1547</v>
      </c>
      <c r="C125">
        <v>0.16420000000000001</v>
      </c>
      <c r="D125">
        <v>0.15409999999999999</v>
      </c>
      <c r="E125">
        <v>0.15720000000000001</v>
      </c>
      <c r="F125">
        <v>5196684</v>
      </c>
      <c r="G125">
        <v>0.15720000000000001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-0.38613861386138387</v>
      </c>
      <c r="Q125">
        <f t="shared" ref="Q125" si="601">F125*P125</f>
        <v>-2006640.3564356319</v>
      </c>
      <c r="R125">
        <f t="shared" ref="R125" si="602">R126+Q125</f>
        <v>-1769320802.3750558</v>
      </c>
      <c r="S125">
        <f t="shared" ref="S125" si="603">R125/100000</f>
        <v>-17693.208023750558</v>
      </c>
      <c r="T125">
        <f t="shared" ref="T125" si="604">S125/1000</f>
        <v>-17.693208023750557</v>
      </c>
    </row>
    <row r="126" spans="1:20" x14ac:dyDescent="0.25">
      <c r="A126" s="5">
        <v>44467</v>
      </c>
      <c r="B126">
        <v>0.1641</v>
      </c>
      <c r="C126">
        <v>0.16700000000000001</v>
      </c>
      <c r="D126">
        <v>0.15359999999999999</v>
      </c>
      <c r="E126">
        <v>0.1542</v>
      </c>
      <c r="F126">
        <v>20913966</v>
      </c>
      <c r="G126">
        <v>0.1542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-0.91044776119402748</v>
      </c>
      <c r="Q126">
        <f t="shared" ref="Q126" si="606">F126*P126</f>
        <v>-19041073.522388011</v>
      </c>
      <c r="R126">
        <f t="shared" ref="R126" si="607">R127+Q126</f>
        <v>-1767314162.0186203</v>
      </c>
      <c r="S126">
        <f t="shared" ref="S126" si="608">R126/100000</f>
        <v>-17673.141620186201</v>
      </c>
      <c r="T126">
        <f t="shared" ref="T126" si="609">S126/1000</f>
        <v>-17.6731416201862</v>
      </c>
    </row>
    <row r="127" spans="1:20" x14ac:dyDescent="0.25">
      <c r="A127" s="5">
        <v>44466</v>
      </c>
      <c r="B127">
        <v>0.1668</v>
      </c>
      <c r="C127">
        <v>0.17799999999999999</v>
      </c>
      <c r="D127">
        <v>0.16420000000000001</v>
      </c>
      <c r="E127">
        <v>0.16439999999999999</v>
      </c>
      <c r="F127">
        <v>10314202</v>
      </c>
      <c r="G127">
        <v>0.16439999999999999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-0.97101449275362639</v>
      </c>
      <c r="Q127">
        <f t="shared" ref="Q127" si="611">F127*P127</f>
        <v>-10015239.623188438</v>
      </c>
      <c r="R127">
        <f t="shared" ref="R127" si="612">R128+Q127</f>
        <v>-1748273088.4962323</v>
      </c>
      <c r="S127">
        <f t="shared" ref="S127" si="613">R127/100000</f>
        <v>-17482.730884962322</v>
      </c>
      <c r="T127">
        <f t="shared" ref="T127" si="614">S127/1000</f>
        <v>-17.482730884962322</v>
      </c>
    </row>
    <row r="128" spans="1:20" x14ac:dyDescent="0.25">
      <c r="A128" s="5">
        <v>44465</v>
      </c>
      <c r="B128">
        <v>0.1724</v>
      </c>
      <c r="C128">
        <v>0.1739</v>
      </c>
      <c r="D128">
        <v>0.15509999999999999</v>
      </c>
      <c r="E128">
        <v>0.16700000000000001</v>
      </c>
      <c r="F128">
        <v>10080557</v>
      </c>
      <c r="G128">
        <v>0.16700000000000001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0.26595744680851219</v>
      </c>
      <c r="Q128">
        <f t="shared" ref="Q128" si="616">F128*P128</f>
        <v>2680999.2021276751</v>
      </c>
      <c r="R128">
        <f t="shared" ref="R128" si="617">R129+Q128</f>
        <v>-1738257848.8730438</v>
      </c>
      <c r="S128">
        <f t="shared" ref="S128" si="618">R128/100000</f>
        <v>-17382.578488730436</v>
      </c>
      <c r="T128">
        <f t="shared" ref="T128" si="619">S128/1000</f>
        <v>-17.382578488730438</v>
      </c>
    </row>
    <row r="129" spans="1:20" x14ac:dyDescent="0.25">
      <c r="A129" s="5">
        <v>44464</v>
      </c>
      <c r="B129">
        <v>0.1726</v>
      </c>
      <c r="C129">
        <v>0.1792</v>
      </c>
      <c r="D129">
        <v>0.16769999999999999</v>
      </c>
      <c r="E129">
        <v>0.17230000000000001</v>
      </c>
      <c r="F129">
        <v>7304506</v>
      </c>
      <c r="G129">
        <v>0.17230000000000001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-0.1999999999999971</v>
      </c>
      <c r="Q129">
        <f t="shared" ref="Q129" si="621">F129*P129</f>
        <v>-1460901.1999999788</v>
      </c>
      <c r="R129">
        <f t="shared" ref="R129" si="622">R130+Q129</f>
        <v>-1740938848.0751715</v>
      </c>
      <c r="S129">
        <f t="shared" ref="S129" si="623">R129/100000</f>
        <v>-17409.388480751713</v>
      </c>
      <c r="T129">
        <f t="shared" ref="T129" si="624">S129/1000</f>
        <v>-17.409388480751712</v>
      </c>
    </row>
    <row r="130" spans="1:20" x14ac:dyDescent="0.25">
      <c r="A130" s="5">
        <v>44463</v>
      </c>
      <c r="B130">
        <v>0.189</v>
      </c>
      <c r="C130">
        <v>0.18990000000000001</v>
      </c>
      <c r="D130">
        <v>0.16159999999999999</v>
      </c>
      <c r="E130">
        <v>0.1724</v>
      </c>
      <c r="F130">
        <v>13466886</v>
      </c>
      <c r="G130">
        <v>0.1724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-0.23674911660777409</v>
      </c>
      <c r="Q130">
        <f t="shared" ref="Q130" si="626">F130*P130</f>
        <v>-3188273.3639576002</v>
      </c>
      <c r="R130">
        <f t="shared" ref="R130" si="627">R131+Q130</f>
        <v>-1739477946.8751714</v>
      </c>
      <c r="S130">
        <f t="shared" ref="S130" si="628">R130/100000</f>
        <v>-17394.779468751713</v>
      </c>
      <c r="T130">
        <f t="shared" ref="T130" si="629">S130/1000</f>
        <v>-17.394779468751711</v>
      </c>
    </row>
    <row r="131" spans="1:20" x14ac:dyDescent="0.25">
      <c r="A131" s="5">
        <v>44462</v>
      </c>
      <c r="B131">
        <v>0.18079999999999999</v>
      </c>
      <c r="C131">
        <v>0.1963</v>
      </c>
      <c r="D131">
        <v>0.17829999999999999</v>
      </c>
      <c r="E131">
        <v>0.189</v>
      </c>
      <c r="F131">
        <v>25493853</v>
      </c>
      <c r="G131">
        <v>0.189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0.18888888888888949</v>
      </c>
      <c r="Q131">
        <f t="shared" ref="Q131" si="631">F131*P131</f>
        <v>4815505.5666666823</v>
      </c>
      <c r="R131">
        <f t="shared" ref="R131" si="632">R132+Q131</f>
        <v>-1736289673.5112138</v>
      </c>
      <c r="S131">
        <f t="shared" ref="S131" si="633">R131/100000</f>
        <v>-17362.896735112139</v>
      </c>
      <c r="T131">
        <f t="shared" ref="T131" si="634">S131/1000</f>
        <v>-17.362896735112137</v>
      </c>
    </row>
    <row r="132" spans="1:20" x14ac:dyDescent="0.25">
      <c r="A132" s="5">
        <v>44461</v>
      </c>
      <c r="B132">
        <v>0.16420000000000001</v>
      </c>
      <c r="C132">
        <v>0.18490000000000001</v>
      </c>
      <c r="D132">
        <v>0.1605</v>
      </c>
      <c r="E132">
        <v>0.1812</v>
      </c>
      <c r="F132">
        <v>21172265</v>
      </c>
      <c r="G132">
        <v>0.1812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0.69672131147540917</v>
      </c>
      <c r="Q132">
        <f t="shared" ref="Q132" si="636">F132*P132</f>
        <v>14751168.237704905</v>
      </c>
      <c r="R132">
        <f t="shared" ref="R132" si="637">R133+Q132</f>
        <v>-1741105179.0778804</v>
      </c>
      <c r="S132">
        <f t="shared" ref="S132" si="638">R132/100000</f>
        <v>-17411.051790778805</v>
      </c>
      <c r="T132">
        <f t="shared" ref="T132" si="639">S132/1000</f>
        <v>-17.411051790778806</v>
      </c>
    </row>
    <row r="133" spans="1:20" x14ac:dyDescent="0.25">
      <c r="A133" s="5">
        <v>44460</v>
      </c>
      <c r="B133">
        <v>0.17449999999999999</v>
      </c>
      <c r="C133">
        <v>0.18740000000000001</v>
      </c>
      <c r="D133">
        <v>0.159</v>
      </c>
      <c r="E133">
        <v>0.16420000000000001</v>
      </c>
      <c r="F133">
        <v>12452251</v>
      </c>
      <c r="G133">
        <v>0.16420000000000001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-0.63380281690140783</v>
      </c>
      <c r="Q133">
        <f t="shared" ref="Q133" si="641">F133*P133</f>
        <v>-7892271.7605633726</v>
      </c>
      <c r="R133">
        <f t="shared" ref="R133" si="642">R134+Q133</f>
        <v>-1755856347.3155854</v>
      </c>
      <c r="S133">
        <f t="shared" ref="S133" si="643">R133/100000</f>
        <v>-17558.563473155853</v>
      </c>
      <c r="T133">
        <f t="shared" ref="T133" si="644">S133/1000</f>
        <v>-17.558563473155854</v>
      </c>
    </row>
    <row r="134" spans="1:20" x14ac:dyDescent="0.25">
      <c r="A134" s="5">
        <v>44459</v>
      </c>
      <c r="B134">
        <v>0.2056</v>
      </c>
      <c r="C134">
        <v>0.20599999999999999</v>
      </c>
      <c r="D134">
        <v>0.1865</v>
      </c>
      <c r="E134">
        <v>0.18920000000000001</v>
      </c>
      <c r="F134">
        <v>8642821</v>
      </c>
      <c r="G134">
        <v>0.18920000000000001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-0.72307692307692206</v>
      </c>
      <c r="Q134">
        <f t="shared" ref="Q134" si="646">F134*P134</f>
        <v>-6249424.4153846065</v>
      </c>
      <c r="R134">
        <f t="shared" ref="R134" si="647">R135+Q134</f>
        <v>-1747964075.555022</v>
      </c>
      <c r="S134">
        <f t="shared" ref="S134" si="648">R134/100000</f>
        <v>-17479.640755550219</v>
      </c>
      <c r="T134">
        <f t="shared" ref="T134" si="649">S134/1000</f>
        <v>-17.479640755550218</v>
      </c>
    </row>
    <row r="135" spans="1:20" x14ac:dyDescent="0.25">
      <c r="A135" s="5">
        <v>44458</v>
      </c>
      <c r="B135">
        <v>0.2112</v>
      </c>
      <c r="C135">
        <v>0.25659999999999999</v>
      </c>
      <c r="D135">
        <v>0.2041</v>
      </c>
      <c r="E135">
        <v>0.2056</v>
      </c>
      <c r="F135">
        <v>80350098</v>
      </c>
      <c r="G135">
        <v>0.2056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-0.94285714285714284</v>
      </c>
      <c r="Q135">
        <f t="shared" ref="Q135" si="651">F135*P135</f>
        <v>-75758663.828571424</v>
      </c>
      <c r="R135">
        <f t="shared" ref="R135" si="652">R136+Q135</f>
        <v>-1741714651.1396375</v>
      </c>
      <c r="S135">
        <f t="shared" ref="S135" si="653">R135/100000</f>
        <v>-17417.146511396375</v>
      </c>
      <c r="T135">
        <f t="shared" ref="T135" si="654">S135/1000</f>
        <v>-17.417146511396375</v>
      </c>
    </row>
    <row r="136" spans="1:20" x14ac:dyDescent="0.25">
      <c r="A136" s="5">
        <v>44457</v>
      </c>
      <c r="B136">
        <v>0.19769999999999999</v>
      </c>
      <c r="C136">
        <v>0.24440000000000001</v>
      </c>
      <c r="D136">
        <v>0.1973</v>
      </c>
      <c r="E136">
        <v>0.21149999999999999</v>
      </c>
      <c r="F136">
        <v>48666763</v>
      </c>
      <c r="G136">
        <v>0.21149999999999999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-0.39702760084925737</v>
      </c>
      <c r="Q136">
        <f t="shared" ref="Q136" si="656">F136*P136</f>
        <v>-19322048.154989406</v>
      </c>
      <c r="R136">
        <f t="shared" ref="R136" si="657">R137+Q136</f>
        <v>-1665955987.3110662</v>
      </c>
      <c r="S136">
        <f t="shared" ref="S136" si="658">R136/100000</f>
        <v>-16659.559873110662</v>
      </c>
      <c r="T136">
        <f t="shared" ref="T136" si="659">S136/1000</f>
        <v>-16.659559873110663</v>
      </c>
    </row>
    <row r="137" spans="1:20" x14ac:dyDescent="0.25">
      <c r="A137" s="5">
        <v>44456</v>
      </c>
      <c r="B137">
        <v>0.2034</v>
      </c>
      <c r="C137">
        <v>0.21310000000000001</v>
      </c>
      <c r="D137">
        <v>0.19520000000000001</v>
      </c>
      <c r="E137">
        <v>0.1961</v>
      </c>
      <c r="F137">
        <v>6558327</v>
      </c>
      <c r="G137">
        <v>0.1961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-0.89944134078212468</v>
      </c>
      <c r="Q137">
        <f t="shared" ref="Q137" si="661">F137*P137</f>
        <v>-5898830.4301676098</v>
      </c>
      <c r="R137">
        <f t="shared" ref="R137" si="662">R138+Q137</f>
        <v>-1646633939.1560767</v>
      </c>
      <c r="S137">
        <f t="shared" ref="S137" si="663">R137/100000</f>
        <v>-16466.339391560767</v>
      </c>
      <c r="T137">
        <f t="shared" ref="T137" si="664">S137/1000</f>
        <v>-16.466339391560766</v>
      </c>
    </row>
    <row r="138" spans="1:20" x14ac:dyDescent="0.25">
      <c r="A138" s="5">
        <v>44455</v>
      </c>
      <c r="B138">
        <v>0.21049999999999999</v>
      </c>
      <c r="C138">
        <v>0.2145</v>
      </c>
      <c r="D138">
        <v>0.2014</v>
      </c>
      <c r="E138">
        <v>0.2034</v>
      </c>
      <c r="F138">
        <v>8497492</v>
      </c>
      <c r="G138">
        <v>0.2034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-0.69465648854961803</v>
      </c>
      <c r="Q138">
        <f t="shared" ref="Q138" si="666">F138*P138</f>
        <v>-5902837.9541984713</v>
      </c>
      <c r="R138">
        <f t="shared" ref="R138" si="667">R139+Q138</f>
        <v>-1640735108.725909</v>
      </c>
      <c r="S138">
        <f t="shared" ref="S138" si="668">R138/100000</f>
        <v>-16407.351087259089</v>
      </c>
      <c r="T138">
        <f t="shared" ref="T138" si="669">S138/1000</f>
        <v>-16.407351087259087</v>
      </c>
    </row>
    <row r="139" spans="1:20" x14ac:dyDescent="0.25">
      <c r="A139" s="5">
        <v>44454</v>
      </c>
      <c r="B139">
        <v>0.19700000000000001</v>
      </c>
      <c r="C139">
        <v>0.217</v>
      </c>
      <c r="D139">
        <v>0.1953</v>
      </c>
      <c r="E139">
        <v>0.2104</v>
      </c>
      <c r="F139">
        <v>12240260</v>
      </c>
      <c r="G139">
        <v>0.2104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0.39170506912442438</v>
      </c>
      <c r="Q139">
        <f t="shared" ref="Q139" si="671">F139*P139</f>
        <v>4794571.8894009264</v>
      </c>
      <c r="R139">
        <f t="shared" ref="R139" si="672">R140+Q139</f>
        <v>-1634832270.7717106</v>
      </c>
      <c r="S139">
        <f t="shared" ref="S139" si="673">R139/100000</f>
        <v>-16348.322707717107</v>
      </c>
      <c r="T139">
        <f t="shared" ref="T139" si="674">S139/1000</f>
        <v>-16.348322707717106</v>
      </c>
    </row>
    <row r="140" spans="1:20" x14ac:dyDescent="0.25">
      <c r="A140" s="5">
        <v>44453</v>
      </c>
      <c r="B140">
        <v>0.19350000000000001</v>
      </c>
      <c r="C140">
        <v>0.20069999999999999</v>
      </c>
      <c r="D140">
        <v>0.19139999999999999</v>
      </c>
      <c r="E140">
        <v>0.19689999999999999</v>
      </c>
      <c r="F140">
        <v>6768613</v>
      </c>
      <c r="G140">
        <v>0.19689999999999999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0.18279569892473188</v>
      </c>
      <c r="Q140">
        <f t="shared" ref="Q140" si="676">F140*P140</f>
        <v>1237273.3440860263</v>
      </c>
      <c r="R140">
        <f t="shared" ref="R140" si="677">R141+Q140</f>
        <v>-1639626842.6611116</v>
      </c>
      <c r="S140">
        <f t="shared" ref="S140" si="678">R140/100000</f>
        <v>-16396.268426611117</v>
      </c>
      <c r="T140">
        <f t="shared" ref="T140" si="679">S140/1000</f>
        <v>-16.396268426611119</v>
      </c>
    </row>
    <row r="141" spans="1:20" x14ac:dyDescent="0.25">
      <c r="A141" s="5">
        <v>44452</v>
      </c>
      <c r="B141">
        <v>0.21</v>
      </c>
      <c r="C141">
        <v>0.2112</v>
      </c>
      <c r="D141">
        <v>0.1857</v>
      </c>
      <c r="E141">
        <v>0.19350000000000001</v>
      </c>
      <c r="F141">
        <v>8743234</v>
      </c>
      <c r="G141">
        <v>0.19350000000000001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-0.38823529411764685</v>
      </c>
      <c r="Q141">
        <f t="shared" ref="Q141" si="681">F141*P141</f>
        <v>-3394432.0235294099</v>
      </c>
      <c r="R141">
        <f t="shared" ref="R141" si="682">R142+Q141</f>
        <v>-1640864116.0051975</v>
      </c>
      <c r="S141">
        <f t="shared" ref="S141" si="683">R141/100000</f>
        <v>-16408.641160051975</v>
      </c>
      <c r="T141">
        <f t="shared" ref="T141" si="684">S141/1000</f>
        <v>-16.408641160051975</v>
      </c>
    </row>
    <row r="142" spans="1:20" x14ac:dyDescent="0.25">
      <c r="A142" s="5">
        <v>44451</v>
      </c>
      <c r="B142">
        <v>0.1988</v>
      </c>
      <c r="C142">
        <v>0.2155</v>
      </c>
      <c r="D142">
        <v>0.19500000000000001</v>
      </c>
      <c r="E142">
        <v>0.2094</v>
      </c>
      <c r="F142">
        <v>12032499</v>
      </c>
      <c r="G142">
        <v>0.2094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0.40487804878048811</v>
      </c>
      <c r="Q142">
        <f t="shared" ref="Q142" si="686">F142*P142</f>
        <v>4871694.7170731742</v>
      </c>
      <c r="R142">
        <f t="shared" ref="R142" si="687">R143+Q142</f>
        <v>-1637469683.9816682</v>
      </c>
      <c r="S142">
        <f t="shared" ref="S142" si="688">R142/100000</f>
        <v>-16374.696839816683</v>
      </c>
      <c r="T142">
        <f t="shared" ref="T142" si="689">S142/1000</f>
        <v>-16.374696839816682</v>
      </c>
    </row>
    <row r="143" spans="1:20" x14ac:dyDescent="0.25">
      <c r="A143" s="5">
        <v>44450</v>
      </c>
      <c r="B143">
        <v>0.20169999999999999</v>
      </c>
      <c r="C143">
        <v>0.20580000000000001</v>
      </c>
      <c r="D143">
        <v>0.1976</v>
      </c>
      <c r="E143">
        <v>0.1988</v>
      </c>
      <c r="F143">
        <v>6921322</v>
      </c>
      <c r="G143">
        <v>0.1988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-0.70731707317073056</v>
      </c>
      <c r="Q143">
        <f t="shared" ref="Q143" si="691">F143*P143</f>
        <v>-4895569.2195121869</v>
      </c>
      <c r="R143">
        <f t="shared" ref="R143" si="692">R144+Q143</f>
        <v>-1642341378.6987414</v>
      </c>
      <c r="S143">
        <f t="shared" ref="S143" si="693">R143/100000</f>
        <v>-16423.413786987414</v>
      </c>
      <c r="T143">
        <f t="shared" ref="T143" si="694">S143/1000</f>
        <v>-16.423413786987414</v>
      </c>
    </row>
    <row r="144" spans="1:20" x14ac:dyDescent="0.25">
      <c r="A144" s="5">
        <v>44449</v>
      </c>
      <c r="B144">
        <v>0.20830000000000001</v>
      </c>
      <c r="C144">
        <v>0.21809999999999999</v>
      </c>
      <c r="D144">
        <v>0.191</v>
      </c>
      <c r="E144">
        <v>0.2019</v>
      </c>
      <c r="F144">
        <v>17859826</v>
      </c>
      <c r="G144">
        <v>0.2019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-0.19557195571955727</v>
      </c>
      <c r="Q144">
        <f t="shared" ref="Q144" si="696">F144*P144</f>
        <v>-3492881.0996309975</v>
      </c>
      <c r="R144">
        <f t="shared" ref="R144" si="697">R145+Q144</f>
        <v>-1637445809.4792292</v>
      </c>
      <c r="S144">
        <f t="shared" ref="S144" si="698">R144/100000</f>
        <v>-16374.458094792291</v>
      </c>
      <c r="T144">
        <f t="shared" ref="T144" si="699">S144/1000</f>
        <v>-16.374458094792292</v>
      </c>
    </row>
    <row r="145" spans="1:20" x14ac:dyDescent="0.25">
      <c r="A145" s="5">
        <v>44448</v>
      </c>
      <c r="B145">
        <v>0.2109</v>
      </c>
      <c r="C145">
        <v>0.21990000000000001</v>
      </c>
      <c r="D145">
        <v>0.20300000000000001</v>
      </c>
      <c r="E145">
        <v>0.20780000000000001</v>
      </c>
      <c r="F145">
        <v>15215315</v>
      </c>
      <c r="G145">
        <v>0.20780000000000001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-0.43195266272189359</v>
      </c>
      <c r="Q145">
        <f t="shared" ref="Q145" si="701">F145*P145</f>
        <v>-6572295.8284023684</v>
      </c>
      <c r="R145">
        <f t="shared" ref="R145" si="702">R146+Q145</f>
        <v>-1633952928.3795981</v>
      </c>
      <c r="S145">
        <f t="shared" ref="S145" si="703">R145/100000</f>
        <v>-16339.529283795981</v>
      </c>
      <c r="T145">
        <f t="shared" ref="T145" si="704">S145/1000</f>
        <v>-16.339529283795979</v>
      </c>
    </row>
    <row r="146" spans="1:20" x14ac:dyDescent="0.25">
      <c r="A146" s="5">
        <v>44447</v>
      </c>
      <c r="B146">
        <v>0.2102</v>
      </c>
      <c r="C146">
        <v>0.24</v>
      </c>
      <c r="D146">
        <v>0.17630000000000001</v>
      </c>
      <c r="E146">
        <v>0.2109</v>
      </c>
      <c r="F146">
        <v>70470352</v>
      </c>
      <c r="G146">
        <v>0.2109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8.6342229199372164E-2</v>
      </c>
      <c r="Q146">
        <f t="shared" ref="Q146" si="706">F146*P146</f>
        <v>6084567.2841444341</v>
      </c>
      <c r="R146">
        <f t="shared" ref="R146" si="707">R147+Q146</f>
        <v>-1627380632.5511959</v>
      </c>
      <c r="S146">
        <f t="shared" ref="S146" si="708">R146/100000</f>
        <v>-16273.806325511958</v>
      </c>
      <c r="T146">
        <f t="shared" ref="T146" si="709">S146/1000</f>
        <v>-16.273806325511959</v>
      </c>
    </row>
    <row r="147" spans="1:20" x14ac:dyDescent="0.25">
      <c r="A147" s="5">
        <v>44446</v>
      </c>
      <c r="B147">
        <v>0.25800000000000001</v>
      </c>
      <c r="C147">
        <v>0.29299999999999998</v>
      </c>
      <c r="D147">
        <v>0.13750000000000001</v>
      </c>
      <c r="E147">
        <v>0.20949999999999999</v>
      </c>
      <c r="F147">
        <v>94116787.180000007</v>
      </c>
      <c r="G147">
        <v>0.20949999999999999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-7.3954983922829662E-2</v>
      </c>
      <c r="Q147">
        <f t="shared" ref="Q147" si="711">F147*P147</f>
        <v>-6960405.4827652816</v>
      </c>
      <c r="R147">
        <f t="shared" ref="R147" si="712">R148+Q147</f>
        <v>-1633465199.8353403</v>
      </c>
      <c r="S147">
        <f t="shared" ref="S147" si="713">R147/100000</f>
        <v>-16334.651998353402</v>
      </c>
      <c r="T147">
        <f t="shared" ref="T147" si="714">S147/1000</f>
        <v>-16.334651998353401</v>
      </c>
    </row>
    <row r="148" spans="1:20" x14ac:dyDescent="0.25">
      <c r="A148" s="5">
        <v>44445</v>
      </c>
      <c r="B148">
        <v>0.24010000000000001</v>
      </c>
      <c r="C148">
        <v>0.27300000000000002</v>
      </c>
      <c r="D148">
        <v>0.23100000000000001</v>
      </c>
      <c r="E148">
        <v>0.25800000000000001</v>
      </c>
      <c r="F148">
        <v>57060988.119999997</v>
      </c>
      <c r="G148">
        <v>0.25800000000000001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0.28571428571428525</v>
      </c>
      <c r="Q148">
        <f t="shared" ref="Q148" si="716">F148*P148</f>
        <v>16303139.462857116</v>
      </c>
      <c r="R148">
        <f t="shared" ref="R148" si="717">R149+Q148</f>
        <v>-1626504794.3525751</v>
      </c>
      <c r="S148">
        <f t="shared" ref="S148" si="718">R148/100000</f>
        <v>-16265.047943525751</v>
      </c>
      <c r="T148">
        <f t="shared" ref="T148" si="719">S148/1000</f>
        <v>-16.265047943525751</v>
      </c>
    </row>
    <row r="149" spans="1:20" x14ac:dyDescent="0.25">
      <c r="A149" s="5">
        <v>44444</v>
      </c>
      <c r="B149">
        <v>0.24060000000000001</v>
      </c>
      <c r="C149">
        <v>0.2636</v>
      </c>
      <c r="D149">
        <v>0.2349</v>
      </c>
      <c r="E149">
        <v>0.2402</v>
      </c>
      <c r="F149">
        <v>33978345.759999998</v>
      </c>
      <c r="G149">
        <v>0.2402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-0.63066202090592349</v>
      </c>
      <c r="Q149">
        <f t="shared" ref="Q149" si="721">F149*P149</f>
        <v>-21428852.204041816</v>
      </c>
      <c r="R149">
        <f t="shared" ref="R149" si="722">R150+Q149</f>
        <v>-1642807933.8154321</v>
      </c>
      <c r="S149">
        <f t="shared" ref="S149" si="723">R149/100000</f>
        <v>-16428.079338154319</v>
      </c>
      <c r="T149">
        <f t="shared" ref="T149" si="724">S149/1000</f>
        <v>-16.428079338154319</v>
      </c>
    </row>
    <row r="150" spans="1:20" x14ac:dyDescent="0.25">
      <c r="A150" s="5">
        <v>44443</v>
      </c>
      <c r="B150">
        <v>0.2329</v>
      </c>
      <c r="C150">
        <v>0.24579999999999999</v>
      </c>
      <c r="D150">
        <v>0.2261</v>
      </c>
      <c r="E150">
        <v>0.24049999999999999</v>
      </c>
      <c r="F150">
        <v>18115672.489999998</v>
      </c>
      <c r="G150">
        <v>0.24049999999999999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0.46192893401015223</v>
      </c>
      <c r="Q150">
        <f t="shared" ref="Q150" si="726">F150*P150</f>
        <v>8368153.2821827391</v>
      </c>
      <c r="R150">
        <f t="shared" ref="R150" si="727">R151+Q150</f>
        <v>-1621379081.6113904</v>
      </c>
      <c r="S150">
        <f t="shared" ref="S150" si="728">R150/100000</f>
        <v>-16213.790816113904</v>
      </c>
      <c r="T150">
        <f t="shared" ref="T150" si="729">S150/1000</f>
        <v>-16.213790816113903</v>
      </c>
    </row>
    <row r="151" spans="1:20" x14ac:dyDescent="0.25">
      <c r="A151" s="5">
        <v>44442</v>
      </c>
      <c r="B151">
        <v>0.22070000000000001</v>
      </c>
      <c r="C151">
        <v>0.24349999999999999</v>
      </c>
      <c r="D151">
        <v>0.2152</v>
      </c>
      <c r="E151">
        <v>0.2331</v>
      </c>
      <c r="F151">
        <v>28084332</v>
      </c>
      <c r="G151">
        <v>0.2331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0.2650176678445233</v>
      </c>
      <c r="Q151">
        <f t="shared" ref="Q151" si="731">F151*P151</f>
        <v>7442844.1696113171</v>
      </c>
      <c r="R151">
        <f t="shared" ref="R151" si="732">R152+Q151</f>
        <v>-1629747234.893573</v>
      </c>
      <c r="S151">
        <f t="shared" ref="S151" si="733">R151/100000</f>
        <v>-16297.472348935731</v>
      </c>
      <c r="T151">
        <f t="shared" ref="T151" si="734">S151/1000</f>
        <v>-16.297472348935731</v>
      </c>
    </row>
    <row r="152" spans="1:20" x14ac:dyDescent="0.25">
      <c r="A152" s="5">
        <v>44441</v>
      </c>
      <c r="B152">
        <v>0.2205</v>
      </c>
      <c r="C152">
        <v>0.2248</v>
      </c>
      <c r="D152">
        <v>0.2172</v>
      </c>
      <c r="E152">
        <v>0.22059999999999999</v>
      </c>
      <c r="F152">
        <v>11184801</v>
      </c>
      <c r="G152">
        <v>0.22059999999999999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-0.10526315789473992</v>
      </c>
      <c r="Q152">
        <f t="shared" ref="Q152" si="736">F152*P152</f>
        <v>-1177347.473684245</v>
      </c>
      <c r="R152">
        <f t="shared" ref="R152" si="737">R153+Q152</f>
        <v>-1637190079.0631843</v>
      </c>
      <c r="S152">
        <f t="shared" ref="S152" si="738">R152/100000</f>
        <v>-16371.900790631842</v>
      </c>
      <c r="T152">
        <f t="shared" ref="T152" si="739">S152/1000</f>
        <v>-16.371900790631841</v>
      </c>
    </row>
    <row r="153" spans="1:20" x14ac:dyDescent="0.25">
      <c r="A153" s="5">
        <v>44440</v>
      </c>
      <c r="B153">
        <v>0.21640000000000001</v>
      </c>
      <c r="C153">
        <v>0.22320000000000001</v>
      </c>
      <c r="D153">
        <v>0.21249999999999999</v>
      </c>
      <c r="E153">
        <v>0.22090000000000001</v>
      </c>
      <c r="F153">
        <v>12447053</v>
      </c>
      <c r="G153">
        <v>0.22090000000000001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0.57009345794392652</v>
      </c>
      <c r="Q153">
        <f t="shared" ref="Q153" si="741">F153*P153</f>
        <v>7095983.4859813247</v>
      </c>
      <c r="R153">
        <f t="shared" ref="R153" si="742">R154+Q153</f>
        <v>-1636012731.5895</v>
      </c>
      <c r="S153">
        <f t="shared" ref="S153" si="743">R153/100000</f>
        <v>-16360.127315894999</v>
      </c>
      <c r="T153">
        <f t="shared" ref="T153" si="744">S153/1000</f>
        <v>-16.360127315894999</v>
      </c>
    </row>
    <row r="154" spans="1:20" x14ac:dyDescent="0.25">
      <c r="A154" s="5">
        <v>44439</v>
      </c>
      <c r="B154">
        <v>0.22950000000000001</v>
      </c>
      <c r="C154">
        <v>0.2324</v>
      </c>
      <c r="D154">
        <v>0.21340000000000001</v>
      </c>
      <c r="E154">
        <v>0.21640000000000001</v>
      </c>
      <c r="F154">
        <v>25045448</v>
      </c>
      <c r="G154">
        <v>0.21640000000000001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-0.68421052631578905</v>
      </c>
      <c r="Q154">
        <f t="shared" ref="Q154" si="746">F154*P154</f>
        <v>-17136359.157894727</v>
      </c>
      <c r="R154">
        <f t="shared" ref="R154" si="747">R155+Q154</f>
        <v>-1643108715.0754812</v>
      </c>
      <c r="S154">
        <f t="shared" ref="S154" si="748">R154/100000</f>
        <v>-16431.087150754811</v>
      </c>
      <c r="T154">
        <f t="shared" ref="T154" si="749">S154/1000</f>
        <v>-16.431087150754809</v>
      </c>
    </row>
    <row r="155" spans="1:20" x14ac:dyDescent="0.25">
      <c r="A155" s="5">
        <v>44438</v>
      </c>
      <c r="B155">
        <v>0.2356</v>
      </c>
      <c r="C155">
        <v>0.24349999999999999</v>
      </c>
      <c r="D155">
        <v>0.22750000000000001</v>
      </c>
      <c r="E155">
        <v>0.22969999999999999</v>
      </c>
      <c r="F155">
        <v>22637557</v>
      </c>
      <c r="G155">
        <v>0.22969999999999999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-0.72500000000000231</v>
      </c>
      <c r="Q155">
        <f t="shared" ref="Q155" si="751">F155*P155</f>
        <v>-16412228.825000051</v>
      </c>
      <c r="R155">
        <f t="shared" ref="R155" si="752">R156+Q155</f>
        <v>-1625972355.9175866</v>
      </c>
      <c r="S155">
        <f t="shared" ref="S155" si="753">R155/100000</f>
        <v>-16259.723559175865</v>
      </c>
      <c r="T155">
        <f t="shared" ref="T155" si="754">S155/1000</f>
        <v>-16.259723559175864</v>
      </c>
    </row>
    <row r="156" spans="1:20" x14ac:dyDescent="0.25">
      <c r="A156" s="5">
        <v>44437</v>
      </c>
      <c r="B156">
        <v>0.2334</v>
      </c>
      <c r="C156">
        <v>0.2419</v>
      </c>
      <c r="D156">
        <v>0.22559999999999999</v>
      </c>
      <c r="E156">
        <v>0.23569999999999999</v>
      </c>
      <c r="F156">
        <v>13499815.810000001</v>
      </c>
      <c r="G156">
        <v>0.23569999999999999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0.23926380368098066</v>
      </c>
      <c r="Q156">
        <f t="shared" ref="Q156" si="756">F156*P156</f>
        <v>3230017.2796932389</v>
      </c>
      <c r="R156">
        <f t="shared" ref="R156" si="757">R157+Q156</f>
        <v>-1609560127.0925865</v>
      </c>
      <c r="S156">
        <f t="shared" ref="S156" si="758">R156/100000</f>
        <v>-16095.601270925865</v>
      </c>
      <c r="T156">
        <f t="shared" ref="T156" si="759">S156/1000</f>
        <v>-16.095601270925865</v>
      </c>
    </row>
    <row r="157" spans="1:20" x14ac:dyDescent="0.25">
      <c r="A157" s="5">
        <v>44436</v>
      </c>
      <c r="B157">
        <v>0.2271</v>
      </c>
      <c r="C157">
        <v>0.2414</v>
      </c>
      <c r="D157">
        <v>0.22689999999999999</v>
      </c>
      <c r="E157">
        <v>0.23319999999999999</v>
      </c>
      <c r="F157">
        <v>26189621.510000002</v>
      </c>
      <c r="G157">
        <v>0.23319999999999999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-0.13103448275862145</v>
      </c>
      <c r="Q157">
        <f t="shared" ref="Q157" si="761">F157*P157</f>
        <v>-3431743.5082069165</v>
      </c>
      <c r="R157">
        <f t="shared" ref="R157" si="762">R158+Q157</f>
        <v>-1612790144.3722796</v>
      </c>
      <c r="S157">
        <f t="shared" ref="S157" si="763">R157/100000</f>
        <v>-16127.901443722796</v>
      </c>
      <c r="T157">
        <f t="shared" ref="T157" si="764">S157/1000</f>
        <v>-16.127901443722795</v>
      </c>
    </row>
    <row r="158" spans="1:20" x14ac:dyDescent="0.25">
      <c r="A158" s="5">
        <v>44435</v>
      </c>
      <c r="B158">
        <v>0.21590000000000001</v>
      </c>
      <c r="C158">
        <v>0.2278</v>
      </c>
      <c r="D158">
        <v>0.2056</v>
      </c>
      <c r="E158">
        <v>0.2271</v>
      </c>
      <c r="F158">
        <v>14517057.140000001</v>
      </c>
      <c r="G158">
        <v>0.2271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0.93693693693693636</v>
      </c>
      <c r="Q158">
        <f t="shared" ref="Q158" si="766">F158*P158</f>
        <v>13601567.050090082</v>
      </c>
      <c r="R158">
        <f t="shared" ref="R158" si="767">R159+Q158</f>
        <v>-1609358400.8640728</v>
      </c>
      <c r="S158">
        <f t="shared" ref="S158" si="768">R158/100000</f>
        <v>-16093.584008640728</v>
      </c>
      <c r="T158">
        <f t="shared" ref="T158" si="769">S158/1000</f>
        <v>-16.093584008640729</v>
      </c>
    </row>
    <row r="159" spans="1:20" x14ac:dyDescent="0.25">
      <c r="A159" s="5">
        <v>44434</v>
      </c>
      <c r="B159">
        <v>0.24</v>
      </c>
      <c r="C159">
        <v>0.251</v>
      </c>
      <c r="D159">
        <v>0.21360000000000001</v>
      </c>
      <c r="E159">
        <v>0.216</v>
      </c>
      <c r="F159">
        <v>42601225.969999999</v>
      </c>
      <c r="G159">
        <v>0.216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-0.8716577540106959</v>
      </c>
      <c r="Q159">
        <f t="shared" ref="Q159" si="771">F159*P159</f>
        <v>-37133688.947112329</v>
      </c>
      <c r="R159">
        <f t="shared" ref="R159" si="772">R160+Q159</f>
        <v>-1622959967.9141629</v>
      </c>
      <c r="S159">
        <f t="shared" ref="S159" si="773">R159/100000</f>
        <v>-16229.599679141629</v>
      </c>
      <c r="T159">
        <f t="shared" ref="T159" si="774">S159/1000</f>
        <v>-16.229599679141629</v>
      </c>
    </row>
    <row r="160" spans="1:20" x14ac:dyDescent="0.25">
      <c r="A160" s="5">
        <v>44433</v>
      </c>
      <c r="B160">
        <v>0.21340000000000001</v>
      </c>
      <c r="C160">
        <v>0.24010000000000001</v>
      </c>
      <c r="D160">
        <v>0.1981</v>
      </c>
      <c r="E160">
        <v>0.24</v>
      </c>
      <c r="F160">
        <v>33510318.920000002</v>
      </c>
      <c r="G160">
        <v>0.24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0.99523809523809448</v>
      </c>
      <c r="Q160">
        <f t="shared" ref="Q160" si="776">F160*P160</f>
        <v>33350745.972761881</v>
      </c>
      <c r="R160">
        <f t="shared" ref="R160" si="777">R161+Q160</f>
        <v>-1585826278.9670506</v>
      </c>
      <c r="S160">
        <f t="shared" ref="S160" si="778">R160/100000</f>
        <v>-15858.262789670505</v>
      </c>
      <c r="T160">
        <f t="shared" ref="T160" si="779">S160/1000</f>
        <v>-15.858262789670505</v>
      </c>
    </row>
    <row r="161" spans="1:20" x14ac:dyDescent="0.25">
      <c r="A161" s="5">
        <v>44432</v>
      </c>
      <c r="B161">
        <v>0.2306</v>
      </c>
      <c r="C161">
        <v>0.23139999999999999</v>
      </c>
      <c r="D161">
        <v>0.20760000000000001</v>
      </c>
      <c r="E161">
        <v>0.21340000000000001</v>
      </c>
      <c r="F161">
        <v>14247438.380000001</v>
      </c>
      <c r="G161">
        <v>0.21340000000000001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-0.51260504201680646</v>
      </c>
      <c r="Q161">
        <f t="shared" ref="Q161" si="781">F161*P161</f>
        <v>-7303308.7494117618</v>
      </c>
      <c r="R161">
        <f t="shared" ref="R161" si="782">R162+Q161</f>
        <v>-1619177024.9398124</v>
      </c>
      <c r="S161">
        <f t="shared" ref="S161" si="783">R161/100000</f>
        <v>-16191.770249398125</v>
      </c>
      <c r="T161">
        <f t="shared" ref="T161" si="784">S161/1000</f>
        <v>-16.191770249398125</v>
      </c>
    </row>
    <row r="162" spans="1:20" x14ac:dyDescent="0.25">
      <c r="A162" s="5">
        <v>44431</v>
      </c>
      <c r="B162">
        <v>0.22950000000000001</v>
      </c>
      <c r="C162">
        <v>0.245</v>
      </c>
      <c r="D162">
        <v>0.2271</v>
      </c>
      <c r="E162">
        <v>0.2303</v>
      </c>
      <c r="F162">
        <v>21199644.850000001</v>
      </c>
      <c r="G162">
        <v>0.2303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-0.64245810055865826</v>
      </c>
      <c r="Q162">
        <f t="shared" ref="Q162" si="786">F162*P162</f>
        <v>-13619883.562849144</v>
      </c>
      <c r="R162">
        <f t="shared" ref="R162" si="787">R163+Q162</f>
        <v>-1611873716.1904006</v>
      </c>
      <c r="S162">
        <f t="shared" ref="S162" si="788">R162/100000</f>
        <v>-16118.737161904006</v>
      </c>
      <c r="T162">
        <f t="shared" ref="T162" si="789">S162/1000</f>
        <v>-16.118737161904004</v>
      </c>
    </row>
    <row r="163" spans="1:20" x14ac:dyDescent="0.25">
      <c r="A163" s="5">
        <v>44430</v>
      </c>
      <c r="B163">
        <v>0.2311</v>
      </c>
      <c r="C163">
        <v>0.2341</v>
      </c>
      <c r="D163">
        <v>0.2273</v>
      </c>
      <c r="E163">
        <v>0.2293</v>
      </c>
      <c r="F163">
        <v>3945267.96</v>
      </c>
      <c r="G163">
        <v>0.2293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-0.41176470588235248</v>
      </c>
      <c r="Q163">
        <f t="shared" ref="Q163" si="791">F163*P163</f>
        <v>-1624522.1011764687</v>
      </c>
      <c r="R163">
        <f t="shared" ref="R163" si="792">R164+Q163</f>
        <v>-1598253832.6275516</v>
      </c>
      <c r="S163">
        <f t="shared" ref="S163" si="793">R163/100000</f>
        <v>-15982.538326275515</v>
      </c>
      <c r="T163">
        <f t="shared" ref="T163" si="794">S163/1000</f>
        <v>-15.982538326275515</v>
      </c>
    </row>
    <row r="164" spans="1:20" x14ac:dyDescent="0.25">
      <c r="A164" s="5">
        <v>44429</v>
      </c>
      <c r="B164">
        <v>0.2283</v>
      </c>
      <c r="C164">
        <v>0.2407</v>
      </c>
      <c r="D164">
        <v>0.22159999999999999</v>
      </c>
      <c r="E164">
        <v>0.23130000000000001</v>
      </c>
      <c r="F164">
        <v>25182062.890000001</v>
      </c>
      <c r="G164">
        <v>0.23130000000000001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1.5706806282723685E-2</v>
      </c>
      <c r="Q164">
        <f t="shared" ref="Q164" si="796">F164*P164</f>
        <v>395529.78361259494</v>
      </c>
      <c r="R164">
        <f t="shared" ref="R164" si="797">R165+Q164</f>
        <v>-1596629310.5263751</v>
      </c>
      <c r="S164">
        <f t="shared" ref="S164" si="798">R164/100000</f>
        <v>-15966.29310526375</v>
      </c>
      <c r="T164">
        <f t="shared" ref="T164" si="799">S164/1000</f>
        <v>-15.96629310526375</v>
      </c>
    </row>
    <row r="165" spans="1:20" x14ac:dyDescent="0.25">
      <c r="A165" s="5">
        <v>44428</v>
      </c>
      <c r="B165">
        <v>0.22109999999999999</v>
      </c>
      <c r="C165">
        <v>0.2296</v>
      </c>
      <c r="D165">
        <v>0.2185</v>
      </c>
      <c r="E165">
        <v>0.22819999999999999</v>
      </c>
      <c r="F165">
        <v>20406896.98</v>
      </c>
      <c r="G165">
        <v>0.22819999999999999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0.74774774774774555</v>
      </c>
      <c r="Q165">
        <f t="shared" ref="Q165" si="801">F165*P165</f>
        <v>15259211.25531527</v>
      </c>
      <c r="R165">
        <f t="shared" ref="R165" si="802">R166+Q165</f>
        <v>-1597024840.3099875</v>
      </c>
      <c r="S165">
        <f t="shared" ref="S165" si="803">R165/100000</f>
        <v>-15970.248403099875</v>
      </c>
      <c r="T165">
        <f t="shared" ref="T165" si="804">S165/1000</f>
        <v>-15.970248403099875</v>
      </c>
    </row>
    <row r="166" spans="1:20" x14ac:dyDescent="0.25">
      <c r="A166" s="5">
        <v>44427</v>
      </c>
      <c r="B166">
        <v>0.21029999999999999</v>
      </c>
      <c r="C166">
        <v>0.22450000000000001</v>
      </c>
      <c r="D166">
        <v>0.20430000000000001</v>
      </c>
      <c r="E166">
        <v>0.22070000000000001</v>
      </c>
      <c r="F166">
        <v>13840164.99</v>
      </c>
      <c r="G166">
        <v>0.22070000000000001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0.62376237623762387</v>
      </c>
      <c r="Q166">
        <f t="shared" ref="Q166" si="806">F166*P166</f>
        <v>8632974.2016831692</v>
      </c>
      <c r="R166">
        <f t="shared" ref="R166" si="807">R167+Q166</f>
        <v>-1612284051.5653028</v>
      </c>
      <c r="S166">
        <f t="shared" ref="S166" si="808">R166/100000</f>
        <v>-16122.840515653028</v>
      </c>
      <c r="T166">
        <f t="shared" ref="T166" si="809">S166/1000</f>
        <v>-16.122840515653028</v>
      </c>
    </row>
    <row r="167" spans="1:20" x14ac:dyDescent="0.25">
      <c r="A167" s="5">
        <v>44426</v>
      </c>
      <c r="B167">
        <v>0.2097</v>
      </c>
      <c r="C167">
        <v>0.22</v>
      </c>
      <c r="D167">
        <v>0.20219999999999999</v>
      </c>
      <c r="E167">
        <v>0.2102</v>
      </c>
      <c r="F167">
        <v>18816467.379999999</v>
      </c>
      <c r="G167">
        <v>0.2102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-0.1011235955056177</v>
      </c>
      <c r="Q167">
        <f t="shared" ref="Q167" si="811">F167*P167</f>
        <v>-1902788.8361797698</v>
      </c>
      <c r="R167">
        <f t="shared" ref="R167" si="812">R168+Q167</f>
        <v>-1620917025.7669861</v>
      </c>
      <c r="S167">
        <f t="shared" ref="S167" si="813">R167/100000</f>
        <v>-16209.170257669861</v>
      </c>
      <c r="T167">
        <f t="shared" ref="T167" si="814">S167/1000</f>
        <v>-16.209170257669861</v>
      </c>
    </row>
    <row r="168" spans="1:20" x14ac:dyDescent="0.25">
      <c r="A168" s="5">
        <v>44425</v>
      </c>
      <c r="B168">
        <v>0.21260000000000001</v>
      </c>
      <c r="C168">
        <v>0.22819999999999999</v>
      </c>
      <c r="D168">
        <v>0.2069</v>
      </c>
      <c r="E168">
        <v>0.2097</v>
      </c>
      <c r="F168">
        <v>20636131.370000001</v>
      </c>
      <c r="G168">
        <v>0.2097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-0.73708920187793436</v>
      </c>
      <c r="Q168">
        <f t="shared" ref="Q168" si="816">F168*P168</f>
        <v>-15210669.601361506</v>
      </c>
      <c r="R168">
        <f t="shared" ref="R168" si="817">R169+Q168</f>
        <v>-1619014236.9308064</v>
      </c>
      <c r="S168">
        <f t="shared" ref="S168" si="818">R168/100000</f>
        <v>-16190.142369308063</v>
      </c>
      <c r="T168">
        <f t="shared" ref="T168" si="819">S168/1000</f>
        <v>-16.190142369308063</v>
      </c>
    </row>
    <row r="169" spans="1:20" x14ac:dyDescent="0.25">
      <c r="A169" s="5">
        <v>44424</v>
      </c>
      <c r="B169">
        <v>0.224</v>
      </c>
      <c r="C169">
        <v>0.23050000000000001</v>
      </c>
      <c r="D169">
        <v>0.21</v>
      </c>
      <c r="E169">
        <v>0.21260000000000001</v>
      </c>
      <c r="F169">
        <v>16943425.289999999</v>
      </c>
      <c r="G169">
        <v>0.21260000000000001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-0.74634146341463248</v>
      </c>
      <c r="Q169">
        <f t="shared" ref="Q169" si="821">F169*P169</f>
        <v>-12645580.826195093</v>
      </c>
      <c r="R169">
        <f t="shared" ref="R169" si="822">R170+Q169</f>
        <v>-1603803567.3294449</v>
      </c>
      <c r="S169">
        <f t="shared" ref="S169" si="823">R169/100000</f>
        <v>-16038.035673294449</v>
      </c>
      <c r="T169">
        <f t="shared" ref="T169" si="824">S169/1000</f>
        <v>-16.038035673294448</v>
      </c>
    </row>
    <row r="170" spans="1:20" x14ac:dyDescent="0.25">
      <c r="A170" s="5">
        <v>44423</v>
      </c>
      <c r="B170">
        <v>0.22389999999999999</v>
      </c>
      <c r="C170">
        <v>0.23269999999999999</v>
      </c>
      <c r="D170">
        <v>0.216</v>
      </c>
      <c r="E170">
        <v>0.22409999999999999</v>
      </c>
      <c r="F170">
        <v>14571805.4</v>
      </c>
      <c r="G170">
        <v>0.22409999999999999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-2.994011976047908E-2</v>
      </c>
      <c r="Q170">
        <f t="shared" ref="Q170" si="826">F170*P170</f>
        <v>-436281.59880239581</v>
      </c>
      <c r="R170">
        <f t="shared" ref="R170" si="827">R171+Q170</f>
        <v>-1591157986.5032499</v>
      </c>
      <c r="S170">
        <f t="shared" ref="S170" si="828">R170/100000</f>
        <v>-15911.5798650325</v>
      </c>
      <c r="T170">
        <f t="shared" ref="T170" si="829">S170/1000</f>
        <v>-15.9115798650325</v>
      </c>
    </row>
    <row r="171" spans="1:20" x14ac:dyDescent="0.25">
      <c r="A171" s="5">
        <v>44422</v>
      </c>
      <c r="B171">
        <v>0.22120000000000001</v>
      </c>
      <c r="C171">
        <v>0.23</v>
      </c>
      <c r="D171">
        <v>0.20730000000000001</v>
      </c>
      <c r="E171">
        <v>0.2238</v>
      </c>
      <c r="F171">
        <v>27273947.91</v>
      </c>
      <c r="G171">
        <v>0.2238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0.45374449339206946</v>
      </c>
      <c r="Q171">
        <f t="shared" ref="Q171" si="831">F171*P171</f>
        <v>12375403.677224642</v>
      </c>
      <c r="R171">
        <f t="shared" ref="R171" si="832">R172+Q171</f>
        <v>-1590721704.9044476</v>
      </c>
      <c r="S171">
        <f t="shared" ref="S171" si="833">R171/100000</f>
        <v>-15907.217049044475</v>
      </c>
      <c r="T171">
        <f t="shared" ref="T171" si="834">S171/1000</f>
        <v>-15.907217049044474</v>
      </c>
    </row>
    <row r="172" spans="1:20" x14ac:dyDescent="0.25">
      <c r="A172" s="5">
        <v>44421</v>
      </c>
      <c r="B172">
        <v>0.2011</v>
      </c>
      <c r="C172">
        <v>0.2407</v>
      </c>
      <c r="D172">
        <v>0.1988</v>
      </c>
      <c r="E172">
        <v>0.22120000000000001</v>
      </c>
      <c r="F172">
        <v>37128074.399999999</v>
      </c>
      <c r="G172">
        <v>0.22120000000000001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6.9212410501193658E-2</v>
      </c>
      <c r="Q172">
        <f t="shared" ref="Q172" si="836">F172*P172</f>
        <v>2569723.5264916592</v>
      </c>
      <c r="R172">
        <f t="shared" ref="R172" si="837">R173+Q172</f>
        <v>-1603097108.5816722</v>
      </c>
      <c r="S172">
        <f t="shared" ref="S172" si="838">R172/100000</f>
        <v>-16030.971085816722</v>
      </c>
      <c r="T172">
        <f t="shared" ref="T172" si="839">S172/1000</f>
        <v>-16.030971085816724</v>
      </c>
    </row>
    <row r="173" spans="1:20" x14ac:dyDescent="0.25">
      <c r="A173" s="5">
        <v>44420</v>
      </c>
      <c r="B173">
        <v>0.21149999999999999</v>
      </c>
      <c r="C173">
        <v>0.22220000000000001</v>
      </c>
      <c r="D173">
        <v>0.19550000000000001</v>
      </c>
      <c r="E173">
        <v>0.20100000000000001</v>
      </c>
      <c r="F173">
        <v>15601129.449999999</v>
      </c>
      <c r="G173">
        <v>0.20100000000000001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-0.5880149812734079</v>
      </c>
      <c r="Q173">
        <f t="shared" ref="Q173" si="841">F173*P173</f>
        <v>-9173697.8413857613</v>
      </c>
      <c r="R173">
        <f t="shared" ref="R173" si="842">R174+Q173</f>
        <v>-1605666832.1081638</v>
      </c>
      <c r="S173">
        <f t="shared" ref="S173" si="843">R173/100000</f>
        <v>-16056.668321081639</v>
      </c>
      <c r="T173">
        <f t="shared" ref="T173" si="844">S173/1000</f>
        <v>-16.056668321081638</v>
      </c>
    </row>
    <row r="174" spans="1:20" x14ac:dyDescent="0.25">
      <c r="A174" s="5">
        <v>44419</v>
      </c>
      <c r="B174">
        <v>0.21429999999999999</v>
      </c>
      <c r="C174">
        <v>0.2288</v>
      </c>
      <c r="D174">
        <v>0.20930000000000001</v>
      </c>
      <c r="E174">
        <v>0.21160000000000001</v>
      </c>
      <c r="F174">
        <v>27303949.510000002</v>
      </c>
      <c r="G174">
        <v>0.21160000000000001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-0.76410256410256439</v>
      </c>
      <c r="Q174">
        <f t="shared" ref="Q174" si="846">F174*P174</f>
        <v>-20863017.830717959</v>
      </c>
      <c r="R174">
        <f t="shared" ref="R174" si="847">R175+Q174</f>
        <v>-1596493134.266778</v>
      </c>
      <c r="S174">
        <f t="shared" ref="S174" si="848">R174/100000</f>
        <v>-15964.93134266778</v>
      </c>
      <c r="T174">
        <f t="shared" ref="T174" si="849">S174/1000</f>
        <v>-15.96493134266778</v>
      </c>
    </row>
    <row r="175" spans="1:20" x14ac:dyDescent="0.25">
      <c r="A175" s="5">
        <v>44418</v>
      </c>
      <c r="B175">
        <v>0.2094</v>
      </c>
      <c r="C175">
        <v>0.219</v>
      </c>
      <c r="D175">
        <v>0.20250000000000001</v>
      </c>
      <c r="E175">
        <v>0.21440000000000001</v>
      </c>
      <c r="F175">
        <v>31568657.460000001</v>
      </c>
      <c r="G175">
        <v>0.21440000000000001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0.44242424242424283</v>
      </c>
      <c r="Q175">
        <f t="shared" ref="Q175" si="851">F175*P175</f>
        <v>13966739.361090923</v>
      </c>
      <c r="R175">
        <f t="shared" ref="R175" si="852">R176+Q175</f>
        <v>-1575630116.43606</v>
      </c>
      <c r="S175">
        <f t="shared" ref="S175" si="853">R175/100000</f>
        <v>-15756.301164360599</v>
      </c>
      <c r="T175">
        <f t="shared" ref="T175" si="854">S175/1000</f>
        <v>-15.756301164360599</v>
      </c>
    </row>
    <row r="176" spans="1:20" x14ac:dyDescent="0.25">
      <c r="A176" s="5">
        <v>44417</v>
      </c>
      <c r="B176">
        <v>0.19550000000000001</v>
      </c>
      <c r="C176">
        <v>0.21870000000000001</v>
      </c>
      <c r="D176">
        <v>0.189</v>
      </c>
      <c r="E176">
        <v>0.20910000000000001</v>
      </c>
      <c r="F176">
        <v>23575766.800000001</v>
      </c>
      <c r="G176">
        <v>0.20910000000000001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0.35353535353535381</v>
      </c>
      <c r="Q176">
        <f t="shared" ref="Q176" si="856">F176*P176</f>
        <v>8334867.050505057</v>
      </c>
      <c r="R176">
        <f t="shared" ref="R176" si="857">R177+Q176</f>
        <v>-1589596855.7971509</v>
      </c>
      <c r="S176">
        <f t="shared" ref="S176" si="858">R176/100000</f>
        <v>-15895.968557971508</v>
      </c>
      <c r="T176">
        <f t="shared" ref="T176" si="859">S176/1000</f>
        <v>-15.895968557971507</v>
      </c>
    </row>
    <row r="177" spans="1:20" x14ac:dyDescent="0.25">
      <c r="A177" s="5">
        <v>44416</v>
      </c>
      <c r="B177">
        <v>0.2014</v>
      </c>
      <c r="C177">
        <v>0.217</v>
      </c>
      <c r="D177">
        <v>0.19409999999999999</v>
      </c>
      <c r="E177">
        <v>0.19550000000000001</v>
      </c>
      <c r="F177">
        <v>48262164.579999998</v>
      </c>
      <c r="G177">
        <v>0.19550000000000001</v>
      </c>
      <c r="L177" t="s">
        <v>8</v>
      </c>
      <c r="M177" t="s">
        <v>7</v>
      </c>
      <c r="N177" t="s">
        <v>8</v>
      </c>
      <c r="P177">
        <f t="shared" ref="P177" si="860">IF(C177=D177,0,((E177-D177)-(C177-E177))/(C177-D177))</f>
        <v>-0.87772925764192034</v>
      </c>
      <c r="Q177">
        <f t="shared" ref="Q177" si="861">F177*P177</f>
        <v>-42361113.88899558</v>
      </c>
      <c r="R177">
        <f t="shared" ref="R177" si="862">R178+Q177</f>
        <v>-1597931722.847656</v>
      </c>
      <c r="S177">
        <f t="shared" ref="S177" si="863">R177/100000</f>
        <v>-15979.317228476561</v>
      </c>
      <c r="T177">
        <f t="shared" ref="T177" si="864">S177/1000</f>
        <v>-15.97931722847656</v>
      </c>
    </row>
    <row r="178" spans="1:20" x14ac:dyDescent="0.25">
      <c r="A178" s="5">
        <v>44415</v>
      </c>
      <c r="B178">
        <v>0.2001</v>
      </c>
      <c r="C178">
        <v>0.21</v>
      </c>
      <c r="D178">
        <v>0.19359999999999999</v>
      </c>
      <c r="E178">
        <v>0.2014</v>
      </c>
      <c r="F178">
        <v>44094401.030000001</v>
      </c>
      <c r="G178">
        <v>0.2014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-4.8780487804877759E-2</v>
      </c>
      <c r="Q178">
        <f t="shared" ref="Q178" si="866">F178*P178</f>
        <v>-2150946.3917073044</v>
      </c>
      <c r="R178">
        <f t="shared" ref="R178" si="867">R179+Q178</f>
        <v>-1555570608.9586604</v>
      </c>
      <c r="S178">
        <f t="shared" ref="S178" si="868">R178/100000</f>
        <v>-15555.706089586603</v>
      </c>
      <c r="T178">
        <f t="shared" ref="T178" si="869">S178/1000</f>
        <v>-15.555706089586604</v>
      </c>
    </row>
    <row r="179" spans="1:20" x14ac:dyDescent="0.25">
      <c r="A179" s="5">
        <v>44414</v>
      </c>
      <c r="B179">
        <v>0.2152</v>
      </c>
      <c r="C179">
        <v>0.24399999999999999</v>
      </c>
      <c r="D179">
        <v>0.1966</v>
      </c>
      <c r="E179">
        <v>0.20019999999999999</v>
      </c>
      <c r="F179">
        <v>67636181.040000007</v>
      </c>
      <c r="G179">
        <v>0.20019999999999999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-0.84810126582278511</v>
      </c>
      <c r="Q179">
        <f t="shared" ref="Q179" si="871">F179*P179</f>
        <v>-57362330.755443066</v>
      </c>
      <c r="R179">
        <f t="shared" ref="R179" si="872">R180+Q179</f>
        <v>-1553419662.5669529</v>
      </c>
      <c r="S179">
        <f t="shared" ref="S179" si="873">R179/100000</f>
        <v>-15534.196625669529</v>
      </c>
      <c r="T179">
        <f t="shared" ref="T179" si="874">S179/1000</f>
        <v>-15.534196625669528</v>
      </c>
    </row>
    <row r="180" spans="1:20" x14ac:dyDescent="0.25">
      <c r="A180" s="5">
        <v>44413</v>
      </c>
      <c r="B180">
        <v>0.1837</v>
      </c>
      <c r="C180">
        <v>0.246</v>
      </c>
      <c r="D180">
        <v>0.1792</v>
      </c>
      <c r="E180">
        <v>0.21510000000000001</v>
      </c>
      <c r="F180">
        <v>69258706.819999993</v>
      </c>
      <c r="G180">
        <v>0.21510000000000001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7.4850299401198084E-2</v>
      </c>
      <c r="Q180">
        <f t="shared" ref="Q180" si="876">F180*P180</f>
        <v>5184034.9416167988</v>
      </c>
      <c r="R180">
        <f t="shared" ref="R180" si="877">R181+Q180</f>
        <v>-1496057331.8115098</v>
      </c>
      <c r="S180">
        <f t="shared" ref="S180" si="878">R180/100000</f>
        <v>-14960.573318115099</v>
      </c>
      <c r="T180">
        <f t="shared" ref="T180" si="879">S180/1000</f>
        <v>-14.960573318115099</v>
      </c>
    </row>
    <row r="181" spans="1:20" x14ac:dyDescent="0.25">
      <c r="A181" s="5">
        <v>44412</v>
      </c>
      <c r="B181">
        <v>0.17169999999999999</v>
      </c>
      <c r="C181">
        <v>0.19500000000000001</v>
      </c>
      <c r="D181">
        <v>0.1701</v>
      </c>
      <c r="E181">
        <v>0.18340000000000001</v>
      </c>
      <c r="F181">
        <v>40929557.420000002</v>
      </c>
      <c r="G181">
        <v>0.18340000000000001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6.8273092369478178E-2</v>
      </c>
      <c r="Q181">
        <f t="shared" ref="Q181" si="881">F181*P181</f>
        <v>2794387.4543775208</v>
      </c>
      <c r="R181">
        <f t="shared" ref="R181" si="882">R182+Q181</f>
        <v>-1501241366.7531266</v>
      </c>
      <c r="S181">
        <f t="shared" ref="S181" si="883">R181/100000</f>
        <v>-15012.413667531266</v>
      </c>
      <c r="T181">
        <f t="shared" ref="T181" si="884">S181/1000</f>
        <v>-15.012413667531266</v>
      </c>
    </row>
    <row r="182" spans="1:20" x14ac:dyDescent="0.25">
      <c r="A182" s="5">
        <v>44411</v>
      </c>
      <c r="B182">
        <v>0.17680000000000001</v>
      </c>
      <c r="C182">
        <v>0.1797</v>
      </c>
      <c r="D182">
        <v>0.16880000000000001</v>
      </c>
      <c r="E182">
        <v>0.1716</v>
      </c>
      <c r="F182">
        <v>12402994.810000001</v>
      </c>
      <c r="G182">
        <v>0.1716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-0.48623853211009199</v>
      </c>
      <c r="Q182">
        <f t="shared" ref="Q182" si="886">F182*P182</f>
        <v>-6030813.9901834894</v>
      </c>
      <c r="R182">
        <f t="shared" ref="R182" si="887">R183+Q182</f>
        <v>-1504035754.207504</v>
      </c>
      <c r="S182">
        <f t="shared" ref="S182" si="888">R182/100000</f>
        <v>-15040.35754207504</v>
      </c>
      <c r="T182">
        <f t="shared" ref="T182" si="889">S182/1000</f>
        <v>-15.040357542075041</v>
      </c>
    </row>
    <row r="183" spans="1:20" x14ac:dyDescent="0.25">
      <c r="A183" s="5">
        <v>44410</v>
      </c>
      <c r="B183">
        <v>0.1749</v>
      </c>
      <c r="C183">
        <v>0.18240000000000001</v>
      </c>
      <c r="D183">
        <v>0.17169999999999999</v>
      </c>
      <c r="E183">
        <v>0.17649999999999999</v>
      </c>
      <c r="F183">
        <v>12003847.33</v>
      </c>
      <c r="G183">
        <v>0.17649999999999999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-0.10280373831775851</v>
      </c>
      <c r="Q183">
        <f t="shared" ref="Q183" si="891">F183*P183</f>
        <v>-1234040.3797196441</v>
      </c>
      <c r="R183">
        <f t="shared" ref="R183" si="892">R184+Q183</f>
        <v>-1498004940.2173204</v>
      </c>
      <c r="S183">
        <f t="shared" ref="S183" si="893">R183/100000</f>
        <v>-14980.049402173205</v>
      </c>
      <c r="T183">
        <f t="shared" ref="T183" si="894">S183/1000</f>
        <v>-14.980049402173204</v>
      </c>
    </row>
    <row r="184" spans="1:20" x14ac:dyDescent="0.25">
      <c r="A184" s="5">
        <v>44409</v>
      </c>
      <c r="B184">
        <v>0.19120000000000001</v>
      </c>
      <c r="C184">
        <v>0.19589999999999999</v>
      </c>
      <c r="D184">
        <v>0.17199999999999999</v>
      </c>
      <c r="E184">
        <v>0.17460000000000001</v>
      </c>
      <c r="F184">
        <v>19733645.34</v>
      </c>
      <c r="G184">
        <v>0.17460000000000001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-0.78242677824267626</v>
      </c>
      <c r="Q184">
        <f t="shared" ref="Q184" si="896">F184*P184</f>
        <v>-15440132.546359802</v>
      </c>
      <c r="R184">
        <f t="shared" ref="R184" si="897">R185+Q184</f>
        <v>-1496770899.8376007</v>
      </c>
      <c r="S184">
        <f t="shared" ref="S184" si="898">R184/100000</f>
        <v>-14967.708998376007</v>
      </c>
      <c r="T184">
        <f t="shared" ref="T184" si="899">S184/1000</f>
        <v>-14.967708998376008</v>
      </c>
    </row>
    <row r="185" spans="1:20" x14ac:dyDescent="0.25">
      <c r="A185" s="5">
        <v>44408</v>
      </c>
      <c r="B185">
        <v>0.17760000000000001</v>
      </c>
      <c r="C185">
        <v>0.2016</v>
      </c>
      <c r="D185">
        <v>0.17510000000000001</v>
      </c>
      <c r="E185">
        <v>0.19109999999999999</v>
      </c>
      <c r="F185">
        <v>30912172.050000001</v>
      </c>
      <c r="G185">
        <v>0.19109999999999999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0.20754716981131993</v>
      </c>
      <c r="Q185">
        <f t="shared" ref="Q185" si="901">F185*P185</f>
        <v>6415733.8216980882</v>
      </c>
      <c r="R185">
        <f t="shared" ref="R185" si="902">R186+Q185</f>
        <v>-1481330767.2912409</v>
      </c>
      <c r="S185">
        <f t="shared" ref="S185" si="903">R185/100000</f>
        <v>-14813.30767291241</v>
      </c>
      <c r="T185">
        <f t="shared" ref="T185" si="904">S185/1000</f>
        <v>-14.81330767291241</v>
      </c>
    </row>
    <row r="186" spans="1:20" x14ac:dyDescent="0.25">
      <c r="A186" s="5">
        <v>44407</v>
      </c>
      <c r="B186">
        <v>0.18</v>
      </c>
      <c r="C186">
        <v>0.18440000000000001</v>
      </c>
      <c r="D186">
        <v>0.16689999999999999</v>
      </c>
      <c r="E186">
        <v>0.1774</v>
      </c>
      <c r="F186">
        <v>14344089.439999999</v>
      </c>
      <c r="G186">
        <v>0.1774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0.2</v>
      </c>
      <c r="Q186">
        <f t="shared" ref="Q186" si="906">F186*P186</f>
        <v>2868817.8880000003</v>
      </c>
      <c r="R186">
        <f t="shared" ref="R186" si="907">R187+Q186</f>
        <v>-1487746501.1129391</v>
      </c>
      <c r="S186">
        <f t="shared" ref="S186" si="908">R186/100000</f>
        <v>-14877.46501112939</v>
      </c>
      <c r="T186">
        <f t="shared" ref="T186" si="909">S186/1000</f>
        <v>-14.87746501112939</v>
      </c>
    </row>
    <row r="187" spans="1:20" x14ac:dyDescent="0.25">
      <c r="A187" s="5">
        <v>44406</v>
      </c>
      <c r="B187">
        <v>0.17080000000000001</v>
      </c>
      <c r="C187">
        <v>0.1893</v>
      </c>
      <c r="D187">
        <v>0.1681</v>
      </c>
      <c r="E187">
        <v>0.18</v>
      </c>
      <c r="F187">
        <v>24875847.399999999</v>
      </c>
      <c r="G187">
        <v>0.18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0.12264150943396186</v>
      </c>
      <c r="Q187">
        <f t="shared" ref="Q187" si="911">F187*P187</f>
        <v>3050811.4735848955</v>
      </c>
      <c r="R187">
        <f t="shared" ref="R187" si="912">R188+Q187</f>
        <v>-1490615319.0009391</v>
      </c>
      <c r="S187">
        <f t="shared" ref="S187" si="913">R187/100000</f>
        <v>-14906.153190009391</v>
      </c>
      <c r="T187">
        <f t="shared" ref="T187" si="914">S187/1000</f>
        <v>-14.906153190009391</v>
      </c>
    </row>
    <row r="188" spans="1:20" x14ac:dyDescent="0.25">
      <c r="A188" s="5">
        <v>44405</v>
      </c>
      <c r="B188">
        <v>0.17349999999999999</v>
      </c>
      <c r="C188">
        <v>0.1772</v>
      </c>
      <c r="D188">
        <v>0.1653</v>
      </c>
      <c r="E188">
        <v>0.17080000000000001</v>
      </c>
      <c r="F188">
        <v>20159436.93</v>
      </c>
      <c r="G188">
        <v>0.17080000000000001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-7.563025210083904E-2</v>
      </c>
      <c r="Q188">
        <f t="shared" ref="Q188" si="916">F188*P188</f>
        <v>-1524663.2972268646</v>
      </c>
      <c r="R188">
        <f t="shared" ref="R188" si="917">R189+Q188</f>
        <v>-1493666130.474524</v>
      </c>
      <c r="S188">
        <f t="shared" ref="S188" si="918">R188/100000</f>
        <v>-14936.661304745241</v>
      </c>
      <c r="T188">
        <f t="shared" ref="T188" si="919">S188/1000</f>
        <v>-14.936661304745241</v>
      </c>
    </row>
    <row r="189" spans="1:20" x14ac:dyDescent="0.25">
      <c r="A189" s="5">
        <v>44404</v>
      </c>
      <c r="B189">
        <v>0.1691</v>
      </c>
      <c r="C189">
        <v>0.18</v>
      </c>
      <c r="D189">
        <v>0.15809999999999999</v>
      </c>
      <c r="E189">
        <v>0.17349999999999999</v>
      </c>
      <c r="F189">
        <v>23079840.309999999</v>
      </c>
      <c r="G189">
        <v>0.17349999999999999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0.40639269406392647</v>
      </c>
      <c r="Q189">
        <f t="shared" ref="Q189" si="921">F189*P189</f>
        <v>9379478.4821461067</v>
      </c>
      <c r="R189">
        <f t="shared" ref="R189" si="922">R190+Q189</f>
        <v>-1492141467.1772971</v>
      </c>
      <c r="S189">
        <f t="shared" ref="S189" si="923">R189/100000</f>
        <v>-14921.414671772971</v>
      </c>
      <c r="T189">
        <f t="shared" ref="T189" si="924">S189/1000</f>
        <v>-14.92141467177297</v>
      </c>
    </row>
    <row r="190" spans="1:20" x14ac:dyDescent="0.25">
      <c r="A190" s="5">
        <v>44403</v>
      </c>
      <c r="B190">
        <v>0.18920000000000001</v>
      </c>
      <c r="C190">
        <v>0.19719999999999999</v>
      </c>
      <c r="D190">
        <v>0.16500000000000001</v>
      </c>
      <c r="E190">
        <v>0.16930000000000001</v>
      </c>
      <c r="F190">
        <v>36048002.539999999</v>
      </c>
      <c r="G190">
        <v>0.16930000000000001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-0.73291925465838503</v>
      </c>
      <c r="Q190">
        <f t="shared" ref="Q190" si="926">F190*P190</f>
        <v>-26420275.153540369</v>
      </c>
      <c r="R190">
        <f t="shared" ref="R190" si="927">R191+Q190</f>
        <v>-1501520945.6594431</v>
      </c>
      <c r="S190">
        <f t="shared" ref="S190" si="928">R190/100000</f>
        <v>-15015.209456594432</v>
      </c>
      <c r="T190">
        <f t="shared" ref="T190" si="929">S190/1000</f>
        <v>-15.015209456594432</v>
      </c>
    </row>
    <row r="191" spans="1:20" x14ac:dyDescent="0.25">
      <c r="A191" s="5">
        <v>44402</v>
      </c>
      <c r="B191">
        <v>0.17169999999999999</v>
      </c>
      <c r="C191">
        <v>0.19</v>
      </c>
      <c r="D191">
        <v>0.16289999999999999</v>
      </c>
      <c r="E191">
        <v>0.18920000000000001</v>
      </c>
      <c r="F191">
        <v>41468190.75</v>
      </c>
      <c r="G191">
        <v>0.18920000000000001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0.9409594095940963</v>
      </c>
      <c r="Q191">
        <f t="shared" ref="Q191" si="931">F191*P191</f>
        <v>39019884.285055362</v>
      </c>
      <c r="R191">
        <f t="shared" ref="R191" si="932">R192+Q191</f>
        <v>-1475100670.5059028</v>
      </c>
      <c r="S191">
        <f t="shared" ref="S191" si="933">R191/100000</f>
        <v>-14751.006705059028</v>
      </c>
      <c r="T191">
        <f t="shared" ref="T191:T197" si="934">S191/1000</f>
        <v>-14.751006705059028</v>
      </c>
    </row>
    <row r="192" spans="1:20" x14ac:dyDescent="0.25">
      <c r="A192" s="5">
        <v>44401</v>
      </c>
      <c r="B192">
        <v>0.16869999999999999</v>
      </c>
      <c r="C192">
        <v>0.18</v>
      </c>
      <c r="D192">
        <v>0.16200000000000001</v>
      </c>
      <c r="E192">
        <v>0.17150000000000001</v>
      </c>
      <c r="F192">
        <v>34020607.990000002</v>
      </c>
      <c r="G192">
        <v>0.17150000000000001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5.5555555555557183E-2</v>
      </c>
      <c r="Q192">
        <f t="shared" ref="Q192" si="936">F192*P192</f>
        <v>1890033.7772222776</v>
      </c>
      <c r="R192">
        <f t="shared" ref="R192" si="937">R193+Q192</f>
        <v>-1514120554.7909582</v>
      </c>
      <c r="S192">
        <f t="shared" ref="S192" si="938">R192/100000</f>
        <v>-15141.205547909582</v>
      </c>
      <c r="T192">
        <f t="shared" si="934"/>
        <v>-15.141205547909582</v>
      </c>
    </row>
    <row r="193" spans="1:20" x14ac:dyDescent="0.25">
      <c r="A193" s="5">
        <v>44400</v>
      </c>
      <c r="B193">
        <v>0.16139999999999999</v>
      </c>
      <c r="C193">
        <v>0.16880000000000001</v>
      </c>
      <c r="D193">
        <v>0.14860000000000001</v>
      </c>
      <c r="E193">
        <v>0.16869999999999999</v>
      </c>
      <c r="F193">
        <v>25533033.719999999</v>
      </c>
      <c r="G193">
        <v>0.16869999999999999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0.99009900990098842</v>
      </c>
      <c r="Q193">
        <f t="shared" ref="Q193" si="940">F193*P193</f>
        <v>25280231.405940551</v>
      </c>
      <c r="R193">
        <f t="shared" ref="R193" si="941">R194+Q193</f>
        <v>-1516010588.5681806</v>
      </c>
      <c r="S193">
        <f t="shared" ref="S193" si="942">R193/100000</f>
        <v>-15160.105885681805</v>
      </c>
      <c r="T193">
        <f t="shared" si="934"/>
        <v>-15.160105885681805</v>
      </c>
    </row>
    <row r="194" spans="1:20" x14ac:dyDescent="0.25">
      <c r="A194" s="5">
        <v>44399</v>
      </c>
      <c r="B194">
        <v>0.1472</v>
      </c>
      <c r="C194">
        <v>0.16839999999999999</v>
      </c>
      <c r="D194">
        <v>0.14369999999999999</v>
      </c>
      <c r="E194">
        <v>0.1615</v>
      </c>
      <c r="F194">
        <v>41259146.719999999</v>
      </c>
      <c r="G194">
        <v>0.1615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0.44129554655870529</v>
      </c>
      <c r="Q194">
        <f t="shared" ref="Q194" si="944">F194*P194</f>
        <v>18207477.702348214</v>
      </c>
      <c r="R194">
        <f t="shared" ref="R194" si="945">R195+Q194</f>
        <v>-1541290819.9741211</v>
      </c>
      <c r="S194">
        <f t="shared" ref="S194" si="946">R194/100000</f>
        <v>-15412.90819974121</v>
      </c>
      <c r="T194">
        <f t="shared" si="934"/>
        <v>-15.41290819974121</v>
      </c>
    </row>
    <row r="195" spans="1:20" x14ac:dyDescent="0.25">
      <c r="A195" s="5">
        <v>44398</v>
      </c>
      <c r="B195">
        <v>0.1371</v>
      </c>
      <c r="C195">
        <v>0.15409999999999999</v>
      </c>
      <c r="D195">
        <v>0.13339999999999999</v>
      </c>
      <c r="E195">
        <v>0.1472</v>
      </c>
      <c r="F195">
        <v>19860711.050000001</v>
      </c>
      <c r="G195">
        <v>0.1472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0.3333333333333342</v>
      </c>
      <c r="Q195">
        <f t="shared" ref="Q195" si="948">F195*P195</f>
        <v>6620237.0166666843</v>
      </c>
      <c r="R195">
        <f t="shared" ref="R195" si="949">R196+Q195</f>
        <v>-1559498297.6764693</v>
      </c>
      <c r="S195">
        <f t="shared" ref="S195" si="950">R195/100000</f>
        <v>-15594.982976764693</v>
      </c>
      <c r="T195">
        <f t="shared" si="934"/>
        <v>-15.594982976764694</v>
      </c>
    </row>
    <row r="196" spans="1:20" x14ac:dyDescent="0.25">
      <c r="A196" s="5">
        <v>44397</v>
      </c>
      <c r="B196">
        <v>0.14419999999999999</v>
      </c>
      <c r="C196">
        <v>0.1474</v>
      </c>
      <c r="D196">
        <v>0.12820000000000001</v>
      </c>
      <c r="E196">
        <v>0.13689999999999999</v>
      </c>
      <c r="F196">
        <v>11577907.93</v>
      </c>
      <c r="G196">
        <v>0.13689999999999999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-9.3750000000001263E-2</v>
      </c>
      <c r="Q196">
        <f t="shared" ref="Q196" si="952">F196*P196</f>
        <v>-1085428.8684375146</v>
      </c>
      <c r="R196">
        <f t="shared" ref="R196" si="953">R197+Q196</f>
        <v>-1566118534.693136</v>
      </c>
      <c r="S196">
        <f t="shared" ref="S196" si="954">R196/100000</f>
        <v>-15661.185346931359</v>
      </c>
      <c r="T196">
        <f t="shared" si="934"/>
        <v>-15.66118534693136</v>
      </c>
    </row>
    <row r="197" spans="1:20" x14ac:dyDescent="0.25">
      <c r="A197" s="5">
        <v>44396</v>
      </c>
      <c r="B197">
        <v>0.16320000000000001</v>
      </c>
      <c r="C197">
        <v>0.16339999999999999</v>
      </c>
      <c r="D197">
        <v>0.14130000000000001</v>
      </c>
      <c r="E197">
        <v>0.14410000000000001</v>
      </c>
      <c r="F197">
        <v>13378076.58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-0.74660633484162897</v>
      </c>
      <c r="Q197">
        <f t="shared" ref="Q197" si="956">F197*P197</f>
        <v>-9988156.7226244342</v>
      </c>
      <c r="R197">
        <f t="shared" ref="R197" si="957">R198+Q197</f>
        <v>-1565033105.8246984</v>
      </c>
      <c r="S197">
        <f t="shared" ref="S197" si="958">R197/100000</f>
        <v>-15650.331058246984</v>
      </c>
      <c r="T197">
        <f t="shared" si="934"/>
        <v>-15.650331058246984</v>
      </c>
    </row>
    <row r="198" spans="1:20" x14ac:dyDescent="0.25">
      <c r="A198" s="5">
        <v>44395</v>
      </c>
      <c r="B198">
        <v>0.15509999999999999</v>
      </c>
      <c r="C198">
        <v>0.1721</v>
      </c>
      <c r="D198">
        <v>0.155</v>
      </c>
      <c r="E198">
        <v>0.16320000000000001</v>
      </c>
      <c r="F198">
        <v>18167351.260000002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-4.0935672514618611E-2</v>
      </c>
      <c r="Q198">
        <f t="shared" ref="Q198:Q261" si="960">F198*P198</f>
        <v>-743692.74163740384</v>
      </c>
      <c r="R198">
        <f t="shared" ref="R198:R261" si="961">R199+Q198</f>
        <v>-1555044949.1020739</v>
      </c>
      <c r="S198">
        <f t="shared" ref="S198:S261" si="962">R198/100000</f>
        <v>-15550.44949102074</v>
      </c>
      <c r="T198">
        <f t="shared" ref="T198:T261" si="963">S198/1000</f>
        <v>-15.550449491020739</v>
      </c>
    </row>
    <row r="199" spans="1:20" x14ac:dyDescent="0.25">
      <c r="A199" s="5">
        <v>44394</v>
      </c>
      <c r="B199">
        <v>0.16300000000000001</v>
      </c>
      <c r="C199">
        <v>0.16539999999999999</v>
      </c>
      <c r="D199">
        <v>0.15190000000000001</v>
      </c>
      <c r="E199">
        <v>0.15540000000000001</v>
      </c>
      <c r="F199">
        <v>14326942.09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-0.4814814814814804</v>
      </c>
      <c r="Q199">
        <f t="shared" si="960"/>
        <v>-6898157.3025925774</v>
      </c>
      <c r="R199">
        <f t="shared" si="961"/>
        <v>-1554301256.3604364</v>
      </c>
      <c r="S199">
        <f t="shared" si="962"/>
        <v>-15543.012563604365</v>
      </c>
      <c r="T199">
        <f t="shared" si="963"/>
        <v>-15.543012563604364</v>
      </c>
    </row>
    <row r="200" spans="1:20" x14ac:dyDescent="0.25">
      <c r="A200" s="5">
        <v>44393</v>
      </c>
      <c r="B200">
        <v>0.19620000000000001</v>
      </c>
      <c r="C200">
        <v>0.20250000000000001</v>
      </c>
      <c r="D200">
        <v>0.16109999999999999</v>
      </c>
      <c r="E200">
        <v>0.16309999999999999</v>
      </c>
      <c r="F200">
        <v>26568390.789999999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-0.90338164251207731</v>
      </c>
      <c r="Q200">
        <f t="shared" si="960"/>
        <v>-24001396.510772947</v>
      </c>
      <c r="R200">
        <f t="shared" si="961"/>
        <v>-1547403099.0578439</v>
      </c>
      <c r="S200">
        <f t="shared" si="962"/>
        <v>-15474.03099057844</v>
      </c>
      <c r="T200">
        <f t="shared" si="963"/>
        <v>-15.47403099057844</v>
      </c>
    </row>
    <row r="201" spans="1:20" x14ac:dyDescent="0.25">
      <c r="A201" s="5">
        <v>44392</v>
      </c>
      <c r="B201">
        <v>0.20180000000000001</v>
      </c>
      <c r="C201">
        <v>0.24</v>
      </c>
      <c r="D201">
        <v>0.19370000000000001</v>
      </c>
      <c r="E201">
        <v>0.19650000000000001</v>
      </c>
      <c r="F201">
        <v>61603499.100000001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-0.87904967602591799</v>
      </c>
      <c r="Q201">
        <f t="shared" si="960"/>
        <v>-54152535.925917931</v>
      </c>
      <c r="R201">
        <f t="shared" si="961"/>
        <v>-1523401702.547071</v>
      </c>
      <c r="S201">
        <f t="shared" si="962"/>
        <v>-15234.01702547071</v>
      </c>
      <c r="T201">
        <f t="shared" si="963"/>
        <v>-15.23401702547071</v>
      </c>
    </row>
    <row r="202" spans="1:20" x14ac:dyDescent="0.25">
      <c r="A202" s="5">
        <v>44391</v>
      </c>
      <c r="B202">
        <v>0.1817</v>
      </c>
      <c r="C202">
        <v>0.214</v>
      </c>
      <c r="D202">
        <v>0.1706</v>
      </c>
      <c r="E202">
        <v>0.20180000000000001</v>
      </c>
      <c r="F202">
        <v>67324402.030000001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0.43778801843318016</v>
      </c>
      <c r="Q202">
        <f t="shared" si="960"/>
        <v>29473816.556912471</v>
      </c>
      <c r="R202">
        <f t="shared" si="961"/>
        <v>-1469249166.6211531</v>
      </c>
      <c r="S202">
        <f t="shared" si="962"/>
        <v>-14692.491666211532</v>
      </c>
      <c r="T202">
        <f t="shared" si="963"/>
        <v>-14.692491666211533</v>
      </c>
    </row>
    <row r="203" spans="1:20" x14ac:dyDescent="0.25">
      <c r="A203" s="5">
        <v>44390</v>
      </c>
      <c r="B203">
        <v>0.1686</v>
      </c>
      <c r="C203">
        <v>0.1845</v>
      </c>
      <c r="D203">
        <v>0.16639999999999999</v>
      </c>
      <c r="E203">
        <v>0.1817</v>
      </c>
      <c r="F203">
        <v>26183286.940000001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0.69060773480663029</v>
      </c>
      <c r="Q203">
        <f t="shared" si="960"/>
        <v>18082380.483425427</v>
      </c>
      <c r="R203">
        <f t="shared" si="961"/>
        <v>-1498722983.1780655</v>
      </c>
      <c r="S203">
        <f t="shared" si="962"/>
        <v>-14987.229831780656</v>
      </c>
      <c r="T203">
        <f t="shared" si="963"/>
        <v>-14.987229831780656</v>
      </c>
    </row>
    <row r="204" spans="1:20" x14ac:dyDescent="0.25">
      <c r="A204" s="5">
        <v>44389</v>
      </c>
      <c r="B204">
        <v>0.17319999999999999</v>
      </c>
      <c r="C204">
        <v>0.182</v>
      </c>
      <c r="D204">
        <v>0.16489999999999999</v>
      </c>
      <c r="E204">
        <v>0.16880000000000001</v>
      </c>
      <c r="F204">
        <v>20819375.440000001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-0.54385964912280538</v>
      </c>
      <c r="Q204">
        <f t="shared" si="960"/>
        <v>-11322818.221754352</v>
      </c>
      <c r="R204">
        <f t="shared" si="961"/>
        <v>-1516805363.6614909</v>
      </c>
      <c r="S204">
        <f t="shared" si="962"/>
        <v>-15168.05363661491</v>
      </c>
      <c r="T204">
        <f t="shared" si="963"/>
        <v>-15.168053636614911</v>
      </c>
    </row>
    <row r="205" spans="1:20" x14ac:dyDescent="0.25">
      <c r="A205" s="5">
        <v>44388</v>
      </c>
      <c r="B205">
        <v>0.1678</v>
      </c>
      <c r="C205">
        <v>0.1817</v>
      </c>
      <c r="D205">
        <v>0.16539999999999999</v>
      </c>
      <c r="E205">
        <v>0.1731</v>
      </c>
      <c r="F205">
        <v>21396621.84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-5.5214723926379362E-2</v>
      </c>
      <c r="Q205">
        <f t="shared" si="960"/>
        <v>-1181408.5678527392</v>
      </c>
      <c r="R205">
        <f t="shared" si="961"/>
        <v>-1505482545.4397366</v>
      </c>
      <c r="S205">
        <f t="shared" si="962"/>
        <v>-15054.825454397365</v>
      </c>
      <c r="T205">
        <f t="shared" si="963"/>
        <v>-15.054825454397365</v>
      </c>
    </row>
    <row r="206" spans="1:20" x14ac:dyDescent="0.25">
      <c r="A206" s="5">
        <v>44387</v>
      </c>
      <c r="B206">
        <v>0.16259999999999999</v>
      </c>
      <c r="C206">
        <v>0.17449999999999999</v>
      </c>
      <c r="D206">
        <v>0.16120000000000001</v>
      </c>
      <c r="E206">
        <v>0.1678</v>
      </c>
      <c r="F206">
        <v>21383610.300000001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-7.5187969924803873E-3</v>
      </c>
      <c r="Q206">
        <f t="shared" si="960"/>
        <v>-160779.02481201265</v>
      </c>
      <c r="R206">
        <f t="shared" si="961"/>
        <v>-1504301136.8718839</v>
      </c>
      <c r="S206">
        <f t="shared" si="962"/>
        <v>-15043.011368718839</v>
      </c>
      <c r="T206">
        <f t="shared" si="963"/>
        <v>-15.043011368718838</v>
      </c>
    </row>
    <row r="207" spans="1:20" x14ac:dyDescent="0.25">
      <c r="A207" s="5">
        <v>44386</v>
      </c>
      <c r="B207">
        <v>0.16289999999999999</v>
      </c>
      <c r="C207">
        <v>0.1653</v>
      </c>
      <c r="D207">
        <v>0.15260000000000001</v>
      </c>
      <c r="E207">
        <v>0.16289999999999999</v>
      </c>
      <c r="F207">
        <v>13475399.32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0.62204724409448575</v>
      </c>
      <c r="Q207">
        <f t="shared" si="960"/>
        <v>8382335.0100787077</v>
      </c>
      <c r="R207">
        <f t="shared" si="961"/>
        <v>-1504140357.8470719</v>
      </c>
      <c r="S207">
        <f t="shared" si="962"/>
        <v>-15041.403578470719</v>
      </c>
      <c r="T207">
        <f t="shared" si="963"/>
        <v>-15.041403578470719</v>
      </c>
    </row>
    <row r="208" spans="1:20" x14ac:dyDescent="0.25">
      <c r="A208" s="5">
        <v>44385</v>
      </c>
      <c r="B208">
        <v>0.17050000000000001</v>
      </c>
      <c r="C208">
        <v>0.1923</v>
      </c>
      <c r="D208">
        <v>0.15870000000000001</v>
      </c>
      <c r="E208">
        <v>0.16309999999999999</v>
      </c>
      <c r="F208">
        <v>65674874.210000001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-0.7380952380952388</v>
      </c>
      <c r="Q208">
        <f t="shared" si="960"/>
        <v>-48474311.916904807</v>
      </c>
      <c r="R208">
        <f t="shared" si="961"/>
        <v>-1512522692.8571506</v>
      </c>
      <c r="S208">
        <f t="shared" si="962"/>
        <v>-15125.226928571505</v>
      </c>
      <c r="T208">
        <f t="shared" si="963"/>
        <v>-15.125226928571506</v>
      </c>
    </row>
    <row r="209" spans="1:20" x14ac:dyDescent="0.25">
      <c r="A209" s="5">
        <v>44384</v>
      </c>
      <c r="B209">
        <v>0.15609999999999999</v>
      </c>
      <c r="C209">
        <v>0.18679999999999999</v>
      </c>
      <c r="D209">
        <v>0.1542</v>
      </c>
      <c r="E209">
        <v>0.1706</v>
      </c>
      <c r="F209">
        <v>43258485.759999998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6.1349693251535522E-3</v>
      </c>
      <c r="Q209">
        <f t="shared" si="960"/>
        <v>265389.48319019174</v>
      </c>
      <c r="R209">
        <f t="shared" si="961"/>
        <v>-1464048380.9402456</v>
      </c>
      <c r="S209">
        <f t="shared" si="962"/>
        <v>-14640.483809402456</v>
      </c>
      <c r="T209">
        <f t="shared" si="963"/>
        <v>-14.640483809402456</v>
      </c>
    </row>
    <row r="210" spans="1:20" x14ac:dyDescent="0.25">
      <c r="A210" s="5">
        <v>44383</v>
      </c>
      <c r="B210">
        <v>0.1545</v>
      </c>
      <c r="C210">
        <v>0.16300000000000001</v>
      </c>
      <c r="D210">
        <v>0.1522</v>
      </c>
      <c r="E210">
        <v>0.15640000000000001</v>
      </c>
      <c r="F210">
        <v>12384073.869999999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-0.22222222222222079</v>
      </c>
      <c r="Q210">
        <f t="shared" si="960"/>
        <v>-2752016.4155555377</v>
      </c>
      <c r="R210">
        <f t="shared" si="961"/>
        <v>-1464313770.4234359</v>
      </c>
      <c r="S210">
        <f t="shared" si="962"/>
        <v>-14643.137704234359</v>
      </c>
      <c r="T210">
        <f t="shared" si="963"/>
        <v>-14.643137704234359</v>
      </c>
    </row>
    <row r="211" spans="1:20" x14ac:dyDescent="0.25">
      <c r="A211" s="5">
        <v>44382</v>
      </c>
      <c r="B211">
        <v>0.16259999999999999</v>
      </c>
      <c r="C211">
        <v>0.1699</v>
      </c>
      <c r="D211">
        <v>0.15190000000000001</v>
      </c>
      <c r="E211">
        <v>0.1545</v>
      </c>
      <c r="F211">
        <v>12287727.07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-0.71111111111111192</v>
      </c>
      <c r="Q211">
        <f t="shared" si="960"/>
        <v>-8737939.2497777883</v>
      </c>
      <c r="R211">
        <f t="shared" si="961"/>
        <v>-1461561754.0078804</v>
      </c>
      <c r="S211">
        <f t="shared" si="962"/>
        <v>-14615.617540078805</v>
      </c>
      <c r="T211">
        <f t="shared" si="963"/>
        <v>-14.615617540078805</v>
      </c>
    </row>
    <row r="212" spans="1:20" x14ac:dyDescent="0.25">
      <c r="A212" s="5">
        <v>44381</v>
      </c>
      <c r="B212">
        <v>0.15989999999999999</v>
      </c>
      <c r="C212">
        <v>0.17599999999999999</v>
      </c>
      <c r="D212">
        <v>0.15770000000000001</v>
      </c>
      <c r="E212">
        <v>0.16259999999999999</v>
      </c>
      <c r="F212">
        <v>14971839.880000001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-0.46448087431694074</v>
      </c>
      <c r="Q212">
        <f t="shared" si="960"/>
        <v>-6954133.2775956411</v>
      </c>
      <c r="R212">
        <f t="shared" si="961"/>
        <v>-1452823814.7581027</v>
      </c>
      <c r="S212">
        <f t="shared" si="962"/>
        <v>-14528.238147581027</v>
      </c>
      <c r="T212">
        <f t="shared" si="963"/>
        <v>-14.528238147581026</v>
      </c>
    </row>
    <row r="213" spans="1:20" x14ac:dyDescent="0.25">
      <c r="A213" s="5">
        <v>44380</v>
      </c>
      <c r="B213">
        <v>0.15379999999999999</v>
      </c>
      <c r="C213">
        <v>0.1628</v>
      </c>
      <c r="D213">
        <v>0.15060000000000001</v>
      </c>
      <c r="E213">
        <v>0.15970000000000001</v>
      </c>
      <c r="F213">
        <v>6013904.7800000003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0.49180327868852547</v>
      </c>
      <c r="Q213">
        <f t="shared" si="960"/>
        <v>2957658.0885245954</v>
      </c>
      <c r="R213">
        <f t="shared" si="961"/>
        <v>-1445869681.4805069</v>
      </c>
      <c r="S213">
        <f t="shared" si="962"/>
        <v>-14458.696814805069</v>
      </c>
      <c r="T213">
        <f t="shared" si="963"/>
        <v>-14.458696814805069</v>
      </c>
    </row>
    <row r="214" spans="1:20" x14ac:dyDescent="0.25">
      <c r="A214" s="5">
        <v>44379</v>
      </c>
      <c r="B214">
        <v>0.157</v>
      </c>
      <c r="C214">
        <v>0.1598</v>
      </c>
      <c r="D214">
        <v>0.14849999999999999</v>
      </c>
      <c r="E214">
        <v>0.15359999999999999</v>
      </c>
      <c r="F214">
        <v>6137253.4100000001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-9.7345132743364357E-2</v>
      </c>
      <c r="Q214">
        <f t="shared" si="960"/>
        <v>-597431.74787611561</v>
      </c>
      <c r="R214">
        <f t="shared" si="961"/>
        <v>-1448827339.5690315</v>
      </c>
      <c r="S214">
        <f t="shared" si="962"/>
        <v>-14488.273395690314</v>
      </c>
      <c r="T214">
        <f t="shared" si="963"/>
        <v>-14.488273395690314</v>
      </c>
    </row>
    <row r="215" spans="1:20" x14ac:dyDescent="0.25">
      <c r="A215" s="5">
        <v>44378</v>
      </c>
      <c r="B215">
        <v>0.1628</v>
      </c>
      <c r="C215">
        <v>0.16309999999999999</v>
      </c>
      <c r="D215">
        <v>0.15210000000000001</v>
      </c>
      <c r="E215">
        <v>0.15740000000000001</v>
      </c>
      <c r="F215">
        <v>7515726.9500000002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-3.6363636363634939E-2</v>
      </c>
      <c r="Q215">
        <f t="shared" si="960"/>
        <v>-273299.16181817109</v>
      </c>
      <c r="R215">
        <f t="shared" si="961"/>
        <v>-1448229907.8211553</v>
      </c>
      <c r="S215">
        <f t="shared" si="962"/>
        <v>-14482.299078211554</v>
      </c>
      <c r="T215">
        <f t="shared" si="963"/>
        <v>-14.482299078211554</v>
      </c>
    </row>
    <row r="216" spans="1:20" x14ac:dyDescent="0.25">
      <c r="A216" s="5">
        <v>44377</v>
      </c>
      <c r="B216">
        <v>0.16470000000000001</v>
      </c>
      <c r="C216">
        <v>0.16600000000000001</v>
      </c>
      <c r="D216">
        <v>0.15459999999999999</v>
      </c>
      <c r="E216">
        <v>0.1628</v>
      </c>
      <c r="F216">
        <v>10253167.18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0.43859649122806976</v>
      </c>
      <c r="Q216">
        <f t="shared" si="960"/>
        <v>4497003.1491228025</v>
      </c>
      <c r="R216">
        <f t="shared" si="961"/>
        <v>-1447956608.659337</v>
      </c>
      <c r="S216">
        <f t="shared" si="962"/>
        <v>-14479.56608659337</v>
      </c>
      <c r="T216">
        <f t="shared" si="963"/>
        <v>-14.479566086593369</v>
      </c>
    </row>
    <row r="217" spans="1:20" x14ac:dyDescent="0.25">
      <c r="A217" s="5">
        <v>44376</v>
      </c>
      <c r="B217">
        <v>0.15060000000000001</v>
      </c>
      <c r="C217">
        <v>0.18490000000000001</v>
      </c>
      <c r="D217">
        <v>0.15029999999999999</v>
      </c>
      <c r="E217">
        <v>0.1646</v>
      </c>
      <c r="F217">
        <v>32282285.390000001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-0.17341040462427751</v>
      </c>
      <c r="Q217">
        <f t="shared" si="960"/>
        <v>-5598084.1716763023</v>
      </c>
      <c r="R217">
        <f t="shared" si="961"/>
        <v>-1452453611.8084598</v>
      </c>
      <c r="S217">
        <f t="shared" si="962"/>
        <v>-14524.536118084598</v>
      </c>
      <c r="T217">
        <f t="shared" si="963"/>
        <v>-14.524536118084598</v>
      </c>
    </row>
    <row r="218" spans="1:20" x14ac:dyDescent="0.25">
      <c r="A218" s="5">
        <v>44375</v>
      </c>
      <c r="B218">
        <v>0.15</v>
      </c>
      <c r="C218">
        <v>0.15670000000000001</v>
      </c>
      <c r="D218">
        <v>0.14699999999999999</v>
      </c>
      <c r="E218">
        <v>0.15040000000000001</v>
      </c>
      <c r="F218">
        <v>11714636.800000001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-0.29896907216494656</v>
      </c>
      <c r="Q218">
        <f t="shared" si="960"/>
        <v>-3502314.0948453387</v>
      </c>
      <c r="R218">
        <f t="shared" si="961"/>
        <v>-1446855527.6367834</v>
      </c>
      <c r="S218">
        <f t="shared" si="962"/>
        <v>-14468.555276367833</v>
      </c>
      <c r="T218">
        <f t="shared" si="963"/>
        <v>-14.468555276367834</v>
      </c>
    </row>
    <row r="219" spans="1:20" x14ac:dyDescent="0.25">
      <c r="A219" s="5">
        <v>44374</v>
      </c>
      <c r="B219">
        <v>0.1431</v>
      </c>
      <c r="C219">
        <v>0.1636</v>
      </c>
      <c r="D219">
        <v>0.14180000000000001</v>
      </c>
      <c r="E219">
        <v>0.15</v>
      </c>
      <c r="F219">
        <v>21320405.379999999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-0.2477064220183495</v>
      </c>
      <c r="Q219">
        <f t="shared" si="960"/>
        <v>-5281201.3326605689</v>
      </c>
      <c r="R219">
        <f t="shared" si="961"/>
        <v>-1443353213.5419381</v>
      </c>
      <c r="S219">
        <f t="shared" si="962"/>
        <v>-14433.53213541938</v>
      </c>
      <c r="T219">
        <f t="shared" si="963"/>
        <v>-14.43353213541938</v>
      </c>
    </row>
    <row r="220" spans="1:20" x14ac:dyDescent="0.25">
      <c r="A220" s="5">
        <v>44373</v>
      </c>
      <c r="B220">
        <v>0.1439</v>
      </c>
      <c r="C220">
        <v>0.1492</v>
      </c>
      <c r="D220">
        <v>0.13239999999999999</v>
      </c>
      <c r="E220">
        <v>0.1431</v>
      </c>
      <c r="F220">
        <v>13738099.800000001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0.27380952380952489</v>
      </c>
      <c r="Q220">
        <f t="shared" si="960"/>
        <v>3761622.5642857295</v>
      </c>
      <c r="R220">
        <f t="shared" si="961"/>
        <v>-1438072012.2092774</v>
      </c>
      <c r="S220">
        <f t="shared" si="962"/>
        <v>-14380.720122092775</v>
      </c>
      <c r="T220">
        <f t="shared" si="963"/>
        <v>-14.380720122092775</v>
      </c>
    </row>
    <row r="221" spans="1:20" x14ac:dyDescent="0.25">
      <c r="A221" s="5">
        <v>44372</v>
      </c>
      <c r="B221">
        <v>0.1608</v>
      </c>
      <c r="C221">
        <v>0.1661</v>
      </c>
      <c r="D221">
        <v>0.14180000000000001</v>
      </c>
      <c r="E221">
        <v>0.14399999999999999</v>
      </c>
      <c r="F221">
        <v>15877032.57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-0.81893004115226498</v>
      </c>
      <c r="Q221">
        <f t="shared" si="960"/>
        <v>-13002178.935925951</v>
      </c>
      <c r="R221">
        <f t="shared" si="961"/>
        <v>-1441833634.7735631</v>
      </c>
      <c r="S221">
        <f t="shared" si="962"/>
        <v>-14418.336347735631</v>
      </c>
      <c r="T221">
        <f t="shared" si="963"/>
        <v>-14.418336347735631</v>
      </c>
    </row>
    <row r="222" spans="1:20" x14ac:dyDescent="0.25">
      <c r="A222" s="5">
        <v>44371</v>
      </c>
      <c r="B222">
        <v>0.1636</v>
      </c>
      <c r="C222">
        <v>0.17</v>
      </c>
      <c r="D222">
        <v>0.1542</v>
      </c>
      <c r="E222">
        <v>0.16070000000000001</v>
      </c>
      <c r="F222">
        <v>17562258.760000002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-0.17721518987341744</v>
      </c>
      <c r="Q222">
        <f t="shared" si="960"/>
        <v>-3112299.0207594889</v>
      </c>
      <c r="R222">
        <f t="shared" si="961"/>
        <v>-1428831455.8376372</v>
      </c>
      <c r="S222">
        <f t="shared" si="962"/>
        <v>-14288.314558376373</v>
      </c>
      <c r="T222">
        <f t="shared" si="963"/>
        <v>-14.288314558376372</v>
      </c>
    </row>
    <row r="223" spans="1:20" x14ac:dyDescent="0.25">
      <c r="A223" s="5">
        <v>44370</v>
      </c>
      <c r="B223">
        <v>0.15840000000000001</v>
      </c>
      <c r="C223">
        <v>0.1774</v>
      </c>
      <c r="D223">
        <v>0.1545</v>
      </c>
      <c r="E223">
        <v>0.16400000000000001</v>
      </c>
      <c r="F223">
        <v>23680423.670000002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-0.17030567685589459</v>
      </c>
      <c r="Q223">
        <f t="shared" si="960"/>
        <v>-4032910.5813536979</v>
      </c>
      <c r="R223">
        <f t="shared" si="961"/>
        <v>-1425719156.8168776</v>
      </c>
      <c r="S223">
        <f t="shared" si="962"/>
        <v>-14257.191568168777</v>
      </c>
      <c r="T223">
        <f t="shared" si="963"/>
        <v>-14.257191568168777</v>
      </c>
    </row>
    <row r="224" spans="1:20" x14ac:dyDescent="0.25">
      <c r="A224" s="5">
        <v>44369</v>
      </c>
      <c r="B224">
        <v>0.15770000000000001</v>
      </c>
      <c r="C224">
        <v>0.1789</v>
      </c>
      <c r="D224">
        <v>0.1313</v>
      </c>
      <c r="E224">
        <v>0.15890000000000001</v>
      </c>
      <c r="F224">
        <v>39928419.140000001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0.15966386554621897</v>
      </c>
      <c r="Q224">
        <f t="shared" si="960"/>
        <v>6375125.7450420363</v>
      </c>
      <c r="R224">
        <f t="shared" si="961"/>
        <v>-1421686246.2355239</v>
      </c>
      <c r="S224">
        <f t="shared" si="962"/>
        <v>-14216.862462355239</v>
      </c>
      <c r="T224">
        <f t="shared" si="963"/>
        <v>-14.216862462355239</v>
      </c>
    </row>
    <row r="225" spans="1:20" x14ac:dyDescent="0.25">
      <c r="A225" s="5">
        <v>44368</v>
      </c>
      <c r="B225">
        <v>0.2009</v>
      </c>
      <c r="C225">
        <v>0.20899999999999999</v>
      </c>
      <c r="D225">
        <v>0.15659999999999999</v>
      </c>
      <c r="E225">
        <v>0.15709999999999999</v>
      </c>
      <c r="F225">
        <v>52739699.960000001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-0.98091603053435117</v>
      </c>
      <c r="Q225">
        <f t="shared" si="960"/>
        <v>-51733217.13633588</v>
      </c>
      <c r="R225">
        <f t="shared" si="961"/>
        <v>-1428061371.980566</v>
      </c>
      <c r="S225">
        <f t="shared" si="962"/>
        <v>-14280.61371980566</v>
      </c>
      <c r="T225">
        <f t="shared" si="963"/>
        <v>-14.280613719805661</v>
      </c>
    </row>
    <row r="226" spans="1:20" x14ac:dyDescent="0.25">
      <c r="A226" s="5">
        <v>44367</v>
      </c>
      <c r="B226">
        <v>0.18440000000000001</v>
      </c>
      <c r="C226">
        <v>0.22700000000000001</v>
      </c>
      <c r="D226">
        <v>0.17430000000000001</v>
      </c>
      <c r="E226">
        <v>0.2006</v>
      </c>
      <c r="F226">
        <v>33642056.210000001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-1.8975332068314373E-3</v>
      </c>
      <c r="Q226">
        <f t="shared" si="960"/>
        <v>-63836.918804564768</v>
      </c>
      <c r="R226">
        <f t="shared" si="961"/>
        <v>-1376328154.8442302</v>
      </c>
      <c r="S226">
        <f t="shared" si="962"/>
        <v>-13763.281548442301</v>
      </c>
      <c r="T226">
        <f t="shared" si="963"/>
        <v>-13.763281548442301</v>
      </c>
    </row>
    <row r="227" spans="1:20" x14ac:dyDescent="0.25">
      <c r="A227" s="5">
        <v>44366</v>
      </c>
      <c r="B227">
        <v>0.192</v>
      </c>
      <c r="C227">
        <v>0.19900000000000001</v>
      </c>
      <c r="D227">
        <v>0.18160000000000001</v>
      </c>
      <c r="E227">
        <v>0.1847</v>
      </c>
      <c r="F227">
        <v>18030024.219999999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-0.64367816091954122</v>
      </c>
      <c r="Q227">
        <f t="shared" si="960"/>
        <v>-11605532.831264384</v>
      </c>
      <c r="R227">
        <f t="shared" si="961"/>
        <v>-1376264317.9254255</v>
      </c>
      <c r="S227">
        <f t="shared" si="962"/>
        <v>-13762.643179254255</v>
      </c>
      <c r="T227">
        <f t="shared" si="963"/>
        <v>-13.762643179254255</v>
      </c>
    </row>
    <row r="228" spans="1:20" x14ac:dyDescent="0.25">
      <c r="A228" s="5">
        <v>44365</v>
      </c>
      <c r="B228">
        <v>0.2069</v>
      </c>
      <c r="C228">
        <v>0.214</v>
      </c>
      <c r="D228">
        <v>0.18160000000000001</v>
      </c>
      <c r="E228">
        <v>0.19189999999999999</v>
      </c>
      <c r="F228">
        <v>18420204.91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-0.3641975308641987</v>
      </c>
      <c r="Q228">
        <f t="shared" si="960"/>
        <v>-6708593.1462345896</v>
      </c>
      <c r="R228">
        <f t="shared" si="961"/>
        <v>-1364658785.094161</v>
      </c>
      <c r="S228">
        <f t="shared" si="962"/>
        <v>-13646.587850941611</v>
      </c>
      <c r="T228">
        <f t="shared" si="963"/>
        <v>-13.646587850941611</v>
      </c>
    </row>
    <row r="229" spans="1:20" x14ac:dyDescent="0.25">
      <c r="A229" s="5">
        <v>44364</v>
      </c>
      <c r="B229">
        <v>0.20530000000000001</v>
      </c>
      <c r="C229">
        <v>0.21990000000000001</v>
      </c>
      <c r="D229">
        <v>0.2026</v>
      </c>
      <c r="E229">
        <v>0.20680000000000001</v>
      </c>
      <c r="F229">
        <v>15335004.890000001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-0.51445086705202236</v>
      </c>
      <c r="Q229">
        <f t="shared" si="960"/>
        <v>-7889106.5619075028</v>
      </c>
      <c r="R229">
        <f t="shared" si="961"/>
        <v>-1357950191.9479265</v>
      </c>
      <c r="S229">
        <f t="shared" si="962"/>
        <v>-13579.501919479266</v>
      </c>
      <c r="T229">
        <f t="shared" si="963"/>
        <v>-13.579501919479267</v>
      </c>
    </row>
    <row r="230" spans="1:20" x14ac:dyDescent="0.25">
      <c r="A230" s="5">
        <v>44363</v>
      </c>
      <c r="B230">
        <v>0.22209999999999999</v>
      </c>
      <c r="C230">
        <v>0.23</v>
      </c>
      <c r="D230">
        <v>0.2026</v>
      </c>
      <c r="E230">
        <v>0.20530000000000001</v>
      </c>
      <c r="F230">
        <v>21910985.690000001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-0.80291970802919654</v>
      </c>
      <c r="Q230">
        <f t="shared" si="960"/>
        <v>-17592762.232846703</v>
      </c>
      <c r="R230">
        <f t="shared" si="961"/>
        <v>-1350061085.386019</v>
      </c>
      <c r="S230">
        <f t="shared" si="962"/>
        <v>-13500.610853860189</v>
      </c>
      <c r="T230">
        <f t="shared" si="963"/>
        <v>-13.50061085386019</v>
      </c>
    </row>
    <row r="231" spans="1:20" x14ac:dyDescent="0.25">
      <c r="A231" s="5">
        <v>44362</v>
      </c>
      <c r="B231">
        <v>0.23710000000000001</v>
      </c>
      <c r="C231">
        <v>0.24879999999999999</v>
      </c>
      <c r="D231">
        <v>0.2172</v>
      </c>
      <c r="E231">
        <v>0.22170000000000001</v>
      </c>
      <c r="F231">
        <v>36323495.770000003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-0.71518987341772122</v>
      </c>
      <c r="Q231">
        <f t="shared" si="960"/>
        <v>-25978196.341835435</v>
      </c>
      <c r="R231">
        <f t="shared" si="961"/>
        <v>-1332468323.1531723</v>
      </c>
      <c r="S231">
        <f t="shared" si="962"/>
        <v>-13324.683231531722</v>
      </c>
      <c r="T231">
        <f t="shared" si="963"/>
        <v>-13.324683231531722</v>
      </c>
    </row>
    <row r="232" spans="1:20" x14ac:dyDescent="0.25">
      <c r="A232" s="5">
        <v>44361</v>
      </c>
      <c r="B232">
        <v>0.2412</v>
      </c>
      <c r="C232">
        <v>0.25330000000000003</v>
      </c>
      <c r="D232">
        <v>0.22</v>
      </c>
      <c r="E232">
        <v>0.2369</v>
      </c>
      <c r="F232">
        <v>60850362.630000003</v>
      </c>
      <c r="G232">
        <v>0</v>
      </c>
      <c r="L232" t="s">
        <v>7</v>
      </c>
      <c r="M232" t="s">
        <v>7</v>
      </c>
      <c r="N232" t="s">
        <v>8</v>
      </c>
      <c r="P232">
        <f t="shared" si="959"/>
        <v>1.5015015015014184E-2</v>
      </c>
      <c r="Q232">
        <f t="shared" si="960"/>
        <v>913669.10855850799</v>
      </c>
      <c r="R232">
        <f t="shared" si="961"/>
        <v>-1306490126.8113368</v>
      </c>
      <c r="S232">
        <f t="shared" si="962"/>
        <v>-13064.901268113368</v>
      </c>
      <c r="T232">
        <f t="shared" si="963"/>
        <v>-13.064901268113369</v>
      </c>
    </row>
    <row r="233" spans="1:20" x14ac:dyDescent="0.25">
      <c r="A233" s="5">
        <v>44360</v>
      </c>
      <c r="B233">
        <v>0.18870000000000001</v>
      </c>
      <c r="C233">
        <v>0.2792</v>
      </c>
      <c r="D233">
        <v>0.18690000000000001</v>
      </c>
      <c r="E233">
        <v>0.2414</v>
      </c>
      <c r="F233">
        <v>125468871.68000001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0.18093174431202594</v>
      </c>
      <c r="Q233">
        <f t="shared" si="960"/>
        <v>22701301.809924155</v>
      </c>
      <c r="R233">
        <f t="shared" si="961"/>
        <v>-1307403795.9198952</v>
      </c>
      <c r="S233">
        <f t="shared" si="962"/>
        <v>-13074.037959198951</v>
      </c>
      <c r="T233">
        <f t="shared" si="963"/>
        <v>-13.074037959198952</v>
      </c>
    </row>
    <row r="234" spans="1:20" x14ac:dyDescent="0.25">
      <c r="A234" s="5">
        <v>44359</v>
      </c>
      <c r="B234">
        <v>0.2009</v>
      </c>
      <c r="C234">
        <v>0.20380000000000001</v>
      </c>
      <c r="D234">
        <v>0.1835</v>
      </c>
      <c r="E234">
        <v>0.18890000000000001</v>
      </c>
      <c r="F234">
        <v>20324125.550000001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-0.46798029556650123</v>
      </c>
      <c r="Q234">
        <f t="shared" si="960"/>
        <v>-9511290.2820196804</v>
      </c>
      <c r="R234">
        <f t="shared" si="961"/>
        <v>-1330105097.7298193</v>
      </c>
      <c r="S234">
        <f t="shared" si="962"/>
        <v>-13301.050977298193</v>
      </c>
      <c r="T234">
        <f t="shared" si="963"/>
        <v>-13.301050977298193</v>
      </c>
    </row>
    <row r="235" spans="1:20" x14ac:dyDescent="0.25">
      <c r="A235" s="5">
        <v>44358</v>
      </c>
      <c r="B235">
        <v>0.2324</v>
      </c>
      <c r="C235">
        <v>0.25</v>
      </c>
      <c r="D235">
        <v>0.1971</v>
      </c>
      <c r="E235">
        <v>0.20130000000000001</v>
      </c>
      <c r="F235">
        <v>52759425.270000003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-0.84120982986767456</v>
      </c>
      <c r="Q235">
        <f t="shared" si="960"/>
        <v>-44381747.155292995</v>
      </c>
      <c r="R235">
        <f t="shared" si="961"/>
        <v>-1320593807.4477997</v>
      </c>
      <c r="S235">
        <f t="shared" si="962"/>
        <v>-13205.938074477997</v>
      </c>
      <c r="T235">
        <f t="shared" si="963"/>
        <v>-13.205938074477997</v>
      </c>
    </row>
    <row r="236" spans="1:20" x14ac:dyDescent="0.25">
      <c r="A236" s="5">
        <v>44357</v>
      </c>
      <c r="B236">
        <v>0.25280000000000002</v>
      </c>
      <c r="C236">
        <v>0.29399999999999998</v>
      </c>
      <c r="D236">
        <v>0.2233</v>
      </c>
      <c r="E236">
        <v>0.23150000000000001</v>
      </c>
      <c r="F236">
        <v>163003949.38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-0.76803394625176757</v>
      </c>
      <c r="Q236">
        <f t="shared" si="960"/>
        <v>-125192566.49694476</v>
      </c>
      <c r="R236">
        <f t="shared" si="961"/>
        <v>-1276212060.2925067</v>
      </c>
      <c r="S236">
        <f t="shared" si="962"/>
        <v>-12762.120602925066</v>
      </c>
      <c r="T236">
        <f t="shared" si="963"/>
        <v>-12.762120602925066</v>
      </c>
    </row>
    <row r="237" spans="1:20" x14ac:dyDescent="0.25">
      <c r="A237" s="5">
        <v>44356</v>
      </c>
      <c r="B237">
        <v>0.19109999999999999</v>
      </c>
      <c r="C237">
        <v>0.35730000000000001</v>
      </c>
      <c r="D237">
        <v>0.18279999999999999</v>
      </c>
      <c r="E237">
        <v>0.253</v>
      </c>
      <c r="F237">
        <v>382169623.55000001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-0.19541547277936955</v>
      </c>
      <c r="Q237">
        <f t="shared" si="960"/>
        <v>-74681857.667936936</v>
      </c>
      <c r="R237">
        <f t="shared" si="961"/>
        <v>-1151019493.795562</v>
      </c>
      <c r="S237">
        <f t="shared" si="962"/>
        <v>-11510.194937955621</v>
      </c>
      <c r="T237">
        <f t="shared" si="963"/>
        <v>-11.510194937955621</v>
      </c>
    </row>
    <row r="238" spans="1:20" x14ac:dyDescent="0.25">
      <c r="A238" s="5">
        <v>44355</v>
      </c>
      <c r="B238">
        <v>0.16259999999999999</v>
      </c>
      <c r="C238">
        <v>0.21929999999999999</v>
      </c>
      <c r="D238">
        <v>0.14960000000000001</v>
      </c>
      <c r="E238">
        <v>0.19</v>
      </c>
      <c r="F238">
        <v>39088165.93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0.15925394548063129</v>
      </c>
      <c r="Q238">
        <f t="shared" si="960"/>
        <v>6224944.6459540892</v>
      </c>
      <c r="R238">
        <f t="shared" si="961"/>
        <v>-1076337636.127625</v>
      </c>
      <c r="S238">
        <f t="shared" si="962"/>
        <v>-10763.37636127625</v>
      </c>
      <c r="T238">
        <f t="shared" si="963"/>
        <v>-10.763376361276251</v>
      </c>
    </row>
    <row r="239" spans="1:20" x14ac:dyDescent="0.25">
      <c r="A239" s="5">
        <v>44354</v>
      </c>
      <c r="B239">
        <v>0.188</v>
      </c>
      <c r="C239">
        <v>0.1915</v>
      </c>
      <c r="D239">
        <v>0.1605</v>
      </c>
      <c r="E239">
        <v>0.16259999999999999</v>
      </c>
      <c r="F239">
        <v>17313463.84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-0.86451612903225861</v>
      </c>
      <c r="Q239">
        <f t="shared" si="960"/>
        <v>-14967768.739096783</v>
      </c>
      <c r="R239">
        <f t="shared" si="961"/>
        <v>-1082562580.7735791</v>
      </c>
      <c r="S239">
        <f t="shared" si="962"/>
        <v>-10825.625807735791</v>
      </c>
      <c r="T239">
        <f t="shared" si="963"/>
        <v>-10.82562580773579</v>
      </c>
    </row>
    <row r="240" spans="1:20" x14ac:dyDescent="0.25">
      <c r="A240" s="5">
        <v>44353</v>
      </c>
      <c r="B240">
        <v>0.16209999999999999</v>
      </c>
      <c r="C240">
        <v>0.21879999999999999</v>
      </c>
      <c r="D240">
        <v>0.16070000000000001</v>
      </c>
      <c r="E240">
        <v>0.18790000000000001</v>
      </c>
      <c r="F240">
        <v>78358527.459999993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-6.3683304647159766E-2</v>
      </c>
      <c r="Q240">
        <f t="shared" si="960"/>
        <v>-4990129.9759380138</v>
      </c>
      <c r="R240">
        <f t="shared" si="961"/>
        <v>-1067594812.0344824</v>
      </c>
      <c r="S240">
        <f t="shared" si="962"/>
        <v>-10675.948120344823</v>
      </c>
      <c r="T240">
        <f t="shared" si="963"/>
        <v>-10.675948120344824</v>
      </c>
    </row>
    <row r="241" spans="1:20" x14ac:dyDescent="0.25">
      <c r="A241" s="5">
        <v>44352</v>
      </c>
      <c r="B241">
        <v>0.16880000000000001</v>
      </c>
      <c r="C241">
        <v>0.17560000000000001</v>
      </c>
      <c r="D241">
        <v>0.15770000000000001</v>
      </c>
      <c r="E241">
        <v>0.16209999999999999</v>
      </c>
      <c r="F241">
        <v>6984441.04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-0.50837988826815783</v>
      </c>
      <c r="Q241">
        <f t="shared" si="960"/>
        <v>-3550749.355530736</v>
      </c>
      <c r="R241">
        <f t="shared" si="961"/>
        <v>-1062604682.0585444</v>
      </c>
      <c r="S241">
        <f t="shared" si="962"/>
        <v>-10626.046820585443</v>
      </c>
      <c r="T241">
        <f t="shared" si="963"/>
        <v>-10.626046820585444</v>
      </c>
    </row>
    <row r="242" spans="1:20" x14ac:dyDescent="0.25">
      <c r="A242" s="5">
        <v>44351</v>
      </c>
      <c r="B242">
        <v>0.18410000000000001</v>
      </c>
      <c r="C242">
        <v>0.18459999999999999</v>
      </c>
      <c r="D242">
        <v>0.15790000000000001</v>
      </c>
      <c r="E242">
        <v>0.16850000000000001</v>
      </c>
      <c r="F242">
        <v>12027023.83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-0.20599250936329522</v>
      </c>
      <c r="Q242">
        <f t="shared" si="960"/>
        <v>-2477476.8189138495</v>
      </c>
      <c r="R242">
        <f t="shared" si="961"/>
        <v>-1059053932.7030137</v>
      </c>
      <c r="S242">
        <f t="shared" si="962"/>
        <v>-10590.539327030137</v>
      </c>
      <c r="T242">
        <f t="shared" si="963"/>
        <v>-10.590539327030138</v>
      </c>
    </row>
    <row r="243" spans="1:20" x14ac:dyDescent="0.25">
      <c r="A243" s="5">
        <v>44350</v>
      </c>
      <c r="B243">
        <v>0.18079999999999999</v>
      </c>
      <c r="C243">
        <v>0.19</v>
      </c>
      <c r="D243">
        <v>0.17649999999999999</v>
      </c>
      <c r="E243">
        <v>0.18379999999999999</v>
      </c>
      <c r="F243">
        <v>12459150.17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8.1481481481480655E-2</v>
      </c>
      <c r="Q243">
        <f t="shared" si="960"/>
        <v>1015190.0138518416</v>
      </c>
      <c r="R243">
        <f t="shared" si="961"/>
        <v>-1056576455.8840998</v>
      </c>
      <c r="S243">
        <f t="shared" si="962"/>
        <v>-10565.764558840998</v>
      </c>
      <c r="T243">
        <f t="shared" si="963"/>
        <v>-10.565764558840998</v>
      </c>
    </row>
    <row r="244" spans="1:20" x14ac:dyDescent="0.25">
      <c r="A244" s="5">
        <v>44349</v>
      </c>
      <c r="B244">
        <v>0.1739</v>
      </c>
      <c r="C244">
        <v>0.1845</v>
      </c>
      <c r="D244">
        <v>0.17</v>
      </c>
      <c r="E244">
        <v>0.18079999999999999</v>
      </c>
      <c r="F244">
        <v>11874546.23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0.48965517241379136</v>
      </c>
      <c r="Q244">
        <f t="shared" si="960"/>
        <v>5814432.9815861862</v>
      </c>
      <c r="R244">
        <f t="shared" si="961"/>
        <v>-1057591645.8979517</v>
      </c>
      <c r="S244">
        <f t="shared" si="962"/>
        <v>-10575.916458979516</v>
      </c>
      <c r="T244">
        <f t="shared" si="963"/>
        <v>-10.575916458979517</v>
      </c>
    </row>
    <row r="245" spans="1:20" x14ac:dyDescent="0.25">
      <c r="A245" s="5">
        <v>44348</v>
      </c>
      <c r="B245">
        <v>0.18459999999999999</v>
      </c>
      <c r="C245">
        <v>0.19450000000000001</v>
      </c>
      <c r="D245">
        <v>0.16889999999999999</v>
      </c>
      <c r="E245">
        <v>0.17380000000000001</v>
      </c>
      <c r="F245">
        <v>15461140.57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-0.617187499999999</v>
      </c>
      <c r="Q245">
        <f t="shared" si="960"/>
        <v>-9542422.6955468599</v>
      </c>
      <c r="R245">
        <f t="shared" si="961"/>
        <v>-1063406078.8795379</v>
      </c>
      <c r="S245">
        <f t="shared" si="962"/>
        <v>-10634.060788795379</v>
      </c>
      <c r="T245">
        <f t="shared" si="963"/>
        <v>-10.634060788795379</v>
      </c>
    </row>
    <row r="246" spans="1:20" x14ac:dyDescent="0.25">
      <c r="A246" s="5">
        <v>44347</v>
      </c>
      <c r="B246">
        <v>0.1817</v>
      </c>
      <c r="C246">
        <v>0.18679999999999999</v>
      </c>
      <c r="D246">
        <v>0.16839999999999999</v>
      </c>
      <c r="E246">
        <v>0.18459999999999999</v>
      </c>
      <c r="F246">
        <v>12501900.02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0.76086956521739046</v>
      </c>
      <c r="Q246">
        <f t="shared" si="960"/>
        <v>9512315.2326086853</v>
      </c>
      <c r="R246">
        <f t="shared" si="961"/>
        <v>-1053863656.1839911</v>
      </c>
      <c r="S246">
        <f t="shared" si="962"/>
        <v>-10538.63656183991</v>
      </c>
      <c r="T246">
        <f t="shared" si="963"/>
        <v>-10.53863656183991</v>
      </c>
    </row>
    <row r="247" spans="1:20" x14ac:dyDescent="0.25">
      <c r="A247" s="5">
        <v>44346</v>
      </c>
      <c r="B247">
        <v>0.1835</v>
      </c>
      <c r="C247">
        <v>0.18990000000000001</v>
      </c>
      <c r="D247">
        <v>0.16800000000000001</v>
      </c>
      <c r="E247">
        <v>0.18190000000000001</v>
      </c>
      <c r="F247">
        <v>17347970.559999999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0.26940639269406336</v>
      </c>
      <c r="Q247">
        <f t="shared" si="960"/>
        <v>4673654.1691324096</v>
      </c>
      <c r="R247">
        <f t="shared" si="961"/>
        <v>-1063375971.4165998</v>
      </c>
      <c r="S247">
        <f t="shared" si="962"/>
        <v>-10633.759714165997</v>
      </c>
      <c r="T247">
        <f t="shared" si="963"/>
        <v>-10.633759714165997</v>
      </c>
    </row>
    <row r="248" spans="1:20" x14ac:dyDescent="0.25">
      <c r="A248" s="5">
        <v>44345</v>
      </c>
      <c r="B248">
        <v>0.17480000000000001</v>
      </c>
      <c r="C248">
        <v>0.21360000000000001</v>
      </c>
      <c r="D248">
        <v>0.1699</v>
      </c>
      <c r="E248">
        <v>0.18290000000000001</v>
      </c>
      <c r="F248">
        <v>45501016.090000004</v>
      </c>
      <c r="G248">
        <v>0</v>
      </c>
      <c r="L248" t="s">
        <v>8</v>
      </c>
      <c r="M248" t="s">
        <v>8</v>
      </c>
      <c r="N248" t="s">
        <v>7</v>
      </c>
      <c r="P248">
        <f t="shared" si="959"/>
        <v>-0.40503432494279146</v>
      </c>
      <c r="Q248">
        <f t="shared" si="960"/>
        <v>-18429473.336224243</v>
      </c>
      <c r="R248">
        <f t="shared" si="961"/>
        <v>-1068049625.5857321</v>
      </c>
      <c r="S248">
        <f t="shared" si="962"/>
        <v>-10680.496255857321</v>
      </c>
      <c r="T248">
        <f t="shared" si="963"/>
        <v>-10.680496255857321</v>
      </c>
    </row>
    <row r="249" spans="1:20" x14ac:dyDescent="0.25">
      <c r="A249" s="5">
        <v>44344</v>
      </c>
      <c r="B249">
        <v>0.19550000000000001</v>
      </c>
      <c r="C249">
        <v>0.19919999999999999</v>
      </c>
      <c r="D249">
        <v>0.16500000000000001</v>
      </c>
      <c r="E249">
        <v>0.17499999999999999</v>
      </c>
      <c r="F249">
        <v>18943692.149999999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-0.41520467836257385</v>
      </c>
      <c r="Q249">
        <f t="shared" si="960"/>
        <v>-7865509.6061403649</v>
      </c>
      <c r="R249">
        <f t="shared" si="961"/>
        <v>-1049620152.2495079</v>
      </c>
      <c r="S249">
        <f t="shared" si="962"/>
        <v>-10496.201522495079</v>
      </c>
      <c r="T249">
        <f t="shared" si="963"/>
        <v>-10.496201522495079</v>
      </c>
    </row>
    <row r="250" spans="1:20" x14ac:dyDescent="0.25">
      <c r="A250" s="5">
        <v>44343</v>
      </c>
      <c r="B250">
        <v>0.19339999999999999</v>
      </c>
      <c r="C250">
        <v>0.24160000000000001</v>
      </c>
      <c r="D250">
        <v>0.19189999999999999</v>
      </c>
      <c r="E250">
        <v>0.19500000000000001</v>
      </c>
      <c r="F250">
        <v>61168901.109999999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-0.87525150905432525</v>
      </c>
      <c r="Q250">
        <f t="shared" si="960"/>
        <v>-53538173.003722288</v>
      </c>
      <c r="R250">
        <f t="shared" si="961"/>
        <v>-1041754642.6433675</v>
      </c>
      <c r="S250">
        <f t="shared" si="962"/>
        <v>-10417.546426433675</v>
      </c>
      <c r="T250">
        <f t="shared" si="963"/>
        <v>-10.417546426433676</v>
      </c>
    </row>
    <row r="251" spans="1:20" x14ac:dyDescent="0.25">
      <c r="A251" s="5">
        <v>44342</v>
      </c>
      <c r="B251">
        <v>0.15809999999999999</v>
      </c>
      <c r="C251">
        <v>0.20860000000000001</v>
      </c>
      <c r="D251">
        <v>0.1545</v>
      </c>
      <c r="E251">
        <v>0.19339999999999999</v>
      </c>
      <c r="F251">
        <v>33420577.329999998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0.43807763401108996</v>
      </c>
      <c r="Q251">
        <f t="shared" si="960"/>
        <v>14640807.44401107</v>
      </c>
      <c r="R251">
        <f t="shared" si="961"/>
        <v>-988216469.63964522</v>
      </c>
      <c r="S251">
        <f t="shared" si="962"/>
        <v>-9882.1646963964522</v>
      </c>
      <c r="T251">
        <f t="shared" si="963"/>
        <v>-9.8821646963964529</v>
      </c>
    </row>
    <row r="252" spans="1:20" x14ac:dyDescent="0.25">
      <c r="A252" s="5">
        <v>44341</v>
      </c>
      <c r="B252">
        <v>0.16059999999999999</v>
      </c>
      <c r="C252">
        <v>0.1701</v>
      </c>
      <c r="D252">
        <v>0.14030000000000001</v>
      </c>
      <c r="E252">
        <v>0.15740000000000001</v>
      </c>
      <c r="F252">
        <v>23648804.18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0.14765100671140993</v>
      </c>
      <c r="Q252">
        <f t="shared" si="960"/>
        <v>3491769.7446979992</v>
      </c>
      <c r="R252">
        <f t="shared" si="961"/>
        <v>-1002857277.0836563</v>
      </c>
      <c r="S252">
        <f t="shared" si="962"/>
        <v>-10028.572770836563</v>
      </c>
      <c r="T252">
        <f t="shared" si="963"/>
        <v>-10.028572770836563</v>
      </c>
    </row>
    <row r="253" spans="1:20" x14ac:dyDescent="0.25">
      <c r="A253" s="5">
        <v>44340</v>
      </c>
      <c r="B253">
        <v>0.12520000000000001</v>
      </c>
      <c r="C253">
        <v>0.18</v>
      </c>
      <c r="D253">
        <v>0.1203</v>
      </c>
      <c r="E253">
        <v>0.16059999999999999</v>
      </c>
      <c r="F253">
        <v>26778918.82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0.35008375209380221</v>
      </c>
      <c r="Q253">
        <f t="shared" si="960"/>
        <v>9374864.3775209337</v>
      </c>
      <c r="R253">
        <f t="shared" si="961"/>
        <v>-1006349046.8283544</v>
      </c>
      <c r="S253">
        <f t="shared" si="962"/>
        <v>-10063.490468283544</v>
      </c>
      <c r="T253">
        <f t="shared" si="963"/>
        <v>-10.063490468283543</v>
      </c>
    </row>
    <row r="254" spans="1:20" x14ac:dyDescent="0.25">
      <c r="A254" s="5">
        <v>44339</v>
      </c>
      <c r="B254">
        <v>0.15909999999999999</v>
      </c>
      <c r="C254">
        <v>0.16389999999999999</v>
      </c>
      <c r="D254">
        <v>0.10639999999999999</v>
      </c>
      <c r="E254">
        <v>0.12509999999999999</v>
      </c>
      <c r="F254">
        <v>17376876.489999998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-0.34956521739130447</v>
      </c>
      <c r="Q254">
        <f t="shared" si="960"/>
        <v>-6074351.607808697</v>
      </c>
      <c r="R254">
        <f t="shared" si="961"/>
        <v>-1015723911.2058753</v>
      </c>
      <c r="S254">
        <f t="shared" si="962"/>
        <v>-10157.239112058753</v>
      </c>
      <c r="T254">
        <f t="shared" si="963"/>
        <v>-10.157239112058752</v>
      </c>
    </row>
    <row r="255" spans="1:20" x14ac:dyDescent="0.25">
      <c r="A255" s="5">
        <v>44338</v>
      </c>
      <c r="B255">
        <v>0.17100000000000001</v>
      </c>
      <c r="C255">
        <v>0.17199999999999999</v>
      </c>
      <c r="D255">
        <v>0.1497</v>
      </c>
      <c r="E255">
        <v>0.15959999999999999</v>
      </c>
      <c r="F255">
        <v>10230438.09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-0.11210762331838582</v>
      </c>
      <c r="Q255">
        <f t="shared" si="960"/>
        <v>-1146910.0997757865</v>
      </c>
      <c r="R255">
        <f t="shared" si="961"/>
        <v>-1009649559.5980666</v>
      </c>
      <c r="S255">
        <f t="shared" si="962"/>
        <v>-10096.495595980665</v>
      </c>
      <c r="T255">
        <f t="shared" si="963"/>
        <v>-10.096495595980665</v>
      </c>
    </row>
    <row r="256" spans="1:20" x14ac:dyDescent="0.25">
      <c r="A256" s="5">
        <v>44337</v>
      </c>
      <c r="B256">
        <v>0.1923</v>
      </c>
      <c r="C256">
        <v>0.22</v>
      </c>
      <c r="D256">
        <v>0.14799999999999999</v>
      </c>
      <c r="E256">
        <v>0.1706</v>
      </c>
      <c r="F256">
        <v>18577680.5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-0.37222222222222207</v>
      </c>
      <c r="Q256">
        <f t="shared" si="960"/>
        <v>-6915025.5194444414</v>
      </c>
      <c r="R256">
        <f t="shared" si="961"/>
        <v>-1008502649.4982908</v>
      </c>
      <c r="S256">
        <f t="shared" si="962"/>
        <v>-10085.026494982907</v>
      </c>
      <c r="T256">
        <f t="shared" si="963"/>
        <v>-10.085026494982907</v>
      </c>
    </row>
    <row r="257" spans="1:20" x14ac:dyDescent="0.25">
      <c r="A257" s="5">
        <v>44336</v>
      </c>
      <c r="B257">
        <v>0.17119999999999999</v>
      </c>
      <c r="C257">
        <v>0.2094</v>
      </c>
      <c r="D257">
        <v>0.15570000000000001</v>
      </c>
      <c r="E257">
        <v>0.1925</v>
      </c>
      <c r="F257">
        <v>18917826.620000001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0.37057728119180638</v>
      </c>
      <c r="Q257">
        <f t="shared" si="960"/>
        <v>7010516.7548975805</v>
      </c>
      <c r="R257">
        <f t="shared" si="961"/>
        <v>-1001587623.9788463</v>
      </c>
      <c r="S257">
        <f t="shared" si="962"/>
        <v>-10015.876239788464</v>
      </c>
      <c r="T257">
        <f t="shared" si="963"/>
        <v>-10.015876239788463</v>
      </c>
    </row>
    <row r="258" spans="1:20" x14ac:dyDescent="0.25">
      <c r="A258" s="5">
        <v>44335</v>
      </c>
      <c r="B258">
        <v>0.26379999999999998</v>
      </c>
      <c r="C258">
        <v>0.27060000000000001</v>
      </c>
      <c r="D258">
        <v>0.15409999999999999</v>
      </c>
      <c r="E258">
        <v>0.17069999999999999</v>
      </c>
      <c r="F258">
        <v>28100616.949999999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-0.71502145922746785</v>
      </c>
      <c r="Q258">
        <f t="shared" si="960"/>
        <v>-20092544.136781115</v>
      </c>
      <c r="R258">
        <f t="shared" si="961"/>
        <v>-1008598140.7337439</v>
      </c>
      <c r="S258">
        <f t="shared" si="962"/>
        <v>-10085.981407337438</v>
      </c>
      <c r="T258">
        <f t="shared" si="963"/>
        <v>-10.085981407337439</v>
      </c>
    </row>
    <row r="259" spans="1:20" x14ac:dyDescent="0.25">
      <c r="A259" s="5">
        <v>44334</v>
      </c>
      <c r="B259">
        <v>0.26</v>
      </c>
      <c r="C259">
        <v>0.28299999999999997</v>
      </c>
      <c r="D259">
        <v>0.25440000000000002</v>
      </c>
      <c r="E259">
        <v>0.2636</v>
      </c>
      <c r="F259">
        <v>11090715.43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-0.35664335664335672</v>
      </c>
      <c r="Q259">
        <f t="shared" si="960"/>
        <v>-3955429.9785314691</v>
      </c>
      <c r="R259">
        <f t="shared" si="961"/>
        <v>-988505596.59696281</v>
      </c>
      <c r="S259">
        <f t="shared" si="962"/>
        <v>-9885.0559659696282</v>
      </c>
      <c r="T259">
        <f t="shared" si="963"/>
        <v>-9.8850559659696291</v>
      </c>
    </row>
    <row r="260" spans="1:20" x14ac:dyDescent="0.25">
      <c r="A260" s="5">
        <v>44333</v>
      </c>
      <c r="B260">
        <v>0.2823</v>
      </c>
      <c r="C260">
        <v>0.28289999999999998</v>
      </c>
      <c r="D260">
        <v>0.24909999999999999</v>
      </c>
      <c r="E260">
        <v>0.25969999999999999</v>
      </c>
      <c r="F260">
        <v>11746229.18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-0.37278106508875741</v>
      </c>
      <c r="Q260">
        <f t="shared" si="960"/>
        <v>-4378771.8244970413</v>
      </c>
      <c r="R260">
        <f t="shared" si="961"/>
        <v>-984550166.61843133</v>
      </c>
      <c r="S260">
        <f t="shared" si="962"/>
        <v>-9845.5016661843129</v>
      </c>
      <c r="T260">
        <f t="shared" si="963"/>
        <v>-9.8455016661843135</v>
      </c>
    </row>
    <row r="261" spans="1:20" x14ac:dyDescent="0.25">
      <c r="A261" s="5">
        <v>44332</v>
      </c>
      <c r="B261">
        <v>0.29389999999999999</v>
      </c>
      <c r="C261">
        <v>0.32719999999999999</v>
      </c>
      <c r="D261">
        <v>0.26050000000000001</v>
      </c>
      <c r="E261">
        <v>0.2823</v>
      </c>
      <c r="F261">
        <v>19403378.5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-0.34632683658170937</v>
      </c>
      <c r="Q261">
        <f t="shared" si="960"/>
        <v>-6719910.6949025532</v>
      </c>
      <c r="R261">
        <f t="shared" si="961"/>
        <v>-980171394.79393435</v>
      </c>
      <c r="S261">
        <f t="shared" si="962"/>
        <v>-9801.7139479393427</v>
      </c>
      <c r="T261">
        <f t="shared" si="963"/>
        <v>-9.8017139479393425</v>
      </c>
    </row>
    <row r="262" spans="1:20" x14ac:dyDescent="0.25">
      <c r="A262" s="5">
        <v>44331</v>
      </c>
      <c r="B262">
        <v>0.28410000000000002</v>
      </c>
      <c r="C262">
        <v>0.31209999999999999</v>
      </c>
      <c r="D262">
        <v>0.2797</v>
      </c>
      <c r="E262">
        <v>0.29370000000000002</v>
      </c>
      <c r="F262">
        <v>14323544.140000001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-0.1358024691358013</v>
      </c>
      <c r="Q262">
        <f t="shared" ref="Q262:Q325" si="965">F262*P262</f>
        <v>-1945172.6609876377</v>
      </c>
      <c r="R262">
        <f t="shared" ref="R262:R325" si="966">R263+Q262</f>
        <v>-973451484.09903181</v>
      </c>
      <c r="S262">
        <f t="shared" ref="S262:S325" si="967">R262/100000</f>
        <v>-9734.5148409903177</v>
      </c>
      <c r="T262">
        <f t="shared" ref="T262:T325" si="968">S262/1000</f>
        <v>-9.7345148409903182</v>
      </c>
    </row>
    <row r="263" spans="1:20" x14ac:dyDescent="0.25">
      <c r="A263" s="5">
        <v>44330</v>
      </c>
      <c r="B263">
        <v>0.2802</v>
      </c>
      <c r="C263">
        <v>0.29520000000000002</v>
      </c>
      <c r="D263">
        <v>0.27160000000000001</v>
      </c>
      <c r="E263">
        <v>0.28410000000000002</v>
      </c>
      <c r="F263">
        <v>11320529.720000001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5.9322033898305586E-2</v>
      </c>
      <c r="Q263">
        <f t="shared" si="965"/>
        <v>671556.84779661591</v>
      </c>
      <c r="R263">
        <f t="shared" si="966"/>
        <v>-971506311.43804419</v>
      </c>
      <c r="S263">
        <f t="shared" si="967"/>
        <v>-9715.0631143804421</v>
      </c>
      <c r="T263">
        <f t="shared" si="968"/>
        <v>-9.7150631143804418</v>
      </c>
    </row>
    <row r="264" spans="1:20" x14ac:dyDescent="0.25">
      <c r="A264" s="5">
        <v>44329</v>
      </c>
      <c r="B264">
        <v>0.26340000000000002</v>
      </c>
      <c r="C264">
        <v>0.29480000000000001</v>
      </c>
      <c r="D264">
        <v>0.25440000000000002</v>
      </c>
      <c r="E264">
        <v>0.2797</v>
      </c>
      <c r="F264">
        <v>13909371.49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0.2524752475247522</v>
      </c>
      <c r="Q264">
        <f t="shared" si="965"/>
        <v>3511772.0098514813</v>
      </c>
      <c r="R264">
        <f t="shared" si="966"/>
        <v>-972177868.28584075</v>
      </c>
      <c r="S264">
        <f t="shared" si="967"/>
        <v>-9721.7786828584067</v>
      </c>
      <c r="T264">
        <f t="shared" si="968"/>
        <v>-9.7217786828584067</v>
      </c>
    </row>
    <row r="265" spans="1:20" x14ac:dyDescent="0.25">
      <c r="A265" s="5">
        <v>44328</v>
      </c>
      <c r="B265">
        <v>0.31630000000000003</v>
      </c>
      <c r="C265">
        <v>0.32200000000000001</v>
      </c>
      <c r="D265">
        <v>0.2596</v>
      </c>
      <c r="E265">
        <v>0.26469999999999999</v>
      </c>
      <c r="F265">
        <v>14900452.4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-0.83653846153846179</v>
      </c>
      <c r="Q265">
        <f t="shared" si="965"/>
        <v>-12464801.526923081</v>
      </c>
      <c r="R265">
        <f t="shared" si="966"/>
        <v>-975689640.29569221</v>
      </c>
      <c r="S265">
        <f t="shared" si="967"/>
        <v>-9756.8964029569215</v>
      </c>
      <c r="T265">
        <f t="shared" si="968"/>
        <v>-9.7568964029569223</v>
      </c>
    </row>
    <row r="266" spans="1:20" x14ac:dyDescent="0.25">
      <c r="A266" s="5">
        <v>44327</v>
      </c>
      <c r="B266">
        <v>0.2994</v>
      </c>
      <c r="C266">
        <v>0.32379999999999998</v>
      </c>
      <c r="D266">
        <v>0.28260000000000002</v>
      </c>
      <c r="E266">
        <v>0.31590000000000001</v>
      </c>
      <c r="F266">
        <v>14334037.970000001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0.61650485436893343</v>
      </c>
      <c r="Q266">
        <f t="shared" si="965"/>
        <v>8837003.9912136123</v>
      </c>
      <c r="R266">
        <f t="shared" si="966"/>
        <v>-963224838.76876915</v>
      </c>
      <c r="S266">
        <f t="shared" si="967"/>
        <v>-9632.2483876876922</v>
      </c>
      <c r="T266">
        <f t="shared" si="968"/>
        <v>-9.6322483876876923</v>
      </c>
    </row>
    <row r="267" spans="1:20" x14ac:dyDescent="0.25">
      <c r="A267" s="5">
        <v>44326</v>
      </c>
      <c r="B267">
        <v>0.33810000000000001</v>
      </c>
      <c r="C267">
        <v>0.35</v>
      </c>
      <c r="D267">
        <v>0.29060000000000002</v>
      </c>
      <c r="E267">
        <v>0.30030000000000001</v>
      </c>
      <c r="F267">
        <v>12501106.550000001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-0.67340067340067356</v>
      </c>
      <c r="Q267">
        <f t="shared" si="965"/>
        <v>-8418253.5690235719</v>
      </c>
      <c r="R267">
        <f t="shared" si="966"/>
        <v>-972061842.75998271</v>
      </c>
      <c r="S267">
        <f t="shared" si="967"/>
        <v>-9720.6184275998276</v>
      </c>
      <c r="T267">
        <f t="shared" si="968"/>
        <v>-9.7206184275998275</v>
      </c>
    </row>
    <row r="268" spans="1:20" x14ac:dyDescent="0.25">
      <c r="A268" s="5">
        <v>44325</v>
      </c>
      <c r="B268">
        <v>0.35370000000000001</v>
      </c>
      <c r="C268">
        <v>0.35659999999999997</v>
      </c>
      <c r="D268">
        <v>0.32850000000000001</v>
      </c>
      <c r="E268">
        <v>0.33739999999999998</v>
      </c>
      <c r="F268">
        <v>11992446.74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-0.36654804270462799</v>
      </c>
      <c r="Q268">
        <f t="shared" si="965"/>
        <v>-4395807.879786497</v>
      </c>
      <c r="R268">
        <f t="shared" si="966"/>
        <v>-963643589.1909591</v>
      </c>
      <c r="S268">
        <f t="shared" si="967"/>
        <v>-9636.4358919095903</v>
      </c>
      <c r="T268">
        <f t="shared" si="968"/>
        <v>-9.6364358919095903</v>
      </c>
    </row>
    <row r="269" spans="1:20" x14ac:dyDescent="0.25">
      <c r="A269" s="5">
        <v>44324</v>
      </c>
      <c r="B269">
        <v>0.3473</v>
      </c>
      <c r="C269">
        <v>0.39789999999999998</v>
      </c>
      <c r="D269">
        <v>0.34639999999999999</v>
      </c>
      <c r="E269">
        <v>0.35370000000000001</v>
      </c>
      <c r="F269">
        <v>28483541.25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-0.71650485436893085</v>
      </c>
      <c r="Q269">
        <f t="shared" si="965"/>
        <v>-20408595.575242683</v>
      </c>
      <c r="R269">
        <f t="shared" si="966"/>
        <v>-959247781.3111726</v>
      </c>
      <c r="S269">
        <f t="shared" si="967"/>
        <v>-9592.4778131117255</v>
      </c>
      <c r="T269">
        <f t="shared" si="968"/>
        <v>-9.5924778131117261</v>
      </c>
    </row>
    <row r="270" spans="1:20" x14ac:dyDescent="0.25">
      <c r="A270" s="5">
        <v>44323</v>
      </c>
      <c r="B270">
        <v>0.32800000000000001</v>
      </c>
      <c r="C270">
        <v>0.37030000000000002</v>
      </c>
      <c r="D270">
        <v>0.32</v>
      </c>
      <c r="E270">
        <v>0.3473</v>
      </c>
      <c r="F270">
        <v>19572191.949999999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8.5487077534790651E-2</v>
      </c>
      <c r="Q270">
        <f t="shared" si="965"/>
        <v>1673169.4907554553</v>
      </c>
      <c r="R270">
        <f t="shared" si="966"/>
        <v>-938839185.73592997</v>
      </c>
      <c r="S270">
        <f t="shared" si="967"/>
        <v>-9388.3918573593</v>
      </c>
      <c r="T270">
        <f t="shared" si="968"/>
        <v>-9.3883918573593004</v>
      </c>
    </row>
    <row r="271" spans="1:20" x14ac:dyDescent="0.25">
      <c r="A271" s="5">
        <v>44322</v>
      </c>
      <c r="B271">
        <v>0.35620000000000002</v>
      </c>
      <c r="C271">
        <v>0.38700000000000001</v>
      </c>
      <c r="D271">
        <v>0.32</v>
      </c>
      <c r="E271">
        <v>0.32819999999999999</v>
      </c>
      <c r="F271">
        <v>18910131.440000001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-0.7552238805970154</v>
      </c>
      <c r="Q271">
        <f t="shared" si="965"/>
        <v>-14281382.848716429</v>
      </c>
      <c r="R271">
        <f t="shared" si="966"/>
        <v>-940512355.2266854</v>
      </c>
      <c r="S271">
        <f t="shared" si="967"/>
        <v>-9405.1235522668539</v>
      </c>
      <c r="T271">
        <f t="shared" si="968"/>
        <v>-9.4051235522668541</v>
      </c>
    </row>
    <row r="272" spans="1:20" x14ac:dyDescent="0.25">
      <c r="A272" s="5">
        <v>44321</v>
      </c>
      <c r="B272">
        <v>0.32</v>
      </c>
      <c r="C272">
        <v>0.36399999999999999</v>
      </c>
      <c r="D272">
        <v>0.31430000000000002</v>
      </c>
      <c r="E272">
        <v>0.35599999999999998</v>
      </c>
      <c r="F272">
        <v>18268300.109999999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0.67806841046277611</v>
      </c>
      <c r="Q272">
        <f t="shared" si="965"/>
        <v>12387157.217444658</v>
      </c>
      <c r="R272">
        <f t="shared" si="966"/>
        <v>-926230972.37796903</v>
      </c>
      <c r="S272">
        <f t="shared" si="967"/>
        <v>-9262.3097237796901</v>
      </c>
      <c r="T272">
        <f t="shared" si="968"/>
        <v>-9.2623097237796905</v>
      </c>
    </row>
    <row r="273" spans="1:20" x14ac:dyDescent="0.25">
      <c r="A273" s="5">
        <v>44320</v>
      </c>
      <c r="B273">
        <v>0.35970000000000002</v>
      </c>
      <c r="C273">
        <v>0.36299999999999999</v>
      </c>
      <c r="D273">
        <v>0.31830000000000003</v>
      </c>
      <c r="E273">
        <v>0.32040000000000002</v>
      </c>
      <c r="F273">
        <v>16143374.57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-0.9060402684563762</v>
      </c>
      <c r="Q273">
        <f t="shared" si="965"/>
        <v>-14626547.429194637</v>
      </c>
      <c r="R273">
        <f t="shared" si="966"/>
        <v>-938618129.59541368</v>
      </c>
      <c r="S273">
        <f t="shared" si="967"/>
        <v>-9386.1812959541367</v>
      </c>
      <c r="T273">
        <f t="shared" si="968"/>
        <v>-9.3861812959541364</v>
      </c>
    </row>
    <row r="274" spans="1:20" x14ac:dyDescent="0.25">
      <c r="A274" s="5">
        <v>44319</v>
      </c>
      <c r="B274">
        <v>0.35549999999999998</v>
      </c>
      <c r="C274">
        <v>0.40989999999999999</v>
      </c>
      <c r="D274">
        <v>0.35510000000000003</v>
      </c>
      <c r="E274">
        <v>0.35970000000000002</v>
      </c>
      <c r="F274">
        <v>22262790.350000001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-0.83211678832116798</v>
      </c>
      <c r="Q274">
        <f t="shared" si="965"/>
        <v>-18525241.605109494</v>
      </c>
      <c r="R274">
        <f t="shared" si="966"/>
        <v>-923991582.166219</v>
      </c>
      <c r="S274">
        <f t="shared" si="967"/>
        <v>-9239.9158216621909</v>
      </c>
      <c r="T274">
        <f t="shared" si="968"/>
        <v>-9.2399158216621906</v>
      </c>
    </row>
    <row r="275" spans="1:20" x14ac:dyDescent="0.25">
      <c r="A275" s="5">
        <v>44318</v>
      </c>
      <c r="B275">
        <v>0.3518</v>
      </c>
      <c r="C275">
        <v>0.37190000000000001</v>
      </c>
      <c r="D275">
        <v>0.32690000000000002</v>
      </c>
      <c r="E275">
        <v>0.35549999999999998</v>
      </c>
      <c r="F275">
        <v>25098288.789999999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0.27111111111110969</v>
      </c>
      <c r="Q275">
        <f t="shared" si="965"/>
        <v>6804424.9608444087</v>
      </c>
      <c r="R275">
        <f t="shared" si="966"/>
        <v>-905466340.56110954</v>
      </c>
      <c r="S275">
        <f t="shared" si="967"/>
        <v>-9054.6634056110961</v>
      </c>
      <c r="T275">
        <f t="shared" si="968"/>
        <v>-9.0546634056110964</v>
      </c>
    </row>
    <row r="276" spans="1:20" x14ac:dyDescent="0.25">
      <c r="A276" s="5">
        <v>44317</v>
      </c>
      <c r="B276">
        <v>0.36170000000000002</v>
      </c>
      <c r="C276">
        <v>0.37</v>
      </c>
      <c r="D276">
        <v>0.34139999999999998</v>
      </c>
      <c r="E276">
        <v>0.35220000000000001</v>
      </c>
      <c r="F276">
        <v>18976413.199999999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-0.24475524475524291</v>
      </c>
      <c r="Q276">
        <f t="shared" si="965"/>
        <v>-4644576.6573426221</v>
      </c>
      <c r="R276">
        <f t="shared" si="966"/>
        <v>-912270765.52195394</v>
      </c>
      <c r="S276">
        <f t="shared" si="967"/>
        <v>-9122.7076552195394</v>
      </c>
      <c r="T276">
        <f t="shared" si="968"/>
        <v>-9.1227076552195392</v>
      </c>
    </row>
    <row r="277" spans="1:20" x14ac:dyDescent="0.25">
      <c r="A277" s="5">
        <v>44316</v>
      </c>
      <c r="B277">
        <v>0.33090000000000003</v>
      </c>
      <c r="C277">
        <v>0.41</v>
      </c>
      <c r="D277">
        <v>0.32069999999999999</v>
      </c>
      <c r="E277">
        <v>0.36159999999999998</v>
      </c>
      <c r="F277">
        <v>59822520.57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-8.3986562150056079E-2</v>
      </c>
      <c r="Q277">
        <f t="shared" si="965"/>
        <v>-5024287.8418253129</v>
      </c>
      <c r="R277">
        <f t="shared" si="966"/>
        <v>-907626188.86461127</v>
      </c>
      <c r="S277">
        <f t="shared" si="967"/>
        <v>-9076.2618886461132</v>
      </c>
      <c r="T277">
        <f t="shared" si="968"/>
        <v>-9.0762618886461137</v>
      </c>
    </row>
    <row r="278" spans="1:20" x14ac:dyDescent="0.25">
      <c r="A278" s="5">
        <v>44315</v>
      </c>
      <c r="B278">
        <v>0.3221</v>
      </c>
      <c r="C278">
        <v>0.377</v>
      </c>
      <c r="D278">
        <v>0.29549999999999998</v>
      </c>
      <c r="E278">
        <v>0.33090000000000003</v>
      </c>
      <c r="F278">
        <v>42393800.369999997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-0.13128834355828134</v>
      </c>
      <c r="Q278">
        <f t="shared" si="965"/>
        <v>-5565811.8277177541</v>
      </c>
      <c r="R278">
        <f t="shared" si="966"/>
        <v>-902601901.0227859</v>
      </c>
      <c r="S278">
        <f t="shared" si="967"/>
        <v>-9026.0190102278593</v>
      </c>
      <c r="T278">
        <f t="shared" si="968"/>
        <v>-9.0260190102278592</v>
      </c>
    </row>
    <row r="279" spans="1:20" x14ac:dyDescent="0.25">
      <c r="A279" s="5">
        <v>44314</v>
      </c>
      <c r="B279">
        <v>0.32879999999999998</v>
      </c>
      <c r="C279">
        <v>0.33589999999999998</v>
      </c>
      <c r="D279">
        <v>0.29430000000000001</v>
      </c>
      <c r="E279">
        <v>0.3221</v>
      </c>
      <c r="F279">
        <v>25259024.420000002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0.33653846153846206</v>
      </c>
      <c r="Q279">
        <f t="shared" si="965"/>
        <v>8500633.2182692438</v>
      </c>
      <c r="R279">
        <f t="shared" si="966"/>
        <v>-897036089.19506812</v>
      </c>
      <c r="S279">
        <f t="shared" si="967"/>
        <v>-8970.3608919506805</v>
      </c>
      <c r="T279">
        <f t="shared" si="968"/>
        <v>-8.9703608919506799</v>
      </c>
    </row>
    <row r="280" spans="1:20" x14ac:dyDescent="0.25">
      <c r="A280" s="5">
        <v>44313</v>
      </c>
      <c r="B280">
        <v>0.3231</v>
      </c>
      <c r="C280">
        <v>0.35399999999999998</v>
      </c>
      <c r="D280">
        <v>0.3075</v>
      </c>
      <c r="E280">
        <v>0.32869999999999999</v>
      </c>
      <c r="F280">
        <v>37322807.590000004</v>
      </c>
      <c r="G280">
        <v>0</v>
      </c>
      <c r="L280" t="s">
        <v>8</v>
      </c>
      <c r="M280" t="s">
        <v>7</v>
      </c>
      <c r="N280" t="s">
        <v>8</v>
      </c>
      <c r="P280">
        <f t="shared" si="964"/>
        <v>-8.8172043010752557E-2</v>
      </c>
      <c r="Q280">
        <f t="shared" si="965"/>
        <v>-3290828.1961075221</v>
      </c>
      <c r="R280">
        <f t="shared" si="966"/>
        <v>-905536722.41333735</v>
      </c>
      <c r="S280">
        <f t="shared" si="967"/>
        <v>-9055.3672241333734</v>
      </c>
      <c r="T280">
        <f t="shared" si="968"/>
        <v>-9.0553672241333736</v>
      </c>
    </row>
    <row r="281" spans="1:20" x14ac:dyDescent="0.25">
      <c r="A281" s="5">
        <v>44312</v>
      </c>
      <c r="B281">
        <v>0.30669999999999997</v>
      </c>
      <c r="C281">
        <v>0.34799999999999998</v>
      </c>
      <c r="D281">
        <v>0.30359999999999998</v>
      </c>
      <c r="E281">
        <v>0.3231</v>
      </c>
      <c r="F281">
        <v>66757116.700000003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-0.12162162162162074</v>
      </c>
      <c r="Q281">
        <f t="shared" si="965"/>
        <v>-8119108.7878377791</v>
      </c>
      <c r="R281">
        <f t="shared" si="966"/>
        <v>-902245894.21722984</v>
      </c>
      <c r="S281">
        <f t="shared" si="967"/>
        <v>-9022.4589421722976</v>
      </c>
      <c r="T281">
        <f t="shared" si="968"/>
        <v>-9.0224589421722978</v>
      </c>
    </row>
    <row r="282" spans="1:20" x14ac:dyDescent="0.25">
      <c r="A282" s="5">
        <v>44311</v>
      </c>
      <c r="B282">
        <v>0.25490000000000002</v>
      </c>
      <c r="C282">
        <v>0.39779999999999999</v>
      </c>
      <c r="D282">
        <v>0.24060000000000001</v>
      </c>
      <c r="E282">
        <v>0.30759999999999998</v>
      </c>
      <c r="F282">
        <v>210645462.44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-0.14758269720101799</v>
      </c>
      <c r="Q282">
        <f t="shared" si="965"/>
        <v>-31087625.500050928</v>
      </c>
      <c r="R282">
        <f t="shared" si="966"/>
        <v>-894126785.4293921</v>
      </c>
      <c r="S282">
        <f t="shared" si="967"/>
        <v>-8941.2678542939211</v>
      </c>
      <c r="T282">
        <f t="shared" si="968"/>
        <v>-8.9412678542939208</v>
      </c>
    </row>
    <row r="283" spans="1:20" x14ac:dyDescent="0.25">
      <c r="A283" s="5">
        <v>44310</v>
      </c>
      <c r="B283">
        <v>0.23669999999999999</v>
      </c>
      <c r="C283">
        <v>0.27879999999999999</v>
      </c>
      <c r="D283">
        <v>0.2087</v>
      </c>
      <c r="E283">
        <v>0.25509999999999999</v>
      </c>
      <c r="F283">
        <v>27767204.5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0.32382310984308132</v>
      </c>
      <c r="Q283">
        <f t="shared" si="965"/>
        <v>8991662.5128388014</v>
      </c>
      <c r="R283">
        <f t="shared" si="966"/>
        <v>-863039159.9293412</v>
      </c>
      <c r="S283">
        <f t="shared" si="967"/>
        <v>-8630.3915992934126</v>
      </c>
      <c r="T283">
        <f t="shared" si="968"/>
        <v>-8.6303915992934126</v>
      </c>
    </row>
    <row r="284" spans="1:20" x14ac:dyDescent="0.25">
      <c r="A284" s="5">
        <v>44309</v>
      </c>
      <c r="B284">
        <v>0.25969999999999999</v>
      </c>
      <c r="C284">
        <v>0.2626</v>
      </c>
      <c r="D284">
        <v>0.19819999999999999</v>
      </c>
      <c r="E284">
        <v>0.23669999999999999</v>
      </c>
      <c r="F284">
        <v>18318920.609999999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0.19565217391304343</v>
      </c>
      <c r="Q284">
        <f t="shared" si="965"/>
        <v>3584136.6410869556</v>
      </c>
      <c r="R284">
        <f t="shared" si="966"/>
        <v>-872030822.44218004</v>
      </c>
      <c r="S284">
        <f t="shared" si="967"/>
        <v>-8720.3082244218003</v>
      </c>
      <c r="T284">
        <f t="shared" si="968"/>
        <v>-8.7203082244217995</v>
      </c>
    </row>
    <row r="285" spans="1:20" x14ac:dyDescent="0.25">
      <c r="A285" s="5">
        <v>44308</v>
      </c>
      <c r="B285">
        <v>0.2782</v>
      </c>
      <c r="C285">
        <v>0.30480000000000002</v>
      </c>
      <c r="D285">
        <v>0.25</v>
      </c>
      <c r="E285">
        <v>0.2596</v>
      </c>
      <c r="F285">
        <v>20066892.609999999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-0.64963503649635057</v>
      </c>
      <c r="Q285">
        <f t="shared" si="965"/>
        <v>-13036156.513065698</v>
      </c>
      <c r="R285">
        <f t="shared" si="966"/>
        <v>-875614959.08326697</v>
      </c>
      <c r="S285">
        <f t="shared" si="967"/>
        <v>-8756.1495908326706</v>
      </c>
      <c r="T285">
        <f t="shared" si="968"/>
        <v>-8.7561495908326705</v>
      </c>
    </row>
    <row r="286" spans="1:20" x14ac:dyDescent="0.25">
      <c r="A286" s="5">
        <v>44307</v>
      </c>
      <c r="B286">
        <v>0.30309999999999998</v>
      </c>
      <c r="C286">
        <v>0.31590000000000001</v>
      </c>
      <c r="D286">
        <v>0.27610000000000001</v>
      </c>
      <c r="E286">
        <v>0.27839999999999998</v>
      </c>
      <c r="F286">
        <v>13176408.460000001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-0.88442211055276543</v>
      </c>
      <c r="Q286">
        <f t="shared" si="965"/>
        <v>-11653506.979698515</v>
      </c>
      <c r="R286">
        <f t="shared" si="966"/>
        <v>-862578802.57020128</v>
      </c>
      <c r="S286">
        <f t="shared" si="967"/>
        <v>-8625.7880257020133</v>
      </c>
      <c r="T286">
        <f t="shared" si="968"/>
        <v>-8.625788025702013</v>
      </c>
    </row>
    <row r="287" spans="1:20" x14ac:dyDescent="0.25">
      <c r="A287" s="5">
        <v>44306</v>
      </c>
      <c r="B287">
        <v>0.30009999999999998</v>
      </c>
      <c r="C287">
        <v>0.31640000000000001</v>
      </c>
      <c r="D287">
        <v>0.2656</v>
      </c>
      <c r="E287">
        <v>0.30259999999999998</v>
      </c>
      <c r="F287">
        <v>17594858.190000001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0.45669291338582552</v>
      </c>
      <c r="Q287">
        <f t="shared" si="965"/>
        <v>8035447.047401553</v>
      </c>
      <c r="R287">
        <f t="shared" si="966"/>
        <v>-850925295.59050274</v>
      </c>
      <c r="S287">
        <f t="shared" si="967"/>
        <v>-8509.2529559050272</v>
      </c>
      <c r="T287">
        <f t="shared" si="968"/>
        <v>-8.5092529559050281</v>
      </c>
    </row>
    <row r="288" spans="1:20" x14ac:dyDescent="0.25">
      <c r="A288" s="5">
        <v>44305</v>
      </c>
      <c r="B288">
        <v>0.34610000000000002</v>
      </c>
      <c r="C288">
        <v>0.36820000000000003</v>
      </c>
      <c r="D288">
        <v>0.28949999999999998</v>
      </c>
      <c r="E288">
        <v>0.3004</v>
      </c>
      <c r="F288">
        <v>20455525.43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-0.72299872935196918</v>
      </c>
      <c r="Q288">
        <f t="shared" si="965"/>
        <v>-14789318.894116893</v>
      </c>
      <c r="R288">
        <f t="shared" si="966"/>
        <v>-858960742.63790429</v>
      </c>
      <c r="S288">
        <f t="shared" si="967"/>
        <v>-8589.6074263790433</v>
      </c>
      <c r="T288">
        <f t="shared" si="968"/>
        <v>-8.5896074263790432</v>
      </c>
    </row>
    <row r="289" spans="1:20" x14ac:dyDescent="0.25">
      <c r="A289" s="5">
        <v>44304</v>
      </c>
      <c r="B289">
        <v>0.39589999999999997</v>
      </c>
      <c r="C289">
        <v>0.3982</v>
      </c>
      <c r="D289">
        <v>0.29880000000000001</v>
      </c>
      <c r="E289">
        <v>0.34639999999999999</v>
      </c>
      <c r="F289">
        <v>22857834.84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-4.2253521126760944E-2</v>
      </c>
      <c r="Q289">
        <f t="shared" si="965"/>
        <v>-965824.00732395239</v>
      </c>
      <c r="R289">
        <f t="shared" si="966"/>
        <v>-844171423.74378741</v>
      </c>
      <c r="S289">
        <f t="shared" si="967"/>
        <v>-8441.7142374378745</v>
      </c>
      <c r="T289">
        <f t="shared" si="968"/>
        <v>-8.4417142374378749</v>
      </c>
    </row>
    <row r="290" spans="1:20" x14ac:dyDescent="0.25">
      <c r="A290" s="5">
        <v>44303</v>
      </c>
      <c r="B290">
        <v>0.40710000000000002</v>
      </c>
      <c r="C290">
        <v>0.43</v>
      </c>
      <c r="D290">
        <v>0.3886</v>
      </c>
      <c r="E290">
        <v>0.39639999999999997</v>
      </c>
      <c r="F290">
        <v>22138775.039999999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-0.62318840579710266</v>
      </c>
      <c r="Q290">
        <f t="shared" si="965"/>
        <v>-13796627.923478287</v>
      </c>
      <c r="R290">
        <f t="shared" si="966"/>
        <v>-843205599.73646343</v>
      </c>
      <c r="S290">
        <f t="shared" si="967"/>
        <v>-8432.0559973646341</v>
      </c>
      <c r="T290">
        <f t="shared" si="968"/>
        <v>-8.4320559973646336</v>
      </c>
    </row>
    <row r="291" spans="1:20" x14ac:dyDescent="0.25">
      <c r="A291" s="5">
        <v>44302</v>
      </c>
      <c r="B291">
        <v>0.39610000000000001</v>
      </c>
      <c r="C291">
        <v>0.42730000000000001</v>
      </c>
      <c r="D291">
        <v>0.37209999999999999</v>
      </c>
      <c r="E291">
        <v>0.40739999999999998</v>
      </c>
      <c r="F291">
        <v>23567453.41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0.27898550724637611</v>
      </c>
      <c r="Q291">
        <f t="shared" si="965"/>
        <v>6574977.9440941866</v>
      </c>
      <c r="R291">
        <f t="shared" si="966"/>
        <v>-829408971.81298518</v>
      </c>
      <c r="S291">
        <f t="shared" si="967"/>
        <v>-8294.0897181298515</v>
      </c>
      <c r="T291">
        <f t="shared" si="968"/>
        <v>-8.2940897181298521</v>
      </c>
    </row>
    <row r="292" spans="1:20" x14ac:dyDescent="0.25">
      <c r="A292" s="5">
        <v>44301</v>
      </c>
      <c r="B292">
        <v>0.4158</v>
      </c>
      <c r="C292">
        <v>0.43419999999999997</v>
      </c>
      <c r="D292">
        <v>0.39510000000000001</v>
      </c>
      <c r="E292">
        <v>0.39610000000000001</v>
      </c>
      <c r="F292">
        <v>21390263.75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-0.94884910485933494</v>
      </c>
      <c r="Q292">
        <f t="shared" si="965"/>
        <v>-20296132.611892581</v>
      </c>
      <c r="R292">
        <f t="shared" si="966"/>
        <v>-835983949.75707936</v>
      </c>
      <c r="S292">
        <f t="shared" si="967"/>
        <v>-8359.8394975707943</v>
      </c>
      <c r="T292">
        <f t="shared" si="968"/>
        <v>-8.3598394975707944</v>
      </c>
    </row>
    <row r="293" spans="1:20" x14ac:dyDescent="0.25">
      <c r="A293" s="5">
        <v>44300</v>
      </c>
      <c r="B293">
        <v>0.38300000000000001</v>
      </c>
      <c r="C293">
        <v>0.43540000000000001</v>
      </c>
      <c r="D293">
        <v>0.36449999999999999</v>
      </c>
      <c r="E293">
        <v>0.4158</v>
      </c>
      <c r="F293">
        <v>35019568.93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0.44710860366713678</v>
      </c>
      <c r="Q293">
        <f t="shared" si="965"/>
        <v>15657550.565317348</v>
      </c>
      <c r="R293">
        <f t="shared" si="966"/>
        <v>-815687817.14518678</v>
      </c>
      <c r="S293">
        <f t="shared" si="967"/>
        <v>-8156.8781714518682</v>
      </c>
      <c r="T293">
        <f t="shared" si="968"/>
        <v>-8.1568781714518686</v>
      </c>
    </row>
    <row r="294" spans="1:20" x14ac:dyDescent="0.25">
      <c r="A294" s="5">
        <v>44299</v>
      </c>
      <c r="B294">
        <v>0.39169999999999999</v>
      </c>
      <c r="C294">
        <v>0.40610000000000002</v>
      </c>
      <c r="D294">
        <v>0.37419999999999998</v>
      </c>
      <c r="E294">
        <v>0.38300000000000001</v>
      </c>
      <c r="F294">
        <v>14787147.6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-0.4482758620689643</v>
      </c>
      <c r="Q294">
        <f t="shared" si="965"/>
        <v>-6628721.3379310165</v>
      </c>
      <c r="R294">
        <f t="shared" si="966"/>
        <v>-831345367.71050417</v>
      </c>
      <c r="S294">
        <f t="shared" si="967"/>
        <v>-8313.4536771050425</v>
      </c>
      <c r="T294">
        <f t="shared" si="968"/>
        <v>-8.3134536771050431</v>
      </c>
    </row>
    <row r="295" spans="1:20" x14ac:dyDescent="0.25">
      <c r="A295" s="5">
        <v>44298</v>
      </c>
      <c r="B295">
        <v>0.41160000000000002</v>
      </c>
      <c r="C295">
        <v>0.4299</v>
      </c>
      <c r="D295">
        <v>0.38600000000000001</v>
      </c>
      <c r="E295">
        <v>0.3911</v>
      </c>
      <c r="F295">
        <v>16101062.67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-0.76765375854214146</v>
      </c>
      <c r="Q295">
        <f t="shared" si="965"/>
        <v>-12360041.275148068</v>
      </c>
      <c r="R295">
        <f t="shared" si="966"/>
        <v>-824716646.37257314</v>
      </c>
      <c r="S295">
        <f t="shared" si="967"/>
        <v>-8247.1664637257309</v>
      </c>
      <c r="T295">
        <f t="shared" si="968"/>
        <v>-8.2471664637257316</v>
      </c>
    </row>
    <row r="296" spans="1:20" x14ac:dyDescent="0.25">
      <c r="A296" s="5">
        <v>44297</v>
      </c>
      <c r="B296">
        <v>0.43540000000000001</v>
      </c>
      <c r="C296">
        <v>0.43880000000000002</v>
      </c>
      <c r="D296">
        <v>0.3926</v>
      </c>
      <c r="E296">
        <v>0.41160000000000002</v>
      </c>
      <c r="F296">
        <v>22448223.84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-0.17748917748917709</v>
      </c>
      <c r="Q296">
        <f t="shared" si="965"/>
        <v>-3984316.7854545363</v>
      </c>
      <c r="R296">
        <f t="shared" si="966"/>
        <v>-812356605.0974251</v>
      </c>
      <c r="S296">
        <f t="shared" si="967"/>
        <v>-8123.5660509742511</v>
      </c>
      <c r="T296">
        <f t="shared" si="968"/>
        <v>-8.1235660509742509</v>
      </c>
    </row>
    <row r="297" spans="1:20" x14ac:dyDescent="0.25">
      <c r="A297" s="5">
        <v>44296</v>
      </c>
      <c r="B297">
        <v>0.40300000000000002</v>
      </c>
      <c r="C297">
        <v>0.4839</v>
      </c>
      <c r="D297">
        <v>0.40250000000000002</v>
      </c>
      <c r="E297">
        <v>0.43440000000000001</v>
      </c>
      <c r="F297">
        <v>38003845.530000001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-0.21621621621621634</v>
      </c>
      <c r="Q297">
        <f t="shared" si="965"/>
        <v>-8217047.6821621675</v>
      </c>
      <c r="R297">
        <f t="shared" si="966"/>
        <v>-808372288.31197059</v>
      </c>
      <c r="S297">
        <f t="shared" si="967"/>
        <v>-8083.7228831197062</v>
      </c>
      <c r="T297">
        <f t="shared" si="968"/>
        <v>-8.083722883119707</v>
      </c>
    </row>
    <row r="298" spans="1:20" x14ac:dyDescent="0.25">
      <c r="A298" s="5">
        <v>44295</v>
      </c>
      <c r="B298">
        <v>0.40050000000000002</v>
      </c>
      <c r="C298">
        <v>0.44009999999999999</v>
      </c>
      <c r="D298">
        <v>0.39090000000000003</v>
      </c>
      <c r="E298">
        <v>0.40279999999999999</v>
      </c>
      <c r="F298">
        <v>22593997.68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-0.5162601626016271</v>
      </c>
      <c r="Q298">
        <f t="shared" si="965"/>
        <v>-11664380.916097585</v>
      </c>
      <c r="R298">
        <f t="shared" si="966"/>
        <v>-800155240.62980843</v>
      </c>
      <c r="S298">
        <f t="shared" si="967"/>
        <v>-8001.552406298084</v>
      </c>
      <c r="T298">
        <f t="shared" si="968"/>
        <v>-8.0015524062980834</v>
      </c>
    </row>
    <row r="299" spans="1:20" x14ac:dyDescent="0.25">
      <c r="A299" s="5">
        <v>44294</v>
      </c>
      <c r="B299">
        <v>0.39500000000000002</v>
      </c>
      <c r="C299">
        <v>0.44</v>
      </c>
      <c r="D299">
        <v>0.38369999999999999</v>
      </c>
      <c r="E299">
        <v>0.40010000000000001</v>
      </c>
      <c r="F299">
        <v>22011710.539999999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-0.41740674955594953</v>
      </c>
      <c r="Q299">
        <f t="shared" si="965"/>
        <v>-9187836.5486678351</v>
      </c>
      <c r="R299">
        <f t="shared" si="966"/>
        <v>-788490859.71371078</v>
      </c>
      <c r="S299">
        <f t="shared" si="967"/>
        <v>-7884.9085971371078</v>
      </c>
      <c r="T299">
        <f t="shared" si="968"/>
        <v>-7.884908597137108</v>
      </c>
    </row>
    <row r="300" spans="1:20" x14ac:dyDescent="0.25">
      <c r="A300" s="5">
        <v>44293</v>
      </c>
      <c r="B300">
        <v>0.46970000000000001</v>
      </c>
      <c r="C300">
        <v>0.4788</v>
      </c>
      <c r="D300">
        <v>0.3574</v>
      </c>
      <c r="E300">
        <v>0.39629999999999999</v>
      </c>
      <c r="F300">
        <v>40449878.18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-0.35914332784184533</v>
      </c>
      <c r="Q300">
        <f t="shared" si="965"/>
        <v>-14527303.860362446</v>
      </c>
      <c r="R300">
        <f t="shared" si="966"/>
        <v>-779303023.165043</v>
      </c>
      <c r="S300">
        <f t="shared" si="967"/>
        <v>-7793.0302316504303</v>
      </c>
      <c r="T300">
        <f t="shared" si="968"/>
        <v>-7.7930302316504303</v>
      </c>
    </row>
    <row r="301" spans="1:20" x14ac:dyDescent="0.25">
      <c r="A301" s="5">
        <v>44292</v>
      </c>
      <c r="B301">
        <v>0.45029999999999998</v>
      </c>
      <c r="C301">
        <v>0.56999999999999995</v>
      </c>
      <c r="D301">
        <v>0.443</v>
      </c>
      <c r="E301">
        <v>0.46970000000000001</v>
      </c>
      <c r="F301">
        <v>64823690.079999998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-0.57952755905511788</v>
      </c>
      <c r="Q301">
        <f t="shared" si="965"/>
        <v>-37567114.881007858</v>
      </c>
      <c r="R301">
        <f t="shared" si="966"/>
        <v>-764775719.30468059</v>
      </c>
      <c r="S301">
        <f t="shared" si="967"/>
        <v>-7647.7571930468057</v>
      </c>
      <c r="T301">
        <f t="shared" si="968"/>
        <v>-7.6477571930468056</v>
      </c>
    </row>
    <row r="302" spans="1:20" x14ac:dyDescent="0.25">
      <c r="A302" s="5">
        <v>44291</v>
      </c>
      <c r="B302">
        <v>0.40110000000000001</v>
      </c>
      <c r="C302">
        <v>0.54</v>
      </c>
      <c r="D302">
        <v>0.37740000000000001</v>
      </c>
      <c r="E302">
        <v>0.45029999999999998</v>
      </c>
      <c r="F302">
        <v>83498749.379999995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-0.10332103321033266</v>
      </c>
      <c r="Q302">
        <f t="shared" si="965"/>
        <v>-8627177.0577122234</v>
      </c>
      <c r="R302">
        <f t="shared" si="966"/>
        <v>-727208604.42367268</v>
      </c>
      <c r="S302">
        <f t="shared" si="967"/>
        <v>-7272.0860442367266</v>
      </c>
      <c r="T302">
        <f t="shared" si="968"/>
        <v>-7.272086044236727</v>
      </c>
    </row>
    <row r="303" spans="1:20" x14ac:dyDescent="0.25">
      <c r="A303" s="5">
        <v>44290</v>
      </c>
      <c r="B303">
        <v>0.35149999999999998</v>
      </c>
      <c r="C303">
        <v>0.49</v>
      </c>
      <c r="D303">
        <v>0.33939999999999998</v>
      </c>
      <c r="E303">
        <v>0.40079999999999999</v>
      </c>
      <c r="F303">
        <v>160352510.12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-0.18459495351925623</v>
      </c>
      <c r="Q303">
        <f t="shared" si="965"/>
        <v>-29600264.152297463</v>
      </c>
      <c r="R303">
        <f t="shared" si="966"/>
        <v>-718581427.36596048</v>
      </c>
      <c r="S303">
        <f t="shared" si="967"/>
        <v>-7185.8142736596046</v>
      </c>
      <c r="T303">
        <f t="shared" si="968"/>
        <v>-7.1858142736596049</v>
      </c>
    </row>
    <row r="304" spans="1:20" x14ac:dyDescent="0.25">
      <c r="A304" s="5">
        <v>44289</v>
      </c>
      <c r="B304">
        <v>0.31630000000000003</v>
      </c>
      <c r="C304">
        <v>0.37690000000000001</v>
      </c>
      <c r="D304">
        <v>0.30830000000000002</v>
      </c>
      <c r="E304">
        <v>0.3513</v>
      </c>
      <c r="F304">
        <v>40570140.219999999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0.25364431486880429</v>
      </c>
      <c r="Q304">
        <f t="shared" si="965"/>
        <v>10290385.42023322</v>
      </c>
      <c r="R304">
        <f t="shared" si="966"/>
        <v>-688981163.21366298</v>
      </c>
      <c r="S304">
        <f t="shared" si="967"/>
        <v>-6889.8116321366297</v>
      </c>
      <c r="T304">
        <f t="shared" si="968"/>
        <v>-6.8898116321366301</v>
      </c>
    </row>
    <row r="305" spans="1:20" x14ac:dyDescent="0.25">
      <c r="A305" s="5">
        <v>44288</v>
      </c>
      <c r="B305">
        <v>0.31009999999999999</v>
      </c>
      <c r="C305">
        <v>0.32800000000000001</v>
      </c>
      <c r="D305">
        <v>0.30499999999999999</v>
      </c>
      <c r="E305">
        <v>0.31669999999999998</v>
      </c>
      <c r="F305">
        <v>11924265.07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1.7391304347824155E-2</v>
      </c>
      <c r="Q305">
        <f t="shared" si="965"/>
        <v>207378.52295649869</v>
      </c>
      <c r="R305">
        <f t="shared" si="966"/>
        <v>-699271548.63389623</v>
      </c>
      <c r="S305">
        <f t="shared" si="967"/>
        <v>-6992.7154863389624</v>
      </c>
      <c r="T305">
        <f t="shared" si="968"/>
        <v>-6.9927154863389624</v>
      </c>
    </row>
    <row r="306" spans="1:20" x14ac:dyDescent="0.25">
      <c r="A306" s="5">
        <v>44287</v>
      </c>
      <c r="B306">
        <v>0.32190000000000002</v>
      </c>
      <c r="C306">
        <v>0.33539999999999998</v>
      </c>
      <c r="D306">
        <v>0.30880000000000002</v>
      </c>
      <c r="E306">
        <v>0.31009999999999999</v>
      </c>
      <c r="F306">
        <v>11534453.859999999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-0.90225563909774664</v>
      </c>
      <c r="Q306">
        <f t="shared" si="965"/>
        <v>-10407026.039097771</v>
      </c>
      <c r="R306">
        <f t="shared" si="966"/>
        <v>-699478927.15685272</v>
      </c>
      <c r="S306">
        <f t="shared" si="967"/>
        <v>-6994.7892715685275</v>
      </c>
      <c r="T306">
        <f t="shared" si="968"/>
        <v>-6.9947892715685276</v>
      </c>
    </row>
    <row r="307" spans="1:20" x14ac:dyDescent="0.25">
      <c r="A307" s="5">
        <v>44286</v>
      </c>
      <c r="B307">
        <v>0.34350000000000003</v>
      </c>
      <c r="C307">
        <v>0.34739999999999999</v>
      </c>
      <c r="D307">
        <v>0.3</v>
      </c>
      <c r="E307">
        <v>0.32179999999999997</v>
      </c>
      <c r="F307">
        <v>15356343.300000001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-8.0168776371308564E-2</v>
      </c>
      <c r="Q307">
        <f t="shared" si="965"/>
        <v>-1231099.2518987427</v>
      </c>
      <c r="R307">
        <f t="shared" si="966"/>
        <v>-689071901.11775494</v>
      </c>
      <c r="S307">
        <f t="shared" si="967"/>
        <v>-6890.719011177549</v>
      </c>
      <c r="T307">
        <f t="shared" si="968"/>
        <v>-6.8907190111775494</v>
      </c>
    </row>
    <row r="308" spans="1:20" x14ac:dyDescent="0.25">
      <c r="A308" s="5">
        <v>44285</v>
      </c>
      <c r="B308">
        <v>0.33250000000000002</v>
      </c>
      <c r="C308">
        <v>0.375</v>
      </c>
      <c r="D308">
        <v>0.3291</v>
      </c>
      <c r="E308">
        <v>0.34320000000000001</v>
      </c>
      <c r="F308">
        <v>20348267.210000001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-0.38562091503267965</v>
      </c>
      <c r="Q308">
        <f t="shared" si="965"/>
        <v>-7846717.4208496716</v>
      </c>
      <c r="R308">
        <f t="shared" si="966"/>
        <v>-687840801.86585617</v>
      </c>
      <c r="S308">
        <f t="shared" si="967"/>
        <v>-6878.4080186585616</v>
      </c>
      <c r="T308">
        <f t="shared" si="968"/>
        <v>-6.8784080186585612</v>
      </c>
    </row>
    <row r="309" spans="1:20" x14ac:dyDescent="0.25">
      <c r="A309" s="5">
        <v>44284</v>
      </c>
      <c r="B309">
        <v>0.34079999999999999</v>
      </c>
      <c r="C309">
        <v>0.34970000000000001</v>
      </c>
      <c r="D309">
        <v>0.31719999999999998</v>
      </c>
      <c r="E309">
        <v>0.33150000000000002</v>
      </c>
      <c r="F309">
        <v>16652079.33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-0.11999999999999864</v>
      </c>
      <c r="Q309">
        <f t="shared" si="965"/>
        <v>-1998249.5195999772</v>
      </c>
      <c r="R309">
        <f t="shared" si="966"/>
        <v>-679994084.44500649</v>
      </c>
      <c r="S309">
        <f t="shared" si="967"/>
        <v>-6799.940844450065</v>
      </c>
      <c r="T309">
        <f t="shared" si="968"/>
        <v>-6.7999408444500649</v>
      </c>
    </row>
    <row r="310" spans="1:20" x14ac:dyDescent="0.25">
      <c r="A310" s="5">
        <v>44283</v>
      </c>
      <c r="B310">
        <v>0.33689999999999998</v>
      </c>
      <c r="C310">
        <v>0.37980000000000003</v>
      </c>
      <c r="D310">
        <v>0.315</v>
      </c>
      <c r="E310">
        <v>0.34010000000000001</v>
      </c>
      <c r="F310">
        <v>31413934.199999999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-0.22530864197530859</v>
      </c>
      <c r="Q310">
        <f t="shared" si="965"/>
        <v>-7077830.8537037019</v>
      </c>
      <c r="R310">
        <f t="shared" si="966"/>
        <v>-677995834.92540646</v>
      </c>
      <c r="S310">
        <f t="shared" si="967"/>
        <v>-6779.9583492540642</v>
      </c>
      <c r="T310">
        <f t="shared" si="968"/>
        <v>-6.7799583492540645</v>
      </c>
    </row>
    <row r="311" spans="1:20" x14ac:dyDescent="0.25">
      <c r="A311" s="5">
        <v>44282</v>
      </c>
      <c r="B311">
        <v>0.30409999999999998</v>
      </c>
      <c r="C311">
        <v>0.35</v>
      </c>
      <c r="D311">
        <v>0.28960000000000002</v>
      </c>
      <c r="E311">
        <v>0.33689999999999998</v>
      </c>
      <c r="F311">
        <v>23090324.449999999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0.56622516556291358</v>
      </c>
      <c r="Q311">
        <f t="shared" si="965"/>
        <v>13074322.78460264</v>
      </c>
      <c r="R311">
        <f t="shared" si="966"/>
        <v>-670918004.07170272</v>
      </c>
      <c r="S311">
        <f t="shared" si="967"/>
        <v>-6709.1800407170276</v>
      </c>
      <c r="T311">
        <f t="shared" si="968"/>
        <v>-6.7091800407170279</v>
      </c>
    </row>
    <row r="312" spans="1:20" x14ac:dyDescent="0.25">
      <c r="A312" s="5">
        <v>44281</v>
      </c>
      <c r="B312">
        <v>0.2722</v>
      </c>
      <c r="C312">
        <v>0.31369999999999998</v>
      </c>
      <c r="D312">
        <v>0.27210000000000001</v>
      </c>
      <c r="E312">
        <v>0.30409999999999998</v>
      </c>
      <c r="F312">
        <v>13565636.49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0.53846153846153821</v>
      </c>
      <c r="Q312">
        <f t="shared" si="965"/>
        <v>7304573.4946153816</v>
      </c>
      <c r="R312">
        <f t="shared" si="966"/>
        <v>-683992326.85630536</v>
      </c>
      <c r="S312">
        <f t="shared" si="967"/>
        <v>-6839.9232685630532</v>
      </c>
      <c r="T312">
        <f t="shared" si="968"/>
        <v>-6.8399232685630533</v>
      </c>
    </row>
    <row r="313" spans="1:20" x14ac:dyDescent="0.25">
      <c r="A313" s="5">
        <v>44280</v>
      </c>
      <c r="B313">
        <v>0.2868</v>
      </c>
      <c r="C313">
        <v>0.29759999999999998</v>
      </c>
      <c r="D313">
        <v>0.2631</v>
      </c>
      <c r="E313">
        <v>0.27250000000000002</v>
      </c>
      <c r="F313">
        <v>12934737.279999999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-0.45507246376811444</v>
      </c>
      <c r="Q313">
        <f t="shared" si="965"/>
        <v>-5886242.7622028785</v>
      </c>
      <c r="R313">
        <f t="shared" si="966"/>
        <v>-691296900.3509208</v>
      </c>
      <c r="S313">
        <f t="shared" si="967"/>
        <v>-6912.9690035092081</v>
      </c>
      <c r="T313">
        <f t="shared" si="968"/>
        <v>-6.9129690035092084</v>
      </c>
    </row>
    <row r="314" spans="1:20" x14ac:dyDescent="0.25">
      <c r="A314" s="5">
        <v>44279</v>
      </c>
      <c r="B314">
        <v>0.27610000000000001</v>
      </c>
      <c r="C314">
        <v>0.33250000000000002</v>
      </c>
      <c r="D314">
        <v>0.27060000000000001</v>
      </c>
      <c r="E314">
        <v>0.28670000000000001</v>
      </c>
      <c r="F314">
        <v>27395943.550000001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-0.47980613893376411</v>
      </c>
      <c r="Q314">
        <f t="shared" si="965"/>
        <v>-13144741.897172859</v>
      </c>
      <c r="R314">
        <f t="shared" si="966"/>
        <v>-685410657.58871794</v>
      </c>
      <c r="S314">
        <f t="shared" si="967"/>
        <v>-6854.1065758871791</v>
      </c>
      <c r="T314">
        <f t="shared" si="968"/>
        <v>-6.8541065758871795</v>
      </c>
    </row>
    <row r="315" spans="1:20" x14ac:dyDescent="0.25">
      <c r="A315" s="5">
        <v>44278</v>
      </c>
      <c r="B315">
        <v>0.28220000000000001</v>
      </c>
      <c r="C315">
        <v>0.29459999999999997</v>
      </c>
      <c r="D315">
        <v>0.2626</v>
      </c>
      <c r="E315">
        <v>0.27689999999999998</v>
      </c>
      <c r="F315">
        <v>10870863.970000001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-0.10625000000000052</v>
      </c>
      <c r="Q315">
        <f t="shared" si="965"/>
        <v>-1155029.2968125057</v>
      </c>
      <c r="R315">
        <f t="shared" si="966"/>
        <v>-672265915.69154513</v>
      </c>
      <c r="S315">
        <f t="shared" si="967"/>
        <v>-6722.6591569154516</v>
      </c>
      <c r="T315">
        <f t="shared" si="968"/>
        <v>-6.7226591569154515</v>
      </c>
    </row>
    <row r="316" spans="1:20" x14ac:dyDescent="0.25">
      <c r="A316" s="5">
        <v>44277</v>
      </c>
      <c r="B316">
        <v>0.29649999999999999</v>
      </c>
      <c r="C316">
        <v>0.31769999999999998</v>
      </c>
      <c r="D316">
        <v>0.2752</v>
      </c>
      <c r="E316">
        <v>0.28270000000000001</v>
      </c>
      <c r="F316">
        <v>18043062.84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-0.64705882352941135</v>
      </c>
      <c r="Q316">
        <f t="shared" si="965"/>
        <v>-11674923.01411764</v>
      </c>
      <c r="R316">
        <f t="shared" si="966"/>
        <v>-671110886.39473259</v>
      </c>
      <c r="S316">
        <f t="shared" si="967"/>
        <v>-6711.1088639473255</v>
      </c>
      <c r="T316">
        <f t="shared" si="968"/>
        <v>-6.7111088639473255</v>
      </c>
    </row>
    <row r="317" spans="1:20" x14ac:dyDescent="0.25">
      <c r="A317" s="5">
        <v>44276</v>
      </c>
      <c r="B317">
        <v>0.3165</v>
      </c>
      <c r="C317">
        <v>0.31719999999999998</v>
      </c>
      <c r="D317">
        <v>0.27489999999999998</v>
      </c>
      <c r="E317">
        <v>0.29649999999999999</v>
      </c>
      <c r="F317">
        <v>14451093.199999999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2.1276595744681132E-2</v>
      </c>
      <c r="Q317">
        <f t="shared" si="965"/>
        <v>307470.0680851104</v>
      </c>
      <c r="R317">
        <f t="shared" si="966"/>
        <v>-659435963.380615</v>
      </c>
      <c r="S317">
        <f t="shared" si="967"/>
        <v>-6594.3596338061498</v>
      </c>
      <c r="T317">
        <f t="shared" si="968"/>
        <v>-6.5943596338061496</v>
      </c>
    </row>
    <row r="318" spans="1:20" x14ac:dyDescent="0.25">
      <c r="A318" s="5">
        <v>44275</v>
      </c>
      <c r="B318">
        <v>0.2979</v>
      </c>
      <c r="C318">
        <v>0.31940000000000002</v>
      </c>
      <c r="D318">
        <v>0.29699999999999999</v>
      </c>
      <c r="E318">
        <v>0.31630000000000003</v>
      </c>
      <c r="F318">
        <v>14520826.380000001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0.72321428571428681</v>
      </c>
      <c r="Q318">
        <f t="shared" si="965"/>
        <v>10501669.078392874</v>
      </c>
      <c r="R318">
        <f t="shared" si="966"/>
        <v>-659743433.44870007</v>
      </c>
      <c r="S318">
        <f t="shared" si="967"/>
        <v>-6597.4343344870003</v>
      </c>
      <c r="T318">
        <f t="shared" si="968"/>
        <v>-6.5974343344870006</v>
      </c>
    </row>
    <row r="319" spans="1:20" x14ac:dyDescent="0.25">
      <c r="A319" s="5">
        <v>44274</v>
      </c>
      <c r="B319">
        <v>0.30409999999999998</v>
      </c>
      <c r="C319">
        <v>0.33200000000000002</v>
      </c>
      <c r="D319">
        <v>0.2944</v>
      </c>
      <c r="E319">
        <v>0.2979</v>
      </c>
      <c r="F319">
        <v>23318272.350000001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-0.81382978723404253</v>
      </c>
      <c r="Q319">
        <f t="shared" si="965"/>
        <v>-18977104.62526596</v>
      </c>
      <c r="R319">
        <f t="shared" si="966"/>
        <v>-670245102.52709293</v>
      </c>
      <c r="S319">
        <f t="shared" si="967"/>
        <v>-6702.4510252709297</v>
      </c>
      <c r="T319">
        <f t="shared" si="968"/>
        <v>-6.7024510252709293</v>
      </c>
    </row>
    <row r="320" spans="1:20" x14ac:dyDescent="0.25">
      <c r="A320" s="5">
        <v>44273</v>
      </c>
      <c r="B320">
        <v>0.31280000000000002</v>
      </c>
      <c r="C320">
        <v>0.38590000000000002</v>
      </c>
      <c r="D320">
        <v>0.29920000000000002</v>
      </c>
      <c r="E320">
        <v>0.30409999999999998</v>
      </c>
      <c r="F320">
        <v>79730334.980000004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-0.88696655132641389</v>
      </c>
      <c r="Q320">
        <f t="shared" si="965"/>
        <v>-70718140.253310353</v>
      </c>
      <c r="R320">
        <f t="shared" si="966"/>
        <v>-651267997.90182698</v>
      </c>
      <c r="S320">
        <f t="shared" si="967"/>
        <v>-6512.6799790182695</v>
      </c>
      <c r="T320">
        <f t="shared" si="968"/>
        <v>-6.5126799790182694</v>
      </c>
    </row>
    <row r="321" spans="1:20" x14ac:dyDescent="0.25">
      <c r="A321" s="5">
        <v>44272</v>
      </c>
      <c r="B321">
        <v>0.28199999999999997</v>
      </c>
      <c r="C321">
        <v>0.33829999999999999</v>
      </c>
      <c r="D321">
        <v>0.2616</v>
      </c>
      <c r="E321">
        <v>0.31259999999999999</v>
      </c>
      <c r="F321">
        <v>63156956.140000001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0.32985658409387214</v>
      </c>
      <c r="Q321">
        <f t="shared" si="965"/>
        <v>20832737.814106904</v>
      </c>
      <c r="R321">
        <f t="shared" si="966"/>
        <v>-580549857.64851665</v>
      </c>
      <c r="S321">
        <f t="shared" si="967"/>
        <v>-5805.4985764851663</v>
      </c>
      <c r="T321">
        <f t="shared" si="968"/>
        <v>-5.8054985764851663</v>
      </c>
    </row>
    <row r="322" spans="1:20" x14ac:dyDescent="0.25">
      <c r="A322" s="5">
        <v>44271</v>
      </c>
      <c r="B322">
        <v>0.28120000000000001</v>
      </c>
      <c r="C322">
        <v>0.28320000000000001</v>
      </c>
      <c r="D322">
        <v>0.25540000000000002</v>
      </c>
      <c r="E322">
        <v>0.28210000000000002</v>
      </c>
      <c r="F322">
        <v>19045835.84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0.9208633093525187</v>
      </c>
      <c r="Q322">
        <f t="shared" si="965"/>
        <v>17538611.421007209</v>
      </c>
      <c r="R322">
        <f t="shared" si="966"/>
        <v>-601382595.4626236</v>
      </c>
      <c r="S322">
        <f t="shared" si="967"/>
        <v>-6013.8259546262361</v>
      </c>
      <c r="T322">
        <f t="shared" si="968"/>
        <v>-6.0138259546262365</v>
      </c>
    </row>
    <row r="323" spans="1:20" x14ac:dyDescent="0.25">
      <c r="A323" s="5">
        <v>44270</v>
      </c>
      <c r="B323">
        <v>0.30180000000000001</v>
      </c>
      <c r="C323">
        <v>0.3054</v>
      </c>
      <c r="D323">
        <v>0.25480000000000003</v>
      </c>
      <c r="E323">
        <v>0.28110000000000002</v>
      </c>
      <c r="F323">
        <v>43431252.729999997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3.9525691699604792E-2</v>
      </c>
      <c r="Q323">
        <f t="shared" si="965"/>
        <v>1716650.3055335989</v>
      </c>
      <c r="R323">
        <f t="shared" si="966"/>
        <v>-618921206.88363075</v>
      </c>
      <c r="S323">
        <f t="shared" si="967"/>
        <v>-6189.2120688363075</v>
      </c>
      <c r="T323">
        <f t="shared" si="968"/>
        <v>-6.1892120688363077</v>
      </c>
    </row>
    <row r="324" spans="1:20" x14ac:dyDescent="0.25">
      <c r="A324" s="5">
        <v>44269</v>
      </c>
      <c r="B324">
        <v>0.34060000000000001</v>
      </c>
      <c r="C324">
        <v>0.38200000000000001</v>
      </c>
      <c r="D324">
        <v>0.29470000000000002</v>
      </c>
      <c r="E324">
        <v>0.30170000000000002</v>
      </c>
      <c r="F324">
        <v>131084222.61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-0.83963344788087035</v>
      </c>
      <c r="Q324">
        <f t="shared" si="965"/>
        <v>-110062697.79281785</v>
      </c>
      <c r="R324">
        <f t="shared" si="966"/>
        <v>-620637857.1891644</v>
      </c>
      <c r="S324">
        <f t="shared" si="967"/>
        <v>-6206.3785718916442</v>
      </c>
      <c r="T324">
        <f t="shared" si="968"/>
        <v>-6.2063785718916442</v>
      </c>
    </row>
    <row r="325" spans="1:20" x14ac:dyDescent="0.25">
      <c r="A325" s="5">
        <v>44268</v>
      </c>
      <c r="B325">
        <v>0.2084</v>
      </c>
      <c r="C325">
        <v>0.443</v>
      </c>
      <c r="D325">
        <v>0.19489999999999999</v>
      </c>
      <c r="E325">
        <v>0.34079999999999999</v>
      </c>
      <c r="F325">
        <v>204793781.77000001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0.17613865376864163</v>
      </c>
      <c r="Q325">
        <f t="shared" si="965"/>
        <v>36072101.02115678</v>
      </c>
      <c r="R325">
        <f t="shared" si="966"/>
        <v>-510575159.39634657</v>
      </c>
      <c r="S325">
        <f t="shared" si="967"/>
        <v>-5105.7515939634659</v>
      </c>
      <c r="T325">
        <f t="shared" si="968"/>
        <v>-5.1057515939634657</v>
      </c>
    </row>
    <row r="326" spans="1:20" x14ac:dyDescent="0.25">
      <c r="A326" s="5">
        <v>44267</v>
      </c>
      <c r="B326">
        <v>0.2117</v>
      </c>
      <c r="C326">
        <v>0.22700000000000001</v>
      </c>
      <c r="D326">
        <v>0.1966</v>
      </c>
      <c r="E326">
        <v>0.2077</v>
      </c>
      <c r="F326">
        <v>18669038.34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-0.2697368421052635</v>
      </c>
      <c r="Q326">
        <f t="shared" ref="Q326:Q389" si="970">F326*P326</f>
        <v>-5035727.4469736908</v>
      </c>
      <c r="R326">
        <f t="shared" ref="R326:R389" si="971">R327+Q326</f>
        <v>-546647260.41750336</v>
      </c>
      <c r="S326">
        <f t="shared" ref="S326:S389" si="972">R326/100000</f>
        <v>-5466.4726041750337</v>
      </c>
      <c r="T326">
        <f t="shared" ref="T326:T389" si="973">S326/1000</f>
        <v>-5.466472604175034</v>
      </c>
    </row>
    <row r="327" spans="1:20" x14ac:dyDescent="0.25">
      <c r="A327" s="5">
        <v>44266</v>
      </c>
      <c r="B327">
        <v>0.21010000000000001</v>
      </c>
      <c r="C327">
        <v>0.221</v>
      </c>
      <c r="D327">
        <v>0.2</v>
      </c>
      <c r="E327">
        <v>0.2117</v>
      </c>
      <c r="F327">
        <v>16629640.66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0.11428571428571364</v>
      </c>
      <c r="Q327">
        <f t="shared" si="970"/>
        <v>1900530.3611428465</v>
      </c>
      <c r="R327">
        <f t="shared" si="971"/>
        <v>-541611532.97052968</v>
      </c>
      <c r="S327">
        <f t="shared" si="972"/>
        <v>-5416.115329705297</v>
      </c>
      <c r="T327">
        <f t="shared" si="973"/>
        <v>-5.4161153297052973</v>
      </c>
    </row>
    <row r="328" spans="1:20" x14ac:dyDescent="0.25">
      <c r="A328" s="5">
        <v>44265</v>
      </c>
      <c r="B328">
        <v>0.2258</v>
      </c>
      <c r="C328">
        <v>0.2374</v>
      </c>
      <c r="D328">
        <v>0.20549999999999999</v>
      </c>
      <c r="E328">
        <v>0.2107</v>
      </c>
      <c r="F328">
        <v>22733006.899999999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-0.67398119122257005</v>
      </c>
      <c r="Q328">
        <f t="shared" si="970"/>
        <v>-15321619.070532903</v>
      </c>
      <c r="R328">
        <f t="shared" si="971"/>
        <v>-543512063.33167255</v>
      </c>
      <c r="S328">
        <f t="shared" si="972"/>
        <v>-5435.1206333167256</v>
      </c>
      <c r="T328">
        <f t="shared" si="973"/>
        <v>-5.4351206333167257</v>
      </c>
    </row>
    <row r="329" spans="1:20" x14ac:dyDescent="0.25">
      <c r="A329" s="5">
        <v>44264</v>
      </c>
      <c r="B329">
        <v>0.20219999999999999</v>
      </c>
      <c r="C329">
        <v>0.2379</v>
      </c>
      <c r="D329">
        <v>0.1991</v>
      </c>
      <c r="E329">
        <v>0.2258</v>
      </c>
      <c r="F329">
        <v>34521412.960000001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0.37628865979381448</v>
      </c>
      <c r="Q329">
        <f t="shared" si="970"/>
        <v>12990016.216907218</v>
      </c>
      <c r="R329">
        <f t="shared" si="971"/>
        <v>-528190444.26113969</v>
      </c>
      <c r="S329">
        <f t="shared" si="972"/>
        <v>-5281.9044426113969</v>
      </c>
      <c r="T329">
        <f t="shared" si="973"/>
        <v>-5.2819044426113972</v>
      </c>
    </row>
    <row r="330" spans="1:20" x14ac:dyDescent="0.25">
      <c r="A330" s="5">
        <v>44263</v>
      </c>
      <c r="B330">
        <v>0.19189999999999999</v>
      </c>
      <c r="C330">
        <v>0.2051</v>
      </c>
      <c r="D330">
        <v>0.1895</v>
      </c>
      <c r="E330">
        <v>0.20219999999999999</v>
      </c>
      <c r="F330">
        <v>21238633.210000001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0.62820512820512653</v>
      </c>
      <c r="Q330">
        <f t="shared" si="970"/>
        <v>13342218.298589708</v>
      </c>
      <c r="R330">
        <f t="shared" si="971"/>
        <v>-541180460.47804689</v>
      </c>
      <c r="S330">
        <f t="shared" si="972"/>
        <v>-5411.8046047804692</v>
      </c>
      <c r="T330">
        <f t="shared" si="973"/>
        <v>-5.4118046047804693</v>
      </c>
    </row>
    <row r="331" spans="1:20" x14ac:dyDescent="0.25">
      <c r="A331" s="5">
        <v>44262</v>
      </c>
      <c r="B331">
        <v>0.1885</v>
      </c>
      <c r="C331">
        <v>0.19500000000000001</v>
      </c>
      <c r="D331">
        <v>0.18529999999999999</v>
      </c>
      <c r="E331">
        <v>0.19189999999999999</v>
      </c>
      <c r="F331">
        <v>9400898.0600000005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0.36082474226803818</v>
      </c>
      <c r="Q331">
        <f t="shared" si="970"/>
        <v>3392076.6195876002</v>
      </c>
      <c r="R331">
        <f t="shared" si="971"/>
        <v>-554522678.7766366</v>
      </c>
      <c r="S331">
        <f t="shared" si="972"/>
        <v>-5545.2267877663662</v>
      </c>
      <c r="T331">
        <f t="shared" si="973"/>
        <v>-5.5452267877663663</v>
      </c>
    </row>
    <row r="332" spans="1:20" x14ac:dyDescent="0.25">
      <c r="A332" s="5">
        <v>44261</v>
      </c>
      <c r="B332">
        <v>0.1948</v>
      </c>
      <c r="C332">
        <v>0.1988</v>
      </c>
      <c r="D332">
        <v>0.18099999999999999</v>
      </c>
      <c r="E332">
        <v>0.18870000000000001</v>
      </c>
      <c r="F332">
        <v>11908324.27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-0.13483146067415641</v>
      </c>
      <c r="Q332">
        <f t="shared" si="970"/>
        <v>-1605616.7555056072</v>
      </c>
      <c r="R332">
        <f t="shared" si="971"/>
        <v>-557914755.39622426</v>
      </c>
      <c r="S332">
        <f t="shared" si="972"/>
        <v>-5579.1475539622425</v>
      </c>
      <c r="T332">
        <f t="shared" si="973"/>
        <v>-5.5791475539622422</v>
      </c>
    </row>
    <row r="333" spans="1:20" x14ac:dyDescent="0.25">
      <c r="A333" s="5">
        <v>44260</v>
      </c>
      <c r="B333">
        <v>0.2082</v>
      </c>
      <c r="C333">
        <v>0.2087</v>
      </c>
      <c r="D333">
        <v>0.18479999999999999</v>
      </c>
      <c r="E333">
        <v>0.1948</v>
      </c>
      <c r="F333">
        <v>19746321.140000001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-0.16317991631799106</v>
      </c>
      <c r="Q333">
        <f t="shared" si="970"/>
        <v>-3222203.0312133781</v>
      </c>
      <c r="R333">
        <f t="shared" si="971"/>
        <v>-556309138.6407187</v>
      </c>
      <c r="S333">
        <f t="shared" si="972"/>
        <v>-5563.0913864071872</v>
      </c>
      <c r="T333">
        <f t="shared" si="973"/>
        <v>-5.5630913864071871</v>
      </c>
    </row>
    <row r="334" spans="1:20" x14ac:dyDescent="0.25">
      <c r="A334" s="5">
        <v>44259</v>
      </c>
      <c r="B334">
        <v>0.2014</v>
      </c>
      <c r="C334">
        <v>0.24199999999999999</v>
      </c>
      <c r="D334">
        <v>0.19</v>
      </c>
      <c r="E334">
        <v>0.20860000000000001</v>
      </c>
      <c r="F334">
        <v>44412251.25</v>
      </c>
      <c r="G334">
        <v>0</v>
      </c>
      <c r="L334" t="s">
        <v>8</v>
      </c>
      <c r="M334" t="s">
        <v>7</v>
      </c>
      <c r="N334" t="s">
        <v>7</v>
      </c>
      <c r="P334">
        <f t="shared" si="969"/>
        <v>-0.28461538461538427</v>
      </c>
      <c r="Q334">
        <f t="shared" si="970"/>
        <v>-12640409.971153831</v>
      </c>
      <c r="R334">
        <f t="shared" si="971"/>
        <v>-553086935.6095053</v>
      </c>
      <c r="S334">
        <f t="shared" si="972"/>
        <v>-5530.8693560950533</v>
      </c>
      <c r="T334">
        <f t="shared" si="973"/>
        <v>-5.530869356095053</v>
      </c>
    </row>
    <row r="335" spans="1:20" x14ac:dyDescent="0.25">
      <c r="A335" s="5">
        <v>44258</v>
      </c>
      <c r="B335">
        <v>0.20760000000000001</v>
      </c>
      <c r="C335">
        <v>0.21729999999999999</v>
      </c>
      <c r="D335">
        <v>0.2</v>
      </c>
      <c r="E335">
        <v>0.20119999999999999</v>
      </c>
      <c r="F335">
        <v>24223373.530000001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-0.86127167630058032</v>
      </c>
      <c r="Q335">
        <f t="shared" si="970"/>
        <v>-20862905.525838207</v>
      </c>
      <c r="R335">
        <f t="shared" si="971"/>
        <v>-540446525.63835144</v>
      </c>
      <c r="S335">
        <f t="shared" si="972"/>
        <v>-5404.4652563835143</v>
      </c>
      <c r="T335">
        <f t="shared" si="973"/>
        <v>-5.4044652563835145</v>
      </c>
    </row>
    <row r="336" spans="1:20" x14ac:dyDescent="0.25">
      <c r="A336" s="5">
        <v>44257</v>
      </c>
      <c r="B336">
        <v>0.22800000000000001</v>
      </c>
      <c r="C336">
        <v>0.23</v>
      </c>
      <c r="D336">
        <v>0.1996</v>
      </c>
      <c r="E336">
        <v>0.20749999999999999</v>
      </c>
      <c r="F336">
        <v>23070907.91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-0.48026315789473767</v>
      </c>
      <c r="Q336">
        <f t="shared" si="970"/>
        <v>-11080107.088355282</v>
      </c>
      <c r="R336">
        <f t="shared" si="971"/>
        <v>-519583620.11251324</v>
      </c>
      <c r="S336">
        <f t="shared" si="972"/>
        <v>-5195.836201125132</v>
      </c>
      <c r="T336">
        <f t="shared" si="973"/>
        <v>-5.1958362011251316</v>
      </c>
    </row>
    <row r="337" spans="1:20" x14ac:dyDescent="0.25">
      <c r="A337" s="5">
        <v>44256</v>
      </c>
      <c r="B337">
        <v>0.2331</v>
      </c>
      <c r="C337">
        <v>0.25459999999999999</v>
      </c>
      <c r="D337">
        <v>0.20899999999999999</v>
      </c>
      <c r="E337">
        <v>0.22800000000000001</v>
      </c>
      <c r="F337">
        <v>72494360.840000004</v>
      </c>
      <c r="G337">
        <v>0</v>
      </c>
      <c r="L337" t="s">
        <v>7</v>
      </c>
      <c r="M337" t="s">
        <v>7</v>
      </c>
      <c r="N337" t="s">
        <v>7</v>
      </c>
      <c r="P337">
        <f t="shared" si="969"/>
        <v>-0.16666666666666596</v>
      </c>
      <c r="Q337">
        <f t="shared" si="970"/>
        <v>-12082393.473333282</v>
      </c>
      <c r="R337">
        <f t="shared" si="971"/>
        <v>-508503513.02415794</v>
      </c>
      <c r="S337">
        <f t="shared" si="972"/>
        <v>-5085.0351302415793</v>
      </c>
      <c r="T337">
        <f t="shared" si="973"/>
        <v>-5.0850351302415797</v>
      </c>
    </row>
    <row r="338" spans="1:20" x14ac:dyDescent="0.25">
      <c r="A338" s="5">
        <v>44255</v>
      </c>
      <c r="B338">
        <v>0.24590000000000001</v>
      </c>
      <c r="C338">
        <v>0.33</v>
      </c>
      <c r="D338">
        <v>0.2109</v>
      </c>
      <c r="E338">
        <v>0.2331</v>
      </c>
      <c r="F338">
        <v>264779369.75999999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-0.62720403022670035</v>
      </c>
      <c r="Q338">
        <f t="shared" si="970"/>
        <v>-166070687.83435771</v>
      </c>
      <c r="R338">
        <f t="shared" si="971"/>
        <v>-496421119.55082464</v>
      </c>
      <c r="S338">
        <f t="shared" si="972"/>
        <v>-4964.2111955082464</v>
      </c>
      <c r="T338">
        <f t="shared" si="973"/>
        <v>-4.9642111955082466</v>
      </c>
    </row>
    <row r="339" spans="1:20" x14ac:dyDescent="0.25">
      <c r="A339" s="5">
        <v>44254</v>
      </c>
      <c r="B339">
        <v>0.1938</v>
      </c>
      <c r="C339">
        <v>0.36420000000000002</v>
      </c>
      <c r="D339">
        <v>0.16200000000000001</v>
      </c>
      <c r="E339">
        <v>0.24590000000000001</v>
      </c>
      <c r="F339">
        <v>524006509.73000002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-0.17012858555885269</v>
      </c>
      <c r="Q339">
        <f t="shared" si="970"/>
        <v>-89148486.323996082</v>
      </c>
      <c r="R339">
        <f t="shared" si="971"/>
        <v>-330350431.7164669</v>
      </c>
      <c r="S339">
        <f t="shared" si="972"/>
        <v>-3303.5043171646689</v>
      </c>
      <c r="T339">
        <f t="shared" si="973"/>
        <v>-3.303504317164669</v>
      </c>
    </row>
    <row r="340" spans="1:20" x14ac:dyDescent="0.25">
      <c r="A340" s="5">
        <v>44253</v>
      </c>
      <c r="B340">
        <v>0.1225</v>
      </c>
      <c r="C340">
        <v>0.24579999999999999</v>
      </c>
      <c r="D340">
        <v>0.112</v>
      </c>
      <c r="E340">
        <v>0.1928</v>
      </c>
      <c r="F340">
        <v>194875874.00999999</v>
      </c>
      <c r="G340">
        <v>0</v>
      </c>
      <c r="L340" t="s">
        <v>8</v>
      </c>
      <c r="M340" t="s">
        <v>7</v>
      </c>
      <c r="N340" t="s">
        <v>8</v>
      </c>
      <c r="P340">
        <f t="shared" si="969"/>
        <v>0.2077727952167415</v>
      </c>
      <c r="Q340">
        <f t="shared" si="970"/>
        <v>40489905.063363247</v>
      </c>
      <c r="R340">
        <f t="shared" si="971"/>
        <v>-241201945.39247084</v>
      </c>
      <c r="S340">
        <f t="shared" si="972"/>
        <v>-2412.0194539247082</v>
      </c>
      <c r="T340">
        <f t="shared" si="973"/>
        <v>-2.412019453924708</v>
      </c>
    </row>
    <row r="341" spans="1:20" x14ac:dyDescent="0.25">
      <c r="A341" s="5">
        <v>44252</v>
      </c>
      <c r="B341">
        <v>0.1321</v>
      </c>
      <c r="C341">
        <v>0.14680000000000001</v>
      </c>
      <c r="D341">
        <v>0.122</v>
      </c>
      <c r="E341">
        <v>0.1225</v>
      </c>
      <c r="F341">
        <v>6396099.8099999996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-0.95967741935483875</v>
      </c>
      <c r="Q341">
        <f t="shared" si="970"/>
        <v>-6138192.5595967742</v>
      </c>
      <c r="R341">
        <f t="shared" si="971"/>
        <v>-281691850.45583409</v>
      </c>
      <c r="S341">
        <f t="shared" si="972"/>
        <v>-2816.9185045583408</v>
      </c>
      <c r="T341">
        <f t="shared" si="973"/>
        <v>-2.8169185045583407</v>
      </c>
    </row>
    <row r="342" spans="1:20" x14ac:dyDescent="0.25">
      <c r="A342" s="5">
        <v>44251</v>
      </c>
      <c r="B342">
        <v>0.11799999999999999</v>
      </c>
      <c r="C342">
        <v>0.1454</v>
      </c>
      <c r="D342">
        <v>0.1142</v>
      </c>
      <c r="E342">
        <v>0.1326</v>
      </c>
      <c r="F342">
        <v>10412680.35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0.17948717948717927</v>
      </c>
      <c r="Q342">
        <f t="shared" si="970"/>
        <v>1868942.6269230745</v>
      </c>
      <c r="R342">
        <f t="shared" si="971"/>
        <v>-275553657.89623731</v>
      </c>
      <c r="S342">
        <f t="shared" si="972"/>
        <v>-2755.5365789623729</v>
      </c>
      <c r="T342">
        <f t="shared" si="973"/>
        <v>-2.7555365789623729</v>
      </c>
    </row>
    <row r="343" spans="1:20" x14ac:dyDescent="0.25">
      <c r="A343" s="5">
        <v>44250</v>
      </c>
      <c r="B343">
        <v>0.1396</v>
      </c>
      <c r="C343">
        <v>0.1406</v>
      </c>
      <c r="D343">
        <v>0.1012</v>
      </c>
      <c r="E343">
        <v>0.1181</v>
      </c>
      <c r="F343">
        <v>12984325.630000001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-0.14213197969543165</v>
      </c>
      <c r="Q343">
        <f t="shared" si="970"/>
        <v>-1845487.9068020328</v>
      </c>
      <c r="R343">
        <f t="shared" si="971"/>
        <v>-277422600.5231604</v>
      </c>
      <c r="S343">
        <f t="shared" si="972"/>
        <v>-2774.2260052316042</v>
      </c>
      <c r="T343">
        <f t="shared" si="973"/>
        <v>-2.7742260052316041</v>
      </c>
    </row>
    <row r="344" spans="1:20" x14ac:dyDescent="0.25">
      <c r="A344" s="5">
        <v>44249</v>
      </c>
      <c r="B344">
        <v>0.15509999999999999</v>
      </c>
      <c r="C344">
        <v>0.15540000000000001</v>
      </c>
      <c r="D344">
        <v>0.125</v>
      </c>
      <c r="E344">
        <v>0.1396</v>
      </c>
      <c r="F344">
        <v>12596848.689999999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-3.9473684210526522E-2</v>
      </c>
      <c r="Q344">
        <f t="shared" si="970"/>
        <v>-497244.0272368447</v>
      </c>
      <c r="R344">
        <f t="shared" si="971"/>
        <v>-275577112.61635834</v>
      </c>
      <c r="S344">
        <f t="shared" si="972"/>
        <v>-2755.7711261635832</v>
      </c>
      <c r="T344">
        <f t="shared" si="973"/>
        <v>-2.7557711261635833</v>
      </c>
    </row>
    <row r="345" spans="1:20" x14ac:dyDescent="0.25">
      <c r="A345" s="5">
        <v>44248</v>
      </c>
      <c r="B345">
        <v>0.1537</v>
      </c>
      <c r="C345">
        <v>0.16500000000000001</v>
      </c>
      <c r="D345">
        <v>0.151</v>
      </c>
      <c r="E345">
        <v>0.15529999999999999</v>
      </c>
      <c r="F345">
        <v>7291732.0300000003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-0.38571428571428651</v>
      </c>
      <c r="Q345">
        <f t="shared" si="970"/>
        <v>-2812525.2115714345</v>
      </c>
      <c r="R345">
        <f t="shared" si="971"/>
        <v>-275079868.58912152</v>
      </c>
      <c r="S345">
        <f t="shared" si="972"/>
        <v>-2750.7986858912154</v>
      </c>
      <c r="T345">
        <f t="shared" si="973"/>
        <v>-2.7507986858912155</v>
      </c>
    </row>
    <row r="346" spans="1:20" x14ac:dyDescent="0.25">
      <c r="A346" s="5">
        <v>44247</v>
      </c>
      <c r="B346">
        <v>0.17499999999999999</v>
      </c>
      <c r="C346">
        <v>0.17630000000000001</v>
      </c>
      <c r="D346">
        <v>0.15</v>
      </c>
      <c r="E346">
        <v>0.1535</v>
      </c>
      <c r="F346">
        <v>11215551.689999999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-0.73384030418250945</v>
      </c>
      <c r="Q346">
        <f t="shared" si="970"/>
        <v>-8230423.8637642572</v>
      </c>
      <c r="R346">
        <f t="shared" si="971"/>
        <v>-272267343.37755007</v>
      </c>
      <c r="S346">
        <f t="shared" si="972"/>
        <v>-2722.6734337755006</v>
      </c>
      <c r="T346">
        <f t="shared" si="973"/>
        <v>-2.7226734337755008</v>
      </c>
    </row>
    <row r="347" spans="1:20" x14ac:dyDescent="0.25">
      <c r="A347" s="5">
        <v>44246</v>
      </c>
      <c r="B347">
        <v>0.156</v>
      </c>
      <c r="C347">
        <v>0.18029999999999999</v>
      </c>
      <c r="D347">
        <v>0.152</v>
      </c>
      <c r="E347">
        <v>0.17510000000000001</v>
      </c>
      <c r="F347">
        <v>18780008.789999999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0.63250883392226265</v>
      </c>
      <c r="Q347">
        <f t="shared" si="970"/>
        <v>11878521.460812742</v>
      </c>
      <c r="R347">
        <f t="shared" si="971"/>
        <v>-264036919.51378578</v>
      </c>
      <c r="S347">
        <f t="shared" si="972"/>
        <v>-2640.3691951378578</v>
      </c>
      <c r="T347">
        <f t="shared" si="973"/>
        <v>-2.6403691951378576</v>
      </c>
    </row>
    <row r="348" spans="1:20" x14ac:dyDescent="0.25">
      <c r="A348" s="5">
        <v>44245</v>
      </c>
      <c r="B348">
        <v>0.1515</v>
      </c>
      <c r="C348">
        <v>0.1648</v>
      </c>
      <c r="D348">
        <v>0.14779999999999999</v>
      </c>
      <c r="E348">
        <v>0.1555</v>
      </c>
      <c r="F348">
        <v>14115983.91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-9.4117647058822876E-2</v>
      </c>
      <c r="Q348">
        <f t="shared" si="970"/>
        <v>-1328563.1915294025</v>
      </c>
      <c r="R348">
        <f t="shared" si="971"/>
        <v>-275915440.97459853</v>
      </c>
      <c r="S348">
        <f t="shared" si="972"/>
        <v>-2759.154409745985</v>
      </c>
      <c r="T348">
        <f t="shared" si="973"/>
        <v>-2.7591544097459852</v>
      </c>
    </row>
    <row r="349" spans="1:20" x14ac:dyDescent="0.25">
      <c r="A349" s="5">
        <v>44244</v>
      </c>
      <c r="B349">
        <v>0.13800000000000001</v>
      </c>
      <c r="C349">
        <v>0.155</v>
      </c>
      <c r="D349">
        <v>0.13500000000000001</v>
      </c>
      <c r="E349">
        <v>0.1517</v>
      </c>
      <c r="F349">
        <v>8843624.8699999992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0.67000000000000015</v>
      </c>
      <c r="Q349">
        <f t="shared" si="970"/>
        <v>5925228.6629000008</v>
      </c>
      <c r="R349">
        <f t="shared" si="971"/>
        <v>-274586877.78306913</v>
      </c>
      <c r="S349">
        <f t="shared" si="972"/>
        <v>-2745.8687778306912</v>
      </c>
      <c r="T349">
        <f t="shared" si="973"/>
        <v>-2.7458687778306912</v>
      </c>
    </row>
    <row r="350" spans="1:20" x14ac:dyDescent="0.25">
      <c r="A350" s="5">
        <v>44243</v>
      </c>
      <c r="B350">
        <v>0.13500000000000001</v>
      </c>
      <c r="C350">
        <v>0.14990000000000001</v>
      </c>
      <c r="D350">
        <v>0.1328</v>
      </c>
      <c r="E350">
        <v>0.13789999999999999</v>
      </c>
      <c r="F350">
        <v>14503340.43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-0.40350877192982548</v>
      </c>
      <c r="Q350">
        <f t="shared" si="970"/>
        <v>-5852225.0857894868</v>
      </c>
      <c r="R350">
        <f t="shared" si="971"/>
        <v>-280512106.4459691</v>
      </c>
      <c r="S350">
        <f t="shared" si="972"/>
        <v>-2805.1210644596908</v>
      </c>
      <c r="T350">
        <f t="shared" si="973"/>
        <v>-2.8051210644596907</v>
      </c>
    </row>
    <row r="351" spans="1:20" x14ac:dyDescent="0.25">
      <c r="A351" s="5">
        <v>44242</v>
      </c>
      <c r="B351">
        <v>0.14449999999999999</v>
      </c>
      <c r="C351">
        <v>0.1464</v>
      </c>
      <c r="D351">
        <v>0.12470000000000001</v>
      </c>
      <c r="E351">
        <v>0.1353</v>
      </c>
      <c r="F351">
        <v>12795304.810000001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-2.3041474654377905E-2</v>
      </c>
      <c r="Q351">
        <f t="shared" si="970"/>
        <v>-294822.69147465471</v>
      </c>
      <c r="R351">
        <f t="shared" si="971"/>
        <v>-274659881.3601796</v>
      </c>
      <c r="S351">
        <f t="shared" si="972"/>
        <v>-2746.5988136017959</v>
      </c>
      <c r="T351">
        <f t="shared" si="973"/>
        <v>-2.7465988136017958</v>
      </c>
    </row>
    <row r="352" spans="1:20" x14ac:dyDescent="0.25">
      <c r="A352" s="5">
        <v>44241</v>
      </c>
      <c r="B352">
        <v>0.15629999999999999</v>
      </c>
      <c r="C352">
        <v>0.16400000000000001</v>
      </c>
      <c r="D352">
        <v>0.13800000000000001</v>
      </c>
      <c r="E352">
        <v>0.14449999999999999</v>
      </c>
      <c r="F352">
        <v>14140306.01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-0.50000000000000155</v>
      </c>
      <c r="Q352">
        <f t="shared" si="970"/>
        <v>-7070153.0050000222</v>
      </c>
      <c r="R352">
        <f t="shared" si="971"/>
        <v>-274365058.66870493</v>
      </c>
      <c r="S352">
        <f t="shared" si="972"/>
        <v>-2743.6505866870493</v>
      </c>
      <c r="T352">
        <f t="shared" si="973"/>
        <v>-2.7436505866870493</v>
      </c>
    </row>
    <row r="353" spans="1:20" x14ac:dyDescent="0.25">
      <c r="A353" s="5">
        <v>44240</v>
      </c>
      <c r="B353">
        <v>0.14910000000000001</v>
      </c>
      <c r="C353">
        <v>0.16389999999999999</v>
      </c>
      <c r="D353">
        <v>0.14119999999999999</v>
      </c>
      <c r="E353">
        <v>0.15629999999999999</v>
      </c>
      <c r="F353">
        <v>16797514.809999999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0.33039647577092546</v>
      </c>
      <c r="Q353">
        <f t="shared" si="970"/>
        <v>5549839.6949339258</v>
      </c>
      <c r="R353">
        <f t="shared" si="971"/>
        <v>-267294905.6637049</v>
      </c>
      <c r="S353">
        <f t="shared" si="972"/>
        <v>-2672.9490566370491</v>
      </c>
      <c r="T353">
        <f t="shared" si="973"/>
        <v>-2.6729490566370493</v>
      </c>
    </row>
    <row r="354" spans="1:20" x14ac:dyDescent="0.25">
      <c r="A354" s="5">
        <v>44239</v>
      </c>
      <c r="B354">
        <v>0.1434</v>
      </c>
      <c r="C354">
        <v>0.155</v>
      </c>
      <c r="D354">
        <v>0.13450000000000001</v>
      </c>
      <c r="E354">
        <v>0.1489</v>
      </c>
      <c r="F354">
        <v>17185843.550000001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0.40487804878048811</v>
      </c>
      <c r="Q354">
        <f t="shared" si="970"/>
        <v>6958170.8031707369</v>
      </c>
      <c r="R354">
        <f t="shared" si="971"/>
        <v>-272844745.35863882</v>
      </c>
      <c r="S354">
        <f t="shared" si="972"/>
        <v>-2728.4474535863883</v>
      </c>
      <c r="T354">
        <f t="shared" si="973"/>
        <v>-2.7284474535863881</v>
      </c>
    </row>
    <row r="355" spans="1:20" x14ac:dyDescent="0.25">
      <c r="A355" s="5">
        <v>44238</v>
      </c>
      <c r="B355">
        <v>0.1295</v>
      </c>
      <c r="C355">
        <v>0.15</v>
      </c>
      <c r="D355">
        <v>0.126</v>
      </c>
      <c r="E355">
        <v>0.1431</v>
      </c>
      <c r="F355">
        <v>17605213.059999999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0.42500000000000071</v>
      </c>
      <c r="Q355">
        <f t="shared" si="970"/>
        <v>7482215.550500012</v>
      </c>
      <c r="R355">
        <f t="shared" si="971"/>
        <v>-279802916.16180956</v>
      </c>
      <c r="S355">
        <f t="shared" si="972"/>
        <v>-2798.0291616180957</v>
      </c>
      <c r="T355">
        <f t="shared" si="973"/>
        <v>-2.7980291616180959</v>
      </c>
    </row>
    <row r="356" spans="1:20" x14ac:dyDescent="0.25">
      <c r="A356" s="5">
        <v>44237</v>
      </c>
      <c r="B356">
        <v>0.1399</v>
      </c>
      <c r="C356">
        <v>0.1431</v>
      </c>
      <c r="D356">
        <v>0.1176</v>
      </c>
      <c r="E356">
        <v>0.12959999999999999</v>
      </c>
      <c r="F356">
        <v>18676641.52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-5.8823529411765281E-2</v>
      </c>
      <c r="Q356">
        <f t="shared" si="970"/>
        <v>-1098625.9717647166</v>
      </c>
      <c r="R356">
        <f t="shared" si="971"/>
        <v>-287285131.7123096</v>
      </c>
      <c r="S356">
        <f t="shared" si="972"/>
        <v>-2872.8513171230961</v>
      </c>
      <c r="T356">
        <f t="shared" si="973"/>
        <v>-2.872851317123096</v>
      </c>
    </row>
    <row r="357" spans="1:20" x14ac:dyDescent="0.25">
      <c r="A357" s="5">
        <v>44236</v>
      </c>
      <c r="B357">
        <v>0.14430000000000001</v>
      </c>
      <c r="C357">
        <v>0.155</v>
      </c>
      <c r="D357">
        <v>0.127</v>
      </c>
      <c r="E357">
        <v>0.13950000000000001</v>
      </c>
      <c r="F357">
        <v>30597565.399999999</v>
      </c>
      <c r="G357">
        <v>0</v>
      </c>
      <c r="L357" t="s">
        <v>7</v>
      </c>
      <c r="M357" t="s">
        <v>7</v>
      </c>
      <c r="N357" t="s">
        <v>8</v>
      </c>
      <c r="P357">
        <f t="shared" si="969"/>
        <v>-0.10714285714285626</v>
      </c>
      <c r="Q357">
        <f t="shared" si="970"/>
        <v>-3278310.5785714015</v>
      </c>
      <c r="R357">
        <f t="shared" si="971"/>
        <v>-286186505.74054486</v>
      </c>
      <c r="S357">
        <f t="shared" si="972"/>
        <v>-2861.8650574054486</v>
      </c>
      <c r="T357">
        <f t="shared" si="973"/>
        <v>-2.8618650574054487</v>
      </c>
    </row>
    <row r="358" spans="1:20" x14ac:dyDescent="0.25">
      <c r="A358" s="5">
        <v>44235</v>
      </c>
      <c r="B358">
        <v>9.1899999999999996E-2</v>
      </c>
      <c r="C358">
        <v>0.1726</v>
      </c>
      <c r="D358">
        <v>8.9599999999999999E-2</v>
      </c>
      <c r="E358">
        <v>0.14430000000000001</v>
      </c>
      <c r="F358">
        <v>116915045.94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0.31807228915662672</v>
      </c>
      <c r="Q358">
        <f t="shared" si="970"/>
        <v>37187436.298987977</v>
      </c>
      <c r="R358">
        <f t="shared" si="971"/>
        <v>-282908195.16197348</v>
      </c>
      <c r="S358">
        <f t="shared" si="972"/>
        <v>-2829.0819516197348</v>
      </c>
      <c r="T358">
        <f t="shared" si="973"/>
        <v>-2.829081951619735</v>
      </c>
    </row>
    <row r="359" spans="1:20" x14ac:dyDescent="0.25">
      <c r="A359" s="5">
        <v>44234</v>
      </c>
      <c r="B359">
        <v>9.4399999999999998E-2</v>
      </c>
      <c r="C359">
        <v>9.74E-2</v>
      </c>
      <c r="D359">
        <v>8.6999999999999994E-2</v>
      </c>
      <c r="E359">
        <v>9.1899999999999996E-2</v>
      </c>
      <c r="F359">
        <v>9327691.9499999993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-5.7692307692307973E-2</v>
      </c>
      <c r="Q359">
        <f t="shared" si="970"/>
        <v>-538136.07403846411</v>
      </c>
      <c r="R359">
        <f t="shared" si="971"/>
        <v>-320095631.46096146</v>
      </c>
      <c r="S359">
        <f t="shared" si="972"/>
        <v>-3200.9563146096148</v>
      </c>
      <c r="T359">
        <f t="shared" si="973"/>
        <v>-3.2009563146096149</v>
      </c>
    </row>
    <row r="360" spans="1:20" x14ac:dyDescent="0.25">
      <c r="A360" s="5">
        <v>44233</v>
      </c>
      <c r="B360">
        <v>9.8599999999999993E-2</v>
      </c>
      <c r="C360">
        <v>9.9000000000000005E-2</v>
      </c>
      <c r="D360">
        <v>9.0999999999999998E-2</v>
      </c>
      <c r="E360">
        <v>9.4700000000000006E-2</v>
      </c>
      <c r="F360">
        <v>9579398.9800000004</v>
      </c>
      <c r="G360">
        <v>0</v>
      </c>
      <c r="L360" t="s">
        <v>8</v>
      </c>
      <c r="M360" t="s">
        <v>7</v>
      </c>
      <c r="N360" t="s">
        <v>7</v>
      </c>
      <c r="P360">
        <f t="shared" si="969"/>
        <v>-7.4999999999998609E-2</v>
      </c>
      <c r="Q360">
        <f t="shared" si="970"/>
        <v>-718454.92349998676</v>
      </c>
      <c r="R360">
        <f t="shared" si="971"/>
        <v>-319557495.38692302</v>
      </c>
      <c r="S360">
        <f t="shared" si="972"/>
        <v>-3195.5749538692303</v>
      </c>
      <c r="T360">
        <f t="shared" si="973"/>
        <v>-3.1955749538692304</v>
      </c>
    </row>
    <row r="361" spans="1:20" x14ac:dyDescent="0.25">
      <c r="A361" s="5">
        <v>44232</v>
      </c>
      <c r="B361">
        <v>9.0999999999999998E-2</v>
      </c>
      <c r="C361">
        <v>0.1013</v>
      </c>
      <c r="D361">
        <v>8.7900000000000006E-2</v>
      </c>
      <c r="E361">
        <v>9.8599999999999993E-2</v>
      </c>
      <c r="F361">
        <v>14631250.630000001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0.59701492537313305</v>
      </c>
      <c r="Q361">
        <f t="shared" si="970"/>
        <v>8735075.0029850565</v>
      </c>
      <c r="R361">
        <f t="shared" si="971"/>
        <v>-318839040.46342301</v>
      </c>
      <c r="S361">
        <f t="shared" si="972"/>
        <v>-3188.39040463423</v>
      </c>
      <c r="T361">
        <f t="shared" si="973"/>
        <v>-3.1883904046342302</v>
      </c>
    </row>
    <row r="362" spans="1:20" x14ac:dyDescent="0.25">
      <c r="A362" s="5">
        <v>44231</v>
      </c>
      <c r="B362">
        <v>8.4099999999999994E-2</v>
      </c>
      <c r="C362">
        <v>0.13</v>
      </c>
      <c r="D362">
        <v>8.2299999999999998E-2</v>
      </c>
      <c r="E362">
        <v>9.0999999999999998E-2</v>
      </c>
      <c r="F362">
        <v>41931123.219999999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-0.6352201257861636</v>
      </c>
      <c r="Q362">
        <f t="shared" si="970"/>
        <v>-26635493.366163526</v>
      </c>
      <c r="R362">
        <f t="shared" si="971"/>
        <v>-327574115.46640807</v>
      </c>
      <c r="S362">
        <f t="shared" si="972"/>
        <v>-3275.7411546640806</v>
      </c>
      <c r="T362">
        <f t="shared" si="973"/>
        <v>-3.2757411546640807</v>
      </c>
    </row>
    <row r="363" spans="1:20" x14ac:dyDescent="0.25">
      <c r="A363" s="5">
        <v>44230</v>
      </c>
      <c r="B363">
        <v>8.2100000000000006E-2</v>
      </c>
      <c r="C363">
        <v>9.4E-2</v>
      </c>
      <c r="D363">
        <v>7.9200000000000007E-2</v>
      </c>
      <c r="E363">
        <v>8.4099999999999994E-2</v>
      </c>
      <c r="F363">
        <v>20445809.879999999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-0.33783783783783922</v>
      </c>
      <c r="Q363">
        <f t="shared" si="970"/>
        <v>-6907368.2027027309</v>
      </c>
      <c r="R363">
        <f t="shared" si="971"/>
        <v>-300938622.10024452</v>
      </c>
      <c r="S363">
        <f t="shared" si="972"/>
        <v>-3009.3862210024454</v>
      </c>
      <c r="T363">
        <f t="shared" si="973"/>
        <v>-3.0093862210024453</v>
      </c>
    </row>
    <row r="364" spans="1:20" x14ac:dyDescent="0.25">
      <c r="A364" s="5">
        <v>44229</v>
      </c>
      <c r="B364">
        <v>7.46E-2</v>
      </c>
      <c r="C364">
        <v>9.3100000000000002E-2</v>
      </c>
      <c r="D364">
        <v>7.4099999999999999E-2</v>
      </c>
      <c r="E364">
        <v>8.2000000000000003E-2</v>
      </c>
      <c r="F364">
        <v>20243115.940000001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-0.16842105263157864</v>
      </c>
      <c r="Q364">
        <f t="shared" si="970"/>
        <v>-3409366.8951578885</v>
      </c>
      <c r="R364">
        <f t="shared" si="971"/>
        <v>-294031253.89754182</v>
      </c>
      <c r="S364">
        <f t="shared" si="972"/>
        <v>-2940.3125389754182</v>
      </c>
      <c r="T364">
        <f t="shared" si="973"/>
        <v>-2.9403125389754181</v>
      </c>
    </row>
    <row r="365" spans="1:20" x14ac:dyDescent="0.25">
      <c r="A365" s="5">
        <v>44228</v>
      </c>
      <c r="B365">
        <v>7.4499999999999997E-2</v>
      </c>
      <c r="C365">
        <v>7.7899999999999997E-2</v>
      </c>
      <c r="D365">
        <v>7.1999999999999995E-2</v>
      </c>
      <c r="E365">
        <v>7.4999999999999997E-2</v>
      </c>
      <c r="F365">
        <v>7945766.6100000003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1.694915254237336E-2</v>
      </c>
      <c r="Q365">
        <f t="shared" si="970"/>
        <v>134674.01033898687</v>
      </c>
      <c r="R365">
        <f t="shared" si="971"/>
        <v>-290621887.00238395</v>
      </c>
      <c r="S365">
        <f t="shared" si="972"/>
        <v>-2906.2188700238394</v>
      </c>
      <c r="T365">
        <f t="shared" si="973"/>
        <v>-2.9062188700238392</v>
      </c>
    </row>
    <row r="366" spans="1:20" x14ac:dyDescent="0.25">
      <c r="A366" s="5">
        <v>44227</v>
      </c>
      <c r="B366">
        <v>7.5800000000000006E-2</v>
      </c>
      <c r="C366">
        <v>7.6499999999999999E-2</v>
      </c>
      <c r="D366">
        <v>7.1499999999999994E-2</v>
      </c>
      <c r="E366">
        <v>7.4399999999999994E-2</v>
      </c>
      <c r="F366">
        <v>9251025.4000000004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0.15999999999999889</v>
      </c>
      <c r="Q366">
        <f t="shared" si="970"/>
        <v>1480164.0639999898</v>
      </c>
      <c r="R366">
        <f t="shared" si="971"/>
        <v>-290756561.01272291</v>
      </c>
      <c r="S366">
        <f t="shared" si="972"/>
        <v>-2907.5656101272293</v>
      </c>
      <c r="T366">
        <f t="shared" si="973"/>
        <v>-2.9075656101272291</v>
      </c>
    </row>
    <row r="367" spans="1:20" x14ac:dyDescent="0.25">
      <c r="A367" s="5">
        <v>44226</v>
      </c>
      <c r="B367">
        <v>0.1047</v>
      </c>
      <c r="C367">
        <v>0.14000000000000001</v>
      </c>
      <c r="D367">
        <v>7.2800000000000004E-2</v>
      </c>
      <c r="E367">
        <v>7.5499999999999998E-2</v>
      </c>
      <c r="F367">
        <v>67584267.810000002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-0.91964285714285732</v>
      </c>
      <c r="Q367">
        <f t="shared" si="970"/>
        <v>-62153389.146696441</v>
      </c>
      <c r="R367">
        <f t="shared" si="971"/>
        <v>-292236725.07672292</v>
      </c>
      <c r="S367">
        <f t="shared" si="972"/>
        <v>-2922.3672507672291</v>
      </c>
      <c r="T367">
        <f t="shared" si="973"/>
        <v>-2.9223672507672291</v>
      </c>
    </row>
    <row r="368" spans="1:20" x14ac:dyDescent="0.25">
      <c r="A368" s="5">
        <v>44225</v>
      </c>
      <c r="B368">
        <v>7.1400000000000005E-2</v>
      </c>
      <c r="C368">
        <v>0.105</v>
      </c>
      <c r="D368">
        <v>7.0900000000000005E-2</v>
      </c>
      <c r="E368">
        <v>0.1045</v>
      </c>
      <c r="F368">
        <v>27319544.289999999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0.97067448680351898</v>
      </c>
      <c r="Q368">
        <f t="shared" si="970"/>
        <v>26518384.633401755</v>
      </c>
      <c r="R368">
        <f t="shared" si="971"/>
        <v>-230083335.93002647</v>
      </c>
      <c r="S368">
        <f t="shared" si="972"/>
        <v>-2300.8333593002649</v>
      </c>
      <c r="T368">
        <f t="shared" si="973"/>
        <v>-2.300833359300265</v>
      </c>
    </row>
    <row r="369" spans="1:20" x14ac:dyDescent="0.25">
      <c r="A369" s="5">
        <v>44224</v>
      </c>
      <c r="B369">
        <v>6.8099999999999994E-2</v>
      </c>
      <c r="C369">
        <v>7.1999999999999995E-2</v>
      </c>
      <c r="D369">
        <v>6.7100000000000007E-2</v>
      </c>
      <c r="E369">
        <v>7.0999999999999994E-2</v>
      </c>
      <c r="F369">
        <v>5545150.0999999996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0.59183673469387621</v>
      </c>
      <c r="Q369">
        <f t="shared" si="970"/>
        <v>3281823.5285714208</v>
      </c>
      <c r="R369">
        <f t="shared" si="971"/>
        <v>-256601720.56342822</v>
      </c>
      <c r="S369">
        <f t="shared" si="972"/>
        <v>-2566.0172056342822</v>
      </c>
      <c r="T369">
        <f t="shared" si="973"/>
        <v>-2.566017205634282</v>
      </c>
    </row>
    <row r="370" spans="1:20" x14ac:dyDescent="0.25">
      <c r="A370" s="5">
        <v>44223</v>
      </c>
      <c r="B370">
        <v>7.3499999999999996E-2</v>
      </c>
      <c r="C370">
        <v>7.3499999999999996E-2</v>
      </c>
      <c r="D370">
        <v>6.6199999999999995E-2</v>
      </c>
      <c r="E370">
        <v>6.8099999999999994E-2</v>
      </c>
      <c r="F370">
        <v>4753407.72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-0.47945205479452091</v>
      </c>
      <c r="Q370">
        <f t="shared" si="970"/>
        <v>-2279031.0986301387</v>
      </c>
      <c r="R370">
        <f t="shared" si="971"/>
        <v>-259883544.09199965</v>
      </c>
      <c r="S370">
        <f t="shared" si="972"/>
        <v>-2598.8354409199965</v>
      </c>
      <c r="T370">
        <f t="shared" si="973"/>
        <v>-2.5988354409199963</v>
      </c>
    </row>
    <row r="371" spans="1:20" x14ac:dyDescent="0.25">
      <c r="A371" s="5">
        <v>44222</v>
      </c>
      <c r="B371">
        <v>7.3400000000000007E-2</v>
      </c>
      <c r="C371">
        <v>7.4800000000000005E-2</v>
      </c>
      <c r="D371">
        <v>7.0000000000000007E-2</v>
      </c>
      <c r="E371">
        <v>7.3499999999999996E-2</v>
      </c>
      <c r="F371">
        <v>4365602.2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0.45833333333332926</v>
      </c>
      <c r="Q371">
        <f t="shared" si="970"/>
        <v>2000901.0083333156</v>
      </c>
      <c r="R371">
        <f t="shared" si="971"/>
        <v>-257604512.99336952</v>
      </c>
      <c r="S371">
        <f t="shared" si="972"/>
        <v>-2576.0451299336951</v>
      </c>
      <c r="T371">
        <f t="shared" si="973"/>
        <v>-2.5760451299336951</v>
      </c>
    </row>
    <row r="372" spans="1:20" x14ac:dyDescent="0.25">
      <c r="A372" s="5">
        <v>44221</v>
      </c>
      <c r="B372">
        <v>7.6999999999999999E-2</v>
      </c>
      <c r="C372">
        <v>7.9000000000000001E-2</v>
      </c>
      <c r="D372">
        <v>7.3200000000000001E-2</v>
      </c>
      <c r="E372">
        <v>7.3700000000000002E-2</v>
      </c>
      <c r="F372">
        <v>4709366.87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-0.8275862068965516</v>
      </c>
      <c r="Q372">
        <f t="shared" si="970"/>
        <v>-3897407.0648275856</v>
      </c>
      <c r="R372">
        <f t="shared" si="971"/>
        <v>-259605414.00170285</v>
      </c>
      <c r="S372">
        <f t="shared" si="972"/>
        <v>-2596.0541400170287</v>
      </c>
      <c r="T372">
        <f t="shared" si="973"/>
        <v>-2.5960541400170287</v>
      </c>
    </row>
    <row r="373" spans="1:20" x14ac:dyDescent="0.25">
      <c r="A373" s="5">
        <v>44220</v>
      </c>
      <c r="B373">
        <v>7.3800000000000004E-2</v>
      </c>
      <c r="C373">
        <v>8.1299999999999997E-2</v>
      </c>
      <c r="D373">
        <v>7.3700000000000002E-2</v>
      </c>
      <c r="E373">
        <v>7.7100000000000002E-2</v>
      </c>
      <c r="F373">
        <v>7713720.7400000002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-0.10526315789473627</v>
      </c>
      <c r="Q373">
        <f t="shared" si="970"/>
        <v>-811970.60421052191</v>
      </c>
      <c r="R373">
        <f t="shared" si="971"/>
        <v>-255708006.93687525</v>
      </c>
      <c r="S373">
        <f t="shared" si="972"/>
        <v>-2557.0800693687524</v>
      </c>
      <c r="T373">
        <f t="shared" si="973"/>
        <v>-2.5570800693687525</v>
      </c>
    </row>
    <row r="374" spans="1:20" x14ac:dyDescent="0.25">
      <c r="A374" s="5">
        <v>44219</v>
      </c>
      <c r="B374">
        <v>7.3400000000000007E-2</v>
      </c>
      <c r="C374">
        <v>7.6100000000000001E-2</v>
      </c>
      <c r="D374">
        <v>7.2099999999999997E-2</v>
      </c>
      <c r="E374">
        <v>7.3800000000000004E-2</v>
      </c>
      <c r="F374">
        <v>5529009.2400000002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-0.14999999999999722</v>
      </c>
      <c r="Q374">
        <f t="shared" si="970"/>
        <v>-829351.38599998469</v>
      </c>
      <c r="R374">
        <f t="shared" si="971"/>
        <v>-254896036.33266473</v>
      </c>
      <c r="S374">
        <f t="shared" si="972"/>
        <v>-2548.9603633266474</v>
      </c>
      <c r="T374">
        <f t="shared" si="973"/>
        <v>-2.5489603633266475</v>
      </c>
    </row>
    <row r="375" spans="1:20" x14ac:dyDescent="0.25">
      <c r="A375" s="5">
        <v>44218</v>
      </c>
      <c r="B375">
        <v>7.1400000000000005E-2</v>
      </c>
      <c r="C375">
        <v>7.7799999999999994E-2</v>
      </c>
      <c r="D375">
        <v>6.8000000000000005E-2</v>
      </c>
      <c r="E375">
        <v>7.3499999999999996E-2</v>
      </c>
      <c r="F375">
        <v>6932903.5300000003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0.12244897959183612</v>
      </c>
      <c r="Q375">
        <f t="shared" si="970"/>
        <v>848926.9628571386</v>
      </c>
      <c r="R375">
        <f t="shared" si="971"/>
        <v>-254066684.94666475</v>
      </c>
      <c r="S375">
        <f t="shared" si="972"/>
        <v>-2540.6668494666474</v>
      </c>
      <c r="T375">
        <f t="shared" si="973"/>
        <v>-2.5406668494666476</v>
      </c>
    </row>
    <row r="376" spans="1:20" x14ac:dyDescent="0.25">
      <c r="A376" s="5">
        <v>44217</v>
      </c>
      <c r="B376">
        <v>7.4499999999999997E-2</v>
      </c>
      <c r="C376">
        <v>7.8100000000000003E-2</v>
      </c>
      <c r="D376">
        <v>7.0999999999999994E-2</v>
      </c>
      <c r="E376">
        <v>7.1400000000000005E-2</v>
      </c>
      <c r="F376">
        <v>8704959.2200000007</v>
      </c>
      <c r="G376">
        <v>0</v>
      </c>
      <c r="L376" t="s">
        <v>8</v>
      </c>
      <c r="M376" t="s">
        <v>7</v>
      </c>
      <c r="N376" t="s">
        <v>7</v>
      </c>
      <c r="P376">
        <f t="shared" si="969"/>
        <v>-0.88732394366196876</v>
      </c>
      <c r="Q376">
        <f t="shared" si="970"/>
        <v>-7724118.7445070157</v>
      </c>
      <c r="R376">
        <f t="shared" si="971"/>
        <v>-254915611.90952188</v>
      </c>
      <c r="S376">
        <f t="shared" si="972"/>
        <v>-2549.1561190952189</v>
      </c>
      <c r="T376">
        <f t="shared" si="973"/>
        <v>-2.549156119095219</v>
      </c>
    </row>
    <row r="377" spans="1:20" x14ac:dyDescent="0.25">
      <c r="A377" s="5">
        <v>44216</v>
      </c>
      <c r="B377">
        <v>7.7200000000000005E-2</v>
      </c>
      <c r="C377">
        <v>7.8E-2</v>
      </c>
      <c r="D377">
        <v>6.8699999999999997E-2</v>
      </c>
      <c r="E377">
        <v>7.4499999999999997E-2</v>
      </c>
      <c r="F377">
        <v>8126750.0599999996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0.24731182795698881</v>
      </c>
      <c r="Q377">
        <f t="shared" si="970"/>
        <v>2009841.4126881685</v>
      </c>
      <c r="R377">
        <f t="shared" si="971"/>
        <v>-247191493.16501486</v>
      </c>
      <c r="S377">
        <f t="shared" si="972"/>
        <v>-2471.9149316501484</v>
      </c>
      <c r="T377">
        <f t="shared" si="973"/>
        <v>-2.4719149316501485</v>
      </c>
    </row>
    <row r="378" spans="1:20" x14ac:dyDescent="0.25">
      <c r="A378" s="5">
        <v>44215</v>
      </c>
      <c r="B378">
        <v>7.8100000000000003E-2</v>
      </c>
      <c r="C378">
        <v>8.3299999999999999E-2</v>
      </c>
      <c r="D378">
        <v>7.7100000000000002E-2</v>
      </c>
      <c r="E378">
        <v>7.7600000000000002E-2</v>
      </c>
      <c r="F378">
        <v>7835226.4900000002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-0.83870967741935465</v>
      </c>
      <c r="Q378">
        <f t="shared" si="970"/>
        <v>-6571480.2819354823</v>
      </c>
      <c r="R378">
        <f t="shared" si="971"/>
        <v>-249201334.57770303</v>
      </c>
      <c r="S378">
        <f t="shared" si="972"/>
        <v>-2492.0133457770303</v>
      </c>
      <c r="T378">
        <f t="shared" si="973"/>
        <v>-2.4920133457770302</v>
      </c>
    </row>
    <row r="379" spans="1:20" x14ac:dyDescent="0.25">
      <c r="A379" s="5">
        <v>44214</v>
      </c>
      <c r="B379">
        <v>7.6100000000000001E-2</v>
      </c>
      <c r="C379">
        <v>7.8899999999999998E-2</v>
      </c>
      <c r="D379">
        <v>7.4399999999999994E-2</v>
      </c>
      <c r="E379">
        <v>7.8100000000000003E-2</v>
      </c>
      <c r="F379">
        <v>7276412.04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0.64444444444444693</v>
      </c>
      <c r="Q379">
        <f t="shared" si="970"/>
        <v>4689243.3146666847</v>
      </c>
      <c r="R379">
        <f t="shared" si="971"/>
        <v>-242629854.29576755</v>
      </c>
      <c r="S379">
        <f t="shared" si="972"/>
        <v>-2426.2985429576756</v>
      </c>
      <c r="T379">
        <f t="shared" si="973"/>
        <v>-2.4262985429576758</v>
      </c>
    </row>
    <row r="380" spans="1:20" x14ac:dyDescent="0.25">
      <c r="A380" s="5">
        <v>44213</v>
      </c>
      <c r="B380">
        <v>7.22E-2</v>
      </c>
      <c r="C380">
        <v>7.9399999999999998E-2</v>
      </c>
      <c r="D380">
        <v>6.9099999999999995E-2</v>
      </c>
      <c r="E380">
        <v>7.6499999999999999E-2</v>
      </c>
      <c r="F380">
        <v>9268831.9700000007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0.4368932038834954</v>
      </c>
      <c r="Q380">
        <f t="shared" si="970"/>
        <v>4049489.6956310705</v>
      </c>
      <c r="R380">
        <f t="shared" si="971"/>
        <v>-247319097.61043423</v>
      </c>
      <c r="S380">
        <f t="shared" si="972"/>
        <v>-2473.1909761043426</v>
      </c>
      <c r="T380">
        <f t="shared" si="973"/>
        <v>-2.4731909761043425</v>
      </c>
    </row>
    <row r="381" spans="1:20" x14ac:dyDescent="0.25">
      <c r="A381" s="5">
        <v>44212</v>
      </c>
      <c r="B381">
        <v>6.6400000000000001E-2</v>
      </c>
      <c r="C381">
        <v>7.5200000000000003E-2</v>
      </c>
      <c r="D381">
        <v>6.6299999999999998E-2</v>
      </c>
      <c r="E381">
        <v>7.22E-2</v>
      </c>
      <c r="F381">
        <v>10133701.85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0.32584269662921328</v>
      </c>
      <c r="Q381">
        <f t="shared" si="970"/>
        <v>3301992.7376404474</v>
      </c>
      <c r="R381">
        <f t="shared" si="971"/>
        <v>-251368587.30606529</v>
      </c>
      <c r="S381">
        <f t="shared" si="972"/>
        <v>-2513.6858730606527</v>
      </c>
      <c r="T381">
        <f t="shared" si="973"/>
        <v>-2.5136858730606528</v>
      </c>
    </row>
    <row r="382" spans="1:20" x14ac:dyDescent="0.25">
      <c r="A382" s="5">
        <v>44211</v>
      </c>
      <c r="B382">
        <v>6.8000000000000005E-2</v>
      </c>
      <c r="C382">
        <v>6.9800000000000001E-2</v>
      </c>
      <c r="D382">
        <v>6.3E-2</v>
      </c>
      <c r="E382">
        <v>6.6299999999999998E-2</v>
      </c>
      <c r="F382">
        <v>4791240.3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-2.9411764705883192E-2</v>
      </c>
      <c r="Q382">
        <f t="shared" si="970"/>
        <v>-140918.8323529452</v>
      </c>
      <c r="R382">
        <f t="shared" si="971"/>
        <v>-254670580.04370573</v>
      </c>
      <c r="S382">
        <f t="shared" si="972"/>
        <v>-2546.7058004370574</v>
      </c>
      <c r="T382">
        <f t="shared" si="973"/>
        <v>-2.5467058004370573</v>
      </c>
    </row>
    <row r="383" spans="1:20" x14ac:dyDescent="0.25">
      <c r="A383" s="5">
        <v>44210</v>
      </c>
      <c r="B383">
        <v>6.6799999999999998E-2</v>
      </c>
      <c r="C383">
        <v>7.0599999999999996E-2</v>
      </c>
      <c r="D383">
        <v>6.6100000000000006E-2</v>
      </c>
      <c r="E383">
        <v>6.7900000000000002E-2</v>
      </c>
      <c r="F383">
        <v>4588623.21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-0.2</v>
      </c>
      <c r="Q383">
        <f t="shared" si="970"/>
        <v>-917724.64199999999</v>
      </c>
      <c r="R383">
        <f t="shared" si="971"/>
        <v>-254529661.2113528</v>
      </c>
      <c r="S383">
        <f t="shared" si="972"/>
        <v>-2545.2966121135278</v>
      </c>
      <c r="T383">
        <f t="shared" si="973"/>
        <v>-2.5452966121135279</v>
      </c>
    </row>
    <row r="384" spans="1:20" x14ac:dyDescent="0.25">
      <c r="A384" s="5">
        <v>44209</v>
      </c>
      <c r="B384">
        <v>6.4399999999999999E-2</v>
      </c>
      <c r="C384">
        <v>6.7100000000000007E-2</v>
      </c>
      <c r="D384">
        <v>6.2899999999999998E-2</v>
      </c>
      <c r="E384">
        <v>6.6900000000000001E-2</v>
      </c>
      <c r="F384">
        <v>4983559.8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0.90476190476190221</v>
      </c>
      <c r="Q384">
        <f t="shared" si="970"/>
        <v>4508935.0571428444</v>
      </c>
      <c r="R384">
        <f t="shared" si="971"/>
        <v>-253611936.56935281</v>
      </c>
      <c r="S384">
        <f t="shared" si="972"/>
        <v>-2536.1193656935279</v>
      </c>
      <c r="T384">
        <f t="shared" si="973"/>
        <v>-2.5361193656935281</v>
      </c>
    </row>
    <row r="385" spans="1:20" x14ac:dyDescent="0.25">
      <c r="A385" s="5">
        <v>44208</v>
      </c>
      <c r="B385">
        <v>6.4899999999999999E-2</v>
      </c>
      <c r="C385">
        <v>6.6699999999999995E-2</v>
      </c>
      <c r="D385">
        <v>6.2600000000000003E-2</v>
      </c>
      <c r="E385">
        <v>6.4500000000000002E-2</v>
      </c>
      <c r="F385">
        <v>3183220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-7.3170731707315917E-2</v>
      </c>
      <c r="Q385">
        <f t="shared" si="970"/>
        <v>-232918.53658536216</v>
      </c>
      <c r="R385">
        <f t="shared" si="971"/>
        <v>-258120871.62649566</v>
      </c>
      <c r="S385">
        <f t="shared" si="972"/>
        <v>-2581.2087162649568</v>
      </c>
      <c r="T385">
        <f t="shared" si="973"/>
        <v>-2.5812087162649568</v>
      </c>
    </row>
    <row r="386" spans="1:20" x14ac:dyDescent="0.25">
      <c r="A386" s="5">
        <v>44207</v>
      </c>
      <c r="B386">
        <v>7.0400000000000004E-2</v>
      </c>
      <c r="C386">
        <v>7.0400000000000004E-2</v>
      </c>
      <c r="D386">
        <v>6.0600000000000001E-2</v>
      </c>
      <c r="E386">
        <v>6.4899999999999999E-2</v>
      </c>
      <c r="F386">
        <v>7925100.2599999998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-0.12244897959183737</v>
      </c>
      <c r="Q386">
        <f t="shared" si="970"/>
        <v>-970420.44000000507</v>
      </c>
      <c r="R386">
        <f t="shared" si="971"/>
        <v>-257887953.0899103</v>
      </c>
      <c r="S386">
        <f t="shared" si="972"/>
        <v>-2578.879530899103</v>
      </c>
      <c r="T386">
        <f t="shared" si="973"/>
        <v>-2.578879530899103</v>
      </c>
    </row>
    <row r="387" spans="1:20" x14ac:dyDescent="0.25">
      <c r="A387" s="5">
        <v>44206</v>
      </c>
      <c r="B387">
        <v>7.2499999999999995E-2</v>
      </c>
      <c r="C387">
        <v>7.6899999999999996E-2</v>
      </c>
      <c r="D387">
        <v>6.7299999999999999E-2</v>
      </c>
      <c r="E387">
        <v>7.0400000000000004E-2</v>
      </c>
      <c r="F387">
        <v>12335678.619999999</v>
      </c>
      <c r="G387">
        <v>0</v>
      </c>
      <c r="L387" t="s">
        <v>7</v>
      </c>
      <c r="M387" t="s">
        <v>8</v>
      </c>
      <c r="N387" t="s">
        <v>7</v>
      </c>
      <c r="P387">
        <f t="shared" si="969"/>
        <v>-0.35416666666666535</v>
      </c>
      <c r="Q387">
        <f t="shared" si="970"/>
        <v>-4368886.1779166497</v>
      </c>
      <c r="R387">
        <f t="shared" si="971"/>
        <v>-256917532.6499103</v>
      </c>
      <c r="S387">
        <f t="shared" si="972"/>
        <v>-2569.175326499103</v>
      </c>
      <c r="T387">
        <f t="shared" si="973"/>
        <v>-2.5691753264991029</v>
      </c>
    </row>
    <row r="388" spans="1:20" x14ac:dyDescent="0.25">
      <c r="A388" s="5">
        <v>44205</v>
      </c>
      <c r="B388">
        <v>6.59E-2</v>
      </c>
      <c r="C388">
        <v>7.6999999999999999E-2</v>
      </c>
      <c r="D388">
        <v>6.5500000000000003E-2</v>
      </c>
      <c r="E388">
        <v>7.2700000000000001E-2</v>
      </c>
      <c r="F388">
        <v>12927825.58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0.2521739130434783</v>
      </c>
      <c r="Q388">
        <f t="shared" si="970"/>
        <v>3260060.3636521744</v>
      </c>
      <c r="R388">
        <f t="shared" si="971"/>
        <v>-252548646.47199365</v>
      </c>
      <c r="S388">
        <f t="shared" si="972"/>
        <v>-2525.4864647199365</v>
      </c>
      <c r="T388">
        <f t="shared" si="973"/>
        <v>-2.5254864647199367</v>
      </c>
    </row>
    <row r="389" spans="1:20" x14ac:dyDescent="0.25">
      <c r="A389" s="5">
        <v>44204</v>
      </c>
      <c r="B389">
        <v>6.6199999999999995E-2</v>
      </c>
      <c r="C389">
        <v>6.6600000000000006E-2</v>
      </c>
      <c r="D389">
        <v>6.2E-2</v>
      </c>
      <c r="E389">
        <v>6.59E-2</v>
      </c>
      <c r="F389">
        <v>5960605.8300000001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0.69565217391304124</v>
      </c>
      <c r="Q389">
        <f t="shared" si="970"/>
        <v>4146508.4034782476</v>
      </c>
      <c r="R389">
        <f t="shared" si="971"/>
        <v>-255808706.83564582</v>
      </c>
      <c r="S389">
        <f t="shared" si="972"/>
        <v>-2558.0870683564581</v>
      </c>
      <c r="T389">
        <f t="shared" si="973"/>
        <v>-2.5580870683564583</v>
      </c>
    </row>
    <row r="390" spans="1:20" x14ac:dyDescent="0.25">
      <c r="A390" s="5">
        <v>44203</v>
      </c>
      <c r="B390">
        <v>6.6400000000000001E-2</v>
      </c>
      <c r="C390">
        <v>6.9500000000000006E-2</v>
      </c>
      <c r="D390">
        <v>6.3E-2</v>
      </c>
      <c r="E390">
        <v>6.6299999999999998E-2</v>
      </c>
      <c r="F390">
        <v>10487456.710000001</v>
      </c>
      <c r="G390">
        <v>0</v>
      </c>
      <c r="L390" t="s">
        <v>7</v>
      </c>
      <c r="M390" t="s">
        <v>8</v>
      </c>
      <c r="N390" t="s">
        <v>7</v>
      </c>
      <c r="P390">
        <f t="shared" ref="P390:P453" si="974">IF(C390=D390,0,((E390-D390)-(C390-E390))/(C390-D390))</f>
        <v>1.5384615384613677E-2</v>
      </c>
      <c r="Q390">
        <f t="shared" ref="Q390:Q453" si="975">F390*P390</f>
        <v>161345.48784613595</v>
      </c>
      <c r="R390">
        <f t="shared" ref="R390:R453" si="976">R391+Q390</f>
        <v>-259955215.23912406</v>
      </c>
      <c r="S390">
        <f t="shared" ref="S390:S453" si="977">R390/100000</f>
        <v>-2599.5521523912407</v>
      </c>
      <c r="T390">
        <f t="shared" ref="T390:T453" si="978">S390/1000</f>
        <v>-2.5995521523912406</v>
      </c>
    </row>
    <row r="391" spans="1:20" x14ac:dyDescent="0.25">
      <c r="A391" s="5">
        <v>44202</v>
      </c>
      <c r="B391">
        <v>6.3399999999999998E-2</v>
      </c>
      <c r="C391">
        <v>7.0000000000000007E-2</v>
      </c>
      <c r="D391">
        <v>6.2399999999999997E-2</v>
      </c>
      <c r="E391">
        <v>6.6199999999999995E-2</v>
      </c>
      <c r="F391">
        <v>8532935.8100000005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-1.8260247115545316E-15</v>
      </c>
      <c r="Q391">
        <f t="shared" si="975"/>
        <v>-1.5581351651168584E-8</v>
      </c>
      <c r="R391">
        <f t="shared" si="976"/>
        <v>-260116560.7269702</v>
      </c>
      <c r="S391">
        <f t="shared" si="977"/>
        <v>-2601.1656072697019</v>
      </c>
      <c r="T391">
        <f t="shared" si="978"/>
        <v>-2.601165607269702</v>
      </c>
    </row>
    <row r="392" spans="1:20" x14ac:dyDescent="0.25">
      <c r="A392" s="5">
        <v>44201</v>
      </c>
      <c r="B392">
        <v>6.0299999999999999E-2</v>
      </c>
      <c r="C392">
        <v>7.0099999999999996E-2</v>
      </c>
      <c r="D392">
        <v>5.8000000000000003E-2</v>
      </c>
      <c r="E392">
        <v>6.3299999999999995E-2</v>
      </c>
      <c r="F392">
        <v>15760065.550000001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-0.12396694214876108</v>
      </c>
      <c r="Q392">
        <f t="shared" si="975"/>
        <v>-1953727.1342975327</v>
      </c>
      <c r="R392">
        <f t="shared" si="976"/>
        <v>-260116560.72697017</v>
      </c>
      <c r="S392">
        <f t="shared" si="977"/>
        <v>-2601.1656072697015</v>
      </c>
      <c r="T392">
        <f t="shared" si="978"/>
        <v>-2.6011656072697016</v>
      </c>
    </row>
    <row r="393" spans="1:20" x14ac:dyDescent="0.25">
      <c r="A393" s="5">
        <v>44200</v>
      </c>
      <c r="B393">
        <v>6.2600000000000003E-2</v>
      </c>
      <c r="C393">
        <v>9.5299999999999996E-2</v>
      </c>
      <c r="D393">
        <v>5.7799999999999997E-2</v>
      </c>
      <c r="E393">
        <v>0.06</v>
      </c>
      <c r="F393">
        <v>49212289.789999999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-0.8826666666666666</v>
      </c>
      <c r="Q393">
        <f t="shared" si="975"/>
        <v>-43438047.787973329</v>
      </c>
      <c r="R393">
        <f t="shared" si="976"/>
        <v>-258162833.59267265</v>
      </c>
      <c r="S393">
        <f t="shared" si="977"/>
        <v>-2581.6283359267263</v>
      </c>
      <c r="T393">
        <f t="shared" si="978"/>
        <v>-2.5816283359267262</v>
      </c>
    </row>
    <row r="394" spans="1:20" x14ac:dyDescent="0.25">
      <c r="A394" s="5">
        <v>44199</v>
      </c>
      <c r="B394">
        <v>6.2E-2</v>
      </c>
      <c r="C394">
        <v>6.3899999999999998E-2</v>
      </c>
      <c r="D394">
        <v>6.0100000000000001E-2</v>
      </c>
      <c r="E394">
        <v>6.2600000000000003E-2</v>
      </c>
      <c r="F394">
        <v>2993030.75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0.31578947368421245</v>
      </c>
      <c r="Q394">
        <f t="shared" si="975"/>
        <v>945167.60526316368</v>
      </c>
      <c r="R394">
        <f t="shared" si="976"/>
        <v>-214724785.8046993</v>
      </c>
      <c r="S394">
        <f t="shared" si="977"/>
        <v>-2147.2478580469929</v>
      </c>
      <c r="T394">
        <f t="shared" si="978"/>
        <v>-2.1472478580469927</v>
      </c>
    </row>
    <row r="395" spans="1:20" x14ac:dyDescent="0.25">
      <c r="A395" s="5">
        <v>44198</v>
      </c>
      <c r="B395">
        <v>6.1899999999999997E-2</v>
      </c>
      <c r="C395">
        <v>6.4600000000000005E-2</v>
      </c>
      <c r="D395">
        <v>6.0499999999999998E-2</v>
      </c>
      <c r="E395">
        <v>6.2100000000000002E-2</v>
      </c>
      <c r="F395">
        <v>2684562.64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-0.21951219512195039</v>
      </c>
      <c r="Q395">
        <f t="shared" si="975"/>
        <v>-589294.23804877826</v>
      </c>
      <c r="R395">
        <f t="shared" si="976"/>
        <v>-215669953.40996248</v>
      </c>
      <c r="S395">
        <f t="shared" si="977"/>
        <v>-2156.6995340996245</v>
      </c>
      <c r="T395">
        <f t="shared" si="978"/>
        <v>-2.1566995340996247</v>
      </c>
    </row>
    <row r="396" spans="1:20" x14ac:dyDescent="0.25">
      <c r="A396" s="5">
        <v>44197</v>
      </c>
      <c r="B396">
        <v>6.0900000000000003E-2</v>
      </c>
      <c r="C396">
        <v>6.4799999999999996E-2</v>
      </c>
      <c r="D396">
        <v>6.0499999999999998E-2</v>
      </c>
      <c r="E396">
        <v>6.1899999999999997E-2</v>
      </c>
      <c r="F396">
        <v>3768475.84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-0.34883720930232603</v>
      </c>
      <c r="Q396">
        <f t="shared" si="975"/>
        <v>-1314584.5953488389</v>
      </c>
      <c r="R396">
        <f t="shared" si="976"/>
        <v>-215080659.17191368</v>
      </c>
      <c r="S396">
        <f t="shared" si="977"/>
        <v>-2150.806591719137</v>
      </c>
      <c r="T396">
        <f t="shared" si="978"/>
        <v>-2.150806591719137</v>
      </c>
    </row>
    <row r="397" spans="1:20" x14ac:dyDescent="0.25">
      <c r="A397" s="5">
        <v>44196</v>
      </c>
      <c r="B397">
        <v>6.0699999999999997E-2</v>
      </c>
      <c r="C397">
        <v>6.1899999999999997E-2</v>
      </c>
      <c r="D397">
        <v>5.8700000000000002E-2</v>
      </c>
      <c r="E397">
        <v>6.0900000000000003E-2</v>
      </c>
      <c r="F397">
        <v>2726275.22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0.37500000000000272</v>
      </c>
      <c r="Q397">
        <f t="shared" si="975"/>
        <v>1022353.2075000075</v>
      </c>
      <c r="R397">
        <f t="shared" si="976"/>
        <v>-213766074.57656485</v>
      </c>
      <c r="S397">
        <f t="shared" si="977"/>
        <v>-2137.6607457656487</v>
      </c>
      <c r="T397">
        <f t="shared" si="978"/>
        <v>-2.1376607457656487</v>
      </c>
    </row>
    <row r="398" spans="1:20" x14ac:dyDescent="0.25">
      <c r="A398" s="5">
        <v>44195</v>
      </c>
      <c r="B398">
        <v>6.3600000000000004E-2</v>
      </c>
      <c r="C398">
        <v>6.5000000000000002E-2</v>
      </c>
      <c r="D398">
        <v>5.9200000000000003E-2</v>
      </c>
      <c r="E398">
        <v>6.0999999999999999E-2</v>
      </c>
      <c r="F398">
        <v>5091205.5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-0.37931034482758752</v>
      </c>
      <c r="Q398">
        <f t="shared" si="975"/>
        <v>-1931146.9137931101</v>
      </c>
      <c r="R398">
        <f t="shared" si="976"/>
        <v>-214788427.78406486</v>
      </c>
      <c r="S398">
        <f t="shared" si="977"/>
        <v>-2147.8842778406488</v>
      </c>
      <c r="T398">
        <f t="shared" si="978"/>
        <v>-2.1478842778406486</v>
      </c>
    </row>
    <row r="399" spans="1:20" x14ac:dyDescent="0.25">
      <c r="A399" s="5">
        <v>44194</v>
      </c>
      <c r="B399">
        <v>6.3700000000000007E-2</v>
      </c>
      <c r="C399">
        <v>6.4799999999999996E-2</v>
      </c>
      <c r="D399">
        <v>0.06</v>
      </c>
      <c r="E399">
        <v>6.3100000000000003E-2</v>
      </c>
      <c r="F399">
        <v>6777171.5300000003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0.29166666666666929</v>
      </c>
      <c r="Q399">
        <f t="shared" si="975"/>
        <v>1976675.0295833512</v>
      </c>
      <c r="R399">
        <f t="shared" si="976"/>
        <v>-212857280.87027174</v>
      </c>
      <c r="S399">
        <f t="shared" si="977"/>
        <v>-2128.5728087027173</v>
      </c>
      <c r="T399">
        <f t="shared" si="978"/>
        <v>-2.1285728087027174</v>
      </c>
    </row>
    <row r="400" spans="1:20" x14ac:dyDescent="0.25">
      <c r="A400" s="5">
        <v>44193</v>
      </c>
      <c r="B400">
        <v>6.7000000000000004E-2</v>
      </c>
      <c r="C400">
        <v>8.2699999999999996E-2</v>
      </c>
      <c r="D400">
        <v>6.3E-2</v>
      </c>
      <c r="E400">
        <v>6.3899999999999998E-2</v>
      </c>
      <c r="F400">
        <v>23383381.350000001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-0.90862944162436565</v>
      </c>
      <c r="Q400">
        <f t="shared" si="975"/>
        <v>-21246828.739340108</v>
      </c>
      <c r="R400">
        <f t="shared" si="976"/>
        <v>-214833955.89985511</v>
      </c>
      <c r="S400">
        <f t="shared" si="977"/>
        <v>-2148.3395589985512</v>
      </c>
      <c r="T400">
        <f t="shared" si="978"/>
        <v>-2.148339558998551</v>
      </c>
    </row>
    <row r="401" spans="1:20" x14ac:dyDescent="0.25">
      <c r="A401" s="5">
        <v>44192</v>
      </c>
      <c r="B401">
        <v>6.2799999999999995E-2</v>
      </c>
      <c r="C401">
        <v>7.2900000000000006E-2</v>
      </c>
      <c r="D401">
        <v>6.0400000000000002E-2</v>
      </c>
      <c r="E401">
        <v>6.6699999999999995E-2</v>
      </c>
      <c r="F401">
        <v>9836682.8699999992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7.9999999999985603E-3</v>
      </c>
      <c r="Q401">
        <f t="shared" si="975"/>
        <v>78693.462959985831</v>
      </c>
      <c r="R401">
        <f t="shared" si="976"/>
        <v>-193587127.16051501</v>
      </c>
      <c r="S401">
        <f t="shared" si="977"/>
        <v>-1935.87127160515</v>
      </c>
      <c r="T401">
        <f t="shared" si="978"/>
        <v>-1.93587127160515</v>
      </c>
    </row>
    <row r="402" spans="1:20" x14ac:dyDescent="0.25">
      <c r="A402" s="5">
        <v>44191</v>
      </c>
      <c r="B402">
        <v>6.5000000000000002E-2</v>
      </c>
      <c r="C402">
        <v>6.5799999999999997E-2</v>
      </c>
      <c r="D402">
        <v>6.0499999999999998E-2</v>
      </c>
      <c r="E402">
        <v>6.2899999999999998E-2</v>
      </c>
      <c r="F402">
        <v>4807851.4400000004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-9.4339622641509538E-2</v>
      </c>
      <c r="Q402">
        <f t="shared" si="975"/>
        <v>-453570.89056603826</v>
      </c>
      <c r="R402">
        <f t="shared" si="976"/>
        <v>-193665820.62347499</v>
      </c>
      <c r="S402">
        <f t="shared" si="977"/>
        <v>-1936.6582062347497</v>
      </c>
      <c r="T402">
        <f t="shared" si="978"/>
        <v>-1.9366582062347497</v>
      </c>
    </row>
    <row r="403" spans="1:20" x14ac:dyDescent="0.25">
      <c r="A403" s="5">
        <v>44190</v>
      </c>
      <c r="B403">
        <v>6.8400000000000002E-2</v>
      </c>
      <c r="C403">
        <v>7.0300000000000001E-2</v>
      </c>
      <c r="D403">
        <v>6.2199999999999998E-2</v>
      </c>
      <c r="E403">
        <v>6.5000000000000002E-2</v>
      </c>
      <c r="F403">
        <v>7986922.4699999997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-0.30864197530864129</v>
      </c>
      <c r="Q403">
        <f t="shared" si="975"/>
        <v>-2465099.5277777724</v>
      </c>
      <c r="R403">
        <f t="shared" si="976"/>
        <v>-193212249.73290893</v>
      </c>
      <c r="S403">
        <f t="shared" si="977"/>
        <v>-1932.1224973290894</v>
      </c>
      <c r="T403">
        <f t="shared" si="978"/>
        <v>-1.9321224973290894</v>
      </c>
    </row>
    <row r="404" spans="1:20" x14ac:dyDescent="0.25">
      <c r="A404" s="5">
        <v>44189</v>
      </c>
      <c r="B404">
        <v>6.2399999999999997E-2</v>
      </c>
      <c r="C404">
        <v>7.1999999999999995E-2</v>
      </c>
      <c r="D404">
        <v>6.1600000000000002E-2</v>
      </c>
      <c r="E404">
        <v>6.8400000000000002E-2</v>
      </c>
      <c r="F404">
        <v>7504308.3899999997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0.30769230769230871</v>
      </c>
      <c r="Q404">
        <f t="shared" si="975"/>
        <v>2309017.9661538536</v>
      </c>
      <c r="R404">
        <f t="shared" si="976"/>
        <v>-190747150.20513117</v>
      </c>
      <c r="S404">
        <f t="shared" si="977"/>
        <v>-1907.4715020513117</v>
      </c>
      <c r="T404">
        <f t="shared" si="978"/>
        <v>-1.9074715020513118</v>
      </c>
    </row>
    <row r="405" spans="1:20" x14ac:dyDescent="0.25">
      <c r="A405" s="5">
        <v>44188</v>
      </c>
      <c r="B405">
        <v>7.8399999999999997E-2</v>
      </c>
      <c r="C405">
        <v>7.8899999999999998E-2</v>
      </c>
      <c r="D405">
        <v>0.06</v>
      </c>
      <c r="E405">
        <v>6.2399999999999997E-2</v>
      </c>
      <c r="F405">
        <v>8795134.9199999999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-0.74603174603174616</v>
      </c>
      <c r="Q405">
        <f t="shared" si="975"/>
        <v>-6561449.860952382</v>
      </c>
      <c r="R405">
        <f t="shared" si="976"/>
        <v>-193056168.17128503</v>
      </c>
      <c r="S405">
        <f t="shared" si="977"/>
        <v>-1930.5616817128503</v>
      </c>
      <c r="T405">
        <f t="shared" si="978"/>
        <v>-1.9305616817128504</v>
      </c>
    </row>
    <row r="406" spans="1:20" x14ac:dyDescent="0.25">
      <c r="A406" s="5">
        <v>44187</v>
      </c>
      <c r="B406">
        <v>8.1199999999999994E-2</v>
      </c>
      <c r="C406">
        <v>8.4000000000000005E-2</v>
      </c>
      <c r="D406">
        <v>7.6499999999999999E-2</v>
      </c>
      <c r="E406">
        <v>7.8399999999999997E-2</v>
      </c>
      <c r="F406">
        <v>8819456.7200000007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-0.49333333333333407</v>
      </c>
      <c r="Q406">
        <f t="shared" si="975"/>
        <v>-4350931.9818666736</v>
      </c>
      <c r="R406">
        <f t="shared" si="976"/>
        <v>-186494718.31033266</v>
      </c>
      <c r="S406">
        <f t="shared" si="977"/>
        <v>-1864.9471831033266</v>
      </c>
      <c r="T406">
        <f t="shared" si="978"/>
        <v>-1.8649471831033266</v>
      </c>
    </row>
    <row r="407" spans="1:20" x14ac:dyDescent="0.25">
      <c r="A407" s="5">
        <v>44186</v>
      </c>
      <c r="B407">
        <v>9.9199999999999997E-2</v>
      </c>
      <c r="C407">
        <v>0.1077</v>
      </c>
      <c r="D407">
        <v>7.9399999999999998E-2</v>
      </c>
      <c r="E407">
        <v>8.1199999999999994E-2</v>
      </c>
      <c r="F407">
        <v>25840265.420000002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-0.87279151943462929</v>
      </c>
      <c r="Q407">
        <f t="shared" si="975"/>
        <v>-22553164.518515911</v>
      </c>
      <c r="R407">
        <f t="shared" si="976"/>
        <v>-182143786.32846597</v>
      </c>
      <c r="S407">
        <f t="shared" si="977"/>
        <v>-1821.4378632846597</v>
      </c>
      <c r="T407">
        <f t="shared" si="978"/>
        <v>-1.8214378632846597</v>
      </c>
    </row>
    <row r="408" spans="1:20" x14ac:dyDescent="0.25">
      <c r="A408" s="5">
        <v>44185</v>
      </c>
      <c r="B408">
        <v>8.5500000000000007E-2</v>
      </c>
      <c r="C408">
        <v>0.1963</v>
      </c>
      <c r="D408">
        <v>8.3400000000000002E-2</v>
      </c>
      <c r="E408">
        <v>9.9099999999999994E-2</v>
      </c>
      <c r="F408">
        <v>152680242.94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-0.72187776793622693</v>
      </c>
      <c r="Q408">
        <f t="shared" si="975"/>
        <v>-110216472.98148806</v>
      </c>
      <c r="R408">
        <f t="shared" si="976"/>
        <v>-159590621.80995005</v>
      </c>
      <c r="S408">
        <f t="shared" si="977"/>
        <v>-1595.9062180995006</v>
      </c>
      <c r="T408">
        <f t="shared" si="978"/>
        <v>-1.5959062180995007</v>
      </c>
    </row>
    <row r="409" spans="1:20" x14ac:dyDescent="0.25">
      <c r="A409" s="5">
        <v>44184</v>
      </c>
      <c r="B409">
        <v>8.2699999999999996E-2</v>
      </c>
      <c r="C409">
        <v>8.6699999999999999E-2</v>
      </c>
      <c r="D409">
        <v>8.09E-2</v>
      </c>
      <c r="E409">
        <v>8.5500000000000007E-2</v>
      </c>
      <c r="F409">
        <v>4191331.19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0.58620689655172664</v>
      </c>
      <c r="Q409">
        <f t="shared" si="975"/>
        <v>2456987.2493103552</v>
      </c>
      <c r="R409">
        <f t="shared" si="976"/>
        <v>-49374148.82846199</v>
      </c>
      <c r="S409">
        <f t="shared" si="977"/>
        <v>-493.74148828461989</v>
      </c>
      <c r="T409">
        <f t="shared" si="978"/>
        <v>-0.49374148828461989</v>
      </c>
    </row>
    <row r="410" spans="1:20" x14ac:dyDescent="0.25">
      <c r="A410" s="5">
        <v>44183</v>
      </c>
      <c r="B410">
        <v>8.0600000000000005E-2</v>
      </c>
      <c r="C410">
        <v>8.3599999999999994E-2</v>
      </c>
      <c r="D410">
        <v>7.85E-2</v>
      </c>
      <c r="E410">
        <v>8.2799999999999999E-2</v>
      </c>
      <c r="F410">
        <v>3328703.88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0.68627450980392302</v>
      </c>
      <c r="Q410">
        <f t="shared" si="975"/>
        <v>2284404.6235294165</v>
      </c>
      <c r="R410">
        <f t="shared" si="976"/>
        <v>-51831136.077772342</v>
      </c>
      <c r="S410">
        <f t="shared" si="977"/>
        <v>-518.31136077772339</v>
      </c>
      <c r="T410">
        <f t="shared" si="978"/>
        <v>-0.51831136077772344</v>
      </c>
    </row>
    <row r="411" spans="1:20" x14ac:dyDescent="0.25">
      <c r="A411" s="5">
        <v>44182</v>
      </c>
      <c r="B411">
        <v>7.9600000000000004E-2</v>
      </c>
      <c r="C411">
        <v>8.2600000000000007E-2</v>
      </c>
      <c r="D411">
        <v>7.7600000000000002E-2</v>
      </c>
      <c r="E411">
        <v>8.0500000000000002E-2</v>
      </c>
      <c r="F411">
        <v>4280048.9400000004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0.15999999999999889</v>
      </c>
      <c r="Q411">
        <f t="shared" si="975"/>
        <v>684807.83039999532</v>
      </c>
      <c r="R411">
        <f t="shared" si="976"/>
        <v>-54115540.701301761</v>
      </c>
      <c r="S411">
        <f t="shared" si="977"/>
        <v>-541.15540701301757</v>
      </c>
      <c r="T411">
        <f t="shared" si="978"/>
        <v>-0.54115540701301756</v>
      </c>
    </row>
    <row r="412" spans="1:20" x14ac:dyDescent="0.25">
      <c r="A412" s="5">
        <v>44181</v>
      </c>
      <c r="B412">
        <v>7.9699999999999993E-2</v>
      </c>
      <c r="C412">
        <v>8.3099999999999993E-2</v>
      </c>
      <c r="D412">
        <v>7.7200000000000005E-2</v>
      </c>
      <c r="E412">
        <v>7.9600000000000004E-2</v>
      </c>
      <c r="F412">
        <v>3809001.92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-0.18644067796610034</v>
      </c>
      <c r="Q412">
        <f t="shared" si="975"/>
        <v>-710152.90033897792</v>
      </c>
      <c r="R412">
        <f t="shared" si="976"/>
        <v>-54800348.531701759</v>
      </c>
      <c r="S412">
        <f t="shared" si="977"/>
        <v>-548.00348531701763</v>
      </c>
      <c r="T412">
        <f t="shared" si="978"/>
        <v>-0.54800348531701759</v>
      </c>
    </row>
    <row r="413" spans="1:20" x14ac:dyDescent="0.25">
      <c r="A413" s="5">
        <v>44180</v>
      </c>
      <c r="B413">
        <v>7.9899999999999999E-2</v>
      </c>
      <c r="C413">
        <v>8.1000000000000003E-2</v>
      </c>
      <c r="D413">
        <v>7.8799999999999995E-2</v>
      </c>
      <c r="E413">
        <v>7.9699999999999993E-2</v>
      </c>
      <c r="F413">
        <v>2389977.91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-0.1818181818181864</v>
      </c>
      <c r="Q413">
        <f t="shared" si="975"/>
        <v>-434541.43818182917</v>
      </c>
      <c r="R413">
        <f t="shared" si="976"/>
        <v>-54090195.631362781</v>
      </c>
      <c r="S413">
        <f t="shared" si="977"/>
        <v>-540.90195631362781</v>
      </c>
      <c r="T413">
        <f t="shared" si="978"/>
        <v>-0.54090195631362781</v>
      </c>
    </row>
    <row r="414" spans="1:20" x14ac:dyDescent="0.25">
      <c r="A414" s="5">
        <v>44179</v>
      </c>
      <c r="B414">
        <v>8.1500000000000003E-2</v>
      </c>
      <c r="C414">
        <v>8.1699999999999995E-2</v>
      </c>
      <c r="D414">
        <v>7.85E-2</v>
      </c>
      <c r="E414">
        <v>0.08</v>
      </c>
      <c r="F414">
        <v>2374550.52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-6.2499999999997558E-2</v>
      </c>
      <c r="Q414">
        <f t="shared" si="975"/>
        <v>-148409.40749999421</v>
      </c>
      <c r="R414">
        <f t="shared" si="976"/>
        <v>-53655654.193180948</v>
      </c>
      <c r="S414">
        <f t="shared" si="977"/>
        <v>-536.55654193180953</v>
      </c>
      <c r="T414">
        <f t="shared" si="978"/>
        <v>-0.53655654193180957</v>
      </c>
    </row>
    <row r="415" spans="1:20" x14ac:dyDescent="0.25">
      <c r="A415" s="5">
        <v>44178</v>
      </c>
      <c r="B415">
        <v>8.3500000000000005E-2</v>
      </c>
      <c r="C415">
        <v>8.5199999999999998E-2</v>
      </c>
      <c r="D415">
        <v>8.14E-2</v>
      </c>
      <c r="E415">
        <v>8.1600000000000006E-2</v>
      </c>
      <c r="F415">
        <v>2216256.14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-0.89473684210526006</v>
      </c>
      <c r="Q415">
        <f t="shared" si="975"/>
        <v>-1982966.0199999933</v>
      </c>
      <c r="R415">
        <f t="shared" si="976"/>
        <v>-53507244.785680957</v>
      </c>
      <c r="S415">
        <f t="shared" si="977"/>
        <v>-535.07244785680962</v>
      </c>
      <c r="T415">
        <f t="shared" si="978"/>
        <v>-0.53507244785680963</v>
      </c>
    </row>
    <row r="416" spans="1:20" x14ac:dyDescent="0.25">
      <c r="A416" s="5">
        <v>44177</v>
      </c>
      <c r="B416">
        <v>8.0500000000000002E-2</v>
      </c>
      <c r="C416">
        <v>8.48E-2</v>
      </c>
      <c r="D416">
        <v>8.0199999999999994E-2</v>
      </c>
      <c r="E416">
        <v>8.3500000000000005E-2</v>
      </c>
      <c r="F416">
        <v>3561115.29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0.43478260869565494</v>
      </c>
      <c r="Q416">
        <f t="shared" si="975"/>
        <v>1548310.9956521837</v>
      </c>
      <c r="R416">
        <f t="shared" si="976"/>
        <v>-51524278.765680961</v>
      </c>
      <c r="S416">
        <f t="shared" si="977"/>
        <v>-515.24278765680958</v>
      </c>
      <c r="T416">
        <f t="shared" si="978"/>
        <v>-0.51524278765680953</v>
      </c>
    </row>
    <row r="417" spans="1:20" x14ac:dyDescent="0.25">
      <c r="A417" s="5">
        <v>44176</v>
      </c>
      <c r="B417">
        <v>8.5099999999999995E-2</v>
      </c>
      <c r="C417">
        <v>8.5199999999999998E-2</v>
      </c>
      <c r="D417">
        <v>7.85E-2</v>
      </c>
      <c r="E417">
        <v>8.0399999999999999E-2</v>
      </c>
      <c r="F417">
        <v>3324208.68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-0.43283582089552253</v>
      </c>
      <c r="Q417">
        <f t="shared" si="975"/>
        <v>-1438836.5928358214</v>
      </c>
      <c r="R417">
        <f t="shared" si="976"/>
        <v>-53072589.761333145</v>
      </c>
      <c r="S417">
        <f t="shared" si="977"/>
        <v>-530.72589761333143</v>
      </c>
      <c r="T417">
        <f t="shared" si="978"/>
        <v>-0.53072589761333144</v>
      </c>
    </row>
    <row r="418" spans="1:20" x14ac:dyDescent="0.25">
      <c r="A418" s="5">
        <v>44175</v>
      </c>
      <c r="B418">
        <v>9.0999999999999998E-2</v>
      </c>
      <c r="C418">
        <v>9.1399999999999995E-2</v>
      </c>
      <c r="D418">
        <v>8.3699999999999997E-2</v>
      </c>
      <c r="E418">
        <v>8.5000000000000006E-2</v>
      </c>
      <c r="F418">
        <v>6004821.8899999997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-0.66233766233765978</v>
      </c>
      <c r="Q418">
        <f t="shared" si="975"/>
        <v>-3977219.6933766077</v>
      </c>
      <c r="R418">
        <f t="shared" si="976"/>
        <v>-51633753.168497324</v>
      </c>
      <c r="S418">
        <f t="shared" si="977"/>
        <v>-516.33753168497321</v>
      </c>
      <c r="T418">
        <f t="shared" si="978"/>
        <v>-0.51633753168497321</v>
      </c>
    </row>
    <row r="419" spans="1:20" x14ac:dyDescent="0.25">
      <c r="A419" s="5">
        <v>44174</v>
      </c>
      <c r="B419">
        <v>8.2299999999999998E-2</v>
      </c>
      <c r="C419">
        <v>0.109</v>
      </c>
      <c r="D419">
        <v>8.1600000000000006E-2</v>
      </c>
      <c r="E419">
        <v>9.0999999999999998E-2</v>
      </c>
      <c r="F419">
        <v>34703625.920000002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-0.31386861313868658</v>
      </c>
      <c r="Q419">
        <f t="shared" si="975"/>
        <v>-10892378.938394176</v>
      </c>
      <c r="R419">
        <f t="shared" si="976"/>
        <v>-47656533.475120716</v>
      </c>
      <c r="S419">
        <f t="shared" si="977"/>
        <v>-476.56533475120716</v>
      </c>
      <c r="T419">
        <f t="shared" si="978"/>
        <v>-0.47656533475120716</v>
      </c>
    </row>
    <row r="420" spans="1:20" x14ac:dyDescent="0.25">
      <c r="A420" s="5">
        <v>44173</v>
      </c>
      <c r="B420">
        <v>7.8E-2</v>
      </c>
      <c r="C420">
        <v>8.8900000000000007E-2</v>
      </c>
      <c r="D420">
        <v>7.5399999999999995E-2</v>
      </c>
      <c r="E420">
        <v>8.2299999999999998E-2</v>
      </c>
      <c r="F420">
        <v>9611310.0899999999</v>
      </c>
      <c r="G420">
        <v>0</v>
      </c>
      <c r="L420" t="s">
        <v>8</v>
      </c>
      <c r="M420" t="s">
        <v>8</v>
      </c>
      <c r="N420" t="s">
        <v>7</v>
      </c>
      <c r="P420">
        <f t="shared" si="974"/>
        <v>2.222222222222181E-2</v>
      </c>
      <c r="Q420">
        <f t="shared" si="975"/>
        <v>213584.66866666271</v>
      </c>
      <c r="R420">
        <f t="shared" si="976"/>
        <v>-36764154.536726542</v>
      </c>
      <c r="S420">
        <f t="shared" si="977"/>
        <v>-367.64154536726539</v>
      </c>
      <c r="T420">
        <f t="shared" si="978"/>
        <v>-0.3676415453672654</v>
      </c>
    </row>
    <row r="421" spans="1:20" x14ac:dyDescent="0.25">
      <c r="A421" s="5">
        <v>44172</v>
      </c>
      <c r="B421">
        <v>7.7799999999999994E-2</v>
      </c>
      <c r="C421">
        <v>7.9000000000000001E-2</v>
      </c>
      <c r="D421">
        <v>7.5600000000000001E-2</v>
      </c>
      <c r="E421">
        <v>7.8E-2</v>
      </c>
      <c r="F421">
        <v>2886038.26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0.41176470588235248</v>
      </c>
      <c r="Q421">
        <f t="shared" si="975"/>
        <v>1188368.6952941162</v>
      </c>
      <c r="R421">
        <f t="shared" si="976"/>
        <v>-36977739.205393203</v>
      </c>
      <c r="S421">
        <f t="shared" si="977"/>
        <v>-369.77739205393203</v>
      </c>
      <c r="T421">
        <f t="shared" si="978"/>
        <v>-0.36977739205393201</v>
      </c>
    </row>
    <row r="422" spans="1:20" x14ac:dyDescent="0.25">
      <c r="A422" s="5">
        <v>44171</v>
      </c>
      <c r="B422">
        <v>7.9000000000000001E-2</v>
      </c>
      <c r="C422">
        <v>7.9399999999999998E-2</v>
      </c>
      <c r="D422">
        <v>7.6999999999999999E-2</v>
      </c>
      <c r="E422">
        <v>7.7799999999999994E-2</v>
      </c>
      <c r="F422">
        <v>2327982.9500000002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-0.3333333333333372</v>
      </c>
      <c r="Q422">
        <f t="shared" si="975"/>
        <v>-775994.31666667573</v>
      </c>
      <c r="R422">
        <f t="shared" si="976"/>
        <v>-38166107.900687322</v>
      </c>
      <c r="S422">
        <f t="shared" si="977"/>
        <v>-381.66107900687319</v>
      </c>
      <c r="T422">
        <f t="shared" si="978"/>
        <v>-0.38166107900687318</v>
      </c>
    </row>
    <row r="423" spans="1:20" x14ac:dyDescent="0.25">
      <c r="A423" s="5">
        <v>44170</v>
      </c>
      <c r="B423">
        <v>7.5300000000000006E-2</v>
      </c>
      <c r="C423">
        <v>8.5099999999999995E-2</v>
      </c>
      <c r="D423">
        <v>7.46E-2</v>
      </c>
      <c r="E423">
        <v>7.9100000000000004E-2</v>
      </c>
      <c r="F423">
        <v>6035886.9800000004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-0.14285714285714171</v>
      </c>
      <c r="Q423">
        <f t="shared" si="975"/>
        <v>-862269.56857142167</v>
      </c>
      <c r="R423">
        <f t="shared" si="976"/>
        <v>-37390113.584020644</v>
      </c>
      <c r="S423">
        <f t="shared" si="977"/>
        <v>-373.90113584020645</v>
      </c>
      <c r="T423">
        <f t="shared" si="978"/>
        <v>-0.37390113584020646</v>
      </c>
    </row>
    <row r="424" spans="1:20" x14ac:dyDescent="0.25">
      <c r="A424" s="5">
        <v>44169</v>
      </c>
      <c r="B424">
        <v>8.0600000000000005E-2</v>
      </c>
      <c r="C424">
        <v>8.1699999999999995E-2</v>
      </c>
      <c r="D424">
        <v>7.4999999999999997E-2</v>
      </c>
      <c r="E424">
        <v>7.5200000000000003E-2</v>
      </c>
      <c r="F424">
        <v>2957320.82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-0.94029850746268484</v>
      </c>
      <c r="Q424">
        <f t="shared" si="975"/>
        <v>-2780764.3531343229</v>
      </c>
      <c r="R424">
        <f t="shared" si="976"/>
        <v>-36527844.015449226</v>
      </c>
      <c r="S424">
        <f t="shared" si="977"/>
        <v>-365.27844015449227</v>
      </c>
      <c r="T424">
        <f t="shared" si="978"/>
        <v>-0.36527844015449229</v>
      </c>
    </row>
    <row r="425" spans="1:20" x14ac:dyDescent="0.25">
      <c r="A425" s="5">
        <v>44168</v>
      </c>
      <c r="B425">
        <v>7.8799999999999995E-2</v>
      </c>
      <c r="C425">
        <v>8.14E-2</v>
      </c>
      <c r="D425">
        <v>7.7799999999999994E-2</v>
      </c>
      <c r="E425">
        <v>8.0699999999999994E-2</v>
      </c>
      <c r="F425">
        <v>3579850.98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0.61111111111110827</v>
      </c>
      <c r="Q425">
        <f t="shared" si="975"/>
        <v>2187686.7099999897</v>
      </c>
      <c r="R425">
        <f t="shared" si="976"/>
        <v>-33747079.662314907</v>
      </c>
      <c r="S425">
        <f t="shared" si="977"/>
        <v>-337.47079662314906</v>
      </c>
      <c r="T425">
        <f t="shared" si="978"/>
        <v>-0.33747079662314905</v>
      </c>
    </row>
    <row r="426" spans="1:20" x14ac:dyDescent="0.25">
      <c r="A426" s="5">
        <v>44167</v>
      </c>
      <c r="B426">
        <v>7.6499999999999999E-2</v>
      </c>
      <c r="C426">
        <v>7.9299999999999995E-2</v>
      </c>
      <c r="D426">
        <v>7.5300000000000006E-2</v>
      </c>
      <c r="E426">
        <v>7.8700000000000006E-2</v>
      </c>
      <c r="F426">
        <v>3215677.06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0.70000000000000451</v>
      </c>
      <c r="Q426">
        <f t="shared" si="975"/>
        <v>2250973.9420000147</v>
      </c>
      <c r="R426">
        <f t="shared" si="976"/>
        <v>-35934766.3723149</v>
      </c>
      <c r="S426">
        <f t="shared" si="977"/>
        <v>-359.34766372314903</v>
      </c>
      <c r="T426">
        <f t="shared" si="978"/>
        <v>-0.35934766372314902</v>
      </c>
    </row>
    <row r="427" spans="1:20" x14ac:dyDescent="0.25">
      <c r="A427" s="5">
        <v>44166</v>
      </c>
      <c r="B427">
        <v>7.85E-2</v>
      </c>
      <c r="C427">
        <v>8.4500000000000006E-2</v>
      </c>
      <c r="D427">
        <v>7.5300000000000006E-2</v>
      </c>
      <c r="E427">
        <v>7.6600000000000001E-2</v>
      </c>
      <c r="F427">
        <v>6424214.9900000002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-0.71739130434782705</v>
      </c>
      <c r="Q427">
        <f t="shared" si="975"/>
        <v>-4608675.9710869631</v>
      </c>
      <c r="R427">
        <f t="shared" si="976"/>
        <v>-38185740.314314917</v>
      </c>
      <c r="S427">
        <f t="shared" si="977"/>
        <v>-381.85740314314916</v>
      </c>
      <c r="T427">
        <f t="shared" si="978"/>
        <v>-0.38185740314314914</v>
      </c>
    </row>
    <row r="428" spans="1:20" x14ac:dyDescent="0.25">
      <c r="A428" s="5">
        <v>44165</v>
      </c>
      <c r="B428">
        <v>8.0699999999999994E-2</v>
      </c>
      <c r="C428">
        <v>8.2299999999999998E-2</v>
      </c>
      <c r="D428">
        <v>7.6300000000000007E-2</v>
      </c>
      <c r="E428">
        <v>7.8399999999999997E-2</v>
      </c>
      <c r="F428">
        <v>3445450.6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-0.3000000000000021</v>
      </c>
      <c r="Q428">
        <f t="shared" si="975"/>
        <v>-1033635.1800000073</v>
      </c>
      <c r="R428">
        <f t="shared" si="976"/>
        <v>-33577064.343227953</v>
      </c>
      <c r="S428">
        <f t="shared" si="977"/>
        <v>-335.77064343227954</v>
      </c>
      <c r="T428">
        <f t="shared" si="978"/>
        <v>-0.33577064343227953</v>
      </c>
    </row>
    <row r="429" spans="1:20" x14ac:dyDescent="0.25">
      <c r="A429" s="5">
        <v>44164</v>
      </c>
      <c r="B429">
        <v>8.2699999999999996E-2</v>
      </c>
      <c r="C429">
        <v>8.2799999999999999E-2</v>
      </c>
      <c r="D429">
        <v>7.9000000000000001E-2</v>
      </c>
      <c r="E429">
        <v>8.09E-2</v>
      </c>
      <c r="F429">
        <v>2314714.14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</v>
      </c>
      <c r="Q429">
        <f t="shared" si="975"/>
        <v>0</v>
      </c>
      <c r="R429">
        <f t="shared" si="976"/>
        <v>-32543429.163227946</v>
      </c>
      <c r="S429">
        <f t="shared" si="977"/>
        <v>-325.43429163227944</v>
      </c>
      <c r="T429">
        <f t="shared" si="978"/>
        <v>-0.32543429163227944</v>
      </c>
    </row>
    <row r="430" spans="1:20" x14ac:dyDescent="0.25">
      <c r="A430" s="5">
        <v>44163</v>
      </c>
      <c r="B430">
        <v>8.0100000000000005E-2</v>
      </c>
      <c r="C430">
        <v>8.4199999999999997E-2</v>
      </c>
      <c r="D430">
        <v>7.9500000000000001E-2</v>
      </c>
      <c r="E430">
        <v>8.2799999999999999E-2</v>
      </c>
      <c r="F430">
        <v>1889220.03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0.40425531914893631</v>
      </c>
      <c r="Q430">
        <f t="shared" si="975"/>
        <v>763727.2461702131</v>
      </c>
      <c r="R430">
        <f t="shared" si="976"/>
        <v>-32543429.163227946</v>
      </c>
      <c r="S430">
        <f t="shared" si="977"/>
        <v>-325.43429163227944</v>
      </c>
      <c r="T430">
        <f t="shared" si="978"/>
        <v>-0.32543429163227944</v>
      </c>
    </row>
    <row r="431" spans="1:20" x14ac:dyDescent="0.25">
      <c r="A431" s="5">
        <v>44162</v>
      </c>
      <c r="B431">
        <v>7.8899999999999998E-2</v>
      </c>
      <c r="C431">
        <v>8.3699999999999997E-2</v>
      </c>
      <c r="D431">
        <v>7.5499999999999998E-2</v>
      </c>
      <c r="E431">
        <v>8.0100000000000005E-2</v>
      </c>
      <c r="F431">
        <v>3736571.41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0.12195121951219694</v>
      </c>
      <c r="Q431">
        <f t="shared" si="975"/>
        <v>455679.44024390925</v>
      </c>
      <c r="R431">
        <f t="shared" si="976"/>
        <v>-33307156.409398157</v>
      </c>
      <c r="S431">
        <f t="shared" si="977"/>
        <v>-333.07156409398158</v>
      </c>
      <c r="T431">
        <f t="shared" si="978"/>
        <v>-0.33307156409398159</v>
      </c>
    </row>
    <row r="432" spans="1:20" x14ac:dyDescent="0.25">
      <c r="A432" s="5">
        <v>44161</v>
      </c>
      <c r="B432">
        <v>8.2900000000000001E-2</v>
      </c>
      <c r="C432">
        <v>9.5200000000000007E-2</v>
      </c>
      <c r="D432">
        <v>7.2999999999999995E-2</v>
      </c>
      <c r="E432">
        <v>7.8799999999999995E-2</v>
      </c>
      <c r="F432">
        <v>13406924.689999999</v>
      </c>
      <c r="G432">
        <v>0</v>
      </c>
      <c r="L432" t="s">
        <v>8</v>
      </c>
      <c r="M432" t="s">
        <v>8</v>
      </c>
      <c r="N432" t="s">
        <v>7</v>
      </c>
      <c r="P432">
        <f t="shared" si="974"/>
        <v>-0.47747747747747776</v>
      </c>
      <c r="Q432">
        <f t="shared" si="975"/>
        <v>-6401504.5817117151</v>
      </c>
      <c r="R432">
        <f t="shared" si="976"/>
        <v>-33762835.849642068</v>
      </c>
      <c r="S432">
        <f t="shared" si="977"/>
        <v>-337.62835849642067</v>
      </c>
      <c r="T432">
        <f t="shared" si="978"/>
        <v>-0.3376283584964207</v>
      </c>
    </row>
    <row r="433" spans="1:20" x14ac:dyDescent="0.25">
      <c r="A433" s="5">
        <v>44160</v>
      </c>
      <c r="B433">
        <v>8.1900000000000001E-2</v>
      </c>
      <c r="C433">
        <v>8.72E-2</v>
      </c>
      <c r="D433">
        <v>7.9899999999999999E-2</v>
      </c>
      <c r="E433">
        <v>8.3000000000000004E-2</v>
      </c>
      <c r="F433">
        <v>3446225.44</v>
      </c>
      <c r="G433">
        <v>0</v>
      </c>
      <c r="L433" t="s">
        <v>8</v>
      </c>
      <c r="M433" t="s">
        <v>7</v>
      </c>
      <c r="N433" t="s">
        <v>7</v>
      </c>
      <c r="P433">
        <f t="shared" si="974"/>
        <v>-0.15068493150684792</v>
      </c>
      <c r="Q433">
        <f t="shared" si="975"/>
        <v>-519294.24438355683</v>
      </c>
      <c r="R433">
        <f t="shared" si="976"/>
        <v>-27361331.267930355</v>
      </c>
      <c r="S433">
        <f t="shared" si="977"/>
        <v>-273.61331267930353</v>
      </c>
      <c r="T433">
        <f t="shared" si="978"/>
        <v>-0.27361331267930356</v>
      </c>
    </row>
    <row r="434" spans="1:20" x14ac:dyDescent="0.25">
      <c r="A434" s="5">
        <v>44159</v>
      </c>
      <c r="B434">
        <v>8.5400000000000004E-2</v>
      </c>
      <c r="C434">
        <v>8.6999999999999994E-2</v>
      </c>
      <c r="D434">
        <v>7.5200000000000003E-2</v>
      </c>
      <c r="E434">
        <v>8.1900000000000001E-2</v>
      </c>
      <c r="F434">
        <v>5017209.55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0.13559322033898352</v>
      </c>
      <c r="Q434">
        <f t="shared" si="975"/>
        <v>680299.60000000231</v>
      </c>
      <c r="R434">
        <f t="shared" si="976"/>
        <v>-26842037.023546796</v>
      </c>
      <c r="S434">
        <f t="shared" si="977"/>
        <v>-268.42037023546794</v>
      </c>
      <c r="T434">
        <f t="shared" si="978"/>
        <v>-0.26842037023546794</v>
      </c>
    </row>
    <row r="435" spans="1:20" x14ac:dyDescent="0.25">
      <c r="A435" s="5">
        <v>44158</v>
      </c>
      <c r="B435">
        <v>8.3699999999999997E-2</v>
      </c>
      <c r="C435">
        <v>8.7400000000000005E-2</v>
      </c>
      <c r="D435">
        <v>8.1199999999999994E-2</v>
      </c>
      <c r="E435">
        <v>8.5500000000000007E-2</v>
      </c>
      <c r="F435">
        <v>3732598.25</v>
      </c>
      <c r="G435">
        <v>0</v>
      </c>
      <c r="L435" t="s">
        <v>7</v>
      </c>
      <c r="M435" t="s">
        <v>7</v>
      </c>
      <c r="N435" t="s">
        <v>8</v>
      </c>
      <c r="P435">
        <f t="shared" si="974"/>
        <v>0.38709677419354982</v>
      </c>
      <c r="Q435">
        <f t="shared" si="975"/>
        <v>1444876.7419354892</v>
      </c>
      <c r="R435">
        <f t="shared" si="976"/>
        <v>-27522336.623546798</v>
      </c>
      <c r="S435">
        <f t="shared" si="977"/>
        <v>-275.22336623546795</v>
      </c>
      <c r="T435">
        <f t="shared" si="978"/>
        <v>-0.27522336623546795</v>
      </c>
    </row>
    <row r="436" spans="1:20" x14ac:dyDescent="0.25">
      <c r="A436" s="5">
        <v>44157</v>
      </c>
      <c r="B436">
        <v>8.3699999999999997E-2</v>
      </c>
      <c r="C436">
        <v>0.1094</v>
      </c>
      <c r="D436">
        <v>7.85E-2</v>
      </c>
      <c r="E436">
        <v>8.3799999999999999E-2</v>
      </c>
      <c r="F436">
        <v>9789970.5600000005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-0.65695792880258896</v>
      </c>
      <c r="Q436">
        <f t="shared" si="975"/>
        <v>-6431598.7821359225</v>
      </c>
      <c r="R436">
        <f t="shared" si="976"/>
        <v>-28967213.365482286</v>
      </c>
      <c r="S436">
        <f t="shared" si="977"/>
        <v>-289.67213365482286</v>
      </c>
      <c r="T436">
        <f t="shared" si="978"/>
        <v>-0.28967213365482286</v>
      </c>
    </row>
    <row r="437" spans="1:20" x14ac:dyDescent="0.25">
      <c r="A437" s="5">
        <v>44156</v>
      </c>
      <c r="B437">
        <v>7.7399999999999997E-2</v>
      </c>
      <c r="C437">
        <v>8.6599999999999996E-2</v>
      </c>
      <c r="D437">
        <v>7.5899999999999995E-2</v>
      </c>
      <c r="E437">
        <v>8.3799999999999999E-2</v>
      </c>
      <c r="F437">
        <v>2871185.83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0.4766355140186922</v>
      </c>
      <c r="Q437">
        <f t="shared" si="975"/>
        <v>1368509.1339252354</v>
      </c>
      <c r="R437">
        <f t="shared" si="976"/>
        <v>-22535614.583346363</v>
      </c>
      <c r="S437">
        <f t="shared" si="977"/>
        <v>-225.35614583346364</v>
      </c>
      <c r="T437">
        <f t="shared" si="978"/>
        <v>-0.22535614583346364</v>
      </c>
    </row>
    <row r="438" spans="1:20" x14ac:dyDescent="0.25">
      <c r="A438" s="5">
        <v>44155</v>
      </c>
      <c r="B438">
        <v>7.4099999999999999E-2</v>
      </c>
      <c r="C438">
        <v>7.8600000000000003E-2</v>
      </c>
      <c r="D438">
        <v>7.4099999999999999E-2</v>
      </c>
      <c r="E438">
        <v>7.7399999999999997E-2</v>
      </c>
      <c r="F438">
        <v>1110146.33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0.46666666666666418</v>
      </c>
      <c r="Q438">
        <f t="shared" si="975"/>
        <v>518068.28733333061</v>
      </c>
      <c r="R438">
        <f t="shared" si="976"/>
        <v>-23904123.7172716</v>
      </c>
      <c r="S438">
        <f t="shared" si="977"/>
        <v>-239.041237172716</v>
      </c>
      <c r="T438">
        <f t="shared" si="978"/>
        <v>-0.239041237172716</v>
      </c>
    </row>
    <row r="439" spans="1:20" x14ac:dyDescent="0.25">
      <c r="A439" s="5">
        <v>44154</v>
      </c>
      <c r="B439">
        <v>7.5999999999999998E-2</v>
      </c>
      <c r="C439">
        <v>7.8100000000000003E-2</v>
      </c>
      <c r="D439">
        <v>7.3800000000000004E-2</v>
      </c>
      <c r="E439">
        <v>7.4099999999999999E-2</v>
      </c>
      <c r="F439">
        <v>1456588.55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-0.86046511627907218</v>
      </c>
      <c r="Q439">
        <f t="shared" si="975"/>
        <v>-1253343.6360465151</v>
      </c>
      <c r="R439">
        <f t="shared" si="976"/>
        <v>-24422192.004604932</v>
      </c>
      <c r="S439">
        <f t="shared" si="977"/>
        <v>-244.22192004604932</v>
      </c>
      <c r="T439">
        <f t="shared" si="978"/>
        <v>-0.24422192004604931</v>
      </c>
    </row>
    <row r="440" spans="1:20" x14ac:dyDescent="0.25">
      <c r="A440" s="5">
        <v>44153</v>
      </c>
      <c r="B440">
        <v>8.6300000000000002E-2</v>
      </c>
      <c r="C440">
        <v>8.6599999999999996E-2</v>
      </c>
      <c r="D440">
        <v>7.4200000000000002E-2</v>
      </c>
      <c r="E440">
        <v>7.5899999999999995E-2</v>
      </c>
      <c r="F440">
        <v>2528076.2200000002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-0.72580645161290425</v>
      </c>
      <c r="Q440">
        <f t="shared" si="975"/>
        <v>-1834894.030645164</v>
      </c>
      <c r="R440">
        <f t="shared" si="976"/>
        <v>-23168848.368558418</v>
      </c>
      <c r="S440">
        <f t="shared" si="977"/>
        <v>-231.68848368558417</v>
      </c>
      <c r="T440">
        <f t="shared" si="978"/>
        <v>-0.23168848368558417</v>
      </c>
    </row>
    <row r="441" spans="1:20" x14ac:dyDescent="0.25">
      <c r="A441" s="5">
        <v>44152</v>
      </c>
      <c r="B441">
        <v>8.2600000000000007E-2</v>
      </c>
      <c r="C441">
        <v>8.6400000000000005E-2</v>
      </c>
      <c r="D441">
        <v>8.1900000000000001E-2</v>
      </c>
      <c r="E441">
        <v>8.6300000000000002E-2</v>
      </c>
      <c r="F441">
        <v>2679435.73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0.95555555555555427</v>
      </c>
      <c r="Q441">
        <f t="shared" si="975"/>
        <v>2560349.6975555522</v>
      </c>
      <c r="R441">
        <f t="shared" si="976"/>
        <v>-21333954.337913252</v>
      </c>
      <c r="S441">
        <f t="shared" si="977"/>
        <v>-213.33954337913252</v>
      </c>
      <c r="T441">
        <f t="shared" si="978"/>
        <v>-0.21333954337913252</v>
      </c>
    </row>
    <row r="442" spans="1:20" x14ac:dyDescent="0.25">
      <c r="A442" s="5">
        <v>44151</v>
      </c>
      <c r="B442">
        <v>8.2400000000000001E-2</v>
      </c>
      <c r="C442">
        <v>8.7999999999999995E-2</v>
      </c>
      <c r="D442">
        <v>8.1500000000000003E-2</v>
      </c>
      <c r="E442">
        <v>8.2699999999999996E-2</v>
      </c>
      <c r="F442">
        <v>2842926.23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-0.63076923076923253</v>
      </c>
      <c r="Q442">
        <f t="shared" si="975"/>
        <v>-1793230.3912307741</v>
      </c>
      <c r="R442">
        <f t="shared" si="976"/>
        <v>-23894304.035468806</v>
      </c>
      <c r="S442">
        <f t="shared" si="977"/>
        <v>-238.94304035468807</v>
      </c>
      <c r="T442">
        <f t="shared" si="978"/>
        <v>-0.23894304035468805</v>
      </c>
    </row>
    <row r="443" spans="1:20" x14ac:dyDescent="0.25">
      <c r="A443" s="5">
        <v>44150</v>
      </c>
      <c r="B443">
        <v>9.0200000000000002E-2</v>
      </c>
      <c r="C443">
        <v>9.06E-2</v>
      </c>
      <c r="D443">
        <v>0.08</v>
      </c>
      <c r="E443">
        <v>8.2500000000000004E-2</v>
      </c>
      <c r="F443">
        <v>3114582.52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-0.52830188679245238</v>
      </c>
      <c r="Q443">
        <f t="shared" si="975"/>
        <v>-1645439.8218867911</v>
      </c>
      <c r="R443">
        <f t="shared" si="976"/>
        <v>-22101073.644238032</v>
      </c>
      <c r="S443">
        <f t="shared" si="977"/>
        <v>-221.01073644238033</v>
      </c>
      <c r="T443">
        <f t="shared" si="978"/>
        <v>-0.22101073644238034</v>
      </c>
    </row>
    <row r="444" spans="1:20" x14ac:dyDescent="0.25">
      <c r="A444" s="5">
        <v>44149</v>
      </c>
      <c r="B444">
        <v>7.8E-2</v>
      </c>
      <c r="C444">
        <v>9.0700000000000003E-2</v>
      </c>
      <c r="D444">
        <v>7.7700000000000005E-2</v>
      </c>
      <c r="E444">
        <v>9.0300000000000005E-2</v>
      </c>
      <c r="F444">
        <v>5246825.29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0.93846153846153879</v>
      </c>
      <c r="Q444">
        <f t="shared" si="975"/>
        <v>4923943.7336923098</v>
      </c>
      <c r="R444">
        <f t="shared" si="976"/>
        <v>-20455633.82235124</v>
      </c>
      <c r="S444">
        <f t="shared" si="977"/>
        <v>-204.5563382235124</v>
      </c>
      <c r="T444">
        <f t="shared" si="978"/>
        <v>-0.20455633822351241</v>
      </c>
    </row>
    <row r="445" spans="1:20" x14ac:dyDescent="0.25">
      <c r="A445" s="5">
        <v>44148</v>
      </c>
      <c r="B445">
        <v>7.5700000000000003E-2</v>
      </c>
      <c r="C445">
        <v>7.9799999999999996E-2</v>
      </c>
      <c r="D445">
        <v>7.5499999999999998E-2</v>
      </c>
      <c r="E445">
        <v>7.7899999999999997E-2</v>
      </c>
      <c r="F445">
        <v>2475902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0.11627906976744201</v>
      </c>
      <c r="Q445">
        <f t="shared" si="975"/>
        <v>287895.58139534923</v>
      </c>
      <c r="R445">
        <f t="shared" si="976"/>
        <v>-25379577.55604355</v>
      </c>
      <c r="S445">
        <f t="shared" si="977"/>
        <v>-253.79577556043552</v>
      </c>
      <c r="T445">
        <f t="shared" si="978"/>
        <v>-0.25379577556043553</v>
      </c>
    </row>
    <row r="446" spans="1:20" x14ac:dyDescent="0.25">
      <c r="A446" s="5">
        <v>44147</v>
      </c>
      <c r="B446">
        <v>7.3599999999999999E-2</v>
      </c>
      <c r="C446">
        <v>7.6200000000000004E-2</v>
      </c>
      <c r="D446">
        <v>7.1800000000000003E-2</v>
      </c>
      <c r="E446">
        <v>7.5700000000000003E-2</v>
      </c>
      <c r="F446">
        <v>1228508.6000000001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0.7727272727272726</v>
      </c>
      <c r="Q446">
        <f t="shared" si="975"/>
        <v>949302.09999999986</v>
      </c>
      <c r="R446">
        <f t="shared" si="976"/>
        <v>-25667473.137438901</v>
      </c>
      <c r="S446">
        <f t="shared" si="977"/>
        <v>-256.67473137438901</v>
      </c>
      <c r="T446">
        <f t="shared" si="978"/>
        <v>-0.25667473137438901</v>
      </c>
    </row>
    <row r="447" spans="1:20" x14ac:dyDescent="0.25">
      <c r="A447" s="5">
        <v>44146</v>
      </c>
      <c r="B447">
        <v>7.7299999999999994E-2</v>
      </c>
      <c r="C447">
        <v>7.8600000000000003E-2</v>
      </c>
      <c r="D447">
        <v>7.3499999999999996E-2</v>
      </c>
      <c r="E447">
        <v>7.3599999999999999E-2</v>
      </c>
      <c r="F447">
        <v>1574179.16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-0.96078431372548911</v>
      </c>
      <c r="Q447">
        <f t="shared" si="975"/>
        <v>-1512446.6439215669</v>
      </c>
      <c r="R447">
        <f t="shared" si="976"/>
        <v>-26616775.237438902</v>
      </c>
      <c r="S447">
        <f t="shared" si="977"/>
        <v>-266.16775237438901</v>
      </c>
      <c r="T447">
        <f t="shared" si="978"/>
        <v>-0.266167752374389</v>
      </c>
    </row>
    <row r="448" spans="1:20" x14ac:dyDescent="0.25">
      <c r="A448" s="5">
        <v>44145</v>
      </c>
      <c r="B448">
        <v>7.1199999999999999E-2</v>
      </c>
      <c r="C448">
        <v>7.7600000000000002E-2</v>
      </c>
      <c r="D448">
        <v>7.1099999999999997E-2</v>
      </c>
      <c r="E448">
        <v>7.7499999999999999E-2</v>
      </c>
      <c r="F448">
        <v>2797415.34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0.96923076923076834</v>
      </c>
      <c r="Q448">
        <f t="shared" si="975"/>
        <v>2711341.0218461514</v>
      </c>
      <c r="R448">
        <f t="shared" si="976"/>
        <v>-25104328.593517337</v>
      </c>
      <c r="S448">
        <f t="shared" si="977"/>
        <v>-251.04328593517337</v>
      </c>
      <c r="T448">
        <f t="shared" si="978"/>
        <v>-0.25104328593517339</v>
      </c>
    </row>
    <row r="449" spans="1:20" x14ac:dyDescent="0.25">
      <c r="A449" s="5">
        <v>44144</v>
      </c>
      <c r="B449">
        <v>7.3300000000000004E-2</v>
      </c>
      <c r="C449">
        <v>7.3700000000000002E-2</v>
      </c>
      <c r="D449">
        <v>6.93E-2</v>
      </c>
      <c r="E449">
        <v>7.1199999999999999E-2</v>
      </c>
      <c r="F449">
        <v>1855334.62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-0.13636363636363708</v>
      </c>
      <c r="Q449">
        <f t="shared" si="975"/>
        <v>-253000.17545454678</v>
      </c>
      <c r="R449">
        <f t="shared" si="976"/>
        <v>-27815669.61536349</v>
      </c>
      <c r="S449">
        <f t="shared" si="977"/>
        <v>-278.15669615363493</v>
      </c>
      <c r="T449">
        <f t="shared" si="978"/>
        <v>-0.27815669615363492</v>
      </c>
    </row>
    <row r="450" spans="1:20" x14ac:dyDescent="0.25">
      <c r="A450" s="5">
        <v>44143</v>
      </c>
      <c r="B450">
        <v>6.9800000000000001E-2</v>
      </c>
      <c r="C450">
        <v>7.3899999999999993E-2</v>
      </c>
      <c r="D450">
        <v>6.9599999999999995E-2</v>
      </c>
      <c r="E450">
        <v>7.3300000000000004E-2</v>
      </c>
      <c r="F450">
        <v>1191577.05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0.72093023255814437</v>
      </c>
      <c r="Q450">
        <f t="shared" si="975"/>
        <v>859043.91976744763</v>
      </c>
      <c r="R450">
        <f t="shared" si="976"/>
        <v>-27562669.439908944</v>
      </c>
      <c r="S450">
        <f t="shared" si="977"/>
        <v>-275.62669439908944</v>
      </c>
      <c r="T450">
        <f t="shared" si="978"/>
        <v>-0.27562669439908943</v>
      </c>
    </row>
    <row r="451" spans="1:20" x14ac:dyDescent="0.25">
      <c r="A451" s="5">
        <v>44142</v>
      </c>
      <c r="B451">
        <v>7.3800000000000004E-2</v>
      </c>
      <c r="C451">
        <v>8.0399999999999999E-2</v>
      </c>
      <c r="D451">
        <v>6.7000000000000004E-2</v>
      </c>
      <c r="E451">
        <v>6.9900000000000004E-2</v>
      </c>
      <c r="F451">
        <v>3816262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-0.56716417910447747</v>
      </c>
      <c r="Q451">
        <f t="shared" si="975"/>
        <v>-2164447.1044776114</v>
      </c>
      <c r="R451">
        <f t="shared" si="976"/>
        <v>-28421713.359676391</v>
      </c>
      <c r="S451">
        <f t="shared" si="977"/>
        <v>-284.21713359676392</v>
      </c>
      <c r="T451">
        <f t="shared" si="978"/>
        <v>-0.28421713359676393</v>
      </c>
    </row>
    <row r="452" spans="1:20" x14ac:dyDescent="0.25">
      <c r="A452" s="5">
        <v>44141</v>
      </c>
      <c r="B452">
        <v>7.0199999999999999E-2</v>
      </c>
      <c r="C452">
        <v>7.6600000000000001E-2</v>
      </c>
      <c r="D452">
        <v>6.6500000000000004E-2</v>
      </c>
      <c r="E452">
        <v>7.3700000000000002E-2</v>
      </c>
      <c r="F452">
        <v>4437391.13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0.42574257425742568</v>
      </c>
      <c r="Q452">
        <f t="shared" si="975"/>
        <v>1889186.322673267</v>
      </c>
      <c r="R452">
        <f t="shared" si="976"/>
        <v>-26257266.25519878</v>
      </c>
      <c r="S452">
        <f t="shared" si="977"/>
        <v>-262.57266255198783</v>
      </c>
      <c r="T452">
        <f t="shared" si="978"/>
        <v>-0.26257266255198786</v>
      </c>
    </row>
    <row r="453" spans="1:20" x14ac:dyDescent="0.25">
      <c r="A453" s="5">
        <v>44140</v>
      </c>
      <c r="B453">
        <v>7.0900000000000005E-2</v>
      </c>
      <c r="C453">
        <v>7.2900000000000006E-2</v>
      </c>
      <c r="D453">
        <v>6.8000000000000005E-2</v>
      </c>
      <c r="E453">
        <v>7.0199999999999999E-2</v>
      </c>
      <c r="F453">
        <v>2149966.13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-0.1020408163265335</v>
      </c>
      <c r="Q453">
        <f t="shared" si="975"/>
        <v>-219384.29897959804</v>
      </c>
      <c r="R453">
        <f t="shared" si="976"/>
        <v>-28146452.577872049</v>
      </c>
      <c r="S453">
        <f t="shared" si="977"/>
        <v>-281.46452577872049</v>
      </c>
      <c r="T453">
        <f t="shared" si="978"/>
        <v>-0.2814645257787205</v>
      </c>
    </row>
    <row r="454" spans="1:20" x14ac:dyDescent="0.25">
      <c r="A454" s="5">
        <v>44139</v>
      </c>
      <c r="B454">
        <v>6.9900000000000004E-2</v>
      </c>
      <c r="C454">
        <v>7.22E-2</v>
      </c>
      <c r="D454">
        <v>6.93E-2</v>
      </c>
      <c r="E454">
        <v>7.0800000000000002E-2</v>
      </c>
      <c r="F454">
        <v>1583808.62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3.4482758620690647E-2</v>
      </c>
      <c r="Q454">
        <f t="shared" ref="Q454:Q517" si="980">F454*P454</f>
        <v>54614.090344829157</v>
      </c>
      <c r="R454">
        <f t="shared" ref="R454:R517" si="981">R455+Q454</f>
        <v>-27927068.27889245</v>
      </c>
      <c r="S454">
        <f t="shared" ref="S454:S517" si="982">R454/100000</f>
        <v>-279.27068278892449</v>
      </c>
      <c r="T454">
        <f t="shared" ref="T454:T517" si="983">S454/1000</f>
        <v>-0.27927068278892447</v>
      </c>
    </row>
    <row r="455" spans="1:20" x14ac:dyDescent="0.25">
      <c r="A455" s="5">
        <v>44138</v>
      </c>
      <c r="B455">
        <v>7.3800000000000004E-2</v>
      </c>
      <c r="C455">
        <v>7.3800000000000004E-2</v>
      </c>
      <c r="D455">
        <v>6.9599999999999995E-2</v>
      </c>
      <c r="E455">
        <v>6.9800000000000001E-2</v>
      </c>
      <c r="F455">
        <v>822936.61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-0.90476190476190221</v>
      </c>
      <c r="Q455">
        <f t="shared" si="980"/>
        <v>-744561.69476190268</v>
      </c>
      <c r="R455">
        <f t="shared" si="981"/>
        <v>-27981682.369237278</v>
      </c>
      <c r="S455">
        <f t="shared" si="982"/>
        <v>-279.81682369237279</v>
      </c>
      <c r="T455">
        <f t="shared" si="983"/>
        <v>-0.27981682369237282</v>
      </c>
    </row>
    <row r="456" spans="1:20" x14ac:dyDescent="0.25">
      <c r="A456" s="5">
        <v>44137</v>
      </c>
      <c r="B456">
        <v>7.4999999999999997E-2</v>
      </c>
      <c r="C456">
        <v>7.6200000000000004E-2</v>
      </c>
      <c r="D456">
        <v>7.2900000000000006E-2</v>
      </c>
      <c r="E456">
        <v>7.3899999999999993E-2</v>
      </c>
      <c r="F456">
        <v>822792.61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-0.39393939393940131</v>
      </c>
      <c r="Q456">
        <f t="shared" si="980"/>
        <v>-324130.42212121817</v>
      </c>
      <c r="R456">
        <f t="shared" si="981"/>
        <v>-27237120.674475376</v>
      </c>
      <c r="S456">
        <f t="shared" si="982"/>
        <v>-272.37120674475375</v>
      </c>
      <c r="T456">
        <f t="shared" si="983"/>
        <v>-0.27237120674475374</v>
      </c>
    </row>
    <row r="457" spans="1:20" x14ac:dyDescent="0.25">
      <c r="A457" s="5">
        <v>44136</v>
      </c>
      <c r="B457">
        <v>7.7899999999999997E-2</v>
      </c>
      <c r="C457">
        <v>7.8200000000000006E-2</v>
      </c>
      <c r="D457">
        <v>7.3700000000000002E-2</v>
      </c>
      <c r="E457">
        <v>7.4999999999999997E-2</v>
      </c>
      <c r="F457">
        <v>1149859.22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-0.42222222222222466</v>
      </c>
      <c r="Q457">
        <f t="shared" si="980"/>
        <v>-485496.11511111393</v>
      </c>
      <c r="R457">
        <f t="shared" si="981"/>
        <v>-26912990.252354156</v>
      </c>
      <c r="S457">
        <f t="shared" si="982"/>
        <v>-269.12990252354155</v>
      </c>
      <c r="T457">
        <f t="shared" si="983"/>
        <v>-0.26912990252354152</v>
      </c>
    </row>
    <row r="458" spans="1:20" x14ac:dyDescent="0.25">
      <c r="A458" s="5">
        <v>44135</v>
      </c>
      <c r="B458">
        <v>7.4899999999999994E-2</v>
      </c>
      <c r="C458">
        <v>8.1500000000000003E-2</v>
      </c>
      <c r="D458">
        <v>7.4499999999999997E-2</v>
      </c>
      <c r="E458">
        <v>7.8E-2</v>
      </c>
      <c r="F458">
        <v>2061208.01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</v>
      </c>
      <c r="Q458">
        <f t="shared" si="980"/>
        <v>0</v>
      </c>
      <c r="R458">
        <f t="shared" si="981"/>
        <v>-26427494.137243044</v>
      </c>
      <c r="S458">
        <f t="shared" si="982"/>
        <v>-264.27494137243042</v>
      </c>
      <c r="T458">
        <f t="shared" si="983"/>
        <v>-0.26427494137243041</v>
      </c>
    </row>
    <row r="459" spans="1:20" x14ac:dyDescent="0.25">
      <c r="A459" s="5">
        <v>44134</v>
      </c>
      <c r="B459">
        <v>7.6300000000000007E-2</v>
      </c>
      <c r="C459">
        <v>7.7200000000000005E-2</v>
      </c>
      <c r="D459">
        <v>7.2300000000000003E-2</v>
      </c>
      <c r="E459">
        <v>7.4800000000000005E-2</v>
      </c>
      <c r="F459">
        <v>1617954.65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2.04081632653067E-2</v>
      </c>
      <c r="Q459">
        <f t="shared" si="980"/>
        <v>33019.482653062158</v>
      </c>
      <c r="R459">
        <f t="shared" si="981"/>
        <v>-26427494.137243044</v>
      </c>
      <c r="S459">
        <f t="shared" si="982"/>
        <v>-264.27494137243042</v>
      </c>
      <c r="T459">
        <f t="shared" si="983"/>
        <v>-0.26427494137243041</v>
      </c>
    </row>
    <row r="460" spans="1:20" x14ac:dyDescent="0.25">
      <c r="A460" s="5">
        <v>44133</v>
      </c>
      <c r="B460">
        <v>7.8200000000000006E-2</v>
      </c>
      <c r="C460">
        <v>8.1500000000000003E-2</v>
      </c>
      <c r="D460">
        <v>7.5399999999999995E-2</v>
      </c>
      <c r="E460">
        <v>7.6300000000000007E-2</v>
      </c>
      <c r="F460">
        <v>1986174.61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-0.7049180327868817</v>
      </c>
      <c r="Q460">
        <f t="shared" si="980"/>
        <v>-1400090.2988524521</v>
      </c>
      <c r="R460">
        <f t="shared" si="981"/>
        <v>-26460513.619896106</v>
      </c>
      <c r="S460">
        <f t="shared" si="982"/>
        <v>-264.60513619896108</v>
      </c>
      <c r="T460">
        <f t="shared" si="983"/>
        <v>-0.26460513619896109</v>
      </c>
    </row>
    <row r="461" spans="1:20" x14ac:dyDescent="0.25">
      <c r="A461" s="5">
        <v>44132</v>
      </c>
      <c r="B461">
        <v>8.8499999999999995E-2</v>
      </c>
      <c r="C461">
        <v>8.9399999999999993E-2</v>
      </c>
      <c r="D461">
        <v>7.7799999999999994E-2</v>
      </c>
      <c r="E461">
        <v>7.8100000000000003E-2</v>
      </c>
      <c r="F461">
        <v>3164281.15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-0.94827586206896408</v>
      </c>
      <c r="Q461">
        <f t="shared" si="980"/>
        <v>-3000611.4353448232</v>
      </c>
      <c r="R461">
        <f t="shared" si="981"/>
        <v>-25060423.321043655</v>
      </c>
      <c r="S461">
        <f t="shared" si="982"/>
        <v>-250.60423321043655</v>
      </c>
      <c r="T461">
        <f t="shared" si="983"/>
        <v>-0.25060423321043657</v>
      </c>
    </row>
    <row r="462" spans="1:20" x14ac:dyDescent="0.25">
      <c r="A462" s="5">
        <v>44131</v>
      </c>
      <c r="B462">
        <v>9.0499999999999997E-2</v>
      </c>
      <c r="C462">
        <v>9.1600000000000001E-2</v>
      </c>
      <c r="D462">
        <v>8.5000000000000006E-2</v>
      </c>
      <c r="E462">
        <v>8.8400000000000006E-2</v>
      </c>
      <c r="F462">
        <v>2142520.36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3.0303030303031196E-2</v>
      </c>
      <c r="Q462">
        <f t="shared" si="980"/>
        <v>64924.859393941304</v>
      </c>
      <c r="R462">
        <f t="shared" si="981"/>
        <v>-22059811.885698833</v>
      </c>
      <c r="S462">
        <f t="shared" si="982"/>
        <v>-220.59811885698832</v>
      </c>
      <c r="T462">
        <f t="shared" si="983"/>
        <v>-0.22059811885698832</v>
      </c>
    </row>
    <row r="463" spans="1:20" x14ac:dyDescent="0.25">
      <c r="A463" s="5">
        <v>44130</v>
      </c>
      <c r="B463">
        <v>9.74E-2</v>
      </c>
      <c r="C463">
        <v>9.74E-2</v>
      </c>
      <c r="D463">
        <v>8.9499999999999996E-2</v>
      </c>
      <c r="E463">
        <v>9.0499999999999997E-2</v>
      </c>
      <c r="F463">
        <v>2398171.0699999998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-0.74683544303797456</v>
      </c>
      <c r="Q463">
        <f t="shared" si="980"/>
        <v>-1791039.1535443033</v>
      </c>
      <c r="R463">
        <f t="shared" si="981"/>
        <v>-22124736.745092776</v>
      </c>
      <c r="S463">
        <f t="shared" si="982"/>
        <v>-221.24736745092775</v>
      </c>
      <c r="T463">
        <f t="shared" si="983"/>
        <v>-0.22124736745092777</v>
      </c>
    </row>
    <row r="464" spans="1:20" x14ac:dyDescent="0.25">
      <c r="A464" s="5">
        <v>44129</v>
      </c>
      <c r="B464">
        <v>9.9699999999999997E-2</v>
      </c>
      <c r="C464">
        <v>0.12</v>
      </c>
      <c r="D464">
        <v>9.7299999999999998E-2</v>
      </c>
      <c r="E464">
        <v>9.74E-2</v>
      </c>
      <c r="F464">
        <v>4547456.78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-0.99118942731277504</v>
      </c>
      <c r="Q464">
        <f t="shared" si="980"/>
        <v>-4507391.0814977959</v>
      </c>
      <c r="R464">
        <f t="shared" si="981"/>
        <v>-20333697.591548473</v>
      </c>
      <c r="S464">
        <f t="shared" si="982"/>
        <v>-203.33697591548471</v>
      </c>
      <c r="T464">
        <f t="shared" si="983"/>
        <v>-0.20333697591548472</v>
      </c>
    </row>
    <row r="465" spans="1:20" x14ac:dyDescent="0.25">
      <c r="A465" s="5">
        <v>44128</v>
      </c>
      <c r="B465">
        <v>9.6699999999999994E-2</v>
      </c>
      <c r="C465">
        <v>0.10199999999999999</v>
      </c>
      <c r="D465">
        <v>9.5799999999999996E-2</v>
      </c>
      <c r="E465">
        <v>9.9699999999999997E-2</v>
      </c>
      <c r="F465">
        <v>1108922.8600000001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0.25806451612903303</v>
      </c>
      <c r="Q465">
        <f t="shared" si="980"/>
        <v>286173.64129032346</v>
      </c>
      <c r="R465">
        <f t="shared" si="981"/>
        <v>-15826306.510050679</v>
      </c>
      <c r="S465">
        <f t="shared" si="982"/>
        <v>-158.26306510050679</v>
      </c>
      <c r="T465">
        <f t="shared" si="983"/>
        <v>-0.15826306510050681</v>
      </c>
    </row>
    <row r="466" spans="1:20" x14ac:dyDescent="0.25">
      <c r="A466" s="5">
        <v>44127</v>
      </c>
      <c r="B466">
        <v>9.7299999999999998E-2</v>
      </c>
      <c r="C466">
        <v>0.1004</v>
      </c>
      <c r="D466">
        <v>9.4500000000000001E-2</v>
      </c>
      <c r="E466">
        <v>9.6699999999999994E-2</v>
      </c>
      <c r="F466">
        <v>1238281.6100000001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-0.25423728813559571</v>
      </c>
      <c r="Q466">
        <f t="shared" si="980"/>
        <v>-314817.35847457935</v>
      </c>
      <c r="R466">
        <f t="shared" si="981"/>
        <v>-16112480.151341002</v>
      </c>
      <c r="S466">
        <f t="shared" si="982"/>
        <v>-161.12480151341003</v>
      </c>
      <c r="T466">
        <f t="shared" si="983"/>
        <v>-0.16112480151341002</v>
      </c>
    </row>
    <row r="467" spans="1:20" x14ac:dyDescent="0.25">
      <c r="A467" s="5">
        <v>44126</v>
      </c>
      <c r="B467">
        <v>9.8299999999999998E-2</v>
      </c>
      <c r="C467">
        <v>0.1013</v>
      </c>
      <c r="D467">
        <v>9.7199999999999995E-2</v>
      </c>
      <c r="E467">
        <v>9.7299999999999998E-2</v>
      </c>
      <c r="F467">
        <v>1090813.6499999999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-0.95121951219512058</v>
      </c>
      <c r="Q467">
        <f t="shared" si="980"/>
        <v>-1037603.228048779</v>
      </c>
      <c r="R467">
        <f t="shared" si="981"/>
        <v>-15797662.792866424</v>
      </c>
      <c r="S467">
        <f t="shared" si="982"/>
        <v>-157.97662792866424</v>
      </c>
      <c r="T467">
        <f t="shared" si="983"/>
        <v>-0.15797662792866424</v>
      </c>
    </row>
    <row r="468" spans="1:20" x14ac:dyDescent="0.25">
      <c r="A468" s="5">
        <v>44125</v>
      </c>
      <c r="B468">
        <v>0.1017</v>
      </c>
      <c r="C468">
        <v>0.1394</v>
      </c>
      <c r="D468">
        <v>9.7299999999999998E-2</v>
      </c>
      <c r="E468">
        <v>9.7900000000000001E-2</v>
      </c>
      <c r="F468">
        <v>10742140.859999999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-0.97149643705463162</v>
      </c>
      <c r="Q468">
        <f t="shared" si="980"/>
        <v>-10435951.571828976</v>
      </c>
      <c r="R468">
        <f t="shared" si="981"/>
        <v>-14760059.564817645</v>
      </c>
      <c r="S468">
        <f t="shared" si="982"/>
        <v>-147.60059564817644</v>
      </c>
      <c r="T468">
        <f t="shared" si="983"/>
        <v>-0.14760059564817643</v>
      </c>
    </row>
    <row r="469" spans="1:20" x14ac:dyDescent="0.25">
      <c r="A469" s="5">
        <v>44124</v>
      </c>
      <c r="B469">
        <v>0.1027</v>
      </c>
      <c r="C469">
        <v>0.10340000000000001</v>
      </c>
      <c r="D469">
        <v>9.6799999999999997E-2</v>
      </c>
      <c r="E469">
        <v>0.1014</v>
      </c>
      <c r="F469">
        <v>631886.11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0.3939393939393942</v>
      </c>
      <c r="Q469">
        <f t="shared" si="980"/>
        <v>248924.83121212138</v>
      </c>
      <c r="R469">
        <f t="shared" si="981"/>
        <v>-4324107.9929886693</v>
      </c>
      <c r="S469">
        <f t="shared" si="982"/>
        <v>-43.241079929886695</v>
      </c>
      <c r="T469">
        <f t="shared" si="983"/>
        <v>-4.3241079929886697E-2</v>
      </c>
    </row>
    <row r="470" spans="1:20" x14ac:dyDescent="0.25">
      <c r="A470" s="5">
        <v>44123</v>
      </c>
      <c r="B470">
        <v>0.10539999999999999</v>
      </c>
      <c r="C470">
        <v>0.1062</v>
      </c>
      <c r="D470">
        <v>0.10199999999999999</v>
      </c>
      <c r="E470">
        <v>0.1027</v>
      </c>
      <c r="F470">
        <v>603067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-0.66666666666666441</v>
      </c>
      <c r="Q470">
        <f t="shared" si="980"/>
        <v>-402044.66666666529</v>
      </c>
      <c r="R470">
        <f t="shared" si="981"/>
        <v>-4573032.8242007904</v>
      </c>
      <c r="S470">
        <f t="shared" si="982"/>
        <v>-45.730328242007907</v>
      </c>
      <c r="T470">
        <f t="shared" si="983"/>
        <v>-4.5730328242007907E-2</v>
      </c>
    </row>
    <row r="471" spans="1:20" x14ac:dyDescent="0.25">
      <c r="A471" s="5">
        <v>44122</v>
      </c>
      <c r="B471">
        <v>0.1018</v>
      </c>
      <c r="C471">
        <v>0.11</v>
      </c>
      <c r="D471">
        <v>0.1012</v>
      </c>
      <c r="E471">
        <v>0.1052</v>
      </c>
      <c r="F471">
        <v>999429.53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-9.0909090909090329E-2</v>
      </c>
      <c r="Q471">
        <f t="shared" si="980"/>
        <v>-90857.229999999428</v>
      </c>
      <c r="R471">
        <f t="shared" si="981"/>
        <v>-4170988.1575341253</v>
      </c>
      <c r="S471">
        <f t="shared" si="982"/>
        <v>-41.70988157534125</v>
      </c>
      <c r="T471">
        <f t="shared" si="983"/>
        <v>-4.1709881575341251E-2</v>
      </c>
    </row>
    <row r="472" spans="1:20" x14ac:dyDescent="0.25">
      <c r="A472" s="5">
        <v>44121</v>
      </c>
      <c r="B472">
        <v>0.1009</v>
      </c>
      <c r="C472">
        <v>0.1038</v>
      </c>
      <c r="D472">
        <v>0.1004</v>
      </c>
      <c r="E472">
        <v>0.10150000000000001</v>
      </c>
      <c r="F472">
        <v>382467.57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-0.35294117647058609</v>
      </c>
      <c r="Q472">
        <f t="shared" si="980"/>
        <v>-134988.55411764624</v>
      </c>
      <c r="R472">
        <f t="shared" si="981"/>
        <v>-4080130.9275341257</v>
      </c>
      <c r="S472">
        <f t="shared" si="982"/>
        <v>-40.801309275341261</v>
      </c>
      <c r="T472">
        <f t="shared" si="983"/>
        <v>-4.0801309275341258E-2</v>
      </c>
    </row>
    <row r="473" spans="1:20" x14ac:dyDescent="0.25">
      <c r="A473" s="5">
        <v>44120</v>
      </c>
      <c r="B473">
        <v>0.1174</v>
      </c>
      <c r="C473">
        <v>0.1181</v>
      </c>
      <c r="D473">
        <v>0.10050000000000001</v>
      </c>
      <c r="E473">
        <v>0.10100000000000001</v>
      </c>
      <c r="F473">
        <v>1379411.52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-0.94318181818181812</v>
      </c>
      <c r="Q473">
        <f t="shared" si="980"/>
        <v>-1301035.8654545455</v>
      </c>
      <c r="R473">
        <f t="shared" si="981"/>
        <v>-3945142.3734164797</v>
      </c>
      <c r="S473">
        <f t="shared" si="982"/>
        <v>-39.451423734164798</v>
      </c>
      <c r="T473">
        <f t="shared" si="983"/>
        <v>-3.9451423734164798E-2</v>
      </c>
    </row>
    <row r="474" spans="1:20" x14ac:dyDescent="0.25">
      <c r="A474" s="5">
        <v>44119</v>
      </c>
      <c r="B474">
        <v>0.1085</v>
      </c>
      <c r="C474">
        <v>0.13400000000000001</v>
      </c>
      <c r="D474">
        <v>0.105</v>
      </c>
      <c r="E474">
        <v>0.1171</v>
      </c>
      <c r="F474">
        <v>6016497.3499999996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-0.1655172413793107</v>
      </c>
      <c r="Q474">
        <f t="shared" si="980"/>
        <v>-995834.04413793318</v>
      </c>
      <c r="R474">
        <f t="shared" si="981"/>
        <v>-2644106.507961934</v>
      </c>
      <c r="S474">
        <f t="shared" si="982"/>
        <v>-26.441065079619339</v>
      </c>
      <c r="T474">
        <f t="shared" si="983"/>
        <v>-2.6441065079619339E-2</v>
      </c>
    </row>
    <row r="475" spans="1:20" x14ac:dyDescent="0.25">
      <c r="A475" s="5">
        <v>44118</v>
      </c>
      <c r="B475">
        <v>0.1033</v>
      </c>
      <c r="C475">
        <v>0.1109</v>
      </c>
      <c r="D475">
        <v>9.9599999999999994E-2</v>
      </c>
      <c r="E475">
        <v>0.1086</v>
      </c>
      <c r="F475">
        <v>925104.26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0.5929203539823017</v>
      </c>
      <c r="Q475">
        <f t="shared" si="980"/>
        <v>548513.14530973532</v>
      </c>
      <c r="R475">
        <f t="shared" si="981"/>
        <v>-1648272.4638240009</v>
      </c>
      <c r="S475">
        <f t="shared" si="982"/>
        <v>-16.482724638240008</v>
      </c>
      <c r="T475">
        <f t="shared" si="983"/>
        <v>-1.6482724638240007E-2</v>
      </c>
    </row>
    <row r="476" spans="1:20" x14ac:dyDescent="0.25">
      <c r="A476" s="5">
        <v>44117</v>
      </c>
      <c r="B476">
        <v>0.10539999999999999</v>
      </c>
      <c r="C476">
        <v>0.1066</v>
      </c>
      <c r="D476">
        <v>0.1009</v>
      </c>
      <c r="E476">
        <v>0.10349999999999999</v>
      </c>
      <c r="F476">
        <v>571590.87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-8.7719298245616598E-2</v>
      </c>
      <c r="Q476">
        <f t="shared" si="980"/>
        <v>-50139.550000001465</v>
      </c>
      <c r="R476">
        <f t="shared" si="981"/>
        <v>-2196785.6091337362</v>
      </c>
      <c r="S476">
        <f t="shared" si="982"/>
        <v>-21.967856091337364</v>
      </c>
      <c r="T476">
        <f t="shared" si="983"/>
        <v>-2.1967856091337362E-2</v>
      </c>
    </row>
    <row r="477" spans="1:20" x14ac:dyDescent="0.25">
      <c r="A477" s="5">
        <v>44116</v>
      </c>
      <c r="B477">
        <v>0.1074</v>
      </c>
      <c r="C477">
        <v>0.11650000000000001</v>
      </c>
      <c r="D477">
        <v>0.1053</v>
      </c>
      <c r="E477">
        <v>0.1055</v>
      </c>
      <c r="F477">
        <v>816715.65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-0.96428571428571574</v>
      </c>
      <c r="Q477">
        <f t="shared" si="980"/>
        <v>-787547.23392857262</v>
      </c>
      <c r="R477">
        <f t="shared" si="981"/>
        <v>-2146646.0591337346</v>
      </c>
      <c r="S477">
        <f t="shared" si="982"/>
        <v>-21.466460591337345</v>
      </c>
      <c r="T477">
        <f t="shared" si="983"/>
        <v>-2.1466460591337343E-2</v>
      </c>
    </row>
    <row r="478" spans="1:20" x14ac:dyDescent="0.25">
      <c r="A478" s="5">
        <v>44115</v>
      </c>
      <c r="B478">
        <v>0.1076</v>
      </c>
      <c r="C478">
        <v>0.109</v>
      </c>
      <c r="D478">
        <v>0.10589999999999999</v>
      </c>
      <c r="E478">
        <v>0.1079</v>
      </c>
      <c r="F478">
        <v>139727.06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0.29032258064516014</v>
      </c>
      <c r="Q478">
        <f t="shared" si="980"/>
        <v>40565.920645161132</v>
      </c>
      <c r="R478">
        <f t="shared" si="981"/>
        <v>-1359098.8252051617</v>
      </c>
      <c r="S478">
        <f t="shared" si="982"/>
        <v>-13.590988252051616</v>
      </c>
      <c r="T478">
        <f t="shared" si="983"/>
        <v>-1.3590988252051616E-2</v>
      </c>
    </row>
    <row r="479" spans="1:20" x14ac:dyDescent="0.25">
      <c r="A479" s="5">
        <v>44114</v>
      </c>
      <c r="B479">
        <v>0.11169999999999999</v>
      </c>
      <c r="C479">
        <v>0.11269999999999999</v>
      </c>
      <c r="D479">
        <v>0.1069</v>
      </c>
      <c r="E479">
        <v>0.107</v>
      </c>
      <c r="F479">
        <v>997999.47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-0.96551724137930939</v>
      </c>
      <c r="Q479">
        <f t="shared" si="980"/>
        <v>-963585.69517241279</v>
      </c>
      <c r="R479">
        <f t="shared" si="981"/>
        <v>-1399664.7458503228</v>
      </c>
      <c r="S479">
        <f t="shared" si="982"/>
        <v>-13.996647458503228</v>
      </c>
      <c r="T479">
        <f t="shared" si="983"/>
        <v>-1.3996647458503228E-2</v>
      </c>
    </row>
    <row r="480" spans="1:20" x14ac:dyDescent="0.25">
      <c r="A480" s="5">
        <v>44113</v>
      </c>
      <c r="B480">
        <v>0.1022</v>
      </c>
      <c r="C480">
        <v>0.1125</v>
      </c>
      <c r="D480">
        <v>0.1021</v>
      </c>
      <c r="E480">
        <v>0.11169999999999999</v>
      </c>
      <c r="F480">
        <v>1192792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0.84615384615384448</v>
      </c>
      <c r="Q480">
        <f t="shared" si="980"/>
        <v>1009285.5384615365</v>
      </c>
      <c r="R480">
        <f t="shared" si="981"/>
        <v>-436079.0506779101</v>
      </c>
      <c r="S480">
        <f t="shared" si="982"/>
        <v>-4.3607905067791011</v>
      </c>
      <c r="T480">
        <f t="shared" si="983"/>
        <v>-4.3607905067791011E-3</v>
      </c>
    </row>
    <row r="481" spans="1:20" x14ac:dyDescent="0.25">
      <c r="A481" s="5">
        <v>44112</v>
      </c>
      <c r="B481">
        <v>0.10199999999999999</v>
      </c>
      <c r="C481">
        <v>0.104</v>
      </c>
      <c r="D481">
        <v>9.7699999999999995E-2</v>
      </c>
      <c r="E481">
        <v>0.1022</v>
      </c>
      <c r="F481">
        <v>452699.64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0.42857142857142982</v>
      </c>
      <c r="Q481">
        <f t="shared" si="980"/>
        <v>194014.131428572</v>
      </c>
      <c r="R481">
        <f t="shared" si="981"/>
        <v>-1445364.5891394466</v>
      </c>
      <c r="S481">
        <f t="shared" si="982"/>
        <v>-14.453645891394466</v>
      </c>
      <c r="T481">
        <f t="shared" si="983"/>
        <v>-1.4453645891394466E-2</v>
      </c>
    </row>
    <row r="482" spans="1:20" x14ac:dyDescent="0.25">
      <c r="A482" s="5">
        <v>44111</v>
      </c>
      <c r="B482">
        <v>0.10249999999999999</v>
      </c>
      <c r="C482">
        <v>0.10249999999999999</v>
      </c>
      <c r="D482">
        <v>9.9400000000000002E-2</v>
      </c>
      <c r="E482">
        <v>0.1018</v>
      </c>
      <c r="F482">
        <v>373467.73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0.54838709677419728</v>
      </c>
      <c r="Q482">
        <f t="shared" si="980"/>
        <v>204804.88419354978</v>
      </c>
      <c r="R482">
        <f t="shared" si="981"/>
        <v>-1639378.7205680185</v>
      </c>
      <c r="S482">
        <f t="shared" si="982"/>
        <v>-16.393787205680184</v>
      </c>
      <c r="T482">
        <f t="shared" si="983"/>
        <v>-1.6393787205680185E-2</v>
      </c>
    </row>
    <row r="483" spans="1:20" x14ac:dyDescent="0.25">
      <c r="A483" s="5">
        <v>44110</v>
      </c>
      <c r="B483">
        <v>0.1096</v>
      </c>
      <c r="C483">
        <v>0.11169999999999999</v>
      </c>
      <c r="D483">
        <v>0.1023</v>
      </c>
      <c r="E483">
        <v>0.10249999999999999</v>
      </c>
      <c r="F483">
        <v>426674.71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-0.95744680851064001</v>
      </c>
      <c r="Q483">
        <f t="shared" si="980"/>
        <v>-408518.33936170291</v>
      </c>
      <c r="R483">
        <f t="shared" si="981"/>
        <v>-1844183.6047615684</v>
      </c>
      <c r="S483">
        <f t="shared" si="982"/>
        <v>-18.441836047615684</v>
      </c>
      <c r="T483">
        <f t="shared" si="983"/>
        <v>-1.8441836047615685E-2</v>
      </c>
    </row>
    <row r="484" spans="1:20" x14ac:dyDescent="0.25">
      <c r="A484" s="5">
        <v>44109</v>
      </c>
      <c r="B484">
        <v>0.11020000000000001</v>
      </c>
      <c r="C484">
        <v>0.11210000000000001</v>
      </c>
      <c r="D484">
        <v>0.109</v>
      </c>
      <c r="E484">
        <v>0.11</v>
      </c>
      <c r="F484">
        <v>212612.42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-0.35483870967741993</v>
      </c>
      <c r="Q484">
        <f t="shared" si="980"/>
        <v>-75443.116774193681</v>
      </c>
      <c r="R484">
        <f t="shared" si="981"/>
        <v>-1435665.2653998656</v>
      </c>
      <c r="S484">
        <f t="shared" si="982"/>
        <v>-14.356652653998657</v>
      </c>
      <c r="T484">
        <f t="shared" si="983"/>
        <v>-1.4356652653998657E-2</v>
      </c>
    </row>
    <row r="485" spans="1:20" x14ac:dyDescent="0.25">
      <c r="A485" s="5">
        <v>44108</v>
      </c>
      <c r="B485">
        <v>0.1111</v>
      </c>
      <c r="C485">
        <v>0.1111</v>
      </c>
      <c r="D485">
        <v>0.10929999999999999</v>
      </c>
      <c r="E485">
        <v>0.10979999999999999</v>
      </c>
      <c r="F485">
        <v>220147.73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-0.44444444444444703</v>
      </c>
      <c r="Q485">
        <f t="shared" si="980"/>
        <v>-97843.435555556134</v>
      </c>
      <c r="R485">
        <f t="shared" si="981"/>
        <v>-1360222.1486256719</v>
      </c>
      <c r="S485">
        <f t="shared" si="982"/>
        <v>-13.602221486256719</v>
      </c>
      <c r="T485">
        <f t="shared" si="983"/>
        <v>-1.3602221486256718E-2</v>
      </c>
    </row>
    <row r="486" spans="1:20" x14ac:dyDescent="0.25">
      <c r="A486" s="5">
        <v>44107</v>
      </c>
      <c r="B486">
        <v>0.11070000000000001</v>
      </c>
      <c r="C486">
        <v>0.1137</v>
      </c>
      <c r="D486">
        <v>0.1096</v>
      </c>
      <c r="E486">
        <v>0.1113</v>
      </c>
      <c r="F486">
        <v>396231.79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-0.17073170731707499</v>
      </c>
      <c r="Q486">
        <f t="shared" si="980"/>
        <v>-67649.330000000715</v>
      </c>
      <c r="R486">
        <f t="shared" si="981"/>
        <v>-1262378.7130701158</v>
      </c>
      <c r="S486">
        <f t="shared" si="982"/>
        <v>-12.623787130701158</v>
      </c>
      <c r="T486">
        <f t="shared" si="983"/>
        <v>-1.2623787130701159E-2</v>
      </c>
    </row>
    <row r="487" spans="1:20" x14ac:dyDescent="0.25">
      <c r="A487" s="5">
        <v>44106</v>
      </c>
      <c r="B487">
        <v>0.1152</v>
      </c>
      <c r="C487">
        <v>0.1164</v>
      </c>
      <c r="D487">
        <v>0.1099</v>
      </c>
      <c r="E487">
        <v>0.1108</v>
      </c>
      <c r="F487">
        <v>454655.74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-0.72307692307692395</v>
      </c>
      <c r="Q487">
        <f t="shared" si="980"/>
        <v>-328751.07353846193</v>
      </c>
      <c r="R487">
        <f t="shared" si="981"/>
        <v>-1194729.383070115</v>
      </c>
      <c r="S487">
        <f t="shared" si="982"/>
        <v>-11.947293830701151</v>
      </c>
      <c r="T487">
        <f t="shared" si="983"/>
        <v>-1.1947293830701151E-2</v>
      </c>
    </row>
    <row r="488" spans="1:20" x14ac:dyDescent="0.25">
      <c r="A488" s="5">
        <v>44105</v>
      </c>
      <c r="B488">
        <v>0.1206</v>
      </c>
      <c r="C488">
        <v>0.1249</v>
      </c>
      <c r="D488">
        <v>0.1145</v>
      </c>
      <c r="E488">
        <v>0.11600000000000001</v>
      </c>
      <c r="F488">
        <v>986547.71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-0.71153846153846112</v>
      </c>
      <c r="Q488">
        <f t="shared" si="980"/>
        <v>-701966.63980769191</v>
      </c>
      <c r="R488">
        <f t="shared" si="981"/>
        <v>-865978.30953165307</v>
      </c>
      <c r="S488">
        <f t="shared" si="982"/>
        <v>-8.6597830953165307</v>
      </c>
      <c r="T488">
        <f t="shared" si="983"/>
        <v>-8.6597830953165315E-3</v>
      </c>
    </row>
    <row r="489" spans="1:20" x14ac:dyDescent="0.25">
      <c r="A489" s="5">
        <v>44104</v>
      </c>
      <c r="B489">
        <v>0.1201</v>
      </c>
      <c r="C489">
        <v>0.12139999999999999</v>
      </c>
      <c r="D489">
        <v>0.1174</v>
      </c>
      <c r="E489">
        <v>0.12139999999999999</v>
      </c>
      <c r="F489">
        <v>335745.18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1</v>
      </c>
      <c r="Q489">
        <f t="shared" si="980"/>
        <v>335745.18</v>
      </c>
      <c r="R489">
        <f t="shared" si="981"/>
        <v>-164011.66972396121</v>
      </c>
      <c r="S489">
        <f t="shared" si="982"/>
        <v>-1.6401166972396122</v>
      </c>
      <c r="T489">
        <f t="shared" si="983"/>
        <v>-1.6401166972396122E-3</v>
      </c>
    </row>
    <row r="490" spans="1:20" x14ac:dyDescent="0.25">
      <c r="A490" s="5">
        <v>44103</v>
      </c>
      <c r="B490">
        <v>0.1226</v>
      </c>
      <c r="C490">
        <v>0.1237</v>
      </c>
      <c r="D490">
        <v>0.11700000000000001</v>
      </c>
      <c r="E490">
        <v>0.12</v>
      </c>
      <c r="F490">
        <v>589693.6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-0.10447761194030154</v>
      </c>
      <c r="Q490">
        <f t="shared" si="980"/>
        <v>-61609.779104479399</v>
      </c>
      <c r="R490">
        <f t="shared" si="981"/>
        <v>-499756.8497239612</v>
      </c>
      <c r="S490">
        <f t="shared" si="982"/>
        <v>-4.9975684972396124</v>
      </c>
      <c r="T490">
        <f t="shared" si="983"/>
        <v>-4.9975684972396123E-3</v>
      </c>
    </row>
    <row r="491" spans="1:20" x14ac:dyDescent="0.25">
      <c r="A491" s="5">
        <v>44102</v>
      </c>
      <c r="B491">
        <v>0.12970000000000001</v>
      </c>
      <c r="C491">
        <v>0.13100000000000001</v>
      </c>
      <c r="D491">
        <v>0.122</v>
      </c>
      <c r="E491">
        <v>0.1225</v>
      </c>
      <c r="F491">
        <v>371136.93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-0.88888888888888884</v>
      </c>
      <c r="Q491">
        <f t="shared" si="980"/>
        <v>-329899.49333333329</v>
      </c>
      <c r="R491">
        <f t="shared" si="981"/>
        <v>-438147.07061948179</v>
      </c>
      <c r="S491">
        <f t="shared" si="982"/>
        <v>-4.3814707061948175</v>
      </c>
      <c r="T491">
        <f t="shared" si="983"/>
        <v>-4.3814707061948172E-3</v>
      </c>
    </row>
    <row r="492" spans="1:20" x14ac:dyDescent="0.25">
      <c r="A492" s="5">
        <v>44101</v>
      </c>
      <c r="B492">
        <v>0.13400000000000001</v>
      </c>
      <c r="C492">
        <v>0.13669999999999999</v>
      </c>
      <c r="D492">
        <v>0.12790000000000001</v>
      </c>
      <c r="E492">
        <v>0.1298</v>
      </c>
      <c r="F492">
        <v>340339.78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-0.56818181818182034</v>
      </c>
      <c r="Q492">
        <f t="shared" si="980"/>
        <v>-193374.87500000076</v>
      </c>
      <c r="R492">
        <f t="shared" si="981"/>
        <v>-108247.57728614849</v>
      </c>
      <c r="S492">
        <f t="shared" si="982"/>
        <v>-1.0824757728614849</v>
      </c>
      <c r="T492">
        <f t="shared" si="983"/>
        <v>-1.0824757728614849E-3</v>
      </c>
    </row>
    <row r="493" spans="1:20" x14ac:dyDescent="0.25">
      <c r="A493" s="5">
        <v>44100</v>
      </c>
      <c r="B493">
        <v>0.13109999999999999</v>
      </c>
      <c r="C493">
        <v>0.1376</v>
      </c>
      <c r="D493">
        <v>0.12959999999999999</v>
      </c>
      <c r="E493">
        <v>0.13300000000000001</v>
      </c>
      <c r="F493">
        <v>470467.44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-0.14999999999999722</v>
      </c>
      <c r="Q493">
        <f t="shared" si="980"/>
        <v>-70570.115999998685</v>
      </c>
      <c r="R493">
        <f t="shared" si="981"/>
        <v>85127.297713852269</v>
      </c>
      <c r="S493">
        <f t="shared" si="982"/>
        <v>0.85127297713852268</v>
      </c>
      <c r="T493">
        <f t="shared" si="983"/>
        <v>8.5127297713852269E-4</v>
      </c>
    </row>
    <row r="494" spans="1:20" x14ac:dyDescent="0.25">
      <c r="A494" s="5">
        <v>44099</v>
      </c>
      <c r="B494">
        <v>0.12889999999999999</v>
      </c>
      <c r="C494">
        <v>0.1313</v>
      </c>
      <c r="D494">
        <v>0.12429999999999999</v>
      </c>
      <c r="E494">
        <v>0.13059999999999999</v>
      </c>
      <c r="F494">
        <v>736120.57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0.79999999999999838</v>
      </c>
      <c r="Q494">
        <f t="shared" si="980"/>
        <v>588896.45599999873</v>
      </c>
      <c r="R494">
        <f t="shared" si="981"/>
        <v>155697.41371385095</v>
      </c>
      <c r="S494">
        <f t="shared" si="982"/>
        <v>1.5569741371385095</v>
      </c>
      <c r="T494">
        <f t="shared" si="983"/>
        <v>1.5569741371385096E-3</v>
      </c>
    </row>
    <row r="495" spans="1:20" x14ac:dyDescent="0.25">
      <c r="A495" s="5">
        <v>44098</v>
      </c>
      <c r="B495">
        <v>0.1217</v>
      </c>
      <c r="C495">
        <v>0.12909999999999999</v>
      </c>
      <c r="D495">
        <v>0.12089999999999999</v>
      </c>
      <c r="E495">
        <v>0.1288</v>
      </c>
      <c r="F495">
        <v>292812.51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0.92682926829268419</v>
      </c>
      <c r="Q495">
        <f t="shared" si="980"/>
        <v>271387.20439024427</v>
      </c>
      <c r="R495">
        <f t="shared" si="981"/>
        <v>-433199.04228614777</v>
      </c>
      <c r="S495">
        <f t="shared" si="982"/>
        <v>-4.3319904228614776</v>
      </c>
      <c r="T495">
        <f t="shared" si="983"/>
        <v>-4.3319904228614776E-3</v>
      </c>
    </row>
    <row r="496" spans="1:20" x14ac:dyDescent="0.25">
      <c r="A496" s="5">
        <v>44097</v>
      </c>
      <c r="B496">
        <v>0.1239</v>
      </c>
      <c r="C496">
        <v>0.1275</v>
      </c>
      <c r="D496">
        <v>0.1201</v>
      </c>
      <c r="E496">
        <v>0.12089999999999999</v>
      </c>
      <c r="F496">
        <v>611371.32999999996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-0.78378378378378522</v>
      </c>
      <c r="Q496">
        <f t="shared" si="980"/>
        <v>-479182.93432432518</v>
      </c>
      <c r="R496">
        <f t="shared" si="981"/>
        <v>-704586.24667639204</v>
      </c>
      <c r="S496">
        <f t="shared" si="982"/>
        <v>-7.0458624667639205</v>
      </c>
      <c r="T496">
        <f t="shared" si="983"/>
        <v>-7.0458624667639209E-3</v>
      </c>
    </row>
    <row r="497" spans="1:20" x14ac:dyDescent="0.25">
      <c r="A497" s="5">
        <v>44096</v>
      </c>
      <c r="B497">
        <v>0.123</v>
      </c>
      <c r="C497">
        <v>0.1249</v>
      </c>
      <c r="D497">
        <v>0.1188</v>
      </c>
      <c r="E497">
        <v>0.12379999999999999</v>
      </c>
      <c r="F497">
        <v>613650.75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0.63934426229508035</v>
      </c>
      <c r="Q497">
        <f t="shared" si="980"/>
        <v>392334.0860655728</v>
      </c>
      <c r="R497">
        <f t="shared" si="981"/>
        <v>-225403.31235206686</v>
      </c>
      <c r="S497">
        <f t="shared" si="982"/>
        <v>-2.2540331235206685</v>
      </c>
      <c r="T497">
        <f t="shared" si="983"/>
        <v>-2.2540331235206684E-3</v>
      </c>
    </row>
    <row r="498" spans="1:20" x14ac:dyDescent="0.25">
      <c r="A498" s="5">
        <v>44095</v>
      </c>
      <c r="B498">
        <v>0.13669999999999999</v>
      </c>
      <c r="C498">
        <v>0.13930000000000001</v>
      </c>
      <c r="D498">
        <v>0.12089999999999999</v>
      </c>
      <c r="E498">
        <v>0.1234</v>
      </c>
      <c r="F498">
        <v>788306.73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-0.72826086956521741</v>
      </c>
      <c r="Q498">
        <f t="shared" si="980"/>
        <v>-574092.94467391307</v>
      </c>
      <c r="R498">
        <f t="shared" si="981"/>
        <v>-617737.39841763966</v>
      </c>
      <c r="S498">
        <f t="shared" si="982"/>
        <v>-6.1773739841763966</v>
      </c>
      <c r="T498">
        <f t="shared" si="983"/>
        <v>-6.1773739841763965E-3</v>
      </c>
    </row>
    <row r="499" spans="1:20" x14ac:dyDescent="0.25">
      <c r="A499" s="5">
        <v>44094</v>
      </c>
      <c r="B499">
        <v>0.1429</v>
      </c>
      <c r="C499">
        <v>0.14399999999999999</v>
      </c>
      <c r="D499">
        <v>0.1356</v>
      </c>
      <c r="E499">
        <v>0.13700000000000001</v>
      </c>
      <c r="F499">
        <v>355124.88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-0.66666666666666341</v>
      </c>
      <c r="Q499">
        <f t="shared" si="980"/>
        <v>-236749.91999999885</v>
      </c>
      <c r="R499">
        <f t="shared" si="981"/>
        <v>-43644.453743726626</v>
      </c>
      <c r="S499">
        <f t="shared" si="982"/>
        <v>-0.43644453743726624</v>
      </c>
      <c r="T499">
        <f t="shared" si="983"/>
        <v>-4.3644453743726626E-4</v>
      </c>
    </row>
    <row r="500" spans="1:20" x14ac:dyDescent="0.25">
      <c r="A500" s="5">
        <v>44093</v>
      </c>
      <c r="B500">
        <v>0.14130000000000001</v>
      </c>
      <c r="C500">
        <v>0.15110000000000001</v>
      </c>
      <c r="D500">
        <v>0.1394</v>
      </c>
      <c r="E500">
        <v>0.14330000000000001</v>
      </c>
      <c r="F500">
        <v>859873.18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-0.33333333333333176</v>
      </c>
      <c r="Q500">
        <f t="shared" si="980"/>
        <v>-286624.39333333197</v>
      </c>
      <c r="R500">
        <f t="shared" si="981"/>
        <v>193105.46625627222</v>
      </c>
      <c r="S500">
        <f t="shared" si="982"/>
        <v>1.9310546625627223</v>
      </c>
      <c r="T500">
        <f t="shared" si="983"/>
        <v>1.9310546625627223E-3</v>
      </c>
    </row>
    <row r="501" spans="1:20" x14ac:dyDescent="0.25">
      <c r="A501" s="5">
        <v>44092</v>
      </c>
      <c r="B501">
        <v>0.1368</v>
      </c>
      <c r="C501">
        <v>0.14710000000000001</v>
      </c>
      <c r="D501">
        <v>0.1351</v>
      </c>
      <c r="E501">
        <v>0.14130000000000001</v>
      </c>
      <c r="F501">
        <v>1396104.2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3.3333333333334256E-2</v>
      </c>
      <c r="Q501">
        <f t="shared" si="980"/>
        <v>46536.806666667952</v>
      </c>
      <c r="R501">
        <f t="shared" si="981"/>
        <v>479729.8595896042</v>
      </c>
      <c r="S501">
        <f t="shared" si="982"/>
        <v>4.7972985958960424</v>
      </c>
      <c r="T501">
        <f t="shared" si="983"/>
        <v>4.7972985958960428E-3</v>
      </c>
    </row>
    <row r="502" spans="1:20" x14ac:dyDescent="0.25">
      <c r="A502" s="5">
        <v>44091</v>
      </c>
      <c r="B502">
        <v>0.1358</v>
      </c>
      <c r="C502">
        <v>0.1401</v>
      </c>
      <c r="D502">
        <v>0.13220000000000001</v>
      </c>
      <c r="E502">
        <v>0.1368</v>
      </c>
      <c r="F502">
        <v>649793.71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0.16455696202531611</v>
      </c>
      <c r="Q502">
        <f t="shared" si="980"/>
        <v>106928.07886075927</v>
      </c>
      <c r="R502">
        <f t="shared" si="981"/>
        <v>433193.05292293627</v>
      </c>
      <c r="S502">
        <f t="shared" si="982"/>
        <v>4.3319305292293624</v>
      </c>
      <c r="T502">
        <f t="shared" si="983"/>
        <v>4.3319305292293621E-3</v>
      </c>
    </row>
    <row r="503" spans="1:20" x14ac:dyDescent="0.25">
      <c r="A503" s="5">
        <v>44090</v>
      </c>
      <c r="B503">
        <v>0.14410000000000001</v>
      </c>
      <c r="C503">
        <v>0.14499999999999999</v>
      </c>
      <c r="D503">
        <v>0.13539999999999999</v>
      </c>
      <c r="E503">
        <v>0.1358</v>
      </c>
      <c r="F503">
        <v>943790.73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-0.9166666666666643</v>
      </c>
      <c r="Q503">
        <f t="shared" si="980"/>
        <v>-865141.50249999773</v>
      </c>
      <c r="R503">
        <f t="shared" si="981"/>
        <v>326264.974062177</v>
      </c>
      <c r="S503">
        <f t="shared" si="982"/>
        <v>3.2626497406217698</v>
      </c>
      <c r="T503">
        <f t="shared" si="983"/>
        <v>3.2626497406217699E-3</v>
      </c>
    </row>
    <row r="504" spans="1:20" x14ac:dyDescent="0.25">
      <c r="A504" s="5">
        <v>44089</v>
      </c>
      <c r="B504">
        <v>0.15809999999999999</v>
      </c>
      <c r="C504">
        <v>0.15870000000000001</v>
      </c>
      <c r="D504">
        <v>0.14410000000000001</v>
      </c>
      <c r="E504">
        <v>0.1454</v>
      </c>
      <c r="F504">
        <v>1027353.01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-0.8219178082191787</v>
      </c>
      <c r="Q504">
        <f t="shared" si="980"/>
        <v>-844399.73424657597</v>
      </c>
      <c r="R504">
        <f t="shared" si="981"/>
        <v>1191406.4765621747</v>
      </c>
      <c r="S504">
        <f t="shared" si="982"/>
        <v>11.914064765621747</v>
      </c>
      <c r="T504">
        <f t="shared" si="983"/>
        <v>1.1914064765621747E-2</v>
      </c>
    </row>
    <row r="505" spans="1:20" x14ac:dyDescent="0.25">
      <c r="A505" s="5">
        <v>44088</v>
      </c>
      <c r="B505">
        <v>0.1583</v>
      </c>
      <c r="C505">
        <v>0.16450000000000001</v>
      </c>
      <c r="D505">
        <v>0.15570000000000001</v>
      </c>
      <c r="E505">
        <v>0.15809999999999999</v>
      </c>
      <c r="F505">
        <v>828544.46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-0.45454545454545797</v>
      </c>
      <c r="Q505">
        <f t="shared" si="980"/>
        <v>-376611.11818182102</v>
      </c>
      <c r="R505">
        <f t="shared" si="981"/>
        <v>2035806.2108087507</v>
      </c>
      <c r="S505">
        <f t="shared" si="982"/>
        <v>20.358062108087505</v>
      </c>
      <c r="T505">
        <f t="shared" si="983"/>
        <v>2.0358062108087504E-2</v>
      </c>
    </row>
    <row r="506" spans="1:20" x14ac:dyDescent="0.25">
      <c r="A506" s="5">
        <v>44087</v>
      </c>
      <c r="B506">
        <v>0.17299999999999999</v>
      </c>
      <c r="C506">
        <v>0.18060000000000001</v>
      </c>
      <c r="D506">
        <v>0.1583</v>
      </c>
      <c r="E506">
        <v>0.15859999999999999</v>
      </c>
      <c r="F506">
        <v>1532789.83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-0.97309417040358792</v>
      </c>
      <c r="Q506">
        <f t="shared" si="980"/>
        <v>-1491548.8480269066</v>
      </c>
      <c r="R506">
        <f t="shared" si="981"/>
        <v>2412417.3289905717</v>
      </c>
      <c r="S506">
        <f t="shared" si="982"/>
        <v>24.124173289905716</v>
      </c>
      <c r="T506">
        <f t="shared" si="983"/>
        <v>2.4124173289905716E-2</v>
      </c>
    </row>
    <row r="507" spans="1:20" x14ac:dyDescent="0.25">
      <c r="A507" s="5">
        <v>44086</v>
      </c>
      <c r="B507">
        <v>0.18029999999999999</v>
      </c>
      <c r="C507">
        <v>0.18190000000000001</v>
      </c>
      <c r="D507">
        <v>0.17080000000000001</v>
      </c>
      <c r="E507">
        <v>0.1736</v>
      </c>
      <c r="F507">
        <v>1125451.23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-0.49549549549549599</v>
      </c>
      <c r="Q507">
        <f t="shared" si="980"/>
        <v>-557656.01486486546</v>
      </c>
      <c r="R507">
        <f t="shared" si="981"/>
        <v>3903966.1770174783</v>
      </c>
      <c r="S507">
        <f t="shared" si="982"/>
        <v>39.039661770174781</v>
      </c>
      <c r="T507">
        <f t="shared" si="983"/>
        <v>3.9039661770174781E-2</v>
      </c>
    </row>
    <row r="508" spans="1:20" x14ac:dyDescent="0.25">
      <c r="A508" s="5">
        <v>44085</v>
      </c>
      <c r="B508">
        <v>0.184</v>
      </c>
      <c r="C508">
        <v>0.18629999999999999</v>
      </c>
      <c r="D508">
        <v>0.1681</v>
      </c>
      <c r="E508">
        <v>0.1802</v>
      </c>
      <c r="F508">
        <v>2860647.31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0.32967032967033005</v>
      </c>
      <c r="Q508">
        <f t="shared" si="980"/>
        <v>943070.54175824288</v>
      </c>
      <c r="R508">
        <f t="shared" si="981"/>
        <v>4461622.191882344</v>
      </c>
      <c r="S508">
        <f t="shared" si="982"/>
        <v>44.616221918823442</v>
      </c>
      <c r="T508">
        <f t="shared" si="983"/>
        <v>4.4616221918823439E-2</v>
      </c>
    </row>
    <row r="509" spans="1:20" x14ac:dyDescent="0.25">
      <c r="A509" s="5">
        <v>44084</v>
      </c>
      <c r="B509">
        <v>0.16200000000000001</v>
      </c>
      <c r="C509">
        <v>0.192</v>
      </c>
      <c r="D509">
        <v>0.16009999999999999</v>
      </c>
      <c r="E509">
        <v>0.185</v>
      </c>
      <c r="F509">
        <v>7783909.5599999996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0.56112852664576784</v>
      </c>
      <c r="Q509">
        <f t="shared" si="980"/>
        <v>4367773.7029467067</v>
      </c>
      <c r="R509">
        <f t="shared" si="981"/>
        <v>3518551.6501241014</v>
      </c>
      <c r="S509">
        <f t="shared" si="982"/>
        <v>35.185516501241011</v>
      </c>
      <c r="T509">
        <f t="shared" si="983"/>
        <v>3.5185516501241014E-2</v>
      </c>
    </row>
    <row r="510" spans="1:20" x14ac:dyDescent="0.25">
      <c r="A510" s="5">
        <v>44083</v>
      </c>
      <c r="B510">
        <v>0.15279999999999999</v>
      </c>
      <c r="C510">
        <v>0.1668</v>
      </c>
      <c r="D510">
        <v>0.14960000000000001</v>
      </c>
      <c r="E510">
        <v>0.16159999999999999</v>
      </c>
      <c r="F510">
        <v>852672.02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0.39534883720930092</v>
      </c>
      <c r="Q510">
        <f t="shared" si="980"/>
        <v>337102.89162790577</v>
      </c>
      <c r="R510">
        <f t="shared" si="981"/>
        <v>-849222.05282260536</v>
      </c>
      <c r="S510">
        <f t="shared" si="982"/>
        <v>-8.4922205282260528</v>
      </c>
      <c r="T510">
        <f t="shared" si="983"/>
        <v>-8.4922205282260532E-3</v>
      </c>
    </row>
    <row r="511" spans="1:20" x14ac:dyDescent="0.25">
      <c r="A511" s="5">
        <v>44082</v>
      </c>
      <c r="B511">
        <v>0.15540000000000001</v>
      </c>
      <c r="C511">
        <v>0.1658</v>
      </c>
      <c r="D511">
        <v>0.14560000000000001</v>
      </c>
      <c r="E511">
        <v>0.15409999999999999</v>
      </c>
      <c r="F511">
        <v>1892906.28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-0.15841584158416025</v>
      </c>
      <c r="Q511">
        <f t="shared" si="980"/>
        <v>-299866.34138614207</v>
      </c>
      <c r="R511">
        <f t="shared" si="981"/>
        <v>-1186324.9444505111</v>
      </c>
      <c r="S511">
        <f t="shared" si="982"/>
        <v>-11.863249444505112</v>
      </c>
      <c r="T511">
        <f t="shared" si="983"/>
        <v>-1.1863249444505111E-2</v>
      </c>
    </row>
    <row r="512" spans="1:20" x14ac:dyDescent="0.25">
      <c r="A512" s="5">
        <v>44081</v>
      </c>
      <c r="B512">
        <v>0.15870000000000001</v>
      </c>
      <c r="C512">
        <v>0.16650000000000001</v>
      </c>
      <c r="D512">
        <v>0.1404</v>
      </c>
      <c r="E512">
        <v>0.15529999999999999</v>
      </c>
      <c r="F512">
        <v>2262711.8199999998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0.14176245210727889</v>
      </c>
      <c r="Q512">
        <f t="shared" si="980"/>
        <v>320767.57601532381</v>
      </c>
      <c r="R512">
        <f t="shared" si="981"/>
        <v>-886458.60306436894</v>
      </c>
      <c r="S512">
        <f t="shared" si="982"/>
        <v>-8.8645860306436894</v>
      </c>
      <c r="T512">
        <f t="shared" si="983"/>
        <v>-8.8645860306436897E-3</v>
      </c>
    </row>
    <row r="513" spans="1:20" x14ac:dyDescent="0.25">
      <c r="A513" s="5">
        <v>44080</v>
      </c>
      <c r="B513">
        <v>0.14699999999999999</v>
      </c>
      <c r="C513">
        <v>0.16769999999999999</v>
      </c>
      <c r="D513">
        <v>0.13789999999999999</v>
      </c>
      <c r="E513">
        <v>0.15870000000000001</v>
      </c>
      <c r="F513">
        <v>2251866.42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0.39597315436241731</v>
      </c>
      <c r="Q513">
        <f t="shared" si="980"/>
        <v>891678.64953020401</v>
      </c>
      <c r="R513">
        <f t="shared" si="981"/>
        <v>-1207226.1790796928</v>
      </c>
      <c r="S513">
        <f t="shared" si="982"/>
        <v>-12.072261790796928</v>
      </c>
      <c r="T513">
        <f t="shared" si="983"/>
        <v>-1.2072261790796927E-2</v>
      </c>
    </row>
    <row r="514" spans="1:20" x14ac:dyDescent="0.25">
      <c r="A514" s="5">
        <v>44079</v>
      </c>
      <c r="B514">
        <v>0.19420000000000001</v>
      </c>
      <c r="C514">
        <v>0.20119999999999999</v>
      </c>
      <c r="D514">
        <v>0.13800000000000001</v>
      </c>
      <c r="E514">
        <v>0.14699999999999999</v>
      </c>
      <c r="F514">
        <v>2646812.94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-0.715189873417722</v>
      </c>
      <c r="Q514">
        <f t="shared" si="980"/>
        <v>-1892973.8115189886</v>
      </c>
      <c r="R514">
        <f t="shared" si="981"/>
        <v>-2098904.8286098968</v>
      </c>
      <c r="S514">
        <f t="shared" si="982"/>
        <v>-20.989048286098967</v>
      </c>
      <c r="T514">
        <f t="shared" si="983"/>
        <v>-2.0989048286098967E-2</v>
      </c>
    </row>
    <row r="515" spans="1:20" x14ac:dyDescent="0.25">
      <c r="A515" s="5">
        <v>44078</v>
      </c>
      <c r="B515">
        <v>0.17780000000000001</v>
      </c>
      <c r="C515">
        <v>0.21579999999999999</v>
      </c>
      <c r="D515">
        <v>0.17730000000000001</v>
      </c>
      <c r="E515">
        <v>0.19550000000000001</v>
      </c>
      <c r="F515">
        <v>3775401.98</v>
      </c>
      <c r="G515">
        <v>0</v>
      </c>
      <c r="P515">
        <f t="shared" si="979"/>
        <v>-5.4545454545454335E-2</v>
      </c>
      <c r="Q515">
        <f t="shared" si="980"/>
        <v>-205931.01709090828</v>
      </c>
      <c r="R515">
        <f t="shared" si="981"/>
        <v>-205931.01709090828</v>
      </c>
      <c r="S515">
        <f t="shared" si="982"/>
        <v>-2.0593101709090829</v>
      </c>
      <c r="T515">
        <f t="shared" si="983"/>
        <v>-2.0593101709090829E-3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K703" sqref="JK70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$A$702</v>
      </c>
      <c r="D111" s="1" t="str">
        <f>ADDRESS(C121-1,D121,1,1)</f>
        <v>$JK$702</v>
      </c>
      <c r="E111"/>
    </row>
    <row r="112" spans="1:5" x14ac:dyDescent="0.25">
      <c r="A112" s="7">
        <v>12164.144957890772</v>
      </c>
      <c r="C112" s="1" t="str">
        <f>ADDRESS(C121,1,1,1)</f>
        <v>$A$703</v>
      </c>
      <c r="D112" s="1" t="str">
        <f>ADDRESS(C121,D121-1,1,1)</f>
        <v>$JJ$703</v>
      </c>
      <c r="E112"/>
    </row>
    <row r="113" spans="1:5" x14ac:dyDescent="0.25">
      <c r="A113" s="7">
        <v>11925.63231165762</v>
      </c>
      <c r="C113" s="1" t="str">
        <f>ADDRESS(C121+1,1,1,1)</f>
        <v>$A$704</v>
      </c>
      <c r="D113" s="1" t="str">
        <f>ADDRESS(C121-1,D121+1,1,1)</f>
        <v>$JL$702</v>
      </c>
    </row>
    <row r="114" spans="1:5" x14ac:dyDescent="0.25">
      <c r="A114" s="7">
        <v>11691.796383978059</v>
      </c>
      <c r="C114" s="1" t="str">
        <f>ADDRESS(C121,D121,1,1)</f>
        <v>$JK$703</v>
      </c>
      <c r="D114" s="1" t="str">
        <f>ADDRESS(C121+1,D121+1,1,1)</f>
        <v>$JL$704</v>
      </c>
    </row>
    <row r="115" spans="1:5" x14ac:dyDescent="0.25">
      <c r="A115" s="7">
        <v>11462.545474488292</v>
      </c>
      <c r="C115" s="1" t="str">
        <f>ADDRESS(C121+1,D121,1,1)</f>
        <v>$JK$704</v>
      </c>
    </row>
    <row r="116" spans="1:5" x14ac:dyDescent="0.25">
      <c r="A116" s="7">
        <v>11237.789680870874</v>
      </c>
      <c r="C116" s="1">
        <f>C117-1</f>
        <v>702</v>
      </c>
    </row>
    <row r="117" spans="1:5" x14ac:dyDescent="0.25">
      <c r="A117" s="7">
        <v>11017.440863598895</v>
      </c>
      <c r="C117" s="1">
        <f>C121</f>
        <v>703</v>
      </c>
      <c r="D117" s="1">
        <f>D121</f>
        <v>271</v>
      </c>
    </row>
    <row r="118" spans="1:5" x14ac:dyDescent="0.25">
      <c r="A118" s="7">
        <v>10801.412611371465</v>
      </c>
      <c r="C118" s="1">
        <f>C117+1</f>
        <v>704</v>
      </c>
      <c r="D118" s="1">
        <f>D117+1</f>
        <v>272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703</v>
      </c>
      <c r="D121" s="19">
        <v>271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R703</v>
      </c>
      <c r="D123" s="1" t="str">
        <f>"C"&amp;D121</f>
        <v>C271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0.10054953710975212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117" x14ac:dyDescent="0.25">
      <c r="A609" s="7">
        <v>0.64683903605157422</v>
      </c>
      <c r="B609"/>
      <c r="C609"/>
      <c r="D609"/>
      <c r="E609"/>
      <c r="F609" s="27" t="s">
        <v>7</v>
      </c>
    </row>
    <row r="610" spans="1:117" x14ac:dyDescent="0.25">
      <c r="A610" s="7">
        <v>0.63415591769762181</v>
      </c>
      <c r="B610"/>
      <c r="C610"/>
      <c r="D610"/>
      <c r="E610"/>
      <c r="F610" s="27" t="s">
        <v>7</v>
      </c>
    </row>
    <row r="611" spans="1:117" x14ac:dyDescent="0.25">
      <c r="A611" s="7">
        <v>0.62172148793884496</v>
      </c>
      <c r="B611"/>
      <c r="C611"/>
      <c r="D611"/>
      <c r="E611"/>
      <c r="F611" s="27" t="s">
        <v>7</v>
      </c>
    </row>
    <row r="612" spans="1:117" x14ac:dyDescent="0.25">
      <c r="A612" s="7">
        <v>0.60953087052827937</v>
      </c>
      <c r="B612"/>
      <c r="C612"/>
      <c r="D612"/>
      <c r="E612"/>
      <c r="F612" s="27" t="s">
        <v>7</v>
      </c>
    </row>
    <row r="613" spans="1:117" x14ac:dyDescent="0.25">
      <c r="A613" s="7">
        <v>0.59757928483164646</v>
      </c>
      <c r="B613"/>
      <c r="C613"/>
      <c r="D613"/>
      <c r="E613"/>
      <c r="F613" s="27" t="s">
        <v>7</v>
      </c>
    </row>
    <row r="614" spans="1:117" x14ac:dyDescent="0.25">
      <c r="A614" s="7">
        <v>0.58586204395259456</v>
      </c>
      <c r="B614"/>
      <c r="C614"/>
      <c r="D614"/>
      <c r="E614"/>
      <c r="F614" s="27" t="s">
        <v>7</v>
      </c>
    </row>
    <row r="615" spans="1:117" x14ac:dyDescent="0.25">
      <c r="A615" s="7">
        <v>0.57437455289470052</v>
      </c>
      <c r="B615"/>
      <c r="C615"/>
      <c r="D615"/>
      <c r="E615"/>
      <c r="F615" s="27" t="s">
        <v>7</v>
      </c>
    </row>
    <row r="616" spans="1:117" x14ac:dyDescent="0.25">
      <c r="A616" s="7">
        <v>0.56311230675951029</v>
      </c>
      <c r="B616"/>
      <c r="C616"/>
      <c r="D616"/>
      <c r="E616"/>
      <c r="F616" s="27" t="s">
        <v>7</v>
      </c>
      <c r="DI616" s="27" t="s">
        <v>8</v>
      </c>
    </row>
    <row r="617" spans="1:117" x14ac:dyDescent="0.25">
      <c r="A617" s="7">
        <v>0.55207088897991208</v>
      </c>
      <c r="B617"/>
      <c r="C617"/>
      <c r="D617"/>
      <c r="E617"/>
      <c r="F617" s="27" t="s">
        <v>7</v>
      </c>
      <c r="DI617" s="27" t="s">
        <v>8</v>
      </c>
      <c r="DJ617" s="27" t="s">
        <v>7</v>
      </c>
    </row>
    <row r="618" spans="1:117" x14ac:dyDescent="0.25">
      <c r="A618" s="7">
        <v>0.54124596958814908</v>
      </c>
      <c r="B618"/>
      <c r="C618"/>
      <c r="D618"/>
      <c r="E618"/>
      <c r="F618" s="27" t="s">
        <v>7</v>
      </c>
      <c r="DI618" s="27" t="s">
        <v>8</v>
      </c>
      <c r="DJ618" s="27" t="s">
        <v>7</v>
      </c>
    </row>
    <row r="619" spans="1:117" x14ac:dyDescent="0.25">
      <c r="A619" s="7">
        <v>0.53063330351779314</v>
      </c>
      <c r="B619"/>
      <c r="C619"/>
      <c r="D619"/>
      <c r="E619"/>
      <c r="F619" s="27" t="s">
        <v>7</v>
      </c>
      <c r="DI619" s="27" t="s">
        <v>8</v>
      </c>
      <c r="DJ619" s="27" t="s">
        <v>7</v>
      </c>
    </row>
    <row r="620" spans="1:117" x14ac:dyDescent="0.25">
      <c r="A620" s="7">
        <v>0.52022872893901284</v>
      </c>
      <c r="B620"/>
      <c r="C620"/>
      <c r="D620"/>
      <c r="E620"/>
      <c r="F620" s="27" t="s">
        <v>7</v>
      </c>
      <c r="DI620" s="27" t="s">
        <v>8</v>
      </c>
      <c r="DJ620" s="27" t="s">
        <v>7</v>
      </c>
    </row>
    <row r="621" spans="1:117" x14ac:dyDescent="0.25">
      <c r="A621" s="7">
        <v>0.51002816562648323</v>
      </c>
      <c r="B621"/>
      <c r="C621"/>
      <c r="D621"/>
      <c r="E621"/>
      <c r="F621" s="27" t="s">
        <v>7</v>
      </c>
      <c r="DI621" s="27" t="s">
        <v>8</v>
      </c>
      <c r="DJ621" s="27" t="s">
        <v>7</v>
      </c>
    </row>
    <row r="622" spans="1:117" x14ac:dyDescent="0.25">
      <c r="A622" s="7">
        <v>0.50002761335929735</v>
      </c>
      <c r="B622"/>
      <c r="C622"/>
      <c r="D622"/>
      <c r="E622"/>
      <c r="F622" s="27" t="s">
        <v>7</v>
      </c>
      <c r="DI622" s="27" t="s">
        <v>8</v>
      </c>
      <c r="DJ622" s="27" t="s">
        <v>7</v>
      </c>
    </row>
    <row r="623" spans="1:117" x14ac:dyDescent="0.25">
      <c r="A623" s="7">
        <v>0.49022315035225228</v>
      </c>
      <c r="B623"/>
      <c r="C623"/>
      <c r="D623"/>
      <c r="E623"/>
      <c r="F623" s="27" t="s">
        <v>7</v>
      </c>
      <c r="DI623" s="27" t="s">
        <v>8</v>
      </c>
      <c r="DJ623" s="27" t="s">
        <v>7</v>
      </c>
    </row>
    <row r="624" spans="1:117" x14ac:dyDescent="0.25">
      <c r="A624" s="7">
        <v>0.48061093171789437</v>
      </c>
      <c r="B624"/>
      <c r="C624"/>
      <c r="D624"/>
      <c r="E624"/>
      <c r="F624" s="27" t="s">
        <v>7</v>
      </c>
      <c r="DI624" s="27" t="s">
        <v>8</v>
      </c>
      <c r="DJ624" s="27" t="s">
        <v>7</v>
      </c>
      <c r="DM624" s="27" t="s">
        <v>8</v>
      </c>
    </row>
    <row r="625" spans="1:246" x14ac:dyDescent="0.25">
      <c r="A625" s="7">
        <v>0.47118718795871994</v>
      </c>
      <c r="B625"/>
      <c r="C625"/>
      <c r="D625"/>
      <c r="E625"/>
      <c r="F625" s="27" t="s">
        <v>7</v>
      </c>
      <c r="DI625" s="27" t="s">
        <v>8</v>
      </c>
      <c r="DJ625" s="27" t="s">
        <v>7</v>
      </c>
      <c r="DM625" s="27" t="s">
        <v>8</v>
      </c>
      <c r="DN625" s="27" t="s">
        <v>7</v>
      </c>
    </row>
    <row r="626" spans="1:246" x14ac:dyDescent="0.25">
      <c r="A626" s="7">
        <v>0.46194822348894116</v>
      </c>
      <c r="B626"/>
      <c r="C626"/>
      <c r="D626"/>
      <c r="E626"/>
      <c r="F626" s="27" t="s">
        <v>7</v>
      </c>
      <c r="DI626" s="27" t="s">
        <v>8</v>
      </c>
      <c r="DJ626" s="27" t="s">
        <v>7</v>
      </c>
      <c r="DM626" s="27" t="s">
        <v>8</v>
      </c>
      <c r="DN626" s="27" t="s">
        <v>7</v>
      </c>
    </row>
    <row r="627" spans="1:246" x14ac:dyDescent="0.25">
      <c r="A627" s="7">
        <v>0.45289041518523643</v>
      </c>
      <c r="B627"/>
      <c r="C627"/>
      <c r="D627"/>
      <c r="E627"/>
      <c r="F627" s="27" t="s">
        <v>7</v>
      </c>
      <c r="DI627" s="27" t="s">
        <v>8</v>
      </c>
      <c r="DJ627" s="27" t="s">
        <v>7</v>
      </c>
      <c r="DM627" s="27" t="s">
        <v>8</v>
      </c>
      <c r="DN627" s="27" t="s">
        <v>7</v>
      </c>
    </row>
    <row r="628" spans="1:246" x14ac:dyDescent="0.25">
      <c r="A628" s="7">
        <v>0.44401021096591808</v>
      </c>
      <c r="B628"/>
      <c r="C628"/>
      <c r="D628"/>
      <c r="E628"/>
      <c r="F628" s="27" t="s">
        <v>7</v>
      </c>
      <c r="DI628" s="27" t="s">
        <v>8</v>
      </c>
      <c r="DJ628" s="27" t="s">
        <v>7</v>
      </c>
      <c r="DM628" s="27" t="s">
        <v>8</v>
      </c>
      <c r="DN628" s="27" t="s">
        <v>7</v>
      </c>
    </row>
    <row r="629" spans="1:246" x14ac:dyDescent="0.25">
      <c r="A629" s="7">
        <v>0.4353041283979589</v>
      </c>
      <c r="B629"/>
      <c r="C629"/>
      <c r="D629"/>
      <c r="E629"/>
      <c r="F629" s="27" t="s">
        <v>7</v>
      </c>
      <c r="CS629" s="27" t="s">
        <v>8</v>
      </c>
      <c r="DI629" s="27" t="s">
        <v>8</v>
      </c>
      <c r="DJ629" s="27" t="s">
        <v>7</v>
      </c>
      <c r="DK629" s="27" t="s">
        <v>8</v>
      </c>
      <c r="DM629" s="27" t="s">
        <v>8</v>
      </c>
      <c r="DN629" s="27" t="s">
        <v>7</v>
      </c>
      <c r="IK629" s="27" t="s">
        <v>8</v>
      </c>
    </row>
    <row r="630" spans="1:246" x14ac:dyDescent="0.25">
      <c r="A630" s="7">
        <v>0.4267687533313323</v>
      </c>
      <c r="B630"/>
      <c r="C630"/>
      <c r="D630"/>
      <c r="E630"/>
      <c r="F630" s="27" t="s">
        <v>7</v>
      </c>
      <c r="CS630" s="27" t="s">
        <v>8</v>
      </c>
      <c r="CT630" s="27" t="s">
        <v>7</v>
      </c>
      <c r="DI630" s="27" t="s">
        <v>8</v>
      </c>
      <c r="DJ630" s="27" t="s">
        <v>7</v>
      </c>
      <c r="DK630" s="27" t="s">
        <v>8</v>
      </c>
      <c r="DL630" s="27" t="s">
        <v>7</v>
      </c>
      <c r="DM630" s="27" t="s">
        <v>8</v>
      </c>
      <c r="DN630" s="27" t="s">
        <v>7</v>
      </c>
      <c r="DO630" s="27" t="s">
        <v>8</v>
      </c>
      <c r="DQ630" s="27" t="s">
        <v>8</v>
      </c>
      <c r="IK630" s="27" t="s">
        <v>8</v>
      </c>
      <c r="IL630" s="27" t="s">
        <v>7</v>
      </c>
    </row>
    <row r="631" spans="1:246" x14ac:dyDescent="0.25">
      <c r="A631" s="7">
        <v>0.41840073856012971</v>
      </c>
      <c r="B631"/>
      <c r="C631"/>
      <c r="D631"/>
      <c r="E631"/>
      <c r="F631" s="27" t="s">
        <v>7</v>
      </c>
      <c r="CS631" s="27" t="s">
        <v>8</v>
      </c>
      <c r="CT631" s="27" t="s">
        <v>7</v>
      </c>
      <c r="DI631" s="27" t="s">
        <v>8</v>
      </c>
      <c r="DJ631" s="27" t="s">
        <v>7</v>
      </c>
      <c r="DK631" s="27" t="s">
        <v>8</v>
      </c>
      <c r="DL631" s="27" t="s">
        <v>7</v>
      </c>
      <c r="DM631" s="27" t="s">
        <v>8</v>
      </c>
      <c r="DN631" s="27" t="s">
        <v>7</v>
      </c>
      <c r="DO631" s="27" t="s">
        <v>8</v>
      </c>
      <c r="DP631" s="27" t="s">
        <v>7</v>
      </c>
      <c r="DQ631" s="27" t="s">
        <v>8</v>
      </c>
      <c r="DR631" s="27" t="s">
        <v>7</v>
      </c>
      <c r="IK631" s="27" t="s">
        <v>8</v>
      </c>
      <c r="IL631" s="27" t="s">
        <v>7</v>
      </c>
    </row>
    <row r="632" spans="1:246" x14ac:dyDescent="0.25">
      <c r="A632" s="7">
        <v>0.41019680250993112</v>
      </c>
      <c r="B632"/>
      <c r="C632"/>
      <c r="D632"/>
      <c r="E632"/>
      <c r="F632" s="27" t="s">
        <v>7</v>
      </c>
      <c r="CS632" s="27" t="s">
        <v>8</v>
      </c>
      <c r="CT632" s="27" t="s">
        <v>7</v>
      </c>
      <c r="DI632" s="27" t="s">
        <v>8</v>
      </c>
      <c r="DJ632" s="27" t="s">
        <v>7</v>
      </c>
      <c r="DK632" s="27" t="s">
        <v>8</v>
      </c>
      <c r="DL632" s="27" t="s">
        <v>7</v>
      </c>
      <c r="DM632" s="27" t="s">
        <v>8</v>
      </c>
      <c r="DN632" s="27" t="s">
        <v>7</v>
      </c>
      <c r="DO632" s="27" t="s">
        <v>8</v>
      </c>
      <c r="DP632" s="27" t="s">
        <v>7</v>
      </c>
      <c r="DQ632" s="27" t="s">
        <v>8</v>
      </c>
      <c r="DR632" s="27" t="s">
        <v>7</v>
      </c>
      <c r="IK632" s="27" t="s">
        <v>8</v>
      </c>
      <c r="IL632" s="27" t="s">
        <v>7</v>
      </c>
    </row>
    <row r="633" spans="1:246" x14ac:dyDescent="0.25">
      <c r="A633" s="7">
        <v>0.40215372795091286</v>
      </c>
      <c r="B633"/>
      <c r="C633"/>
      <c r="D633"/>
      <c r="E633"/>
      <c r="F633" s="27" t="s">
        <v>7</v>
      </c>
      <c r="CS633" s="27" t="s">
        <v>8</v>
      </c>
      <c r="CT633" s="27" t="s">
        <v>7</v>
      </c>
      <c r="DI633" s="27" t="s">
        <v>8</v>
      </c>
      <c r="DJ633" s="27" t="s">
        <v>7</v>
      </c>
      <c r="DK633" s="27" t="s">
        <v>8</v>
      </c>
      <c r="DL633" s="27" t="s">
        <v>7</v>
      </c>
      <c r="DM633" s="27" t="s">
        <v>8</v>
      </c>
      <c r="DN633" s="27" t="s">
        <v>7</v>
      </c>
      <c r="DO633" s="27" t="s">
        <v>8</v>
      </c>
      <c r="DP633" s="27" t="s">
        <v>7</v>
      </c>
      <c r="DQ633" s="27" t="s">
        <v>8</v>
      </c>
      <c r="DR633" s="27" t="s">
        <v>7</v>
      </c>
      <c r="DY633" s="27" t="s">
        <v>8</v>
      </c>
      <c r="EA633" s="27" t="s">
        <v>8</v>
      </c>
      <c r="IK633" s="27" t="s">
        <v>8</v>
      </c>
      <c r="IL633" s="27" t="s">
        <v>7</v>
      </c>
    </row>
    <row r="634" spans="1:246" x14ac:dyDescent="0.25">
      <c r="A634" s="7">
        <v>0.39426836073618904</v>
      </c>
      <c r="B634"/>
      <c r="C634"/>
      <c r="D634"/>
      <c r="E634"/>
      <c r="F634" s="27" t="s">
        <v>7</v>
      </c>
      <c r="CS634" s="27" t="s">
        <v>8</v>
      </c>
      <c r="CT634" s="27" t="s">
        <v>7</v>
      </c>
      <c r="DI634" s="27" t="s">
        <v>8</v>
      </c>
      <c r="DJ634" s="27" t="s">
        <v>7</v>
      </c>
      <c r="DK634" s="27" t="s">
        <v>8</v>
      </c>
      <c r="DL634" s="27" t="s">
        <v>7</v>
      </c>
      <c r="DN634" s="27" t="s">
        <v>7</v>
      </c>
      <c r="DO634" s="27" t="s">
        <v>8</v>
      </c>
      <c r="DP634" s="27" t="s">
        <v>7</v>
      </c>
      <c r="DQ634" s="27" t="s">
        <v>8</v>
      </c>
      <c r="DR634" s="27" t="s">
        <v>7</v>
      </c>
      <c r="DU634" s="27" t="s">
        <v>8</v>
      </c>
      <c r="DY634" s="27" t="s">
        <v>8</v>
      </c>
      <c r="DZ634" s="27" t="s">
        <v>7</v>
      </c>
      <c r="EA634" s="27" t="s">
        <v>8</v>
      </c>
      <c r="EB634" s="27" t="s">
        <v>7</v>
      </c>
      <c r="EE634" s="27" t="s">
        <v>8</v>
      </c>
      <c r="IK634" s="27" t="s">
        <v>8</v>
      </c>
      <c r="IL634" s="27" t="s">
        <v>7</v>
      </c>
    </row>
    <row r="635" spans="1:246" x14ac:dyDescent="0.25">
      <c r="A635" s="7">
        <v>0.38653760856489122</v>
      </c>
      <c r="B635"/>
      <c r="C635"/>
      <c r="D635"/>
      <c r="E635"/>
      <c r="F635" s="27" t="s">
        <v>7</v>
      </c>
      <c r="CS635" s="27" t="s">
        <v>8</v>
      </c>
      <c r="CT635" s="27" t="s">
        <v>7</v>
      </c>
      <c r="DI635" s="27" t="s">
        <v>8</v>
      </c>
      <c r="DJ635" s="27" t="s">
        <v>7</v>
      </c>
      <c r="DK635" s="27" t="s">
        <v>8</v>
      </c>
      <c r="DN635" s="27" t="s">
        <v>7</v>
      </c>
      <c r="DO635" s="27" t="s">
        <v>8</v>
      </c>
      <c r="DP635" s="27" t="s">
        <v>7</v>
      </c>
      <c r="DQ635" s="27" t="s">
        <v>8</v>
      </c>
      <c r="DR635" s="27" t="s">
        <v>7</v>
      </c>
      <c r="DU635" s="27" t="s">
        <v>8</v>
      </c>
      <c r="DV635" s="27" t="s">
        <v>7</v>
      </c>
      <c r="DY635" s="27" t="s">
        <v>8</v>
      </c>
      <c r="DZ635" s="27" t="s">
        <v>7</v>
      </c>
      <c r="EA635" s="27" t="s">
        <v>8</v>
      </c>
      <c r="EB635" s="27" t="s">
        <v>7</v>
      </c>
      <c r="EC635" s="27" t="s">
        <v>8</v>
      </c>
      <c r="EE635" s="27" t="s">
        <v>8</v>
      </c>
      <c r="EF635" s="27" t="s">
        <v>7</v>
      </c>
      <c r="IK635" s="27" t="s">
        <v>8</v>
      </c>
      <c r="IL635" s="27" t="s">
        <v>7</v>
      </c>
    </row>
    <row r="636" spans="1:246" x14ac:dyDescent="0.25">
      <c r="A636" s="7">
        <v>0.37895843976950117</v>
      </c>
      <c r="B636"/>
      <c r="C636"/>
      <c r="D636"/>
      <c r="E636"/>
      <c r="F636" s="27" t="s">
        <v>7</v>
      </c>
      <c r="CS636" s="27" t="s">
        <v>8</v>
      </c>
      <c r="CT636" s="27" t="s">
        <v>7</v>
      </c>
      <c r="CU636" s="27" t="s">
        <v>8</v>
      </c>
      <c r="DC636" s="27" t="s">
        <v>8</v>
      </c>
      <c r="DI636" s="27" t="s">
        <v>8</v>
      </c>
      <c r="DJ636" s="27" t="s">
        <v>7</v>
      </c>
      <c r="DK636" s="27" t="s">
        <v>8</v>
      </c>
      <c r="DN636" s="27" t="s">
        <v>7</v>
      </c>
      <c r="DO636" s="27" t="s">
        <v>8</v>
      </c>
      <c r="DP636" s="27" t="s">
        <v>7</v>
      </c>
      <c r="DR636" s="27" t="s">
        <v>7</v>
      </c>
      <c r="DU636" s="27" t="s">
        <v>8</v>
      </c>
      <c r="DV636" s="27" t="s">
        <v>7</v>
      </c>
      <c r="DY636" s="27" t="s">
        <v>8</v>
      </c>
      <c r="DZ636" s="27" t="s">
        <v>7</v>
      </c>
      <c r="EA636" s="27" t="s">
        <v>8</v>
      </c>
      <c r="EB636" s="27" t="s">
        <v>7</v>
      </c>
      <c r="EC636" s="27" t="s">
        <v>8</v>
      </c>
      <c r="ED636" s="27" t="s">
        <v>7</v>
      </c>
      <c r="EE636" s="27" t="s">
        <v>8</v>
      </c>
      <c r="EF636" s="27" t="s">
        <v>7</v>
      </c>
      <c r="IK636" s="27" t="s">
        <v>8</v>
      </c>
      <c r="IL636" s="27" t="s">
        <v>7</v>
      </c>
    </row>
    <row r="637" spans="1:246" x14ac:dyDescent="0.25">
      <c r="A637" s="7">
        <v>0.37152788212696197</v>
      </c>
      <c r="B637"/>
      <c r="C637"/>
      <c r="D637"/>
      <c r="E637"/>
      <c r="F637" s="27" t="s">
        <v>7</v>
      </c>
      <c r="CS637" s="27" t="s">
        <v>8</v>
      </c>
      <c r="CT637" s="27" t="s">
        <v>7</v>
      </c>
      <c r="CU637" s="27" t="s">
        <v>8</v>
      </c>
      <c r="CV637" s="27" t="s">
        <v>7</v>
      </c>
      <c r="DC637" s="27" t="s">
        <v>8</v>
      </c>
      <c r="DD637" s="27" t="s">
        <v>7</v>
      </c>
      <c r="DE637" s="27" t="s">
        <v>8</v>
      </c>
      <c r="DI637" s="27" t="s">
        <v>8</v>
      </c>
      <c r="DJ637" s="27" t="s">
        <v>7</v>
      </c>
      <c r="DK637" s="27" t="s">
        <v>8</v>
      </c>
      <c r="DN637" s="27" t="s">
        <v>7</v>
      </c>
      <c r="DR637" s="27" t="s">
        <v>7</v>
      </c>
      <c r="DU637" s="27" t="s">
        <v>8</v>
      </c>
      <c r="DV637" s="27" t="s">
        <v>7</v>
      </c>
      <c r="DY637" s="27" t="s">
        <v>8</v>
      </c>
      <c r="DZ637" s="27" t="s">
        <v>7</v>
      </c>
      <c r="EA637" s="27" t="s">
        <v>8</v>
      </c>
      <c r="EB637" s="27" t="s">
        <v>7</v>
      </c>
      <c r="EC637" s="27" t="s">
        <v>8</v>
      </c>
      <c r="ED637" s="27" t="s">
        <v>7</v>
      </c>
      <c r="EE637" s="27" t="s">
        <v>8</v>
      </c>
      <c r="EF637" s="27" t="s">
        <v>7</v>
      </c>
      <c r="IK637" s="27" t="s">
        <v>8</v>
      </c>
      <c r="IL637" s="27" t="s">
        <v>7</v>
      </c>
    </row>
    <row r="638" spans="1:246" x14ac:dyDescent="0.25">
      <c r="A638" s="7">
        <v>0.36424302169310002</v>
      </c>
      <c r="B638"/>
      <c r="C638"/>
      <c r="D638"/>
      <c r="E638"/>
      <c r="F638" s="27" t="s">
        <v>7</v>
      </c>
      <c r="CS638" s="27" t="s">
        <v>8</v>
      </c>
      <c r="CT638" s="27" t="s">
        <v>7</v>
      </c>
      <c r="CU638" s="27" t="s">
        <v>8</v>
      </c>
      <c r="CV638" s="27" t="s">
        <v>7</v>
      </c>
      <c r="DC638" s="27" t="s">
        <v>8</v>
      </c>
      <c r="DD638" s="27" t="s">
        <v>7</v>
      </c>
      <c r="DE638" s="27" t="s">
        <v>8</v>
      </c>
      <c r="DF638" s="27" t="s">
        <v>7</v>
      </c>
      <c r="DI638" s="27" t="s">
        <v>8</v>
      </c>
      <c r="DJ638" s="27" t="s">
        <v>7</v>
      </c>
      <c r="DR638" s="27" t="s">
        <v>7</v>
      </c>
      <c r="DU638" s="27" t="s">
        <v>8</v>
      </c>
      <c r="DV638" s="27" t="s">
        <v>7</v>
      </c>
      <c r="DY638" s="27" t="s">
        <v>8</v>
      </c>
      <c r="DZ638" s="27" t="s">
        <v>7</v>
      </c>
      <c r="EA638" s="27" t="s">
        <v>8</v>
      </c>
      <c r="EB638" s="27" t="s">
        <v>7</v>
      </c>
      <c r="EC638" s="27" t="s">
        <v>8</v>
      </c>
      <c r="ED638" s="27" t="s">
        <v>7</v>
      </c>
      <c r="EE638" s="27" t="s">
        <v>8</v>
      </c>
      <c r="EF638" s="27" t="s">
        <v>7</v>
      </c>
      <c r="IK638" s="27" t="s">
        <v>8</v>
      </c>
      <c r="IL638" s="27" t="s">
        <v>7</v>
      </c>
    </row>
    <row r="639" spans="1:246" x14ac:dyDescent="0.25">
      <c r="A639" s="7">
        <v>0.35710100165990194</v>
      </c>
      <c r="B639"/>
      <c r="C639"/>
      <c r="D639"/>
      <c r="E639"/>
      <c r="F639" s="27" t="s">
        <v>7</v>
      </c>
      <c r="CM639" s="27" t="s">
        <v>8</v>
      </c>
      <c r="CS639" s="27" t="s">
        <v>8</v>
      </c>
      <c r="CT639" s="27" t="s">
        <v>7</v>
      </c>
      <c r="CU639" s="27" t="s">
        <v>8</v>
      </c>
      <c r="CV639" s="27" t="s">
        <v>7</v>
      </c>
      <c r="DC639" s="27" t="s">
        <v>8</v>
      </c>
      <c r="DD639" s="27" t="s">
        <v>7</v>
      </c>
      <c r="DE639" s="27" t="s">
        <v>8</v>
      </c>
      <c r="DF639" s="27" t="s">
        <v>7</v>
      </c>
      <c r="DI639" s="27" t="s">
        <v>8</v>
      </c>
      <c r="DR639" s="27" t="s">
        <v>7</v>
      </c>
      <c r="DU639" s="27" t="s">
        <v>8</v>
      </c>
      <c r="DV639" s="27" t="s">
        <v>7</v>
      </c>
      <c r="DY639" s="27" t="s">
        <v>8</v>
      </c>
      <c r="DZ639" s="27" t="s">
        <v>7</v>
      </c>
      <c r="EA639" s="27" t="s">
        <v>8</v>
      </c>
      <c r="EB639" s="27" t="s">
        <v>7</v>
      </c>
      <c r="EC639" s="27" t="s">
        <v>8</v>
      </c>
      <c r="ED639" s="27" t="s">
        <v>7</v>
      </c>
      <c r="EE639" s="27" t="s">
        <v>8</v>
      </c>
      <c r="EF639" s="27" t="s">
        <v>7</v>
      </c>
      <c r="EY639" s="27" t="s">
        <v>8</v>
      </c>
      <c r="IK639" s="27" t="s">
        <v>8</v>
      </c>
      <c r="IL639" s="27" t="s">
        <v>7</v>
      </c>
    </row>
    <row r="640" spans="1:246" x14ac:dyDescent="0.25">
      <c r="A640" s="7">
        <v>0.35009902123519804</v>
      </c>
      <c r="B640"/>
      <c r="C640"/>
      <c r="D640"/>
      <c r="E640"/>
      <c r="F640" s="27" t="s">
        <v>7</v>
      </c>
      <c r="CM640" s="27" t="s">
        <v>8</v>
      </c>
      <c r="CN640" s="27" t="s">
        <v>7</v>
      </c>
      <c r="CS640" s="27" t="s">
        <v>8</v>
      </c>
      <c r="CT640" s="27" t="s">
        <v>7</v>
      </c>
      <c r="CU640" s="27" t="s">
        <v>8</v>
      </c>
      <c r="CV640" s="27" t="s">
        <v>7</v>
      </c>
      <c r="DC640" s="27" t="s">
        <v>8</v>
      </c>
      <c r="DD640" s="27" t="s">
        <v>7</v>
      </c>
      <c r="DE640" s="27" t="s">
        <v>8</v>
      </c>
      <c r="DF640" s="27" t="s">
        <v>7</v>
      </c>
      <c r="DI640" s="27" t="s">
        <v>8</v>
      </c>
      <c r="DR640" s="27" t="s">
        <v>7</v>
      </c>
      <c r="DU640" s="27" t="s">
        <v>8</v>
      </c>
      <c r="DV640" s="27" t="s">
        <v>7</v>
      </c>
      <c r="DW640" s="27" t="s">
        <v>8</v>
      </c>
      <c r="DY640" s="27" t="s">
        <v>8</v>
      </c>
      <c r="DZ640" s="27" t="s">
        <v>7</v>
      </c>
      <c r="EA640" s="27" t="s">
        <v>8</v>
      </c>
      <c r="EB640" s="27" t="s">
        <v>7</v>
      </c>
      <c r="EC640" s="27" t="s">
        <v>8</v>
      </c>
      <c r="ED640" s="27" t="s">
        <v>7</v>
      </c>
      <c r="EE640" s="27" t="s">
        <v>8</v>
      </c>
      <c r="EF640" s="27" t="s">
        <v>7</v>
      </c>
      <c r="EY640" s="27" t="s">
        <v>8</v>
      </c>
      <c r="EZ640" s="27" t="s">
        <v>7</v>
      </c>
      <c r="IK640" s="27" t="s">
        <v>8</v>
      </c>
      <c r="IL640" s="27" t="s">
        <v>7</v>
      </c>
    </row>
    <row r="641" spans="1:246" x14ac:dyDescent="0.25">
      <c r="A641" s="7">
        <v>0.34323433454431179</v>
      </c>
      <c r="B641"/>
      <c r="C641"/>
      <c r="D641"/>
      <c r="E641"/>
      <c r="F641" s="27" t="s">
        <v>7</v>
      </c>
      <c r="CM641" s="27" t="s">
        <v>8</v>
      </c>
      <c r="CN641" s="27" t="s">
        <v>7</v>
      </c>
      <c r="CS641" s="27" t="s">
        <v>8</v>
      </c>
      <c r="CT641" s="27" t="s">
        <v>7</v>
      </c>
      <c r="CU641" s="27" t="s">
        <v>8</v>
      </c>
      <c r="CV641" s="27" t="s">
        <v>7</v>
      </c>
      <c r="DC641" s="27" t="s">
        <v>8</v>
      </c>
      <c r="DD641" s="27" t="s">
        <v>7</v>
      </c>
      <c r="DE641" s="27" t="s">
        <v>8</v>
      </c>
      <c r="DF641" s="27" t="s">
        <v>7</v>
      </c>
      <c r="DI641" s="27" t="s">
        <v>8</v>
      </c>
      <c r="DR641" s="27" t="s">
        <v>7</v>
      </c>
      <c r="DU641" s="27" t="s">
        <v>8</v>
      </c>
      <c r="DV641" s="27" t="s">
        <v>7</v>
      </c>
      <c r="DW641" s="27" t="s">
        <v>8</v>
      </c>
      <c r="DX641" s="27" t="s">
        <v>7</v>
      </c>
      <c r="DY641" s="27" t="s">
        <v>8</v>
      </c>
      <c r="DZ641" s="27" t="s">
        <v>7</v>
      </c>
      <c r="EA641" s="27" t="s">
        <v>8</v>
      </c>
      <c r="EB641" s="27" t="s">
        <v>7</v>
      </c>
      <c r="EC641" s="27" t="s">
        <v>8</v>
      </c>
      <c r="ED641" s="27" t="s">
        <v>7</v>
      </c>
      <c r="EE641" s="27" t="s">
        <v>8</v>
      </c>
      <c r="EF641" s="27" t="s">
        <v>7</v>
      </c>
      <c r="EY641" s="27" t="s">
        <v>8</v>
      </c>
      <c r="EZ641" s="27" t="s">
        <v>7</v>
      </c>
      <c r="IK641" s="27" t="s">
        <v>8</v>
      </c>
      <c r="IL641" s="27" t="s">
        <v>7</v>
      </c>
    </row>
    <row r="642" spans="1:246" x14ac:dyDescent="0.25">
      <c r="A642" s="7">
        <v>0.33650424955324681</v>
      </c>
      <c r="B642"/>
      <c r="C642"/>
      <c r="D642"/>
      <c r="E642"/>
      <c r="F642" s="27" t="s">
        <v>7</v>
      </c>
      <c r="CM642" s="27" t="s">
        <v>8</v>
      </c>
      <c r="CN642" s="27" t="s">
        <v>7</v>
      </c>
      <c r="CS642" s="27" t="s">
        <v>8</v>
      </c>
      <c r="CT642" s="27" t="s">
        <v>7</v>
      </c>
      <c r="CU642" s="27" t="s">
        <v>8</v>
      </c>
      <c r="CV642" s="27" t="s">
        <v>7</v>
      </c>
      <c r="DC642" s="27" t="s">
        <v>8</v>
      </c>
      <c r="DD642" s="27" t="s">
        <v>7</v>
      </c>
      <c r="DE642" s="27" t="s">
        <v>8</v>
      </c>
      <c r="DF642" s="27" t="s">
        <v>7</v>
      </c>
      <c r="DI642" s="27" t="s">
        <v>8</v>
      </c>
      <c r="DR642" s="27" t="s">
        <v>7</v>
      </c>
      <c r="DU642" s="27" t="s">
        <v>8</v>
      </c>
      <c r="DV642" s="27" t="s">
        <v>7</v>
      </c>
      <c r="DW642" s="27" t="s">
        <v>8</v>
      </c>
      <c r="DX642" s="27" t="s">
        <v>7</v>
      </c>
      <c r="DY642" s="27" t="s">
        <v>8</v>
      </c>
      <c r="DZ642" s="27" t="s">
        <v>7</v>
      </c>
      <c r="EA642" s="27" t="s">
        <v>8</v>
      </c>
      <c r="EB642" s="27" t="s">
        <v>7</v>
      </c>
      <c r="EC642" s="27" t="s">
        <v>8</v>
      </c>
      <c r="ED642" s="27" t="s">
        <v>7</v>
      </c>
      <c r="EE642" s="27" t="s">
        <v>8</v>
      </c>
      <c r="EF642" s="27" t="s">
        <v>7</v>
      </c>
      <c r="EY642" s="27" t="s">
        <v>8</v>
      </c>
      <c r="EZ642" s="27" t="s">
        <v>7</v>
      </c>
      <c r="IK642" s="27" t="s">
        <v>8</v>
      </c>
      <c r="IL642" s="27" t="s">
        <v>7</v>
      </c>
    </row>
    <row r="643" spans="1:246" x14ac:dyDescent="0.25">
      <c r="A643" s="7">
        <v>0.3299061270129871</v>
      </c>
      <c r="B643"/>
      <c r="C643"/>
      <c r="D643"/>
      <c r="E643"/>
      <c r="F643" s="27" t="s">
        <v>7</v>
      </c>
      <c r="CM643" s="27" t="s">
        <v>8</v>
      </c>
      <c r="CN643" s="27" t="s">
        <v>7</v>
      </c>
      <c r="CS643" s="27" t="s">
        <v>8</v>
      </c>
      <c r="CT643" s="27" t="s">
        <v>7</v>
      </c>
      <c r="CU643" s="27" t="s">
        <v>8</v>
      </c>
      <c r="CV643" s="27" t="s">
        <v>7</v>
      </c>
      <c r="DA643" s="27" t="s">
        <v>8</v>
      </c>
      <c r="DC643" s="27" t="s">
        <v>8</v>
      </c>
      <c r="DD643" s="27" t="s">
        <v>7</v>
      </c>
      <c r="DE643" s="27" t="s">
        <v>8</v>
      </c>
      <c r="DF643" s="27" t="s">
        <v>7</v>
      </c>
      <c r="DG643" s="27" t="s">
        <v>8</v>
      </c>
      <c r="DI643" s="27" t="s">
        <v>8</v>
      </c>
      <c r="DR643" s="27" t="s">
        <v>7</v>
      </c>
      <c r="DU643" s="27" t="s">
        <v>8</v>
      </c>
      <c r="DV643" s="27" t="s">
        <v>7</v>
      </c>
      <c r="DW643" s="27" t="s">
        <v>8</v>
      </c>
      <c r="DX643" s="27" t="s">
        <v>7</v>
      </c>
      <c r="DY643" s="27" t="s">
        <v>8</v>
      </c>
      <c r="DZ643" s="27" t="s">
        <v>7</v>
      </c>
      <c r="EB643" s="27" t="s">
        <v>7</v>
      </c>
      <c r="EC643" s="27" t="s">
        <v>8</v>
      </c>
      <c r="ED643" s="27" t="s">
        <v>7</v>
      </c>
      <c r="EE643" s="27" t="s">
        <v>8</v>
      </c>
      <c r="EF643" s="27" t="s">
        <v>7</v>
      </c>
      <c r="EY643" s="27" t="s">
        <v>8</v>
      </c>
      <c r="EZ643" s="27" t="s">
        <v>7</v>
      </c>
      <c r="IK643" s="27" t="s">
        <v>8</v>
      </c>
      <c r="IL643" s="27" t="s">
        <v>7</v>
      </c>
    </row>
    <row r="644" spans="1:246" x14ac:dyDescent="0.25">
      <c r="A644" s="7">
        <v>0.32343737942449713</v>
      </c>
      <c r="B644"/>
      <c r="C644"/>
      <c r="D644"/>
      <c r="E644"/>
      <c r="F644" s="27" t="s">
        <v>7</v>
      </c>
      <c r="CM644" s="27" t="s">
        <v>8</v>
      </c>
      <c r="CN644" s="27" t="s">
        <v>7</v>
      </c>
      <c r="CS644" s="27" t="s">
        <v>8</v>
      </c>
      <c r="CT644" s="27" t="s">
        <v>7</v>
      </c>
      <c r="CU644" s="27" t="s">
        <v>8</v>
      </c>
      <c r="CV644" s="27" t="s">
        <v>7</v>
      </c>
      <c r="DA644" s="27" t="s">
        <v>8</v>
      </c>
      <c r="DB644" s="27" t="s">
        <v>7</v>
      </c>
      <c r="DC644" s="27" t="s">
        <v>8</v>
      </c>
      <c r="DD644" s="27" t="s">
        <v>7</v>
      </c>
      <c r="DF644" s="27" t="s">
        <v>7</v>
      </c>
      <c r="DG644" s="27" t="s">
        <v>8</v>
      </c>
      <c r="DH644" s="27" t="s">
        <v>7</v>
      </c>
      <c r="DI644" s="27" t="s">
        <v>8</v>
      </c>
      <c r="DR644" s="27" t="s">
        <v>7</v>
      </c>
      <c r="DU644" s="27" t="s">
        <v>8</v>
      </c>
      <c r="DV644" s="27" t="s">
        <v>7</v>
      </c>
      <c r="DW644" s="27" t="s">
        <v>8</v>
      </c>
      <c r="DX644" s="27" t="s">
        <v>7</v>
      </c>
      <c r="DY644" s="27" t="s">
        <v>8</v>
      </c>
      <c r="EB644" s="27" t="s">
        <v>7</v>
      </c>
      <c r="EC644" s="27" t="s">
        <v>8</v>
      </c>
      <c r="ED644" s="27" t="s">
        <v>7</v>
      </c>
      <c r="EF644" s="27" t="s">
        <v>7</v>
      </c>
      <c r="EG644" s="27" t="s">
        <v>8</v>
      </c>
      <c r="EY644" s="27" t="s">
        <v>8</v>
      </c>
      <c r="EZ644" s="27" t="s">
        <v>7</v>
      </c>
      <c r="IK644" s="27" t="s">
        <v>8</v>
      </c>
      <c r="IL644" s="27" t="s">
        <v>7</v>
      </c>
    </row>
    <row r="645" spans="1:246" x14ac:dyDescent="0.25">
      <c r="A645" s="7">
        <v>0.31709547002401678</v>
      </c>
      <c r="B645"/>
      <c r="C645"/>
      <c r="D645"/>
      <c r="E645"/>
      <c r="F645" s="27" t="s">
        <v>7</v>
      </c>
      <c r="CM645" s="27" t="s">
        <v>8</v>
      </c>
      <c r="CN645" s="27" t="s">
        <v>7</v>
      </c>
      <c r="CS645" s="27" t="s">
        <v>8</v>
      </c>
      <c r="CT645" s="27" t="s">
        <v>7</v>
      </c>
      <c r="CU645" s="27" t="s">
        <v>8</v>
      </c>
      <c r="CV645" s="27" t="s">
        <v>7</v>
      </c>
      <c r="CW645" s="27" t="s">
        <v>8</v>
      </c>
      <c r="CY645" s="27" t="s">
        <v>8</v>
      </c>
      <c r="DA645" s="27" t="s">
        <v>8</v>
      </c>
      <c r="DB645" s="27" t="s">
        <v>7</v>
      </c>
      <c r="DC645" s="27" t="s">
        <v>8</v>
      </c>
      <c r="DF645" s="27" t="s">
        <v>7</v>
      </c>
      <c r="DG645" s="27" t="s">
        <v>8</v>
      </c>
      <c r="DH645" s="27" t="s">
        <v>7</v>
      </c>
      <c r="DI645" s="27" t="s">
        <v>8</v>
      </c>
      <c r="DR645" s="27" t="s">
        <v>7</v>
      </c>
      <c r="DU645" s="27" t="s">
        <v>8</v>
      </c>
      <c r="DV645" s="27" t="s">
        <v>7</v>
      </c>
      <c r="DW645" s="27" t="s">
        <v>8</v>
      </c>
      <c r="DX645" s="27" t="s">
        <v>7</v>
      </c>
      <c r="DY645" s="27" t="s">
        <v>8</v>
      </c>
      <c r="EB645" s="27" t="s">
        <v>7</v>
      </c>
      <c r="EF645" s="27" t="s">
        <v>7</v>
      </c>
      <c r="EG645" s="27" t="s">
        <v>8</v>
      </c>
      <c r="EH645" s="27" t="s">
        <v>7</v>
      </c>
      <c r="EY645" s="27" t="s">
        <v>8</v>
      </c>
      <c r="EZ645" s="27" t="s">
        <v>7</v>
      </c>
      <c r="IK645" s="27" t="s">
        <v>8</v>
      </c>
      <c r="IL645" s="27" t="s">
        <v>7</v>
      </c>
    </row>
    <row r="646" spans="1:246" x14ac:dyDescent="0.25">
      <c r="A646" s="7">
        <v>0.31087791178825175</v>
      </c>
      <c r="B646"/>
      <c r="C646"/>
      <c r="D646"/>
      <c r="E646"/>
      <c r="F646" s="27" t="s">
        <v>7</v>
      </c>
      <c r="CM646" s="27" t="s">
        <v>8</v>
      </c>
      <c r="CN646" s="27" t="s">
        <v>7</v>
      </c>
      <c r="CS646" s="27" t="s">
        <v>8</v>
      </c>
      <c r="CT646" s="27" t="s">
        <v>7</v>
      </c>
      <c r="CU646" s="27" t="s">
        <v>8</v>
      </c>
      <c r="CV646" s="27" t="s">
        <v>7</v>
      </c>
      <c r="CW646" s="27" t="s">
        <v>8</v>
      </c>
      <c r="CX646" s="27" t="s">
        <v>7</v>
      </c>
      <c r="CY646" s="27" t="s">
        <v>8</v>
      </c>
      <c r="CZ646" s="27" t="s">
        <v>7</v>
      </c>
      <c r="DA646" s="27" t="s">
        <v>8</v>
      </c>
      <c r="DB646" s="27" t="s">
        <v>7</v>
      </c>
      <c r="DC646" s="27" t="s">
        <v>8</v>
      </c>
      <c r="DF646" s="27" t="s">
        <v>7</v>
      </c>
      <c r="DG646" s="27" t="s">
        <v>8</v>
      </c>
      <c r="DH646" s="27" t="s">
        <v>7</v>
      </c>
      <c r="DR646" s="27" t="s">
        <v>7</v>
      </c>
      <c r="DS646" s="27" t="s">
        <v>8</v>
      </c>
      <c r="DU646" s="27" t="s">
        <v>8</v>
      </c>
      <c r="DV646" s="27" t="s">
        <v>7</v>
      </c>
      <c r="DW646" s="27" t="s">
        <v>8</v>
      </c>
      <c r="DX646" s="27" t="s">
        <v>7</v>
      </c>
      <c r="DY646" s="27" t="s">
        <v>8</v>
      </c>
      <c r="EF646" s="27" t="s">
        <v>7</v>
      </c>
      <c r="EG646" s="27" t="s">
        <v>8</v>
      </c>
      <c r="EH646" s="27" t="s">
        <v>7</v>
      </c>
      <c r="EY646" s="27" t="s">
        <v>8</v>
      </c>
      <c r="EZ646" s="27" t="s">
        <v>7</v>
      </c>
      <c r="IK646" s="27" t="s">
        <v>8</v>
      </c>
      <c r="IL646" s="27" t="s">
        <v>7</v>
      </c>
    </row>
    <row r="647" spans="1:246" x14ac:dyDescent="0.25">
      <c r="A647" s="7">
        <v>0.30478226645907036</v>
      </c>
      <c r="B647"/>
      <c r="C647"/>
      <c r="D647"/>
      <c r="E647"/>
      <c r="F647" s="27" t="s">
        <v>7</v>
      </c>
      <c r="CM647" s="27" t="s">
        <v>8</v>
      </c>
      <c r="CN647" s="27" t="s">
        <v>7</v>
      </c>
      <c r="CS647" s="27" t="s">
        <v>8</v>
      </c>
      <c r="CT647" s="27" t="s">
        <v>7</v>
      </c>
      <c r="CU647" s="27" t="s">
        <v>8</v>
      </c>
      <c r="CV647" s="27" t="s">
        <v>7</v>
      </c>
      <c r="CW647" s="27" t="s">
        <v>8</v>
      </c>
      <c r="CX647" s="27" t="s">
        <v>7</v>
      </c>
      <c r="CY647" s="27" t="s">
        <v>8</v>
      </c>
      <c r="CZ647" s="27" t="s">
        <v>7</v>
      </c>
      <c r="DA647" s="27" t="s">
        <v>8</v>
      </c>
      <c r="DB647" s="27" t="s">
        <v>7</v>
      </c>
      <c r="DC647" s="27" t="s">
        <v>8</v>
      </c>
      <c r="DF647" s="27" t="s">
        <v>7</v>
      </c>
      <c r="DR647" s="27" t="s">
        <v>7</v>
      </c>
      <c r="DS647" s="27" t="s">
        <v>8</v>
      </c>
      <c r="DT647" s="27" t="s">
        <v>7</v>
      </c>
      <c r="DU647" s="27" t="s">
        <v>8</v>
      </c>
      <c r="DV647" s="27" t="s">
        <v>7</v>
      </c>
      <c r="DX647" s="27" t="s">
        <v>7</v>
      </c>
      <c r="DY647" s="27" t="s">
        <v>8</v>
      </c>
      <c r="EF647" s="27" t="s">
        <v>7</v>
      </c>
      <c r="EG647" s="27" t="s">
        <v>8</v>
      </c>
      <c r="EH647" s="27" t="s">
        <v>7</v>
      </c>
      <c r="EY647" s="27" t="s">
        <v>8</v>
      </c>
      <c r="EZ647" s="27" t="s">
        <v>7</v>
      </c>
      <c r="IK647" s="27" t="s">
        <v>8</v>
      </c>
      <c r="IL647" s="27" t="s">
        <v>7</v>
      </c>
    </row>
    <row r="648" spans="1:246" x14ac:dyDescent="0.25">
      <c r="A648" s="7">
        <v>0.29880614358732388</v>
      </c>
      <c r="B648"/>
      <c r="C648"/>
      <c r="D648"/>
      <c r="E648"/>
      <c r="F648" s="27" t="s">
        <v>7</v>
      </c>
      <c r="CM648" s="27" t="s">
        <v>8</v>
      </c>
      <c r="CN648" s="27" t="s">
        <v>7</v>
      </c>
      <c r="CS648" s="27" t="s">
        <v>8</v>
      </c>
      <c r="CT648" s="27" t="s">
        <v>7</v>
      </c>
      <c r="CU648" s="27" t="s">
        <v>8</v>
      </c>
      <c r="CV648" s="27" t="s">
        <v>7</v>
      </c>
      <c r="CX648" s="27" t="s">
        <v>7</v>
      </c>
      <c r="CY648" s="27" t="s">
        <v>8</v>
      </c>
      <c r="CZ648" s="27" t="s">
        <v>7</v>
      </c>
      <c r="DA648" s="27" t="s">
        <v>8</v>
      </c>
      <c r="DB648" s="27" t="s">
        <v>7</v>
      </c>
      <c r="DC648" s="27" t="s">
        <v>8</v>
      </c>
      <c r="DR648" s="27" t="s">
        <v>7</v>
      </c>
      <c r="DS648" s="27" t="s">
        <v>8</v>
      </c>
      <c r="DT648" s="27" t="s">
        <v>7</v>
      </c>
      <c r="DU648" s="27" t="s">
        <v>8</v>
      </c>
      <c r="DX648" s="27" t="s">
        <v>7</v>
      </c>
      <c r="EF648" s="27" t="s">
        <v>7</v>
      </c>
      <c r="EG648" s="27" t="s">
        <v>8</v>
      </c>
      <c r="EH648" s="27" t="s">
        <v>7</v>
      </c>
      <c r="EY648" s="27" t="s">
        <v>8</v>
      </c>
      <c r="EZ648" s="27" t="s">
        <v>7</v>
      </c>
      <c r="IK648" s="27" t="s">
        <v>8</v>
      </c>
      <c r="IL648" s="27" t="s">
        <v>7</v>
      </c>
    </row>
    <row r="649" spans="1:246" x14ac:dyDescent="0.25">
      <c r="A649" s="7">
        <v>0.2929471995954156</v>
      </c>
      <c r="B649"/>
      <c r="C649"/>
      <c r="D649"/>
      <c r="E649"/>
      <c r="F649" s="27" t="s">
        <v>7</v>
      </c>
      <c r="CM649" s="27" t="s">
        <v>8</v>
      </c>
      <c r="CN649" s="27" t="s">
        <v>7</v>
      </c>
      <c r="CS649" s="27" t="s">
        <v>8</v>
      </c>
      <c r="CT649" s="27" t="s">
        <v>7</v>
      </c>
      <c r="CU649" s="27" t="s">
        <v>8</v>
      </c>
      <c r="CX649" s="27" t="s">
        <v>7</v>
      </c>
      <c r="CY649" s="27" t="s">
        <v>8</v>
      </c>
      <c r="CZ649" s="27" t="s">
        <v>7</v>
      </c>
      <c r="DA649" s="27" t="s">
        <v>8</v>
      </c>
      <c r="DB649" s="27" t="s">
        <v>7</v>
      </c>
      <c r="DC649" s="27" t="s">
        <v>8</v>
      </c>
      <c r="DR649" s="27" t="s">
        <v>7</v>
      </c>
      <c r="DS649" s="27" t="s">
        <v>8</v>
      </c>
      <c r="DT649" s="27" t="s">
        <v>7</v>
      </c>
      <c r="DU649" s="27" t="s">
        <v>8</v>
      </c>
      <c r="EF649" s="27" t="s">
        <v>7</v>
      </c>
      <c r="EG649" s="27" t="s">
        <v>8</v>
      </c>
      <c r="EH649" s="27" t="s">
        <v>7</v>
      </c>
      <c r="EY649" s="27" t="s">
        <v>8</v>
      </c>
      <c r="EZ649" s="27" t="s">
        <v>7</v>
      </c>
      <c r="GW649" s="27" t="s">
        <v>8</v>
      </c>
      <c r="IK649" s="27" t="s">
        <v>8</v>
      </c>
      <c r="IL649" s="27" t="s">
        <v>7</v>
      </c>
    </row>
    <row r="650" spans="1:246" x14ac:dyDescent="0.25">
      <c r="A650" s="7">
        <v>0.28720313685825055</v>
      </c>
      <c r="B650"/>
      <c r="C650"/>
      <c r="D650"/>
      <c r="E650"/>
      <c r="F650" s="27" t="s">
        <v>7</v>
      </c>
      <c r="CM650" s="27" t="s">
        <v>8</v>
      </c>
      <c r="CN650" s="27" t="s">
        <v>7</v>
      </c>
      <c r="CS650" s="27" t="s">
        <v>8</v>
      </c>
      <c r="CT650" s="27" t="s">
        <v>7</v>
      </c>
      <c r="CU650" s="27" t="s">
        <v>8</v>
      </c>
      <c r="CX650" s="27" t="s">
        <v>7</v>
      </c>
      <c r="CY650" s="27" t="s">
        <v>8</v>
      </c>
      <c r="CZ650" s="27" t="s">
        <v>7</v>
      </c>
      <c r="DA650" s="27" t="s">
        <v>8</v>
      </c>
      <c r="DB650" s="27" t="s">
        <v>7</v>
      </c>
      <c r="DC650" s="27" t="s">
        <v>8</v>
      </c>
      <c r="DR650" s="27" t="s">
        <v>7</v>
      </c>
      <c r="DS650" s="27" t="s">
        <v>8</v>
      </c>
      <c r="DT650" s="27" t="s">
        <v>7</v>
      </c>
      <c r="DU650" s="27" t="s">
        <v>8</v>
      </c>
      <c r="EF650" s="27" t="s">
        <v>7</v>
      </c>
      <c r="EG650" s="27" t="s">
        <v>8</v>
      </c>
      <c r="EH650" s="27" t="s">
        <v>7</v>
      </c>
      <c r="EY650" s="27" t="s">
        <v>8</v>
      </c>
      <c r="EZ650" s="27" t="s">
        <v>7</v>
      </c>
      <c r="GW650" s="27" t="s">
        <v>8</v>
      </c>
      <c r="GX650" s="27" t="s">
        <v>7</v>
      </c>
      <c r="IK650" s="27" t="s">
        <v>8</v>
      </c>
      <c r="IL650" s="27" t="s">
        <v>7</v>
      </c>
    </row>
    <row r="651" spans="1:246" x14ac:dyDescent="0.25">
      <c r="A651" s="7">
        <v>0.28157170280220645</v>
      </c>
      <c r="B651"/>
      <c r="C651"/>
      <c r="D651"/>
      <c r="E651"/>
      <c r="F651" s="27" t="s">
        <v>7</v>
      </c>
      <c r="CM651" s="27" t="s">
        <v>8</v>
      </c>
      <c r="CN651" s="27" t="s">
        <v>7</v>
      </c>
      <c r="CS651" s="27" t="s">
        <v>8</v>
      </c>
      <c r="CT651" s="27" t="s">
        <v>7</v>
      </c>
      <c r="CU651" s="27" t="s">
        <v>8</v>
      </c>
      <c r="CX651" s="27" t="s">
        <v>7</v>
      </c>
      <c r="CY651" s="27" t="s">
        <v>8</v>
      </c>
      <c r="CZ651" s="27" t="s">
        <v>7</v>
      </c>
      <c r="DA651" s="27" t="s">
        <v>8</v>
      </c>
      <c r="DB651" s="27" t="s">
        <v>7</v>
      </c>
      <c r="DC651" s="27" t="s">
        <v>8</v>
      </c>
      <c r="DR651" s="27" t="s">
        <v>7</v>
      </c>
      <c r="DS651" s="27" t="s">
        <v>8</v>
      </c>
      <c r="DT651" s="27" t="s">
        <v>7</v>
      </c>
      <c r="DU651" s="27" t="s">
        <v>8</v>
      </c>
      <c r="EF651" s="27" t="s">
        <v>7</v>
      </c>
      <c r="EG651" s="27" t="s">
        <v>8</v>
      </c>
      <c r="EH651" s="27" t="s">
        <v>7</v>
      </c>
      <c r="EI651" s="27" t="s">
        <v>8</v>
      </c>
      <c r="EY651" s="27" t="s">
        <v>8</v>
      </c>
      <c r="EZ651" s="27" t="s">
        <v>7</v>
      </c>
      <c r="GW651" s="27" t="s">
        <v>8</v>
      </c>
      <c r="GX651" s="27" t="s">
        <v>7</v>
      </c>
      <c r="IK651" s="27" t="s">
        <v>8</v>
      </c>
      <c r="IL651" s="27" t="s">
        <v>7</v>
      </c>
    </row>
    <row r="652" spans="1:246" x14ac:dyDescent="0.25">
      <c r="A652" s="7">
        <v>0.27605068902177105</v>
      </c>
      <c r="B652"/>
      <c r="C652"/>
      <c r="D652"/>
      <c r="E652"/>
      <c r="F652" s="27" t="s">
        <v>7</v>
      </c>
      <c r="CM652" s="27" t="s">
        <v>8</v>
      </c>
      <c r="CN652" s="27" t="s">
        <v>7</v>
      </c>
      <c r="CS652" s="27" t="s">
        <v>8</v>
      </c>
      <c r="CT652" s="27" t="s">
        <v>7</v>
      </c>
      <c r="CU652" s="27" t="s">
        <v>8</v>
      </c>
      <c r="CX652" s="27" t="s">
        <v>7</v>
      </c>
      <c r="CZ652" s="27" t="s">
        <v>7</v>
      </c>
      <c r="DA652" s="27" t="s">
        <v>8</v>
      </c>
      <c r="DB652" s="27" t="s">
        <v>7</v>
      </c>
      <c r="DC652" s="27" t="s">
        <v>8</v>
      </c>
      <c r="DR652" s="27" t="s">
        <v>7</v>
      </c>
      <c r="DS652" s="27" t="s">
        <v>8</v>
      </c>
      <c r="DT652" s="27" t="s">
        <v>7</v>
      </c>
      <c r="DU652" s="27" t="s">
        <v>8</v>
      </c>
      <c r="EF652" s="27" t="s">
        <v>7</v>
      </c>
      <c r="EG652" s="27" t="s">
        <v>8</v>
      </c>
      <c r="EH652" s="27" t="s">
        <v>7</v>
      </c>
      <c r="EI652" s="27" t="s">
        <v>8</v>
      </c>
      <c r="EJ652" s="27" t="s">
        <v>7</v>
      </c>
      <c r="EY652" s="27" t="s">
        <v>8</v>
      </c>
      <c r="EZ652" s="27" t="s">
        <v>7</v>
      </c>
      <c r="FA652" s="27" t="s">
        <v>8</v>
      </c>
      <c r="GW652" s="27" t="s">
        <v>8</v>
      </c>
      <c r="GX652" s="27" t="s">
        <v>7</v>
      </c>
      <c r="IK652" s="27" t="s">
        <v>8</v>
      </c>
      <c r="IL652" s="27" t="s">
        <v>7</v>
      </c>
    </row>
    <row r="653" spans="1:246" x14ac:dyDescent="0.25">
      <c r="A653" s="7">
        <v>0.27063793041350104</v>
      </c>
      <c r="B653"/>
      <c r="C653"/>
      <c r="D653"/>
      <c r="E653"/>
      <c r="F653" s="27" t="s">
        <v>7</v>
      </c>
      <c r="CM653" s="27" t="s">
        <v>8</v>
      </c>
      <c r="CN653" s="27" t="s">
        <v>7</v>
      </c>
      <c r="CS653" s="27" t="s">
        <v>8</v>
      </c>
      <c r="CT653" s="27" t="s">
        <v>7</v>
      </c>
      <c r="CU653" s="27" t="s">
        <v>8</v>
      </c>
      <c r="CZ653" s="27" t="s">
        <v>7</v>
      </c>
      <c r="DA653" s="27" t="s">
        <v>8</v>
      </c>
      <c r="DB653" s="27" t="s">
        <v>7</v>
      </c>
      <c r="DC653" s="27" t="s">
        <v>8</v>
      </c>
      <c r="DR653" s="27" t="s">
        <v>7</v>
      </c>
      <c r="DT653" s="27" t="s">
        <v>7</v>
      </c>
      <c r="DU653" s="27" t="s">
        <v>8</v>
      </c>
      <c r="EF653" s="27" t="s">
        <v>7</v>
      </c>
      <c r="EG653" s="27" t="s">
        <v>8</v>
      </c>
      <c r="EH653" s="27" t="s">
        <v>7</v>
      </c>
      <c r="EI653" s="27" t="s">
        <v>8</v>
      </c>
      <c r="EJ653" s="27" t="s">
        <v>7</v>
      </c>
      <c r="EY653" s="27" t="s">
        <v>8</v>
      </c>
      <c r="EZ653" s="27" t="s">
        <v>7</v>
      </c>
      <c r="FA653" s="27" t="s">
        <v>8</v>
      </c>
      <c r="FB653" s="27" t="s">
        <v>7</v>
      </c>
      <c r="GW653" s="27" t="s">
        <v>8</v>
      </c>
      <c r="GX653" s="27" t="s">
        <v>7</v>
      </c>
      <c r="IK653" s="27" t="s">
        <v>8</v>
      </c>
      <c r="IL653" s="27" t="s">
        <v>7</v>
      </c>
    </row>
    <row r="654" spans="1:246" x14ac:dyDescent="0.25">
      <c r="A654" s="7">
        <v>0.26533130432696184</v>
      </c>
      <c r="B654"/>
      <c r="C654"/>
      <c r="D654"/>
      <c r="E654"/>
      <c r="F654" s="27" t="s">
        <v>7</v>
      </c>
      <c r="CM654" s="27" t="s">
        <v>8</v>
      </c>
      <c r="CN654" s="27" t="s">
        <v>7</v>
      </c>
      <c r="CS654" s="27" t="s">
        <v>8</v>
      </c>
      <c r="CT654" s="27" t="s">
        <v>7</v>
      </c>
      <c r="CU654" s="27" t="s">
        <v>8</v>
      </c>
      <c r="CZ654" s="27" t="s">
        <v>7</v>
      </c>
      <c r="DB654" s="27" t="s">
        <v>7</v>
      </c>
      <c r="DT654" s="27" t="s">
        <v>7</v>
      </c>
      <c r="DU654" s="27" t="s">
        <v>8</v>
      </c>
      <c r="EF654" s="27" t="s">
        <v>7</v>
      </c>
      <c r="EG654" s="27" t="s">
        <v>8</v>
      </c>
      <c r="EH654" s="27" t="s">
        <v>7</v>
      </c>
      <c r="EI654" s="27" t="s">
        <v>8</v>
      </c>
      <c r="EJ654" s="27" t="s">
        <v>7</v>
      </c>
      <c r="EY654" s="27" t="s">
        <v>8</v>
      </c>
      <c r="EZ654" s="27" t="s">
        <v>7</v>
      </c>
      <c r="FA654" s="27" t="s">
        <v>8</v>
      </c>
      <c r="FB654" s="27" t="s">
        <v>7</v>
      </c>
      <c r="GW654" s="27" t="s">
        <v>8</v>
      </c>
      <c r="GX654" s="27" t="s">
        <v>7</v>
      </c>
      <c r="IK654" s="27" t="s">
        <v>8</v>
      </c>
      <c r="IL654" s="27" t="s">
        <v>7</v>
      </c>
    </row>
    <row r="655" spans="1:246" x14ac:dyDescent="0.25">
      <c r="A655" s="7">
        <v>0.26012872973231554</v>
      </c>
      <c r="B655"/>
      <c r="C655"/>
      <c r="D655"/>
      <c r="E655"/>
      <c r="F655" s="27" t="s">
        <v>7</v>
      </c>
      <c r="CM655" s="27" t="s">
        <v>8</v>
      </c>
      <c r="CN655" s="27" t="s">
        <v>7</v>
      </c>
      <c r="CS655" s="27" t="s">
        <v>8</v>
      </c>
      <c r="CT655" s="27" t="s">
        <v>7</v>
      </c>
      <c r="CU655" s="27" t="s">
        <v>8</v>
      </c>
      <c r="DT655" s="27" t="s">
        <v>7</v>
      </c>
      <c r="DU655" s="27" t="s">
        <v>8</v>
      </c>
      <c r="EF655" s="27" t="s">
        <v>7</v>
      </c>
      <c r="EG655" s="27" t="s">
        <v>8</v>
      </c>
      <c r="EH655" s="27" t="s">
        <v>7</v>
      </c>
      <c r="EI655" s="27" t="s">
        <v>8</v>
      </c>
      <c r="EJ655" s="27" t="s">
        <v>7</v>
      </c>
      <c r="EY655" s="27" t="s">
        <v>8</v>
      </c>
      <c r="EZ655" s="27" t="s">
        <v>7</v>
      </c>
      <c r="FA655" s="27" t="s">
        <v>8</v>
      </c>
      <c r="FB655" s="27" t="s">
        <v>7</v>
      </c>
      <c r="GW655" s="27" t="s">
        <v>8</v>
      </c>
      <c r="GX655" s="27" t="s">
        <v>7</v>
      </c>
      <c r="IK655" s="27" t="s">
        <v>8</v>
      </c>
      <c r="IL655" s="27" t="s">
        <v>7</v>
      </c>
    </row>
    <row r="656" spans="1:246" x14ac:dyDescent="0.25">
      <c r="A656" s="7">
        <v>0.25502816640423093</v>
      </c>
      <c r="B656"/>
      <c r="C656"/>
      <c r="D656"/>
      <c r="E656"/>
      <c r="F656" s="27" t="s">
        <v>7</v>
      </c>
      <c r="CM656" s="27" t="s">
        <v>8</v>
      </c>
      <c r="CN656" s="27" t="s">
        <v>7</v>
      </c>
      <c r="CS656" s="27" t="s">
        <v>8</v>
      </c>
      <c r="CT656" s="27" t="s">
        <v>7</v>
      </c>
      <c r="DT656" s="27" t="s">
        <v>7</v>
      </c>
      <c r="DU656" s="27" t="s">
        <v>8</v>
      </c>
      <c r="EF656" s="27" t="s">
        <v>7</v>
      </c>
      <c r="EH656" s="27" t="s">
        <v>7</v>
      </c>
      <c r="EI656" s="27" t="s">
        <v>8</v>
      </c>
      <c r="EJ656" s="27" t="s">
        <v>7</v>
      </c>
      <c r="EY656" s="27" t="s">
        <v>8</v>
      </c>
      <c r="EZ656" s="27" t="s">
        <v>7</v>
      </c>
      <c r="FA656" s="27" t="s">
        <v>8</v>
      </c>
      <c r="FB656" s="27" t="s">
        <v>7</v>
      </c>
      <c r="GW656" s="27" t="s">
        <v>8</v>
      </c>
      <c r="GX656" s="27" t="s">
        <v>7</v>
      </c>
      <c r="HE656" s="27" t="s">
        <v>8</v>
      </c>
      <c r="IK656" s="27" t="s">
        <v>8</v>
      </c>
      <c r="IL656" s="27" t="s">
        <v>7</v>
      </c>
    </row>
    <row r="657" spans="1:254" x14ac:dyDescent="0.25">
      <c r="A657" s="7">
        <v>0.25002761412179503</v>
      </c>
      <c r="B657"/>
      <c r="C657"/>
      <c r="D657"/>
      <c r="E657"/>
      <c r="F657" s="27" t="s">
        <v>7</v>
      </c>
      <c r="CM657" s="27" t="s">
        <v>8</v>
      </c>
      <c r="CN657" s="27" t="s">
        <v>7</v>
      </c>
      <c r="CS657" s="27" t="s">
        <v>8</v>
      </c>
      <c r="DT657" s="27" t="s">
        <v>7</v>
      </c>
      <c r="DU657" s="27" t="s">
        <v>8</v>
      </c>
      <c r="EH657" s="27" t="s">
        <v>7</v>
      </c>
      <c r="EJ657" s="27" t="s">
        <v>7</v>
      </c>
      <c r="EY657" s="27" t="s">
        <v>8</v>
      </c>
      <c r="EZ657" s="27" t="s">
        <v>7</v>
      </c>
      <c r="FA657" s="27" t="s">
        <v>8</v>
      </c>
      <c r="FB657" s="27" t="s">
        <v>7</v>
      </c>
      <c r="GQ657" s="27" t="s">
        <v>8</v>
      </c>
      <c r="GW657" s="27" t="s">
        <v>8</v>
      </c>
      <c r="GX657" s="27" t="s">
        <v>7</v>
      </c>
      <c r="HE657" s="27" t="s">
        <v>8</v>
      </c>
      <c r="HF657" s="27" t="s">
        <v>7</v>
      </c>
      <c r="IK657" s="27" t="s">
        <v>8</v>
      </c>
      <c r="IL657" s="27" t="s">
        <v>7</v>
      </c>
    </row>
    <row r="658" spans="1:254" x14ac:dyDescent="0.25">
      <c r="A658" s="7">
        <v>0.24512511188411276</v>
      </c>
      <c r="B658"/>
      <c r="C658"/>
      <c r="D658"/>
      <c r="E658"/>
      <c r="F658" s="27" t="s">
        <v>7</v>
      </c>
      <c r="CM658" s="27" t="s">
        <v>8</v>
      </c>
      <c r="CN658" s="27" t="s">
        <v>7</v>
      </c>
      <c r="CS658" s="27" t="s">
        <v>8</v>
      </c>
      <c r="DT658" s="27" t="s">
        <v>7</v>
      </c>
      <c r="DU658" s="27" t="s">
        <v>8</v>
      </c>
      <c r="EJ658" s="27" t="s">
        <v>7</v>
      </c>
      <c r="EY658" s="27" t="s">
        <v>8</v>
      </c>
      <c r="EZ658" s="27" t="s">
        <v>7</v>
      </c>
      <c r="FA658" s="27" t="s">
        <v>8</v>
      </c>
      <c r="FB658" s="27" t="s">
        <v>7</v>
      </c>
      <c r="GE658" s="27" t="s">
        <v>8</v>
      </c>
      <c r="GQ658" s="27" t="s">
        <v>8</v>
      </c>
      <c r="GR658" s="27" t="s">
        <v>7</v>
      </c>
      <c r="GW658" s="27" t="s">
        <v>8</v>
      </c>
      <c r="GX658" s="27" t="s">
        <v>7</v>
      </c>
      <c r="HE658" s="27" t="s">
        <v>8</v>
      </c>
      <c r="HF658" s="27" t="s">
        <v>7</v>
      </c>
      <c r="IK658" s="27" t="s">
        <v>8</v>
      </c>
      <c r="IL658" s="27" t="s">
        <v>7</v>
      </c>
    </row>
    <row r="659" spans="1:254" x14ac:dyDescent="0.25">
      <c r="A659" s="7">
        <v>0.24031873714128701</v>
      </c>
      <c r="B659"/>
      <c r="C659"/>
      <c r="D659"/>
      <c r="E659"/>
      <c r="F659" s="27" t="s">
        <v>7</v>
      </c>
      <c r="CM659" s="27" t="s">
        <v>8</v>
      </c>
      <c r="CN659" s="27" t="s">
        <v>7</v>
      </c>
      <c r="CO659" s="27" t="s">
        <v>8</v>
      </c>
      <c r="CS659" s="27" t="s">
        <v>8</v>
      </c>
      <c r="DT659" s="27" t="s">
        <v>7</v>
      </c>
      <c r="DU659" s="27" t="s">
        <v>8</v>
      </c>
      <c r="EJ659" s="27" t="s">
        <v>7</v>
      </c>
      <c r="EO659" s="27" t="s">
        <v>8</v>
      </c>
      <c r="EY659" s="27" t="s">
        <v>8</v>
      </c>
      <c r="EZ659" s="27" t="s">
        <v>7</v>
      </c>
      <c r="FA659" s="27" t="s">
        <v>8</v>
      </c>
      <c r="FB659" s="27" t="s">
        <v>7</v>
      </c>
      <c r="GE659" s="27" t="s">
        <v>8</v>
      </c>
      <c r="GF659" s="27" t="s">
        <v>7</v>
      </c>
      <c r="GK659" s="27" t="s">
        <v>8</v>
      </c>
      <c r="GO659" s="27" t="s">
        <v>8</v>
      </c>
      <c r="GQ659" s="27" t="s">
        <v>8</v>
      </c>
      <c r="GR659" s="27" t="s">
        <v>7</v>
      </c>
      <c r="GS659" s="27" t="s">
        <v>8</v>
      </c>
      <c r="GU659" s="27" t="s">
        <v>8</v>
      </c>
      <c r="GW659" s="27" t="s">
        <v>8</v>
      </c>
      <c r="GX659" s="27" t="s">
        <v>7</v>
      </c>
      <c r="HE659" s="27" t="s">
        <v>8</v>
      </c>
      <c r="HF659" s="27" t="s">
        <v>7</v>
      </c>
      <c r="IK659" s="27" t="s">
        <v>8</v>
      </c>
      <c r="IL659" s="27" t="s">
        <v>7</v>
      </c>
    </row>
    <row r="660" spans="1:254" x14ac:dyDescent="0.25">
      <c r="A660" s="7">
        <v>0.23560660504047748</v>
      </c>
      <c r="B660"/>
      <c r="C660"/>
      <c r="D660"/>
      <c r="E660"/>
      <c r="F660" s="27" t="s">
        <v>7</v>
      </c>
      <c r="CM660" s="27" t="s">
        <v>8</v>
      </c>
      <c r="CN660" s="27" t="s">
        <v>7</v>
      </c>
      <c r="CO660" s="27" t="s">
        <v>8</v>
      </c>
      <c r="CP660" s="27" t="s">
        <v>7</v>
      </c>
      <c r="CQ660" s="27" t="s">
        <v>8</v>
      </c>
      <c r="CS660" s="27" t="s">
        <v>8</v>
      </c>
      <c r="DT660" s="27" t="s">
        <v>7</v>
      </c>
      <c r="DU660" s="27" t="s">
        <v>8</v>
      </c>
      <c r="EJ660" s="27" t="s">
        <v>7</v>
      </c>
      <c r="EO660" s="27" t="s">
        <v>8</v>
      </c>
      <c r="EP660" s="27" t="s">
        <v>7</v>
      </c>
      <c r="EY660" s="27" t="s">
        <v>8</v>
      </c>
      <c r="EZ660" s="27" t="s">
        <v>7</v>
      </c>
      <c r="FA660" s="27" t="s">
        <v>8</v>
      </c>
      <c r="FB660" s="27" t="s">
        <v>7</v>
      </c>
      <c r="FS660" s="27" t="s">
        <v>8</v>
      </c>
      <c r="GE660" s="27" t="s">
        <v>8</v>
      </c>
      <c r="GF660" s="27" t="s">
        <v>7</v>
      </c>
      <c r="GK660" s="27" t="s">
        <v>8</v>
      </c>
      <c r="GL660" s="27" t="s">
        <v>7</v>
      </c>
      <c r="GO660" s="27" t="s">
        <v>8</v>
      </c>
      <c r="GP660" s="27" t="s">
        <v>7</v>
      </c>
      <c r="GQ660" s="27" t="s">
        <v>8</v>
      </c>
      <c r="GR660" s="27" t="s">
        <v>7</v>
      </c>
      <c r="GS660" s="27" t="s">
        <v>8</v>
      </c>
      <c r="GT660" s="27" t="s">
        <v>7</v>
      </c>
      <c r="GU660" s="27" t="s">
        <v>8</v>
      </c>
      <c r="GV660" s="27" t="s">
        <v>7</v>
      </c>
      <c r="GW660" s="27" t="s">
        <v>8</v>
      </c>
      <c r="GX660" s="27" t="s">
        <v>7</v>
      </c>
      <c r="HE660" s="27" t="s">
        <v>8</v>
      </c>
      <c r="HF660" s="27" t="s">
        <v>7</v>
      </c>
      <c r="IE660" s="27" t="s">
        <v>8</v>
      </c>
      <c r="IK660" s="27" t="s">
        <v>8</v>
      </c>
      <c r="IL660" s="27" t="s">
        <v>7</v>
      </c>
    </row>
    <row r="661" spans="1:254" x14ac:dyDescent="0.25">
      <c r="A661" s="7">
        <v>0.23098686768674265</v>
      </c>
      <c r="B661"/>
      <c r="C661"/>
      <c r="D661"/>
      <c r="E661"/>
      <c r="F661" s="27" t="s">
        <v>7</v>
      </c>
      <c r="CM661" s="27" t="s">
        <v>8</v>
      </c>
      <c r="CN661" s="27" t="s">
        <v>7</v>
      </c>
      <c r="CO661" s="27" t="s">
        <v>8</v>
      </c>
      <c r="CP661" s="27" t="s">
        <v>7</v>
      </c>
      <c r="CQ661" s="27" t="s">
        <v>8</v>
      </c>
      <c r="CR661" s="27" t="s">
        <v>7</v>
      </c>
      <c r="CS661" s="27" t="s">
        <v>8</v>
      </c>
      <c r="DT661" s="27" t="s">
        <v>7</v>
      </c>
      <c r="DU661" s="27" t="s">
        <v>8</v>
      </c>
      <c r="EJ661" s="27" t="s">
        <v>7</v>
      </c>
      <c r="EO661" s="27" t="s">
        <v>8</v>
      </c>
      <c r="EP661" s="27" t="s">
        <v>7</v>
      </c>
      <c r="EY661" s="27" t="s">
        <v>8</v>
      </c>
      <c r="EZ661" s="27" t="s">
        <v>7</v>
      </c>
      <c r="FA661" s="27" t="s">
        <v>8</v>
      </c>
      <c r="FB661" s="27" t="s">
        <v>7</v>
      </c>
      <c r="FS661" s="27" t="s">
        <v>8</v>
      </c>
      <c r="FT661" s="27" t="s">
        <v>7</v>
      </c>
      <c r="GE661" s="27" t="s">
        <v>8</v>
      </c>
      <c r="GF661" s="27" t="s">
        <v>7</v>
      </c>
      <c r="GK661" s="27" t="s">
        <v>8</v>
      </c>
      <c r="GL661" s="27" t="s">
        <v>7</v>
      </c>
      <c r="GM661" s="27" t="s">
        <v>8</v>
      </c>
      <c r="GO661" s="27" t="s">
        <v>8</v>
      </c>
      <c r="GP661" s="27" t="s">
        <v>7</v>
      </c>
      <c r="GQ661" s="27" t="s">
        <v>8</v>
      </c>
      <c r="GR661" s="27" t="s">
        <v>7</v>
      </c>
      <c r="GS661" s="27" t="s">
        <v>8</v>
      </c>
      <c r="GT661" s="27" t="s">
        <v>7</v>
      </c>
      <c r="GU661" s="27" t="s">
        <v>8</v>
      </c>
      <c r="GV661" s="27" t="s">
        <v>7</v>
      </c>
      <c r="GW661" s="27" t="s">
        <v>8</v>
      </c>
      <c r="GX661" s="27" t="s">
        <v>7</v>
      </c>
      <c r="HE661" s="27" t="s">
        <v>8</v>
      </c>
      <c r="HF661" s="27" t="s">
        <v>7</v>
      </c>
      <c r="HO661" s="27" t="s">
        <v>8</v>
      </c>
      <c r="IE661" s="27" t="s">
        <v>8</v>
      </c>
      <c r="IF661" s="27" t="s">
        <v>7</v>
      </c>
      <c r="IK661" s="27" t="s">
        <v>8</v>
      </c>
      <c r="IL661" s="27" t="s">
        <v>7</v>
      </c>
      <c r="IM661" s="27" t="s">
        <v>8</v>
      </c>
    </row>
    <row r="662" spans="1:254" x14ac:dyDescent="0.25">
      <c r="A662" s="7">
        <v>0.22645771341837515</v>
      </c>
      <c r="B662"/>
      <c r="C662"/>
      <c r="D662"/>
      <c r="E662"/>
      <c r="F662" s="27" t="s">
        <v>7</v>
      </c>
      <c r="CM662" s="27" t="s">
        <v>8</v>
      </c>
      <c r="CN662" s="27" t="s">
        <v>7</v>
      </c>
      <c r="CO662" s="27" t="s">
        <v>8</v>
      </c>
      <c r="CP662" s="27" t="s">
        <v>7</v>
      </c>
      <c r="CQ662" s="27" t="s">
        <v>8</v>
      </c>
      <c r="CR662" s="27" t="s">
        <v>7</v>
      </c>
      <c r="CS662" s="27" t="s">
        <v>8</v>
      </c>
      <c r="DT662" s="27" t="s">
        <v>7</v>
      </c>
      <c r="DU662" s="27" t="s">
        <v>8</v>
      </c>
      <c r="EJ662" s="27" t="s">
        <v>7</v>
      </c>
      <c r="EO662" s="27" t="s">
        <v>8</v>
      </c>
      <c r="EP662" s="27" t="s">
        <v>7</v>
      </c>
      <c r="EY662" s="27" t="s">
        <v>8</v>
      </c>
      <c r="EZ662" s="27" t="s">
        <v>7</v>
      </c>
      <c r="FA662" s="27" t="s">
        <v>8</v>
      </c>
      <c r="FB662" s="27" t="s">
        <v>7</v>
      </c>
      <c r="FE662" s="27" t="s">
        <v>8</v>
      </c>
      <c r="FS662" s="27" t="s">
        <v>8</v>
      </c>
      <c r="FT662" s="27" t="s">
        <v>7</v>
      </c>
      <c r="GE662" s="27" t="s">
        <v>8</v>
      </c>
      <c r="GF662" s="27" t="s">
        <v>7</v>
      </c>
      <c r="GI662" s="27" t="s">
        <v>8</v>
      </c>
      <c r="GK662" s="27" t="s">
        <v>8</v>
      </c>
      <c r="GL662" s="27" t="s">
        <v>7</v>
      </c>
      <c r="GM662" s="27" t="s">
        <v>8</v>
      </c>
      <c r="GN662" s="27" t="s">
        <v>7</v>
      </c>
      <c r="GO662" s="27" t="s">
        <v>8</v>
      </c>
      <c r="GP662" s="27" t="s">
        <v>7</v>
      </c>
      <c r="GQ662" s="27" t="s">
        <v>8</v>
      </c>
      <c r="GR662" s="27" t="s">
        <v>7</v>
      </c>
      <c r="GS662" s="27" t="s">
        <v>8</v>
      </c>
      <c r="GT662" s="27" t="s">
        <v>7</v>
      </c>
      <c r="GV662" s="27" t="s">
        <v>7</v>
      </c>
      <c r="GW662" s="27" t="s">
        <v>8</v>
      </c>
      <c r="GX662" s="27" t="s">
        <v>7</v>
      </c>
      <c r="HE662" s="27" t="s">
        <v>8</v>
      </c>
      <c r="HF662" s="27" t="s">
        <v>7</v>
      </c>
      <c r="HO662" s="27" t="s">
        <v>8</v>
      </c>
      <c r="HP662" s="27" t="s">
        <v>7</v>
      </c>
      <c r="IE662" s="27" t="s">
        <v>8</v>
      </c>
      <c r="IF662" s="27" t="s">
        <v>7</v>
      </c>
      <c r="IG662" s="27" t="s">
        <v>8</v>
      </c>
      <c r="IK662" s="27" t="s">
        <v>8</v>
      </c>
      <c r="IL662" s="27" t="s">
        <v>7</v>
      </c>
      <c r="IM662" s="27" t="s">
        <v>8</v>
      </c>
      <c r="IN662" s="27" t="s">
        <v>7</v>
      </c>
    </row>
    <row r="663" spans="1:254" x14ac:dyDescent="0.25">
      <c r="A663" s="7">
        <v>0.22201736609644623</v>
      </c>
      <c r="B663"/>
      <c r="C663"/>
      <c r="D663"/>
      <c r="E663"/>
      <c r="F663" s="27" t="s">
        <v>7</v>
      </c>
      <c r="CM663" s="27" t="s">
        <v>8</v>
      </c>
      <c r="CN663" s="27" t="s">
        <v>7</v>
      </c>
      <c r="CO663" s="27" t="s">
        <v>8</v>
      </c>
      <c r="CP663" s="27" t="s">
        <v>7</v>
      </c>
      <c r="CQ663" s="27" t="s">
        <v>8</v>
      </c>
      <c r="CR663" s="27" t="s">
        <v>7</v>
      </c>
      <c r="CS663" s="27" t="s">
        <v>8</v>
      </c>
      <c r="DT663" s="27" t="s">
        <v>7</v>
      </c>
      <c r="DU663" s="27" t="s">
        <v>8</v>
      </c>
      <c r="EJ663" s="27" t="s">
        <v>7</v>
      </c>
      <c r="EO663" s="27" t="s">
        <v>8</v>
      </c>
      <c r="EP663" s="27" t="s">
        <v>7</v>
      </c>
      <c r="EY663" s="27" t="s">
        <v>8</v>
      </c>
      <c r="EZ663" s="27" t="s">
        <v>7</v>
      </c>
      <c r="FA663" s="27" t="s">
        <v>8</v>
      </c>
      <c r="FB663" s="27" t="s">
        <v>7</v>
      </c>
      <c r="FE663" s="27" t="s">
        <v>8</v>
      </c>
      <c r="FF663" s="27" t="s">
        <v>7</v>
      </c>
      <c r="FS663" s="27" t="s">
        <v>8</v>
      </c>
      <c r="FT663" s="27" t="s">
        <v>7</v>
      </c>
      <c r="GE663" s="27" t="s">
        <v>8</v>
      </c>
      <c r="GF663" s="27" t="s">
        <v>7</v>
      </c>
      <c r="GI663" s="27" t="s">
        <v>8</v>
      </c>
      <c r="GJ663" s="27" t="s">
        <v>7</v>
      </c>
      <c r="GK663" s="27" t="s">
        <v>8</v>
      </c>
      <c r="GL663" s="27" t="s">
        <v>7</v>
      </c>
      <c r="GM663" s="27" t="s">
        <v>8</v>
      </c>
      <c r="GN663" s="27" t="s">
        <v>7</v>
      </c>
      <c r="GO663" s="27" t="s">
        <v>8</v>
      </c>
      <c r="GP663" s="27" t="s">
        <v>7</v>
      </c>
      <c r="GQ663" s="27" t="s">
        <v>8</v>
      </c>
      <c r="GR663" s="27" t="s">
        <v>7</v>
      </c>
      <c r="GS663" s="27" t="s">
        <v>8</v>
      </c>
      <c r="GV663" s="27" t="s">
        <v>7</v>
      </c>
      <c r="GW663" s="27" t="s">
        <v>8</v>
      </c>
      <c r="GX663" s="27" t="s">
        <v>7</v>
      </c>
      <c r="HE663" s="27" t="s">
        <v>8</v>
      </c>
      <c r="HF663" s="27" t="s">
        <v>7</v>
      </c>
      <c r="HO663" s="27" t="s">
        <v>8</v>
      </c>
      <c r="HP663" s="27" t="s">
        <v>7</v>
      </c>
      <c r="IE663" s="27" t="s">
        <v>8</v>
      </c>
      <c r="IF663" s="27" t="s">
        <v>7</v>
      </c>
      <c r="IG663" s="27" t="s">
        <v>8</v>
      </c>
      <c r="IH663" s="27" t="s">
        <v>7</v>
      </c>
      <c r="IK663" s="27" t="s">
        <v>8</v>
      </c>
      <c r="IL663" s="27" t="s">
        <v>7</v>
      </c>
      <c r="IM663" s="27" t="s">
        <v>8</v>
      </c>
      <c r="IN663" s="27" t="s">
        <v>7</v>
      </c>
    </row>
    <row r="664" spans="1:254" x14ac:dyDescent="0.25">
      <c r="A664" s="7">
        <v>0.21766408440828061</v>
      </c>
      <c r="B664"/>
      <c r="C664"/>
      <c r="D664"/>
      <c r="E664"/>
      <c r="F664" s="27" t="s">
        <v>7</v>
      </c>
      <c r="CM664" s="27" t="s">
        <v>8</v>
      </c>
      <c r="CN664" s="27" t="s">
        <v>7</v>
      </c>
      <c r="CO664" s="27" t="s">
        <v>8</v>
      </c>
      <c r="CP664" s="27" t="s">
        <v>7</v>
      </c>
      <c r="CQ664" s="27" t="s">
        <v>8</v>
      </c>
      <c r="CR664" s="27" t="s">
        <v>7</v>
      </c>
      <c r="CS664" s="27" t="s">
        <v>8</v>
      </c>
      <c r="DT664" s="27" t="s">
        <v>7</v>
      </c>
      <c r="DU664" s="27" t="s">
        <v>8</v>
      </c>
      <c r="EJ664" s="27" t="s">
        <v>7</v>
      </c>
      <c r="EK664" s="27" t="s">
        <v>8</v>
      </c>
      <c r="EO664" s="27" t="s">
        <v>8</v>
      </c>
      <c r="EP664" s="27" t="s">
        <v>7</v>
      </c>
      <c r="EW664" s="27" t="s">
        <v>8</v>
      </c>
      <c r="EY664" s="27" t="s">
        <v>8</v>
      </c>
      <c r="EZ664" s="27" t="s">
        <v>7</v>
      </c>
      <c r="FA664" s="27" t="s">
        <v>8</v>
      </c>
      <c r="FB664" s="27" t="s">
        <v>7</v>
      </c>
      <c r="FC664" s="27" t="s">
        <v>8</v>
      </c>
      <c r="FE664" s="27" t="s">
        <v>8</v>
      </c>
      <c r="FF664" s="27" t="s">
        <v>7</v>
      </c>
      <c r="FS664" s="27" t="s">
        <v>8</v>
      </c>
      <c r="FT664" s="27" t="s">
        <v>7</v>
      </c>
      <c r="GE664" s="27" t="s">
        <v>8</v>
      </c>
      <c r="GF664" s="27" t="s">
        <v>7</v>
      </c>
      <c r="GG664" s="27" t="s">
        <v>8</v>
      </c>
      <c r="GI664" s="27" t="s">
        <v>8</v>
      </c>
      <c r="GJ664" s="27" t="s">
        <v>7</v>
      </c>
      <c r="GK664" s="27" t="s">
        <v>8</v>
      </c>
      <c r="GL664" s="27" t="s">
        <v>7</v>
      </c>
      <c r="GM664" s="27" t="s">
        <v>8</v>
      </c>
      <c r="GN664" s="27" t="s">
        <v>7</v>
      </c>
      <c r="GO664" s="27" t="s">
        <v>8</v>
      </c>
      <c r="GP664" s="27" t="s">
        <v>7</v>
      </c>
      <c r="GQ664" s="27" t="s">
        <v>8</v>
      </c>
      <c r="GR664" s="27" t="s">
        <v>7</v>
      </c>
      <c r="GS664" s="27" t="s">
        <v>8</v>
      </c>
      <c r="GV664" s="27" t="s">
        <v>7</v>
      </c>
      <c r="GW664" s="27" t="s">
        <v>8</v>
      </c>
      <c r="GX664" s="27" t="s">
        <v>7</v>
      </c>
      <c r="GY664" s="27" t="s">
        <v>8</v>
      </c>
      <c r="HE664" s="27" t="s">
        <v>8</v>
      </c>
      <c r="HF664" s="27" t="s">
        <v>7</v>
      </c>
      <c r="HO664" s="27" t="s">
        <v>8</v>
      </c>
      <c r="HP664" s="27" t="s">
        <v>7</v>
      </c>
      <c r="IE664" s="27" t="s">
        <v>8</v>
      </c>
      <c r="IF664" s="27" t="s">
        <v>7</v>
      </c>
      <c r="IG664" s="27" t="s">
        <v>8</v>
      </c>
      <c r="IH664" s="27" t="s">
        <v>7</v>
      </c>
      <c r="IK664" s="27" t="s">
        <v>8</v>
      </c>
      <c r="IL664" s="27" t="s">
        <v>7</v>
      </c>
      <c r="IM664" s="27" t="s">
        <v>8</v>
      </c>
      <c r="IN664" s="27" t="s">
        <v>7</v>
      </c>
    </row>
    <row r="665" spans="1:254" x14ac:dyDescent="0.25">
      <c r="A665" s="7">
        <v>0.21339616118458882</v>
      </c>
      <c r="B665"/>
      <c r="C665"/>
      <c r="D665"/>
      <c r="E665"/>
      <c r="F665" s="27" t="s">
        <v>7</v>
      </c>
      <c r="CM665" s="27" t="s">
        <v>8</v>
      </c>
      <c r="CN665" s="27" t="s">
        <v>7</v>
      </c>
      <c r="CO665" s="27" t="s">
        <v>8</v>
      </c>
      <c r="CP665" s="27" t="s">
        <v>7</v>
      </c>
      <c r="CQ665" s="27" t="s">
        <v>8</v>
      </c>
      <c r="CR665" s="27" t="s">
        <v>7</v>
      </c>
      <c r="CS665" s="27" t="s">
        <v>8</v>
      </c>
      <c r="DT665" s="27" t="s">
        <v>7</v>
      </c>
      <c r="DU665" s="27" t="s">
        <v>8</v>
      </c>
      <c r="EJ665" s="27" t="s">
        <v>7</v>
      </c>
      <c r="EK665" s="27" t="s">
        <v>8</v>
      </c>
      <c r="EL665" s="27" t="s">
        <v>7</v>
      </c>
      <c r="EO665" s="27" t="s">
        <v>8</v>
      </c>
      <c r="EP665" s="27" t="s">
        <v>7</v>
      </c>
      <c r="EQ665" s="27" t="s">
        <v>8</v>
      </c>
      <c r="EW665" s="27" t="s">
        <v>8</v>
      </c>
      <c r="EX665" s="27" t="s">
        <v>7</v>
      </c>
      <c r="EY665" s="27" t="s">
        <v>8</v>
      </c>
      <c r="EZ665" s="27" t="s">
        <v>7</v>
      </c>
      <c r="FA665" s="27" t="s">
        <v>8</v>
      </c>
      <c r="FB665" s="27" t="s">
        <v>7</v>
      </c>
      <c r="FC665" s="27" t="s">
        <v>8</v>
      </c>
      <c r="FD665" s="27" t="s">
        <v>7</v>
      </c>
      <c r="FE665" s="27" t="s">
        <v>8</v>
      </c>
      <c r="FF665" s="27" t="s">
        <v>7</v>
      </c>
      <c r="FS665" s="27" t="s">
        <v>8</v>
      </c>
      <c r="FT665" s="27" t="s">
        <v>7</v>
      </c>
      <c r="GE665" s="27" t="s">
        <v>8</v>
      </c>
      <c r="GF665" s="27" t="s">
        <v>7</v>
      </c>
      <c r="GG665" s="27" t="s">
        <v>8</v>
      </c>
      <c r="GH665" s="27" t="s">
        <v>7</v>
      </c>
      <c r="GI665" s="27" t="s">
        <v>8</v>
      </c>
      <c r="GJ665" s="27" t="s">
        <v>7</v>
      </c>
      <c r="GK665" s="27" t="s">
        <v>8</v>
      </c>
      <c r="GL665" s="27" t="s">
        <v>7</v>
      </c>
      <c r="GM665" s="27" t="s">
        <v>8</v>
      </c>
      <c r="GN665" s="27" t="s">
        <v>7</v>
      </c>
      <c r="GO665" s="27" t="s">
        <v>8</v>
      </c>
      <c r="GP665" s="27" t="s">
        <v>7</v>
      </c>
      <c r="GQ665" s="27" t="s">
        <v>8</v>
      </c>
      <c r="GR665" s="27" t="s">
        <v>7</v>
      </c>
      <c r="GS665" s="27" t="s">
        <v>8</v>
      </c>
      <c r="GV665" s="27" t="s">
        <v>7</v>
      </c>
      <c r="GX665" s="27" t="s">
        <v>7</v>
      </c>
      <c r="GY665" s="27" t="s">
        <v>8</v>
      </c>
      <c r="GZ665" s="27" t="s">
        <v>7</v>
      </c>
      <c r="HA665" s="27" t="s">
        <v>8</v>
      </c>
      <c r="HC665" s="27" t="s">
        <v>8</v>
      </c>
      <c r="HE665" s="27" t="s">
        <v>8</v>
      </c>
      <c r="HF665" s="27" t="s">
        <v>7</v>
      </c>
      <c r="HO665" s="27" t="s">
        <v>8</v>
      </c>
      <c r="HP665" s="27" t="s">
        <v>7</v>
      </c>
      <c r="IE665" s="27" t="s">
        <v>8</v>
      </c>
      <c r="IF665" s="27" t="s">
        <v>7</v>
      </c>
      <c r="IG665" s="27" t="s">
        <v>8</v>
      </c>
      <c r="IH665" s="27" t="s">
        <v>7</v>
      </c>
      <c r="IK665" s="27" t="s">
        <v>8</v>
      </c>
      <c r="IL665" s="27" t="s">
        <v>7</v>
      </c>
      <c r="IM665" s="27" t="s">
        <v>8</v>
      </c>
      <c r="IN665" s="27" t="s">
        <v>7</v>
      </c>
    </row>
    <row r="666" spans="1:254" x14ac:dyDescent="0.25">
      <c r="A666" s="7">
        <v>0.20921192272998904</v>
      </c>
      <c r="B666"/>
      <c r="C666"/>
      <c r="D666"/>
      <c r="E666"/>
      <c r="F666" s="27" t="s">
        <v>7</v>
      </c>
      <c r="CM666" s="27" t="s">
        <v>8</v>
      </c>
      <c r="CN666" s="27" t="s">
        <v>7</v>
      </c>
      <c r="CO666" s="27" t="s">
        <v>8</v>
      </c>
      <c r="CP666" s="27" t="s">
        <v>7</v>
      </c>
      <c r="CQ666" s="27" t="s">
        <v>8</v>
      </c>
      <c r="CR666" s="27" t="s">
        <v>7</v>
      </c>
      <c r="CS666" s="27" t="s">
        <v>8</v>
      </c>
      <c r="DT666" s="27" t="s">
        <v>7</v>
      </c>
      <c r="DU666" s="27" t="s">
        <v>8</v>
      </c>
      <c r="EJ666" s="27" t="s">
        <v>7</v>
      </c>
      <c r="EK666" s="27" t="s">
        <v>8</v>
      </c>
      <c r="EL666" s="27" t="s">
        <v>7</v>
      </c>
      <c r="EO666" s="27" t="s">
        <v>8</v>
      </c>
      <c r="EP666" s="27" t="s">
        <v>7</v>
      </c>
      <c r="EQ666" s="27" t="s">
        <v>8</v>
      </c>
      <c r="ER666" s="27" t="s">
        <v>7</v>
      </c>
      <c r="EW666" s="27" t="s">
        <v>8</v>
      </c>
      <c r="EX666" s="27" t="s">
        <v>7</v>
      </c>
      <c r="EY666" s="27" t="s">
        <v>8</v>
      </c>
      <c r="EZ666" s="27" t="s">
        <v>7</v>
      </c>
      <c r="FA666" s="27" t="s">
        <v>8</v>
      </c>
      <c r="FB666" s="27" t="s">
        <v>7</v>
      </c>
      <c r="FC666" s="27" t="s">
        <v>8</v>
      </c>
      <c r="FD666" s="27" t="s">
        <v>7</v>
      </c>
      <c r="FE666" s="27" t="s">
        <v>8</v>
      </c>
      <c r="FF666" s="27" t="s">
        <v>7</v>
      </c>
      <c r="FS666" s="27" t="s">
        <v>8</v>
      </c>
      <c r="FT666" s="27" t="s">
        <v>7</v>
      </c>
      <c r="GE666" s="27" t="s">
        <v>8</v>
      </c>
      <c r="GF666" s="27" t="s">
        <v>7</v>
      </c>
      <c r="GG666" s="27" t="s">
        <v>8</v>
      </c>
      <c r="GH666" s="27" t="s">
        <v>7</v>
      </c>
      <c r="GI666" s="27" t="s">
        <v>8</v>
      </c>
      <c r="GJ666" s="27" t="s">
        <v>7</v>
      </c>
      <c r="GK666" s="27" t="s">
        <v>8</v>
      </c>
      <c r="GL666" s="27" t="s">
        <v>7</v>
      </c>
      <c r="GN666" s="27" t="s">
        <v>7</v>
      </c>
      <c r="GO666" s="27" t="s">
        <v>8</v>
      </c>
      <c r="GP666" s="27" t="s">
        <v>7</v>
      </c>
      <c r="GQ666" s="27" t="s">
        <v>8</v>
      </c>
      <c r="GR666" s="27" t="s">
        <v>7</v>
      </c>
      <c r="GX666" s="27" t="s">
        <v>7</v>
      </c>
      <c r="GY666" s="27" t="s">
        <v>8</v>
      </c>
      <c r="GZ666" s="27" t="s">
        <v>7</v>
      </c>
      <c r="HA666" s="27" t="s">
        <v>8</v>
      </c>
      <c r="HB666" s="27" t="s">
        <v>7</v>
      </c>
      <c r="HC666" s="27" t="s">
        <v>8</v>
      </c>
      <c r="HD666" s="27" t="s">
        <v>7</v>
      </c>
      <c r="HE666" s="27" t="s">
        <v>8</v>
      </c>
      <c r="HF666" s="27" t="s">
        <v>7</v>
      </c>
      <c r="HO666" s="27" t="s">
        <v>8</v>
      </c>
      <c r="HP666" s="27" t="s">
        <v>7</v>
      </c>
      <c r="IE666" s="27" t="s">
        <v>8</v>
      </c>
      <c r="IF666" s="27" t="s">
        <v>7</v>
      </c>
      <c r="IG666" s="27" t="s">
        <v>8</v>
      </c>
      <c r="IH666" s="27" t="s">
        <v>7</v>
      </c>
      <c r="IK666" s="27" t="s">
        <v>8</v>
      </c>
      <c r="IL666" s="27" t="s">
        <v>7</v>
      </c>
      <c r="IM666" s="27" t="s">
        <v>8</v>
      </c>
      <c r="IN666" s="27" t="s">
        <v>7</v>
      </c>
    </row>
    <row r="667" spans="1:254" x14ac:dyDescent="0.25">
      <c r="A667" s="7">
        <v>0.20510972816665593</v>
      </c>
      <c r="B667"/>
      <c r="C667"/>
      <c r="D667"/>
      <c r="E667"/>
      <c r="F667" s="27" t="s">
        <v>7</v>
      </c>
      <c r="CM667" s="27" t="s">
        <v>8</v>
      </c>
      <c r="CN667" s="27" t="s">
        <v>7</v>
      </c>
      <c r="CO667" s="27" t="s">
        <v>8</v>
      </c>
      <c r="CP667" s="27" t="s">
        <v>7</v>
      </c>
      <c r="CQ667" s="27" t="s">
        <v>8</v>
      </c>
      <c r="CR667" s="27" t="s">
        <v>7</v>
      </c>
      <c r="CS667" s="27" t="s">
        <v>8</v>
      </c>
      <c r="DT667" s="27" t="s">
        <v>7</v>
      </c>
      <c r="DU667" s="27" t="s">
        <v>8</v>
      </c>
      <c r="EJ667" s="27" t="s">
        <v>7</v>
      </c>
      <c r="EK667" s="27" t="s">
        <v>8</v>
      </c>
      <c r="EL667" s="27" t="s">
        <v>7</v>
      </c>
      <c r="EO667" s="27" t="s">
        <v>8</v>
      </c>
      <c r="EP667" s="27" t="s">
        <v>7</v>
      </c>
      <c r="EQ667" s="27" t="s">
        <v>8</v>
      </c>
      <c r="ER667" s="27" t="s">
        <v>7</v>
      </c>
      <c r="EW667" s="27" t="s">
        <v>8</v>
      </c>
      <c r="EX667" s="27" t="s">
        <v>7</v>
      </c>
      <c r="EY667" s="27" t="s">
        <v>8</v>
      </c>
      <c r="EZ667" s="27" t="s">
        <v>7</v>
      </c>
      <c r="FA667" s="27" t="s">
        <v>8</v>
      </c>
      <c r="FB667" s="27" t="s">
        <v>7</v>
      </c>
      <c r="FD667" s="27" t="s">
        <v>7</v>
      </c>
      <c r="FE667" s="27" t="s">
        <v>8</v>
      </c>
      <c r="FF667" s="27" t="s">
        <v>7</v>
      </c>
      <c r="FS667" s="27" t="s">
        <v>8</v>
      </c>
      <c r="FT667" s="27" t="s">
        <v>7</v>
      </c>
      <c r="GE667" s="27" t="s">
        <v>8</v>
      </c>
      <c r="GF667" s="27" t="s">
        <v>7</v>
      </c>
      <c r="GG667" s="27" t="s">
        <v>8</v>
      </c>
      <c r="GH667" s="27" t="s">
        <v>7</v>
      </c>
      <c r="GJ667" s="27" t="s">
        <v>7</v>
      </c>
      <c r="GK667" s="27" t="s">
        <v>8</v>
      </c>
      <c r="GN667" s="27" t="s">
        <v>7</v>
      </c>
      <c r="GP667" s="27" t="s">
        <v>7</v>
      </c>
      <c r="GQ667" s="27" t="s">
        <v>8</v>
      </c>
      <c r="GX667" s="27" t="s">
        <v>7</v>
      </c>
      <c r="GY667" s="27" t="s">
        <v>8</v>
      </c>
      <c r="GZ667" s="27" t="s">
        <v>7</v>
      </c>
      <c r="HA667" s="27" t="s">
        <v>8</v>
      </c>
      <c r="HB667" s="27" t="s">
        <v>7</v>
      </c>
      <c r="HC667" s="27" t="s">
        <v>8</v>
      </c>
      <c r="HD667" s="27" t="s">
        <v>7</v>
      </c>
      <c r="HE667" s="27" t="s">
        <v>8</v>
      </c>
      <c r="HF667" s="27" t="s">
        <v>7</v>
      </c>
      <c r="HM667" s="27" t="s">
        <v>8</v>
      </c>
      <c r="HO667" s="27" t="s">
        <v>8</v>
      </c>
      <c r="HP667" s="27" t="s">
        <v>7</v>
      </c>
      <c r="HS667" s="27" t="s">
        <v>8</v>
      </c>
      <c r="IC667" s="27" t="s">
        <v>8</v>
      </c>
      <c r="IE667" s="27" t="s">
        <v>8</v>
      </c>
      <c r="IF667" s="27" t="s">
        <v>7</v>
      </c>
      <c r="IG667" s="27" t="s">
        <v>8</v>
      </c>
      <c r="IH667" s="27" t="s">
        <v>7</v>
      </c>
      <c r="II667" s="27" t="s">
        <v>8</v>
      </c>
      <c r="IK667" s="27" t="s">
        <v>8</v>
      </c>
      <c r="IL667" s="27" t="s">
        <v>7</v>
      </c>
      <c r="IM667" s="27" t="s">
        <v>8</v>
      </c>
      <c r="IN667" s="27" t="s">
        <v>7</v>
      </c>
    </row>
    <row r="668" spans="1:254" x14ac:dyDescent="0.25">
      <c r="A668" s="7">
        <v>0.20108796879083912</v>
      </c>
      <c r="B668"/>
      <c r="C668"/>
      <c r="D668"/>
      <c r="E668"/>
      <c r="F668" s="27" t="s">
        <v>7</v>
      </c>
      <c r="CM668" s="27" t="s">
        <v>8</v>
      </c>
      <c r="CN668" s="27" t="s">
        <v>7</v>
      </c>
      <c r="CP668" s="27" t="s">
        <v>7</v>
      </c>
      <c r="CQ668" s="27" t="s">
        <v>8</v>
      </c>
      <c r="CR668" s="27" t="s">
        <v>7</v>
      </c>
      <c r="CS668" s="27" t="s">
        <v>8</v>
      </c>
      <c r="DT668" s="27" t="s">
        <v>7</v>
      </c>
      <c r="EJ668" s="27" t="s">
        <v>7</v>
      </c>
      <c r="EK668" s="27" t="s">
        <v>8</v>
      </c>
      <c r="EL668" s="27" t="s">
        <v>7</v>
      </c>
      <c r="EO668" s="27" t="s">
        <v>8</v>
      </c>
      <c r="EP668" s="27" t="s">
        <v>7</v>
      </c>
      <c r="EQ668" s="27" t="s">
        <v>8</v>
      </c>
      <c r="ER668" s="27" t="s">
        <v>7</v>
      </c>
      <c r="EW668" s="27" t="s">
        <v>8</v>
      </c>
      <c r="EX668" s="27" t="s">
        <v>7</v>
      </c>
      <c r="EY668" s="27" t="s">
        <v>8</v>
      </c>
      <c r="EZ668" s="27" t="s">
        <v>7</v>
      </c>
      <c r="FA668" s="27" t="s">
        <v>8</v>
      </c>
      <c r="FD668" s="27" t="s">
        <v>7</v>
      </c>
      <c r="FE668" s="27" t="s">
        <v>8</v>
      </c>
      <c r="FF668" s="27" t="s">
        <v>7</v>
      </c>
      <c r="FS668" s="27" t="s">
        <v>8</v>
      </c>
      <c r="FT668" s="27" t="s">
        <v>7</v>
      </c>
      <c r="GC668" s="27" t="s">
        <v>8</v>
      </c>
      <c r="GE668" s="27" t="s">
        <v>8</v>
      </c>
      <c r="GF668" s="27" t="s">
        <v>7</v>
      </c>
      <c r="GG668" s="27" t="s">
        <v>8</v>
      </c>
      <c r="GJ668" s="27" t="s">
        <v>7</v>
      </c>
      <c r="GK668" s="27" t="s">
        <v>8</v>
      </c>
      <c r="GP668" s="27" t="s">
        <v>7</v>
      </c>
      <c r="GX668" s="27" t="s">
        <v>7</v>
      </c>
      <c r="GY668" s="27" t="s">
        <v>8</v>
      </c>
      <c r="GZ668" s="27" t="s">
        <v>7</v>
      </c>
      <c r="HA668" s="27" t="s">
        <v>8</v>
      </c>
      <c r="HB668" s="27" t="s">
        <v>7</v>
      </c>
      <c r="HC668" s="27" t="s">
        <v>8</v>
      </c>
      <c r="HD668" s="27" t="s">
        <v>7</v>
      </c>
      <c r="HE668" s="27" t="s">
        <v>8</v>
      </c>
      <c r="HF668" s="27" t="s">
        <v>7</v>
      </c>
      <c r="HM668" s="27" t="s">
        <v>8</v>
      </c>
      <c r="HN668" s="27" t="s">
        <v>7</v>
      </c>
      <c r="HO668" s="27" t="s">
        <v>8</v>
      </c>
      <c r="HP668" s="27" t="s">
        <v>7</v>
      </c>
      <c r="HS668" s="27" t="s">
        <v>8</v>
      </c>
      <c r="HT668" s="27" t="s">
        <v>7</v>
      </c>
      <c r="HU668" s="27" t="s">
        <v>8</v>
      </c>
      <c r="HW668" s="27" t="s">
        <v>8</v>
      </c>
      <c r="IC668" s="27" t="s">
        <v>8</v>
      </c>
      <c r="ID668" s="27" t="s">
        <v>7</v>
      </c>
      <c r="IE668" s="27" t="s">
        <v>8</v>
      </c>
      <c r="IF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K668" s="27" t="s">
        <v>8</v>
      </c>
      <c r="IL668" s="27" t="s">
        <v>7</v>
      </c>
      <c r="IM668" s="27" t="s">
        <v>8</v>
      </c>
      <c r="IN668" s="27" t="s">
        <v>7</v>
      </c>
    </row>
    <row r="669" spans="1:254" x14ac:dyDescent="0.25">
      <c r="A669" s="7">
        <v>0.19714506744199917</v>
      </c>
      <c r="B669"/>
      <c r="C669"/>
      <c r="D669"/>
      <c r="E669"/>
      <c r="F669" s="27" t="s">
        <v>7</v>
      </c>
      <c r="CM669" s="27" t="s">
        <v>8</v>
      </c>
      <c r="CP669" s="27" t="s">
        <v>7</v>
      </c>
      <c r="CQ669" s="27" t="s">
        <v>8</v>
      </c>
      <c r="CR669" s="27" t="s">
        <v>7</v>
      </c>
      <c r="EJ669" s="27" t="s">
        <v>7</v>
      </c>
      <c r="EK669" s="27" t="s">
        <v>8</v>
      </c>
      <c r="EL669" s="27" t="s">
        <v>7</v>
      </c>
      <c r="EO669" s="27" t="s">
        <v>8</v>
      </c>
      <c r="EP669" s="27" t="s">
        <v>7</v>
      </c>
      <c r="EQ669" s="27" t="s">
        <v>8</v>
      </c>
      <c r="ER669" s="27" t="s">
        <v>7</v>
      </c>
      <c r="EW669" s="27" t="s">
        <v>8</v>
      </c>
      <c r="EX669" s="27" t="s">
        <v>7</v>
      </c>
      <c r="EY669" s="27" t="s">
        <v>8</v>
      </c>
      <c r="EZ669" s="27" t="s">
        <v>7</v>
      </c>
      <c r="FA669" s="27" t="s">
        <v>8</v>
      </c>
      <c r="FD669" s="27" t="s">
        <v>7</v>
      </c>
      <c r="FE669" s="27" t="s">
        <v>8</v>
      </c>
      <c r="FF669" s="27" t="s">
        <v>7</v>
      </c>
      <c r="FS669" s="27" t="s">
        <v>8</v>
      </c>
      <c r="FT669" s="27" t="s">
        <v>7</v>
      </c>
      <c r="FY669" s="27" t="s">
        <v>8</v>
      </c>
      <c r="GC669" s="27" t="s">
        <v>8</v>
      </c>
      <c r="GD669" s="27" t="s">
        <v>7</v>
      </c>
      <c r="GE669" s="27" t="s">
        <v>8</v>
      </c>
      <c r="GF669" s="27" t="s">
        <v>7</v>
      </c>
      <c r="GJ669" s="27" t="s">
        <v>7</v>
      </c>
      <c r="GX669" s="27" t="s">
        <v>7</v>
      </c>
      <c r="GY669" s="27" t="s">
        <v>8</v>
      </c>
      <c r="GZ669" s="27" t="s">
        <v>7</v>
      </c>
      <c r="HA669" s="27" t="s">
        <v>8</v>
      </c>
      <c r="HB669" s="27" t="s">
        <v>7</v>
      </c>
      <c r="HC669" s="27" t="s">
        <v>8</v>
      </c>
      <c r="HD669" s="27" t="s">
        <v>7</v>
      </c>
      <c r="HF669" s="27" t="s">
        <v>7</v>
      </c>
      <c r="HM669" s="27" t="s">
        <v>8</v>
      </c>
      <c r="HN669" s="27" t="s">
        <v>7</v>
      </c>
      <c r="HO669" s="27" t="s">
        <v>8</v>
      </c>
      <c r="HP669" s="27" t="s">
        <v>7</v>
      </c>
      <c r="HQ669" s="27" t="s">
        <v>8</v>
      </c>
      <c r="HS669" s="27" t="s">
        <v>8</v>
      </c>
      <c r="HT669" s="27" t="s">
        <v>7</v>
      </c>
      <c r="HU669" s="27" t="s">
        <v>8</v>
      </c>
      <c r="HV669" s="27" t="s">
        <v>7</v>
      </c>
      <c r="HW669" s="27" t="s">
        <v>8</v>
      </c>
      <c r="HX669" s="27" t="s">
        <v>7</v>
      </c>
      <c r="HY669" s="27" t="s">
        <v>8</v>
      </c>
      <c r="IC669" s="27" t="s">
        <v>8</v>
      </c>
      <c r="ID669" s="27" t="s">
        <v>7</v>
      </c>
      <c r="IE669" s="27" t="s">
        <v>8</v>
      </c>
      <c r="IF669" s="27" t="s">
        <v>7</v>
      </c>
      <c r="IG669" s="27" t="s">
        <v>8</v>
      </c>
      <c r="IH669" s="27" t="s">
        <v>7</v>
      </c>
      <c r="II669" s="27" t="s">
        <v>8</v>
      </c>
      <c r="IJ669" s="27" t="s">
        <v>7</v>
      </c>
      <c r="IK669" s="27" t="s">
        <v>8</v>
      </c>
      <c r="IL669" s="27" t="s">
        <v>7</v>
      </c>
      <c r="IM669" s="27" t="s">
        <v>8</v>
      </c>
      <c r="IN669" s="27" t="s">
        <v>7</v>
      </c>
      <c r="IS669" s="27" t="s">
        <v>8</v>
      </c>
    </row>
    <row r="670" spans="1:254" x14ac:dyDescent="0.25">
      <c r="A670" s="7">
        <v>0.19327947788431293</v>
      </c>
      <c r="B670"/>
      <c r="C670"/>
      <c r="D670"/>
      <c r="E670"/>
      <c r="F670" s="27" t="s">
        <v>7</v>
      </c>
      <c r="AY670" s="27" t="s">
        <v>8</v>
      </c>
      <c r="CM670" s="27" t="s">
        <v>8</v>
      </c>
      <c r="CP670" s="27" t="s">
        <v>7</v>
      </c>
      <c r="CQ670" s="27" t="s">
        <v>8</v>
      </c>
      <c r="EJ670" s="27" t="s">
        <v>7</v>
      </c>
      <c r="EK670" s="27" t="s">
        <v>8</v>
      </c>
      <c r="EL670" s="27" t="s">
        <v>7</v>
      </c>
      <c r="EO670" s="27" t="s">
        <v>8</v>
      </c>
      <c r="EP670" s="27" t="s">
        <v>7</v>
      </c>
      <c r="EQ670" s="27" t="s">
        <v>8</v>
      </c>
      <c r="ER670" s="27" t="s">
        <v>7</v>
      </c>
      <c r="ES670" s="27" t="s">
        <v>8</v>
      </c>
      <c r="EW670" s="27" t="s">
        <v>8</v>
      </c>
      <c r="EX670" s="27" t="s">
        <v>7</v>
      </c>
      <c r="EY670" s="27" t="s">
        <v>8</v>
      </c>
      <c r="EZ670" s="27" t="s">
        <v>7</v>
      </c>
      <c r="FA670" s="27" t="s">
        <v>8</v>
      </c>
      <c r="FD670" s="27" t="s">
        <v>7</v>
      </c>
      <c r="FE670" s="27" t="s">
        <v>8</v>
      </c>
      <c r="FF670" s="27" t="s">
        <v>7</v>
      </c>
      <c r="FS670" s="27" t="s">
        <v>8</v>
      </c>
      <c r="FT670" s="27" t="s">
        <v>7</v>
      </c>
      <c r="FY670" s="27" t="s">
        <v>8</v>
      </c>
      <c r="FZ670" s="27" t="s">
        <v>7</v>
      </c>
      <c r="GC670" s="27" t="s">
        <v>8</v>
      </c>
      <c r="GD670" s="27" t="s">
        <v>7</v>
      </c>
      <c r="GE670" s="27" t="s">
        <v>8</v>
      </c>
      <c r="GX670" s="27" t="s">
        <v>7</v>
      </c>
      <c r="GY670" s="27" t="s">
        <v>8</v>
      </c>
      <c r="GZ670" s="27" t="s">
        <v>7</v>
      </c>
      <c r="HB670" s="27" t="s">
        <v>7</v>
      </c>
      <c r="HC670" s="27" t="s">
        <v>8</v>
      </c>
      <c r="HF670" s="27" t="s">
        <v>7</v>
      </c>
      <c r="HG670" s="27" t="s">
        <v>8</v>
      </c>
      <c r="HM670" s="27" t="s">
        <v>8</v>
      </c>
      <c r="HN670" s="27" t="s">
        <v>7</v>
      </c>
      <c r="HO670" s="27" t="s">
        <v>8</v>
      </c>
      <c r="HP670" s="27" t="s">
        <v>7</v>
      </c>
      <c r="HQ670" s="27" t="s">
        <v>8</v>
      </c>
      <c r="HR670" s="27" t="s">
        <v>7</v>
      </c>
      <c r="HS670" s="27" t="s">
        <v>8</v>
      </c>
      <c r="HT670" s="27" t="s">
        <v>7</v>
      </c>
      <c r="HU670" s="27" t="s">
        <v>8</v>
      </c>
      <c r="HV670" s="27" t="s">
        <v>7</v>
      </c>
      <c r="HW670" s="27" t="s">
        <v>8</v>
      </c>
      <c r="HX670" s="27" t="s">
        <v>7</v>
      </c>
      <c r="HY670" s="27" t="s">
        <v>8</v>
      </c>
      <c r="HZ670" s="27" t="s">
        <v>7</v>
      </c>
      <c r="IA670" s="27" t="s">
        <v>8</v>
      </c>
      <c r="IC670" s="27" t="s">
        <v>8</v>
      </c>
      <c r="ID670" s="27" t="s">
        <v>7</v>
      </c>
      <c r="IE670" s="27" t="s">
        <v>8</v>
      </c>
      <c r="IF670" s="27" t="s">
        <v>7</v>
      </c>
      <c r="IG670" s="27" t="s">
        <v>8</v>
      </c>
      <c r="IH670" s="27" t="s">
        <v>7</v>
      </c>
      <c r="II670" s="27" t="s">
        <v>8</v>
      </c>
      <c r="IJ670" s="27" t="s">
        <v>7</v>
      </c>
      <c r="IK670" s="27" t="s">
        <v>8</v>
      </c>
      <c r="IL670" s="27" t="s">
        <v>7</v>
      </c>
      <c r="IM670" s="27" t="s">
        <v>8</v>
      </c>
      <c r="IN670" s="27" t="s">
        <v>7</v>
      </c>
      <c r="IS670" s="27" t="s">
        <v>8</v>
      </c>
      <c r="IT670" s="27" t="s">
        <v>7</v>
      </c>
    </row>
    <row r="671" spans="1:254" x14ac:dyDescent="0.25">
      <c r="A671" s="7">
        <v>0.18948968420030682</v>
      </c>
      <c r="B671"/>
      <c r="C671"/>
      <c r="D671"/>
      <c r="E671"/>
      <c r="F671" s="27" t="s">
        <v>7</v>
      </c>
      <c r="K671" s="27" t="s">
        <v>8</v>
      </c>
      <c r="AY671" s="27" t="s">
        <v>8</v>
      </c>
      <c r="AZ671" s="27" t="s">
        <v>7</v>
      </c>
      <c r="CM671" s="27" t="s">
        <v>8</v>
      </c>
      <c r="CP671" s="27" t="s">
        <v>7</v>
      </c>
      <c r="CQ671" s="27" t="s">
        <v>8</v>
      </c>
      <c r="EJ671" s="27" t="s">
        <v>7</v>
      </c>
      <c r="EK671" s="27" t="s">
        <v>8</v>
      </c>
      <c r="EL671" s="27" t="s">
        <v>7</v>
      </c>
      <c r="EO671" s="27" t="s">
        <v>8</v>
      </c>
      <c r="EP671" s="27" t="s">
        <v>7</v>
      </c>
      <c r="EQ671" s="27" t="s">
        <v>8</v>
      </c>
      <c r="ER671" s="27" t="s">
        <v>7</v>
      </c>
      <c r="ES671" s="27" t="s">
        <v>8</v>
      </c>
      <c r="ET671" s="27" t="s">
        <v>7</v>
      </c>
      <c r="EU671" s="27" t="s">
        <v>8</v>
      </c>
      <c r="EW671" s="27" t="s">
        <v>8</v>
      </c>
      <c r="EX671" s="27" t="s">
        <v>7</v>
      </c>
      <c r="EY671" s="27" t="s">
        <v>8</v>
      </c>
      <c r="EZ671" s="27" t="s">
        <v>7</v>
      </c>
      <c r="FA671" s="27" t="s">
        <v>8</v>
      </c>
      <c r="FD671" s="27" t="s">
        <v>7</v>
      </c>
      <c r="FE671" s="27" t="s">
        <v>8</v>
      </c>
      <c r="FF671" s="27" t="s">
        <v>7</v>
      </c>
      <c r="FO671" s="27" t="s">
        <v>8</v>
      </c>
      <c r="FS671" s="27" t="s">
        <v>8</v>
      </c>
      <c r="FT671" s="27" t="s">
        <v>7</v>
      </c>
      <c r="FY671" s="27" t="s">
        <v>8</v>
      </c>
      <c r="FZ671" s="27" t="s">
        <v>7</v>
      </c>
      <c r="GC671" s="27" t="s">
        <v>8</v>
      </c>
      <c r="GD671" s="27" t="s">
        <v>7</v>
      </c>
      <c r="GE671" s="27" t="s">
        <v>8</v>
      </c>
      <c r="GX671" s="27" t="s">
        <v>7</v>
      </c>
      <c r="GY671" s="27" t="s">
        <v>8</v>
      </c>
      <c r="HB671" s="27" t="s">
        <v>7</v>
      </c>
      <c r="HC671" s="27" t="s">
        <v>8</v>
      </c>
      <c r="HF671" s="27" t="s">
        <v>7</v>
      </c>
      <c r="HG671" s="27" t="s">
        <v>8</v>
      </c>
      <c r="HH671" s="27" t="s">
        <v>7</v>
      </c>
      <c r="HM671" s="27" t="s">
        <v>8</v>
      </c>
      <c r="HN671" s="27" t="s">
        <v>7</v>
      </c>
      <c r="HO671" s="27" t="s">
        <v>8</v>
      </c>
      <c r="HP671" s="27" t="s">
        <v>7</v>
      </c>
      <c r="HQ671" s="27" t="s">
        <v>8</v>
      </c>
      <c r="HR671" s="27" t="s">
        <v>7</v>
      </c>
      <c r="HS671" s="27" t="s">
        <v>8</v>
      </c>
      <c r="HT671" s="27" t="s">
        <v>7</v>
      </c>
      <c r="HU671" s="27" t="s">
        <v>8</v>
      </c>
      <c r="HV671" s="27" t="s">
        <v>7</v>
      </c>
      <c r="HW671" s="27" t="s">
        <v>8</v>
      </c>
      <c r="HX671" s="27" t="s">
        <v>7</v>
      </c>
      <c r="HY671" s="27" t="s">
        <v>8</v>
      </c>
      <c r="HZ671" s="27" t="s">
        <v>7</v>
      </c>
      <c r="IA671" s="27" t="s">
        <v>8</v>
      </c>
      <c r="IB671" s="27" t="s">
        <v>7</v>
      </c>
      <c r="IC671" s="27" t="s">
        <v>8</v>
      </c>
      <c r="ID671" s="27" t="s">
        <v>7</v>
      </c>
      <c r="IE671" s="27" t="s">
        <v>8</v>
      </c>
      <c r="IF671" s="27" t="s">
        <v>7</v>
      </c>
      <c r="IG671" s="27" t="s">
        <v>8</v>
      </c>
      <c r="IH671" s="27" t="s">
        <v>7</v>
      </c>
      <c r="IJ671" s="27" t="s">
        <v>7</v>
      </c>
      <c r="IK671" s="27" t="s">
        <v>8</v>
      </c>
      <c r="IL671" s="27" t="s">
        <v>7</v>
      </c>
      <c r="IM671" s="27" t="s">
        <v>8</v>
      </c>
      <c r="IN671" s="27" t="s">
        <v>7</v>
      </c>
      <c r="IO671" s="27" t="s">
        <v>8</v>
      </c>
      <c r="IS671" s="27" t="s">
        <v>8</v>
      </c>
      <c r="IT671" s="27" t="s">
        <v>7</v>
      </c>
    </row>
    <row r="672" spans="1:254" x14ac:dyDescent="0.25">
      <c r="A672" s="7">
        <v>0.18577420019637925</v>
      </c>
      <c r="B672"/>
      <c r="C672"/>
      <c r="D672"/>
      <c r="E672"/>
      <c r="F672" s="27" t="s">
        <v>7</v>
      </c>
      <c r="K672" s="27" t="s">
        <v>8</v>
      </c>
      <c r="L672" s="27" t="s">
        <v>7</v>
      </c>
      <c r="AY672" s="27" t="s">
        <v>8</v>
      </c>
      <c r="AZ672" s="27" t="s">
        <v>7</v>
      </c>
      <c r="CM672" s="27" t="s">
        <v>8</v>
      </c>
      <c r="CP672" s="27" t="s">
        <v>7</v>
      </c>
      <c r="CQ672" s="27" t="s">
        <v>8</v>
      </c>
      <c r="EJ672" s="27" t="s">
        <v>7</v>
      </c>
      <c r="EK672" s="27" t="s">
        <v>8</v>
      </c>
      <c r="EL672" s="27" t="s">
        <v>7</v>
      </c>
      <c r="EO672" s="27" t="s">
        <v>8</v>
      </c>
      <c r="EP672" s="27" t="s">
        <v>7</v>
      </c>
      <c r="EQ672" s="27" t="s">
        <v>8</v>
      </c>
      <c r="ER672" s="27" t="s">
        <v>7</v>
      </c>
      <c r="ES672" s="27" t="s">
        <v>8</v>
      </c>
      <c r="ET672" s="27" t="s">
        <v>7</v>
      </c>
      <c r="EU672" s="27" t="s">
        <v>8</v>
      </c>
      <c r="EV672" s="27" t="s">
        <v>7</v>
      </c>
      <c r="EW672" s="27" t="s">
        <v>8</v>
      </c>
      <c r="EX672" s="27" t="s">
        <v>7</v>
      </c>
      <c r="EY672" s="27" t="s">
        <v>8</v>
      </c>
      <c r="EZ672" s="27" t="s">
        <v>7</v>
      </c>
      <c r="FD672" s="27" t="s">
        <v>7</v>
      </c>
      <c r="FE672" s="27" t="s">
        <v>8</v>
      </c>
      <c r="FF672" s="27" t="s">
        <v>7</v>
      </c>
      <c r="FO672" s="27" t="s">
        <v>8</v>
      </c>
      <c r="FP672" s="27" t="s">
        <v>7</v>
      </c>
      <c r="FS672" s="27" t="s">
        <v>8</v>
      </c>
      <c r="FT672" s="27" t="s">
        <v>7</v>
      </c>
      <c r="FY672" s="27" t="s">
        <v>8</v>
      </c>
      <c r="FZ672" s="27" t="s">
        <v>7</v>
      </c>
      <c r="GA672" s="27" t="s">
        <v>8</v>
      </c>
      <c r="GC672" s="27" t="s">
        <v>8</v>
      </c>
      <c r="GD672" s="27" t="s">
        <v>7</v>
      </c>
      <c r="GE672" s="27" t="s">
        <v>8</v>
      </c>
      <c r="GX672" s="27" t="s">
        <v>7</v>
      </c>
      <c r="GY672" s="27" t="s">
        <v>8</v>
      </c>
      <c r="HB672" s="27" t="s">
        <v>7</v>
      </c>
      <c r="HF672" s="27" t="s">
        <v>7</v>
      </c>
      <c r="HG672" s="27" t="s">
        <v>8</v>
      </c>
      <c r="HH672" s="27" t="s">
        <v>7</v>
      </c>
      <c r="HM672" s="27" t="s">
        <v>8</v>
      </c>
      <c r="HN672" s="27" t="s">
        <v>7</v>
      </c>
      <c r="HO672" s="27" t="s">
        <v>8</v>
      </c>
      <c r="HP672" s="27" t="s">
        <v>7</v>
      </c>
      <c r="HR672" s="27" t="s">
        <v>7</v>
      </c>
      <c r="HS672" s="27" t="s">
        <v>8</v>
      </c>
      <c r="HT672" s="27" t="s">
        <v>7</v>
      </c>
      <c r="HV672" s="27" t="s">
        <v>7</v>
      </c>
      <c r="HW672" s="27" t="s">
        <v>8</v>
      </c>
      <c r="HX672" s="27" t="s">
        <v>7</v>
      </c>
      <c r="HY672" s="27" t="s">
        <v>8</v>
      </c>
      <c r="HZ672" s="27" t="s">
        <v>7</v>
      </c>
      <c r="IA672" s="27" t="s">
        <v>8</v>
      </c>
      <c r="IB672" s="27" t="s">
        <v>7</v>
      </c>
      <c r="IC672" s="27" t="s">
        <v>8</v>
      </c>
      <c r="ID672" s="27" t="s">
        <v>7</v>
      </c>
      <c r="IE672" s="27" t="s">
        <v>8</v>
      </c>
      <c r="IF672" s="27" t="s">
        <v>7</v>
      </c>
      <c r="IG672" s="27" t="s">
        <v>8</v>
      </c>
      <c r="IJ672" s="27" t="s">
        <v>7</v>
      </c>
      <c r="IK672" s="27" t="s">
        <v>8</v>
      </c>
      <c r="IL672" s="27" t="s">
        <v>7</v>
      </c>
      <c r="IM672" s="27" t="s">
        <v>8</v>
      </c>
      <c r="IN672" s="27" t="s">
        <v>7</v>
      </c>
      <c r="IO672" s="27" t="s">
        <v>8</v>
      </c>
      <c r="IP672" s="27" t="s">
        <v>7</v>
      </c>
      <c r="IS672" s="27" t="s">
        <v>8</v>
      </c>
      <c r="IT672" s="27" t="s">
        <v>7</v>
      </c>
    </row>
    <row r="673" spans="1:268" x14ac:dyDescent="0.25">
      <c r="A673" s="7">
        <v>0.18213156881997963</v>
      </c>
      <c r="B673"/>
      <c r="C673"/>
      <c r="D673"/>
      <c r="E673"/>
      <c r="F673" s="27" t="s">
        <v>7</v>
      </c>
      <c r="K673" s="27" t="s">
        <v>8</v>
      </c>
      <c r="L673" s="27" t="s">
        <v>7</v>
      </c>
      <c r="AY673" s="27" t="s">
        <v>8</v>
      </c>
      <c r="AZ673" s="27" t="s">
        <v>7</v>
      </c>
      <c r="CM673" s="27" t="s">
        <v>8</v>
      </c>
      <c r="CP673" s="27" t="s">
        <v>7</v>
      </c>
      <c r="EJ673" s="27" t="s">
        <v>7</v>
      </c>
      <c r="EK673" s="27" t="s">
        <v>8</v>
      </c>
      <c r="EL673" s="27" t="s">
        <v>7</v>
      </c>
      <c r="EO673" s="27" t="s">
        <v>8</v>
      </c>
      <c r="EP673" s="27" t="s">
        <v>7</v>
      </c>
      <c r="EQ673" s="27" t="s">
        <v>8</v>
      </c>
      <c r="ER673" s="27" t="s">
        <v>7</v>
      </c>
      <c r="ES673" s="27" t="s">
        <v>8</v>
      </c>
      <c r="ET673" s="27" t="s">
        <v>7</v>
      </c>
      <c r="EU673" s="27" t="s">
        <v>8</v>
      </c>
      <c r="EV673" s="27" t="s">
        <v>7</v>
      </c>
      <c r="EW673" s="27" t="s">
        <v>8</v>
      </c>
      <c r="EX673" s="27" t="s">
        <v>7</v>
      </c>
      <c r="EY673" s="27" t="s">
        <v>8</v>
      </c>
      <c r="FD673" s="27" t="s">
        <v>7</v>
      </c>
      <c r="FF673" s="27" t="s">
        <v>7</v>
      </c>
      <c r="FK673" s="27" t="s">
        <v>8</v>
      </c>
      <c r="FO673" s="27" t="s">
        <v>8</v>
      </c>
      <c r="FP673" s="27" t="s">
        <v>7</v>
      </c>
      <c r="FS673" s="27" t="s">
        <v>8</v>
      </c>
      <c r="FT673" s="27" t="s">
        <v>7</v>
      </c>
      <c r="FY673" s="27" t="s">
        <v>8</v>
      </c>
      <c r="FZ673" s="27" t="s">
        <v>7</v>
      </c>
      <c r="GA673" s="27" t="s">
        <v>8</v>
      </c>
      <c r="GB673" s="27" t="s">
        <v>7</v>
      </c>
      <c r="GC673" s="27" t="s">
        <v>8</v>
      </c>
      <c r="GD673" s="27" t="s">
        <v>7</v>
      </c>
      <c r="GE673" s="27" t="s">
        <v>8</v>
      </c>
      <c r="GX673" s="27" t="s">
        <v>7</v>
      </c>
      <c r="GY673" s="27" t="s">
        <v>8</v>
      </c>
      <c r="HF673" s="27" t="s">
        <v>7</v>
      </c>
      <c r="HG673" s="27" t="s">
        <v>8</v>
      </c>
      <c r="HH673" s="27" t="s">
        <v>7</v>
      </c>
      <c r="HM673" s="27" t="s">
        <v>8</v>
      </c>
      <c r="HN673" s="27" t="s">
        <v>7</v>
      </c>
      <c r="HO673" s="27" t="s">
        <v>8</v>
      </c>
      <c r="HR673" s="27" t="s">
        <v>7</v>
      </c>
      <c r="HS673" s="27" t="s">
        <v>8</v>
      </c>
      <c r="HV673" s="27" t="s">
        <v>7</v>
      </c>
      <c r="HW673" s="27" t="s">
        <v>8</v>
      </c>
      <c r="HX673" s="27" t="s">
        <v>7</v>
      </c>
      <c r="HY673" s="27" t="s">
        <v>8</v>
      </c>
      <c r="HZ673" s="27" t="s">
        <v>7</v>
      </c>
      <c r="IA673" s="27" t="s">
        <v>8</v>
      </c>
      <c r="IB673" s="27" t="s">
        <v>7</v>
      </c>
      <c r="IC673" s="27" t="s">
        <v>8</v>
      </c>
      <c r="ID673" s="27" t="s">
        <v>7</v>
      </c>
      <c r="IE673" s="27" t="s">
        <v>8</v>
      </c>
      <c r="IF673" s="27" t="s">
        <v>7</v>
      </c>
      <c r="IG673" s="27" t="s">
        <v>8</v>
      </c>
      <c r="IJ673" s="27" t="s">
        <v>7</v>
      </c>
      <c r="IL673" s="27" t="s">
        <v>7</v>
      </c>
      <c r="IM673" s="27" t="s">
        <v>8</v>
      </c>
      <c r="IN673" s="27" t="s">
        <v>7</v>
      </c>
      <c r="IO673" s="27" t="s">
        <v>8</v>
      </c>
      <c r="IP673" s="27" t="s">
        <v>7</v>
      </c>
      <c r="IS673" s="27" t="s">
        <v>8</v>
      </c>
      <c r="IT673" s="27" t="s">
        <v>7</v>
      </c>
      <c r="IW673" s="27" t="s">
        <v>8</v>
      </c>
    </row>
    <row r="674" spans="1:268" x14ac:dyDescent="0.25">
      <c r="A674" s="7">
        <v>0.17856036158821534</v>
      </c>
      <c r="B674"/>
      <c r="C674"/>
      <c r="D674"/>
      <c r="E674"/>
      <c r="F674" s="27" t="s">
        <v>7</v>
      </c>
      <c r="K674" s="27" t="s">
        <v>8</v>
      </c>
      <c r="L674" s="27" t="s">
        <v>7</v>
      </c>
      <c r="M674" s="27" t="s">
        <v>8</v>
      </c>
      <c r="AY674" s="27" t="s">
        <v>8</v>
      </c>
      <c r="AZ674" s="27" t="s">
        <v>7</v>
      </c>
      <c r="CI674" s="27" t="s">
        <v>8</v>
      </c>
      <c r="CM674" s="27" t="s">
        <v>8</v>
      </c>
      <c r="EJ674" s="27" t="s">
        <v>7</v>
      </c>
      <c r="EK674" s="27" t="s">
        <v>8</v>
      </c>
      <c r="EL674" s="27" t="s">
        <v>7</v>
      </c>
      <c r="EM674" s="27" t="s">
        <v>8</v>
      </c>
      <c r="EO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ET674" s="27" t="s">
        <v>7</v>
      </c>
      <c r="EU674" s="27" t="s">
        <v>8</v>
      </c>
      <c r="EV674" s="27" t="s">
        <v>7</v>
      </c>
      <c r="EW674" s="27" t="s">
        <v>8</v>
      </c>
      <c r="EX674" s="27" t="s">
        <v>7</v>
      </c>
      <c r="EY674" s="27" t="s">
        <v>8</v>
      </c>
      <c r="FF674" s="27" t="s">
        <v>7</v>
      </c>
      <c r="FK674" s="27" t="s">
        <v>8</v>
      </c>
      <c r="FL674" s="27" t="s">
        <v>7</v>
      </c>
      <c r="FO674" s="27" t="s">
        <v>8</v>
      </c>
      <c r="FP674" s="27" t="s">
        <v>7</v>
      </c>
      <c r="FQ674" s="27" t="s">
        <v>8</v>
      </c>
      <c r="FS674" s="27" t="s">
        <v>8</v>
      </c>
      <c r="FT674" s="27" t="s">
        <v>7</v>
      </c>
      <c r="FY674" s="27" t="s">
        <v>8</v>
      </c>
      <c r="FZ674" s="27" t="s">
        <v>7</v>
      </c>
      <c r="GA674" s="27" t="s">
        <v>8</v>
      </c>
      <c r="GB674" s="27" t="s">
        <v>7</v>
      </c>
      <c r="GC674" s="27" t="s">
        <v>8</v>
      </c>
      <c r="GD674" s="27" t="s">
        <v>7</v>
      </c>
      <c r="GE674" s="27" t="s">
        <v>8</v>
      </c>
      <c r="GX674" s="27" t="s">
        <v>7</v>
      </c>
      <c r="HF674" s="27" t="s">
        <v>7</v>
      </c>
      <c r="HG674" s="27" t="s">
        <v>8</v>
      </c>
      <c r="HH674" s="27" t="s">
        <v>7</v>
      </c>
      <c r="HI674" s="27" t="s">
        <v>8</v>
      </c>
      <c r="HM674" s="27" t="s">
        <v>8</v>
      </c>
      <c r="HN674" s="27" t="s">
        <v>7</v>
      </c>
      <c r="HO674" s="27" t="s">
        <v>8</v>
      </c>
      <c r="HR674" s="27" t="s">
        <v>7</v>
      </c>
      <c r="HS674" s="27" t="s">
        <v>8</v>
      </c>
      <c r="HV674" s="27" t="s">
        <v>7</v>
      </c>
      <c r="HW674" s="27" t="s">
        <v>8</v>
      </c>
      <c r="HX674" s="27" t="s">
        <v>7</v>
      </c>
      <c r="HZ674" s="27" t="s">
        <v>7</v>
      </c>
      <c r="IB674" s="27" t="s">
        <v>7</v>
      </c>
      <c r="IC674" s="27" t="s">
        <v>8</v>
      </c>
      <c r="ID674" s="27" t="s">
        <v>7</v>
      </c>
      <c r="IE674" s="27" t="s">
        <v>8</v>
      </c>
      <c r="IF674" s="27" t="s">
        <v>7</v>
      </c>
      <c r="IL674" s="27" t="s">
        <v>7</v>
      </c>
      <c r="IM674" s="27" t="s">
        <v>8</v>
      </c>
      <c r="IN674" s="27" t="s">
        <v>7</v>
      </c>
      <c r="IO674" s="27" t="s">
        <v>8</v>
      </c>
      <c r="IP674" s="27" t="s">
        <v>7</v>
      </c>
      <c r="IS674" s="27" t="s">
        <v>8</v>
      </c>
      <c r="IT674" s="27" t="s">
        <v>7</v>
      </c>
      <c r="IW674" s="27" t="s">
        <v>8</v>
      </c>
      <c r="IX674" s="27" t="s">
        <v>7</v>
      </c>
    </row>
    <row r="675" spans="1:268" x14ac:dyDescent="0.25">
      <c r="A675" s="7">
        <v>0.17505917802766208</v>
      </c>
      <c r="B675"/>
      <c r="C675"/>
      <c r="D675"/>
      <c r="E675"/>
      <c r="F675" s="27" t="s">
        <v>7</v>
      </c>
      <c r="K675" s="27" t="s">
        <v>8</v>
      </c>
      <c r="L675" s="27" t="s">
        <v>7</v>
      </c>
      <c r="M675" s="27" t="s">
        <v>8</v>
      </c>
      <c r="N675" s="27" t="s">
        <v>7</v>
      </c>
      <c r="AY675" s="27" t="s">
        <v>8</v>
      </c>
      <c r="AZ675" s="27" t="s">
        <v>7</v>
      </c>
      <c r="CI675" s="27" t="s">
        <v>8</v>
      </c>
      <c r="CJ675" s="27" t="s">
        <v>7</v>
      </c>
      <c r="CM675" s="27" t="s">
        <v>8</v>
      </c>
      <c r="EJ675" s="27" t="s">
        <v>7</v>
      </c>
      <c r="EK675" s="27" t="s">
        <v>8</v>
      </c>
      <c r="EL675" s="27" t="s">
        <v>7</v>
      </c>
      <c r="EM675" s="27" t="s">
        <v>8</v>
      </c>
      <c r="EN675" s="27" t="s">
        <v>7</v>
      </c>
      <c r="EO675" s="27" t="s">
        <v>8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EV675" s="27" t="s">
        <v>7</v>
      </c>
      <c r="EW675" s="27" t="s">
        <v>8</v>
      </c>
      <c r="EX675" s="27" t="s">
        <v>7</v>
      </c>
      <c r="EY675" s="27" t="s">
        <v>8</v>
      </c>
      <c r="FF675" s="27" t="s">
        <v>7</v>
      </c>
      <c r="FG675" s="27" t="s">
        <v>8</v>
      </c>
      <c r="FK675" s="27" t="s">
        <v>8</v>
      </c>
      <c r="FL675" s="27" t="s">
        <v>7</v>
      </c>
      <c r="FM675" s="27" t="s">
        <v>8</v>
      </c>
      <c r="FO675" s="27" t="s">
        <v>8</v>
      </c>
      <c r="FP675" s="27" t="s">
        <v>7</v>
      </c>
      <c r="FQ675" s="27" t="s">
        <v>8</v>
      </c>
      <c r="FR675" s="27" t="s">
        <v>7</v>
      </c>
      <c r="FS675" s="27" t="s">
        <v>8</v>
      </c>
      <c r="FT675" s="27" t="s">
        <v>7</v>
      </c>
      <c r="FY675" s="27" t="s">
        <v>8</v>
      </c>
      <c r="FZ675" s="27" t="s">
        <v>7</v>
      </c>
      <c r="GA675" s="27" t="s">
        <v>8</v>
      </c>
      <c r="GB675" s="27" t="s">
        <v>7</v>
      </c>
      <c r="GC675" s="27" t="s">
        <v>8</v>
      </c>
      <c r="GD675" s="27" t="s">
        <v>7</v>
      </c>
      <c r="GE675" s="27" t="s">
        <v>8</v>
      </c>
      <c r="HF675" s="27" t="s">
        <v>7</v>
      </c>
      <c r="HG675" s="27" t="s">
        <v>8</v>
      </c>
      <c r="HH675" s="27" t="s">
        <v>7</v>
      </c>
      <c r="HI675" s="27" t="s">
        <v>8</v>
      </c>
      <c r="HJ675" s="27" t="s">
        <v>7</v>
      </c>
      <c r="HK675" s="27" t="s">
        <v>8</v>
      </c>
      <c r="HM675" s="27" t="s">
        <v>8</v>
      </c>
      <c r="HN675" s="27" t="s">
        <v>7</v>
      </c>
      <c r="HR675" s="27" t="s">
        <v>7</v>
      </c>
      <c r="HS675" s="27" t="s">
        <v>8</v>
      </c>
      <c r="HV675" s="27" t="s">
        <v>7</v>
      </c>
      <c r="HW675" s="27" t="s">
        <v>8</v>
      </c>
      <c r="IB675" s="27" t="s">
        <v>7</v>
      </c>
      <c r="IC675" s="27" t="s">
        <v>8</v>
      </c>
      <c r="ID675" s="27" t="s">
        <v>7</v>
      </c>
      <c r="IE675" s="27" t="s">
        <v>8</v>
      </c>
      <c r="IL675" s="27" t="s">
        <v>7</v>
      </c>
      <c r="IM675" s="27" t="s">
        <v>8</v>
      </c>
      <c r="IN675" s="27" t="s">
        <v>7</v>
      </c>
      <c r="IO675" s="27" t="s">
        <v>8</v>
      </c>
      <c r="IP675" s="27" t="s">
        <v>7</v>
      </c>
      <c r="IS675" s="27" t="s">
        <v>8</v>
      </c>
      <c r="IT675" s="27" t="s">
        <v>7</v>
      </c>
      <c r="IU675" s="27" t="s">
        <v>8</v>
      </c>
      <c r="IW675" s="27" t="s">
        <v>8</v>
      </c>
      <c r="IX675" s="27" t="s">
        <v>7</v>
      </c>
    </row>
    <row r="676" spans="1:268" x14ac:dyDescent="0.25">
      <c r="A676" s="7">
        <v>0.17162664512515888</v>
      </c>
      <c r="B676"/>
      <c r="C676"/>
      <c r="D676"/>
      <c r="E676"/>
      <c r="F676" s="27" t="s">
        <v>7</v>
      </c>
      <c r="K676" s="27" t="s">
        <v>8</v>
      </c>
      <c r="L676" s="27" t="s">
        <v>7</v>
      </c>
      <c r="M676" s="27" t="s">
        <v>8</v>
      </c>
      <c r="N676" s="27" t="s">
        <v>7</v>
      </c>
      <c r="AY676" s="27" t="s">
        <v>8</v>
      </c>
      <c r="AZ676" s="27" t="s">
        <v>7</v>
      </c>
      <c r="CE676" s="27" t="s">
        <v>8</v>
      </c>
      <c r="CI676" s="27" t="s">
        <v>8</v>
      </c>
      <c r="CJ676" s="27" t="s">
        <v>7</v>
      </c>
      <c r="CM676" s="27" t="s">
        <v>8</v>
      </c>
      <c r="EJ676" s="27" t="s">
        <v>7</v>
      </c>
      <c r="EK676" s="27" t="s">
        <v>8</v>
      </c>
      <c r="EL676" s="27" t="s">
        <v>7</v>
      </c>
      <c r="EM676" s="27" t="s">
        <v>8</v>
      </c>
      <c r="EN676" s="27" t="s">
        <v>7</v>
      </c>
      <c r="EO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EV676" s="27" t="s">
        <v>7</v>
      </c>
      <c r="EW676" s="27" t="s">
        <v>8</v>
      </c>
      <c r="EX676" s="27" t="s">
        <v>7</v>
      </c>
      <c r="EY676" s="27" t="s">
        <v>8</v>
      </c>
      <c r="FF676" s="27" t="s">
        <v>7</v>
      </c>
      <c r="FG676" s="27" t="s">
        <v>8</v>
      </c>
      <c r="FH676" s="27" t="s">
        <v>7</v>
      </c>
      <c r="FK676" s="27" t="s">
        <v>8</v>
      </c>
      <c r="FL676" s="27" t="s">
        <v>7</v>
      </c>
      <c r="FM676" s="27" t="s">
        <v>8</v>
      </c>
      <c r="FN676" s="27" t="s">
        <v>7</v>
      </c>
      <c r="FO676" s="27" t="s">
        <v>8</v>
      </c>
      <c r="FP676" s="27" t="s">
        <v>7</v>
      </c>
      <c r="FQ676" s="27" t="s">
        <v>8</v>
      </c>
      <c r="FR676" s="27" t="s">
        <v>7</v>
      </c>
      <c r="FS676" s="27" t="s">
        <v>8</v>
      </c>
      <c r="FT676" s="27" t="s">
        <v>7</v>
      </c>
      <c r="FU676" s="27" t="s">
        <v>8</v>
      </c>
      <c r="FY676" s="27" t="s">
        <v>8</v>
      </c>
      <c r="FZ676" s="27" t="s">
        <v>7</v>
      </c>
      <c r="GA676" s="27" t="s">
        <v>8</v>
      </c>
      <c r="GB676" s="27" t="s">
        <v>7</v>
      </c>
      <c r="GC676" s="27" t="s">
        <v>8</v>
      </c>
      <c r="GD676" s="27" t="s">
        <v>7</v>
      </c>
      <c r="HF676" s="27" t="s">
        <v>7</v>
      </c>
      <c r="HG676" s="27" t="s">
        <v>8</v>
      </c>
      <c r="HH676" s="27" t="s">
        <v>7</v>
      </c>
      <c r="HI676" s="27" t="s">
        <v>8</v>
      </c>
      <c r="HJ676" s="27" t="s">
        <v>7</v>
      </c>
      <c r="HK676" s="27" t="s">
        <v>8</v>
      </c>
      <c r="HL676" s="27" t="s">
        <v>7</v>
      </c>
      <c r="HM676" s="27" t="s">
        <v>8</v>
      </c>
      <c r="HR676" s="27" t="s">
        <v>7</v>
      </c>
      <c r="HV676" s="27" t="s">
        <v>7</v>
      </c>
      <c r="HW676" s="27" t="s">
        <v>8</v>
      </c>
      <c r="IB676" s="27" t="s">
        <v>7</v>
      </c>
      <c r="IC676" s="27" t="s">
        <v>8</v>
      </c>
      <c r="ID676" s="27" t="s">
        <v>7</v>
      </c>
      <c r="IE676" s="27" t="s">
        <v>8</v>
      </c>
      <c r="IL676" s="27" t="s">
        <v>7</v>
      </c>
      <c r="IM676" s="27" t="s">
        <v>8</v>
      </c>
      <c r="IN676" s="27" t="s">
        <v>7</v>
      </c>
      <c r="IO676" s="27" t="s">
        <v>8</v>
      </c>
      <c r="IP676" s="27" t="s">
        <v>7</v>
      </c>
      <c r="IQ676" s="27" t="s">
        <v>8</v>
      </c>
      <c r="IS676" s="27" t="s">
        <v>8</v>
      </c>
      <c r="IT676" s="27" t="s">
        <v>7</v>
      </c>
      <c r="IU676" s="27" t="s">
        <v>8</v>
      </c>
      <c r="IV676" s="27" t="s">
        <v>7</v>
      </c>
      <c r="IW676" s="27" t="s">
        <v>8</v>
      </c>
      <c r="IX676" s="27" t="s">
        <v>7</v>
      </c>
      <c r="IY676" s="27" t="s">
        <v>8</v>
      </c>
    </row>
    <row r="677" spans="1:268" x14ac:dyDescent="0.25">
      <c r="A677" s="7">
        <v>0.16826141678937145</v>
      </c>
      <c r="B677"/>
      <c r="C677"/>
      <c r="D677"/>
      <c r="E677"/>
      <c r="F677" s="27" t="s">
        <v>7</v>
      </c>
      <c r="K677" s="27" t="s">
        <v>8</v>
      </c>
      <c r="L677" s="27" t="s">
        <v>7</v>
      </c>
      <c r="N677" s="27" t="s">
        <v>7</v>
      </c>
      <c r="AY677" s="27" t="s">
        <v>8</v>
      </c>
      <c r="AZ677" s="27" t="s">
        <v>7</v>
      </c>
      <c r="CE677" s="27" t="s">
        <v>8</v>
      </c>
      <c r="CF677" s="27" t="s">
        <v>7</v>
      </c>
      <c r="CI677" s="27" t="s">
        <v>8</v>
      </c>
      <c r="CJ677" s="27" t="s">
        <v>7</v>
      </c>
      <c r="CM677" s="27" t="s">
        <v>8</v>
      </c>
      <c r="EJ677" s="27" t="s">
        <v>7</v>
      </c>
      <c r="EK677" s="27" t="s">
        <v>8</v>
      </c>
      <c r="EL677" s="27" t="s">
        <v>7</v>
      </c>
      <c r="EM677" s="27" t="s">
        <v>8</v>
      </c>
      <c r="EN677" s="27" t="s">
        <v>7</v>
      </c>
      <c r="EO677" s="27" t="s">
        <v>8</v>
      </c>
      <c r="EP677" s="27" t="s">
        <v>7</v>
      </c>
      <c r="ER677" s="27" t="s">
        <v>7</v>
      </c>
      <c r="EV677" s="27" t="s">
        <v>7</v>
      </c>
      <c r="EW677" s="27" t="s">
        <v>8</v>
      </c>
      <c r="EX677" s="27" t="s">
        <v>7</v>
      </c>
      <c r="EY677" s="27" t="s">
        <v>8</v>
      </c>
      <c r="FF677" s="27" t="s">
        <v>7</v>
      </c>
      <c r="FG677" s="27" t="s">
        <v>8</v>
      </c>
      <c r="FH677" s="27" t="s">
        <v>7</v>
      </c>
      <c r="FK677" s="27" t="s">
        <v>8</v>
      </c>
      <c r="FL677" s="27" t="s">
        <v>7</v>
      </c>
      <c r="FM677" s="27" t="s">
        <v>8</v>
      </c>
      <c r="FN677" s="27" t="s">
        <v>7</v>
      </c>
      <c r="FO677" s="27" t="s">
        <v>8</v>
      </c>
      <c r="FP677" s="27" t="s">
        <v>7</v>
      </c>
      <c r="FQ677" s="27" t="s">
        <v>8</v>
      </c>
      <c r="FR677" s="27" t="s">
        <v>7</v>
      </c>
      <c r="FS677" s="27" t="s">
        <v>8</v>
      </c>
      <c r="FT677" s="27" t="s">
        <v>7</v>
      </c>
      <c r="FU677" s="27" t="s">
        <v>8</v>
      </c>
      <c r="FV677" s="27" t="s">
        <v>7</v>
      </c>
      <c r="FW677" s="27" t="s">
        <v>8</v>
      </c>
      <c r="FY677" s="27" t="s">
        <v>8</v>
      </c>
      <c r="FZ677" s="27" t="s">
        <v>7</v>
      </c>
      <c r="GA677" s="27" t="s">
        <v>8</v>
      </c>
      <c r="GB677" s="27" t="s">
        <v>7</v>
      </c>
      <c r="HF677" s="27" t="s">
        <v>7</v>
      </c>
      <c r="HG677" s="27" t="s">
        <v>8</v>
      </c>
      <c r="HH677" s="27" t="s">
        <v>7</v>
      </c>
      <c r="HI677" s="27" t="s">
        <v>8</v>
      </c>
      <c r="HJ677" s="27" t="s">
        <v>7</v>
      </c>
      <c r="HK677" s="27" t="s">
        <v>8</v>
      </c>
      <c r="HL677" s="27" t="s">
        <v>7</v>
      </c>
      <c r="HM677" s="27" t="s">
        <v>8</v>
      </c>
      <c r="HV677" s="27" t="s">
        <v>7</v>
      </c>
      <c r="HW677" s="27" t="s">
        <v>8</v>
      </c>
      <c r="IB677" s="27" t="s">
        <v>7</v>
      </c>
      <c r="ID677" s="27" t="s">
        <v>7</v>
      </c>
      <c r="IE677" s="27" t="s">
        <v>8</v>
      </c>
      <c r="IL677" s="27" t="s">
        <v>7</v>
      </c>
      <c r="IM677" s="27" t="s">
        <v>8</v>
      </c>
      <c r="IN677" s="27" t="s">
        <v>7</v>
      </c>
      <c r="IP677" s="27" t="s">
        <v>7</v>
      </c>
      <c r="IQ677" s="27" t="s">
        <v>8</v>
      </c>
      <c r="IR677" s="27" t="s">
        <v>7</v>
      </c>
      <c r="IS677" s="27" t="s">
        <v>8</v>
      </c>
      <c r="IT677" s="27" t="s">
        <v>7</v>
      </c>
      <c r="IU677" s="27" t="s">
        <v>8</v>
      </c>
      <c r="IV677" s="27" t="s">
        <v>7</v>
      </c>
      <c r="IW677" s="27" t="s">
        <v>8</v>
      </c>
      <c r="IX677" s="27" t="s">
        <v>7</v>
      </c>
      <c r="IY677" s="27" t="s">
        <v>8</v>
      </c>
      <c r="IZ677" s="27" t="s">
        <v>7</v>
      </c>
      <c r="JA677" s="27" t="s">
        <v>8</v>
      </c>
    </row>
    <row r="678" spans="1:268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I678" s="27" t="s">
        <v>8</v>
      </c>
      <c r="K678" s="27" t="s">
        <v>8</v>
      </c>
      <c r="N678" s="27" t="s">
        <v>7</v>
      </c>
      <c r="AY678" s="27" t="s">
        <v>8</v>
      </c>
      <c r="AZ678" s="27" t="s">
        <v>7</v>
      </c>
      <c r="CE678" s="27" t="s">
        <v>8</v>
      </c>
      <c r="CF678" s="27" t="s">
        <v>7</v>
      </c>
      <c r="CI678" s="27" t="s">
        <v>8</v>
      </c>
      <c r="CJ678" s="27" t="s">
        <v>7</v>
      </c>
      <c r="CK678" s="27" t="s">
        <v>8</v>
      </c>
      <c r="CM678" s="27" t="s">
        <v>8</v>
      </c>
      <c r="EJ678" s="27" t="s">
        <v>7</v>
      </c>
      <c r="EK678" s="27" t="s">
        <v>8</v>
      </c>
      <c r="EL678" s="27" t="s">
        <v>7</v>
      </c>
      <c r="EM678" s="27" t="s">
        <v>8</v>
      </c>
      <c r="EN678" s="27" t="s">
        <v>7</v>
      </c>
      <c r="EO678" s="27" t="s">
        <v>8</v>
      </c>
      <c r="EV678" s="27" t="s">
        <v>7</v>
      </c>
      <c r="EW678" s="27" t="s">
        <v>8</v>
      </c>
      <c r="EX678" s="27" t="s">
        <v>7</v>
      </c>
      <c r="EY678" s="27" t="s">
        <v>8</v>
      </c>
      <c r="FF678" s="27" t="s">
        <v>7</v>
      </c>
      <c r="FG678" s="27" t="s">
        <v>8</v>
      </c>
      <c r="FH678" s="27" t="s">
        <v>7</v>
      </c>
      <c r="FK678" s="27" t="s">
        <v>8</v>
      </c>
      <c r="FL678" s="27" t="s">
        <v>7</v>
      </c>
      <c r="FM678" s="27" t="s">
        <v>8</v>
      </c>
      <c r="FN678" s="27" t="s">
        <v>7</v>
      </c>
      <c r="FO678" s="27" t="s">
        <v>8</v>
      </c>
      <c r="FP678" s="27" t="s">
        <v>7</v>
      </c>
      <c r="FQ678" s="27" t="s">
        <v>8</v>
      </c>
      <c r="FR678" s="27" t="s">
        <v>7</v>
      </c>
      <c r="FT678" s="27" t="s">
        <v>7</v>
      </c>
      <c r="FU678" s="27" t="s">
        <v>8</v>
      </c>
      <c r="FV678" s="27" t="s">
        <v>7</v>
      </c>
      <c r="FW678" s="27" t="s">
        <v>8</v>
      </c>
      <c r="FX678" s="27" t="s">
        <v>7</v>
      </c>
      <c r="FY678" s="27" t="s">
        <v>8</v>
      </c>
      <c r="FZ678" s="27" t="s">
        <v>7</v>
      </c>
      <c r="GA678" s="27" t="s">
        <v>8</v>
      </c>
      <c r="HF678" s="27" t="s">
        <v>7</v>
      </c>
      <c r="HG678" s="27" t="s">
        <v>8</v>
      </c>
      <c r="HH678" s="27" t="s">
        <v>7</v>
      </c>
      <c r="HI678" s="27" t="s">
        <v>8</v>
      </c>
      <c r="HJ678" s="27" t="s">
        <v>7</v>
      </c>
      <c r="HK678" s="27" t="s">
        <v>8</v>
      </c>
      <c r="HL678" s="27" t="s">
        <v>7</v>
      </c>
      <c r="HM678" s="27" t="s">
        <v>8</v>
      </c>
      <c r="HV678" s="27" t="s">
        <v>7</v>
      </c>
      <c r="ID678" s="27" t="s">
        <v>7</v>
      </c>
      <c r="IE678" s="27" t="s">
        <v>8</v>
      </c>
      <c r="IL678" s="27" t="s">
        <v>7</v>
      </c>
      <c r="IM678" s="27" t="s">
        <v>8</v>
      </c>
      <c r="IP678" s="27" t="s">
        <v>7</v>
      </c>
      <c r="IQ678" s="27" t="s">
        <v>8</v>
      </c>
      <c r="IR678" s="27" t="s">
        <v>7</v>
      </c>
      <c r="IS678" s="27" t="s">
        <v>8</v>
      </c>
      <c r="IT678" s="27" t="s">
        <v>7</v>
      </c>
      <c r="IU678" s="27" t="s">
        <v>8</v>
      </c>
      <c r="IV678" s="27" t="s">
        <v>7</v>
      </c>
      <c r="IW678" s="27" t="s">
        <v>8</v>
      </c>
      <c r="IX678" s="27" t="s">
        <v>7</v>
      </c>
      <c r="IY678" s="27" t="s">
        <v>8</v>
      </c>
      <c r="IZ678" s="27" t="s">
        <v>7</v>
      </c>
      <c r="JA678" s="27" t="s">
        <v>8</v>
      </c>
      <c r="JB678" s="27" t="s">
        <v>7</v>
      </c>
    </row>
    <row r="679" spans="1:268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I679" s="27" t="s">
        <v>8</v>
      </c>
      <c r="J679" s="27" t="s">
        <v>7</v>
      </c>
      <c r="K679" s="27" t="s">
        <v>8</v>
      </c>
      <c r="N679" s="27" t="s">
        <v>7</v>
      </c>
      <c r="AY679" s="27" t="s">
        <v>8</v>
      </c>
      <c r="AZ679" s="27" t="s">
        <v>7</v>
      </c>
      <c r="CE679" s="27" t="s">
        <v>8</v>
      </c>
      <c r="CF679" s="27" t="s">
        <v>7</v>
      </c>
      <c r="CG679" s="27" t="s">
        <v>8</v>
      </c>
      <c r="CI679" s="27" t="s">
        <v>8</v>
      </c>
      <c r="CJ679" s="27" t="s">
        <v>7</v>
      </c>
      <c r="CK679" s="27" t="s">
        <v>8</v>
      </c>
      <c r="CL679" s="27" t="s">
        <v>7</v>
      </c>
      <c r="CM679" s="27" t="s">
        <v>8</v>
      </c>
      <c r="EJ679" s="27" t="s">
        <v>7</v>
      </c>
      <c r="EK679" s="27" t="s">
        <v>8</v>
      </c>
      <c r="EL679" s="27" t="s">
        <v>7</v>
      </c>
      <c r="EM679" s="27" t="s">
        <v>8</v>
      </c>
      <c r="EN679" s="27" t="s">
        <v>7</v>
      </c>
      <c r="EO679" s="27" t="s">
        <v>8</v>
      </c>
      <c r="EV679" s="27" t="s">
        <v>7</v>
      </c>
      <c r="EW679" s="27" t="s">
        <v>8</v>
      </c>
      <c r="EX679" s="27" t="s">
        <v>7</v>
      </c>
      <c r="EY679" s="27" t="s">
        <v>8</v>
      </c>
      <c r="FF679" s="27" t="s">
        <v>7</v>
      </c>
      <c r="FG679" s="27" t="s">
        <v>8</v>
      </c>
      <c r="FH679" s="27" t="s">
        <v>7</v>
      </c>
      <c r="FI679" s="27" t="s">
        <v>8</v>
      </c>
      <c r="FK679" s="27" t="s">
        <v>8</v>
      </c>
      <c r="FL679" s="27" t="s">
        <v>7</v>
      </c>
      <c r="FM679" s="27" t="s">
        <v>8</v>
      </c>
      <c r="FN679" s="27" t="s">
        <v>7</v>
      </c>
      <c r="FO679" s="27" t="s">
        <v>8</v>
      </c>
      <c r="FP679" s="27" t="s">
        <v>7</v>
      </c>
      <c r="FQ679" s="27" t="s">
        <v>8</v>
      </c>
      <c r="FT679" s="27" t="s">
        <v>7</v>
      </c>
      <c r="FU679" s="27" t="s">
        <v>8</v>
      </c>
      <c r="FV679" s="27" t="s">
        <v>7</v>
      </c>
      <c r="FW679" s="27" t="s">
        <v>8</v>
      </c>
      <c r="FX679" s="27" t="s">
        <v>7</v>
      </c>
      <c r="FY679" s="27" t="s">
        <v>8</v>
      </c>
      <c r="FZ679" s="27" t="s">
        <v>7</v>
      </c>
      <c r="GA679" s="27" t="s">
        <v>8</v>
      </c>
      <c r="HF679" s="27" t="s">
        <v>7</v>
      </c>
      <c r="HH679" s="27" t="s">
        <v>7</v>
      </c>
      <c r="HJ679" s="27" t="s">
        <v>7</v>
      </c>
      <c r="HK679" s="27" t="s">
        <v>8</v>
      </c>
      <c r="HL679" s="27" t="s">
        <v>7</v>
      </c>
      <c r="HM679" s="27" t="s">
        <v>8</v>
      </c>
      <c r="ID679" s="27" t="s">
        <v>7</v>
      </c>
      <c r="IE679" s="27" t="s">
        <v>8</v>
      </c>
      <c r="IL679" s="27" t="s">
        <v>7</v>
      </c>
      <c r="IP679" s="27" t="s">
        <v>7</v>
      </c>
      <c r="IQ679" s="27" t="s">
        <v>8</v>
      </c>
      <c r="IR679" s="27" t="s">
        <v>7</v>
      </c>
      <c r="IS679" s="27" t="s">
        <v>8</v>
      </c>
      <c r="IT679" s="27" t="s">
        <v>7</v>
      </c>
      <c r="IU679" s="27" t="s">
        <v>8</v>
      </c>
      <c r="IV679" s="27" t="s">
        <v>7</v>
      </c>
      <c r="IW679" s="27" t="s">
        <v>8</v>
      </c>
      <c r="IX679" s="27" t="s">
        <v>7</v>
      </c>
      <c r="IY679" s="27" t="s">
        <v>8</v>
      </c>
      <c r="IZ679" s="27" t="s">
        <v>7</v>
      </c>
      <c r="JA679" s="27" t="s">
        <v>8</v>
      </c>
      <c r="JB679" s="27" t="s">
        <v>7</v>
      </c>
    </row>
    <row r="680" spans="1:268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I680" s="27" t="s">
        <v>8</v>
      </c>
      <c r="J680" s="27" t="s">
        <v>7</v>
      </c>
      <c r="K680" s="27" t="s">
        <v>8</v>
      </c>
      <c r="N680" s="27" t="s">
        <v>7</v>
      </c>
      <c r="AY680" s="27" t="s">
        <v>8</v>
      </c>
      <c r="AZ680" s="27" t="s">
        <v>7</v>
      </c>
      <c r="CE680" s="27" t="s">
        <v>8</v>
      </c>
      <c r="CF680" s="27" t="s">
        <v>7</v>
      </c>
      <c r="CG680" s="27" t="s">
        <v>8</v>
      </c>
      <c r="CH680" s="27" t="s">
        <v>7</v>
      </c>
      <c r="CI680" s="27" t="s">
        <v>8</v>
      </c>
      <c r="CJ680" s="27" t="s">
        <v>7</v>
      </c>
      <c r="CK680" s="27" t="s">
        <v>8</v>
      </c>
      <c r="CL680" s="27" t="s">
        <v>7</v>
      </c>
      <c r="CM680" s="27" t="s">
        <v>8</v>
      </c>
      <c r="EJ680" s="27" t="s">
        <v>7</v>
      </c>
      <c r="EK680" s="27" t="s">
        <v>8</v>
      </c>
      <c r="EL680" s="27" t="s">
        <v>7</v>
      </c>
      <c r="EM680" s="27" t="s">
        <v>8</v>
      </c>
      <c r="EN680" s="27" t="s">
        <v>7</v>
      </c>
      <c r="EO680" s="27" t="s">
        <v>8</v>
      </c>
      <c r="EV680" s="27" t="s">
        <v>7</v>
      </c>
      <c r="EX680" s="27" t="s">
        <v>7</v>
      </c>
      <c r="EY680" s="27" t="s">
        <v>8</v>
      </c>
      <c r="FF680" s="27" t="s">
        <v>7</v>
      </c>
      <c r="FG680" s="27" t="s">
        <v>8</v>
      </c>
      <c r="FH680" s="27" t="s">
        <v>7</v>
      </c>
      <c r="FI680" s="27" t="s">
        <v>8</v>
      </c>
      <c r="FJ680" s="27" t="s">
        <v>7</v>
      </c>
      <c r="FK680" s="27" t="s">
        <v>8</v>
      </c>
      <c r="FL680" s="27" t="s">
        <v>7</v>
      </c>
      <c r="FM680" s="27" t="s">
        <v>8</v>
      </c>
      <c r="FN680" s="27" t="s">
        <v>7</v>
      </c>
      <c r="FO680" s="27" t="s">
        <v>8</v>
      </c>
      <c r="FP680" s="27" t="s">
        <v>7</v>
      </c>
      <c r="FQ680" s="27" t="s">
        <v>8</v>
      </c>
      <c r="FT680" s="27" t="s">
        <v>7</v>
      </c>
      <c r="FU680" s="27" t="s">
        <v>8</v>
      </c>
      <c r="FV680" s="27" t="s">
        <v>7</v>
      </c>
      <c r="FW680" s="27" t="s">
        <v>8</v>
      </c>
      <c r="FX680" s="27" t="s">
        <v>7</v>
      </c>
      <c r="FY680" s="27" t="s">
        <v>8</v>
      </c>
      <c r="FZ680" s="27" t="s">
        <v>7</v>
      </c>
      <c r="HJ680" s="27" t="s">
        <v>7</v>
      </c>
      <c r="HK680" s="27" t="s">
        <v>8</v>
      </c>
      <c r="HL680" s="27" t="s">
        <v>7</v>
      </c>
      <c r="HM680" s="27" t="s">
        <v>8</v>
      </c>
      <c r="ID680" s="27" t="s">
        <v>7</v>
      </c>
      <c r="IE680" s="27" t="s">
        <v>8</v>
      </c>
      <c r="IP680" s="27" t="s">
        <v>7</v>
      </c>
      <c r="IR680" s="27" t="s">
        <v>7</v>
      </c>
      <c r="IS680" s="27" t="s">
        <v>8</v>
      </c>
      <c r="IT680" s="27" t="s">
        <v>7</v>
      </c>
      <c r="IU680" s="27" t="s">
        <v>8</v>
      </c>
      <c r="IV680" s="27" t="s">
        <v>7</v>
      </c>
      <c r="IX680" s="27" t="s">
        <v>7</v>
      </c>
      <c r="IY680" s="27" t="s">
        <v>8</v>
      </c>
      <c r="IZ680" s="27" t="s">
        <v>7</v>
      </c>
      <c r="JB680" s="27" t="s">
        <v>7</v>
      </c>
    </row>
    <row r="681" spans="1:268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I681" s="27" t="s">
        <v>8</v>
      </c>
      <c r="J681" s="27" t="s">
        <v>7</v>
      </c>
      <c r="K681" s="27" t="s">
        <v>8</v>
      </c>
      <c r="N681" s="27" t="s">
        <v>7</v>
      </c>
      <c r="AY681" s="27" t="s">
        <v>8</v>
      </c>
      <c r="AZ681" s="27" t="s">
        <v>7</v>
      </c>
      <c r="CE681" s="27" t="s">
        <v>8</v>
      </c>
      <c r="CF681" s="27" t="s">
        <v>7</v>
      </c>
      <c r="CG681" s="27" t="s">
        <v>8</v>
      </c>
      <c r="CH681" s="27" t="s">
        <v>7</v>
      </c>
      <c r="CI681" s="27" t="s">
        <v>8</v>
      </c>
      <c r="CJ681" s="27" t="s">
        <v>7</v>
      </c>
      <c r="CK681" s="27" t="s">
        <v>8</v>
      </c>
      <c r="CL681" s="27" t="s">
        <v>7</v>
      </c>
      <c r="CM681" s="27" t="s">
        <v>8</v>
      </c>
      <c r="EJ681" s="27" t="s">
        <v>7</v>
      </c>
      <c r="EL681" s="27" t="s">
        <v>7</v>
      </c>
      <c r="EM681" s="27" t="s">
        <v>8</v>
      </c>
      <c r="EN681" s="27" t="s">
        <v>7</v>
      </c>
      <c r="EO681" s="27" t="s">
        <v>8</v>
      </c>
      <c r="EX681" s="27" t="s">
        <v>7</v>
      </c>
      <c r="EY681" s="27" t="s">
        <v>8</v>
      </c>
      <c r="FF681" s="27" t="s">
        <v>7</v>
      </c>
      <c r="FG681" s="27" t="s">
        <v>8</v>
      </c>
      <c r="FH681" s="27" t="s">
        <v>7</v>
      </c>
      <c r="FI681" s="27" t="s">
        <v>8</v>
      </c>
      <c r="FJ681" s="27" t="s">
        <v>7</v>
      </c>
      <c r="FK681" s="27" t="s">
        <v>8</v>
      </c>
      <c r="FL681" s="27" t="s">
        <v>7</v>
      </c>
      <c r="FM681" s="27" t="s">
        <v>8</v>
      </c>
      <c r="FN681" s="27" t="s">
        <v>7</v>
      </c>
      <c r="FO681" s="27" t="s">
        <v>8</v>
      </c>
      <c r="FP681" s="27" t="s">
        <v>7</v>
      </c>
      <c r="FT681" s="27" t="s">
        <v>7</v>
      </c>
      <c r="FU681" s="27" t="s">
        <v>8</v>
      </c>
      <c r="FV681" s="27" t="s">
        <v>7</v>
      </c>
      <c r="FW681" s="27" t="s">
        <v>8</v>
      </c>
      <c r="FX681" s="27" t="s">
        <v>7</v>
      </c>
      <c r="FY681" s="27" t="s">
        <v>8</v>
      </c>
      <c r="HJ681" s="27" t="s">
        <v>7</v>
      </c>
      <c r="HL681" s="27" t="s">
        <v>7</v>
      </c>
      <c r="ID681" s="27" t="s">
        <v>7</v>
      </c>
      <c r="IR681" s="27" t="s">
        <v>7</v>
      </c>
      <c r="IS681" s="27" t="s">
        <v>8</v>
      </c>
      <c r="IT681" s="27" t="s">
        <v>7</v>
      </c>
      <c r="IU681" s="27" t="s">
        <v>8</v>
      </c>
      <c r="IX681" s="27" t="s">
        <v>7</v>
      </c>
      <c r="JB681" s="27" t="s">
        <v>7</v>
      </c>
      <c r="JC681" s="27" t="s">
        <v>8</v>
      </c>
    </row>
    <row r="682" spans="1:268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I682" s="27" t="s">
        <v>8</v>
      </c>
      <c r="J682" s="27" t="s">
        <v>7</v>
      </c>
      <c r="N682" s="27" t="s">
        <v>7</v>
      </c>
      <c r="AY682" s="27" t="s">
        <v>8</v>
      </c>
      <c r="AZ682" s="27" t="s">
        <v>7</v>
      </c>
      <c r="CE682" s="27" t="s">
        <v>8</v>
      </c>
      <c r="CF682" s="27" t="s">
        <v>7</v>
      </c>
      <c r="CG682" s="27" t="s">
        <v>8</v>
      </c>
      <c r="CH682" s="27" t="s">
        <v>7</v>
      </c>
      <c r="CI682" s="27" t="s">
        <v>8</v>
      </c>
      <c r="CJ682" s="27" t="s">
        <v>7</v>
      </c>
      <c r="CL682" s="27" t="s">
        <v>7</v>
      </c>
      <c r="CM682" s="27" t="s">
        <v>8</v>
      </c>
      <c r="EL682" s="27" t="s">
        <v>7</v>
      </c>
      <c r="EM682" s="27" t="s">
        <v>8</v>
      </c>
      <c r="EN682" s="27" t="s">
        <v>7</v>
      </c>
      <c r="EO682" s="27" t="s">
        <v>8</v>
      </c>
      <c r="EX682" s="27" t="s">
        <v>7</v>
      </c>
      <c r="FF682" s="27" t="s">
        <v>7</v>
      </c>
      <c r="FG682" s="27" t="s">
        <v>8</v>
      </c>
      <c r="FH682" s="27" t="s">
        <v>7</v>
      </c>
      <c r="FI682" s="27" t="s">
        <v>8</v>
      </c>
      <c r="FJ682" s="27" t="s">
        <v>7</v>
      </c>
      <c r="FK682" s="27" t="s">
        <v>8</v>
      </c>
      <c r="FL682" s="27" t="s">
        <v>7</v>
      </c>
      <c r="FM682" s="27" t="s">
        <v>8</v>
      </c>
      <c r="FN682" s="27" t="s">
        <v>7</v>
      </c>
      <c r="FT682" s="27" t="s">
        <v>7</v>
      </c>
      <c r="FV682" s="27" t="s">
        <v>7</v>
      </c>
      <c r="FW682" s="27" t="s">
        <v>8</v>
      </c>
      <c r="FX682" s="27" t="s">
        <v>7</v>
      </c>
      <c r="FY682" s="27" t="s">
        <v>8</v>
      </c>
      <c r="IR682" s="27" t="s">
        <v>7</v>
      </c>
      <c r="IS682" s="27" t="s">
        <v>8</v>
      </c>
      <c r="IT682" s="27" t="s">
        <v>7</v>
      </c>
      <c r="IU682" s="27" t="s">
        <v>8</v>
      </c>
      <c r="JB682" s="27" t="s">
        <v>7</v>
      </c>
      <c r="JC682" s="27" t="s">
        <v>8</v>
      </c>
      <c r="JD682" s="27" t="s">
        <v>7</v>
      </c>
      <c r="JE682" s="27" t="s">
        <v>8</v>
      </c>
    </row>
    <row r="683" spans="1:268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I683" s="27" t="s">
        <v>8</v>
      </c>
      <c r="N683" s="27" t="s">
        <v>7</v>
      </c>
      <c r="O683" s="27" t="s">
        <v>8</v>
      </c>
      <c r="AY683" s="27" t="s">
        <v>8</v>
      </c>
      <c r="AZ683" s="27" t="s">
        <v>7</v>
      </c>
      <c r="CE683" s="27" t="s">
        <v>8</v>
      </c>
      <c r="CF683" s="27" t="s">
        <v>7</v>
      </c>
      <c r="CG683" s="27" t="s">
        <v>8</v>
      </c>
      <c r="CH683" s="27" t="s">
        <v>7</v>
      </c>
      <c r="CI683" s="27" t="s">
        <v>8</v>
      </c>
      <c r="CL683" s="27" t="s">
        <v>7</v>
      </c>
      <c r="CM683" s="27" t="s">
        <v>8</v>
      </c>
      <c r="EL683" s="27" t="s">
        <v>7</v>
      </c>
      <c r="EM683" s="27" t="s">
        <v>8</v>
      </c>
      <c r="EN683" s="27" t="s">
        <v>7</v>
      </c>
      <c r="EO683" s="27" t="s">
        <v>8</v>
      </c>
      <c r="FF683" s="27" t="s">
        <v>7</v>
      </c>
      <c r="FG683" s="27" t="s">
        <v>8</v>
      </c>
      <c r="FH683" s="27" t="s">
        <v>7</v>
      </c>
      <c r="FI683" s="27" t="s">
        <v>8</v>
      </c>
      <c r="FJ683" s="27" t="s">
        <v>7</v>
      </c>
      <c r="FL683" s="27" t="s">
        <v>7</v>
      </c>
      <c r="FV683" s="27" t="s">
        <v>7</v>
      </c>
      <c r="FW683" s="27" t="s">
        <v>8</v>
      </c>
      <c r="FX683" s="27" t="s">
        <v>7</v>
      </c>
      <c r="IR683" s="27" t="s">
        <v>7</v>
      </c>
      <c r="IS683" s="27" t="s">
        <v>8</v>
      </c>
      <c r="IT683" s="27" t="s">
        <v>7</v>
      </c>
      <c r="IU683" s="27" t="s">
        <v>8</v>
      </c>
      <c r="JB683" s="27" t="s">
        <v>7</v>
      </c>
      <c r="JC683" s="27" t="s">
        <v>8</v>
      </c>
      <c r="JD683" s="27" t="s">
        <v>7</v>
      </c>
      <c r="JE683" s="27" t="s">
        <v>8</v>
      </c>
      <c r="JF683" s="27" t="s">
        <v>7</v>
      </c>
      <c r="JG683" s="27" t="s">
        <v>8</v>
      </c>
    </row>
    <row r="684" spans="1:268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H684" s="27" t="s">
        <v>7</v>
      </c>
      <c r="I684" s="27" t="s">
        <v>8</v>
      </c>
      <c r="N684" s="27" t="s">
        <v>7</v>
      </c>
      <c r="O684" s="27" t="s">
        <v>8</v>
      </c>
      <c r="P684" s="27" t="s">
        <v>7</v>
      </c>
      <c r="AY684" s="27" t="s">
        <v>8</v>
      </c>
      <c r="AZ684" s="27" t="s">
        <v>7</v>
      </c>
      <c r="CE684" s="27" t="s">
        <v>8</v>
      </c>
      <c r="CF684" s="27" t="s">
        <v>7</v>
      </c>
      <c r="CG684" s="27" t="s">
        <v>8</v>
      </c>
      <c r="CH684" s="27" t="s">
        <v>7</v>
      </c>
      <c r="CI684" s="27" t="s">
        <v>8</v>
      </c>
      <c r="CL684" s="27" t="s">
        <v>7</v>
      </c>
      <c r="CM684" s="27" t="s">
        <v>8</v>
      </c>
      <c r="EL684" s="27" t="s">
        <v>7</v>
      </c>
      <c r="EM684" s="27" t="s">
        <v>8</v>
      </c>
      <c r="EN684" s="27" t="s">
        <v>7</v>
      </c>
      <c r="EO684" s="27" t="s">
        <v>8</v>
      </c>
      <c r="FF684" s="27" t="s">
        <v>7</v>
      </c>
      <c r="FG684" s="27" t="s">
        <v>8</v>
      </c>
      <c r="FH684" s="27" t="s">
        <v>7</v>
      </c>
      <c r="FI684" s="27" t="s">
        <v>8</v>
      </c>
      <c r="FV684" s="27" t="s">
        <v>7</v>
      </c>
      <c r="FW684" s="27" t="s">
        <v>8</v>
      </c>
      <c r="IR684" s="27" t="s">
        <v>7</v>
      </c>
      <c r="IS684" s="27" t="s">
        <v>8</v>
      </c>
      <c r="IT684" s="27" t="s">
        <v>7</v>
      </c>
      <c r="IU684" s="27" t="s">
        <v>8</v>
      </c>
      <c r="JB684" s="27" t="s">
        <v>7</v>
      </c>
      <c r="JC684" s="27" t="s">
        <v>8</v>
      </c>
      <c r="JD684" s="27" t="s">
        <v>7</v>
      </c>
      <c r="JE684" s="27" t="s">
        <v>8</v>
      </c>
      <c r="JF684" s="27" t="s">
        <v>7</v>
      </c>
      <c r="JG684" s="27" t="s">
        <v>8</v>
      </c>
      <c r="JH684" s="27" t="s">
        <v>7</v>
      </c>
    </row>
    <row r="685" spans="1:268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I685" s="27" t="s">
        <v>8</v>
      </c>
      <c r="N685" s="27" t="s">
        <v>7</v>
      </c>
      <c r="O685" s="27" t="s">
        <v>8</v>
      </c>
      <c r="P685" s="27" t="s">
        <v>7</v>
      </c>
      <c r="AY685" s="27" t="s">
        <v>8</v>
      </c>
      <c r="AZ685" s="27" t="s">
        <v>7</v>
      </c>
      <c r="CE685" s="27" t="s">
        <v>8</v>
      </c>
      <c r="CF685" s="27" t="s">
        <v>7</v>
      </c>
      <c r="CG685" s="27" t="s">
        <v>8</v>
      </c>
      <c r="CH685" s="27" t="s">
        <v>7</v>
      </c>
      <c r="CI685" s="27" t="s">
        <v>8</v>
      </c>
      <c r="CL685" s="27" t="s">
        <v>7</v>
      </c>
      <c r="CM685" s="27" t="s">
        <v>8</v>
      </c>
      <c r="EL685" s="27" t="s">
        <v>7</v>
      </c>
      <c r="EM685" s="27" t="s">
        <v>8</v>
      </c>
      <c r="EN685" s="27" t="s">
        <v>7</v>
      </c>
      <c r="EO685" s="27" t="s">
        <v>8</v>
      </c>
      <c r="FF685" s="27" t="s">
        <v>7</v>
      </c>
      <c r="FG685" s="27" t="s">
        <v>8</v>
      </c>
      <c r="FH685" s="27" t="s">
        <v>7</v>
      </c>
      <c r="FI685" s="27" t="s">
        <v>8</v>
      </c>
      <c r="FV685" s="18" t="s">
        <v>7</v>
      </c>
      <c r="FW685" s="27" t="s">
        <v>8</v>
      </c>
      <c r="IR685" s="27" t="s">
        <v>7</v>
      </c>
      <c r="IS685" s="27" t="s">
        <v>8</v>
      </c>
      <c r="IT685" s="27" t="s">
        <v>7</v>
      </c>
      <c r="IU685" s="27" t="s">
        <v>8</v>
      </c>
      <c r="JB685" s="27" t="s">
        <v>7</v>
      </c>
      <c r="JC685" s="27" t="s">
        <v>8</v>
      </c>
      <c r="JD685" s="27" t="s">
        <v>7</v>
      </c>
      <c r="JE685" s="27" t="s">
        <v>8</v>
      </c>
      <c r="JF685" s="27" t="s">
        <v>7</v>
      </c>
      <c r="JG685" s="27" t="s">
        <v>8</v>
      </c>
      <c r="JH685" s="27" t="s">
        <v>7</v>
      </c>
    </row>
    <row r="686" spans="1:268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N686" s="27" t="s">
        <v>7</v>
      </c>
      <c r="O686" s="27" t="s">
        <v>8</v>
      </c>
      <c r="P686" s="27" t="s">
        <v>7</v>
      </c>
      <c r="AY686" s="27" t="s">
        <v>8</v>
      </c>
      <c r="AZ686" s="27" t="s">
        <v>7</v>
      </c>
      <c r="CE686" s="27" t="s">
        <v>8</v>
      </c>
      <c r="CF686" s="27" t="s">
        <v>7</v>
      </c>
      <c r="CG686" s="27" t="s">
        <v>8</v>
      </c>
      <c r="CH686" s="27" t="s">
        <v>7</v>
      </c>
      <c r="CI686" s="27" t="s">
        <v>8</v>
      </c>
      <c r="CL686" s="27" t="s">
        <v>7</v>
      </c>
      <c r="CM686" s="27" t="s">
        <v>8</v>
      </c>
      <c r="EL686" s="27" t="s">
        <v>7</v>
      </c>
      <c r="EM686" s="27" t="s">
        <v>8</v>
      </c>
      <c r="EN686" s="27" t="s">
        <v>7</v>
      </c>
      <c r="FF686" s="27" t="s">
        <v>7</v>
      </c>
      <c r="FG686" s="27" t="s">
        <v>8</v>
      </c>
      <c r="FH686" s="27" t="s">
        <v>7</v>
      </c>
      <c r="FI686" s="27" t="s">
        <v>8</v>
      </c>
      <c r="FV686" s="27" t="s">
        <v>7</v>
      </c>
      <c r="FW686" s="27" t="s">
        <v>8</v>
      </c>
      <c r="IR686" s="27" t="s">
        <v>7</v>
      </c>
      <c r="IS686" s="27" t="s">
        <v>8</v>
      </c>
      <c r="IT686" s="27" t="s">
        <v>7</v>
      </c>
      <c r="IU686" s="27" t="s">
        <v>8</v>
      </c>
      <c r="JB686" s="27" t="s">
        <v>7</v>
      </c>
      <c r="JC686" s="27" t="s">
        <v>8</v>
      </c>
      <c r="JD686" s="27" t="s">
        <v>7</v>
      </c>
      <c r="JE686" s="27" t="s">
        <v>8</v>
      </c>
      <c r="JF686" s="27" t="s">
        <v>7</v>
      </c>
      <c r="JH686" s="27" t="s">
        <v>7</v>
      </c>
    </row>
    <row r="687" spans="1:268" x14ac:dyDescent="0.25">
      <c r="A687" s="7">
        <v>0.13803296719774574</v>
      </c>
      <c r="B687"/>
      <c r="C687"/>
      <c r="D687"/>
      <c r="E687"/>
      <c r="F687" s="27" t="s">
        <v>7</v>
      </c>
      <c r="N687" s="27" t="s">
        <v>7</v>
      </c>
      <c r="O687" s="27" t="s">
        <v>8</v>
      </c>
      <c r="P687" s="27" t="s">
        <v>7</v>
      </c>
      <c r="Y687" s="27" t="s">
        <v>8</v>
      </c>
      <c r="AY687" s="27" t="s">
        <v>8</v>
      </c>
      <c r="AZ687" s="27" t="s">
        <v>7</v>
      </c>
      <c r="BW687" s="27" t="s">
        <v>8</v>
      </c>
      <c r="CE687" s="27" t="s">
        <v>8</v>
      </c>
      <c r="CF687" s="27" t="s">
        <v>7</v>
      </c>
      <c r="CG687" s="27" t="s">
        <v>8</v>
      </c>
      <c r="CH687" s="27" t="s">
        <v>7</v>
      </c>
      <c r="CI687" s="27" t="s">
        <v>8</v>
      </c>
      <c r="CL687" s="27" t="s">
        <v>7</v>
      </c>
      <c r="CM687" s="27" t="s">
        <v>8</v>
      </c>
      <c r="EL687" s="27" t="s">
        <v>7</v>
      </c>
      <c r="EM687" s="27" t="s">
        <v>8</v>
      </c>
      <c r="FF687" s="27" t="s">
        <v>7</v>
      </c>
      <c r="FG687" s="27" t="s">
        <v>8</v>
      </c>
      <c r="FH687" s="27" t="s">
        <v>7</v>
      </c>
      <c r="FI687" s="27" t="s">
        <v>8</v>
      </c>
      <c r="FV687" s="27" t="s">
        <v>7</v>
      </c>
      <c r="FW687" s="27" t="s">
        <v>8</v>
      </c>
      <c r="IR687" s="27" t="s">
        <v>7</v>
      </c>
      <c r="IS687" s="27" t="s">
        <v>8</v>
      </c>
      <c r="IT687" s="27" t="s">
        <v>7</v>
      </c>
      <c r="JB687" s="27" t="s">
        <v>7</v>
      </c>
      <c r="JD687" s="27" t="s">
        <v>7</v>
      </c>
      <c r="JH687" s="27" t="s">
        <v>7</v>
      </c>
    </row>
    <row r="688" spans="1:268" x14ac:dyDescent="0.25">
      <c r="A688" s="7">
        <v>0.1353264384291625</v>
      </c>
      <c r="B688"/>
      <c r="C688"/>
      <c r="D688"/>
      <c r="E688"/>
      <c r="N688" s="27" t="s">
        <v>7</v>
      </c>
      <c r="O688" s="27" t="s">
        <v>8</v>
      </c>
      <c r="P688" s="27" t="s">
        <v>7</v>
      </c>
      <c r="Q688" s="27" t="s">
        <v>8</v>
      </c>
      <c r="Y688" s="27" t="s">
        <v>8</v>
      </c>
      <c r="Z688" s="27" t="s">
        <v>7</v>
      </c>
      <c r="AY688" s="27" t="s">
        <v>8</v>
      </c>
      <c r="AZ688" s="27" t="s">
        <v>7</v>
      </c>
      <c r="BW688" s="27" t="s">
        <v>8</v>
      </c>
      <c r="BX688" s="27" t="s">
        <v>7</v>
      </c>
      <c r="CE688" s="27" t="s">
        <v>8</v>
      </c>
      <c r="CF688" s="27" t="s">
        <v>7</v>
      </c>
      <c r="CG688" s="27" t="s">
        <v>8</v>
      </c>
      <c r="CH688" s="27" t="s">
        <v>7</v>
      </c>
      <c r="CI688" s="27" t="s">
        <v>8</v>
      </c>
      <c r="CL688" s="27" t="s">
        <v>7</v>
      </c>
      <c r="CM688" s="27" t="s">
        <v>8</v>
      </c>
      <c r="EL688" s="27" t="s">
        <v>7</v>
      </c>
      <c r="EM688" s="27" t="s">
        <v>8</v>
      </c>
      <c r="FF688" s="27" t="s">
        <v>7</v>
      </c>
      <c r="FG688" s="27" t="s">
        <v>8</v>
      </c>
      <c r="FH688" s="27" t="s">
        <v>7</v>
      </c>
      <c r="FI688" s="27" t="s">
        <v>8</v>
      </c>
      <c r="FV688" s="27" t="s">
        <v>7</v>
      </c>
      <c r="FW688" s="27" t="s">
        <v>8</v>
      </c>
      <c r="IR688" s="27" t="s">
        <v>7</v>
      </c>
      <c r="IS688" s="27" t="s">
        <v>8</v>
      </c>
      <c r="JH688" s="27" t="s">
        <v>7</v>
      </c>
    </row>
    <row r="689" spans="1:271" x14ac:dyDescent="0.25">
      <c r="A689" s="7">
        <v>0.13267297885212009</v>
      </c>
      <c r="B689"/>
      <c r="C689"/>
      <c r="D689"/>
      <c r="E689"/>
      <c r="N689" s="27" t="s">
        <v>7</v>
      </c>
      <c r="P689" s="27" t="s">
        <v>7</v>
      </c>
      <c r="Q689" s="27" t="s">
        <v>8</v>
      </c>
      <c r="R689" s="27" t="s">
        <v>7</v>
      </c>
      <c r="U689" s="27" t="s">
        <v>8</v>
      </c>
      <c r="Y689" s="27" t="s">
        <v>8</v>
      </c>
      <c r="Z689" s="27" t="s">
        <v>7</v>
      </c>
      <c r="AY689" s="27" t="s">
        <v>8</v>
      </c>
      <c r="AZ689" s="27" t="s">
        <v>7</v>
      </c>
      <c r="BW689" s="27" t="s">
        <v>8</v>
      </c>
      <c r="BX689" s="27" t="s">
        <v>7</v>
      </c>
      <c r="CE689" s="27" t="s">
        <v>8</v>
      </c>
      <c r="CF689" s="27" t="s">
        <v>7</v>
      </c>
      <c r="CG689" s="27" t="s">
        <v>8</v>
      </c>
      <c r="CH689" s="27" t="s">
        <v>7</v>
      </c>
      <c r="CI689" s="27" t="s">
        <v>8</v>
      </c>
      <c r="CL689" s="27" t="s">
        <v>7</v>
      </c>
      <c r="CM689" s="27" t="s">
        <v>8</v>
      </c>
      <c r="EL689" s="27" t="s">
        <v>7</v>
      </c>
      <c r="EM689" s="27" t="s">
        <v>8</v>
      </c>
      <c r="FF689" s="27" t="s">
        <v>7</v>
      </c>
      <c r="FH689" s="27" t="s">
        <v>7</v>
      </c>
      <c r="FV689" s="27" t="s">
        <v>7</v>
      </c>
      <c r="FW689" s="27" t="s">
        <v>8</v>
      </c>
      <c r="IR689" s="27" t="s">
        <v>7</v>
      </c>
      <c r="JH689" s="27" t="s">
        <v>7</v>
      </c>
    </row>
    <row r="690" spans="1:271" x14ac:dyDescent="0.25">
      <c r="A690" s="7">
        <v>0.13007154789423539</v>
      </c>
      <c r="B690"/>
      <c r="C690"/>
      <c r="D690"/>
      <c r="E690"/>
      <c r="P690" s="27" t="s">
        <v>7</v>
      </c>
      <c r="Q690" s="27" t="s">
        <v>8</v>
      </c>
      <c r="R690" s="27" t="s">
        <v>7</v>
      </c>
      <c r="U690" s="27" t="s">
        <v>8</v>
      </c>
      <c r="V690" s="27" t="s">
        <v>7</v>
      </c>
      <c r="Y690" s="27" t="s">
        <v>8</v>
      </c>
      <c r="Z690" s="27" t="s">
        <v>7</v>
      </c>
      <c r="AY690" s="27" t="s">
        <v>8</v>
      </c>
      <c r="AZ690" s="27" t="s">
        <v>7</v>
      </c>
      <c r="BW690" s="27" t="s">
        <v>8</v>
      </c>
      <c r="BX690" s="27" t="s">
        <v>7</v>
      </c>
      <c r="CE690" s="27" t="s">
        <v>8</v>
      </c>
      <c r="CF690" s="27" t="s">
        <v>7</v>
      </c>
      <c r="CG690" s="27" t="s">
        <v>8</v>
      </c>
      <c r="CH690" s="27" t="s">
        <v>7</v>
      </c>
      <c r="CI690" s="27" t="s">
        <v>8</v>
      </c>
      <c r="CL690" s="27" t="s">
        <v>7</v>
      </c>
      <c r="CM690" s="27" t="s">
        <v>8</v>
      </c>
      <c r="EL690" s="27" t="s">
        <v>7</v>
      </c>
      <c r="EM690" s="27" t="s">
        <v>8</v>
      </c>
      <c r="FV690" s="27" t="s">
        <v>7</v>
      </c>
      <c r="JH690" s="27" t="s">
        <v>7</v>
      </c>
    </row>
    <row r="691" spans="1:271" x14ac:dyDescent="0.25">
      <c r="A691" s="7">
        <v>0.12752112538650529</v>
      </c>
      <c r="B691"/>
      <c r="C691"/>
      <c r="D691"/>
      <c r="E691"/>
      <c r="P691" s="27" t="s">
        <v>7</v>
      </c>
      <c r="Q691" s="27" t="s">
        <v>8</v>
      </c>
      <c r="R691" s="27" t="s">
        <v>7</v>
      </c>
      <c r="U691" s="27" t="s">
        <v>8</v>
      </c>
      <c r="V691" s="27" t="s">
        <v>7</v>
      </c>
      <c r="Y691" s="27" t="s">
        <v>8</v>
      </c>
      <c r="Z691" s="27" t="s">
        <v>7</v>
      </c>
      <c r="AY691" s="27" t="s">
        <v>8</v>
      </c>
      <c r="AZ691" s="27" t="s">
        <v>7</v>
      </c>
      <c r="BW691" s="27" t="s">
        <v>8</v>
      </c>
      <c r="BX691" s="27" t="s">
        <v>7</v>
      </c>
      <c r="CA691" s="27" t="s">
        <v>8</v>
      </c>
      <c r="CE691" s="27" t="s">
        <v>8</v>
      </c>
      <c r="CF691" s="27" t="s">
        <v>7</v>
      </c>
      <c r="CG691" s="27" t="s">
        <v>8</v>
      </c>
      <c r="CH691" s="27" t="s">
        <v>7</v>
      </c>
      <c r="CI691" s="27" t="s">
        <v>8</v>
      </c>
      <c r="CL691" s="27" t="s">
        <v>7</v>
      </c>
      <c r="CM691" s="27" t="s">
        <v>8</v>
      </c>
      <c r="EL691" s="27" t="s">
        <v>7</v>
      </c>
      <c r="EM691" s="27" t="s">
        <v>8</v>
      </c>
      <c r="JH691" s="27" t="s">
        <v>7</v>
      </c>
    </row>
    <row r="692" spans="1:271" x14ac:dyDescent="0.25">
      <c r="A692" s="7">
        <v>0.12502071116324048</v>
      </c>
      <c r="B692"/>
      <c r="C692"/>
      <c r="D692"/>
      <c r="E692"/>
      <c r="P692" s="27" t="s">
        <v>7</v>
      </c>
      <c r="Q692" s="27" t="s">
        <v>8</v>
      </c>
      <c r="R692" s="27" t="s">
        <v>7</v>
      </c>
      <c r="U692" s="27" t="s">
        <v>8</v>
      </c>
      <c r="V692" s="27" t="s">
        <v>7</v>
      </c>
      <c r="Y692" s="27" t="s">
        <v>8</v>
      </c>
      <c r="Z692" s="27" t="s">
        <v>7</v>
      </c>
      <c r="AY692" s="27" t="s">
        <v>8</v>
      </c>
      <c r="AZ692" s="27" t="s">
        <v>7</v>
      </c>
      <c r="BW692" s="27" t="s">
        <v>8</v>
      </c>
      <c r="BX692" s="27" t="s">
        <v>7</v>
      </c>
      <c r="CA692" s="27" t="s">
        <v>8</v>
      </c>
      <c r="CB692" s="27" t="s">
        <v>7</v>
      </c>
      <c r="CE692" s="27" t="s">
        <v>8</v>
      </c>
      <c r="CF692" s="27" t="s">
        <v>7</v>
      </c>
      <c r="CG692" s="27" t="s">
        <v>8</v>
      </c>
      <c r="CH692" s="27" t="s">
        <v>7</v>
      </c>
      <c r="CL692" s="27" t="s">
        <v>7</v>
      </c>
      <c r="CM692" s="27" t="s">
        <v>8</v>
      </c>
      <c r="EL692" s="27" t="s">
        <v>7</v>
      </c>
      <c r="EM692" s="27" t="s">
        <v>8</v>
      </c>
      <c r="JH692" s="27" t="s">
        <v>7</v>
      </c>
    </row>
    <row r="693" spans="1:271" x14ac:dyDescent="0.25">
      <c r="A693" s="7">
        <v>0.1225693246698436</v>
      </c>
      <c r="B693"/>
      <c r="C693"/>
      <c r="D693"/>
      <c r="E693"/>
      <c r="P693" s="27" t="s">
        <v>7</v>
      </c>
      <c r="Q693" s="27" t="s">
        <v>8</v>
      </c>
      <c r="R693" s="27" t="s">
        <v>7</v>
      </c>
      <c r="U693" s="27" t="s">
        <v>8</v>
      </c>
      <c r="V693" s="27" t="s">
        <v>7</v>
      </c>
      <c r="Y693" s="27" t="s">
        <v>8</v>
      </c>
      <c r="Z693" s="27" t="s">
        <v>7</v>
      </c>
      <c r="AY693" s="27" t="s">
        <v>8</v>
      </c>
      <c r="AZ693" s="27" t="s">
        <v>7</v>
      </c>
      <c r="BW693" s="27" t="s">
        <v>8</v>
      </c>
      <c r="BX693" s="27" t="s">
        <v>7</v>
      </c>
      <c r="CA693" s="27" t="s">
        <v>8</v>
      </c>
      <c r="CB693" s="27" t="s">
        <v>7</v>
      </c>
      <c r="CE693" s="27" t="s">
        <v>8</v>
      </c>
      <c r="CF693" s="27" t="s">
        <v>7</v>
      </c>
      <c r="CG693" s="27" t="s">
        <v>8</v>
      </c>
      <c r="CL693" s="27" t="s">
        <v>7</v>
      </c>
      <c r="CM693" s="27" t="s">
        <v>8</v>
      </c>
      <c r="EL693" s="27" t="s">
        <v>7</v>
      </c>
      <c r="EM693" s="27" t="s">
        <v>8</v>
      </c>
      <c r="JH693" s="27" t="s">
        <v>7</v>
      </c>
    </row>
    <row r="694" spans="1:271" x14ac:dyDescent="0.25">
      <c r="A694" s="7">
        <v>0.12016600457827803</v>
      </c>
      <c r="B694"/>
      <c r="C694"/>
      <c r="D694"/>
      <c r="E694"/>
      <c r="P694" s="27" t="s">
        <v>7</v>
      </c>
      <c r="R694" s="27" t="s">
        <v>7</v>
      </c>
      <c r="U694" s="27" t="s">
        <v>8</v>
      </c>
      <c r="V694" s="27" t="s">
        <v>7</v>
      </c>
      <c r="Y694" s="27" t="s">
        <v>8</v>
      </c>
      <c r="Z694" s="27" t="s">
        <v>7</v>
      </c>
      <c r="AY694" s="27" t="s">
        <v>8</v>
      </c>
      <c r="AZ694" s="27" t="s">
        <v>7</v>
      </c>
      <c r="BW694" s="27" t="s">
        <v>8</v>
      </c>
      <c r="BX694" s="27" t="s">
        <v>7</v>
      </c>
      <c r="CA694" s="27" t="s">
        <v>8</v>
      </c>
      <c r="CB694" s="27" t="s">
        <v>7</v>
      </c>
      <c r="CE694" s="27" t="s">
        <v>8</v>
      </c>
      <c r="CF694" s="27" t="s">
        <v>7</v>
      </c>
      <c r="CG694" s="27" t="s">
        <v>8</v>
      </c>
      <c r="CL694" s="27" t="s">
        <v>7</v>
      </c>
      <c r="CM694" s="27" t="s">
        <v>8</v>
      </c>
      <c r="EL694" s="27" t="s">
        <v>7</v>
      </c>
      <c r="EM694" s="27" t="s">
        <v>8</v>
      </c>
      <c r="JH694" s="27" t="s">
        <v>7</v>
      </c>
    </row>
    <row r="695" spans="1:271" x14ac:dyDescent="0.25">
      <c r="A695" s="7">
        <v>0.1178098084100765</v>
      </c>
      <c r="B695"/>
      <c r="C695"/>
      <c r="D695"/>
      <c r="E695"/>
      <c r="R695" s="27" t="s">
        <v>7</v>
      </c>
      <c r="U695" s="27" t="s">
        <v>8</v>
      </c>
      <c r="V695" s="27" t="s">
        <v>7</v>
      </c>
      <c r="Y695" s="27" t="s">
        <v>8</v>
      </c>
      <c r="Z695" s="27" t="s">
        <v>7</v>
      </c>
      <c r="AA695" s="27" t="s">
        <v>8</v>
      </c>
      <c r="AY695" s="27" t="s">
        <v>8</v>
      </c>
      <c r="AZ695" s="27" t="s">
        <v>7</v>
      </c>
      <c r="BW695" s="27" t="s">
        <v>8</v>
      </c>
      <c r="BX695" s="27" t="s">
        <v>7</v>
      </c>
      <c r="CA695" s="27" t="s">
        <v>8</v>
      </c>
      <c r="CB695" s="27" t="s">
        <v>7</v>
      </c>
      <c r="CE695" s="27" t="s">
        <v>8</v>
      </c>
      <c r="CF695" s="27" t="s">
        <v>7</v>
      </c>
      <c r="CL695" s="27" t="s">
        <v>7</v>
      </c>
      <c r="CM695" s="27" t="s">
        <v>8</v>
      </c>
      <c r="EL695" s="27" t="s">
        <v>7</v>
      </c>
      <c r="EM695" s="27" t="s">
        <v>8</v>
      </c>
      <c r="JH695" s="27" t="s">
        <v>7</v>
      </c>
    </row>
    <row r="696" spans="1:271" x14ac:dyDescent="0.25">
      <c r="A696" s="7">
        <v>0.11549981216674166</v>
      </c>
      <c r="B696"/>
      <c r="C696"/>
      <c r="D696"/>
      <c r="E696"/>
      <c r="R696" s="27" t="s">
        <v>7</v>
      </c>
      <c r="S696" s="27" t="s">
        <v>8</v>
      </c>
      <c r="U696" s="27" t="s">
        <v>8</v>
      </c>
      <c r="V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Y696" s="27" t="s">
        <v>8</v>
      </c>
      <c r="AZ696" s="27" t="s">
        <v>7</v>
      </c>
      <c r="BW696" s="27" t="s">
        <v>8</v>
      </c>
      <c r="BX696" s="27" t="s">
        <v>7</v>
      </c>
      <c r="CA696" s="27" t="s">
        <v>8</v>
      </c>
      <c r="CB696" s="27" t="s">
        <v>7</v>
      </c>
      <c r="CE696" s="27" t="s">
        <v>8</v>
      </c>
      <c r="CL696" s="27" t="s">
        <v>7</v>
      </c>
      <c r="CM696" s="27" t="s">
        <v>8</v>
      </c>
      <c r="EL696" s="27" t="s">
        <v>7</v>
      </c>
      <c r="EM696" s="27" t="s">
        <v>8</v>
      </c>
      <c r="JH696" s="27" t="s">
        <v>7</v>
      </c>
    </row>
    <row r="697" spans="1:271" x14ac:dyDescent="0.25">
      <c r="A697" s="7">
        <v>0.11323510996739378</v>
      </c>
      <c r="B697"/>
      <c r="C697"/>
      <c r="D697"/>
      <c r="E697"/>
      <c r="R697" s="27" t="s">
        <v>7</v>
      </c>
      <c r="S697" s="27" t="s">
        <v>8</v>
      </c>
      <c r="T697" s="27" t="s">
        <v>7</v>
      </c>
      <c r="U697" s="27" t="s">
        <v>8</v>
      </c>
      <c r="V697" s="27" t="s">
        <v>7</v>
      </c>
      <c r="Y697" s="27" t="s">
        <v>8</v>
      </c>
      <c r="Z697" s="27" t="s">
        <v>7</v>
      </c>
      <c r="AA697" s="27" t="s">
        <v>8</v>
      </c>
      <c r="AB697" s="27" t="s">
        <v>7</v>
      </c>
      <c r="AY697" s="27" t="s">
        <v>8</v>
      </c>
      <c r="AZ697" s="27" t="s">
        <v>7</v>
      </c>
      <c r="BW697" s="27" t="s">
        <v>8</v>
      </c>
      <c r="BX697" s="27" t="s">
        <v>7</v>
      </c>
      <c r="CA697" s="27" t="s">
        <v>8</v>
      </c>
      <c r="CB697" s="27" t="s">
        <v>7</v>
      </c>
      <c r="CE697" s="27" t="s">
        <v>8</v>
      </c>
      <c r="CL697" s="27" t="s">
        <v>7</v>
      </c>
      <c r="CM697" s="27" t="s">
        <v>8</v>
      </c>
      <c r="EL697" s="27" t="s">
        <v>7</v>
      </c>
      <c r="EM697" s="27" t="s">
        <v>8</v>
      </c>
      <c r="JH697" s="27" t="s">
        <v>7</v>
      </c>
    </row>
    <row r="698" spans="1:271" x14ac:dyDescent="0.25">
      <c r="A698" s="7">
        <v>0.11101481369352331</v>
      </c>
      <c r="B698"/>
      <c r="C698"/>
      <c r="D698"/>
      <c r="E698"/>
      <c r="R698" s="27" t="s">
        <v>7</v>
      </c>
      <c r="S698" s="27" t="s">
        <v>8</v>
      </c>
      <c r="T698" s="27" t="s">
        <v>7</v>
      </c>
      <c r="U698" s="27" t="s">
        <v>8</v>
      </c>
      <c r="V698" s="27" t="s">
        <v>7</v>
      </c>
      <c r="Y698" s="27" t="s">
        <v>8</v>
      </c>
      <c r="Z698" s="27" t="s">
        <v>7</v>
      </c>
      <c r="AA698" s="27" t="s">
        <v>8</v>
      </c>
      <c r="AB698" s="27" t="s">
        <v>7</v>
      </c>
      <c r="AY698" s="27" t="s">
        <v>8</v>
      </c>
      <c r="AZ698" s="27" t="s">
        <v>7</v>
      </c>
      <c r="BW698" s="27" t="s">
        <v>8</v>
      </c>
      <c r="BX698" s="27" t="s">
        <v>7</v>
      </c>
      <c r="CA698" s="27" t="s">
        <v>8</v>
      </c>
      <c r="CB698" s="27" t="s">
        <v>7</v>
      </c>
      <c r="CE698" s="27" t="s">
        <v>8</v>
      </c>
      <c r="CL698" s="27" t="s">
        <v>7</v>
      </c>
      <c r="CM698" s="27" t="s">
        <v>8</v>
      </c>
      <c r="EL698" s="27" t="s">
        <v>7</v>
      </c>
      <c r="EM698" s="27" t="s">
        <v>8</v>
      </c>
      <c r="JH698" s="27" t="s">
        <v>7</v>
      </c>
    </row>
    <row r="699" spans="1:271" x14ac:dyDescent="0.25">
      <c r="A699" s="7">
        <v>0.10883805264070913</v>
      </c>
      <c r="B699"/>
      <c r="C699"/>
      <c r="D699"/>
      <c r="E699"/>
      <c r="R699" s="27" t="s">
        <v>7</v>
      </c>
      <c r="S699" s="27" t="s">
        <v>8</v>
      </c>
      <c r="T699" s="27" t="s">
        <v>7</v>
      </c>
      <c r="U699" s="27" t="s">
        <v>8</v>
      </c>
      <c r="V699" s="27" t="s">
        <v>7</v>
      </c>
      <c r="W699" s="27" t="s">
        <v>8</v>
      </c>
      <c r="Y699" s="27" t="s">
        <v>8</v>
      </c>
      <c r="Z699" s="27" t="s">
        <v>7</v>
      </c>
      <c r="AA699" s="27" t="s">
        <v>8</v>
      </c>
      <c r="AB699" s="27" t="s">
        <v>7</v>
      </c>
      <c r="AM699" s="27" t="s">
        <v>8</v>
      </c>
      <c r="AU699" s="27" t="s">
        <v>8</v>
      </c>
      <c r="AY699" s="27" t="s">
        <v>8</v>
      </c>
      <c r="AZ699" s="27" t="s">
        <v>7</v>
      </c>
      <c r="BW699" s="27" t="s">
        <v>8</v>
      </c>
      <c r="BX699" s="27" t="s">
        <v>7</v>
      </c>
      <c r="CA699" s="27" t="s">
        <v>8</v>
      </c>
      <c r="CB699" s="27" t="s">
        <v>7</v>
      </c>
      <c r="CE699" s="27" t="s">
        <v>8</v>
      </c>
      <c r="CL699" s="27" t="s">
        <v>7</v>
      </c>
      <c r="CM699" s="27" t="s">
        <v>8</v>
      </c>
      <c r="EL699" s="27" t="s">
        <v>7</v>
      </c>
      <c r="EM699" s="27" t="s">
        <v>8</v>
      </c>
      <c r="JH699" s="27" t="s">
        <v>7</v>
      </c>
    </row>
    <row r="700" spans="1:271" x14ac:dyDescent="0.25">
      <c r="A700" s="7">
        <v>0.10670397317716582</v>
      </c>
      <c r="B700"/>
      <c r="C700"/>
      <c r="D700"/>
      <c r="E700"/>
      <c r="R700" s="27" t="s">
        <v>7</v>
      </c>
      <c r="S700" s="27" t="s">
        <v>8</v>
      </c>
      <c r="T700" s="27" t="s">
        <v>7</v>
      </c>
      <c r="U700" s="27" t="s">
        <v>8</v>
      </c>
      <c r="V700" s="27" t="s">
        <v>7</v>
      </c>
      <c r="W700" s="27" t="s">
        <v>8</v>
      </c>
      <c r="X700" s="27" t="s">
        <v>7</v>
      </c>
      <c r="Y700" s="27" t="s">
        <v>8</v>
      </c>
      <c r="Z700" s="27" t="s">
        <v>7</v>
      </c>
      <c r="AA700" s="27" t="s">
        <v>8</v>
      </c>
      <c r="AB700" s="27" t="s">
        <v>7</v>
      </c>
      <c r="AM700" s="27" t="s">
        <v>8</v>
      </c>
      <c r="AN700" s="27" t="s">
        <v>7</v>
      </c>
      <c r="AU700" s="27" t="s">
        <v>8</v>
      </c>
      <c r="AV700" s="27" t="s">
        <v>7</v>
      </c>
      <c r="AY700" s="27" t="s">
        <v>8</v>
      </c>
      <c r="AZ700" s="27" t="s">
        <v>7</v>
      </c>
      <c r="BW700" s="27" t="s">
        <v>8</v>
      </c>
      <c r="BX700" s="27" t="s">
        <v>7</v>
      </c>
      <c r="CA700" s="27" t="s">
        <v>8</v>
      </c>
      <c r="CB700" s="27" t="s">
        <v>7</v>
      </c>
      <c r="CE700" s="27" t="s">
        <v>8</v>
      </c>
      <c r="CL700" s="27" t="s">
        <v>7</v>
      </c>
      <c r="CM700" s="27" t="s">
        <v>8</v>
      </c>
      <c r="EL700" s="27" t="s">
        <v>7</v>
      </c>
      <c r="JH700" s="27" t="s">
        <v>7</v>
      </c>
    </row>
    <row r="701" spans="1:271" x14ac:dyDescent="0.25">
      <c r="A701" s="7">
        <v>0.1046117384089861</v>
      </c>
      <c r="B701"/>
      <c r="C701"/>
      <c r="D701"/>
      <c r="E701"/>
      <c r="R701" s="27" t="s">
        <v>7</v>
      </c>
      <c r="S701" s="27" t="s">
        <v>8</v>
      </c>
      <c r="T701" s="27" t="s">
        <v>7</v>
      </c>
      <c r="U701" s="27" t="s">
        <v>8</v>
      </c>
      <c r="V701" s="27" t="s">
        <v>7</v>
      </c>
      <c r="W701" s="27" t="s">
        <v>8</v>
      </c>
      <c r="X701" s="27" t="s">
        <v>7</v>
      </c>
      <c r="Y701" s="27" t="s">
        <v>8</v>
      </c>
      <c r="Z701" s="27" t="s">
        <v>7</v>
      </c>
      <c r="AA701" s="27" t="s">
        <v>8</v>
      </c>
      <c r="AB701" s="27" t="s">
        <v>7</v>
      </c>
      <c r="AM701" s="27" t="s">
        <v>8</v>
      </c>
      <c r="AN701" s="27" t="s">
        <v>7</v>
      </c>
      <c r="AU701" s="27" t="s">
        <v>8</v>
      </c>
      <c r="AV701" s="27" t="s">
        <v>7</v>
      </c>
      <c r="AY701" s="27" t="s">
        <v>8</v>
      </c>
      <c r="AZ701" s="27" t="s">
        <v>7</v>
      </c>
      <c r="BW701" s="27" t="s">
        <v>8</v>
      </c>
      <c r="BX701" s="27" t="s">
        <v>7</v>
      </c>
      <c r="CA701" s="27" t="s">
        <v>8</v>
      </c>
      <c r="CB701" s="27" t="s">
        <v>7</v>
      </c>
      <c r="CE701" s="27" t="s">
        <v>8</v>
      </c>
      <c r="CL701" s="27" t="s">
        <v>7</v>
      </c>
      <c r="CM701" s="27" t="s">
        <v>8</v>
      </c>
      <c r="JH701" s="27" t="s">
        <v>7</v>
      </c>
    </row>
    <row r="702" spans="1:271" x14ac:dyDescent="0.25">
      <c r="A702" s="7">
        <v>0.10256052785194716</v>
      </c>
      <c r="B702"/>
      <c r="C702"/>
      <c r="D702"/>
      <c r="E702"/>
      <c r="R702" s="27" t="s">
        <v>7</v>
      </c>
      <c r="S702" s="27" t="s">
        <v>8</v>
      </c>
      <c r="T702" s="27" t="s">
        <v>7</v>
      </c>
      <c r="U702" s="27" t="s">
        <v>8</v>
      </c>
      <c r="V702" s="27" t="s">
        <v>7</v>
      </c>
      <c r="W702" s="27" t="s">
        <v>8</v>
      </c>
      <c r="X702" s="27" t="s">
        <v>7</v>
      </c>
      <c r="Y702" s="27" t="s">
        <v>8</v>
      </c>
      <c r="Z702" s="27" t="s">
        <v>7</v>
      </c>
      <c r="AA702" s="27" t="s">
        <v>8</v>
      </c>
      <c r="AB702" s="27" t="s">
        <v>7</v>
      </c>
      <c r="AM702" s="27" t="s">
        <v>8</v>
      </c>
      <c r="AN702" s="27" t="s">
        <v>7</v>
      </c>
      <c r="AU702" s="27" t="s">
        <v>8</v>
      </c>
      <c r="AV702" s="27" t="s">
        <v>7</v>
      </c>
      <c r="AY702" s="27" t="s">
        <v>8</v>
      </c>
      <c r="AZ702" s="27" t="s">
        <v>7</v>
      </c>
      <c r="BW702" s="27" t="s">
        <v>8</v>
      </c>
      <c r="BX702" s="27" t="s">
        <v>7</v>
      </c>
      <c r="CA702" s="27" t="s">
        <v>8</v>
      </c>
      <c r="CB702" s="27" t="s">
        <v>7</v>
      </c>
      <c r="CE702" s="27" t="s">
        <v>8</v>
      </c>
      <c r="CL702" s="27" t="s">
        <v>7</v>
      </c>
      <c r="JH702" s="27" t="s">
        <v>7</v>
      </c>
    </row>
    <row r="703" spans="1:271" x14ac:dyDescent="0.25">
      <c r="A703" s="7">
        <v>0.10054953710975212</v>
      </c>
      <c r="B703"/>
      <c r="C703"/>
      <c r="D703"/>
      <c r="E703"/>
      <c r="R703" s="27" t="s">
        <v>7</v>
      </c>
      <c r="S703" s="27" t="s">
        <v>8</v>
      </c>
      <c r="T703" s="27" t="s">
        <v>7</v>
      </c>
      <c r="V703" s="27" t="s">
        <v>7</v>
      </c>
      <c r="X703" s="27" t="s">
        <v>7</v>
      </c>
      <c r="Y703" s="27" t="s">
        <v>8</v>
      </c>
      <c r="Z703" s="27" t="s">
        <v>7</v>
      </c>
      <c r="AA703" s="27" t="s">
        <v>8</v>
      </c>
      <c r="AB703" s="27" t="s">
        <v>7</v>
      </c>
      <c r="AM703" s="27" t="s">
        <v>8</v>
      </c>
      <c r="AN703" s="27" t="s">
        <v>7</v>
      </c>
      <c r="AU703" s="27" t="s">
        <v>8</v>
      </c>
      <c r="AV703" s="27" t="s">
        <v>7</v>
      </c>
      <c r="AY703" s="27" t="s">
        <v>8</v>
      </c>
      <c r="AZ703" s="27" t="s">
        <v>7</v>
      </c>
      <c r="BW703" s="27" t="s">
        <v>8</v>
      </c>
      <c r="BX703" s="27" t="s">
        <v>7</v>
      </c>
      <c r="CA703" s="27" t="s">
        <v>8</v>
      </c>
      <c r="CB703" s="27" t="s">
        <v>7</v>
      </c>
      <c r="CE703" s="27" t="s">
        <v>8</v>
      </c>
      <c r="JH703" s="27" t="s">
        <v>7</v>
      </c>
      <c r="JI703" s="27" t="s">
        <v>8</v>
      </c>
      <c r="JK703" s="27" t="s">
        <v>8</v>
      </c>
    </row>
    <row r="704" spans="1:271" x14ac:dyDescent="0.25">
      <c r="A704" s="7">
        <v>9.8577977558580512E-2</v>
      </c>
      <c r="B704"/>
      <c r="C704"/>
      <c r="D704"/>
      <c r="E704"/>
      <c r="R704" s="27" t="s">
        <v>7</v>
      </c>
      <c r="X704" s="27" t="s">
        <v>7</v>
      </c>
      <c r="Z704" s="27" t="s">
        <v>7</v>
      </c>
      <c r="AA704" s="27" t="s">
        <v>8</v>
      </c>
      <c r="AB704" s="27" t="s">
        <v>7</v>
      </c>
      <c r="AM704" s="27" t="s">
        <v>8</v>
      </c>
      <c r="AN704" s="27" t="s">
        <v>7</v>
      </c>
      <c r="AU704" s="27" t="s">
        <v>8</v>
      </c>
      <c r="AV704" s="27" t="s">
        <v>7</v>
      </c>
      <c r="AY704" s="27" t="s">
        <v>8</v>
      </c>
      <c r="AZ704" s="27" t="s">
        <v>7</v>
      </c>
      <c r="BW704" s="27" t="s">
        <v>8</v>
      </c>
      <c r="BX704" s="27" t="s">
        <v>7</v>
      </c>
      <c r="CA704" s="27" t="s">
        <v>8</v>
      </c>
      <c r="CB704" s="27" t="s">
        <v>7</v>
      </c>
      <c r="CC704" s="27" t="s">
        <v>8</v>
      </c>
      <c r="CE704" s="27" t="s">
        <v>8</v>
      </c>
      <c r="JH704" s="27" t="s">
        <v>7</v>
      </c>
      <c r="JI704" s="27" t="s">
        <v>8</v>
      </c>
      <c r="JJ704" s="27" t="s">
        <v>7</v>
      </c>
      <c r="JK704" s="27" t="s">
        <v>8</v>
      </c>
    </row>
    <row r="705" spans="1:271" x14ac:dyDescent="0.25">
      <c r="A705" s="7">
        <v>9.6645076037824032E-2</v>
      </c>
      <c r="B705"/>
      <c r="C705"/>
      <c r="D705"/>
      <c r="E705"/>
      <c r="Z705" s="27" t="s">
        <v>7</v>
      </c>
      <c r="AA705" s="27" t="s">
        <v>8</v>
      </c>
      <c r="AB705" s="27" t="s">
        <v>7</v>
      </c>
      <c r="AM705" s="27" t="s">
        <v>8</v>
      </c>
      <c r="AN705" s="27" t="s">
        <v>7</v>
      </c>
      <c r="AU705" s="27" t="s">
        <v>8</v>
      </c>
      <c r="AV705" s="27" t="s">
        <v>7</v>
      </c>
      <c r="AY705" s="27" t="s">
        <v>8</v>
      </c>
      <c r="AZ705" s="27" t="s">
        <v>7</v>
      </c>
      <c r="BW705" s="27" t="s">
        <v>8</v>
      </c>
      <c r="BX705" s="27" t="s">
        <v>7</v>
      </c>
      <c r="CA705" s="27" t="s">
        <v>8</v>
      </c>
      <c r="CB705" s="27" t="s">
        <v>7</v>
      </c>
      <c r="CC705" s="27" t="s">
        <v>8</v>
      </c>
      <c r="CD705" s="27" t="s">
        <v>7</v>
      </c>
      <c r="CE705" s="27" t="s">
        <v>8</v>
      </c>
      <c r="JH705" s="27" t="s">
        <v>7</v>
      </c>
      <c r="JI705" s="27" t="s">
        <v>8</v>
      </c>
      <c r="JJ705" s="27" t="s">
        <v>7</v>
      </c>
      <c r="JK705" s="27" t="s">
        <v>8</v>
      </c>
    </row>
    <row r="706" spans="1:271" x14ac:dyDescent="0.25">
      <c r="A706" s="7">
        <v>9.4750074546886304E-2</v>
      </c>
      <c r="B706"/>
      <c r="C706"/>
      <c r="D706"/>
      <c r="E706"/>
      <c r="Z706" s="27" t="s">
        <v>7</v>
      </c>
      <c r="AB706" s="27" t="s">
        <v>7</v>
      </c>
      <c r="AM706" s="27" t="s">
        <v>8</v>
      </c>
      <c r="AN706" s="27" t="s">
        <v>7</v>
      </c>
      <c r="AO706" s="27" t="s">
        <v>8</v>
      </c>
      <c r="AU706" s="27" t="s">
        <v>8</v>
      </c>
      <c r="AV706" s="27" t="s">
        <v>7</v>
      </c>
      <c r="AY706" s="27" t="s">
        <v>8</v>
      </c>
      <c r="AZ706" s="27" t="s">
        <v>7</v>
      </c>
      <c r="BG706" s="27" t="s">
        <v>8</v>
      </c>
      <c r="BW706" s="27" t="s">
        <v>8</v>
      </c>
      <c r="BX706" s="27" t="s">
        <v>7</v>
      </c>
      <c r="CA706" s="27" t="s">
        <v>8</v>
      </c>
      <c r="CB706" s="27" t="s">
        <v>7</v>
      </c>
      <c r="CC706" s="27" t="s">
        <v>8</v>
      </c>
      <c r="CD706" s="27" t="s">
        <v>7</v>
      </c>
      <c r="CE706" s="27" t="s">
        <v>8</v>
      </c>
      <c r="JH706" s="27" t="s">
        <v>7</v>
      </c>
      <c r="JI706" s="27" t="s">
        <v>8</v>
      </c>
      <c r="JJ706" s="27" t="s">
        <v>7</v>
      </c>
      <c r="JK706" s="27" t="s">
        <v>8</v>
      </c>
    </row>
    <row r="707" spans="1:271" x14ac:dyDescent="0.25">
      <c r="A707" s="7">
        <v>9.2892229947927743E-2</v>
      </c>
      <c r="B707"/>
      <c r="C707"/>
      <c r="D707"/>
      <c r="E707"/>
      <c r="AB707" s="27" t="s">
        <v>7</v>
      </c>
      <c r="AM707" s="27" t="s">
        <v>8</v>
      </c>
      <c r="AN707" s="27" t="s">
        <v>7</v>
      </c>
      <c r="AO707" s="27" t="s">
        <v>8</v>
      </c>
      <c r="AP707" s="27" t="s">
        <v>7</v>
      </c>
      <c r="AU707" s="27" t="s">
        <v>8</v>
      </c>
      <c r="AV707" s="27" t="s">
        <v>7</v>
      </c>
      <c r="AY707" s="27" t="s">
        <v>8</v>
      </c>
      <c r="AZ707" s="27" t="s">
        <v>7</v>
      </c>
      <c r="BG707" s="27" t="s">
        <v>8</v>
      </c>
      <c r="BH707" s="27" t="s">
        <v>7</v>
      </c>
      <c r="BW707" s="27" t="s">
        <v>8</v>
      </c>
      <c r="BX707" s="27" t="s">
        <v>7</v>
      </c>
      <c r="BY707" s="27" t="s">
        <v>8</v>
      </c>
      <c r="CA707" s="27" t="s">
        <v>8</v>
      </c>
      <c r="CB707" s="27" t="s">
        <v>7</v>
      </c>
      <c r="CC707" s="27" t="s">
        <v>8</v>
      </c>
      <c r="CD707" s="27" t="s">
        <v>7</v>
      </c>
      <c r="CE707" s="27" t="s">
        <v>8</v>
      </c>
      <c r="JH707" s="27" t="s">
        <v>7</v>
      </c>
      <c r="JI707" s="27" t="s">
        <v>8</v>
      </c>
      <c r="JJ707" s="27" t="s">
        <v>7</v>
      </c>
      <c r="JK707" s="27" t="s">
        <v>8</v>
      </c>
    </row>
    <row r="708" spans="1:271" x14ac:dyDescent="0.25">
      <c r="A708" s="7">
        <v>9.1070813674438963E-2</v>
      </c>
      <c r="B708"/>
      <c r="C708"/>
      <c r="D708"/>
      <c r="E708"/>
      <c r="AB708" s="27" t="s">
        <v>7</v>
      </c>
      <c r="AM708" s="27" t="s">
        <v>8</v>
      </c>
      <c r="AN708" s="27" t="s">
        <v>7</v>
      </c>
      <c r="AO708" s="27" t="s">
        <v>8</v>
      </c>
      <c r="AP708" s="27" t="s">
        <v>7</v>
      </c>
      <c r="AU708" s="27" t="s">
        <v>8</v>
      </c>
      <c r="AV708" s="27" t="s">
        <v>7</v>
      </c>
      <c r="AY708" s="27" t="s">
        <v>8</v>
      </c>
      <c r="AZ708" s="27" t="s">
        <v>7</v>
      </c>
      <c r="BG708" s="27" t="s">
        <v>8</v>
      </c>
      <c r="BH708" s="27" t="s">
        <v>7</v>
      </c>
      <c r="BW708" s="27" t="s">
        <v>8</v>
      </c>
      <c r="BX708" s="27" t="s">
        <v>7</v>
      </c>
      <c r="BY708" s="27" t="s">
        <v>8</v>
      </c>
      <c r="BZ708" s="27" t="s">
        <v>7</v>
      </c>
      <c r="CA708" s="27" t="s">
        <v>8</v>
      </c>
      <c r="CB708" s="27" t="s">
        <v>7</v>
      </c>
      <c r="CC708" s="27" t="s">
        <v>8</v>
      </c>
      <c r="CD708" s="27" t="s">
        <v>7</v>
      </c>
      <c r="CE708" s="27" t="s">
        <v>8</v>
      </c>
      <c r="JH708" s="27" t="s">
        <v>7</v>
      </c>
      <c r="JI708" s="27" t="s">
        <v>8</v>
      </c>
      <c r="JJ708" s="27" t="s">
        <v>7</v>
      </c>
      <c r="JK708" s="27" t="s">
        <v>8</v>
      </c>
    </row>
    <row r="709" spans="1:271" x14ac:dyDescent="0.25">
      <c r="A709" s="7">
        <v>8.9285111445528392E-2</v>
      </c>
      <c r="B709"/>
      <c r="C709"/>
      <c r="D709"/>
      <c r="E709"/>
      <c r="AB709" s="27" t="s">
        <v>7</v>
      </c>
      <c r="AI709" s="27" t="s">
        <v>8</v>
      </c>
      <c r="AM709" s="27" t="s">
        <v>8</v>
      </c>
      <c r="AN709" s="27" t="s">
        <v>7</v>
      </c>
      <c r="AO709" s="27" t="s">
        <v>8</v>
      </c>
      <c r="AP709" s="27" t="s">
        <v>7</v>
      </c>
      <c r="AU709" s="27" t="s">
        <v>8</v>
      </c>
      <c r="AV709" s="27" t="s">
        <v>7</v>
      </c>
      <c r="AY709" s="27" t="s">
        <v>8</v>
      </c>
      <c r="AZ709" s="27" t="s">
        <v>7</v>
      </c>
      <c r="BG709" s="27" t="s">
        <v>8</v>
      </c>
      <c r="BH709" s="27" t="s">
        <v>7</v>
      </c>
      <c r="BW709" s="27" t="s">
        <v>8</v>
      </c>
      <c r="BX709" s="27" t="s">
        <v>7</v>
      </c>
      <c r="BY709" s="27" t="s">
        <v>8</v>
      </c>
      <c r="BZ709" s="27" t="s">
        <v>7</v>
      </c>
      <c r="CA709" s="27" t="s">
        <v>8</v>
      </c>
      <c r="CB709" s="27" t="s">
        <v>7</v>
      </c>
      <c r="CD709" s="27" t="s">
        <v>7</v>
      </c>
      <c r="CE709" s="27" t="s">
        <v>8</v>
      </c>
      <c r="JH709" s="27" t="s">
        <v>7</v>
      </c>
      <c r="JJ709" s="27" t="s">
        <v>7</v>
      </c>
      <c r="JK709" s="27" t="s">
        <v>8</v>
      </c>
    </row>
    <row r="710" spans="1:271" x14ac:dyDescent="0.25">
      <c r="A710" s="7">
        <v>8.7534422985812155E-2</v>
      </c>
      <c r="B710"/>
      <c r="C710"/>
      <c r="D710"/>
      <c r="E710"/>
      <c r="AB710" s="27" t="s">
        <v>7</v>
      </c>
      <c r="AI710" s="27" t="s">
        <v>8</v>
      </c>
      <c r="AJ710" s="27" t="s">
        <v>7</v>
      </c>
      <c r="AK710" s="27" t="s">
        <v>8</v>
      </c>
      <c r="AM710" s="27" t="s">
        <v>8</v>
      </c>
      <c r="AN710" s="27" t="s">
        <v>7</v>
      </c>
      <c r="AO710" s="27" t="s">
        <v>8</v>
      </c>
      <c r="AP710" s="27" t="s">
        <v>7</v>
      </c>
      <c r="AU710" s="27" t="s">
        <v>8</v>
      </c>
      <c r="AV710" s="27" t="s">
        <v>7</v>
      </c>
      <c r="AY710" s="27" t="s">
        <v>8</v>
      </c>
      <c r="AZ710" s="27" t="s">
        <v>7</v>
      </c>
      <c r="BG710" s="27" t="s">
        <v>8</v>
      </c>
      <c r="BH710" s="27" t="s">
        <v>7</v>
      </c>
      <c r="BW710" s="27" t="s">
        <v>8</v>
      </c>
      <c r="BX710" s="27" t="s">
        <v>7</v>
      </c>
      <c r="BY710" s="27" t="s">
        <v>8</v>
      </c>
      <c r="BZ710" s="27" t="s">
        <v>7</v>
      </c>
      <c r="CA710" s="27" t="s">
        <v>8</v>
      </c>
      <c r="CD710" s="27" t="s">
        <v>7</v>
      </c>
      <c r="JJ710" s="27" t="s">
        <v>7</v>
      </c>
      <c r="JK710" s="27" t="s">
        <v>8</v>
      </c>
    </row>
    <row r="711" spans="1:271" x14ac:dyDescent="0.25">
      <c r="A711" s="7">
        <v>8.5818061750796232E-2</v>
      </c>
      <c r="B711"/>
      <c r="C711"/>
      <c r="D711"/>
      <c r="E711"/>
      <c r="AB711" s="27" t="s">
        <v>7</v>
      </c>
      <c r="AI711" s="27" t="s">
        <v>8</v>
      </c>
      <c r="AJ711" s="27" t="s">
        <v>7</v>
      </c>
      <c r="AK711" s="27" t="s">
        <v>8</v>
      </c>
      <c r="AL711" s="27" t="s">
        <v>7</v>
      </c>
      <c r="AM711" s="27" t="s">
        <v>8</v>
      </c>
      <c r="AN711" s="27" t="s">
        <v>7</v>
      </c>
      <c r="AO711" s="27" t="s">
        <v>8</v>
      </c>
      <c r="AP711" s="27" t="s">
        <v>7</v>
      </c>
      <c r="AU711" s="27" t="s">
        <v>8</v>
      </c>
      <c r="AV711" s="27" t="s">
        <v>7</v>
      </c>
      <c r="AY711" s="27" t="s">
        <v>8</v>
      </c>
      <c r="AZ711" s="27" t="s">
        <v>7</v>
      </c>
      <c r="BG711" s="27" t="s">
        <v>8</v>
      </c>
      <c r="BH711" s="27" t="s">
        <v>7</v>
      </c>
      <c r="BW711" s="27" t="s">
        <v>8</v>
      </c>
      <c r="BX711" s="27" t="s">
        <v>7</v>
      </c>
      <c r="BY711" s="27" t="s">
        <v>8</v>
      </c>
      <c r="BZ711" s="27" t="s">
        <v>7</v>
      </c>
      <c r="CA711" s="27" t="s">
        <v>8</v>
      </c>
      <c r="JJ711" s="27" t="s">
        <v>7</v>
      </c>
      <c r="JK711" s="27" t="s">
        <v>8</v>
      </c>
    </row>
    <row r="712" spans="1:271" x14ac:dyDescent="0.25">
      <c r="A712" s="7">
        <v>8.4135354657643366E-2</v>
      </c>
      <c r="B712"/>
      <c r="C712"/>
      <c r="D712"/>
      <c r="E712"/>
      <c r="AB712" s="27" t="s">
        <v>7</v>
      </c>
      <c r="AI712" s="27" t="s">
        <v>8</v>
      </c>
      <c r="AJ712" s="27" t="s">
        <v>7</v>
      </c>
      <c r="AK712" s="27" t="s">
        <v>8</v>
      </c>
      <c r="AL712" s="27" t="s">
        <v>7</v>
      </c>
      <c r="AM712" s="27" t="s">
        <v>8</v>
      </c>
      <c r="AN712" s="27" t="s">
        <v>7</v>
      </c>
      <c r="AO712" s="27" t="s">
        <v>8</v>
      </c>
      <c r="AP712" s="27" t="s">
        <v>7</v>
      </c>
      <c r="AQ712" s="27" t="s">
        <v>8</v>
      </c>
      <c r="AU712" s="27" t="s">
        <v>8</v>
      </c>
      <c r="AV712" s="27" t="s">
        <v>7</v>
      </c>
      <c r="AW712" s="27" t="s">
        <v>8</v>
      </c>
      <c r="AY712" s="27" t="s">
        <v>8</v>
      </c>
      <c r="AZ712" s="27" t="s">
        <v>7</v>
      </c>
      <c r="BG712" s="27" t="s">
        <v>8</v>
      </c>
      <c r="BH712" s="27" t="s">
        <v>7</v>
      </c>
      <c r="BW712" s="27" t="s">
        <v>8</v>
      </c>
      <c r="BX712" s="27" t="s">
        <v>7</v>
      </c>
      <c r="BY712" s="27" t="s">
        <v>8</v>
      </c>
      <c r="BZ712" s="27" t="s">
        <v>7</v>
      </c>
      <c r="CA712" s="27" t="s">
        <v>8</v>
      </c>
      <c r="JJ712" s="27" t="s">
        <v>7</v>
      </c>
    </row>
    <row r="713" spans="1:271" x14ac:dyDescent="0.25">
      <c r="A713" s="7">
        <v>8.248564182121898E-2</v>
      </c>
      <c r="B713"/>
      <c r="C713"/>
      <c r="D713"/>
      <c r="E713"/>
      <c r="AB713" s="27" t="s">
        <v>7</v>
      </c>
      <c r="AI713" s="27" t="s">
        <v>8</v>
      </c>
      <c r="AJ713" s="27" t="s">
        <v>7</v>
      </c>
      <c r="AK713" s="27" t="s">
        <v>8</v>
      </c>
      <c r="AL713" s="27" t="s">
        <v>7</v>
      </c>
      <c r="AM713" s="27" t="s">
        <v>8</v>
      </c>
      <c r="AN713" s="27" t="s">
        <v>7</v>
      </c>
      <c r="AO713" s="27" t="s">
        <v>8</v>
      </c>
      <c r="AP713" s="27" t="s">
        <v>7</v>
      </c>
      <c r="AQ713" s="27" t="s">
        <v>8</v>
      </c>
      <c r="AR713" s="27" t="s">
        <v>7</v>
      </c>
      <c r="AU713" s="27" t="s">
        <v>8</v>
      </c>
      <c r="AV713" s="27" t="s">
        <v>7</v>
      </c>
      <c r="AW713" s="27" t="s">
        <v>8</v>
      </c>
      <c r="AX713" s="27" t="s">
        <v>7</v>
      </c>
      <c r="AY713" s="27" t="s">
        <v>8</v>
      </c>
      <c r="AZ713" s="27" t="s">
        <v>7</v>
      </c>
      <c r="BC713" s="27" t="s">
        <v>8</v>
      </c>
      <c r="BG713" s="27" t="s">
        <v>8</v>
      </c>
      <c r="BH713" s="27" t="s">
        <v>7</v>
      </c>
      <c r="BQ713" s="27" t="s">
        <v>8</v>
      </c>
      <c r="BW713" s="27" t="s">
        <v>8</v>
      </c>
      <c r="BX713" s="27" t="s">
        <v>7</v>
      </c>
      <c r="BY713" s="27" t="s">
        <v>8</v>
      </c>
      <c r="BZ713" s="27" t="s">
        <v>7</v>
      </c>
      <c r="CA713" s="27" t="s">
        <v>8</v>
      </c>
    </row>
    <row r="714" spans="1:271" x14ac:dyDescent="0.25">
      <c r="A714" s="7">
        <v>8.0868276295312735E-2</v>
      </c>
      <c r="B714"/>
      <c r="C714"/>
      <c r="D714"/>
      <c r="E714"/>
      <c r="AB714" s="27" t="s">
        <v>7</v>
      </c>
      <c r="AC714" s="27" t="s">
        <v>8</v>
      </c>
      <c r="AI714" s="27" t="s">
        <v>8</v>
      </c>
      <c r="AJ714" s="27" t="s">
        <v>7</v>
      </c>
      <c r="AL714" s="27" t="s">
        <v>7</v>
      </c>
      <c r="AM714" s="27" t="s">
        <v>8</v>
      </c>
      <c r="AN714" s="27" t="s">
        <v>7</v>
      </c>
      <c r="AO714" s="27" t="s">
        <v>8</v>
      </c>
      <c r="AP714" s="27" t="s">
        <v>7</v>
      </c>
      <c r="AQ714" s="27" t="s">
        <v>8</v>
      </c>
      <c r="AR714" s="27" t="s">
        <v>7</v>
      </c>
      <c r="AS714" s="27" t="s">
        <v>8</v>
      </c>
      <c r="AU714" s="27" t="s">
        <v>8</v>
      </c>
      <c r="AV714" s="27" t="s">
        <v>7</v>
      </c>
      <c r="AW714" s="27" t="s">
        <v>8</v>
      </c>
      <c r="AX714" s="27" t="s">
        <v>7</v>
      </c>
      <c r="AY714" s="27" t="s">
        <v>8</v>
      </c>
      <c r="AZ714" s="27" t="s">
        <v>7</v>
      </c>
      <c r="BC714" s="27" t="s">
        <v>8</v>
      </c>
      <c r="BD714" s="27" t="s">
        <v>7</v>
      </c>
      <c r="BG714" s="27" t="s">
        <v>8</v>
      </c>
      <c r="BH714" s="27" t="s">
        <v>7</v>
      </c>
      <c r="BQ714" s="27" t="s">
        <v>8</v>
      </c>
      <c r="BR714" s="27" t="s">
        <v>7</v>
      </c>
      <c r="BU714" s="27" t="s">
        <v>8</v>
      </c>
      <c r="BW714" s="27" t="s">
        <v>8</v>
      </c>
      <c r="BX714" s="27" t="s">
        <v>7</v>
      </c>
      <c r="BY714" s="27" t="s">
        <v>8</v>
      </c>
      <c r="BZ714" s="27" t="s">
        <v>7</v>
      </c>
      <c r="CA714" s="27" t="s">
        <v>8</v>
      </c>
    </row>
    <row r="715" spans="1:271" x14ac:dyDescent="0.25">
      <c r="A715" s="7">
        <v>7.9282623818934056E-2</v>
      </c>
      <c r="B715"/>
      <c r="C715"/>
      <c r="D715"/>
      <c r="E715"/>
      <c r="AB715" s="27" t="s">
        <v>7</v>
      </c>
      <c r="AC715" s="27" t="s">
        <v>8</v>
      </c>
      <c r="AD715" s="27" t="s">
        <v>7</v>
      </c>
      <c r="AE715" s="27" t="s">
        <v>8</v>
      </c>
      <c r="AI715" s="27" t="s">
        <v>8</v>
      </c>
      <c r="AL715" s="27" t="s">
        <v>7</v>
      </c>
      <c r="AM715" s="27" t="s">
        <v>8</v>
      </c>
      <c r="AN715" s="27" t="s">
        <v>7</v>
      </c>
      <c r="AO715" s="27" t="s">
        <v>8</v>
      </c>
      <c r="AP715" s="27" t="s">
        <v>7</v>
      </c>
      <c r="AQ715" s="27" t="s">
        <v>8</v>
      </c>
      <c r="AR715" s="27" t="s">
        <v>7</v>
      </c>
      <c r="AS715" s="27" t="s">
        <v>8</v>
      </c>
      <c r="AT715" s="27" t="s">
        <v>7</v>
      </c>
      <c r="AU715" s="27" t="s">
        <v>8</v>
      </c>
      <c r="AV715" s="27" t="s">
        <v>7</v>
      </c>
      <c r="AX715" s="27" t="s">
        <v>7</v>
      </c>
      <c r="AY715" s="27" t="s">
        <v>8</v>
      </c>
      <c r="AZ715" s="27" t="s">
        <v>7</v>
      </c>
      <c r="BC715" s="27" t="s">
        <v>8</v>
      </c>
      <c r="BD715" s="27" t="s">
        <v>7</v>
      </c>
      <c r="BG715" s="27" t="s">
        <v>8</v>
      </c>
      <c r="BH715" s="27" t="s">
        <v>7</v>
      </c>
      <c r="BO715" s="27" t="s">
        <v>8</v>
      </c>
      <c r="BQ715" s="27" t="s">
        <v>8</v>
      </c>
      <c r="BR715" s="27" t="s">
        <v>7</v>
      </c>
      <c r="BU715" s="27" t="s">
        <v>8</v>
      </c>
      <c r="BV715" s="27" t="s">
        <v>7</v>
      </c>
      <c r="BW715" s="27" t="s">
        <v>8</v>
      </c>
      <c r="BX715" s="27" t="s">
        <v>7</v>
      </c>
      <c r="BY715" s="27" t="s">
        <v>8</v>
      </c>
      <c r="BZ715" s="27" t="s">
        <v>7</v>
      </c>
    </row>
    <row r="716" spans="1:271" x14ac:dyDescent="0.25">
      <c r="A716" s="7">
        <v>7.7728062567582412E-2</v>
      </c>
      <c r="B716"/>
      <c r="C716"/>
      <c r="D716"/>
      <c r="E716"/>
      <c r="AB716" s="27" t="s">
        <v>7</v>
      </c>
      <c r="AC716" s="27" t="s">
        <v>8</v>
      </c>
      <c r="AD716" s="27" t="s">
        <v>7</v>
      </c>
      <c r="AE716" s="27" t="s">
        <v>8</v>
      </c>
      <c r="AF716" s="27" t="s">
        <v>7</v>
      </c>
      <c r="AG716" s="27" t="s">
        <v>8</v>
      </c>
      <c r="AI716" s="27" t="s">
        <v>8</v>
      </c>
      <c r="AL716" s="27" t="s">
        <v>7</v>
      </c>
      <c r="AM716" s="27" t="s">
        <v>8</v>
      </c>
      <c r="AN716" s="27" t="s">
        <v>7</v>
      </c>
      <c r="AO716" s="27" t="s">
        <v>8</v>
      </c>
      <c r="AP716" s="27" t="s">
        <v>7</v>
      </c>
      <c r="AQ716" s="27" t="s">
        <v>8</v>
      </c>
      <c r="AR716" s="27" t="s">
        <v>7</v>
      </c>
      <c r="AS716" s="27" t="s">
        <v>8</v>
      </c>
      <c r="AT716" s="27" t="s">
        <v>7</v>
      </c>
      <c r="AU716" s="27" t="s">
        <v>8</v>
      </c>
      <c r="AX716" s="27" t="s">
        <v>7</v>
      </c>
      <c r="AZ716" s="27" t="s">
        <v>7</v>
      </c>
      <c r="BC716" s="27" t="s">
        <v>8</v>
      </c>
      <c r="BD716" s="27" t="s">
        <v>7</v>
      </c>
      <c r="BG716" s="27" t="s">
        <v>8</v>
      </c>
      <c r="BH716" s="27" t="s">
        <v>7</v>
      </c>
      <c r="BO716" s="27" t="s">
        <v>8</v>
      </c>
      <c r="BP716" s="27" t="s">
        <v>7</v>
      </c>
      <c r="BQ716" s="27" t="s">
        <v>8</v>
      </c>
      <c r="BR716" s="27" t="s">
        <v>7</v>
      </c>
      <c r="BS716" s="27" t="s">
        <v>8</v>
      </c>
      <c r="BU716" s="27" t="s">
        <v>8</v>
      </c>
      <c r="BV716" s="27" t="s">
        <v>7</v>
      </c>
      <c r="BW716" s="27" t="s">
        <v>8</v>
      </c>
      <c r="BX716" s="27" t="s">
        <v>7</v>
      </c>
      <c r="BY716" s="27" t="s">
        <v>8</v>
      </c>
    </row>
    <row r="717" spans="1:271" x14ac:dyDescent="0.25">
      <c r="A717" s="7">
        <v>7.6203982909394521E-2</v>
      </c>
      <c r="B717"/>
      <c r="C717"/>
      <c r="D717"/>
      <c r="E717"/>
      <c r="AB717" s="27" t="s">
        <v>7</v>
      </c>
      <c r="AC717" s="27" t="s">
        <v>8</v>
      </c>
      <c r="AD717" s="27" t="s">
        <v>7</v>
      </c>
      <c r="AE717" s="27" t="s">
        <v>8</v>
      </c>
      <c r="AF717" s="27" t="s">
        <v>7</v>
      </c>
      <c r="AG717" s="27" t="s">
        <v>8</v>
      </c>
      <c r="AH717" s="27" t="s">
        <v>7</v>
      </c>
      <c r="AI717" s="27" t="s">
        <v>8</v>
      </c>
      <c r="AL717" s="27" t="s">
        <v>7</v>
      </c>
      <c r="AM717" s="27" t="s">
        <v>8</v>
      </c>
      <c r="AN717" s="27" t="s">
        <v>7</v>
      </c>
      <c r="AP717" s="27" t="s">
        <v>7</v>
      </c>
      <c r="AR717" s="27" t="s">
        <v>7</v>
      </c>
      <c r="AT717" s="27" t="s">
        <v>7</v>
      </c>
      <c r="AU717" s="27" t="s">
        <v>8</v>
      </c>
      <c r="AZ717" s="27" t="s">
        <v>7</v>
      </c>
      <c r="BC717" s="27" t="s">
        <v>8</v>
      </c>
      <c r="BD717" s="27" t="s">
        <v>7</v>
      </c>
      <c r="BG717" s="27" t="s">
        <v>8</v>
      </c>
      <c r="BH717" s="27" t="s">
        <v>7</v>
      </c>
      <c r="BK717" s="27" t="s">
        <v>8</v>
      </c>
      <c r="BO717" s="27" t="s">
        <v>8</v>
      </c>
      <c r="BP717" s="27" t="s">
        <v>7</v>
      </c>
      <c r="BQ717" s="27" t="s">
        <v>8</v>
      </c>
      <c r="BR717" s="27" t="s">
        <v>7</v>
      </c>
      <c r="BS717" s="27" t="s">
        <v>8</v>
      </c>
      <c r="BT717" s="27" t="s">
        <v>7</v>
      </c>
      <c r="BU717" s="27" t="s">
        <v>8</v>
      </c>
      <c r="BV717" s="27" t="s">
        <v>7</v>
      </c>
      <c r="BW717" s="27" t="s">
        <v>8</v>
      </c>
      <c r="BX717" s="27" t="s">
        <v>7</v>
      </c>
      <c r="BY717" s="27" t="s">
        <v>8</v>
      </c>
    </row>
    <row r="718" spans="1:271" x14ac:dyDescent="0.25">
      <c r="A718" s="7">
        <v>7.4709787166073058E-2</v>
      </c>
      <c r="B718"/>
      <c r="C718"/>
      <c r="D718"/>
      <c r="E718"/>
      <c r="AB718" s="27" t="s">
        <v>7</v>
      </c>
      <c r="AC718" s="27" t="s">
        <v>8</v>
      </c>
      <c r="AD718" s="27" t="s">
        <v>7</v>
      </c>
      <c r="AE718" s="27" t="s">
        <v>8</v>
      </c>
      <c r="AF718" s="27" t="s">
        <v>7</v>
      </c>
      <c r="AG718" s="27" t="s">
        <v>8</v>
      </c>
      <c r="AH718" s="27" t="s">
        <v>7</v>
      </c>
      <c r="AI718" s="27" t="s">
        <v>8</v>
      </c>
      <c r="AL718" s="27" t="s">
        <v>7</v>
      </c>
      <c r="AT718" s="27" t="s">
        <v>7</v>
      </c>
      <c r="AZ718" s="27" t="s">
        <v>7</v>
      </c>
      <c r="BC718" s="27" t="s">
        <v>8</v>
      </c>
      <c r="BD718" s="27" t="s">
        <v>7</v>
      </c>
      <c r="BG718" s="27" t="s">
        <v>8</v>
      </c>
      <c r="BH718" s="27" t="s">
        <v>7</v>
      </c>
      <c r="BK718" s="27" t="s">
        <v>8</v>
      </c>
      <c r="BL718" s="27" t="s">
        <v>7</v>
      </c>
      <c r="BO718" s="27" t="s">
        <v>8</v>
      </c>
      <c r="BP718" s="27" t="s">
        <v>7</v>
      </c>
      <c r="BR718" s="27" t="s">
        <v>7</v>
      </c>
      <c r="BS718" s="27" t="s">
        <v>8</v>
      </c>
      <c r="BT718" s="27" t="s">
        <v>7</v>
      </c>
      <c r="BU718" s="27" t="s">
        <v>8</v>
      </c>
      <c r="BV718" s="27" t="s">
        <v>7</v>
      </c>
      <c r="BW718" s="27" t="s">
        <v>8</v>
      </c>
      <c r="BX718" s="27" t="s">
        <v>7</v>
      </c>
      <c r="BY718" s="27" t="s">
        <v>8</v>
      </c>
    </row>
    <row r="719" spans="1:271" x14ac:dyDescent="0.25">
      <c r="A719" s="7">
        <v>7.3244889378503E-2</v>
      </c>
      <c r="B719"/>
      <c r="C719"/>
      <c r="D719"/>
      <c r="E719"/>
      <c r="AB719" s="27" t="s">
        <v>7</v>
      </c>
      <c r="AD719" s="27" t="s">
        <v>7</v>
      </c>
      <c r="AE719" s="27" t="s">
        <v>8</v>
      </c>
      <c r="AF719" s="27" t="s">
        <v>7</v>
      </c>
      <c r="AG719" s="27" t="s">
        <v>8</v>
      </c>
      <c r="AH719" s="27" t="s">
        <v>7</v>
      </c>
      <c r="AI719" s="27" t="s">
        <v>8</v>
      </c>
      <c r="AZ719" s="27" t="s">
        <v>7</v>
      </c>
      <c r="BC719" s="27" t="s">
        <v>8</v>
      </c>
      <c r="BD719" s="27" t="s">
        <v>7</v>
      </c>
      <c r="BG719" s="27" t="s">
        <v>8</v>
      </c>
      <c r="BH719" s="27" t="s">
        <v>7</v>
      </c>
      <c r="BK719" s="27" t="s">
        <v>8</v>
      </c>
      <c r="BL719" s="27" t="s">
        <v>7</v>
      </c>
      <c r="BO719" s="27" t="s">
        <v>8</v>
      </c>
      <c r="BR719" s="27" t="s">
        <v>7</v>
      </c>
      <c r="BS719" s="27" t="s">
        <v>8</v>
      </c>
      <c r="BT719" s="27" t="s">
        <v>7</v>
      </c>
      <c r="BU719" s="27" t="s">
        <v>8</v>
      </c>
      <c r="BV719" s="27" t="s">
        <v>7</v>
      </c>
      <c r="BW719" s="27" t="s">
        <v>8</v>
      </c>
      <c r="BX719" s="27" t="s">
        <v>7</v>
      </c>
      <c r="BY719" s="27" t="s">
        <v>8</v>
      </c>
    </row>
    <row r="720" spans="1:271" x14ac:dyDescent="0.25">
      <c r="A720" s="7">
        <v>7.1808715076963722E-2</v>
      </c>
      <c r="B720"/>
      <c r="C720"/>
      <c r="D720"/>
      <c r="E720"/>
      <c r="AD720" s="27" t="s">
        <v>7</v>
      </c>
      <c r="AE720" s="27" t="s">
        <v>8</v>
      </c>
      <c r="AF720" s="27" t="s">
        <v>7</v>
      </c>
      <c r="AG720" s="27" t="s">
        <v>8</v>
      </c>
      <c r="AH720" s="27" t="s">
        <v>7</v>
      </c>
      <c r="AZ720" s="27" t="s">
        <v>7</v>
      </c>
      <c r="BA720" s="27" t="s">
        <v>8</v>
      </c>
      <c r="BC720" s="27" t="s">
        <v>8</v>
      </c>
      <c r="BD720" s="27" t="s">
        <v>7</v>
      </c>
      <c r="BG720" s="27" t="s">
        <v>8</v>
      </c>
      <c r="BH720" s="27" t="s">
        <v>7</v>
      </c>
      <c r="BK720" s="27" t="s">
        <v>8</v>
      </c>
      <c r="BL720" s="27" t="s">
        <v>7</v>
      </c>
      <c r="BO720" s="27" t="s">
        <v>8</v>
      </c>
      <c r="BR720" s="27" t="s">
        <v>7</v>
      </c>
      <c r="BS720" s="27" t="s">
        <v>8</v>
      </c>
      <c r="BT720" s="27" t="s">
        <v>7</v>
      </c>
      <c r="BU720" s="27" t="s">
        <v>8</v>
      </c>
      <c r="BV720" s="27" t="s">
        <v>7</v>
      </c>
      <c r="BW720" s="27" t="s">
        <v>8</v>
      </c>
      <c r="BX720" s="27" t="s">
        <v>7</v>
      </c>
    </row>
    <row r="721" spans="1:75" x14ac:dyDescent="0.25">
      <c r="A721" s="7">
        <v>7.0400701055846782E-2</v>
      </c>
      <c r="B721"/>
      <c r="C721"/>
      <c r="D721"/>
      <c r="E721"/>
      <c r="AD721" s="27" t="s">
        <v>7</v>
      </c>
      <c r="AE721" s="27" t="s">
        <v>8</v>
      </c>
      <c r="AF721" s="27" t="s">
        <v>7</v>
      </c>
      <c r="AZ721" s="27" t="s">
        <v>7</v>
      </c>
      <c r="BA721" s="27" t="s">
        <v>8</v>
      </c>
      <c r="BB721" s="27" t="s">
        <v>7</v>
      </c>
      <c r="BC721" s="27" t="s">
        <v>8</v>
      </c>
      <c r="BD721" s="27" t="s">
        <v>7</v>
      </c>
      <c r="BG721" s="27" t="s">
        <v>8</v>
      </c>
      <c r="BH721" s="27" t="s">
        <v>7</v>
      </c>
      <c r="BK721" s="27" t="s">
        <v>8</v>
      </c>
      <c r="BL721" s="27" t="s">
        <v>7</v>
      </c>
      <c r="BM721" s="27" t="s">
        <v>8</v>
      </c>
      <c r="BO721" s="27" t="s">
        <v>8</v>
      </c>
      <c r="BR721" s="27" t="s">
        <v>7</v>
      </c>
      <c r="BS721" s="27" t="s">
        <v>8</v>
      </c>
      <c r="BT721" s="27" t="s">
        <v>7</v>
      </c>
      <c r="BU721" s="27" t="s">
        <v>8</v>
      </c>
      <c r="BV721" s="27" t="s">
        <v>7</v>
      </c>
      <c r="BW721" s="27" t="s">
        <v>8</v>
      </c>
    </row>
    <row r="722" spans="1:75" x14ac:dyDescent="0.25">
      <c r="A722" s="7">
        <v>6.9020295152790956E-2</v>
      </c>
      <c r="B722"/>
      <c r="C722"/>
      <c r="D722"/>
      <c r="E722"/>
      <c r="AD722" s="27" t="s">
        <v>7</v>
      </c>
      <c r="AE722" s="27" t="s">
        <v>8</v>
      </c>
      <c r="AZ722" s="27" t="s">
        <v>7</v>
      </c>
      <c r="BA722" s="27" t="s">
        <v>8</v>
      </c>
      <c r="BB722" s="27" t="s">
        <v>7</v>
      </c>
      <c r="BC722" s="27" t="s">
        <v>8</v>
      </c>
      <c r="BD722" s="27" t="s">
        <v>7</v>
      </c>
      <c r="BG722" s="27" t="s">
        <v>8</v>
      </c>
      <c r="BH722" s="27" t="s">
        <v>7</v>
      </c>
      <c r="BI722" s="27" t="s">
        <v>8</v>
      </c>
      <c r="BK722" s="27" t="s">
        <v>8</v>
      </c>
      <c r="BL722" s="27" t="s">
        <v>7</v>
      </c>
      <c r="BM722" s="27" t="s">
        <v>8</v>
      </c>
      <c r="BN722" s="27" t="s">
        <v>7</v>
      </c>
      <c r="BO722" s="27" t="s">
        <v>8</v>
      </c>
      <c r="BR722" s="27" t="s">
        <v>7</v>
      </c>
      <c r="BT722" s="27" t="s">
        <v>7</v>
      </c>
      <c r="BV722" s="27" t="s">
        <v>7</v>
      </c>
      <c r="BW722" s="27" t="s">
        <v>8</v>
      </c>
    </row>
    <row r="723" spans="1:75" x14ac:dyDescent="0.25">
      <c r="A723" s="7">
        <v>6.7666956032147993E-2</v>
      </c>
      <c r="B723"/>
      <c r="C723"/>
      <c r="D723"/>
      <c r="E723"/>
      <c r="AD723" s="27" t="s">
        <v>7</v>
      </c>
      <c r="AZ723" s="27" t="s">
        <v>7</v>
      </c>
      <c r="BA723" s="27" t="s">
        <v>8</v>
      </c>
      <c r="BB723" s="27" t="s">
        <v>7</v>
      </c>
      <c r="BC723" s="27" t="s">
        <v>8</v>
      </c>
      <c r="BD723" s="27" t="s">
        <v>7</v>
      </c>
      <c r="BG723" s="27" t="s">
        <v>8</v>
      </c>
      <c r="BH723" s="27" t="s">
        <v>7</v>
      </c>
      <c r="BI723" s="27" t="s">
        <v>8</v>
      </c>
      <c r="BJ723" s="27" t="s">
        <v>7</v>
      </c>
      <c r="BK723" s="27" t="s">
        <v>8</v>
      </c>
      <c r="BL723" s="27" t="s">
        <v>7</v>
      </c>
      <c r="BM723" s="27" t="s">
        <v>8</v>
      </c>
      <c r="BN723" s="27" t="s">
        <v>7</v>
      </c>
      <c r="BO723" s="27" t="s">
        <v>8</v>
      </c>
      <c r="BV723" s="27" t="s">
        <v>7</v>
      </c>
      <c r="BW723" s="27" t="s">
        <v>8</v>
      </c>
    </row>
    <row r="724" spans="1:75" x14ac:dyDescent="0.25">
      <c r="A724" s="7">
        <v>6.6340152972694105E-2</v>
      </c>
      <c r="B724"/>
      <c r="C724"/>
      <c r="D724"/>
      <c r="E724"/>
      <c r="AZ724" s="27" t="s">
        <v>7</v>
      </c>
      <c r="BA724" s="27" t="s">
        <v>8</v>
      </c>
      <c r="BB724" s="27" t="s">
        <v>7</v>
      </c>
      <c r="BC724" s="27" t="s">
        <v>8</v>
      </c>
      <c r="BD724" s="27" t="s">
        <v>7</v>
      </c>
      <c r="BG724" s="27" t="s">
        <v>8</v>
      </c>
      <c r="BH724" s="27" t="s">
        <v>7</v>
      </c>
      <c r="BI724" s="27" t="s">
        <v>8</v>
      </c>
      <c r="BJ724" s="27" t="s">
        <v>7</v>
      </c>
      <c r="BK724" s="27" t="s">
        <v>8</v>
      </c>
      <c r="BL724" s="27" t="s">
        <v>7</v>
      </c>
      <c r="BM724" s="27" t="s">
        <v>8</v>
      </c>
      <c r="BN724" s="27" t="s">
        <v>7</v>
      </c>
      <c r="BO724" s="27" t="s">
        <v>8</v>
      </c>
      <c r="BV724" s="27" t="s">
        <v>7</v>
      </c>
    </row>
    <row r="725" spans="1:75" x14ac:dyDescent="0.25">
      <c r="A725" s="7">
        <v>6.5039365659504023E-2</v>
      </c>
      <c r="B725"/>
      <c r="C725"/>
      <c r="D725"/>
      <c r="E725"/>
      <c r="AZ725" s="27" t="s">
        <v>7</v>
      </c>
      <c r="BA725" s="27" t="s">
        <v>8</v>
      </c>
      <c r="BB725" s="27" t="s">
        <v>7</v>
      </c>
      <c r="BC725" s="27" t="s">
        <v>8</v>
      </c>
      <c r="BD725" s="27" t="s">
        <v>7</v>
      </c>
      <c r="BG725" s="27" t="s">
        <v>8</v>
      </c>
      <c r="BH725" s="27" t="s">
        <v>7</v>
      </c>
      <c r="BI725" s="27" t="s">
        <v>8</v>
      </c>
      <c r="BJ725" s="27" t="s">
        <v>7</v>
      </c>
      <c r="BK725" s="27" t="s">
        <v>8</v>
      </c>
      <c r="BL725" s="27" t="s">
        <v>7</v>
      </c>
      <c r="BM725" s="27" t="s">
        <v>8</v>
      </c>
      <c r="BN725" s="27" t="s">
        <v>7</v>
      </c>
      <c r="BO725" s="27" t="s">
        <v>8</v>
      </c>
    </row>
    <row r="726" spans="1:75" x14ac:dyDescent="0.25">
      <c r="A726" s="7">
        <v>6.3764083979905906E-2</v>
      </c>
      <c r="B726"/>
      <c r="C726"/>
      <c r="D726"/>
      <c r="E726"/>
      <c r="AZ726" s="27" t="s">
        <v>7</v>
      </c>
      <c r="BA726" s="27" t="s">
        <v>8</v>
      </c>
      <c r="BB726" s="27" t="s">
        <v>7</v>
      </c>
      <c r="BC726" s="27" t="s">
        <v>8</v>
      </c>
      <c r="BD726" s="27" t="s">
        <v>7</v>
      </c>
      <c r="BE726" s="27" t="s">
        <v>8</v>
      </c>
      <c r="BG726" s="27" t="s">
        <v>8</v>
      </c>
      <c r="BH726" s="27" t="s">
        <v>7</v>
      </c>
      <c r="BI726" s="27" t="s">
        <v>8</v>
      </c>
      <c r="BJ726" s="27" t="s">
        <v>7</v>
      </c>
      <c r="BK726" s="27" t="s">
        <v>8</v>
      </c>
      <c r="BL726" s="27" t="s">
        <v>7</v>
      </c>
      <c r="BM726" s="27" t="s">
        <v>8</v>
      </c>
      <c r="BN726" s="27" t="s">
        <v>7</v>
      </c>
    </row>
    <row r="727" spans="1:75" x14ac:dyDescent="0.25">
      <c r="A727" s="7">
        <v>6.251380782343717E-2</v>
      </c>
      <c r="B727"/>
      <c r="C727"/>
      <c r="D727"/>
      <c r="E727"/>
      <c r="AZ727" s="27" t="s">
        <v>7</v>
      </c>
      <c r="BA727" s="27" t="s">
        <v>8</v>
      </c>
      <c r="BB727" s="27" t="s">
        <v>7</v>
      </c>
      <c r="BC727" s="27" t="s">
        <v>8</v>
      </c>
      <c r="BD727" s="27" t="s">
        <v>7</v>
      </c>
      <c r="BE727" s="27" t="s">
        <v>8</v>
      </c>
      <c r="BF727" s="27" t="s">
        <v>7</v>
      </c>
      <c r="BG727" s="27" t="s">
        <v>8</v>
      </c>
      <c r="BH727" s="27" t="s">
        <v>7</v>
      </c>
      <c r="BI727" s="27" t="s">
        <v>8</v>
      </c>
      <c r="BJ727" s="27" t="s">
        <v>7</v>
      </c>
      <c r="BL727" s="27" t="s">
        <v>7</v>
      </c>
      <c r="BM727" s="27" t="s">
        <v>8</v>
      </c>
    </row>
    <row r="728" spans="1:75" x14ac:dyDescent="0.25">
      <c r="A728" s="7">
        <v>6.1288046885722716E-2</v>
      </c>
      <c r="B728"/>
      <c r="C728"/>
      <c r="D728"/>
      <c r="E728"/>
      <c r="AZ728" s="27" t="s">
        <v>7</v>
      </c>
      <c r="BA728" s="27" t="s">
        <v>8</v>
      </c>
      <c r="BB728" s="27" t="s">
        <v>7</v>
      </c>
      <c r="BD728" s="27" t="s">
        <v>7</v>
      </c>
      <c r="BE728" s="27" t="s">
        <v>8</v>
      </c>
      <c r="BF728" s="27" t="s">
        <v>7</v>
      </c>
      <c r="BG728" s="27" t="s">
        <v>8</v>
      </c>
      <c r="BH728" s="27" t="s">
        <v>7</v>
      </c>
      <c r="BI728" s="27" t="s">
        <v>8</v>
      </c>
      <c r="BL728" s="27" t="s">
        <v>7</v>
      </c>
    </row>
    <row r="729" spans="1:75" x14ac:dyDescent="0.25">
      <c r="A729" s="7">
        <v>6.0086320476198739E-2</v>
      </c>
      <c r="B729"/>
      <c r="C729"/>
      <c r="D729"/>
      <c r="E729"/>
      <c r="AZ729" s="27" t="s">
        <v>7</v>
      </c>
      <c r="BD729" s="27" t="s">
        <v>7</v>
      </c>
      <c r="BF729" s="27" t="s">
        <v>7</v>
      </c>
      <c r="BG729" s="27" t="s">
        <v>8</v>
      </c>
      <c r="BH729" s="27" t="s">
        <v>7</v>
      </c>
      <c r="BI729" s="27" t="s">
        <v>8</v>
      </c>
    </row>
    <row r="730" spans="1:75" x14ac:dyDescent="0.25">
      <c r="A730" s="7">
        <v>5.8908157329606609E-2</v>
      </c>
      <c r="B730"/>
      <c r="C730"/>
      <c r="D730"/>
      <c r="E730"/>
      <c r="BF730" s="27" t="s">
        <v>7</v>
      </c>
      <c r="BH730" s="27" t="s">
        <v>7</v>
      </c>
    </row>
    <row r="731" spans="1:75" x14ac:dyDescent="0.25">
      <c r="A731" s="7">
        <v>5.7753095421182947E-2</v>
      </c>
      <c r="B731"/>
      <c r="C731"/>
      <c r="D731"/>
      <c r="E731"/>
    </row>
    <row r="732" spans="1:75" x14ac:dyDescent="0.25">
      <c r="A732" s="7">
        <v>5.6620681785473484E-2</v>
      </c>
      <c r="B732"/>
      <c r="C732"/>
      <c r="D732"/>
      <c r="E732"/>
    </row>
    <row r="733" spans="1:75" x14ac:dyDescent="0.25">
      <c r="A733" s="7">
        <v>5.5510472338699497E-2</v>
      </c>
      <c r="B733"/>
      <c r="C733"/>
      <c r="D733"/>
      <c r="E733"/>
    </row>
    <row r="734" spans="1:75" x14ac:dyDescent="0.25">
      <c r="A734" s="7">
        <v>5.4422031704607354E-2</v>
      </c>
      <c r="B734"/>
      <c r="C734"/>
      <c r="D734"/>
      <c r="E734"/>
    </row>
    <row r="735" spans="1:75" x14ac:dyDescent="0.25">
      <c r="A735" s="7">
        <v>5.3354933043732705E-2</v>
      </c>
      <c r="B735"/>
      <c r="C735"/>
      <c r="D735"/>
      <c r="E735"/>
    </row>
    <row r="736" spans="1:7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6" operator="equal">
      <formula>$U$1</formula>
    </cfRule>
    <cfRule type="cellIs" dxfId="89" priority="917" operator="equal">
      <formula>$S$1</formula>
    </cfRule>
  </conditionalFormatting>
  <conditionalFormatting sqref="D27">
    <cfRule type="cellIs" dxfId="88" priority="914" operator="equal">
      <formula>$S$1</formula>
    </cfRule>
    <cfRule type="cellIs" dxfId="87" priority="915" operator="equal">
      <formula>$U$1</formula>
    </cfRule>
  </conditionalFormatting>
  <conditionalFormatting sqref="C164">
    <cfRule type="cellIs" dxfId="86" priority="912" operator="equal">
      <formula>$U$1</formula>
    </cfRule>
    <cfRule type="cellIs" dxfId="85" priority="913" operator="equal">
      <formula>$S$1</formula>
    </cfRule>
  </conditionalFormatting>
  <conditionalFormatting sqref="D164">
    <cfRule type="cellIs" dxfId="84" priority="910" operator="equal">
      <formula>$S$1</formula>
    </cfRule>
    <cfRule type="cellIs" dxfId="83" priority="911" operator="equal">
      <formula>$U$1</formula>
    </cfRule>
  </conditionalFormatting>
  <conditionalFormatting sqref="C55">
    <cfRule type="cellIs" dxfId="82" priority="908" operator="equal">
      <formula>$U$1</formula>
    </cfRule>
    <cfRule type="cellIs" dxfId="81" priority="909" operator="equal">
      <formula>$S$1</formula>
    </cfRule>
  </conditionalFormatting>
  <conditionalFormatting sqref="D55">
    <cfRule type="cellIs" dxfId="80" priority="906" operator="equal">
      <formula>$S$1</formula>
    </cfRule>
    <cfRule type="cellIs" dxfId="79" priority="907" operator="equal">
      <formula>$U$1</formula>
    </cfRule>
  </conditionalFormatting>
  <conditionalFormatting sqref="C89">
    <cfRule type="cellIs" dxfId="78" priority="904" operator="equal">
      <formula>$U$1</formula>
    </cfRule>
    <cfRule type="cellIs" dxfId="77" priority="905" operator="equal">
      <formula>$S$1</formula>
    </cfRule>
  </conditionalFormatting>
  <conditionalFormatting sqref="D89">
    <cfRule type="cellIs" dxfId="76" priority="902" operator="equal">
      <formula>$S$1</formula>
    </cfRule>
    <cfRule type="cellIs" dxfId="75" priority="903" operator="equal">
      <formula>$U$1</formula>
    </cfRule>
  </conditionalFormatting>
  <conditionalFormatting sqref="C136">
    <cfRule type="cellIs" dxfId="74" priority="900" operator="equal">
      <formula>$U$1</formula>
    </cfRule>
    <cfRule type="cellIs" dxfId="73" priority="901" operator="equal">
      <formula>$S$1</formula>
    </cfRule>
  </conditionalFormatting>
  <conditionalFormatting sqref="D136">
    <cfRule type="cellIs" dxfId="72" priority="898" operator="equal">
      <formula>$S$1</formula>
    </cfRule>
    <cfRule type="cellIs" dxfId="71" priority="899" operator="equal">
      <formula>$U$1</formula>
    </cfRule>
  </conditionalFormatting>
  <conditionalFormatting sqref="C1">
    <cfRule type="cellIs" dxfId="70" priority="89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K287" sqref="EK28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$A$286</v>
      </c>
      <c r="D111" s="1" t="str">
        <f>ADDRESS(C121-1,D121,1,1)</f>
        <v>$EK$286</v>
      </c>
      <c r="E111"/>
    </row>
    <row r="112" spans="1:5" x14ac:dyDescent="0.25">
      <c r="A112" s="30">
        <v>515.50191262726139</v>
      </c>
      <c r="C112" s="1" t="str">
        <f>ADDRESS(C121,1,1,1)</f>
        <v>$A$287</v>
      </c>
      <c r="D112" s="1" t="str">
        <f>ADDRESS(C121,D121-1,1,1)</f>
        <v>$EJ$287</v>
      </c>
      <c r="E112"/>
    </row>
    <row r="113" spans="1:5" x14ac:dyDescent="0.25">
      <c r="A113" s="30">
        <v>490.95420250215363</v>
      </c>
      <c r="C113" s="1" t="str">
        <f>ADDRESS(C121+1,1,1,1)</f>
        <v>$A$288</v>
      </c>
      <c r="D113" s="1" t="str">
        <f>ADDRESS(C121-1,D121+1,1,1)</f>
        <v>$EL$286</v>
      </c>
    </row>
    <row r="114" spans="1:5" x14ac:dyDescent="0.25">
      <c r="A114" s="30">
        <v>467.57543095443202</v>
      </c>
      <c r="C114" s="1" t="str">
        <f>ADDRESS(C121,D121,1,1)</f>
        <v>$EK$287</v>
      </c>
      <c r="D114" s="1" t="str">
        <f>ADDRESS(C121+1,D121+1,1,1)</f>
        <v>$EL$288</v>
      </c>
    </row>
    <row r="115" spans="1:5" x14ac:dyDescent="0.25">
      <c r="A115" s="30">
        <v>445.30993424231622</v>
      </c>
      <c r="C115" s="1" t="str">
        <f>ADDRESS(C121+1,D121,1,1)</f>
        <v>$EK$288</v>
      </c>
    </row>
    <row r="116" spans="1:5" x14ac:dyDescent="0.25">
      <c r="A116" s="30">
        <v>424.10469927839637</v>
      </c>
      <c r="C116" s="1">
        <f>C117-1</f>
        <v>286</v>
      </c>
    </row>
    <row r="117" spans="1:5" x14ac:dyDescent="0.25">
      <c r="A117" s="30">
        <v>403.9092374079965</v>
      </c>
      <c r="C117" s="1">
        <f>C121</f>
        <v>287</v>
      </c>
      <c r="D117" s="1">
        <f>D121</f>
        <v>141</v>
      </c>
    </row>
    <row r="118" spans="1:5" x14ac:dyDescent="0.25">
      <c r="A118" s="30">
        <v>384.6754641980919</v>
      </c>
      <c r="C118" s="1">
        <f>C117+1</f>
        <v>288</v>
      </c>
      <c r="D118" s="1">
        <f>D117+1</f>
        <v>142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287</v>
      </c>
      <c r="D121" s="19">
        <v>141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R287</v>
      </c>
      <c r="D123" s="1" t="str">
        <f>"C"&amp;D121</f>
        <v>C141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0.10094921443640027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6" x14ac:dyDescent="0.25">
      <c r="A241" s="30">
        <v>0.952380952380952</v>
      </c>
      <c r="B241"/>
      <c r="C241"/>
      <c r="D241"/>
      <c r="E241"/>
      <c r="F241" s="27" t="s">
        <v>7</v>
      </c>
    </row>
    <row r="242" spans="1:66" x14ac:dyDescent="0.25">
      <c r="A242" s="30">
        <v>0.90702947845804915</v>
      </c>
      <c r="B242"/>
      <c r="C242"/>
      <c r="D242"/>
      <c r="E242"/>
      <c r="F242" s="27" t="s">
        <v>7</v>
      </c>
    </row>
    <row r="243" spans="1:66" x14ac:dyDescent="0.25">
      <c r="A243" s="30">
        <v>0.86383759853147501</v>
      </c>
      <c r="B243"/>
      <c r="C243"/>
      <c r="D243"/>
      <c r="E243"/>
      <c r="F243" s="27" t="s">
        <v>7</v>
      </c>
    </row>
    <row r="244" spans="1:66" x14ac:dyDescent="0.25">
      <c r="A244" s="30">
        <v>0.82270247479188063</v>
      </c>
      <c r="B244"/>
      <c r="C244"/>
      <c r="D244"/>
      <c r="E244"/>
      <c r="F244" s="27" t="s">
        <v>7</v>
      </c>
    </row>
    <row r="245" spans="1:66" x14ac:dyDescent="0.25">
      <c r="A245" s="30">
        <v>0.78352616646845741</v>
      </c>
      <c r="B245"/>
      <c r="C245"/>
      <c r="D245"/>
      <c r="E245"/>
      <c r="F245" s="27" t="s">
        <v>7</v>
      </c>
    </row>
    <row r="246" spans="1:66" x14ac:dyDescent="0.25">
      <c r="A246" s="30">
        <v>0.74621539663662584</v>
      </c>
      <c r="B246"/>
      <c r="C246"/>
      <c r="D246"/>
      <c r="E246"/>
      <c r="F246" s="27" t="s">
        <v>7</v>
      </c>
    </row>
    <row r="247" spans="1:66" x14ac:dyDescent="0.25">
      <c r="A247" s="30">
        <v>0.71068133013011958</v>
      </c>
      <c r="B247"/>
      <c r="C247"/>
      <c r="D247"/>
      <c r="E247"/>
      <c r="F247" s="27" t="s">
        <v>7</v>
      </c>
    </row>
    <row r="248" spans="1:66" x14ac:dyDescent="0.25">
      <c r="A248" s="30">
        <v>0.676839362028685</v>
      </c>
      <c r="B248"/>
      <c r="C248"/>
      <c r="D248"/>
      <c r="E248"/>
      <c r="F248" s="27" t="s">
        <v>7</v>
      </c>
    </row>
    <row r="249" spans="1:66" x14ac:dyDescent="0.25">
      <c r="A249" s="30">
        <v>0.64460891621779492</v>
      </c>
      <c r="B249"/>
      <c r="C249"/>
      <c r="D249"/>
      <c r="E249"/>
      <c r="F249" s="27" t="s">
        <v>7</v>
      </c>
    </row>
    <row r="250" spans="1:66" x14ac:dyDescent="0.25">
      <c r="A250" s="30">
        <v>0.61391325354075688</v>
      </c>
      <c r="B250"/>
      <c r="C250"/>
      <c r="D250"/>
      <c r="E250"/>
      <c r="F250" s="27" t="s">
        <v>7</v>
      </c>
    </row>
    <row r="251" spans="1:66" x14ac:dyDescent="0.25">
      <c r="A251" s="30">
        <v>0.58467928908643485</v>
      </c>
      <c r="B251"/>
      <c r="C251"/>
      <c r="D251"/>
      <c r="E251"/>
      <c r="F251" s="27" t="s">
        <v>7</v>
      </c>
    </row>
    <row r="252" spans="1:66" x14ac:dyDescent="0.25">
      <c r="A252" s="30">
        <v>0.55683741817755672</v>
      </c>
      <c r="B252"/>
      <c r="C252"/>
      <c r="D252"/>
      <c r="E252"/>
      <c r="F252" s="27" t="s">
        <v>7</v>
      </c>
      <c r="BK252" s="27" t="s">
        <v>8</v>
      </c>
    </row>
    <row r="253" spans="1:66" x14ac:dyDescent="0.25">
      <c r="A253" s="30">
        <v>0.53032135064529184</v>
      </c>
      <c r="B253"/>
      <c r="C253"/>
      <c r="D253"/>
      <c r="E253"/>
      <c r="F253" s="27" t="s">
        <v>7</v>
      </c>
      <c r="BK253" s="27" t="s">
        <v>8</v>
      </c>
      <c r="BL253" s="27" t="s">
        <v>7</v>
      </c>
    </row>
    <row r="254" spans="1:66" x14ac:dyDescent="0.25">
      <c r="A254" s="30">
        <v>0.50506795299551588</v>
      </c>
      <c r="B254"/>
      <c r="C254"/>
      <c r="D254"/>
      <c r="E254"/>
      <c r="F254" s="27" t="s">
        <v>7</v>
      </c>
      <c r="BK254" s="27" t="s">
        <v>8</v>
      </c>
      <c r="BL254" s="27" t="s">
        <v>7</v>
      </c>
    </row>
    <row r="255" spans="1:66" x14ac:dyDescent="0.25">
      <c r="A255" s="30">
        <v>0.48101709809096732</v>
      </c>
      <c r="E255"/>
      <c r="F255" s="27" t="s">
        <v>7</v>
      </c>
      <c r="BK255" s="27" t="s">
        <v>8</v>
      </c>
      <c r="BL255" s="27" t="s">
        <v>7</v>
      </c>
      <c r="BM255" s="27" t="s">
        <v>8</v>
      </c>
    </row>
    <row r="256" spans="1:66" x14ac:dyDescent="0.25">
      <c r="A256" s="30">
        <v>0.45811152199139726</v>
      </c>
      <c r="E256"/>
      <c r="F256" s="27" t="s">
        <v>7</v>
      </c>
      <c r="BK256" s="27" t="s">
        <v>8</v>
      </c>
      <c r="BL256" s="27" t="s">
        <v>7</v>
      </c>
      <c r="BM256" s="27" t="s">
        <v>8</v>
      </c>
      <c r="BN256" s="27" t="s">
        <v>7</v>
      </c>
    </row>
    <row r="257" spans="1:136" x14ac:dyDescent="0.25">
      <c r="A257" s="30">
        <v>0.43629668761085438</v>
      </c>
      <c r="B257"/>
      <c r="C257"/>
      <c r="D257"/>
      <c r="E257"/>
      <c r="F257" s="27" t="s">
        <v>7</v>
      </c>
      <c r="BC257" s="27" t="s">
        <v>8</v>
      </c>
      <c r="BK257" s="27" t="s">
        <v>8</v>
      </c>
      <c r="BL257" s="27" t="s">
        <v>7</v>
      </c>
      <c r="BM257" s="27" t="s">
        <v>8</v>
      </c>
      <c r="BN257" s="27" t="s">
        <v>7</v>
      </c>
      <c r="EC257" s="27" t="s">
        <v>8</v>
      </c>
    </row>
    <row r="258" spans="1:136" x14ac:dyDescent="0.25">
      <c r="A258" s="30">
        <v>0.41552065486748019</v>
      </c>
      <c r="B258"/>
      <c r="C258"/>
      <c r="D258"/>
      <c r="E258"/>
      <c r="F258" s="27" t="s">
        <v>7</v>
      </c>
      <c r="BC258" s="27" t="s">
        <v>8</v>
      </c>
      <c r="BD258" s="27" t="s">
        <v>7</v>
      </c>
      <c r="BK258" s="27" t="s">
        <v>8</v>
      </c>
      <c r="BL258" s="27" t="s">
        <v>7</v>
      </c>
      <c r="BM258" s="27" t="s">
        <v>8</v>
      </c>
      <c r="BN258" s="27" t="s">
        <v>7</v>
      </c>
      <c r="EC258" s="27" t="s">
        <v>8</v>
      </c>
      <c r="ED258" s="27" t="s">
        <v>7</v>
      </c>
    </row>
    <row r="259" spans="1:136" x14ac:dyDescent="0.25">
      <c r="A259" s="30">
        <v>0.39573395701664765</v>
      </c>
      <c r="B259"/>
      <c r="C259"/>
      <c r="D259"/>
      <c r="E259"/>
      <c r="F259" s="27" t="s">
        <v>7</v>
      </c>
      <c r="BC259" s="27" t="s">
        <v>8</v>
      </c>
      <c r="BD259" s="27" t="s">
        <v>7</v>
      </c>
      <c r="BK259" s="27" t="s">
        <v>8</v>
      </c>
      <c r="BL259" s="27" t="s">
        <v>7</v>
      </c>
      <c r="BM259" s="27" t="s">
        <v>8</v>
      </c>
      <c r="BN259" s="27" t="s">
        <v>7</v>
      </c>
      <c r="BQ259" s="27" t="s">
        <v>8</v>
      </c>
      <c r="BS259" s="27" t="s">
        <v>8</v>
      </c>
      <c r="BU259" s="27" t="s">
        <v>8</v>
      </c>
      <c r="BY259" s="27" t="s">
        <v>8</v>
      </c>
      <c r="EC259" s="27" t="s">
        <v>8</v>
      </c>
      <c r="ED259" s="27" t="s">
        <v>7</v>
      </c>
    </row>
    <row r="260" spans="1:136" x14ac:dyDescent="0.25">
      <c r="A260" s="30">
        <v>0.37688948287299762</v>
      </c>
      <c r="B260"/>
      <c r="C260"/>
      <c r="D260"/>
      <c r="E260"/>
      <c r="F260" s="27" t="s">
        <v>7</v>
      </c>
      <c r="BC260" s="27" t="s">
        <v>8</v>
      </c>
      <c r="BD260" s="27" t="s">
        <v>7</v>
      </c>
      <c r="BE260" s="27" t="s">
        <v>8</v>
      </c>
      <c r="BI260" s="27" t="s">
        <v>8</v>
      </c>
      <c r="BK260" s="27" t="s">
        <v>8</v>
      </c>
      <c r="BL260" s="27" t="s">
        <v>7</v>
      </c>
      <c r="BM260" s="27" t="s">
        <v>8</v>
      </c>
      <c r="BN260" s="27" t="s">
        <v>7</v>
      </c>
      <c r="BQ260" s="27" t="s">
        <v>8</v>
      </c>
      <c r="BR260" s="27" t="s">
        <v>7</v>
      </c>
      <c r="BS260" s="27" t="s">
        <v>8</v>
      </c>
      <c r="BT260" s="27" t="s">
        <v>7</v>
      </c>
      <c r="BU260" s="27" t="s">
        <v>8</v>
      </c>
      <c r="BV260" s="27" t="s">
        <v>7</v>
      </c>
      <c r="BW260" s="27" t="s">
        <v>8</v>
      </c>
      <c r="BY260" s="27" t="s">
        <v>8</v>
      </c>
      <c r="BZ260" s="27" t="s">
        <v>7</v>
      </c>
      <c r="EC260" s="27" t="s">
        <v>8</v>
      </c>
      <c r="ED260" s="27" t="s">
        <v>7</v>
      </c>
    </row>
    <row r="261" spans="1:136" x14ac:dyDescent="0.25">
      <c r="A261" s="30">
        <v>0.35894236464094997</v>
      </c>
      <c r="B261"/>
      <c r="C261"/>
      <c r="D261"/>
      <c r="E261"/>
      <c r="F261" s="27" t="s">
        <v>7</v>
      </c>
      <c r="AY261" s="27" t="s">
        <v>8</v>
      </c>
      <c r="BC261" s="27" t="s">
        <v>8</v>
      </c>
      <c r="BD261" s="27" t="s">
        <v>7</v>
      </c>
      <c r="BE261" s="27" t="s">
        <v>8</v>
      </c>
      <c r="BF261" s="27" t="s">
        <v>7</v>
      </c>
      <c r="BI261" s="27" t="s">
        <v>8</v>
      </c>
      <c r="BJ261" s="27" t="s">
        <v>7</v>
      </c>
      <c r="BK261" s="27" t="s">
        <v>8</v>
      </c>
      <c r="BL261" s="27" t="s">
        <v>7</v>
      </c>
      <c r="BN261" s="27" t="s">
        <v>7</v>
      </c>
      <c r="BQ261" s="27" t="s">
        <v>8</v>
      </c>
      <c r="BR261" s="27" t="s">
        <v>7</v>
      </c>
      <c r="BS261" s="27" t="s">
        <v>8</v>
      </c>
      <c r="BT261" s="27" t="s">
        <v>7</v>
      </c>
      <c r="BU261" s="27" t="s">
        <v>8</v>
      </c>
      <c r="BV261" s="27" t="s">
        <v>7</v>
      </c>
      <c r="BW261" s="27" t="s">
        <v>8</v>
      </c>
      <c r="BX261" s="27" t="s">
        <v>7</v>
      </c>
      <c r="BY261" s="27" t="s">
        <v>8</v>
      </c>
      <c r="BZ261" s="27" t="s">
        <v>7</v>
      </c>
      <c r="EC261" s="27" t="s">
        <v>8</v>
      </c>
      <c r="ED261" s="27" t="s">
        <v>7</v>
      </c>
    </row>
    <row r="262" spans="1:136" x14ac:dyDescent="0.25">
      <c r="A262" s="30">
        <v>0.34184987108661891</v>
      </c>
      <c r="B262"/>
      <c r="C262"/>
      <c r="D262"/>
      <c r="E262"/>
      <c r="F262" s="27" t="s">
        <v>7</v>
      </c>
      <c r="AY262" s="27" t="s">
        <v>8</v>
      </c>
      <c r="AZ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I262" s="27" t="s">
        <v>8</v>
      </c>
      <c r="BJ262" s="27" t="s">
        <v>7</v>
      </c>
      <c r="BK262" s="27" t="s">
        <v>8</v>
      </c>
      <c r="BN262" s="27" t="s">
        <v>7</v>
      </c>
      <c r="BQ262" s="27" t="s">
        <v>8</v>
      </c>
      <c r="BR262" s="27" t="s">
        <v>7</v>
      </c>
      <c r="BS262" s="27" t="s">
        <v>8</v>
      </c>
      <c r="BT262" s="27" t="s">
        <v>7</v>
      </c>
      <c r="BV262" s="27" t="s">
        <v>7</v>
      </c>
      <c r="BW262" s="27" t="s">
        <v>8</v>
      </c>
      <c r="BX262" s="27" t="s">
        <v>7</v>
      </c>
      <c r="BY262" s="27" t="s">
        <v>8</v>
      </c>
      <c r="BZ262" s="27" t="s">
        <v>7</v>
      </c>
      <c r="CM262" s="27" t="s">
        <v>8</v>
      </c>
      <c r="EC262" s="27" t="s">
        <v>8</v>
      </c>
      <c r="ED262" s="27" t="s">
        <v>7</v>
      </c>
    </row>
    <row r="263" spans="1:136" x14ac:dyDescent="0.25">
      <c r="A263" s="30">
        <v>0.32557130579677979</v>
      </c>
      <c r="B263"/>
      <c r="C263"/>
      <c r="D263"/>
      <c r="E263"/>
      <c r="F263" s="27" t="s">
        <v>7</v>
      </c>
      <c r="AY263" s="27" t="s">
        <v>8</v>
      </c>
      <c r="AZ263" s="27" t="s">
        <v>7</v>
      </c>
      <c r="BC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I263" s="27" t="s">
        <v>8</v>
      </c>
      <c r="BJ263" s="27" t="s">
        <v>7</v>
      </c>
      <c r="BK263" s="27" t="s">
        <v>8</v>
      </c>
      <c r="BN263" s="27" t="s">
        <v>7</v>
      </c>
      <c r="BQ263" s="27" t="s">
        <v>8</v>
      </c>
      <c r="BR263" s="27" t="s">
        <v>7</v>
      </c>
      <c r="BS263" s="27" t="s">
        <v>8</v>
      </c>
      <c r="BV263" s="27" t="s">
        <v>7</v>
      </c>
      <c r="BX263" s="27" t="s">
        <v>7</v>
      </c>
      <c r="BZ263" s="27" t="s">
        <v>7</v>
      </c>
      <c r="CA263" s="27" t="s">
        <v>8</v>
      </c>
      <c r="CM263" s="27" t="s">
        <v>8</v>
      </c>
      <c r="CN263" s="27" t="s">
        <v>7</v>
      </c>
      <c r="EC263" s="27" t="s">
        <v>8</v>
      </c>
      <c r="ED263" s="27" t="s">
        <v>7</v>
      </c>
    </row>
    <row r="264" spans="1:136" x14ac:dyDescent="0.25">
      <c r="A264" s="30">
        <v>0.3100679102826473</v>
      </c>
      <c r="B264"/>
      <c r="C264"/>
      <c r="D264"/>
      <c r="E264"/>
      <c r="F264" s="27" t="s">
        <v>7</v>
      </c>
      <c r="AY264" s="27" t="s">
        <v>8</v>
      </c>
      <c r="AZ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  <c r="BJ264" s="27" t="s">
        <v>7</v>
      </c>
      <c r="BN264" s="27" t="s">
        <v>7</v>
      </c>
      <c r="BO264" s="27" t="s">
        <v>8</v>
      </c>
      <c r="BQ264" s="27" t="s">
        <v>8</v>
      </c>
      <c r="BR264" s="27" t="s">
        <v>7</v>
      </c>
      <c r="BS264" s="27" t="s">
        <v>8</v>
      </c>
      <c r="BZ264" s="27" t="s">
        <v>7</v>
      </c>
      <c r="CA264" s="27" t="s">
        <v>8</v>
      </c>
      <c r="CB264" s="27" t="s">
        <v>7</v>
      </c>
      <c r="CM264" s="27" t="s">
        <v>8</v>
      </c>
      <c r="CN264" s="27" t="s">
        <v>7</v>
      </c>
      <c r="EC264" s="27" t="s">
        <v>8</v>
      </c>
      <c r="ED264" s="27" t="s">
        <v>7</v>
      </c>
    </row>
    <row r="265" spans="1:136" x14ac:dyDescent="0.25">
      <c r="A265" s="30">
        <v>0.2953027716977592</v>
      </c>
      <c r="B265"/>
      <c r="C265"/>
      <c r="D265"/>
      <c r="E265"/>
      <c r="F265" s="27" t="s">
        <v>7</v>
      </c>
      <c r="AY265" s="27" t="s">
        <v>8</v>
      </c>
      <c r="AZ265" s="27" t="s">
        <v>7</v>
      </c>
      <c r="BC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I265" s="27" t="s">
        <v>8</v>
      </c>
      <c r="BN265" s="27" t="s">
        <v>7</v>
      </c>
      <c r="BO265" s="27" t="s">
        <v>8</v>
      </c>
      <c r="BP265" s="27" t="s">
        <v>7</v>
      </c>
      <c r="BQ265" s="27" t="s">
        <v>8</v>
      </c>
      <c r="BR265" s="27" t="s">
        <v>7</v>
      </c>
      <c r="BZ265" s="27" t="s">
        <v>7</v>
      </c>
      <c r="CA265" s="27" t="s">
        <v>8</v>
      </c>
      <c r="CB265" s="27" t="s">
        <v>7</v>
      </c>
      <c r="CM265" s="27" t="s">
        <v>8</v>
      </c>
      <c r="CN265" s="27" t="s">
        <v>7</v>
      </c>
      <c r="EC265" s="27" t="s">
        <v>8</v>
      </c>
      <c r="ED265" s="27" t="s">
        <v>7</v>
      </c>
    </row>
    <row r="266" spans="1:136" x14ac:dyDescent="0.25">
      <c r="A266" s="30">
        <v>0.28124073495024676</v>
      </c>
      <c r="B266"/>
      <c r="C266"/>
      <c r="D266"/>
      <c r="E266"/>
      <c r="F266" s="27" t="s">
        <v>7</v>
      </c>
      <c r="AY266" s="27" t="s">
        <v>8</v>
      </c>
      <c r="AZ266" s="27" t="s">
        <v>7</v>
      </c>
      <c r="BC266" s="27" t="s">
        <v>8</v>
      </c>
      <c r="BD266" s="27" t="s">
        <v>7</v>
      </c>
      <c r="BE266" s="27" t="s">
        <v>8</v>
      </c>
      <c r="BF266" s="27" t="s">
        <v>7</v>
      </c>
      <c r="BG266" s="27" t="s">
        <v>8</v>
      </c>
      <c r="BH266" s="27" t="s">
        <v>7</v>
      </c>
      <c r="BI266" s="27" t="s">
        <v>8</v>
      </c>
      <c r="BN266" s="27" t="s">
        <v>7</v>
      </c>
      <c r="BO266" s="27" t="s">
        <v>8</v>
      </c>
      <c r="BP266" s="27" t="s">
        <v>7</v>
      </c>
      <c r="BQ266" s="27" t="s">
        <v>8</v>
      </c>
      <c r="BZ266" s="27" t="s">
        <v>7</v>
      </c>
      <c r="CA266" s="27" t="s">
        <v>8</v>
      </c>
      <c r="CB266" s="27" t="s">
        <v>7</v>
      </c>
      <c r="CM266" s="27" t="s">
        <v>8</v>
      </c>
      <c r="CN266" s="27" t="s">
        <v>7</v>
      </c>
      <c r="DI266" s="27" t="s">
        <v>8</v>
      </c>
      <c r="EC266" s="27" t="s">
        <v>8</v>
      </c>
      <c r="ED266" s="27" t="s">
        <v>7</v>
      </c>
    </row>
    <row r="267" spans="1:136" x14ac:dyDescent="0.25">
      <c r="A267" s="30">
        <v>0.26784831900023492</v>
      </c>
      <c r="B267"/>
      <c r="C267"/>
      <c r="D267"/>
      <c r="E267"/>
      <c r="F267" s="27" t="s">
        <v>7</v>
      </c>
      <c r="AY267" s="27" t="s">
        <v>8</v>
      </c>
      <c r="AZ267" s="27" t="s">
        <v>7</v>
      </c>
      <c r="BC267" s="27" t="s">
        <v>8</v>
      </c>
      <c r="BD267" s="27" t="s">
        <v>7</v>
      </c>
      <c r="BE267" s="27" t="s">
        <v>8</v>
      </c>
      <c r="BF267" s="27" t="s">
        <v>7</v>
      </c>
      <c r="BH267" s="27" t="s">
        <v>7</v>
      </c>
      <c r="BN267" s="27" t="s">
        <v>7</v>
      </c>
      <c r="BP267" s="27" t="s">
        <v>7</v>
      </c>
      <c r="BQ267" s="27" t="s">
        <v>8</v>
      </c>
      <c r="BZ267" s="27" t="s">
        <v>7</v>
      </c>
      <c r="CA267" s="27" t="s">
        <v>8</v>
      </c>
      <c r="CB267" s="27" t="s">
        <v>7</v>
      </c>
      <c r="CM267" s="27" t="s">
        <v>8</v>
      </c>
      <c r="CN267" s="27" t="s">
        <v>7</v>
      </c>
      <c r="CO267" s="27" t="s">
        <v>8</v>
      </c>
      <c r="DI267" s="27" t="s">
        <v>8</v>
      </c>
      <c r="DJ267" s="27" t="s">
        <v>7</v>
      </c>
      <c r="EC267" s="27" t="s">
        <v>8</v>
      </c>
      <c r="ED267" s="27" t="s">
        <v>7</v>
      </c>
    </row>
    <row r="268" spans="1:136" x14ac:dyDescent="0.25">
      <c r="A268" s="30">
        <v>0.25509363714308075</v>
      </c>
      <c r="B268"/>
      <c r="C268"/>
      <c r="D268"/>
      <c r="E268"/>
      <c r="F268" s="27" t="s">
        <v>7</v>
      </c>
      <c r="AY268" s="27" t="s">
        <v>8</v>
      </c>
      <c r="AZ268" s="27" t="s">
        <v>7</v>
      </c>
      <c r="BC268" s="27" t="s">
        <v>8</v>
      </c>
      <c r="BD268" s="27" t="s">
        <v>7</v>
      </c>
      <c r="BP268" s="27" t="s">
        <v>7</v>
      </c>
      <c r="BQ268" s="27" t="s">
        <v>8</v>
      </c>
      <c r="BZ268" s="27" t="s">
        <v>7</v>
      </c>
      <c r="CB268" s="27" t="s">
        <v>7</v>
      </c>
      <c r="CM268" s="27" t="s">
        <v>8</v>
      </c>
      <c r="CN268" s="27" t="s">
        <v>7</v>
      </c>
      <c r="CO268" s="27" t="s">
        <v>8</v>
      </c>
      <c r="CP268" s="27" t="s">
        <v>7</v>
      </c>
      <c r="DI268" s="27" t="s">
        <v>8</v>
      </c>
      <c r="DJ268" s="27" t="s">
        <v>7</v>
      </c>
      <c r="DK268" s="27" t="s">
        <v>8</v>
      </c>
      <c r="EC268" s="27" t="s">
        <v>8</v>
      </c>
      <c r="ED268" s="27" t="s">
        <v>7</v>
      </c>
    </row>
    <row r="269" spans="1:136" x14ac:dyDescent="0.25">
      <c r="A269" s="30">
        <v>0.24294632108864825</v>
      </c>
      <c r="B269"/>
      <c r="C269"/>
      <c r="D269"/>
      <c r="E269"/>
      <c r="F269" s="27" t="s">
        <v>7</v>
      </c>
      <c r="AY269" s="27" t="s">
        <v>8</v>
      </c>
      <c r="AZ269" s="27" t="s">
        <v>7</v>
      </c>
      <c r="BC269" s="27" t="s">
        <v>8</v>
      </c>
      <c r="BP269" s="27" t="s">
        <v>7</v>
      </c>
      <c r="BQ269" s="27" t="s">
        <v>8</v>
      </c>
      <c r="CB269" s="27" t="s">
        <v>7</v>
      </c>
      <c r="CM269" s="27" t="s">
        <v>8</v>
      </c>
      <c r="CN269" s="27" t="s">
        <v>7</v>
      </c>
      <c r="CO269" s="27" t="s">
        <v>8</v>
      </c>
      <c r="CP269" s="27" t="s">
        <v>7</v>
      </c>
      <c r="DC269" s="27" t="s">
        <v>8</v>
      </c>
      <c r="DE269" s="27" t="s">
        <v>8</v>
      </c>
      <c r="DG269" s="27" t="s">
        <v>8</v>
      </c>
      <c r="DI269" s="27" t="s">
        <v>8</v>
      </c>
      <c r="DJ269" s="27" t="s">
        <v>7</v>
      </c>
      <c r="DK269" s="27" t="s">
        <v>8</v>
      </c>
      <c r="DL269" s="27" t="s">
        <v>7</v>
      </c>
      <c r="EC269" s="27" t="s">
        <v>8</v>
      </c>
      <c r="ED269" s="27" t="s">
        <v>7</v>
      </c>
    </row>
    <row r="270" spans="1:136" x14ac:dyDescent="0.25">
      <c r="A270" s="30">
        <v>0.23137744865585538</v>
      </c>
      <c r="B270"/>
      <c r="C270"/>
      <c r="D270"/>
      <c r="E270"/>
      <c r="F270" s="27" t="s">
        <v>7</v>
      </c>
      <c r="AY270" s="27" t="s">
        <v>8</v>
      </c>
      <c r="AZ270" s="27" t="s">
        <v>7</v>
      </c>
      <c r="BA270" s="27" t="s">
        <v>8</v>
      </c>
      <c r="BC270" s="27" t="s">
        <v>8</v>
      </c>
      <c r="BP270" s="27" t="s">
        <v>7</v>
      </c>
      <c r="BQ270" s="27" t="s">
        <v>8</v>
      </c>
      <c r="CB270" s="27" t="s">
        <v>7</v>
      </c>
      <c r="CG270" s="27" t="s">
        <v>8</v>
      </c>
      <c r="CM270" s="27" t="s">
        <v>8</v>
      </c>
      <c r="CN270" s="27" t="s">
        <v>7</v>
      </c>
      <c r="CO270" s="27" t="s">
        <v>8</v>
      </c>
      <c r="CP270" s="27" t="s">
        <v>7</v>
      </c>
      <c r="CW270" s="27" t="s">
        <v>8</v>
      </c>
      <c r="DC270" s="27" t="s">
        <v>8</v>
      </c>
      <c r="DD270" s="27" t="s">
        <v>7</v>
      </c>
      <c r="DE270" s="27" t="s">
        <v>8</v>
      </c>
      <c r="DF270" s="27" t="s">
        <v>7</v>
      </c>
      <c r="DG270" s="27" t="s">
        <v>8</v>
      </c>
      <c r="DH270" s="27" t="s">
        <v>7</v>
      </c>
      <c r="DI270" s="27" t="s">
        <v>8</v>
      </c>
      <c r="DJ270" s="27" t="s">
        <v>7</v>
      </c>
      <c r="DK270" s="27" t="s">
        <v>8</v>
      </c>
      <c r="DL270" s="27" t="s">
        <v>7</v>
      </c>
      <c r="DQ270" s="27" t="s">
        <v>8</v>
      </c>
      <c r="DS270" s="27" t="s">
        <v>8</v>
      </c>
      <c r="DY270" s="27" t="s">
        <v>8</v>
      </c>
      <c r="EC270" s="27" t="s">
        <v>8</v>
      </c>
      <c r="ED270" s="27" t="s">
        <v>7</v>
      </c>
      <c r="EE270" s="27" t="s">
        <v>8</v>
      </c>
    </row>
    <row r="271" spans="1:136" x14ac:dyDescent="0.25">
      <c r="A271" s="30">
        <v>0.22035947491033836</v>
      </c>
      <c r="B271"/>
      <c r="C271"/>
      <c r="D271"/>
      <c r="E271"/>
      <c r="F271" s="27" t="s">
        <v>7</v>
      </c>
      <c r="AY271" s="27" t="s">
        <v>8</v>
      </c>
      <c r="AZ271" s="27" t="s">
        <v>7</v>
      </c>
      <c r="BA271" s="27" t="s">
        <v>8</v>
      </c>
      <c r="BB271" s="27" t="s">
        <v>7</v>
      </c>
      <c r="BC271" s="27" t="s">
        <v>8</v>
      </c>
      <c r="BP271" s="27" t="s">
        <v>7</v>
      </c>
      <c r="BQ271" s="27" t="s">
        <v>8</v>
      </c>
      <c r="CB271" s="27" t="s">
        <v>7</v>
      </c>
      <c r="CG271" s="27" t="s">
        <v>8</v>
      </c>
      <c r="CH271" s="27" t="s">
        <v>7</v>
      </c>
      <c r="CM271" s="27" t="s">
        <v>8</v>
      </c>
      <c r="CN271" s="27" t="s">
        <v>7</v>
      </c>
      <c r="CO271" s="27" t="s">
        <v>8</v>
      </c>
      <c r="CP271" s="27" t="s">
        <v>7</v>
      </c>
      <c r="CW271" s="27" t="s">
        <v>8</v>
      </c>
      <c r="CX271" s="27" t="s">
        <v>7</v>
      </c>
      <c r="DC271" s="27" t="s">
        <v>8</v>
      </c>
      <c r="DD271" s="27" t="s">
        <v>7</v>
      </c>
      <c r="DE271" s="27" t="s">
        <v>8</v>
      </c>
      <c r="DF271" s="27" t="s">
        <v>7</v>
      </c>
      <c r="DG271" s="27" t="s">
        <v>8</v>
      </c>
      <c r="DH271" s="27" t="s">
        <v>7</v>
      </c>
      <c r="DI271" s="27" t="s">
        <v>8</v>
      </c>
      <c r="DJ271" s="27" t="s">
        <v>7</v>
      </c>
      <c r="DK271" s="27" t="s">
        <v>8</v>
      </c>
      <c r="DL271" s="27" t="s">
        <v>7</v>
      </c>
      <c r="DQ271" s="27" t="s">
        <v>8</v>
      </c>
      <c r="DR271" s="27" t="s">
        <v>7</v>
      </c>
      <c r="DS271" s="27" t="s">
        <v>8</v>
      </c>
      <c r="DT271" s="27" t="s">
        <v>7</v>
      </c>
      <c r="DY271" s="27" t="s">
        <v>8</v>
      </c>
      <c r="DZ271" s="27" t="s">
        <v>7</v>
      </c>
      <c r="EA271" s="27" t="s">
        <v>8</v>
      </c>
      <c r="EC271" s="27" t="s">
        <v>8</v>
      </c>
      <c r="ED271" s="27" t="s">
        <v>7</v>
      </c>
      <c r="EE271" s="27" t="s">
        <v>8</v>
      </c>
      <c r="EF271" s="27" t="s">
        <v>7</v>
      </c>
    </row>
    <row r="272" spans="1:136" x14ac:dyDescent="0.25">
      <c r="A272" s="30">
        <v>0.20986616658127455</v>
      </c>
      <c r="B272"/>
      <c r="C272"/>
      <c r="D272"/>
      <c r="E272"/>
      <c r="F272" s="27" t="s">
        <v>7</v>
      </c>
      <c r="AY272" s="27" t="s">
        <v>8</v>
      </c>
      <c r="AZ272" s="27" t="s">
        <v>7</v>
      </c>
      <c r="BA272" s="27" t="s">
        <v>8</v>
      </c>
      <c r="BB272" s="27" t="s">
        <v>7</v>
      </c>
      <c r="BC272" s="27" t="s">
        <v>8</v>
      </c>
      <c r="BP272" s="27" t="s">
        <v>7</v>
      </c>
      <c r="BQ272" s="27" t="s">
        <v>8</v>
      </c>
      <c r="CB272" s="27" t="s">
        <v>7</v>
      </c>
      <c r="CC272" s="27" t="s">
        <v>8</v>
      </c>
      <c r="CG272" s="27" t="s">
        <v>8</v>
      </c>
      <c r="CH272" s="27" t="s">
        <v>7</v>
      </c>
      <c r="CI272" s="27" t="s">
        <v>8</v>
      </c>
      <c r="CK272" s="27" t="s">
        <v>8</v>
      </c>
      <c r="CM272" s="27" t="s">
        <v>8</v>
      </c>
      <c r="CN272" s="27" t="s">
        <v>7</v>
      </c>
      <c r="CO272" s="27" t="s">
        <v>8</v>
      </c>
      <c r="CP272" s="27" t="s">
        <v>7</v>
      </c>
      <c r="CW272" s="27" t="s">
        <v>8</v>
      </c>
      <c r="CX272" s="27" t="s">
        <v>7</v>
      </c>
      <c r="DC272" s="27" t="s">
        <v>8</v>
      </c>
      <c r="DD272" s="27" t="s">
        <v>7</v>
      </c>
      <c r="DE272" s="27" t="s">
        <v>8</v>
      </c>
      <c r="DF272" s="27" t="s">
        <v>7</v>
      </c>
      <c r="DG272" s="27" t="s">
        <v>8</v>
      </c>
      <c r="DH272" s="27" t="s">
        <v>7</v>
      </c>
      <c r="DJ272" s="27" t="s">
        <v>7</v>
      </c>
      <c r="DK272" s="27" t="s">
        <v>8</v>
      </c>
      <c r="DL272" s="27" t="s">
        <v>7</v>
      </c>
      <c r="DQ272" s="27" t="s">
        <v>8</v>
      </c>
      <c r="DR272" s="27" t="s">
        <v>7</v>
      </c>
      <c r="DS272" s="27" t="s">
        <v>8</v>
      </c>
      <c r="DT272" s="27" t="s">
        <v>7</v>
      </c>
      <c r="DY272" s="27" t="s">
        <v>8</v>
      </c>
      <c r="DZ272" s="27" t="s">
        <v>7</v>
      </c>
      <c r="EA272" s="27" t="s">
        <v>8</v>
      </c>
      <c r="EB272" s="27" t="s">
        <v>7</v>
      </c>
      <c r="EC272" s="27" t="s">
        <v>8</v>
      </c>
      <c r="ED272" s="27" t="s">
        <v>7</v>
      </c>
      <c r="EE272" s="27" t="s">
        <v>8</v>
      </c>
      <c r="EF272" s="27" t="s">
        <v>7</v>
      </c>
    </row>
    <row r="273" spans="1:141" x14ac:dyDescent="0.25">
      <c r="A273" s="30">
        <v>0.19987253960121379</v>
      </c>
      <c r="B273"/>
      <c r="C273"/>
      <c r="D273"/>
      <c r="E273"/>
      <c r="F273" s="27" t="s">
        <v>7</v>
      </c>
      <c r="AY273" s="27" t="s">
        <v>8</v>
      </c>
      <c r="AZ273" s="27" t="s">
        <v>7</v>
      </c>
      <c r="BA273" s="27" t="s">
        <v>8</v>
      </c>
      <c r="BB273" s="27" t="s">
        <v>7</v>
      </c>
      <c r="BP273" s="27" t="s">
        <v>7</v>
      </c>
      <c r="CB273" s="27" t="s">
        <v>7</v>
      </c>
      <c r="CC273" s="27" t="s">
        <v>8</v>
      </c>
      <c r="CD273" s="27" t="s">
        <v>7</v>
      </c>
      <c r="CG273" s="27" t="s">
        <v>8</v>
      </c>
      <c r="CH273" s="27" t="s">
        <v>7</v>
      </c>
      <c r="CI273" s="27" t="s">
        <v>8</v>
      </c>
      <c r="CJ273" s="27" t="s">
        <v>7</v>
      </c>
      <c r="CK273" s="27" t="s">
        <v>8</v>
      </c>
      <c r="CL273" s="27" t="s">
        <v>7</v>
      </c>
      <c r="CM273" s="27" t="s">
        <v>8</v>
      </c>
      <c r="CN273" s="27" t="s">
        <v>7</v>
      </c>
      <c r="CO273" s="27" t="s">
        <v>8</v>
      </c>
      <c r="CP273" s="27" t="s">
        <v>7</v>
      </c>
      <c r="CW273" s="27" t="s">
        <v>8</v>
      </c>
      <c r="CX273" s="27" t="s">
        <v>7</v>
      </c>
      <c r="DA273" s="27" t="s">
        <v>8</v>
      </c>
      <c r="DC273" s="27" t="s">
        <v>8</v>
      </c>
      <c r="DD273" s="27" t="s">
        <v>7</v>
      </c>
      <c r="DE273" s="27" t="s">
        <v>8</v>
      </c>
      <c r="DF273" s="27" t="s">
        <v>7</v>
      </c>
      <c r="DJ273" s="27" t="s">
        <v>7</v>
      </c>
      <c r="DK273" s="27" t="s">
        <v>8</v>
      </c>
      <c r="DL273" s="27" t="s">
        <v>7</v>
      </c>
      <c r="DO273" s="27" t="s">
        <v>8</v>
      </c>
      <c r="DQ273" s="27" t="s">
        <v>8</v>
      </c>
      <c r="DR273" s="27" t="s">
        <v>7</v>
      </c>
      <c r="DS273" s="27" t="s">
        <v>8</v>
      </c>
      <c r="DT273" s="27" t="s">
        <v>7</v>
      </c>
      <c r="DU273" s="27" t="s">
        <v>8</v>
      </c>
      <c r="DW273" s="27" t="s">
        <v>8</v>
      </c>
      <c r="DY273" s="27" t="s">
        <v>8</v>
      </c>
      <c r="DZ273" s="27" t="s">
        <v>7</v>
      </c>
      <c r="EA273" s="27" t="s">
        <v>8</v>
      </c>
      <c r="EB273" s="27" t="s">
        <v>7</v>
      </c>
      <c r="EC273" s="27" t="s">
        <v>8</v>
      </c>
      <c r="ED273" s="27" t="s">
        <v>7</v>
      </c>
      <c r="EE273" s="27" t="s">
        <v>8</v>
      </c>
      <c r="EF273" s="27" t="s">
        <v>7</v>
      </c>
      <c r="EG273" s="27" t="s">
        <v>8</v>
      </c>
    </row>
    <row r="274" spans="1:141" x14ac:dyDescent="0.25">
      <c r="A274" s="30">
        <v>0.19035479962020352</v>
      </c>
      <c r="B274"/>
      <c r="C274"/>
      <c r="D274"/>
      <c r="E274"/>
      <c r="F274" s="27" t="s">
        <v>7</v>
      </c>
      <c r="I274" s="27" t="s">
        <v>8</v>
      </c>
      <c r="Y274" s="27" t="s">
        <v>8</v>
      </c>
      <c r="AY274" s="27" t="s">
        <v>8</v>
      </c>
      <c r="AZ274" s="27" t="s">
        <v>7</v>
      </c>
      <c r="BA274" s="27" t="s">
        <v>8</v>
      </c>
      <c r="CB274" s="27" t="s">
        <v>7</v>
      </c>
      <c r="CC274" s="27" t="s">
        <v>8</v>
      </c>
      <c r="CD274" s="27" t="s">
        <v>7</v>
      </c>
      <c r="CG274" s="27" t="s">
        <v>8</v>
      </c>
      <c r="CH274" s="27" t="s">
        <v>7</v>
      </c>
      <c r="CI274" s="27" t="s">
        <v>8</v>
      </c>
      <c r="CJ274" s="27" t="s">
        <v>7</v>
      </c>
      <c r="CK274" s="27" t="s">
        <v>8</v>
      </c>
      <c r="CL274" s="27" t="s">
        <v>7</v>
      </c>
      <c r="CM274" s="27" t="s">
        <v>8</v>
      </c>
      <c r="CN274" s="27" t="s">
        <v>7</v>
      </c>
      <c r="CP274" s="27" t="s">
        <v>7</v>
      </c>
      <c r="CU274" s="27" t="s">
        <v>8</v>
      </c>
      <c r="CW274" s="27" t="s">
        <v>8</v>
      </c>
      <c r="CX274" s="27" t="s">
        <v>7</v>
      </c>
      <c r="CY274" s="27" t="s">
        <v>8</v>
      </c>
      <c r="DA274" s="27" t="s">
        <v>8</v>
      </c>
      <c r="DB274" s="27" t="s">
        <v>7</v>
      </c>
      <c r="DC274" s="27" t="s">
        <v>8</v>
      </c>
      <c r="DD274" s="27" t="s">
        <v>7</v>
      </c>
      <c r="DJ274" s="27" t="s">
        <v>7</v>
      </c>
      <c r="DK274" s="27" t="s">
        <v>8</v>
      </c>
      <c r="DL274" s="27" t="s">
        <v>7</v>
      </c>
      <c r="DM274" s="27" t="s">
        <v>8</v>
      </c>
      <c r="DO274" s="27" t="s">
        <v>8</v>
      </c>
      <c r="DP274" s="27" t="s">
        <v>7</v>
      </c>
      <c r="DQ274" s="27" t="s">
        <v>8</v>
      </c>
      <c r="DR274" s="27" t="s">
        <v>7</v>
      </c>
      <c r="DS274" s="27" t="s">
        <v>8</v>
      </c>
      <c r="DT274" s="27" t="s">
        <v>7</v>
      </c>
      <c r="DU274" s="27" t="s">
        <v>8</v>
      </c>
      <c r="DV274" s="27" t="s">
        <v>7</v>
      </c>
      <c r="DW274" s="27" t="s">
        <v>8</v>
      </c>
      <c r="DX274" s="27" t="s">
        <v>7</v>
      </c>
      <c r="DY274" s="27" t="s">
        <v>8</v>
      </c>
      <c r="DZ274" s="27" t="s">
        <v>7</v>
      </c>
      <c r="EA274" s="27" t="s">
        <v>8</v>
      </c>
      <c r="EB274" s="27" t="s">
        <v>7</v>
      </c>
      <c r="EC274" s="27" t="s">
        <v>8</v>
      </c>
      <c r="ED274" s="27" t="s">
        <v>7</v>
      </c>
      <c r="EE274" s="27" t="s">
        <v>8</v>
      </c>
      <c r="EF274" s="27" t="s">
        <v>7</v>
      </c>
      <c r="EG274" s="27" t="s">
        <v>8</v>
      </c>
      <c r="EH274" s="27" t="s">
        <v>7</v>
      </c>
    </row>
    <row r="275" spans="1:141" x14ac:dyDescent="0.25">
      <c r="A275" s="30">
        <v>0.18129028535257471</v>
      </c>
      <c r="B275"/>
      <c r="C275"/>
      <c r="D275"/>
      <c r="E275"/>
      <c r="F275" s="27" t="s">
        <v>7</v>
      </c>
      <c r="I275" s="27" t="s">
        <v>8</v>
      </c>
      <c r="J275" s="27" t="s">
        <v>7</v>
      </c>
      <c r="Y275" s="27" t="s">
        <v>8</v>
      </c>
      <c r="Z275" s="27" t="s">
        <v>7</v>
      </c>
      <c r="AY275" s="27" t="s">
        <v>8</v>
      </c>
      <c r="AZ275" s="27" t="s">
        <v>7</v>
      </c>
      <c r="CB275" s="27" t="s">
        <v>7</v>
      </c>
      <c r="CC275" s="27" t="s">
        <v>8</v>
      </c>
      <c r="CD275" s="27" t="s">
        <v>7</v>
      </c>
      <c r="CG275" s="27" t="s">
        <v>8</v>
      </c>
      <c r="CH275" s="27" t="s">
        <v>7</v>
      </c>
      <c r="CI275" s="27" t="s">
        <v>8</v>
      </c>
      <c r="CJ275" s="27" t="s">
        <v>7</v>
      </c>
      <c r="CK275" s="27" t="s">
        <v>8</v>
      </c>
      <c r="CL275" s="27" t="s">
        <v>7</v>
      </c>
      <c r="CM275" s="27" t="s">
        <v>8</v>
      </c>
      <c r="CP275" s="27" t="s">
        <v>7</v>
      </c>
      <c r="CS275" s="27" t="s">
        <v>8</v>
      </c>
      <c r="CU275" s="27" t="s">
        <v>8</v>
      </c>
      <c r="CV275" s="27" t="s">
        <v>7</v>
      </c>
      <c r="CW275" s="27" t="s">
        <v>8</v>
      </c>
      <c r="CX275" s="27" t="s">
        <v>7</v>
      </c>
      <c r="CY275" s="27" t="s">
        <v>8</v>
      </c>
      <c r="CZ275" s="27" t="s">
        <v>7</v>
      </c>
      <c r="DA275" s="27" t="s">
        <v>8</v>
      </c>
      <c r="DB275" s="27" t="s">
        <v>7</v>
      </c>
      <c r="DC275" s="27" t="s">
        <v>8</v>
      </c>
      <c r="DJ275" s="27" t="s">
        <v>7</v>
      </c>
      <c r="DL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  <c r="DQ275" s="27" t="s">
        <v>8</v>
      </c>
      <c r="DR275" s="27" t="s">
        <v>7</v>
      </c>
      <c r="DS275" s="27" t="s">
        <v>8</v>
      </c>
      <c r="DT275" s="27" t="s">
        <v>7</v>
      </c>
      <c r="DU275" s="27" t="s">
        <v>8</v>
      </c>
      <c r="DV275" s="27" t="s">
        <v>7</v>
      </c>
      <c r="DW275" s="27" t="s">
        <v>8</v>
      </c>
      <c r="DX275" s="27" t="s">
        <v>7</v>
      </c>
      <c r="DY275" s="27" t="s">
        <v>8</v>
      </c>
      <c r="DZ275" s="27" t="s">
        <v>7</v>
      </c>
      <c r="EB275" s="27" t="s">
        <v>7</v>
      </c>
      <c r="ED275" s="27" t="s">
        <v>7</v>
      </c>
      <c r="EE275" s="27" t="s">
        <v>8</v>
      </c>
      <c r="EF275" s="27" t="s">
        <v>7</v>
      </c>
      <c r="EG275" s="27" t="s">
        <v>8</v>
      </c>
      <c r="EH275" s="27" t="s">
        <v>7</v>
      </c>
      <c r="EI275" s="27" t="s">
        <v>8</v>
      </c>
    </row>
    <row r="276" spans="1:141" x14ac:dyDescent="0.25">
      <c r="A276" s="30">
        <v>0.17265741462149967</v>
      </c>
      <c r="B276"/>
      <c r="C276"/>
      <c r="D276"/>
      <c r="E276"/>
      <c r="F276" s="27" t="s">
        <v>7</v>
      </c>
      <c r="I276" s="27" t="s">
        <v>8</v>
      </c>
      <c r="J276" s="27" t="s">
        <v>7</v>
      </c>
      <c r="Y276" s="27" t="s">
        <v>8</v>
      </c>
      <c r="Z276" s="27" t="s">
        <v>7</v>
      </c>
      <c r="AU276" s="27" t="s">
        <v>8</v>
      </c>
      <c r="AY276" s="27" t="s">
        <v>8</v>
      </c>
      <c r="CB276" s="27" t="s">
        <v>7</v>
      </c>
      <c r="CC276" s="27" t="s">
        <v>8</v>
      </c>
      <c r="CD276" s="27" t="s">
        <v>7</v>
      </c>
      <c r="CE276" s="27" t="s">
        <v>8</v>
      </c>
      <c r="CG276" s="27" t="s">
        <v>8</v>
      </c>
      <c r="CH276" s="27" t="s">
        <v>7</v>
      </c>
      <c r="CJ276" s="27" t="s">
        <v>7</v>
      </c>
      <c r="CK276" s="27" t="s">
        <v>8</v>
      </c>
      <c r="CL276" s="27" t="s">
        <v>7</v>
      </c>
      <c r="CM276" s="27" t="s">
        <v>8</v>
      </c>
      <c r="CP276" s="27" t="s">
        <v>7</v>
      </c>
      <c r="CQ276" s="27" t="s">
        <v>8</v>
      </c>
      <c r="CS276" s="27" t="s">
        <v>8</v>
      </c>
      <c r="CT276" s="27" t="s">
        <v>7</v>
      </c>
      <c r="CU276" s="27" t="s">
        <v>8</v>
      </c>
      <c r="CV276" s="27" t="s">
        <v>7</v>
      </c>
      <c r="CW276" s="27" t="s">
        <v>8</v>
      </c>
      <c r="CX276" s="27" t="s">
        <v>7</v>
      </c>
      <c r="CY276" s="27" t="s">
        <v>8</v>
      </c>
      <c r="CZ276" s="27" t="s">
        <v>7</v>
      </c>
      <c r="DA276" s="27" t="s">
        <v>8</v>
      </c>
      <c r="DB276" s="27" t="s">
        <v>7</v>
      </c>
      <c r="DL276" s="27" t="s">
        <v>7</v>
      </c>
      <c r="DM276" s="27" t="s">
        <v>8</v>
      </c>
      <c r="DN276" s="27" t="s">
        <v>7</v>
      </c>
      <c r="DO276" s="27" t="s">
        <v>8</v>
      </c>
      <c r="DP276" s="27" t="s">
        <v>7</v>
      </c>
      <c r="DR276" s="27" t="s">
        <v>7</v>
      </c>
      <c r="DT276" s="27" t="s">
        <v>7</v>
      </c>
      <c r="DU276" s="27" t="s">
        <v>8</v>
      </c>
      <c r="DV276" s="27" t="s">
        <v>7</v>
      </c>
      <c r="DX276" s="27" t="s">
        <v>7</v>
      </c>
      <c r="DY276" s="27" t="s">
        <v>8</v>
      </c>
      <c r="ED276" s="27" t="s">
        <v>7</v>
      </c>
      <c r="EE276" s="27" t="s">
        <v>8</v>
      </c>
      <c r="EF276" s="27" t="s">
        <v>7</v>
      </c>
      <c r="EG276" s="27" t="s">
        <v>8</v>
      </c>
      <c r="EH276" s="27" t="s">
        <v>7</v>
      </c>
      <c r="EI276" s="27" t="s">
        <v>8</v>
      </c>
      <c r="EJ276" s="27" t="s">
        <v>7</v>
      </c>
    </row>
    <row r="277" spans="1:141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I277" s="27" t="s">
        <v>8</v>
      </c>
      <c r="J277" s="27" t="s">
        <v>7</v>
      </c>
      <c r="Y277" s="27" t="s">
        <v>8</v>
      </c>
      <c r="Z277" s="27" t="s">
        <v>7</v>
      </c>
      <c r="AQ277" s="27" t="s">
        <v>8</v>
      </c>
      <c r="AU277" s="27" t="s">
        <v>8</v>
      </c>
      <c r="AV277" s="27" t="s">
        <v>7</v>
      </c>
      <c r="AY277" s="27" t="s">
        <v>8</v>
      </c>
      <c r="CB277" s="27" t="s">
        <v>7</v>
      </c>
      <c r="CC277" s="27" t="s">
        <v>8</v>
      </c>
      <c r="CD277" s="27" t="s">
        <v>7</v>
      </c>
      <c r="CE277" s="27" t="s">
        <v>8</v>
      </c>
      <c r="CF277" s="27" t="s">
        <v>7</v>
      </c>
      <c r="CG277" s="27" t="s">
        <v>8</v>
      </c>
      <c r="CJ277" s="27" t="s">
        <v>7</v>
      </c>
      <c r="CL277" s="27" t="s">
        <v>7</v>
      </c>
      <c r="CM277" s="27" t="s">
        <v>8</v>
      </c>
      <c r="CP277" s="27" t="s">
        <v>7</v>
      </c>
      <c r="CQ277" s="27" t="s">
        <v>8</v>
      </c>
      <c r="CR277" s="27" t="s">
        <v>7</v>
      </c>
      <c r="CS277" s="27" t="s">
        <v>8</v>
      </c>
      <c r="CT277" s="27" t="s">
        <v>7</v>
      </c>
      <c r="CU277" s="27" t="s">
        <v>8</v>
      </c>
      <c r="CV277" s="27" t="s">
        <v>7</v>
      </c>
      <c r="CW277" s="27" t="s">
        <v>8</v>
      </c>
      <c r="CX277" s="27" t="s">
        <v>7</v>
      </c>
      <c r="CY277" s="27" t="s">
        <v>8</v>
      </c>
      <c r="CZ277" s="27" t="s">
        <v>7</v>
      </c>
      <c r="DL277" s="27" t="s">
        <v>7</v>
      </c>
      <c r="DN277" s="27" t="s">
        <v>7</v>
      </c>
      <c r="DO277" s="27" t="s">
        <v>8</v>
      </c>
      <c r="DT277" s="27" t="s">
        <v>7</v>
      </c>
      <c r="DX277" s="27" t="s">
        <v>7</v>
      </c>
      <c r="DY277" s="27" t="s">
        <v>8</v>
      </c>
      <c r="ED277" s="27" t="s">
        <v>7</v>
      </c>
      <c r="EF277" s="27" t="s">
        <v>7</v>
      </c>
      <c r="EG277" s="27" t="s">
        <v>8</v>
      </c>
      <c r="EH277" s="27" t="s">
        <v>7</v>
      </c>
      <c r="EI277" s="27" t="s">
        <v>8</v>
      </c>
      <c r="EJ277" s="27" t="s">
        <v>7</v>
      </c>
    </row>
    <row r="278" spans="1:141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I278" s="27" t="s">
        <v>8</v>
      </c>
      <c r="J278" s="27" t="s">
        <v>7</v>
      </c>
      <c r="Y278" s="27" t="s">
        <v>8</v>
      </c>
      <c r="Z278" s="27" t="s">
        <v>7</v>
      </c>
      <c r="AQ278" s="27" t="s">
        <v>8</v>
      </c>
      <c r="AR278" s="27" t="s">
        <v>7</v>
      </c>
      <c r="AS278" s="27" t="s">
        <v>8</v>
      </c>
      <c r="AU278" s="27" t="s">
        <v>8</v>
      </c>
      <c r="AV278" s="27" t="s">
        <v>7</v>
      </c>
      <c r="AY278" s="27" t="s">
        <v>8</v>
      </c>
      <c r="CB278" s="27" t="s">
        <v>7</v>
      </c>
      <c r="CD278" s="27" t="s">
        <v>7</v>
      </c>
      <c r="CE278" s="27" t="s">
        <v>8</v>
      </c>
      <c r="CF278" s="27" t="s">
        <v>7</v>
      </c>
      <c r="CG278" s="27" t="s">
        <v>8</v>
      </c>
      <c r="CL278" s="27" t="s">
        <v>7</v>
      </c>
      <c r="CP278" s="27" t="s">
        <v>7</v>
      </c>
      <c r="CQ278" s="27" t="s">
        <v>8</v>
      </c>
      <c r="CR278" s="27" t="s">
        <v>7</v>
      </c>
      <c r="CS278" s="27" t="s">
        <v>8</v>
      </c>
      <c r="CT278" s="27" t="s">
        <v>7</v>
      </c>
      <c r="CU278" s="27" t="s">
        <v>8</v>
      </c>
      <c r="CV278" s="27" t="s">
        <v>7</v>
      </c>
      <c r="CX278" s="27" t="s">
        <v>7</v>
      </c>
      <c r="CY278" s="27" t="s">
        <v>8</v>
      </c>
      <c r="DN278" s="27" t="s">
        <v>7</v>
      </c>
      <c r="DX278" s="27" t="s">
        <v>7</v>
      </c>
      <c r="EF278" s="27" t="s">
        <v>7</v>
      </c>
      <c r="EG278" s="27" t="s">
        <v>8</v>
      </c>
      <c r="EH278" s="27" t="s">
        <v>7</v>
      </c>
      <c r="EI278" s="27" t="s">
        <v>8</v>
      </c>
      <c r="EJ278" s="27" t="s">
        <v>7</v>
      </c>
    </row>
    <row r="279" spans="1:141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I279" s="27" t="s">
        <v>8</v>
      </c>
      <c r="J279" s="27" t="s">
        <v>7</v>
      </c>
      <c r="Y279" s="27" t="s">
        <v>8</v>
      </c>
      <c r="Z279" s="27" t="s">
        <v>7</v>
      </c>
      <c r="AQ279" s="27" t="s">
        <v>8</v>
      </c>
      <c r="AR279" s="27" t="s">
        <v>7</v>
      </c>
      <c r="AS279" s="27" t="s">
        <v>8</v>
      </c>
      <c r="AT279" s="27" t="s">
        <v>7</v>
      </c>
      <c r="AU279" s="27" t="s">
        <v>8</v>
      </c>
      <c r="AV279" s="27" t="s">
        <v>7</v>
      </c>
      <c r="AY279" s="27" t="s">
        <v>8</v>
      </c>
      <c r="CD279" s="27" t="s">
        <v>7</v>
      </c>
      <c r="CE279" s="27" t="s">
        <v>8</v>
      </c>
      <c r="CF279" s="27" t="s">
        <v>7</v>
      </c>
      <c r="CG279" s="27" t="s">
        <v>8</v>
      </c>
      <c r="CP279" s="27" t="s">
        <v>7</v>
      </c>
      <c r="CQ279" s="27" t="s">
        <v>8</v>
      </c>
      <c r="CR279" s="27" t="s">
        <v>7</v>
      </c>
      <c r="CS279" s="27" t="s">
        <v>8</v>
      </c>
      <c r="CT279" s="27" t="s">
        <v>7</v>
      </c>
      <c r="CX279" s="27" t="s">
        <v>7</v>
      </c>
      <c r="CY279" s="27" t="s">
        <v>8</v>
      </c>
      <c r="EF279" s="27" t="s">
        <v>7</v>
      </c>
      <c r="EG279" s="27" t="s">
        <v>8</v>
      </c>
      <c r="EH279" s="27" t="s">
        <v>7</v>
      </c>
      <c r="EI279" s="27" t="s">
        <v>8</v>
      </c>
      <c r="EJ279" s="27" t="s">
        <v>7</v>
      </c>
    </row>
    <row r="280" spans="1:141" x14ac:dyDescent="0.25">
      <c r="A280" s="30">
        <v>0.14204568230027562</v>
      </c>
      <c r="B280"/>
      <c r="C280"/>
      <c r="D280"/>
      <c r="E280"/>
      <c r="F280" s="27" t="s">
        <v>7</v>
      </c>
      <c r="H280" s="27" t="s">
        <v>7</v>
      </c>
      <c r="J280" s="27" t="s">
        <v>7</v>
      </c>
      <c r="Y280" s="27" t="s">
        <v>8</v>
      </c>
      <c r="Z280" s="27" t="s">
        <v>7</v>
      </c>
      <c r="AQ280" s="27" t="s">
        <v>8</v>
      </c>
      <c r="AR280" s="27" t="s">
        <v>7</v>
      </c>
      <c r="AS280" s="27" t="s">
        <v>8</v>
      </c>
      <c r="AT280" s="27" t="s">
        <v>7</v>
      </c>
      <c r="AU280" s="27" t="s">
        <v>8</v>
      </c>
      <c r="AV280" s="27" t="s">
        <v>7</v>
      </c>
      <c r="AW280" s="27" t="s">
        <v>8</v>
      </c>
      <c r="AY280" s="27" t="s">
        <v>8</v>
      </c>
      <c r="CD280" s="27" t="s">
        <v>7</v>
      </c>
      <c r="CE280" s="27" t="s">
        <v>8</v>
      </c>
      <c r="CF280" s="27" t="s">
        <v>7</v>
      </c>
      <c r="CP280" s="27" t="s">
        <v>7</v>
      </c>
      <c r="CQ280" s="27" t="s">
        <v>8</v>
      </c>
      <c r="CR280" s="27" t="s">
        <v>7</v>
      </c>
      <c r="CS280" s="27" t="s">
        <v>8</v>
      </c>
      <c r="CX280" s="18" t="s">
        <v>7</v>
      </c>
      <c r="CY280" s="27" t="s">
        <v>8</v>
      </c>
      <c r="EF280" s="27" t="s">
        <v>7</v>
      </c>
      <c r="EG280" s="27" t="s">
        <v>8</v>
      </c>
      <c r="EH280" s="27" t="s">
        <v>7</v>
      </c>
      <c r="EJ280" s="27" t="s">
        <v>7</v>
      </c>
    </row>
    <row r="281" spans="1:141" x14ac:dyDescent="0.25">
      <c r="A281" s="30">
        <v>0.13528160219073862</v>
      </c>
      <c r="B281"/>
      <c r="C281"/>
      <c r="D281"/>
      <c r="E281"/>
      <c r="J281" s="27" t="s">
        <v>7</v>
      </c>
      <c r="M281" s="27" t="s">
        <v>8</v>
      </c>
      <c r="Y281" s="27" t="s">
        <v>8</v>
      </c>
      <c r="Z281" s="27" t="s">
        <v>7</v>
      </c>
      <c r="AM281" s="27" t="s">
        <v>8</v>
      </c>
      <c r="AQ281" s="27" t="s">
        <v>8</v>
      </c>
      <c r="AR281" s="27" t="s">
        <v>7</v>
      </c>
      <c r="AS281" s="27" t="s">
        <v>8</v>
      </c>
      <c r="AT281" s="27" t="s">
        <v>7</v>
      </c>
      <c r="AU281" s="27" t="s">
        <v>8</v>
      </c>
      <c r="AV281" s="27" t="s">
        <v>7</v>
      </c>
      <c r="AW281" s="27" t="s">
        <v>8</v>
      </c>
      <c r="AX281" s="27" t="s">
        <v>7</v>
      </c>
      <c r="AY281" s="27" t="s">
        <v>8</v>
      </c>
      <c r="CD281" s="27" t="s">
        <v>7</v>
      </c>
      <c r="CE281" s="27" t="s">
        <v>8</v>
      </c>
      <c r="CP281" s="27" t="s">
        <v>7</v>
      </c>
      <c r="CR281" s="27" t="s">
        <v>7</v>
      </c>
      <c r="CX281" s="27" t="s">
        <v>7</v>
      </c>
      <c r="CY281" s="27" t="s">
        <v>8</v>
      </c>
      <c r="EF281" s="27" t="s">
        <v>7</v>
      </c>
      <c r="EJ281" s="27" t="s">
        <v>7</v>
      </c>
    </row>
    <row r="282" spans="1:141" x14ac:dyDescent="0.25">
      <c r="A282" s="30">
        <v>0.12883962113403674</v>
      </c>
      <c r="B282"/>
      <c r="C282"/>
      <c r="D282"/>
      <c r="E282"/>
      <c r="J282" s="27" t="s">
        <v>7</v>
      </c>
      <c r="K282" s="27" t="s">
        <v>8</v>
      </c>
      <c r="M282" s="27" t="s">
        <v>8</v>
      </c>
      <c r="N282" s="27" t="s">
        <v>7</v>
      </c>
      <c r="Y282" s="27" t="s">
        <v>8</v>
      </c>
      <c r="Z282" s="27" t="s">
        <v>7</v>
      </c>
      <c r="AM282" s="27" t="s">
        <v>8</v>
      </c>
      <c r="AN282" s="27" t="s">
        <v>7</v>
      </c>
      <c r="AO282" s="27" t="s">
        <v>8</v>
      </c>
      <c r="AQ282" s="27" t="s">
        <v>8</v>
      </c>
      <c r="AR282" s="27" t="s">
        <v>7</v>
      </c>
      <c r="AS282" s="27" t="s">
        <v>8</v>
      </c>
      <c r="AT282" s="27" t="s">
        <v>7</v>
      </c>
      <c r="AV282" s="27" t="s">
        <v>7</v>
      </c>
      <c r="AW282" s="27" t="s">
        <v>8</v>
      </c>
      <c r="AX282" s="27" t="s">
        <v>7</v>
      </c>
      <c r="AY282" s="27" t="s">
        <v>8</v>
      </c>
      <c r="CD282" s="27" t="s">
        <v>7</v>
      </c>
      <c r="CE282" s="27" t="s">
        <v>8</v>
      </c>
      <c r="CX282" s="27" t="s">
        <v>7</v>
      </c>
      <c r="EJ282" s="27" t="s">
        <v>7</v>
      </c>
    </row>
    <row r="283" spans="1:141" x14ac:dyDescent="0.25">
      <c r="A283" s="30">
        <v>0.12270440108003494</v>
      </c>
      <c r="B283"/>
      <c r="C283"/>
      <c r="D283"/>
      <c r="E283"/>
      <c r="J283" s="27" t="s">
        <v>7</v>
      </c>
      <c r="K283" s="27" t="s">
        <v>8</v>
      </c>
      <c r="L283" s="27" t="s">
        <v>7</v>
      </c>
      <c r="M283" s="27" t="s">
        <v>8</v>
      </c>
      <c r="N283" s="27" t="s">
        <v>7</v>
      </c>
      <c r="Y283" s="27" t="s">
        <v>8</v>
      </c>
      <c r="Z283" s="27" t="s">
        <v>7</v>
      </c>
      <c r="AM283" s="27" t="s">
        <v>8</v>
      </c>
      <c r="AN283" s="27" t="s">
        <v>7</v>
      </c>
      <c r="AO283" s="27" t="s">
        <v>8</v>
      </c>
      <c r="AP283" s="27" t="s">
        <v>7</v>
      </c>
      <c r="AQ283" s="27" t="s">
        <v>8</v>
      </c>
      <c r="AR283" s="27" t="s">
        <v>7</v>
      </c>
      <c r="AV283" s="27" t="s">
        <v>7</v>
      </c>
      <c r="AW283" s="27" t="s">
        <v>8</v>
      </c>
      <c r="AX283" s="27" t="s">
        <v>7</v>
      </c>
      <c r="AY283" s="27" t="s">
        <v>8</v>
      </c>
      <c r="CD283" s="27" t="s">
        <v>7</v>
      </c>
      <c r="CE283" s="27" t="s">
        <v>8</v>
      </c>
      <c r="EJ283" s="27" t="s">
        <v>7</v>
      </c>
    </row>
    <row r="284" spans="1:141" x14ac:dyDescent="0.25">
      <c r="A284" s="30">
        <v>0.11686133436193799</v>
      </c>
      <c r="B284"/>
      <c r="C284"/>
      <c r="D284"/>
      <c r="E284"/>
      <c r="J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O284" s="27" t="s">
        <v>8</v>
      </c>
      <c r="Y284" s="27" t="s">
        <v>8</v>
      </c>
      <c r="Z284" s="27" t="s">
        <v>7</v>
      </c>
      <c r="AM284" s="27" t="s">
        <v>8</v>
      </c>
      <c r="AN284" s="27" t="s">
        <v>7</v>
      </c>
      <c r="AO284" s="27" t="s">
        <v>8</v>
      </c>
      <c r="AP284" s="27" t="s">
        <v>7</v>
      </c>
      <c r="AQ284" s="27" t="s">
        <v>8</v>
      </c>
      <c r="AV284" s="27" t="s">
        <v>7</v>
      </c>
      <c r="AW284" s="27" t="s">
        <v>8</v>
      </c>
      <c r="AX284" s="27" t="s">
        <v>7</v>
      </c>
      <c r="CD284" s="27" t="s">
        <v>7</v>
      </c>
      <c r="CE284" s="27" t="s">
        <v>8</v>
      </c>
      <c r="EJ284" s="27" t="s">
        <v>7</v>
      </c>
    </row>
    <row r="285" spans="1:141" x14ac:dyDescent="0.25">
      <c r="A285" s="30">
        <v>0.11129650891613138</v>
      </c>
      <c r="B285"/>
      <c r="C285"/>
      <c r="D285"/>
      <c r="E285"/>
      <c r="J285" s="27" t="s">
        <v>7</v>
      </c>
      <c r="K285" s="27" t="s">
        <v>8</v>
      </c>
      <c r="L285" s="27" t="s">
        <v>7</v>
      </c>
      <c r="M285" s="27" t="s">
        <v>8</v>
      </c>
      <c r="N285" s="27" t="s">
        <v>7</v>
      </c>
      <c r="O285" s="27" t="s">
        <v>8</v>
      </c>
      <c r="P285" s="27" t="s">
        <v>7</v>
      </c>
      <c r="Y285" s="27" t="s">
        <v>8</v>
      </c>
      <c r="Z285" s="27" t="s">
        <v>7</v>
      </c>
      <c r="AM285" s="27" t="s">
        <v>8</v>
      </c>
      <c r="AN285" s="27" t="s">
        <v>7</v>
      </c>
      <c r="AO285" s="27" t="s">
        <v>8</v>
      </c>
      <c r="AP285" s="27" t="s">
        <v>7</v>
      </c>
      <c r="AQ285" s="27" t="s">
        <v>8</v>
      </c>
      <c r="AV285" s="27" t="s">
        <v>7</v>
      </c>
      <c r="AW285" s="27" t="s">
        <v>8</v>
      </c>
      <c r="CD285" s="27" t="s">
        <v>7</v>
      </c>
      <c r="EJ285" s="27" t="s">
        <v>7</v>
      </c>
    </row>
    <row r="286" spans="1:141" x14ac:dyDescent="0.25">
      <c r="A286" s="30">
        <v>0.10599667515822032</v>
      </c>
      <c r="B286"/>
      <c r="C286"/>
      <c r="D286"/>
      <c r="E286"/>
      <c r="J286" s="27" t="s">
        <v>7</v>
      </c>
      <c r="K286" s="27" t="s">
        <v>8</v>
      </c>
      <c r="L286" s="27" t="s">
        <v>7</v>
      </c>
      <c r="M286" s="27" t="s">
        <v>8</v>
      </c>
      <c r="N286" s="27" t="s">
        <v>7</v>
      </c>
      <c r="O286" s="27" t="s">
        <v>8</v>
      </c>
      <c r="P286" s="27" t="s">
        <v>7</v>
      </c>
      <c r="S286" s="27" t="s">
        <v>8</v>
      </c>
      <c r="W286" s="27" t="s">
        <v>8</v>
      </c>
      <c r="Y286" s="27" t="s">
        <v>8</v>
      </c>
      <c r="Z286" s="27" t="s">
        <v>7</v>
      </c>
      <c r="AM286" s="27" t="s">
        <v>8</v>
      </c>
      <c r="AN286" s="27" t="s">
        <v>7</v>
      </c>
      <c r="AO286" s="27" t="s">
        <v>8</v>
      </c>
      <c r="AP286" s="27" t="s">
        <v>7</v>
      </c>
      <c r="AQ286" s="27" t="s">
        <v>8</v>
      </c>
      <c r="AV286" s="27" t="s">
        <v>7</v>
      </c>
      <c r="EJ286" s="27" t="s">
        <v>7</v>
      </c>
    </row>
    <row r="287" spans="1:141" x14ac:dyDescent="0.25">
      <c r="A287" s="30">
        <v>0.10094921443640027</v>
      </c>
      <c r="B287"/>
      <c r="C287"/>
      <c r="D287"/>
      <c r="E287"/>
      <c r="J287" s="27" t="s">
        <v>7</v>
      </c>
      <c r="L287" s="27" t="s">
        <v>7</v>
      </c>
      <c r="N287" s="27" t="s">
        <v>7</v>
      </c>
      <c r="O287" s="27" t="s">
        <v>8</v>
      </c>
      <c r="P287" s="27" t="s">
        <v>7</v>
      </c>
      <c r="S287" s="27" t="s">
        <v>8</v>
      </c>
      <c r="T287" s="27" t="s">
        <v>7</v>
      </c>
      <c r="W287" s="27" t="s">
        <v>8</v>
      </c>
      <c r="X287" s="27" t="s">
        <v>7</v>
      </c>
      <c r="Y287" s="27" t="s">
        <v>8</v>
      </c>
      <c r="Z287" s="27" t="s">
        <v>7</v>
      </c>
      <c r="AM287" s="27" t="s">
        <v>8</v>
      </c>
      <c r="AN287" s="27" t="s">
        <v>7</v>
      </c>
      <c r="AO287" s="27" t="s">
        <v>8</v>
      </c>
      <c r="AP287" s="27" t="s">
        <v>7</v>
      </c>
      <c r="AQ287" s="27" t="s">
        <v>8</v>
      </c>
      <c r="EJ287" s="27" t="s">
        <v>7</v>
      </c>
      <c r="EK287" s="27" t="s">
        <v>8</v>
      </c>
    </row>
    <row r="288" spans="1:141" x14ac:dyDescent="0.25">
      <c r="A288" s="30">
        <v>9.6142108987047836E-2</v>
      </c>
      <c r="B288"/>
      <c r="C288"/>
      <c r="D288"/>
      <c r="E288"/>
      <c r="N288" s="27" t="s">
        <v>7</v>
      </c>
      <c r="P288" s="27" t="s">
        <v>7</v>
      </c>
      <c r="S288" s="27" t="s">
        <v>8</v>
      </c>
      <c r="T288" s="27" t="s">
        <v>7</v>
      </c>
      <c r="W288" s="27" t="s">
        <v>8</v>
      </c>
      <c r="X288" s="27" t="s">
        <v>7</v>
      </c>
      <c r="Y288" s="27" t="s">
        <v>8</v>
      </c>
      <c r="Z288" s="27" t="s">
        <v>7</v>
      </c>
      <c r="AM288" s="27" t="s">
        <v>8</v>
      </c>
      <c r="AN288" s="27" t="s">
        <v>7</v>
      </c>
      <c r="AO288" s="27" t="s">
        <v>8</v>
      </c>
      <c r="AP288" s="27" t="s">
        <v>7</v>
      </c>
      <c r="AQ288" s="27" t="s">
        <v>8</v>
      </c>
      <c r="EJ288" s="27" t="s">
        <v>7</v>
      </c>
      <c r="EK288" s="27" t="s">
        <v>8</v>
      </c>
    </row>
    <row r="289" spans="1:141" x14ac:dyDescent="0.25">
      <c r="A289" s="30">
        <v>9.1563913320997906E-2</v>
      </c>
      <c r="B289"/>
      <c r="C289"/>
      <c r="D289"/>
      <c r="E289"/>
      <c r="P289" s="27" t="s">
        <v>7</v>
      </c>
      <c r="S289" s="27" t="s">
        <v>8</v>
      </c>
      <c r="T289" s="27" t="s">
        <v>7</v>
      </c>
      <c r="U289" s="27" t="s">
        <v>8</v>
      </c>
      <c r="W289" s="27" t="s">
        <v>8</v>
      </c>
      <c r="X289" s="27" t="s">
        <v>7</v>
      </c>
      <c r="Y289" s="27" t="s">
        <v>8</v>
      </c>
      <c r="Z289" s="27" t="s">
        <v>7</v>
      </c>
      <c r="AE289" s="27" t="s">
        <v>8</v>
      </c>
      <c r="AM289" s="27" t="s">
        <v>8</v>
      </c>
      <c r="AN289" s="27" t="s">
        <v>7</v>
      </c>
      <c r="AO289" s="27" t="s">
        <v>8</v>
      </c>
      <c r="AP289" s="27" t="s">
        <v>7</v>
      </c>
      <c r="AQ289" s="27" t="s">
        <v>8</v>
      </c>
      <c r="EJ289" s="27" t="s">
        <v>7</v>
      </c>
      <c r="EK289" s="27" t="s">
        <v>8</v>
      </c>
    </row>
    <row r="290" spans="1:141" x14ac:dyDescent="0.25">
      <c r="A290" s="30">
        <v>8.7203726972378923E-2</v>
      </c>
      <c r="B290"/>
      <c r="C290"/>
      <c r="D290"/>
      <c r="E290"/>
      <c r="P290" s="27" t="s">
        <v>7</v>
      </c>
      <c r="Q290" s="27" t="s">
        <v>8</v>
      </c>
      <c r="S290" s="27" t="s">
        <v>8</v>
      </c>
      <c r="T290" s="27" t="s">
        <v>7</v>
      </c>
      <c r="U290" s="27" t="s">
        <v>8</v>
      </c>
      <c r="V290" s="27" t="s">
        <v>7</v>
      </c>
      <c r="W290" s="27" t="s">
        <v>8</v>
      </c>
      <c r="X290" s="27" t="s">
        <v>7</v>
      </c>
      <c r="Y290" s="27" t="s">
        <v>8</v>
      </c>
      <c r="Z290" s="27" t="s">
        <v>7</v>
      </c>
      <c r="AE290" s="27" t="s">
        <v>8</v>
      </c>
      <c r="AF290" s="27" t="s">
        <v>7</v>
      </c>
      <c r="AM290" s="27" t="s">
        <v>8</v>
      </c>
      <c r="AN290" s="27" t="s">
        <v>7</v>
      </c>
      <c r="AO290" s="27" t="s">
        <v>8</v>
      </c>
      <c r="AP290" s="27" t="s">
        <v>7</v>
      </c>
      <c r="EJ290" s="27" t="s">
        <v>7</v>
      </c>
    </row>
    <row r="291" spans="1:141" x14ac:dyDescent="0.25">
      <c r="A291" s="30">
        <v>8.3051168545122747E-2</v>
      </c>
      <c r="B291"/>
      <c r="C291"/>
      <c r="D291"/>
      <c r="E291"/>
      <c r="P291" s="27" t="s">
        <v>7</v>
      </c>
      <c r="Q291" s="27" t="s">
        <v>8</v>
      </c>
      <c r="R291" s="27" t="s">
        <v>7</v>
      </c>
      <c r="S291" s="27" t="s">
        <v>8</v>
      </c>
      <c r="T291" s="27" t="s">
        <v>7</v>
      </c>
      <c r="U291" s="27" t="s">
        <v>8</v>
      </c>
      <c r="V291" s="27" t="s">
        <v>7</v>
      </c>
      <c r="W291" s="27" t="s">
        <v>8</v>
      </c>
      <c r="X291" s="27" t="s">
        <v>7</v>
      </c>
      <c r="Y291" s="27" t="s">
        <v>8</v>
      </c>
      <c r="Z291" s="27" t="s">
        <v>7</v>
      </c>
      <c r="AE291" s="27" t="s">
        <v>8</v>
      </c>
      <c r="AF291" s="27" t="s">
        <v>7</v>
      </c>
      <c r="AI291" s="27" t="s">
        <v>8</v>
      </c>
      <c r="AM291" s="27" t="s">
        <v>8</v>
      </c>
      <c r="AN291" s="27" t="s">
        <v>7</v>
      </c>
      <c r="AO291" s="27" t="s">
        <v>8</v>
      </c>
    </row>
    <row r="292" spans="1:141" x14ac:dyDescent="0.25">
      <c r="A292" s="30">
        <v>7.9096350995354961E-2</v>
      </c>
      <c r="B292"/>
      <c r="C292"/>
      <c r="D292"/>
      <c r="E292"/>
      <c r="P292" s="27" t="s">
        <v>7</v>
      </c>
      <c r="Q292" s="27" t="s">
        <v>8</v>
      </c>
      <c r="R292" s="27" t="s">
        <v>7</v>
      </c>
      <c r="S292" s="27" t="s">
        <v>8</v>
      </c>
      <c r="T292" s="27" t="s">
        <v>7</v>
      </c>
      <c r="U292" s="27" t="s">
        <v>8</v>
      </c>
      <c r="V292" s="27" t="s">
        <v>7</v>
      </c>
      <c r="W292" s="27" t="s">
        <v>8</v>
      </c>
      <c r="X292" s="27" t="s">
        <v>7</v>
      </c>
      <c r="Z292" s="27" t="s">
        <v>7</v>
      </c>
      <c r="AC292" s="27" t="s">
        <v>8</v>
      </c>
      <c r="AE292" s="27" t="s">
        <v>8</v>
      </c>
      <c r="AF292" s="27" t="s">
        <v>7</v>
      </c>
      <c r="AI292" s="27" t="s">
        <v>8</v>
      </c>
      <c r="AJ292" s="27" t="s">
        <v>7</v>
      </c>
      <c r="AK292" s="27" t="s">
        <v>8</v>
      </c>
      <c r="AM292" s="27" t="s">
        <v>8</v>
      </c>
      <c r="AN292" s="27" t="s">
        <v>7</v>
      </c>
      <c r="AO292" s="27" t="s">
        <v>8</v>
      </c>
    </row>
    <row r="293" spans="1:141" x14ac:dyDescent="0.25">
      <c r="A293" s="30">
        <v>7.5329858090814217E-2</v>
      </c>
      <c r="B293"/>
      <c r="C293"/>
      <c r="D293"/>
      <c r="E293"/>
      <c r="P293" s="27" t="s">
        <v>7</v>
      </c>
      <c r="Q293" s="27" t="s">
        <v>8</v>
      </c>
      <c r="R293" s="27" t="s">
        <v>7</v>
      </c>
      <c r="T293" s="27" t="s">
        <v>7</v>
      </c>
      <c r="V293" s="27" t="s">
        <v>7</v>
      </c>
      <c r="Z293" s="27" t="s">
        <v>7</v>
      </c>
      <c r="AC293" s="27" t="s">
        <v>8</v>
      </c>
      <c r="AD293" s="27" t="s">
        <v>7</v>
      </c>
      <c r="AE293" s="27" t="s">
        <v>8</v>
      </c>
      <c r="AF293" s="27" t="s">
        <v>7</v>
      </c>
      <c r="AG293" s="27" t="s">
        <v>8</v>
      </c>
      <c r="AI293" s="27" t="s">
        <v>8</v>
      </c>
      <c r="AJ293" s="27" t="s">
        <v>7</v>
      </c>
      <c r="AK293" s="27" t="s">
        <v>8</v>
      </c>
      <c r="AL293" s="27" t="s">
        <v>7</v>
      </c>
      <c r="AM293" s="27" t="s">
        <v>8</v>
      </c>
      <c r="AN293" s="27" t="s">
        <v>7</v>
      </c>
      <c r="AO293" s="27" t="s">
        <v>8</v>
      </c>
    </row>
    <row r="294" spans="1:141" x14ac:dyDescent="0.25">
      <c r="A294" s="30">
        <v>7.1742721991251604E-2</v>
      </c>
      <c r="B294"/>
      <c r="C294"/>
      <c r="D294"/>
      <c r="E294"/>
      <c r="P294" s="27" t="s">
        <v>7</v>
      </c>
      <c r="Q294" s="27" t="s">
        <v>8</v>
      </c>
      <c r="Z294" s="27" t="s">
        <v>7</v>
      </c>
      <c r="AA294" s="27" t="s">
        <v>8</v>
      </c>
      <c r="AC294" s="27" t="s">
        <v>8</v>
      </c>
      <c r="AD294" s="27" t="s">
        <v>7</v>
      </c>
      <c r="AE294" s="27" t="s">
        <v>8</v>
      </c>
      <c r="AF294" s="27" t="s">
        <v>7</v>
      </c>
      <c r="AG294" s="27" t="s">
        <v>8</v>
      </c>
      <c r="AH294" s="27" t="s">
        <v>7</v>
      </c>
      <c r="AI294" s="27" t="s">
        <v>8</v>
      </c>
      <c r="AJ294" s="27" t="s">
        <v>7</v>
      </c>
      <c r="AK294" s="27" t="s">
        <v>8</v>
      </c>
      <c r="AL294" s="27" t="s">
        <v>7</v>
      </c>
      <c r="AM294" s="27" t="s">
        <v>8</v>
      </c>
      <c r="AN294" s="27" t="s">
        <v>7</v>
      </c>
    </row>
    <row r="295" spans="1:141" x14ac:dyDescent="0.25">
      <c r="A295" s="30">
        <v>6.8326401896430078E-2</v>
      </c>
      <c r="B295"/>
      <c r="C295"/>
      <c r="D295"/>
      <c r="E295"/>
      <c r="P295" s="27" t="s">
        <v>7</v>
      </c>
      <c r="Z295" s="27" t="s">
        <v>7</v>
      </c>
      <c r="AA295" s="27" t="s">
        <v>8</v>
      </c>
      <c r="AB295" s="27" t="s">
        <v>7</v>
      </c>
      <c r="AC295" s="27" t="s">
        <v>8</v>
      </c>
      <c r="AD295" s="27" t="s">
        <v>7</v>
      </c>
      <c r="AE295" s="27" t="s">
        <v>8</v>
      </c>
      <c r="AF295" s="27" t="s">
        <v>7</v>
      </c>
      <c r="AG295" s="27" t="s">
        <v>8</v>
      </c>
      <c r="AH295" s="27" t="s">
        <v>7</v>
      </c>
      <c r="AI295" s="27" t="s">
        <v>8</v>
      </c>
      <c r="AJ295" s="27" t="s">
        <v>7</v>
      </c>
      <c r="AL295" s="27" t="s">
        <v>7</v>
      </c>
    </row>
    <row r="296" spans="1:141" x14ac:dyDescent="0.25">
      <c r="A296" s="30">
        <v>6.5072763710885759E-2</v>
      </c>
      <c r="B296"/>
      <c r="C296"/>
      <c r="D296"/>
      <c r="E296"/>
      <c r="Z296" s="27" t="s">
        <v>7</v>
      </c>
      <c r="AA296" s="27" t="s">
        <v>8</v>
      </c>
      <c r="AB296" s="27" t="s">
        <v>7</v>
      </c>
      <c r="AC296" s="27" t="s">
        <v>8</v>
      </c>
      <c r="AD296" s="27" t="s">
        <v>7</v>
      </c>
      <c r="AE296" s="27" t="s">
        <v>8</v>
      </c>
      <c r="AF296" s="27" t="s">
        <v>7</v>
      </c>
      <c r="AG296" s="27" t="s">
        <v>8</v>
      </c>
      <c r="AH296" s="27" t="s">
        <v>7</v>
      </c>
      <c r="AI296" s="27" t="s">
        <v>8</v>
      </c>
    </row>
    <row r="297" spans="1:141" x14ac:dyDescent="0.25">
      <c r="A297" s="30">
        <v>6.197406067703403E-2</v>
      </c>
      <c r="B297"/>
      <c r="C297"/>
      <c r="D297"/>
      <c r="E297"/>
      <c r="Z297" s="27" t="s">
        <v>7</v>
      </c>
      <c r="AB297" s="27" t="s">
        <v>7</v>
      </c>
      <c r="AD297" s="27" t="s">
        <v>7</v>
      </c>
      <c r="AE297" s="27" t="s">
        <v>8</v>
      </c>
      <c r="AF297" s="27" t="s">
        <v>7</v>
      </c>
      <c r="AG297" s="27" t="s">
        <v>8</v>
      </c>
      <c r="AH297" s="27" t="s">
        <v>7</v>
      </c>
    </row>
    <row r="298" spans="1:141" x14ac:dyDescent="0.25">
      <c r="A298" s="30">
        <v>5.9022914930508576E-2</v>
      </c>
      <c r="B298"/>
      <c r="C298"/>
      <c r="D298"/>
      <c r="E298"/>
      <c r="AD298" s="27" t="s">
        <v>7</v>
      </c>
      <c r="AF298" s="27" t="s">
        <v>7</v>
      </c>
    </row>
    <row r="299" spans="1:141" x14ac:dyDescent="0.25">
      <c r="A299" s="30">
        <v>5.6212299933817669E-2</v>
      </c>
      <c r="B299"/>
      <c r="C299"/>
      <c r="D299"/>
      <c r="E299"/>
    </row>
    <row r="300" spans="1:141" x14ac:dyDescent="0.25">
      <c r="A300" s="30">
        <v>5.3535523746492994E-2</v>
      </c>
      <c r="B300"/>
      <c r="C300"/>
      <c r="D300"/>
      <c r="E300"/>
    </row>
    <row r="301" spans="1:141" x14ac:dyDescent="0.25">
      <c r="A301" s="30">
        <v>5.0986213091898068E-2</v>
      </c>
      <c r="B301"/>
      <c r="C301"/>
      <c r="D301"/>
      <c r="E301"/>
    </row>
    <row r="302" spans="1:141" x14ac:dyDescent="0.25">
      <c r="A302" s="30">
        <v>4.8558298182760043E-2</v>
      </c>
      <c r="B302"/>
      <c r="C302"/>
      <c r="D302"/>
      <c r="E302"/>
    </row>
    <row r="303" spans="1:141" x14ac:dyDescent="0.25">
      <c r="A303" s="30">
        <v>4.6245998269295263E-2</v>
      </c>
      <c r="B303"/>
      <c r="C303"/>
      <c r="D303"/>
      <c r="E303"/>
    </row>
    <row r="304" spans="1:141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1" operator="equal">
      <formula>$U$1</formula>
    </cfRule>
    <cfRule type="cellIs" dxfId="67" priority="932" operator="equal">
      <formula>$S$1</formula>
    </cfRule>
  </conditionalFormatting>
  <conditionalFormatting sqref="D136">
    <cfRule type="cellIs" dxfId="66" priority="929" operator="equal">
      <formula>$S$1</formula>
    </cfRule>
    <cfRule type="cellIs" dxfId="65" priority="930" operator="equal">
      <formula>$U$1</formula>
    </cfRule>
  </conditionalFormatting>
  <conditionalFormatting sqref="C162">
    <cfRule type="cellIs" dxfId="64" priority="927" operator="equal">
      <formula>$U$1</formula>
    </cfRule>
    <cfRule type="cellIs" dxfId="63" priority="928" operator="equal">
      <formula>$S$1</formula>
    </cfRule>
  </conditionalFormatting>
  <conditionalFormatting sqref="D162">
    <cfRule type="cellIs" dxfId="62" priority="925" operator="equal">
      <formula>$S$1</formula>
    </cfRule>
    <cfRule type="cellIs" dxfId="61" priority="926" operator="equal">
      <formula>$U$1</formula>
    </cfRule>
  </conditionalFormatting>
  <conditionalFormatting sqref="C187">
    <cfRule type="cellIs" dxfId="60" priority="923" operator="equal">
      <formula>$U$1</formula>
    </cfRule>
    <cfRule type="cellIs" dxfId="59" priority="924" operator="equal">
      <formula>$S$1</formula>
    </cfRule>
  </conditionalFormatting>
  <conditionalFormatting sqref="D187">
    <cfRule type="cellIs" dxfId="58" priority="921" operator="equal">
      <formula>$S$1</formula>
    </cfRule>
    <cfRule type="cellIs" dxfId="57" priority="922" operator="equal">
      <formula>$U$1</formula>
    </cfRule>
  </conditionalFormatting>
  <conditionalFormatting sqref="C212">
    <cfRule type="cellIs" dxfId="56" priority="919" operator="equal">
      <formula>$U$1</formula>
    </cfRule>
    <cfRule type="cellIs" dxfId="55" priority="920" operator="equal">
      <formula>$S$1</formula>
    </cfRule>
  </conditionalFormatting>
  <conditionalFormatting sqref="D212">
    <cfRule type="cellIs" dxfId="54" priority="917" operator="equal">
      <formula>$S$1</formula>
    </cfRule>
    <cfRule type="cellIs" dxfId="53" priority="918" operator="equal">
      <formula>$U$1</formula>
    </cfRule>
  </conditionalFormatting>
  <conditionalFormatting sqref="C237">
    <cfRule type="cellIs" dxfId="52" priority="915" operator="equal">
      <formula>$U$1</formula>
    </cfRule>
    <cfRule type="cellIs" dxfId="51" priority="916" operator="equal">
      <formula>$S$1</formula>
    </cfRule>
  </conditionalFormatting>
  <conditionalFormatting sqref="D237">
    <cfRule type="cellIs" dxfId="50" priority="913" operator="equal">
      <formula>$S$1</formula>
    </cfRule>
    <cfRule type="cellIs" dxfId="49" priority="914" operator="equal">
      <formula>$U$1</formula>
    </cfRule>
  </conditionalFormatting>
  <conditionalFormatting sqref="C106">
    <cfRule type="cellIs" dxfId="48" priority="911" operator="equal">
      <formula>$U$1</formula>
    </cfRule>
    <cfRule type="cellIs" dxfId="47" priority="912" operator="equal">
      <formula>$S$1</formula>
    </cfRule>
  </conditionalFormatting>
  <conditionalFormatting sqref="D106">
    <cfRule type="cellIs" dxfId="46" priority="909" operator="equal">
      <formula>$S$1</formula>
    </cfRule>
    <cfRule type="cellIs" dxfId="45" priority="910" operator="equal">
      <formula>$U$1</formula>
    </cfRule>
  </conditionalFormatting>
  <conditionalFormatting sqref="C81">
    <cfRule type="cellIs" dxfId="44" priority="907" operator="equal">
      <formula>$U$1</formula>
    </cfRule>
    <cfRule type="cellIs" dxfId="43" priority="908" operator="equal">
      <formula>$S$1</formula>
    </cfRule>
  </conditionalFormatting>
  <conditionalFormatting sqref="D81">
    <cfRule type="cellIs" dxfId="42" priority="905" operator="equal">
      <formula>$S$1</formula>
    </cfRule>
    <cfRule type="cellIs" dxfId="41" priority="906" operator="equal">
      <formula>$U$1</formula>
    </cfRule>
  </conditionalFormatting>
  <conditionalFormatting sqref="C56">
    <cfRule type="cellIs" dxfId="40" priority="903" operator="equal">
      <formula>$U$1</formula>
    </cfRule>
    <cfRule type="cellIs" dxfId="39" priority="904" operator="equal">
      <formula>$S$1</formula>
    </cfRule>
  </conditionalFormatting>
  <conditionalFormatting sqref="D56">
    <cfRule type="cellIs" dxfId="38" priority="901" operator="equal">
      <formula>$S$1</formula>
    </cfRule>
    <cfRule type="cellIs" dxfId="37" priority="902" operator="equal">
      <formula>$U$1</formula>
    </cfRule>
  </conditionalFormatting>
  <conditionalFormatting sqref="C31">
    <cfRule type="cellIs" dxfId="36" priority="899" operator="equal">
      <formula>$U$1</formula>
    </cfRule>
    <cfRule type="cellIs" dxfId="35" priority="900" operator="equal">
      <formula>$S$1</formula>
    </cfRule>
  </conditionalFormatting>
  <conditionalFormatting sqref="D31">
    <cfRule type="cellIs" dxfId="34" priority="897" operator="equal">
      <formula>$S$1</formula>
    </cfRule>
    <cfRule type="cellIs" dxfId="33" priority="89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47" sqref="BD14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$A$146</v>
      </c>
      <c r="D111" s="1" t="str">
        <f>ADDRESS(C121-1,D121,1,1)</f>
        <v>$BD$146</v>
      </c>
      <c r="E111"/>
    </row>
    <row r="112" spans="1:5" x14ac:dyDescent="0.25">
      <c r="A112" s="30">
        <v>2.3579476910000019</v>
      </c>
      <c r="C112" s="1" t="str">
        <f>ADDRESS(C121,1,1,1)</f>
        <v>$A$147</v>
      </c>
      <c r="D112" s="1" t="str">
        <f>ADDRESS(C121,D121-1,1,1)</f>
        <v>$BC$147</v>
      </c>
      <c r="E112"/>
    </row>
    <row r="113" spans="1:30" x14ac:dyDescent="0.25">
      <c r="A113" s="30">
        <v>2.1435888100000016</v>
      </c>
      <c r="C113" s="1" t="str">
        <f>ADDRESS(C121+1,1,1,1)</f>
        <v>$A$148</v>
      </c>
      <c r="D113" s="1" t="str">
        <f>ADDRESS(C121-1,D121+1,1,1)</f>
        <v>$BE$146</v>
      </c>
    </row>
    <row r="114" spans="1:30" x14ac:dyDescent="0.25">
      <c r="A114" s="30">
        <v>1.9487171000000014</v>
      </c>
      <c r="C114" s="1" t="str">
        <f>ADDRESS(C121,D121,1,1)</f>
        <v>$BD$147</v>
      </c>
      <c r="D114" s="1" t="str">
        <f>ADDRESS(C121+1,D121+1,1,1)</f>
        <v>$BE$148</v>
      </c>
    </row>
    <row r="115" spans="1:30" x14ac:dyDescent="0.25">
      <c r="A115" s="30">
        <v>1.7715610000000011</v>
      </c>
      <c r="C115" s="1" t="str">
        <f>ADDRESS(C121+1,D121,1,1)</f>
        <v>$BD$148</v>
      </c>
    </row>
    <row r="116" spans="1:30" x14ac:dyDescent="0.25">
      <c r="A116" s="30">
        <v>1.6105100000000008</v>
      </c>
      <c r="C116" s="1">
        <f>C117-1</f>
        <v>146</v>
      </c>
    </row>
    <row r="117" spans="1:30" x14ac:dyDescent="0.25">
      <c r="A117" s="30">
        <v>1.4641000000000006</v>
      </c>
      <c r="C117" s="1">
        <f>C121</f>
        <v>147</v>
      </c>
      <c r="D117" s="1">
        <f>D121</f>
        <v>56</v>
      </c>
    </row>
    <row r="118" spans="1:30" x14ac:dyDescent="0.25">
      <c r="A118" s="30">
        <v>1.3310000000000004</v>
      </c>
      <c r="C118" s="1">
        <f>C117+1</f>
        <v>148</v>
      </c>
      <c r="D118" s="1">
        <f>D117+1</f>
        <v>57</v>
      </c>
    </row>
    <row r="119" spans="1:30" x14ac:dyDescent="0.25">
      <c r="A119" s="30">
        <v>1.2100000000000002</v>
      </c>
    </row>
    <row r="120" spans="1:30" x14ac:dyDescent="0.25">
      <c r="A120" s="30">
        <v>1.1000000000000001</v>
      </c>
      <c r="C120" s="1" t="s">
        <v>9</v>
      </c>
    </row>
    <row r="121" spans="1:30" x14ac:dyDescent="0.25">
      <c r="A121" s="30">
        <v>1</v>
      </c>
      <c r="C121" s="18">
        <v>147</v>
      </c>
      <c r="D121" s="19">
        <v>56</v>
      </c>
      <c r="E121" s="18" t="s">
        <v>8</v>
      </c>
    </row>
    <row r="122" spans="1:30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30" x14ac:dyDescent="0.25">
      <c r="A123" s="30">
        <v>0.82644628099173523</v>
      </c>
      <c r="C123" s="1" t="str">
        <f>"R"&amp;C121</f>
        <v>R147</v>
      </c>
      <c r="D123" s="1" t="str">
        <f>"C"&amp;D121</f>
        <v>C56</v>
      </c>
      <c r="F123" s="27" t="s">
        <v>7</v>
      </c>
    </row>
    <row r="124" spans="1:3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30" x14ac:dyDescent="0.25">
      <c r="A125" s="30">
        <v>0.68301345536507019</v>
      </c>
      <c r="F125" s="27" t="s">
        <v>7</v>
      </c>
    </row>
    <row r="126" spans="1:30" x14ac:dyDescent="0.25">
      <c r="A126" s="30">
        <v>0.6209213230591546</v>
      </c>
      <c r="C126" s="1" t="s">
        <v>10</v>
      </c>
      <c r="F126" s="27" t="s">
        <v>7</v>
      </c>
    </row>
    <row r="127" spans="1:30" x14ac:dyDescent="0.25">
      <c r="A127" s="30">
        <v>0.56447393005377677</v>
      </c>
      <c r="C127" s="30">
        <v>8.3905452888239848E-2</v>
      </c>
      <c r="D127"/>
      <c r="F127" s="27" t="s">
        <v>7</v>
      </c>
      <c r="AC127" s="27" t="s">
        <v>8</v>
      </c>
    </row>
    <row r="128" spans="1:30" x14ac:dyDescent="0.25">
      <c r="A128" s="30">
        <v>0.51315811823070612</v>
      </c>
      <c r="F128" s="27" t="s">
        <v>7</v>
      </c>
      <c r="AC128" s="27" t="s">
        <v>8</v>
      </c>
      <c r="AD128" s="27" t="s">
        <v>7</v>
      </c>
    </row>
    <row r="129" spans="1:5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C129" s="27" t="s">
        <v>8</v>
      </c>
      <c r="AD129" s="27" t="s">
        <v>7</v>
      </c>
    </row>
    <row r="130" spans="1:56" x14ac:dyDescent="0.25">
      <c r="A130" s="30">
        <v>0.42409761837248428</v>
      </c>
      <c r="C130" s="6"/>
      <c r="D130" s="6"/>
      <c r="E130"/>
      <c r="F130" s="27" t="s">
        <v>7</v>
      </c>
      <c r="Y130" s="27" t="s">
        <v>8</v>
      </c>
      <c r="AC130" s="27" t="s">
        <v>8</v>
      </c>
      <c r="AD130" s="27" t="s">
        <v>7</v>
      </c>
      <c r="AY130" s="27" t="s">
        <v>8</v>
      </c>
    </row>
    <row r="131" spans="1:56" x14ac:dyDescent="0.25">
      <c r="A131" s="30">
        <v>0.38554328942953109</v>
      </c>
      <c r="E131"/>
      <c r="F131" s="27" t="s">
        <v>7</v>
      </c>
      <c r="Y131" s="27" t="s">
        <v>8</v>
      </c>
      <c r="Z131" s="27" t="s">
        <v>7</v>
      </c>
      <c r="AA131" s="27" t="s">
        <v>8</v>
      </c>
      <c r="AC131" s="27" t="s">
        <v>8</v>
      </c>
      <c r="AD131" s="27" t="s">
        <v>7</v>
      </c>
      <c r="AE131" s="27" t="s">
        <v>8</v>
      </c>
      <c r="AY131" s="27" t="s">
        <v>8</v>
      </c>
      <c r="AZ131" s="27" t="s">
        <v>7</v>
      </c>
    </row>
    <row r="132" spans="1:56" x14ac:dyDescent="0.25">
      <c r="A132" s="30">
        <v>0.35049389948139187</v>
      </c>
      <c r="C132" s="1" t="s">
        <v>13</v>
      </c>
      <c r="E132"/>
      <c r="F132" s="27" t="s">
        <v>7</v>
      </c>
      <c r="W132" s="27" t="s">
        <v>8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D132" s="27" t="s">
        <v>7</v>
      </c>
      <c r="AE132" s="27" t="s">
        <v>8</v>
      </c>
      <c r="AF132" s="27" t="s">
        <v>7</v>
      </c>
      <c r="AK132" s="27" t="s">
        <v>8</v>
      </c>
      <c r="AY132" s="27" t="s">
        <v>8</v>
      </c>
      <c r="AZ132" s="27" t="s">
        <v>7</v>
      </c>
    </row>
    <row r="133" spans="1:56" x14ac:dyDescent="0.25">
      <c r="A133" s="30">
        <v>0.31863081771035617</v>
      </c>
      <c r="C133" s="1" t="str">
        <f>C122</f>
        <v>O</v>
      </c>
      <c r="E133"/>
      <c r="F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K133" s="27" t="s">
        <v>8</v>
      </c>
      <c r="AL133" s="27" t="s">
        <v>7</v>
      </c>
      <c r="AY133" s="27" t="s">
        <v>8</v>
      </c>
      <c r="AZ133" s="27" t="s">
        <v>7</v>
      </c>
    </row>
    <row r="134" spans="1:56" x14ac:dyDescent="0.25">
      <c r="A134" s="30">
        <v>0.28966437973668741</v>
      </c>
      <c r="C134"/>
      <c r="D134"/>
      <c r="E134"/>
      <c r="F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A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  <c r="AK134" s="27" t="s">
        <v>8</v>
      </c>
      <c r="AL134" s="27" t="s">
        <v>7</v>
      </c>
      <c r="AQ134" s="27" t="s">
        <v>8</v>
      </c>
      <c r="AY134" s="27" t="s">
        <v>8</v>
      </c>
      <c r="AZ134" s="27" t="s">
        <v>7</v>
      </c>
    </row>
    <row r="135" spans="1:56" x14ac:dyDescent="0.25">
      <c r="A135" s="30">
        <v>0.2633312543060794</v>
      </c>
      <c r="C135" s="1" t="s">
        <v>14</v>
      </c>
      <c r="E135"/>
      <c r="F135" s="27" t="s">
        <v>7</v>
      </c>
      <c r="W135" s="27" t="s">
        <v>8</v>
      </c>
      <c r="X135" s="27" t="s">
        <v>7</v>
      </c>
      <c r="Y135" s="27" t="s">
        <v>8</v>
      </c>
      <c r="Z135" s="27" t="s">
        <v>7</v>
      </c>
      <c r="AB135" s="27" t="s">
        <v>7</v>
      </c>
      <c r="AD135" s="27" t="s">
        <v>7</v>
      </c>
      <c r="AE135" s="27" t="s">
        <v>8</v>
      </c>
      <c r="AF135" s="27" t="s">
        <v>7</v>
      </c>
      <c r="AK135" s="27" t="s">
        <v>8</v>
      </c>
      <c r="AL135" s="27" t="s">
        <v>7</v>
      </c>
      <c r="AM135" s="27" t="s">
        <v>8</v>
      </c>
      <c r="AQ135" s="27" t="s">
        <v>8</v>
      </c>
      <c r="AR135" s="27" t="s">
        <v>7</v>
      </c>
      <c r="AY135" s="27" t="s">
        <v>8</v>
      </c>
      <c r="AZ135" s="27" t="s">
        <v>7</v>
      </c>
    </row>
    <row r="136" spans="1:5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W136" s="27" t="s">
        <v>8</v>
      </c>
      <c r="X136" s="27" t="s">
        <v>7</v>
      </c>
      <c r="Y136" s="27" t="s">
        <v>8</v>
      </c>
      <c r="AD136" s="27" t="s">
        <v>7</v>
      </c>
      <c r="AE136" s="27" t="s">
        <v>8</v>
      </c>
      <c r="AF136" s="27" t="s">
        <v>7</v>
      </c>
      <c r="AG136" s="27" t="s">
        <v>8</v>
      </c>
      <c r="AK136" s="27" t="s">
        <v>8</v>
      </c>
      <c r="AL136" s="27" t="s">
        <v>7</v>
      </c>
      <c r="AM136" s="27" t="s">
        <v>8</v>
      </c>
      <c r="AN136" s="27" t="s">
        <v>7</v>
      </c>
      <c r="AO136" s="27" t="s">
        <v>8</v>
      </c>
      <c r="AQ136" s="27" t="s">
        <v>8</v>
      </c>
      <c r="AR136" s="27" t="s">
        <v>7</v>
      </c>
      <c r="AS136" s="27" t="s">
        <v>8</v>
      </c>
      <c r="AW136" s="27" t="s">
        <v>8</v>
      </c>
      <c r="AY136" s="27" t="s">
        <v>8</v>
      </c>
      <c r="AZ136" s="27" t="s">
        <v>7</v>
      </c>
    </row>
    <row r="137" spans="1:56" x14ac:dyDescent="0.25">
      <c r="A137" s="30">
        <v>0.2176291357901482</v>
      </c>
      <c r="E137"/>
      <c r="F137" s="27" t="s">
        <v>7</v>
      </c>
      <c r="W137" s="27" t="s">
        <v>8</v>
      </c>
      <c r="X137" s="27" t="s">
        <v>7</v>
      </c>
      <c r="Y137" s="27" t="s">
        <v>8</v>
      </c>
      <c r="AD137" s="27" t="s">
        <v>7</v>
      </c>
      <c r="AF137" s="27" t="s">
        <v>7</v>
      </c>
      <c r="AG137" s="27" t="s">
        <v>8</v>
      </c>
      <c r="AH137" s="27" t="s">
        <v>7</v>
      </c>
      <c r="AI137" s="27" t="s">
        <v>8</v>
      </c>
      <c r="AK137" s="27" t="s">
        <v>8</v>
      </c>
      <c r="AL137" s="27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W137" s="27" t="s">
        <v>8</v>
      </c>
      <c r="AX137" s="27" t="s">
        <v>7</v>
      </c>
      <c r="AY137" s="27" t="s">
        <v>8</v>
      </c>
      <c r="AZ137" s="27" t="s">
        <v>7</v>
      </c>
      <c r="BA137" s="27" t="s">
        <v>8</v>
      </c>
    </row>
    <row r="138" spans="1:5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W138" s="27" t="s">
        <v>8</v>
      </c>
      <c r="X138" s="27" t="s">
        <v>7</v>
      </c>
      <c r="AF138" s="27" t="s">
        <v>7</v>
      </c>
      <c r="AG138" s="27" t="s">
        <v>8</v>
      </c>
      <c r="AH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N138" s="27" t="s">
        <v>7</v>
      </c>
      <c r="AO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W138" s="27" t="s">
        <v>8</v>
      </c>
      <c r="AX138" s="27" t="s">
        <v>7</v>
      </c>
      <c r="AY138" s="27" t="s">
        <v>8</v>
      </c>
      <c r="AZ138" s="27" t="s">
        <v>7</v>
      </c>
      <c r="BA138" s="27" t="s">
        <v>8</v>
      </c>
      <c r="BB138" s="27" t="s">
        <v>7</v>
      </c>
      <c r="BC138" s="27" t="s">
        <v>8</v>
      </c>
    </row>
    <row r="139" spans="1:56" x14ac:dyDescent="0.25">
      <c r="A139" s="30">
        <v>0.17985878990921333</v>
      </c>
      <c r="E139"/>
      <c r="F139" s="27" t="s">
        <v>7</v>
      </c>
      <c r="K139" s="27" t="s">
        <v>8</v>
      </c>
      <c r="U139" s="27" t="s">
        <v>8</v>
      </c>
      <c r="W139" s="27" t="s">
        <v>8</v>
      </c>
      <c r="AF139" s="27" t="s">
        <v>7</v>
      </c>
      <c r="AG139" s="27" t="s">
        <v>8</v>
      </c>
      <c r="AH139" s="27" t="s">
        <v>7</v>
      </c>
      <c r="AI139" s="27" t="s">
        <v>8</v>
      </c>
      <c r="AJ139" s="27" t="s">
        <v>7</v>
      </c>
      <c r="AK139" s="27" t="s">
        <v>8</v>
      </c>
      <c r="AN139" s="27" t="s">
        <v>7</v>
      </c>
      <c r="AO139" s="27" t="s">
        <v>8</v>
      </c>
      <c r="AP139" s="27" t="s">
        <v>7</v>
      </c>
      <c r="AQ139" s="27" t="s">
        <v>8</v>
      </c>
      <c r="AR139" s="27" t="s">
        <v>7</v>
      </c>
      <c r="AT139" s="27" t="s">
        <v>7</v>
      </c>
      <c r="AU139" s="27" t="s">
        <v>8</v>
      </c>
      <c r="AV139" s="27" t="s">
        <v>7</v>
      </c>
      <c r="AW139" s="27" t="s">
        <v>8</v>
      </c>
      <c r="AX139" s="27" t="s">
        <v>7</v>
      </c>
      <c r="AZ139" s="27" t="s">
        <v>7</v>
      </c>
      <c r="BA139" s="27" t="s">
        <v>8</v>
      </c>
      <c r="BB139" s="27" t="s">
        <v>7</v>
      </c>
      <c r="BC139" s="27" t="s">
        <v>8</v>
      </c>
      <c r="BD139" s="27" t="s">
        <v>7</v>
      </c>
    </row>
    <row r="140" spans="1:56" x14ac:dyDescent="0.25">
      <c r="A140" s="30">
        <v>0.16350799082655756</v>
      </c>
      <c r="C140" s="1">
        <v>0</v>
      </c>
      <c r="E140"/>
      <c r="F140" s="27" t="s">
        <v>7</v>
      </c>
      <c r="K140" s="27" t="s">
        <v>8</v>
      </c>
      <c r="L140" s="27" t="s">
        <v>7</v>
      </c>
      <c r="S140" s="27" t="s">
        <v>8</v>
      </c>
      <c r="U140" s="27" t="s">
        <v>8</v>
      </c>
      <c r="V140" s="27" t="s">
        <v>7</v>
      </c>
      <c r="W140" s="27" t="s">
        <v>8</v>
      </c>
      <c r="AF140" s="27" t="s">
        <v>7</v>
      </c>
      <c r="AG140" s="27" t="s">
        <v>8</v>
      </c>
      <c r="AH140" s="27" t="s">
        <v>7</v>
      </c>
      <c r="AJ140" s="27" t="s">
        <v>7</v>
      </c>
      <c r="AN140" s="27" t="s">
        <v>7</v>
      </c>
      <c r="AO140" s="27" t="s">
        <v>8</v>
      </c>
      <c r="AP140" s="27" t="s">
        <v>7</v>
      </c>
      <c r="AQ140" s="27" t="s">
        <v>8</v>
      </c>
      <c r="AT140" s="27" t="s">
        <v>7</v>
      </c>
      <c r="AV140" s="27" t="s">
        <v>7</v>
      </c>
      <c r="AZ140" s="27" t="s">
        <v>7</v>
      </c>
      <c r="BB140" s="27" t="s">
        <v>7</v>
      </c>
      <c r="BC140" s="27" t="s">
        <v>8</v>
      </c>
      <c r="BD140" s="27" t="s">
        <v>7</v>
      </c>
    </row>
    <row r="141" spans="1:56" x14ac:dyDescent="0.25">
      <c r="A141" s="30">
        <v>0.14864362802414322</v>
      </c>
      <c r="C141" s="1">
        <v>1</v>
      </c>
      <c r="E141"/>
      <c r="F141" s="27" t="s">
        <v>7</v>
      </c>
      <c r="K141" s="27" t="s">
        <v>8</v>
      </c>
      <c r="L141" s="27" t="s">
        <v>7</v>
      </c>
      <c r="S141" s="27" t="s">
        <v>8</v>
      </c>
      <c r="T141" s="27" t="s">
        <v>7</v>
      </c>
      <c r="U141" s="27" t="s">
        <v>8</v>
      </c>
      <c r="V141" s="27" t="s">
        <v>7</v>
      </c>
      <c r="W141" s="27" t="s">
        <v>8</v>
      </c>
      <c r="AF141" s="27" t="s">
        <v>7</v>
      </c>
      <c r="AG141" s="27" t="s">
        <v>8</v>
      </c>
      <c r="AN141" s="27" t="s">
        <v>7</v>
      </c>
      <c r="AO141" s="27" t="s">
        <v>8</v>
      </c>
      <c r="AP141" s="18" t="s">
        <v>7</v>
      </c>
      <c r="AQ141" s="27" t="s">
        <v>8</v>
      </c>
      <c r="BB141" s="27" t="s">
        <v>7</v>
      </c>
      <c r="BC141" s="27" t="s">
        <v>8</v>
      </c>
      <c r="BD141" s="27" t="s">
        <v>7</v>
      </c>
    </row>
    <row r="142" spans="1:56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K142" s="27" t="s">
        <v>8</v>
      </c>
      <c r="L142" s="27" t="s">
        <v>7</v>
      </c>
      <c r="O142" s="27" t="s">
        <v>8</v>
      </c>
      <c r="S142" s="27" t="s">
        <v>8</v>
      </c>
      <c r="T142" s="27" t="s">
        <v>7</v>
      </c>
      <c r="U142" s="27" t="s">
        <v>8</v>
      </c>
      <c r="V142" s="27" t="s">
        <v>7</v>
      </c>
      <c r="W142" s="27" t="s">
        <v>8</v>
      </c>
      <c r="AF142" s="27" t="s">
        <v>7</v>
      </c>
      <c r="AG142" s="27" t="s">
        <v>8</v>
      </c>
      <c r="AN142" s="27" t="s">
        <v>7</v>
      </c>
      <c r="AP142" s="27" t="s">
        <v>7</v>
      </c>
      <c r="BB142" s="27" t="s">
        <v>7</v>
      </c>
      <c r="BD142" s="27" t="s">
        <v>7</v>
      </c>
    </row>
    <row r="143" spans="1:56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K143" s="27" t="s">
        <v>8</v>
      </c>
      <c r="L143" s="27" t="s">
        <v>7</v>
      </c>
      <c r="O143" s="27" t="s">
        <v>8</v>
      </c>
      <c r="P143" s="27" t="s">
        <v>7</v>
      </c>
      <c r="Q143" s="27" t="s">
        <v>8</v>
      </c>
      <c r="S143" s="27" t="s">
        <v>8</v>
      </c>
      <c r="T143" s="27" t="s">
        <v>7</v>
      </c>
      <c r="V143" s="27" t="s">
        <v>7</v>
      </c>
      <c r="W143" s="27" t="s">
        <v>8</v>
      </c>
      <c r="AF143" s="27" t="s">
        <v>7</v>
      </c>
      <c r="AG143" s="27" t="s">
        <v>8</v>
      </c>
      <c r="BD143" s="27" t="s">
        <v>7</v>
      </c>
    </row>
    <row r="144" spans="1:56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K144" s="27" t="s">
        <v>8</v>
      </c>
      <c r="L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S144" s="27" t="s">
        <v>8</v>
      </c>
      <c r="V144" s="27" t="s">
        <v>7</v>
      </c>
      <c r="W144" s="27" t="s">
        <v>8</v>
      </c>
      <c r="AF144" s="27" t="s">
        <v>7</v>
      </c>
      <c r="BD144" s="27" t="s">
        <v>7</v>
      </c>
    </row>
    <row r="145" spans="1:56" x14ac:dyDescent="0.25">
      <c r="A145" s="30">
        <v>0.10152559799477026</v>
      </c>
      <c r="B145"/>
      <c r="C145"/>
      <c r="D145"/>
      <c r="E145"/>
      <c r="F145" s="27" t="s">
        <v>7</v>
      </c>
      <c r="H145" s="27" t="s">
        <v>7</v>
      </c>
      <c r="I145" s="27" t="s">
        <v>8</v>
      </c>
      <c r="K145" s="27" t="s">
        <v>8</v>
      </c>
      <c r="L145" s="27" t="s">
        <v>7</v>
      </c>
      <c r="O145" s="27" t="s">
        <v>8</v>
      </c>
      <c r="P145" s="27" t="s">
        <v>7</v>
      </c>
      <c r="Q145" s="27" t="s">
        <v>8</v>
      </c>
      <c r="R145" s="27" t="s">
        <v>7</v>
      </c>
      <c r="S145" s="27" t="s">
        <v>8</v>
      </c>
      <c r="V145" s="27" t="s">
        <v>7</v>
      </c>
      <c r="BD145" s="27" t="s">
        <v>7</v>
      </c>
    </row>
    <row r="146" spans="1:56" x14ac:dyDescent="0.25">
      <c r="A146" s="30">
        <v>9.2295998177063854E-2</v>
      </c>
      <c r="B146"/>
      <c r="C146"/>
      <c r="D146"/>
      <c r="E146"/>
      <c r="H146" s="27" t="s">
        <v>7</v>
      </c>
      <c r="I146" s="27" t="s">
        <v>8</v>
      </c>
      <c r="J146" s="27" t="s">
        <v>7</v>
      </c>
      <c r="K146" s="27" t="s">
        <v>8</v>
      </c>
      <c r="L146" s="27" t="s">
        <v>7</v>
      </c>
      <c r="M146" s="27" t="s">
        <v>8</v>
      </c>
      <c r="O146" s="27" t="s">
        <v>8</v>
      </c>
      <c r="P146" s="27" t="s">
        <v>7</v>
      </c>
      <c r="Q146" s="27" t="s">
        <v>8</v>
      </c>
      <c r="R146" s="27" t="s">
        <v>7</v>
      </c>
      <c r="BD146" s="27" t="s">
        <v>7</v>
      </c>
    </row>
    <row r="147" spans="1:56" x14ac:dyDescent="0.25">
      <c r="A147" s="30">
        <v>8.3905452888239848E-2</v>
      </c>
      <c r="B147"/>
      <c r="C147"/>
      <c r="D147"/>
      <c r="E147"/>
      <c r="H147" s="27" t="s">
        <v>7</v>
      </c>
      <c r="I147" s="27" t="s">
        <v>8</v>
      </c>
      <c r="J147" s="27" t="s">
        <v>7</v>
      </c>
      <c r="K147" s="27" t="s">
        <v>8</v>
      </c>
      <c r="L147" s="27" t="s">
        <v>7</v>
      </c>
      <c r="M147" s="27" t="s">
        <v>8</v>
      </c>
      <c r="N147" s="27" t="s">
        <v>7</v>
      </c>
      <c r="O147" s="27" t="s">
        <v>8</v>
      </c>
      <c r="P147" s="27" t="s">
        <v>7</v>
      </c>
      <c r="Q147" s="27" t="s">
        <v>8</v>
      </c>
      <c r="BD147" s="27" t="s">
        <v>7</v>
      </c>
    </row>
    <row r="148" spans="1:56" x14ac:dyDescent="0.25">
      <c r="A148" s="30">
        <v>7.6277684443854396E-2</v>
      </c>
      <c r="B148"/>
      <c r="C148"/>
      <c r="D148"/>
      <c r="E148"/>
      <c r="H148" s="27" t="s">
        <v>7</v>
      </c>
      <c r="I148" s="27" t="s">
        <v>8</v>
      </c>
      <c r="J148" s="27" t="s">
        <v>7</v>
      </c>
      <c r="L148" s="27" t="s">
        <v>7</v>
      </c>
      <c r="M148" s="27" t="s">
        <v>8</v>
      </c>
      <c r="N148" s="27" t="s">
        <v>7</v>
      </c>
      <c r="O148" s="27" t="s">
        <v>8</v>
      </c>
      <c r="P148" s="27" t="s">
        <v>7</v>
      </c>
    </row>
    <row r="149" spans="1:56" x14ac:dyDescent="0.25">
      <c r="A149" s="30">
        <v>6.9343349494413078E-2</v>
      </c>
      <c r="B149"/>
      <c r="C149"/>
      <c r="D149"/>
      <c r="E149"/>
      <c r="H149" s="27" t="s">
        <v>7</v>
      </c>
      <c r="L149" s="27" t="s">
        <v>7</v>
      </c>
      <c r="M149" s="27" t="s">
        <v>8</v>
      </c>
      <c r="N149" s="27" t="s">
        <v>7</v>
      </c>
      <c r="O149" s="27" t="s">
        <v>8</v>
      </c>
    </row>
    <row r="150" spans="1:56" x14ac:dyDescent="0.25">
      <c r="A150" s="30">
        <v>6.3039408631284613E-2</v>
      </c>
      <c r="B150"/>
      <c r="C150"/>
      <c r="D150"/>
      <c r="E150"/>
      <c r="L150" s="27" t="s">
        <v>7</v>
      </c>
      <c r="N150" s="27" t="s">
        <v>7</v>
      </c>
    </row>
    <row r="151" spans="1:56" x14ac:dyDescent="0.25">
      <c r="A151" s="30">
        <v>5.7308553301167818E-2</v>
      </c>
      <c r="B151"/>
      <c r="C151"/>
      <c r="D151"/>
      <c r="E151"/>
    </row>
    <row r="152" spans="1:56" x14ac:dyDescent="0.25">
      <c r="A152" s="30">
        <v>5.2098684819243464E-2</v>
      </c>
      <c r="B152"/>
      <c r="C152"/>
      <c r="D152"/>
      <c r="E152"/>
    </row>
    <row r="153" spans="1:56" x14ac:dyDescent="0.25">
      <c r="A153" s="30">
        <v>4.7362440744766775E-2</v>
      </c>
      <c r="B153"/>
      <c r="C153"/>
      <c r="D153"/>
      <c r="E153"/>
    </row>
    <row r="154" spans="1:56" x14ac:dyDescent="0.25">
      <c r="A154" s="30">
        <v>4.3056764313424332E-2</v>
      </c>
      <c r="B154"/>
      <c r="C154"/>
      <c r="D154"/>
      <c r="E154"/>
    </row>
    <row r="155" spans="1:56" x14ac:dyDescent="0.25">
      <c r="A155" s="30">
        <v>3.9142513012203929E-2</v>
      </c>
      <c r="B155"/>
      <c r="C155"/>
      <c r="D155"/>
      <c r="E155"/>
    </row>
    <row r="156" spans="1:56" x14ac:dyDescent="0.25">
      <c r="A156" s="30">
        <v>3.55841027383672E-2</v>
      </c>
      <c r="B156"/>
      <c r="C156"/>
      <c r="D156"/>
      <c r="E156"/>
    </row>
    <row r="157" spans="1:56" x14ac:dyDescent="0.25">
      <c r="A157" s="30">
        <v>3.2349184307606541E-2</v>
      </c>
      <c r="B157"/>
      <c r="C157"/>
      <c r="D157"/>
      <c r="E157"/>
    </row>
    <row r="158" spans="1:56" x14ac:dyDescent="0.25">
      <c r="A158" s="30">
        <v>2.9408349370551395E-2</v>
      </c>
      <c r="B158"/>
      <c r="C158"/>
      <c r="D158"/>
      <c r="E158"/>
    </row>
    <row r="159" spans="1:56" x14ac:dyDescent="0.25">
      <c r="A159" s="30">
        <v>2.6734863064137627E-2</v>
      </c>
      <c r="B159"/>
      <c r="C159"/>
      <c r="D159"/>
      <c r="E159"/>
    </row>
    <row r="160" spans="1:5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5" operator="equal">
      <formula>$U$1</formula>
    </cfRule>
    <cfRule type="cellIs" dxfId="30" priority="916" operator="equal">
      <formula>$S$1</formula>
    </cfRule>
  </conditionalFormatting>
  <conditionalFormatting sqref="D136">
    <cfRule type="cellIs" dxfId="29" priority="913" operator="equal">
      <formula>$S$1</formula>
    </cfRule>
    <cfRule type="cellIs" dxfId="28" priority="914" operator="equal">
      <formula>$U$1</formula>
    </cfRule>
  </conditionalFormatting>
  <conditionalFormatting sqref="C102">
    <cfRule type="cellIs" dxfId="27" priority="911" operator="equal">
      <formula>$U$1</formula>
    </cfRule>
    <cfRule type="cellIs" dxfId="26" priority="912" operator="equal">
      <formula>$S$1</formula>
    </cfRule>
  </conditionalFormatting>
  <conditionalFormatting sqref="D102">
    <cfRule type="cellIs" dxfId="25" priority="909" operator="equal">
      <formula>$S$1</formula>
    </cfRule>
    <cfRule type="cellIs" dxfId="24" priority="910" operator="equal">
      <formula>$U$1</formula>
    </cfRule>
  </conditionalFormatting>
  <conditionalFormatting sqref="C77">
    <cfRule type="cellIs" dxfId="23" priority="907" operator="equal">
      <formula>$U$1</formula>
    </cfRule>
    <cfRule type="cellIs" dxfId="22" priority="908" operator="equal">
      <formula>$S$1</formula>
    </cfRule>
  </conditionalFormatting>
  <conditionalFormatting sqref="D77">
    <cfRule type="cellIs" dxfId="21" priority="905" operator="equal">
      <formula>$S$1</formula>
    </cfRule>
    <cfRule type="cellIs" dxfId="20" priority="906" operator="equal">
      <formula>$U$1</formula>
    </cfRule>
  </conditionalFormatting>
  <conditionalFormatting sqref="C52">
    <cfRule type="cellIs" dxfId="19" priority="903" operator="equal">
      <formula>$U$1</formula>
    </cfRule>
    <cfRule type="cellIs" dxfId="18" priority="904" operator="equal">
      <formula>$S$1</formula>
    </cfRule>
  </conditionalFormatting>
  <conditionalFormatting sqref="D52">
    <cfRule type="cellIs" dxfId="17" priority="901" operator="equal">
      <formula>$S$1</formula>
    </cfRule>
    <cfRule type="cellIs" dxfId="16" priority="902" operator="equal">
      <formula>$U$1</formula>
    </cfRule>
  </conditionalFormatting>
  <conditionalFormatting sqref="C26">
    <cfRule type="cellIs" dxfId="15" priority="899" operator="equal">
      <formula>$U$1</formula>
    </cfRule>
    <cfRule type="cellIs" dxfId="14" priority="900" operator="equal">
      <formula>$S$1</formula>
    </cfRule>
  </conditionalFormatting>
  <conditionalFormatting sqref="D26">
    <cfRule type="cellIs" dxfId="13" priority="897" operator="equal">
      <formula>$S$1</formula>
    </cfRule>
    <cfRule type="cellIs" dxfId="12" priority="89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2022-01-28T01:16:34Z</dcterms:modified>
</cp:coreProperties>
</file>