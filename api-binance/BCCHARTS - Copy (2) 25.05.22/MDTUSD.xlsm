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AEBF36B-1545-4847-AEF0-CCAE21E74E3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6" i="4"/>
  <c r="C122" i="4"/>
  <c r="C133" i="4" s="1"/>
  <c r="D136" i="4" s="1"/>
  <c r="C118" i="3"/>
  <c r="C122" i="3"/>
  <c r="C133" i="3" s="1"/>
  <c r="D136" i="3" s="1"/>
  <c r="D118" i="3"/>
  <c r="R765" i="1"/>
  <c r="C136" i="5" l="1"/>
  <c r="C138" i="5" s="1"/>
  <c r="C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S74" i="1" l="1"/>
  <c r="T74" i="1" s="1"/>
  <c r="R73" i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<sst xmlns="http://schemas.openxmlformats.org/spreadsheetml/2006/main" count="7426" uniqueCount="34">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</sst>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5.8319999999999997E-2</c:v>
                </c:pt>
                <c:pt idx="1">
                  <c:v>5.9670000000000001E-2</c:v>
                </c:pt>
                <c:pt idx="2">
                  <c:v>5.969E-2</c:v>
                </c:pt>
                <c:pt idx="3">
                  <c:v>6.0859999999999997E-2</c:v>
                </c:pt>
                <c:pt idx="4">
                  <c:v>6.8339999999999998E-2</c:v>
                </c:pt>
                <c:pt idx="5">
                  <c:v>5.3030000000000001E-2</c:v>
                </c:pt>
                <c:pt idx="6">
                  <c:v>6.1010000000000002E-2</c:v>
                </c:pt>
                <c:pt idx="7">
                  <c:v>7.2249999999999995E-2</c:v>
                </c:pt>
                <c:pt idx="8">
                  <c:v>7.9130000000000006E-2</c:v>
                </c:pt>
                <c:pt idx="9">
                  <c:v>7.8619999999999995E-2</c:v>
                </c:pt>
                <c:pt idx="10">
                  <c:v>7.9299999999999995E-2</c:v>
                </c:pt>
                <c:pt idx="11">
                  <c:v>8.3580000000000002E-2</c:v>
                </c:pt>
                <c:pt idx="12">
                  <c:v>8.7300000000000003E-2</c:v>
                </c:pt>
                <c:pt idx="13">
                  <c:v>8.2799999999999999E-2</c:v>
                </c:pt>
                <c:pt idx="14">
                  <c:v>8.344E-2</c:v>
                </c:pt>
                <c:pt idx="15">
                  <c:v>9.221E-2</c:v>
                </c:pt>
                <c:pt idx="16">
                  <c:v>8.9209999999999998E-2</c:v>
                </c:pt>
                <c:pt idx="17">
                  <c:v>8.7779999999999997E-2</c:v>
                </c:pt>
                <c:pt idx="18">
                  <c:v>9.64E-2</c:v>
                </c:pt>
                <c:pt idx="19">
                  <c:v>0.10352</c:v>
                </c:pt>
                <c:pt idx="20">
                  <c:v>9.1939999999999994E-2</c:v>
                </c:pt>
                <c:pt idx="21">
                  <c:v>0.10194</c:v>
                </c:pt>
                <c:pt idx="22">
                  <c:v>0.10357</c:v>
                </c:pt>
                <c:pt idx="23">
                  <c:v>0.11394</c:v>
                </c:pt>
                <c:pt idx="24">
                  <c:v>0.11985</c:v>
                </c:pt>
                <c:pt idx="25">
                  <c:v>0.12504999999999999</c:v>
                </c:pt>
                <c:pt idx="26">
                  <c:v>0.12931999999999999</c:v>
                </c:pt>
                <c:pt idx="27">
                  <c:v>0.13264999999999999</c:v>
                </c:pt>
                <c:pt idx="28">
                  <c:v>0.12435</c:v>
                </c:pt>
                <c:pt idx="29">
                  <c:v>0.13016</c:v>
                </c:pt>
                <c:pt idx="30">
                  <c:v>0.13177</c:v>
                </c:pt>
                <c:pt idx="31">
                  <c:v>0.12501000000000001</c:v>
                </c:pt>
                <c:pt idx="32">
                  <c:v>0.13758000000000001</c:v>
                </c:pt>
                <c:pt idx="33">
                  <c:v>0.15440000000000001</c:v>
                </c:pt>
                <c:pt idx="34">
                  <c:v>0.12454</c:v>
                </c:pt>
                <c:pt idx="35">
                  <c:v>9.7009999999999999E-2</c:v>
                </c:pt>
                <c:pt idx="36">
                  <c:v>9.3009999999999995E-2</c:v>
                </c:pt>
                <c:pt idx="37">
                  <c:v>9.9750000000000005E-2</c:v>
                </c:pt>
                <c:pt idx="38">
                  <c:v>0.10449</c:v>
                </c:pt>
                <c:pt idx="39">
                  <c:v>8.8029999999999997E-2</c:v>
                </c:pt>
                <c:pt idx="40">
                  <c:v>9.3490000000000004E-2</c:v>
                </c:pt>
                <c:pt idx="41">
                  <c:v>8.9959999999999998E-2</c:v>
                </c:pt>
                <c:pt idx="42">
                  <c:v>0.10907</c:v>
                </c:pt>
                <c:pt idx="43">
                  <c:v>7.6759999999999995E-2</c:v>
                </c:pt>
                <c:pt idx="44">
                  <c:v>7.7869999999999995E-2</c:v>
                </c:pt>
                <c:pt idx="45">
                  <c:v>7.8789999999999999E-2</c:v>
                </c:pt>
                <c:pt idx="46">
                  <c:v>9.7290000000000001E-2</c:v>
                </c:pt>
                <c:pt idx="47">
                  <c:v>0.10145</c:v>
                </c:pt>
                <c:pt idx="48">
                  <c:v>0.10299999999999999</c:v>
                </c:pt>
                <c:pt idx="49">
                  <c:v>8.0180000000000001E-2</c:v>
                </c:pt>
                <c:pt idx="50">
                  <c:v>9.3649999999999997E-2</c:v>
                </c:pt>
                <c:pt idx="51">
                  <c:v>6.0810000000000003E-2</c:v>
                </c:pt>
                <c:pt idx="52">
                  <c:v>6.411E-2</c:v>
                </c:pt>
                <c:pt idx="53">
                  <c:v>6.9010000000000002E-2</c:v>
                </c:pt>
                <c:pt idx="54">
                  <c:v>7.4499999999999997E-2</c:v>
                </c:pt>
                <c:pt idx="55">
                  <c:v>6.5100000000000005E-2</c:v>
                </c:pt>
                <c:pt idx="56">
                  <c:v>6.1159999999999999E-2</c:v>
                </c:pt>
                <c:pt idx="57">
                  <c:v>6.54E-2</c:v>
                </c:pt>
                <c:pt idx="58">
                  <c:v>5.9819999999999998E-2</c:v>
                </c:pt>
                <c:pt idx="59">
                  <c:v>5.8000000000000003E-2</c:v>
                </c:pt>
                <c:pt idx="60">
                  <c:v>6.0589999999999998E-2</c:v>
                </c:pt>
                <c:pt idx="61">
                  <c:v>5.5800000000000002E-2</c:v>
                </c:pt>
                <c:pt idx="62">
                  <c:v>5.6090000000000001E-2</c:v>
                </c:pt>
                <c:pt idx="63">
                  <c:v>6.0999999999999999E-2</c:v>
                </c:pt>
                <c:pt idx="64">
                  <c:v>6.6869999999999999E-2</c:v>
                </c:pt>
                <c:pt idx="65">
                  <c:v>6.3469999999999999E-2</c:v>
                </c:pt>
                <c:pt idx="66">
                  <c:v>5.9330000000000001E-2</c:v>
                </c:pt>
                <c:pt idx="67">
                  <c:v>6.1769999999999999E-2</c:v>
                </c:pt>
                <c:pt idx="68">
                  <c:v>6.0440000000000001E-2</c:v>
                </c:pt>
                <c:pt idx="69">
                  <c:v>5.2449999999999997E-2</c:v>
                </c:pt>
                <c:pt idx="70">
                  <c:v>4.956E-2</c:v>
                </c:pt>
                <c:pt idx="71">
                  <c:v>5.4089999999999999E-2</c:v>
                </c:pt>
                <c:pt idx="72">
                  <c:v>5.3949999999999998E-2</c:v>
                </c:pt>
                <c:pt idx="73">
                  <c:v>5.1839999999999997E-2</c:v>
                </c:pt>
                <c:pt idx="74">
                  <c:v>4.9829999999999999E-2</c:v>
                </c:pt>
                <c:pt idx="75">
                  <c:v>4.6719999999999998E-2</c:v>
                </c:pt>
                <c:pt idx="76">
                  <c:v>4.761E-2</c:v>
                </c:pt>
                <c:pt idx="77">
                  <c:v>4.546E-2</c:v>
                </c:pt>
                <c:pt idx="78">
                  <c:v>4.521E-2</c:v>
                </c:pt>
                <c:pt idx="79">
                  <c:v>4.8680000000000001E-2</c:v>
                </c:pt>
                <c:pt idx="80">
                  <c:v>4.9840000000000002E-2</c:v>
                </c:pt>
                <c:pt idx="81">
                  <c:v>5.2569999999999999E-2</c:v>
                </c:pt>
                <c:pt idx="82">
                  <c:v>5.1270000000000003E-2</c:v>
                </c:pt>
                <c:pt idx="83">
                  <c:v>4.8120000000000003E-2</c:v>
                </c:pt>
                <c:pt idx="84">
                  <c:v>5.0470000000000001E-2</c:v>
                </c:pt>
                <c:pt idx="85">
                  <c:v>5.16E-2</c:v>
                </c:pt>
                <c:pt idx="86">
                  <c:v>5.2429999999999997E-2</c:v>
                </c:pt>
                <c:pt idx="87">
                  <c:v>4.7500000000000001E-2</c:v>
                </c:pt>
                <c:pt idx="88">
                  <c:v>4.7440000000000003E-2</c:v>
                </c:pt>
                <c:pt idx="89">
                  <c:v>4.2959999999999998E-2</c:v>
                </c:pt>
                <c:pt idx="90">
                  <c:v>4.3159999999999997E-2</c:v>
                </c:pt>
                <c:pt idx="91">
                  <c:v>4.1349999999999998E-2</c:v>
                </c:pt>
                <c:pt idx="92">
                  <c:v>3.8679999999999999E-2</c:v>
                </c:pt>
                <c:pt idx="93">
                  <c:v>4.3619999999999999E-2</c:v>
                </c:pt>
                <c:pt idx="94">
                  <c:v>4.5150000000000003E-2</c:v>
                </c:pt>
                <c:pt idx="95">
                  <c:v>4.3049999999999998E-2</c:v>
                </c:pt>
                <c:pt idx="96">
                  <c:v>4.478E-2</c:v>
                </c:pt>
                <c:pt idx="97">
                  <c:v>4.5659999999999999E-2</c:v>
                </c:pt>
                <c:pt idx="98">
                  <c:v>4.5510000000000002E-2</c:v>
                </c:pt>
                <c:pt idx="99">
                  <c:v>4.879E-2</c:v>
                </c:pt>
                <c:pt idx="100">
                  <c:v>4.4560000000000002E-2</c:v>
                </c:pt>
                <c:pt idx="101">
                  <c:v>4.4209999999999999E-2</c:v>
                </c:pt>
                <c:pt idx="102">
                  <c:v>4.5740000000000003E-2</c:v>
                </c:pt>
                <c:pt idx="103">
                  <c:v>4.3740000000000001E-2</c:v>
                </c:pt>
                <c:pt idx="104">
                  <c:v>4.2790000000000002E-2</c:v>
                </c:pt>
                <c:pt idx="105">
                  <c:v>4.1529999999999997E-2</c:v>
                </c:pt>
                <c:pt idx="106">
                  <c:v>4.054E-2</c:v>
                </c:pt>
                <c:pt idx="107">
                  <c:v>4.0680000000000001E-2</c:v>
                </c:pt>
                <c:pt idx="108">
                  <c:v>4.1820000000000003E-2</c:v>
                </c:pt>
                <c:pt idx="109">
                  <c:v>4.3060000000000001E-2</c:v>
                </c:pt>
                <c:pt idx="110">
                  <c:v>4.3479999999999998E-2</c:v>
                </c:pt>
                <c:pt idx="111">
                  <c:v>4.342E-2</c:v>
                </c:pt>
                <c:pt idx="112">
                  <c:v>4.6129999999999997E-2</c:v>
                </c:pt>
                <c:pt idx="113">
                  <c:v>4.795E-2</c:v>
                </c:pt>
                <c:pt idx="114">
                  <c:v>4.709E-2</c:v>
                </c:pt>
                <c:pt idx="115">
                  <c:v>3.7359999999999997E-2</c:v>
                </c:pt>
                <c:pt idx="116">
                  <c:v>3.9219999999999998E-2</c:v>
                </c:pt>
                <c:pt idx="117">
                  <c:v>3.8249999999999999E-2</c:v>
                </c:pt>
                <c:pt idx="118">
                  <c:v>3.8260000000000002E-2</c:v>
                </c:pt>
                <c:pt idx="119">
                  <c:v>3.7260000000000001E-2</c:v>
                </c:pt>
                <c:pt idx="120">
                  <c:v>3.3950000000000001E-2</c:v>
                </c:pt>
                <c:pt idx="121">
                  <c:v>3.3579999999999999E-2</c:v>
                </c:pt>
                <c:pt idx="122">
                  <c:v>3.3680000000000002E-2</c:v>
                </c:pt>
                <c:pt idx="123">
                  <c:v>3.4799999999999998E-2</c:v>
                </c:pt>
                <c:pt idx="124">
                  <c:v>3.5249999999999997E-2</c:v>
                </c:pt>
                <c:pt idx="125">
                  <c:v>3.3059999999999999E-2</c:v>
                </c:pt>
                <c:pt idx="126">
                  <c:v>3.5959999999999999E-2</c:v>
                </c:pt>
                <c:pt idx="127">
                  <c:v>3.4619999999999998E-2</c:v>
                </c:pt>
                <c:pt idx="128">
                  <c:v>3.1399999999999997E-2</c:v>
                </c:pt>
                <c:pt idx="129">
                  <c:v>3.567E-2</c:v>
                </c:pt>
                <c:pt idx="130">
                  <c:v>4.0399999999999998E-2</c:v>
                </c:pt>
                <c:pt idx="131">
                  <c:v>3.9780000000000003E-2</c:v>
                </c:pt>
                <c:pt idx="132">
                  <c:v>3.8580000000000003E-2</c:v>
                </c:pt>
                <c:pt idx="133">
                  <c:v>4.0750000000000001E-2</c:v>
                </c:pt>
                <c:pt idx="134">
                  <c:v>4.0210000000000003E-2</c:v>
                </c:pt>
                <c:pt idx="135">
                  <c:v>4.0280000000000003E-2</c:v>
                </c:pt>
                <c:pt idx="136">
                  <c:v>3.7330000000000002E-2</c:v>
                </c:pt>
                <c:pt idx="137">
                  <c:v>3.9820000000000001E-2</c:v>
                </c:pt>
                <c:pt idx="138">
                  <c:v>3.9820000000000001E-2</c:v>
                </c:pt>
                <c:pt idx="139">
                  <c:v>3.8670000000000003E-2</c:v>
                </c:pt>
                <c:pt idx="140">
                  <c:v>3.9890000000000002E-2</c:v>
                </c:pt>
                <c:pt idx="141">
                  <c:v>3.9050000000000001E-2</c:v>
                </c:pt>
                <c:pt idx="142">
                  <c:v>4.0390000000000002E-2</c:v>
                </c:pt>
                <c:pt idx="143">
                  <c:v>5.101E-2</c:v>
                </c:pt>
                <c:pt idx="144">
                  <c:v>4.9399999999999999E-2</c:v>
                </c:pt>
                <c:pt idx="145">
                  <c:v>4.7539999999999999E-2</c:v>
                </c:pt>
                <c:pt idx="146">
                  <c:v>4.5199999999999997E-2</c:v>
                </c:pt>
                <c:pt idx="147">
                  <c:v>4.6089999999999999E-2</c:v>
                </c:pt>
                <c:pt idx="148">
                  <c:v>4.6249999999999999E-2</c:v>
                </c:pt>
                <c:pt idx="149">
                  <c:v>4.4740000000000002E-2</c:v>
                </c:pt>
                <c:pt idx="150">
                  <c:v>4.743E-2</c:v>
                </c:pt>
                <c:pt idx="151">
                  <c:v>5.2999999999999999E-2</c:v>
                </c:pt>
                <c:pt idx="152">
                  <c:v>4.5699999999999998E-2</c:v>
                </c:pt>
                <c:pt idx="153">
                  <c:v>4.3459999999999999E-2</c:v>
                </c:pt>
                <c:pt idx="154">
                  <c:v>4.156E-2</c:v>
                </c:pt>
                <c:pt idx="155">
                  <c:v>4.2889999999999998E-2</c:v>
                </c:pt>
                <c:pt idx="156">
                  <c:v>4.0079999999999998E-2</c:v>
                </c:pt>
                <c:pt idx="157">
                  <c:v>4.1590000000000002E-2</c:v>
                </c:pt>
                <c:pt idx="158">
                  <c:v>4.1430000000000002E-2</c:v>
                </c:pt>
                <c:pt idx="159">
                  <c:v>4.1500000000000002E-2</c:v>
                </c:pt>
                <c:pt idx="160">
                  <c:v>4.3650000000000001E-2</c:v>
                </c:pt>
                <c:pt idx="161">
                  <c:v>4.1509999999999998E-2</c:v>
                </c:pt>
                <c:pt idx="162">
                  <c:v>4.0590000000000001E-2</c:v>
                </c:pt>
                <c:pt idx="163">
                  <c:v>4.1279999999999997E-2</c:v>
                </c:pt>
                <c:pt idx="164">
                  <c:v>4.2680000000000003E-2</c:v>
                </c:pt>
                <c:pt idx="165">
                  <c:v>4.0329999999999998E-2</c:v>
                </c:pt>
                <c:pt idx="166">
                  <c:v>4.0120000000000003E-2</c:v>
                </c:pt>
                <c:pt idx="167">
                  <c:v>3.6970000000000003E-2</c:v>
                </c:pt>
                <c:pt idx="168">
                  <c:v>3.2500000000000001E-2</c:v>
                </c:pt>
                <c:pt idx="169">
                  <c:v>3.2340000000000001E-2</c:v>
                </c:pt>
                <c:pt idx="170">
                  <c:v>3.0880000000000001E-2</c:v>
                </c:pt>
                <c:pt idx="171">
                  <c:v>3.116E-2</c:v>
                </c:pt>
                <c:pt idx="172">
                  <c:v>2.7390000000000001E-2</c:v>
                </c:pt>
                <c:pt idx="173">
                  <c:v>3.0519999999999999E-2</c:v>
                </c:pt>
                <c:pt idx="174">
                  <c:v>2.9340000000000001E-2</c:v>
                </c:pt>
                <c:pt idx="175">
                  <c:v>2.759E-2</c:v>
                </c:pt>
                <c:pt idx="176">
                  <c:v>2.63E-2</c:v>
                </c:pt>
                <c:pt idx="177">
                  <c:v>2.5340000000000001E-2</c:v>
                </c:pt>
                <c:pt idx="178">
                  <c:v>2.6700000000000002E-2</c:v>
                </c:pt>
                <c:pt idx="179">
                  <c:v>2.6700000000000002E-2</c:v>
                </c:pt>
                <c:pt idx="180">
                  <c:v>2.6159999999999999E-2</c:v>
                </c:pt>
                <c:pt idx="181">
                  <c:v>2.5680000000000001E-2</c:v>
                </c:pt>
                <c:pt idx="182">
                  <c:v>2.5100000000000001E-2</c:v>
                </c:pt>
                <c:pt idx="183">
                  <c:v>2.5180000000000001E-2</c:v>
                </c:pt>
                <c:pt idx="184">
                  <c:v>2.4140000000000002E-2</c:v>
                </c:pt>
                <c:pt idx="185">
                  <c:v>2.334E-2</c:v>
                </c:pt>
                <c:pt idx="186">
                  <c:v>2.3269999999999999E-2</c:v>
                </c:pt>
                <c:pt idx="187">
                  <c:v>2.3099999999999999E-2</c:v>
                </c:pt>
                <c:pt idx="188">
                  <c:v>2.1989999999999999E-2</c:v>
                </c:pt>
                <c:pt idx="189">
                  <c:v>2.0820000000000002E-2</c:v>
                </c:pt>
                <c:pt idx="190">
                  <c:v>2.0480000000000002E-2</c:v>
                </c:pt>
                <c:pt idx="191">
                  <c:v>1.8149999999999999E-2</c:v>
                </c:pt>
                <c:pt idx="192">
                  <c:v>1.9570000000000001E-2</c:v>
                </c:pt>
                <c:pt idx="193">
                  <c:v>2.172E-2</c:v>
                </c:pt>
                <c:pt idx="194">
                  <c:v>2.102E-2</c:v>
                </c:pt>
                <c:pt idx="195">
                  <c:v>2.2360000000000001E-2</c:v>
                </c:pt>
                <c:pt idx="196">
                  <c:v>2.1430000000000001E-2</c:v>
                </c:pt>
                <c:pt idx="197">
                  <c:v>2.264E-2</c:v>
                </c:pt>
                <c:pt idx="198">
                  <c:v>2.2620000000000001E-2</c:v>
                </c:pt>
                <c:pt idx="199">
                  <c:v>2.274E-2</c:v>
                </c:pt>
                <c:pt idx="200">
                  <c:v>2.4209999999999999E-2</c:v>
                </c:pt>
                <c:pt idx="201">
                  <c:v>2.3120000000000002E-2</c:v>
                </c:pt>
                <c:pt idx="202">
                  <c:v>2.4140000000000002E-2</c:v>
                </c:pt>
                <c:pt idx="203">
                  <c:v>2.3359999999999999E-2</c:v>
                </c:pt>
                <c:pt idx="204">
                  <c:v>2.5499999999999998E-2</c:v>
                </c:pt>
                <c:pt idx="205">
                  <c:v>2.4989999999999998E-2</c:v>
                </c:pt>
                <c:pt idx="206">
                  <c:v>2.4590000000000001E-2</c:v>
                </c:pt>
                <c:pt idx="207">
                  <c:v>2.5059999999999999E-2</c:v>
                </c:pt>
                <c:pt idx="208">
                  <c:v>2.3959999999999999E-2</c:v>
                </c:pt>
                <c:pt idx="209">
                  <c:v>2.3269999999999999E-2</c:v>
                </c:pt>
                <c:pt idx="210">
                  <c:v>2.368E-2</c:v>
                </c:pt>
                <c:pt idx="211">
                  <c:v>2.5530000000000001E-2</c:v>
                </c:pt>
                <c:pt idx="212">
                  <c:v>2.4989999999999998E-2</c:v>
                </c:pt>
                <c:pt idx="213">
                  <c:v>2.3259999999999999E-2</c:v>
                </c:pt>
                <c:pt idx="214">
                  <c:v>2.2440000000000002E-2</c:v>
                </c:pt>
                <c:pt idx="215">
                  <c:v>2.1299999999999999E-2</c:v>
                </c:pt>
                <c:pt idx="216">
                  <c:v>2.1899999999999999E-2</c:v>
                </c:pt>
                <c:pt idx="217">
                  <c:v>2.477E-2</c:v>
                </c:pt>
                <c:pt idx="218">
                  <c:v>2.4920000000000001E-2</c:v>
                </c:pt>
                <c:pt idx="219">
                  <c:v>2.147E-2</c:v>
                </c:pt>
                <c:pt idx="220">
                  <c:v>2.3210000000000001E-2</c:v>
                </c:pt>
                <c:pt idx="221">
                  <c:v>3.0540000000000001E-2</c:v>
                </c:pt>
                <c:pt idx="222">
                  <c:v>3.2489999999999998E-2</c:v>
                </c:pt>
                <c:pt idx="223">
                  <c:v>3.4040000000000001E-2</c:v>
                </c:pt>
                <c:pt idx="224">
                  <c:v>3.7269999999999998E-2</c:v>
                </c:pt>
                <c:pt idx="225">
                  <c:v>3.4430000000000002E-2</c:v>
                </c:pt>
                <c:pt idx="226">
                  <c:v>3.5470000000000002E-2</c:v>
                </c:pt>
                <c:pt idx="227">
                  <c:v>3.2960000000000003E-2</c:v>
                </c:pt>
                <c:pt idx="228">
                  <c:v>3.2590000000000001E-2</c:v>
                </c:pt>
                <c:pt idx="229">
                  <c:v>3.116E-2</c:v>
                </c:pt>
                <c:pt idx="230">
                  <c:v>3.397E-2</c:v>
                </c:pt>
                <c:pt idx="231">
                  <c:v>3.7949999999999998E-2</c:v>
                </c:pt>
                <c:pt idx="232">
                  <c:v>3.6799999999999999E-2</c:v>
                </c:pt>
                <c:pt idx="233">
                  <c:v>3.15E-2</c:v>
                </c:pt>
                <c:pt idx="234">
                  <c:v>3.0439999999999998E-2</c:v>
                </c:pt>
                <c:pt idx="235">
                  <c:v>3.5479999999999998E-2</c:v>
                </c:pt>
                <c:pt idx="236">
                  <c:v>3.0689999999999999E-2</c:v>
                </c:pt>
                <c:pt idx="237">
                  <c:v>3.3459999999999997E-2</c:v>
                </c:pt>
                <c:pt idx="238">
                  <c:v>3.6229999999999998E-2</c:v>
                </c:pt>
                <c:pt idx="239">
                  <c:v>3.4479999999999997E-2</c:v>
                </c:pt>
                <c:pt idx="240">
                  <c:v>3.3140000000000003E-2</c:v>
                </c:pt>
                <c:pt idx="241">
                  <c:v>3.449E-2</c:v>
                </c:pt>
                <c:pt idx="242">
                  <c:v>3.1150000000000001E-2</c:v>
                </c:pt>
                <c:pt idx="243">
                  <c:v>3.065E-2</c:v>
                </c:pt>
                <c:pt idx="244">
                  <c:v>3.1009999999999999E-2</c:v>
                </c:pt>
                <c:pt idx="245">
                  <c:v>3.6949999999999997E-2</c:v>
                </c:pt>
                <c:pt idx="246">
                  <c:v>3.8469999999999997E-2</c:v>
                </c:pt>
                <c:pt idx="247">
                  <c:v>3.5060000000000001E-2</c:v>
                </c:pt>
                <c:pt idx="248">
                  <c:v>3.3340000000000002E-2</c:v>
                </c:pt>
                <c:pt idx="249">
                  <c:v>2.7320000000000001E-2</c:v>
                </c:pt>
                <c:pt idx="250">
                  <c:v>3.2509999999999997E-2</c:v>
                </c:pt>
                <c:pt idx="251">
                  <c:v>3.5439999999999999E-2</c:v>
                </c:pt>
                <c:pt idx="252">
                  <c:v>4.2909999999999997E-2</c:v>
                </c:pt>
                <c:pt idx="253">
                  <c:v>3.7319999999999999E-2</c:v>
                </c:pt>
                <c:pt idx="254">
                  <c:v>5.142E-2</c:v>
                </c:pt>
                <c:pt idx="255">
                  <c:v>4.9549999999999997E-2</c:v>
                </c:pt>
                <c:pt idx="256">
                  <c:v>5.4859999999999999E-2</c:v>
                </c:pt>
                <c:pt idx="257">
                  <c:v>5.5079999999999997E-2</c:v>
                </c:pt>
                <c:pt idx="258">
                  <c:v>5.9880000000000003E-2</c:v>
                </c:pt>
                <c:pt idx="259">
                  <c:v>5.6370000000000003E-2</c:v>
                </c:pt>
                <c:pt idx="260">
                  <c:v>5.7500000000000002E-2</c:v>
                </c:pt>
                <c:pt idx="261">
                  <c:v>7.0290000000000005E-2</c:v>
                </c:pt>
                <c:pt idx="262">
                  <c:v>6.7349999999999993E-2</c:v>
                </c:pt>
                <c:pt idx="263">
                  <c:v>7.6490000000000002E-2</c:v>
                </c:pt>
                <c:pt idx="264">
                  <c:v>8.8410000000000002E-2</c:v>
                </c:pt>
                <c:pt idx="265">
                  <c:v>6.7589999999999997E-2</c:v>
                </c:pt>
                <c:pt idx="266">
                  <c:v>6.8349999999999994E-2</c:v>
                </c:pt>
                <c:pt idx="267">
                  <c:v>7.1540000000000006E-2</c:v>
                </c:pt>
                <c:pt idx="268">
                  <c:v>6.5299999999999997E-2</c:v>
                </c:pt>
                <c:pt idx="269">
                  <c:v>7.8179999999999999E-2</c:v>
                </c:pt>
                <c:pt idx="270">
                  <c:v>7.3300000000000004E-2</c:v>
                </c:pt>
                <c:pt idx="271">
                  <c:v>7.0900000000000005E-2</c:v>
                </c:pt>
                <c:pt idx="272">
                  <c:v>6.9610000000000005E-2</c:v>
                </c:pt>
                <c:pt idx="273">
                  <c:v>6.2530000000000002E-2</c:v>
                </c:pt>
                <c:pt idx="274">
                  <c:v>6.3289999999999999E-2</c:v>
                </c:pt>
                <c:pt idx="275">
                  <c:v>6.7180000000000004E-2</c:v>
                </c:pt>
                <c:pt idx="276">
                  <c:v>6.1179999999999998E-2</c:v>
                </c:pt>
                <c:pt idx="277">
                  <c:v>5.3999999999999999E-2</c:v>
                </c:pt>
                <c:pt idx="278">
                  <c:v>5.0040000000000001E-2</c:v>
                </c:pt>
                <c:pt idx="279">
                  <c:v>5.459E-2</c:v>
                </c:pt>
                <c:pt idx="280">
                  <c:v>6.0999999999999999E-2</c:v>
                </c:pt>
                <c:pt idx="281">
                  <c:v>6.6070000000000004E-2</c:v>
                </c:pt>
                <c:pt idx="282">
                  <c:v>6.8769999999999998E-2</c:v>
                </c:pt>
                <c:pt idx="283">
                  <c:v>6.7379999999999995E-2</c:v>
                </c:pt>
                <c:pt idx="284">
                  <c:v>7.324E-2</c:v>
                </c:pt>
                <c:pt idx="285">
                  <c:v>8.4349999999999994E-2</c:v>
                </c:pt>
                <c:pt idx="286">
                  <c:v>8.4570000000000006E-2</c:v>
                </c:pt>
                <c:pt idx="287">
                  <c:v>9.7210000000000005E-2</c:v>
                </c:pt>
                <c:pt idx="288">
                  <c:v>9.0539999999999995E-2</c:v>
                </c:pt>
                <c:pt idx="289">
                  <c:v>8.8529999999999998E-2</c:v>
                </c:pt>
                <c:pt idx="290">
                  <c:v>9.5500000000000002E-2</c:v>
                </c:pt>
                <c:pt idx="291">
                  <c:v>0.10753</c:v>
                </c:pt>
                <c:pt idx="292">
                  <c:v>0.11011</c:v>
                </c:pt>
                <c:pt idx="293">
                  <c:v>0.1145</c:v>
                </c:pt>
                <c:pt idx="294">
                  <c:v>8.4239999999999995E-2</c:v>
                </c:pt>
                <c:pt idx="295">
                  <c:v>8.0100000000000005E-2</c:v>
                </c:pt>
                <c:pt idx="296">
                  <c:v>8.6559999999999998E-2</c:v>
                </c:pt>
                <c:pt idx="297">
                  <c:v>9.5130000000000006E-2</c:v>
                </c:pt>
                <c:pt idx="298">
                  <c:v>8.9459999999999998E-2</c:v>
                </c:pt>
                <c:pt idx="299">
                  <c:v>7.6020000000000004E-2</c:v>
                </c:pt>
                <c:pt idx="300">
                  <c:v>8.1259999999999999E-2</c:v>
                </c:pt>
                <c:pt idx="301">
                  <c:v>8.3799999999999999E-2</c:v>
                </c:pt>
                <c:pt idx="302">
                  <c:v>8.3779999999999993E-2</c:v>
                </c:pt>
                <c:pt idx="303">
                  <c:v>8.2860000000000003E-2</c:v>
                </c:pt>
                <c:pt idx="304">
                  <c:v>8.6230000000000001E-2</c:v>
                </c:pt>
                <c:pt idx="305">
                  <c:v>7.9469999999999999E-2</c:v>
                </c:pt>
                <c:pt idx="306">
                  <c:v>0.08</c:v>
                </c:pt>
                <c:pt idx="307">
                  <c:v>8.1250000000000003E-2</c:v>
                </c:pt>
                <c:pt idx="308">
                  <c:v>7.6399999999999996E-2</c:v>
                </c:pt>
                <c:pt idx="309">
                  <c:v>8.0949999999999994E-2</c:v>
                </c:pt>
                <c:pt idx="310">
                  <c:v>9.1899999999999996E-2</c:v>
                </c:pt>
                <c:pt idx="311">
                  <c:v>9.0300000000000005E-2</c:v>
                </c:pt>
                <c:pt idx="312">
                  <c:v>8.8830000000000006E-2</c:v>
                </c:pt>
                <c:pt idx="313">
                  <c:v>9.0279999999999999E-2</c:v>
                </c:pt>
                <c:pt idx="314">
                  <c:v>9.7009999999999999E-2</c:v>
                </c:pt>
                <c:pt idx="315">
                  <c:v>9.7509999999999999E-2</c:v>
                </c:pt>
                <c:pt idx="316">
                  <c:v>9.9510000000000001E-2</c:v>
                </c:pt>
                <c:pt idx="317">
                  <c:v>7.5170000000000001E-2</c:v>
                </c:pt>
                <c:pt idx="318">
                  <c:v>7.9680000000000001E-2</c:v>
                </c:pt>
                <c:pt idx="319">
                  <c:v>8.2239999999999994E-2</c:v>
                </c:pt>
                <c:pt idx="320">
                  <c:v>7.1080000000000004E-2</c:v>
                </c:pt>
                <c:pt idx="321">
                  <c:v>7.0499999999999993E-2</c:v>
                </c:pt>
                <c:pt idx="322">
                  <c:v>5.851E-2</c:v>
                </c:pt>
                <c:pt idx="323">
                  <c:v>5.1380000000000002E-2</c:v>
                </c:pt>
                <c:pt idx="324">
                  <c:v>5.3490000000000003E-2</c:v>
                </c:pt>
                <c:pt idx="325">
                  <c:v>4.8750000000000002E-2</c:v>
                </c:pt>
                <c:pt idx="326">
                  <c:v>4.5789999999999997E-2</c:v>
                </c:pt>
                <c:pt idx="327">
                  <c:v>4.505E-2</c:v>
                </c:pt>
                <c:pt idx="328">
                  <c:v>4.4790000000000003E-2</c:v>
                </c:pt>
                <c:pt idx="329">
                  <c:v>4.3229999999999998E-2</c:v>
                </c:pt>
                <c:pt idx="330">
                  <c:v>4.6080000000000003E-2</c:v>
                </c:pt>
                <c:pt idx="331">
                  <c:v>4.2340000000000003E-2</c:v>
                </c:pt>
                <c:pt idx="332">
                  <c:v>4.4409999999999998E-2</c:v>
                </c:pt>
                <c:pt idx="333">
                  <c:v>4.3249999999999997E-2</c:v>
                </c:pt>
                <c:pt idx="334">
                  <c:v>4.3740000000000001E-2</c:v>
                </c:pt>
                <c:pt idx="335">
                  <c:v>4.2110000000000002E-2</c:v>
                </c:pt>
                <c:pt idx="336">
                  <c:v>4.0500000000000001E-2</c:v>
                </c:pt>
                <c:pt idx="337">
                  <c:v>4.2889999999999998E-2</c:v>
                </c:pt>
                <c:pt idx="338">
                  <c:v>4.1779999999999998E-2</c:v>
                </c:pt>
                <c:pt idx="339">
                  <c:v>5.3060000000000003E-2</c:v>
                </c:pt>
                <c:pt idx="340">
                  <c:v>5.9560000000000002E-2</c:v>
                </c:pt>
                <c:pt idx="341">
                  <c:v>5.3800000000000001E-2</c:v>
                </c:pt>
                <c:pt idx="342">
                  <c:v>5.901E-2</c:v>
                </c:pt>
                <c:pt idx="343">
                  <c:v>5.0720000000000001E-2</c:v>
                </c:pt>
                <c:pt idx="344">
                  <c:v>4.8390000000000002E-2</c:v>
                </c:pt>
                <c:pt idx="345">
                  <c:v>4.505E-2</c:v>
                </c:pt>
                <c:pt idx="346">
                  <c:v>4.7989999999999998E-2</c:v>
                </c:pt>
                <c:pt idx="347">
                  <c:v>4.8840000000000001E-2</c:v>
                </c:pt>
                <c:pt idx="348">
                  <c:v>5.3850000000000002E-2</c:v>
                </c:pt>
                <c:pt idx="349">
                  <c:v>5.33E-2</c:v>
                </c:pt>
                <c:pt idx="350">
                  <c:v>5.212E-2</c:v>
                </c:pt>
                <c:pt idx="351">
                  <c:v>5.3010000000000002E-2</c:v>
                </c:pt>
                <c:pt idx="352">
                  <c:v>5.2780000000000001E-2</c:v>
                </c:pt>
                <c:pt idx="353">
                  <c:v>4.462E-2</c:v>
                </c:pt>
                <c:pt idx="354">
                  <c:v>3.4270000000000002E-2</c:v>
                </c:pt>
                <c:pt idx="355">
                  <c:v>3.2259999999999997E-2</c:v>
                </c:pt>
                <c:pt idx="356">
                  <c:v>3.1800000000000002E-2</c:v>
                </c:pt>
                <c:pt idx="357">
                  <c:v>2.8709999999999999E-2</c:v>
                </c:pt>
                <c:pt idx="358">
                  <c:v>2.7640000000000001E-2</c:v>
                </c:pt>
                <c:pt idx="359">
                  <c:v>2.6249999999999999E-2</c:v>
                </c:pt>
                <c:pt idx="360">
                  <c:v>2.7019999999999999E-2</c:v>
                </c:pt>
                <c:pt idx="361">
                  <c:v>2.3449999999999999E-2</c:v>
                </c:pt>
                <c:pt idx="362">
                  <c:v>2.2780000000000002E-2</c:v>
                </c:pt>
                <c:pt idx="363">
                  <c:v>2.3050000000000001E-2</c:v>
                </c:pt>
                <c:pt idx="364">
                  <c:v>2.2859999999999998E-2</c:v>
                </c:pt>
                <c:pt idx="365">
                  <c:v>1.9599999999999999E-2</c:v>
                </c:pt>
                <c:pt idx="366">
                  <c:v>2.0719999999999999E-2</c:v>
                </c:pt>
                <c:pt idx="367">
                  <c:v>2.034E-2</c:v>
                </c:pt>
                <c:pt idx="368">
                  <c:v>2.0879999999999999E-2</c:v>
                </c:pt>
                <c:pt idx="369">
                  <c:v>2.128E-2</c:v>
                </c:pt>
                <c:pt idx="370">
                  <c:v>2.0230000000000001E-2</c:v>
                </c:pt>
                <c:pt idx="371">
                  <c:v>0.02</c:v>
                </c:pt>
                <c:pt idx="372">
                  <c:v>2.2190000000000001E-2</c:v>
                </c:pt>
                <c:pt idx="373">
                  <c:v>2.213E-2</c:v>
                </c:pt>
                <c:pt idx="374">
                  <c:v>2.2859999999999998E-2</c:v>
                </c:pt>
                <c:pt idx="375">
                  <c:v>2.2919999999999999E-2</c:v>
                </c:pt>
                <c:pt idx="376">
                  <c:v>2.2210000000000001E-2</c:v>
                </c:pt>
                <c:pt idx="377">
                  <c:v>2.2700000000000001E-2</c:v>
                </c:pt>
                <c:pt idx="378">
                  <c:v>2.1139999999999999E-2</c:v>
                </c:pt>
                <c:pt idx="379">
                  <c:v>2.0559999999999998E-2</c:v>
                </c:pt>
                <c:pt idx="380">
                  <c:v>1.8089999999999998E-2</c:v>
                </c:pt>
                <c:pt idx="381">
                  <c:v>1.8710000000000001E-2</c:v>
                </c:pt>
                <c:pt idx="382">
                  <c:v>2.1329999999999998E-2</c:v>
                </c:pt>
                <c:pt idx="383">
                  <c:v>2.3279999999999999E-2</c:v>
                </c:pt>
                <c:pt idx="384">
                  <c:v>2.2290000000000001E-2</c:v>
                </c:pt>
                <c:pt idx="385">
                  <c:v>2.5000000000000001E-2</c:v>
                </c:pt>
                <c:pt idx="386">
                  <c:v>2.6579999999999999E-2</c:v>
                </c:pt>
                <c:pt idx="387">
                  <c:v>2.3539999999999998E-2</c:v>
                </c:pt>
                <c:pt idx="388">
                  <c:v>2.3290000000000002E-2</c:v>
                </c:pt>
                <c:pt idx="389">
                  <c:v>2.3789999999999999E-2</c:v>
                </c:pt>
                <c:pt idx="390">
                  <c:v>2.3199999999999998E-2</c:v>
                </c:pt>
                <c:pt idx="391">
                  <c:v>2.2020000000000001E-2</c:v>
                </c:pt>
                <c:pt idx="392">
                  <c:v>2.2970000000000001E-2</c:v>
                </c:pt>
                <c:pt idx="393">
                  <c:v>2.0039999999999999E-2</c:v>
                </c:pt>
                <c:pt idx="394">
                  <c:v>2.1700000000000001E-2</c:v>
                </c:pt>
                <c:pt idx="395">
                  <c:v>2.3879999999999998E-2</c:v>
                </c:pt>
                <c:pt idx="396">
                  <c:v>2.401E-2</c:v>
                </c:pt>
                <c:pt idx="397">
                  <c:v>2.4670000000000001E-2</c:v>
                </c:pt>
                <c:pt idx="398">
                  <c:v>2.4E-2</c:v>
                </c:pt>
                <c:pt idx="399">
                  <c:v>2.223E-2</c:v>
                </c:pt>
                <c:pt idx="400">
                  <c:v>2.1989999999999999E-2</c:v>
                </c:pt>
                <c:pt idx="401">
                  <c:v>2.3470000000000001E-2</c:v>
                </c:pt>
                <c:pt idx="402">
                  <c:v>2.1559999999999999E-2</c:v>
                </c:pt>
                <c:pt idx="403">
                  <c:v>2.2950000000000002E-2</c:v>
                </c:pt>
                <c:pt idx="404">
                  <c:v>2.2550000000000001E-2</c:v>
                </c:pt>
                <c:pt idx="405">
                  <c:v>2.2190000000000001E-2</c:v>
                </c:pt>
                <c:pt idx="406">
                  <c:v>2.1700000000000001E-2</c:v>
                </c:pt>
                <c:pt idx="407">
                  <c:v>2.3109999999999999E-2</c:v>
                </c:pt>
                <c:pt idx="408">
                  <c:v>2.1669999999999998E-2</c:v>
                </c:pt>
                <c:pt idx="409">
                  <c:v>1.9699999999999999E-2</c:v>
                </c:pt>
                <c:pt idx="410">
                  <c:v>2.102E-2</c:v>
                </c:pt>
                <c:pt idx="411">
                  <c:v>2.0500000000000001E-2</c:v>
                </c:pt>
                <c:pt idx="412">
                  <c:v>1.9199999999999998E-2</c:v>
                </c:pt>
                <c:pt idx="413">
                  <c:v>1.9650000000000001E-2</c:v>
                </c:pt>
                <c:pt idx="414">
                  <c:v>2.0789999999999999E-2</c:v>
                </c:pt>
                <c:pt idx="415">
                  <c:v>2.0219999999999998E-2</c:v>
                </c:pt>
                <c:pt idx="416">
                  <c:v>1.8800000000000001E-2</c:v>
                </c:pt>
                <c:pt idx="417">
                  <c:v>1.8749999999999999E-2</c:v>
                </c:pt>
                <c:pt idx="418">
                  <c:v>1.78E-2</c:v>
                </c:pt>
                <c:pt idx="419">
                  <c:v>1.8370000000000001E-2</c:v>
                </c:pt>
                <c:pt idx="420">
                  <c:v>1.9060000000000001E-2</c:v>
                </c:pt>
                <c:pt idx="421">
                  <c:v>1.7940000000000001E-2</c:v>
                </c:pt>
                <c:pt idx="422">
                  <c:v>1.6299999999999999E-2</c:v>
                </c:pt>
                <c:pt idx="423">
                  <c:v>1.7149999999999999E-2</c:v>
                </c:pt>
                <c:pt idx="424">
                  <c:v>1.6990000000000002E-2</c:v>
                </c:pt>
                <c:pt idx="425">
                  <c:v>1.685E-2</c:v>
                </c:pt>
                <c:pt idx="426">
                  <c:v>1.6299999999999999E-2</c:v>
                </c:pt>
                <c:pt idx="427">
                  <c:v>1.6559999999999998E-2</c:v>
                </c:pt>
                <c:pt idx="428">
                  <c:v>1.874E-2</c:v>
                </c:pt>
                <c:pt idx="429">
                  <c:v>1.992E-2</c:v>
                </c:pt>
                <c:pt idx="430">
                  <c:v>2.1229999999999999E-2</c:v>
                </c:pt>
                <c:pt idx="431">
                  <c:v>2.061E-2</c:v>
                </c:pt>
                <c:pt idx="432">
                  <c:v>2.3199999999999998E-2</c:v>
                </c:pt>
                <c:pt idx="433">
                  <c:v>1.992E-2</c:v>
                </c:pt>
                <c:pt idx="434">
                  <c:v>1.8880000000000001E-2</c:v>
                </c:pt>
                <c:pt idx="435">
                  <c:v>1.788E-2</c:v>
                </c:pt>
                <c:pt idx="436">
                  <c:v>1.8550000000000001E-2</c:v>
                </c:pt>
                <c:pt idx="437">
                  <c:v>1.6879999999999999E-2</c:v>
                </c:pt>
                <c:pt idx="438">
                  <c:v>1.4670000000000001E-2</c:v>
                </c:pt>
                <c:pt idx="439">
                  <c:v>1.431E-2</c:v>
                </c:pt>
                <c:pt idx="440">
                  <c:v>1.456E-2</c:v>
                </c:pt>
                <c:pt idx="441">
                  <c:v>1.2959999999999999E-2</c:v>
                </c:pt>
                <c:pt idx="442">
                  <c:v>1.298E-2</c:v>
                </c:pt>
                <c:pt idx="443">
                  <c:v>1.3899999999999999E-2</c:v>
                </c:pt>
                <c:pt idx="444">
                  <c:v>1.443E-2</c:v>
                </c:pt>
                <c:pt idx="445">
                  <c:v>1.319E-2</c:v>
                </c:pt>
                <c:pt idx="446">
                  <c:v>1.214E-2</c:v>
                </c:pt>
                <c:pt idx="447">
                  <c:v>1.341E-2</c:v>
                </c:pt>
                <c:pt idx="448">
                  <c:v>1.2460000000000001E-2</c:v>
                </c:pt>
                <c:pt idx="449">
                  <c:v>1.095E-2</c:v>
                </c:pt>
                <c:pt idx="450">
                  <c:v>1.1429999999999999E-2</c:v>
                </c:pt>
                <c:pt idx="451">
                  <c:v>1.163E-2</c:v>
                </c:pt>
                <c:pt idx="452">
                  <c:v>1.1730000000000001E-2</c:v>
                </c:pt>
                <c:pt idx="453">
                  <c:v>1.15E-2</c:v>
                </c:pt>
                <c:pt idx="454">
                  <c:v>1.1480000000000001E-2</c:v>
                </c:pt>
                <c:pt idx="455">
                  <c:v>1.0880000000000001E-2</c:v>
                </c:pt>
                <c:pt idx="456">
                  <c:v>1.061E-2</c:v>
                </c:pt>
                <c:pt idx="457">
                  <c:v>1.0789999999999999E-2</c:v>
                </c:pt>
                <c:pt idx="458">
                  <c:v>1.0829999999999999E-2</c:v>
                </c:pt>
                <c:pt idx="459">
                  <c:v>1.1220000000000001E-2</c:v>
                </c:pt>
                <c:pt idx="460">
                  <c:v>1.1809999999999999E-2</c:v>
                </c:pt>
                <c:pt idx="461">
                  <c:v>1.17E-2</c:v>
                </c:pt>
                <c:pt idx="462">
                  <c:v>1.1990000000000001E-2</c:v>
                </c:pt>
                <c:pt idx="463">
                  <c:v>1.146E-2</c:v>
                </c:pt>
                <c:pt idx="464">
                  <c:v>1.0880000000000001E-2</c:v>
                </c:pt>
                <c:pt idx="465">
                  <c:v>1.095E-2</c:v>
                </c:pt>
                <c:pt idx="466">
                  <c:v>1.1350000000000001E-2</c:v>
                </c:pt>
                <c:pt idx="467">
                  <c:v>1.137E-2</c:v>
                </c:pt>
                <c:pt idx="468">
                  <c:v>1.11E-2</c:v>
                </c:pt>
                <c:pt idx="469">
                  <c:v>1.2409999999999999E-2</c:v>
                </c:pt>
                <c:pt idx="470">
                  <c:v>1.2749999999999999E-2</c:v>
                </c:pt>
                <c:pt idx="471">
                  <c:v>1.291E-2</c:v>
                </c:pt>
                <c:pt idx="472">
                  <c:v>1.366E-2</c:v>
                </c:pt>
                <c:pt idx="473">
                  <c:v>1.3509999999999999E-2</c:v>
                </c:pt>
                <c:pt idx="474">
                  <c:v>1.328E-2</c:v>
                </c:pt>
                <c:pt idx="475">
                  <c:v>1.3310000000000001E-2</c:v>
                </c:pt>
                <c:pt idx="476">
                  <c:v>1.281E-2</c:v>
                </c:pt>
                <c:pt idx="477">
                  <c:v>1.2840000000000001E-2</c:v>
                </c:pt>
                <c:pt idx="478">
                  <c:v>1.278E-2</c:v>
                </c:pt>
                <c:pt idx="479">
                  <c:v>1.319E-2</c:v>
                </c:pt>
                <c:pt idx="480">
                  <c:v>1.3469999999999999E-2</c:v>
                </c:pt>
                <c:pt idx="481">
                  <c:v>1.316E-2</c:v>
                </c:pt>
                <c:pt idx="482">
                  <c:v>1.3100000000000001E-2</c:v>
                </c:pt>
                <c:pt idx="483">
                  <c:v>1.325E-2</c:v>
                </c:pt>
                <c:pt idx="484">
                  <c:v>1.3520000000000001E-2</c:v>
                </c:pt>
                <c:pt idx="485">
                  <c:v>1.388E-2</c:v>
                </c:pt>
                <c:pt idx="486">
                  <c:v>1.362E-2</c:v>
                </c:pt>
                <c:pt idx="487">
                  <c:v>1.397E-2</c:v>
                </c:pt>
                <c:pt idx="488">
                  <c:v>1.4019999999999999E-2</c:v>
                </c:pt>
                <c:pt idx="489">
                  <c:v>1.426E-2</c:v>
                </c:pt>
                <c:pt idx="490">
                  <c:v>1.3849999999999999E-2</c:v>
                </c:pt>
                <c:pt idx="491">
                  <c:v>1.315E-2</c:v>
                </c:pt>
                <c:pt idx="492">
                  <c:v>1.3679999999999999E-2</c:v>
                </c:pt>
                <c:pt idx="493">
                  <c:v>1.3480000000000001E-2</c:v>
                </c:pt>
                <c:pt idx="494">
                  <c:v>1.421E-2</c:v>
                </c:pt>
                <c:pt idx="495">
                  <c:v>1.426E-2</c:v>
                </c:pt>
                <c:pt idx="496">
                  <c:v>1.338E-2</c:v>
                </c:pt>
                <c:pt idx="497">
                  <c:v>1.302E-2</c:v>
                </c:pt>
                <c:pt idx="498">
                  <c:v>1.29E-2</c:v>
                </c:pt>
                <c:pt idx="499">
                  <c:v>1.23E-2</c:v>
                </c:pt>
                <c:pt idx="500">
                  <c:v>1.435E-2</c:v>
                </c:pt>
                <c:pt idx="501">
                  <c:v>1.387E-2</c:v>
                </c:pt>
                <c:pt idx="502">
                  <c:v>1.393E-2</c:v>
                </c:pt>
                <c:pt idx="503">
                  <c:v>1.374E-2</c:v>
                </c:pt>
                <c:pt idx="504">
                  <c:v>1.383E-2</c:v>
                </c:pt>
                <c:pt idx="505">
                  <c:v>1.41E-2</c:v>
                </c:pt>
                <c:pt idx="506">
                  <c:v>1.4019999999999999E-2</c:v>
                </c:pt>
                <c:pt idx="507">
                  <c:v>1.324E-2</c:v>
                </c:pt>
                <c:pt idx="508">
                  <c:v>1.303E-2</c:v>
                </c:pt>
                <c:pt idx="509">
                  <c:v>1.217E-2</c:v>
                </c:pt>
                <c:pt idx="510">
                  <c:v>1.388E-2</c:v>
                </c:pt>
                <c:pt idx="511">
                  <c:v>1.2659999999999999E-2</c:v>
                </c:pt>
                <c:pt idx="512">
                  <c:v>1.5630000000000002E-2</c:v>
                </c:pt>
                <c:pt idx="513">
                  <c:v>1.652E-2</c:v>
                </c:pt>
                <c:pt idx="514">
                  <c:v>1.847E-2</c:v>
                </c:pt>
                <c:pt idx="515">
                  <c:v>1.469E-2</c:v>
                </c:pt>
                <c:pt idx="516">
                  <c:v>1.5270000000000001E-2</c:v>
                </c:pt>
                <c:pt idx="517">
                  <c:v>1.5509999999999999E-2</c:v>
                </c:pt>
                <c:pt idx="518">
                  <c:v>1.54E-2</c:v>
                </c:pt>
                <c:pt idx="519">
                  <c:v>1.585E-2</c:v>
                </c:pt>
                <c:pt idx="520">
                  <c:v>1.536E-2</c:v>
                </c:pt>
                <c:pt idx="521">
                  <c:v>1.626E-2</c:v>
                </c:pt>
                <c:pt idx="522">
                  <c:v>1.524E-2</c:v>
                </c:pt>
                <c:pt idx="523">
                  <c:v>1.553E-2</c:v>
                </c:pt>
                <c:pt idx="524">
                  <c:v>1.4659999999999999E-2</c:v>
                </c:pt>
                <c:pt idx="525">
                  <c:v>1.6049999999999998E-2</c:v>
                </c:pt>
                <c:pt idx="526">
                  <c:v>1.5720000000000001E-2</c:v>
                </c:pt>
                <c:pt idx="527">
                  <c:v>1.6469999999999999E-2</c:v>
                </c:pt>
                <c:pt idx="528">
                  <c:v>1.6709999999999999E-2</c:v>
                </c:pt>
                <c:pt idx="529">
                  <c:v>1.6080000000000001E-2</c:v>
                </c:pt>
                <c:pt idx="530">
                  <c:v>1.6379999999999999E-2</c:v>
                </c:pt>
                <c:pt idx="531">
                  <c:v>1.669E-2</c:v>
                </c:pt>
                <c:pt idx="532">
                  <c:v>1.7260000000000001E-2</c:v>
                </c:pt>
                <c:pt idx="533">
                  <c:v>1.4930000000000001E-2</c:v>
                </c:pt>
                <c:pt idx="534">
                  <c:v>1.3679999999999999E-2</c:v>
                </c:pt>
                <c:pt idx="535">
                  <c:v>1.473E-2</c:v>
                </c:pt>
                <c:pt idx="536">
                  <c:v>1.332E-2</c:v>
                </c:pt>
                <c:pt idx="537">
                  <c:v>1.3339999999999999E-2</c:v>
                </c:pt>
                <c:pt idx="538">
                  <c:v>1.3180000000000001E-2</c:v>
                </c:pt>
                <c:pt idx="539">
                  <c:v>1.239E-2</c:v>
                </c:pt>
                <c:pt idx="540">
                  <c:v>1.2030000000000001E-2</c:v>
                </c:pt>
                <c:pt idx="541">
                  <c:v>1.187E-2</c:v>
                </c:pt>
                <c:pt idx="542">
                  <c:v>1.14E-2</c:v>
                </c:pt>
                <c:pt idx="543">
                  <c:v>1.128E-2</c:v>
                </c:pt>
                <c:pt idx="544">
                  <c:v>1.159E-2</c:v>
                </c:pt>
                <c:pt idx="545">
                  <c:v>1.1560000000000001E-2</c:v>
                </c:pt>
                <c:pt idx="546">
                  <c:v>1.204E-2</c:v>
                </c:pt>
                <c:pt idx="547">
                  <c:v>1.1860000000000001E-2</c:v>
                </c:pt>
                <c:pt idx="548">
                  <c:v>1.155E-2</c:v>
                </c:pt>
                <c:pt idx="549">
                  <c:v>1.11E-2</c:v>
                </c:pt>
                <c:pt idx="550">
                  <c:v>1.278E-2</c:v>
                </c:pt>
                <c:pt idx="551">
                  <c:v>1.265E-2</c:v>
                </c:pt>
                <c:pt idx="552">
                  <c:v>1.251E-2</c:v>
                </c:pt>
                <c:pt idx="553">
                  <c:v>1.261E-2</c:v>
                </c:pt>
                <c:pt idx="554">
                  <c:v>1.278E-2</c:v>
                </c:pt>
                <c:pt idx="555">
                  <c:v>1.247E-2</c:v>
                </c:pt>
                <c:pt idx="556">
                  <c:v>1.281E-2</c:v>
                </c:pt>
                <c:pt idx="557">
                  <c:v>1.218E-2</c:v>
                </c:pt>
                <c:pt idx="558">
                  <c:v>1.2370000000000001E-2</c:v>
                </c:pt>
                <c:pt idx="559">
                  <c:v>1.2409999999999999E-2</c:v>
                </c:pt>
                <c:pt idx="560">
                  <c:v>1.1820000000000001E-2</c:v>
                </c:pt>
                <c:pt idx="561">
                  <c:v>1.21E-2</c:v>
                </c:pt>
                <c:pt idx="562">
                  <c:v>1.157E-2</c:v>
                </c:pt>
                <c:pt idx="563">
                  <c:v>1.1140000000000001E-2</c:v>
                </c:pt>
                <c:pt idx="564">
                  <c:v>1.2019999999999999E-2</c:v>
                </c:pt>
                <c:pt idx="565">
                  <c:v>1.218E-2</c:v>
                </c:pt>
                <c:pt idx="566">
                  <c:v>1.342E-2</c:v>
                </c:pt>
                <c:pt idx="567">
                  <c:v>9.6299999999999997E-3</c:v>
                </c:pt>
                <c:pt idx="568">
                  <c:v>9.7800000000000005E-3</c:v>
                </c:pt>
                <c:pt idx="569">
                  <c:v>9.41E-3</c:v>
                </c:pt>
                <c:pt idx="570">
                  <c:v>9.3699999999999999E-3</c:v>
                </c:pt>
                <c:pt idx="571">
                  <c:v>9.2200000000000008E-3</c:v>
                </c:pt>
                <c:pt idx="572">
                  <c:v>9.1000000000000004E-3</c:v>
                </c:pt>
                <c:pt idx="573">
                  <c:v>8.9599999999999992E-3</c:v>
                </c:pt>
                <c:pt idx="574">
                  <c:v>8.8199999999999997E-3</c:v>
                </c:pt>
                <c:pt idx="575">
                  <c:v>9.1599999999999997E-3</c:v>
                </c:pt>
                <c:pt idx="576">
                  <c:v>8.8599999999999998E-3</c:v>
                </c:pt>
                <c:pt idx="577">
                  <c:v>9.2099999999999994E-3</c:v>
                </c:pt>
                <c:pt idx="578">
                  <c:v>9.2300000000000004E-3</c:v>
                </c:pt>
                <c:pt idx="579">
                  <c:v>8.5900000000000004E-3</c:v>
                </c:pt>
                <c:pt idx="580">
                  <c:v>9.6399999999999993E-3</c:v>
                </c:pt>
                <c:pt idx="581">
                  <c:v>9.8499999999999994E-3</c:v>
                </c:pt>
                <c:pt idx="582">
                  <c:v>9.5499999999999995E-3</c:v>
                </c:pt>
                <c:pt idx="583">
                  <c:v>9.3399999999999993E-3</c:v>
                </c:pt>
                <c:pt idx="584">
                  <c:v>9.2200000000000008E-3</c:v>
                </c:pt>
                <c:pt idx="585">
                  <c:v>8.8999999999999999E-3</c:v>
                </c:pt>
                <c:pt idx="586">
                  <c:v>9.0299999999999998E-3</c:v>
                </c:pt>
                <c:pt idx="587">
                  <c:v>9.1500000000000001E-3</c:v>
                </c:pt>
                <c:pt idx="588">
                  <c:v>9.2399999999999999E-3</c:v>
                </c:pt>
                <c:pt idx="589">
                  <c:v>9.0299999999999998E-3</c:v>
                </c:pt>
                <c:pt idx="590">
                  <c:v>9.2499999999999995E-3</c:v>
                </c:pt>
                <c:pt idx="591">
                  <c:v>9.5099999999999994E-3</c:v>
                </c:pt>
                <c:pt idx="592">
                  <c:v>9.1800000000000007E-3</c:v>
                </c:pt>
                <c:pt idx="593">
                  <c:v>9.4800000000000006E-3</c:v>
                </c:pt>
                <c:pt idx="594">
                  <c:v>9.3399999999999993E-3</c:v>
                </c:pt>
                <c:pt idx="595">
                  <c:v>8.6E-3</c:v>
                </c:pt>
                <c:pt idx="596">
                  <c:v>8.5299999999999994E-3</c:v>
                </c:pt>
                <c:pt idx="597">
                  <c:v>8.6700000000000006E-3</c:v>
                </c:pt>
                <c:pt idx="598">
                  <c:v>9.1500000000000001E-3</c:v>
                </c:pt>
                <c:pt idx="599">
                  <c:v>9.1500000000000001E-3</c:v>
                </c:pt>
                <c:pt idx="600">
                  <c:v>9.9699999999999997E-3</c:v>
                </c:pt>
                <c:pt idx="601">
                  <c:v>1.03E-2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8-410F-981A-FE8582AB85B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-82.727441234460002</c:v>
                </c:pt>
                <c:pt idx="1">
                  <c:v>-82.701551929935292</c:v>
                </c:pt>
                <c:pt idx="2">
                  <c:v>-82.357439270046058</c:v>
                </c:pt>
                <c:pt idx="3">
                  <c:v>-82.070718504751241</c:v>
                </c:pt>
                <c:pt idx="4">
                  <c:v>-81.697447868285423</c:v>
                </c:pt>
                <c:pt idx="5">
                  <c:v>-82.685308086599377</c:v>
                </c:pt>
                <c:pt idx="6">
                  <c:v>-82.404820546926786</c:v>
                </c:pt>
                <c:pt idx="7">
                  <c:v>-81.439235971020807</c:v>
                </c:pt>
                <c:pt idx="8">
                  <c:v>-81.004617700708891</c:v>
                </c:pt>
                <c:pt idx="9">
                  <c:v>-80.321434352860038</c:v>
                </c:pt>
                <c:pt idx="10">
                  <c:v>-79.8220503410395</c:v>
                </c:pt>
                <c:pt idx="11">
                  <c:v>-79.596810016500015</c:v>
                </c:pt>
                <c:pt idx="12">
                  <c:v>-79.376702263589479</c:v>
                </c:pt>
                <c:pt idx="13">
                  <c:v>-79.680957538779424</c:v>
                </c:pt>
                <c:pt idx="14">
                  <c:v>-79.678468007309817</c:v>
                </c:pt>
                <c:pt idx="15">
                  <c:v>-78.92505540094119</c:v>
                </c:pt>
                <c:pt idx="16">
                  <c:v>-79.078018581540277</c:v>
                </c:pt>
                <c:pt idx="17">
                  <c:v>-78.895774101704319</c:v>
                </c:pt>
                <c:pt idx="18">
                  <c:v>-78.584794229815984</c:v>
                </c:pt>
                <c:pt idx="19">
                  <c:v>-77.783110219415988</c:v>
                </c:pt>
                <c:pt idx="20">
                  <c:v>-78.814793620305508</c:v>
                </c:pt>
                <c:pt idx="21">
                  <c:v>-78.323748407339636</c:v>
                </c:pt>
                <c:pt idx="22">
                  <c:v>-78.344894112129637</c:v>
                </c:pt>
                <c:pt idx="23">
                  <c:v>-78.061025015536856</c:v>
                </c:pt>
                <c:pt idx="24">
                  <c:v>-77.420594489197114</c:v>
                </c:pt>
                <c:pt idx="25">
                  <c:v>-76.938294672073155</c:v>
                </c:pt>
                <c:pt idx="26">
                  <c:v>-76.326488228342811</c:v>
                </c:pt>
                <c:pt idx="27">
                  <c:v>-75.48226139482891</c:v>
                </c:pt>
                <c:pt idx="28">
                  <c:v>-76.24387079861576</c:v>
                </c:pt>
                <c:pt idx="29">
                  <c:v>-75.035572726052365</c:v>
                </c:pt>
                <c:pt idx="30">
                  <c:v>-75.09878062625279</c:v>
                </c:pt>
                <c:pt idx="31">
                  <c:v>-75.96401176966107</c:v>
                </c:pt>
                <c:pt idx="32">
                  <c:v>-74.703832236276455</c:v>
                </c:pt>
                <c:pt idx="33">
                  <c:v>-72.484642432232704</c:v>
                </c:pt>
                <c:pt idx="34">
                  <c:v>-74.665095538237154</c:v>
                </c:pt>
                <c:pt idx="35">
                  <c:v>-75.856899081440545</c:v>
                </c:pt>
                <c:pt idx="36">
                  <c:v>-75.970444791189294</c:v>
                </c:pt>
                <c:pt idx="37">
                  <c:v>-74.687207727128168</c:v>
                </c:pt>
                <c:pt idx="38">
                  <c:v>-73.325007903359491</c:v>
                </c:pt>
                <c:pt idx="39">
                  <c:v>-74.83737678886196</c:v>
                </c:pt>
                <c:pt idx="40">
                  <c:v>-74.148874632330418</c:v>
                </c:pt>
                <c:pt idx="41">
                  <c:v>-73.489656270585755</c:v>
                </c:pt>
                <c:pt idx="42">
                  <c:v>-70.549319297064486</c:v>
                </c:pt>
                <c:pt idx="43">
                  <c:v>-75.964774921153818</c:v>
                </c:pt>
                <c:pt idx="44">
                  <c:v>-76.990828388157169</c:v>
                </c:pt>
                <c:pt idx="45">
                  <c:v>-75.578038171668851</c:v>
                </c:pt>
                <c:pt idx="46">
                  <c:v>-73.87240757071757</c:v>
                </c:pt>
                <c:pt idx="47">
                  <c:v>-71.720087310108923</c:v>
                </c:pt>
                <c:pt idx="48">
                  <c:v>-71.607466524157701</c:v>
                </c:pt>
                <c:pt idx="49">
                  <c:v>-72.786655266165937</c:v>
                </c:pt>
                <c:pt idx="50">
                  <c:v>-58.685358359237462</c:v>
                </c:pt>
                <c:pt idx="51">
                  <c:v>-60.374287818688167</c:v>
                </c:pt>
                <c:pt idx="52">
                  <c:v>-59.214546908099926</c:v>
                </c:pt>
                <c:pt idx="53">
                  <c:v>-59.966918966910114</c:v>
                </c:pt>
                <c:pt idx="54">
                  <c:v>-50.643421224505758</c:v>
                </c:pt>
                <c:pt idx="55">
                  <c:v>-53.165688917478363</c:v>
                </c:pt>
                <c:pt idx="56">
                  <c:v>-50.37995959733874</c:v>
                </c:pt>
                <c:pt idx="57">
                  <c:v>-50.046877516997277</c:v>
                </c:pt>
                <c:pt idx="58">
                  <c:v>-49.716747492463206</c:v>
                </c:pt>
                <c:pt idx="59">
                  <c:v>-49.956198843271729</c:v>
                </c:pt>
                <c:pt idx="60">
                  <c:v>-49.798711412134246</c:v>
                </c:pt>
                <c:pt idx="61">
                  <c:v>-49.969316431197512</c:v>
                </c:pt>
                <c:pt idx="62">
                  <c:v>-49.674888705108337</c:v>
                </c:pt>
                <c:pt idx="63">
                  <c:v>-49.630191096580539</c:v>
                </c:pt>
                <c:pt idx="64">
                  <c:v>-49.625671086195212</c:v>
                </c:pt>
                <c:pt idx="65">
                  <c:v>-49.700406926128544</c:v>
                </c:pt>
                <c:pt idx="66">
                  <c:v>-49.995431623250497</c:v>
                </c:pt>
                <c:pt idx="67">
                  <c:v>-49.443290788048536</c:v>
                </c:pt>
                <c:pt idx="68">
                  <c:v>-47.401396341980508</c:v>
                </c:pt>
                <c:pt idx="69">
                  <c:v>-46.946728370931503</c:v>
                </c:pt>
                <c:pt idx="70">
                  <c:v>-47.037991313074848</c:v>
                </c:pt>
                <c:pt idx="71">
                  <c:v>-45.703581383823831</c:v>
                </c:pt>
                <c:pt idx="72">
                  <c:v>-45.855687063399408</c:v>
                </c:pt>
                <c:pt idx="73">
                  <c:v>-46.569674194811114</c:v>
                </c:pt>
                <c:pt idx="74">
                  <c:v>-46.863142050350248</c:v>
                </c:pt>
                <c:pt idx="75">
                  <c:v>-46.6320429806417</c:v>
                </c:pt>
                <c:pt idx="76">
                  <c:v>-46.551453455641699</c:v>
                </c:pt>
                <c:pt idx="77">
                  <c:v>-46.655248772717336</c:v>
                </c:pt>
                <c:pt idx="78">
                  <c:v>-46.535374320188822</c:v>
                </c:pt>
                <c:pt idx="79">
                  <c:v>-46.222773024225518</c:v>
                </c:pt>
                <c:pt idx="80">
                  <c:v>-46.19692920349825</c:v>
                </c:pt>
                <c:pt idx="81">
                  <c:v>-45.99442771255088</c:v>
                </c:pt>
                <c:pt idx="82">
                  <c:v>-46.098245838365308</c:v>
                </c:pt>
                <c:pt idx="83">
                  <c:v>-46.288228999496049</c:v>
                </c:pt>
                <c:pt idx="84">
                  <c:v>-46.01929215781913</c:v>
                </c:pt>
                <c:pt idx="85">
                  <c:v>-45.980394487280407</c:v>
                </c:pt>
                <c:pt idx="86">
                  <c:v>-46.069338801368758</c:v>
                </c:pt>
                <c:pt idx="87">
                  <c:v>-46.04162251310116</c:v>
                </c:pt>
                <c:pt idx="88">
                  <c:v>-45.557242081783947</c:v>
                </c:pt>
                <c:pt idx="89">
                  <c:v>-45.544942126611758</c:v>
                </c:pt>
                <c:pt idx="90">
                  <c:v>-45.490675525130492</c:v>
                </c:pt>
                <c:pt idx="91">
                  <c:v>-45.469354358782176</c:v>
                </c:pt>
                <c:pt idx="92">
                  <c:v>-45.489541424603438</c:v>
                </c:pt>
                <c:pt idx="93">
                  <c:v>-45.198205943252084</c:v>
                </c:pt>
                <c:pt idx="94">
                  <c:v>-45.036433188138957</c:v>
                </c:pt>
                <c:pt idx="95">
                  <c:v>-45.380606026069053</c:v>
                </c:pt>
                <c:pt idx="96">
                  <c:v>-45.236094893630167</c:v>
                </c:pt>
                <c:pt idx="97">
                  <c:v>-44.967387328763991</c:v>
                </c:pt>
                <c:pt idx="98">
                  <c:v>-44.778950622896069</c:v>
                </c:pt>
                <c:pt idx="99">
                  <c:v>-44.209520202069697</c:v>
                </c:pt>
                <c:pt idx="100">
                  <c:v>-44.751443835293294</c:v>
                </c:pt>
                <c:pt idx="101">
                  <c:v>-44.590593083894689</c:v>
                </c:pt>
                <c:pt idx="102">
                  <c:v>-43.481593318899527</c:v>
                </c:pt>
                <c:pt idx="103">
                  <c:v>-43.254718119157204</c:v>
                </c:pt>
                <c:pt idx="104">
                  <c:v>-41.313856402817713</c:v>
                </c:pt>
                <c:pt idx="105">
                  <c:v>-41.529643692875808</c:v>
                </c:pt>
                <c:pt idx="106">
                  <c:v>-41.52288132032357</c:v>
                </c:pt>
                <c:pt idx="107">
                  <c:v>-41.641636783808416</c:v>
                </c:pt>
                <c:pt idx="108">
                  <c:v>-41.833498520388417</c:v>
                </c:pt>
                <c:pt idx="109">
                  <c:v>-40.977833797443722</c:v>
                </c:pt>
                <c:pt idx="110">
                  <c:v>-40.238172417022042</c:v>
                </c:pt>
                <c:pt idx="111">
                  <c:v>-40.028536563487478</c:v>
                </c:pt>
                <c:pt idx="112">
                  <c:v>-39.059825721277171</c:v>
                </c:pt>
                <c:pt idx="113">
                  <c:v>-39.687767668607847</c:v>
                </c:pt>
                <c:pt idx="114">
                  <c:v>-36.55420623202631</c:v>
                </c:pt>
                <c:pt idx="115">
                  <c:v>-38.279513324515165</c:v>
                </c:pt>
                <c:pt idx="116">
                  <c:v>-38.100058682119425</c:v>
                </c:pt>
                <c:pt idx="117">
                  <c:v>-38.29851060477862</c:v>
                </c:pt>
                <c:pt idx="118">
                  <c:v>-37.756145420084735</c:v>
                </c:pt>
                <c:pt idx="119">
                  <c:v>-37.892701210881668</c:v>
                </c:pt>
                <c:pt idx="120">
                  <c:v>-36.627568715334462</c:v>
                </c:pt>
                <c:pt idx="121">
                  <c:v>-36.204197049860774</c:v>
                </c:pt>
                <c:pt idx="122">
                  <c:v>-35.400989415423275</c:v>
                </c:pt>
                <c:pt idx="123">
                  <c:v>-34.834362113083728</c:v>
                </c:pt>
                <c:pt idx="124">
                  <c:v>-34.940684211687369</c:v>
                </c:pt>
                <c:pt idx="125">
                  <c:v>-35.033284520230218</c:v>
                </c:pt>
                <c:pt idx="126">
                  <c:v>-34.969706398699536</c:v>
                </c:pt>
                <c:pt idx="127">
                  <c:v>-34.84595981563502</c:v>
                </c:pt>
                <c:pt idx="128">
                  <c:v>-34.978881089474605</c:v>
                </c:pt>
                <c:pt idx="129">
                  <c:v>-34.76212506641415</c:v>
                </c:pt>
                <c:pt idx="130">
                  <c:v>-34.590689682376414</c:v>
                </c:pt>
                <c:pt idx="131">
                  <c:v>-34.29584117679407</c:v>
                </c:pt>
                <c:pt idx="132">
                  <c:v>-34.321441509706823</c:v>
                </c:pt>
                <c:pt idx="133">
                  <c:v>-34.16658508075718</c:v>
                </c:pt>
                <c:pt idx="134">
                  <c:v>-34.046714596785549</c:v>
                </c:pt>
                <c:pt idx="135">
                  <c:v>-33.897210063745348</c:v>
                </c:pt>
                <c:pt idx="136">
                  <c:v>-34.15426444129637</c:v>
                </c:pt>
                <c:pt idx="137">
                  <c:v>-34.037327603711688</c:v>
                </c:pt>
                <c:pt idx="138">
                  <c:v>-34.086982201682559</c:v>
                </c:pt>
                <c:pt idx="139">
                  <c:v>-33.824876729931979</c:v>
                </c:pt>
                <c:pt idx="140">
                  <c:v>-33.402323522828134</c:v>
                </c:pt>
                <c:pt idx="141">
                  <c:v>-33.360301594168561</c:v>
                </c:pt>
                <c:pt idx="142">
                  <c:v>-33.397133645915204</c:v>
                </c:pt>
                <c:pt idx="143">
                  <c:v>-33.15875008465062</c:v>
                </c:pt>
                <c:pt idx="144">
                  <c:v>-33.311399830215002</c:v>
                </c:pt>
                <c:pt idx="145">
                  <c:v>-33.049752170924087</c:v>
                </c:pt>
                <c:pt idx="146">
                  <c:v>-33.537508510652771</c:v>
                </c:pt>
                <c:pt idx="147">
                  <c:v>-33.329016217186101</c:v>
                </c:pt>
                <c:pt idx="148">
                  <c:v>-32.978630253206717</c:v>
                </c:pt>
                <c:pt idx="149">
                  <c:v>-33.371610921513806</c:v>
                </c:pt>
                <c:pt idx="150">
                  <c:v>-33.095518398430478</c:v>
                </c:pt>
                <c:pt idx="151">
                  <c:v>-32.104484536094191</c:v>
                </c:pt>
                <c:pt idx="152">
                  <c:v>-33.610442874235289</c:v>
                </c:pt>
                <c:pt idx="153">
                  <c:v>-33.844786156916044</c:v>
                </c:pt>
                <c:pt idx="154">
                  <c:v>-34.109559274677949</c:v>
                </c:pt>
                <c:pt idx="155">
                  <c:v>-33.288241927426327</c:v>
                </c:pt>
                <c:pt idx="156">
                  <c:v>-33.567100350564672</c:v>
                </c:pt>
                <c:pt idx="157">
                  <c:v>-33.14215267565254</c:v>
                </c:pt>
                <c:pt idx="158">
                  <c:v>-33.008080288075078</c:v>
                </c:pt>
                <c:pt idx="159">
                  <c:v>-33.023129297482967</c:v>
                </c:pt>
                <c:pt idx="160">
                  <c:v>-32.593076041755083</c:v>
                </c:pt>
                <c:pt idx="161">
                  <c:v>-32.569929896025457</c:v>
                </c:pt>
                <c:pt idx="162">
                  <c:v>-32.889255499669524</c:v>
                </c:pt>
                <c:pt idx="163">
                  <c:v>-32.851235669057388</c:v>
                </c:pt>
                <c:pt idx="164">
                  <c:v>-31.889671899173752</c:v>
                </c:pt>
                <c:pt idx="165">
                  <c:v>-31.595315164014568</c:v>
                </c:pt>
                <c:pt idx="166">
                  <c:v>-30.86996131629602</c:v>
                </c:pt>
                <c:pt idx="167">
                  <c:v>-31.715295169561156</c:v>
                </c:pt>
                <c:pt idx="168">
                  <c:v>-32.116005306930788</c:v>
                </c:pt>
                <c:pt idx="169">
                  <c:v>-31.917660025505249</c:v>
                </c:pt>
                <c:pt idx="170">
                  <c:v>-31.915705479239392</c:v>
                </c:pt>
                <c:pt idx="171">
                  <c:v>-32.071092677540278</c:v>
                </c:pt>
                <c:pt idx="172">
                  <c:v>-32.261560689792717</c:v>
                </c:pt>
                <c:pt idx="173">
                  <c:v>-31.823548708983466</c:v>
                </c:pt>
                <c:pt idx="174">
                  <c:v>-31.868049578396427</c:v>
                </c:pt>
                <c:pt idx="175">
                  <c:v>-31.934112152034619</c:v>
                </c:pt>
                <c:pt idx="176">
                  <c:v>-32.128861268934614</c:v>
                </c:pt>
                <c:pt idx="177">
                  <c:v>-32.38465727981923</c:v>
                </c:pt>
                <c:pt idx="178">
                  <c:v>-32.043298548615155</c:v>
                </c:pt>
                <c:pt idx="179">
                  <c:v>-31.601029933885219</c:v>
                </c:pt>
                <c:pt idx="180">
                  <c:v>-31.490006115635225</c:v>
                </c:pt>
                <c:pt idx="181">
                  <c:v>-31.449164337435221</c:v>
                </c:pt>
                <c:pt idx="182">
                  <c:v>-31.844101363870006</c:v>
                </c:pt>
                <c:pt idx="183">
                  <c:v>-32.091502882675975</c:v>
                </c:pt>
                <c:pt idx="184">
                  <c:v>-31.936456871705559</c:v>
                </c:pt>
                <c:pt idx="185">
                  <c:v>-32.135111281054961</c:v>
                </c:pt>
                <c:pt idx="186">
                  <c:v>-31.905620505089292</c:v>
                </c:pt>
                <c:pt idx="187">
                  <c:v>-31.938362793004185</c:v>
                </c:pt>
                <c:pt idx="188">
                  <c:v>-32.073966746410775</c:v>
                </c:pt>
                <c:pt idx="189">
                  <c:v>-32.225226149638843</c:v>
                </c:pt>
                <c:pt idx="190">
                  <c:v>-32.33904847140262</c:v>
                </c:pt>
                <c:pt idx="191">
                  <c:v>-32.551254651281511</c:v>
                </c:pt>
                <c:pt idx="192">
                  <c:v>-32.413323955743444</c:v>
                </c:pt>
                <c:pt idx="193">
                  <c:v>-32.2685147217016</c:v>
                </c:pt>
                <c:pt idx="194">
                  <c:v>-32.271915980451602</c:v>
                </c:pt>
                <c:pt idx="195">
                  <c:v>-31.988951106429255</c:v>
                </c:pt>
                <c:pt idx="196">
                  <c:v>-31.309401733309429</c:v>
                </c:pt>
                <c:pt idx="197">
                  <c:v>-31.149926973949981</c:v>
                </c:pt>
                <c:pt idx="198">
                  <c:v>-31.250752190584596</c:v>
                </c:pt>
                <c:pt idx="199">
                  <c:v>-31.200775023617563</c:v>
                </c:pt>
                <c:pt idx="200">
                  <c:v>-31.011601229955463</c:v>
                </c:pt>
                <c:pt idx="201">
                  <c:v>-31.101040406455464</c:v>
                </c:pt>
                <c:pt idx="202">
                  <c:v>-31.042512278927372</c:v>
                </c:pt>
                <c:pt idx="203">
                  <c:v>-31.101957688260708</c:v>
                </c:pt>
                <c:pt idx="204">
                  <c:v>-30.954815856836916</c:v>
                </c:pt>
                <c:pt idx="205">
                  <c:v>-30.815065660993049</c:v>
                </c:pt>
                <c:pt idx="206">
                  <c:v>-30.750129895213824</c:v>
                </c:pt>
                <c:pt idx="207">
                  <c:v>-30.79018947025887</c:v>
                </c:pt>
                <c:pt idx="208">
                  <c:v>-30.798702611293837</c:v>
                </c:pt>
                <c:pt idx="209">
                  <c:v>-30.749344775617029</c:v>
                </c:pt>
                <c:pt idx="210">
                  <c:v>-30.808397569301956</c:v>
                </c:pt>
                <c:pt idx="211">
                  <c:v>-30.666592936806907</c:v>
                </c:pt>
                <c:pt idx="212">
                  <c:v>-30.708224464297107</c:v>
                </c:pt>
                <c:pt idx="213">
                  <c:v>-31.002889796959266</c:v>
                </c:pt>
                <c:pt idx="214">
                  <c:v>-31.024468179944982</c:v>
                </c:pt>
                <c:pt idx="215">
                  <c:v>-31.740649032972886</c:v>
                </c:pt>
                <c:pt idx="216">
                  <c:v>-31.690427841670417</c:v>
                </c:pt>
                <c:pt idx="217">
                  <c:v>-31.337140140354631</c:v>
                </c:pt>
                <c:pt idx="218">
                  <c:v>-31.325720337061153</c:v>
                </c:pt>
                <c:pt idx="219">
                  <c:v>-31.484474800081095</c:v>
                </c:pt>
                <c:pt idx="220">
                  <c:v>-31.467507291000977</c:v>
                </c:pt>
                <c:pt idx="221">
                  <c:v>-30.550040616720135</c:v>
                </c:pt>
                <c:pt idx="222">
                  <c:v>-30.618512819434425</c:v>
                </c:pt>
                <c:pt idx="223">
                  <c:v>-29.885984744741087</c:v>
                </c:pt>
                <c:pt idx="224">
                  <c:v>-29.503878864390593</c:v>
                </c:pt>
                <c:pt idx="225">
                  <c:v>-28.239788711920003</c:v>
                </c:pt>
                <c:pt idx="226">
                  <c:v>-27.855915800032115</c:v>
                </c:pt>
                <c:pt idx="227">
                  <c:v>-27.452209406525622</c:v>
                </c:pt>
                <c:pt idx="228">
                  <c:v>-27.384754777425275</c:v>
                </c:pt>
                <c:pt idx="229">
                  <c:v>-27.73294534221008</c:v>
                </c:pt>
                <c:pt idx="230">
                  <c:v>-27.660994946006692</c:v>
                </c:pt>
                <c:pt idx="231">
                  <c:v>-27.033519197790785</c:v>
                </c:pt>
                <c:pt idx="232">
                  <c:v>-26.930947662273866</c:v>
                </c:pt>
                <c:pt idx="233">
                  <c:v>-27.230595708287847</c:v>
                </c:pt>
                <c:pt idx="234">
                  <c:v>-27.541448359675993</c:v>
                </c:pt>
                <c:pt idx="235">
                  <c:v>-26.886107726148719</c:v>
                </c:pt>
                <c:pt idx="236">
                  <c:v>-26.554604354717217</c:v>
                </c:pt>
                <c:pt idx="237">
                  <c:v>-26.359428991675895</c:v>
                </c:pt>
                <c:pt idx="238">
                  <c:v>-26.25866977948203</c:v>
                </c:pt>
                <c:pt idx="239">
                  <c:v>-26.634271736094931</c:v>
                </c:pt>
                <c:pt idx="240">
                  <c:v>-26.702750695405665</c:v>
                </c:pt>
                <c:pt idx="241">
                  <c:v>-26.62897443325182</c:v>
                </c:pt>
                <c:pt idx="242">
                  <c:v>-26.871901167044921</c:v>
                </c:pt>
                <c:pt idx="243">
                  <c:v>-26.91852080559331</c:v>
                </c:pt>
                <c:pt idx="244">
                  <c:v>-26.924484520559162</c:v>
                </c:pt>
                <c:pt idx="245">
                  <c:v>-26.694505720243917</c:v>
                </c:pt>
                <c:pt idx="246">
                  <c:v>-26.698562623057313</c:v>
                </c:pt>
                <c:pt idx="247">
                  <c:v>-26.982645418354402</c:v>
                </c:pt>
                <c:pt idx="248">
                  <c:v>-27.464228745753669</c:v>
                </c:pt>
                <c:pt idx="249">
                  <c:v>-27.749657030464782</c:v>
                </c:pt>
                <c:pt idx="250">
                  <c:v>-27.592235765233951</c:v>
                </c:pt>
                <c:pt idx="251">
                  <c:v>-27.35454115012363</c:v>
                </c:pt>
                <c:pt idx="252">
                  <c:v>-26.18022883626902</c:v>
                </c:pt>
                <c:pt idx="253">
                  <c:v>-26.824832556036075</c:v>
                </c:pt>
                <c:pt idx="254">
                  <c:v>-26.631022627462027</c:v>
                </c:pt>
                <c:pt idx="255">
                  <c:v>-26.515119112252005</c:v>
                </c:pt>
                <c:pt idx="256">
                  <c:v>-26.333468764010803</c:v>
                </c:pt>
                <c:pt idx="257">
                  <c:v>-26.171750213231039</c:v>
                </c:pt>
                <c:pt idx="258">
                  <c:v>-25.754370794627267</c:v>
                </c:pt>
                <c:pt idx="259">
                  <c:v>-25.720852221902792</c:v>
                </c:pt>
                <c:pt idx="260">
                  <c:v>-25.648884725461397</c:v>
                </c:pt>
                <c:pt idx="261">
                  <c:v>-25.383246285987713</c:v>
                </c:pt>
                <c:pt idx="262">
                  <c:v>-25.859855074508594</c:v>
                </c:pt>
                <c:pt idx="263">
                  <c:v>-25.288875450589813</c:v>
                </c:pt>
                <c:pt idx="264">
                  <c:v>-23.255313658597927</c:v>
                </c:pt>
                <c:pt idx="265">
                  <c:v>-26.558485057627379</c:v>
                </c:pt>
                <c:pt idx="266">
                  <c:v>-26.318655395375483</c:v>
                </c:pt>
                <c:pt idx="267">
                  <c:v>-26.052854884892728</c:v>
                </c:pt>
                <c:pt idx="268">
                  <c:v>-26.407521369975456</c:v>
                </c:pt>
                <c:pt idx="269">
                  <c:v>-25.316805268000916</c:v>
                </c:pt>
                <c:pt idx="270">
                  <c:v>-24.883443361940031</c:v>
                </c:pt>
                <c:pt idx="271">
                  <c:v>-25.517060824323679</c:v>
                </c:pt>
                <c:pt idx="272">
                  <c:v>-25.525267420993572</c:v>
                </c:pt>
                <c:pt idx="273">
                  <c:v>-25.979341204551123</c:v>
                </c:pt>
                <c:pt idx="274">
                  <c:v>-26.130139198498853</c:v>
                </c:pt>
                <c:pt idx="275">
                  <c:v>-26.063590542670745</c:v>
                </c:pt>
                <c:pt idx="276">
                  <c:v>-26.65368536417007</c:v>
                </c:pt>
                <c:pt idx="277">
                  <c:v>-26.950938303515773</c:v>
                </c:pt>
                <c:pt idx="278">
                  <c:v>-27.02578015958029</c:v>
                </c:pt>
                <c:pt idx="279">
                  <c:v>-26.429220370298498</c:v>
                </c:pt>
                <c:pt idx="280">
                  <c:v>-26.408107302454145</c:v>
                </c:pt>
                <c:pt idx="281">
                  <c:v>-25.929692673792172</c:v>
                </c:pt>
                <c:pt idx="282">
                  <c:v>-25.324408377160232</c:v>
                </c:pt>
                <c:pt idx="283">
                  <c:v>-25.604350593737987</c:v>
                </c:pt>
                <c:pt idx="284">
                  <c:v>-24.469405742951924</c:v>
                </c:pt>
                <c:pt idx="285">
                  <c:v>-24.297650792376746</c:v>
                </c:pt>
                <c:pt idx="286">
                  <c:v>-23.709752973037762</c:v>
                </c:pt>
                <c:pt idx="287">
                  <c:v>-22.95795247323651</c:v>
                </c:pt>
                <c:pt idx="288">
                  <c:v>-22.672585096466356</c:v>
                </c:pt>
                <c:pt idx="289">
                  <c:v>-23.11151614178943</c:v>
                </c:pt>
                <c:pt idx="290">
                  <c:v>-22.125258401030138</c:v>
                </c:pt>
                <c:pt idx="291">
                  <c:v>-20.784177097457647</c:v>
                </c:pt>
                <c:pt idx="292">
                  <c:v>-19.748408797592159</c:v>
                </c:pt>
                <c:pt idx="293">
                  <c:v>-14.860602912426833</c:v>
                </c:pt>
                <c:pt idx="294">
                  <c:v>-19.382686424185458</c:v>
                </c:pt>
                <c:pt idx="295">
                  <c:v>-19.552160376720664</c:v>
                </c:pt>
                <c:pt idx="296">
                  <c:v>-19.399521981599882</c:v>
                </c:pt>
                <c:pt idx="297">
                  <c:v>-18.993657508541997</c:v>
                </c:pt>
                <c:pt idx="298">
                  <c:v>-18.892698745697555</c:v>
                </c:pt>
                <c:pt idx="299">
                  <c:v>-20.02284775822951</c:v>
                </c:pt>
                <c:pt idx="300">
                  <c:v>-19.412839443943799</c:v>
                </c:pt>
                <c:pt idx="301">
                  <c:v>-19.254003898063935</c:v>
                </c:pt>
                <c:pt idx="302">
                  <c:v>-18.166942495505793</c:v>
                </c:pt>
                <c:pt idx="303">
                  <c:v>-18.969022498698017</c:v>
                </c:pt>
                <c:pt idx="304">
                  <c:v>-18.693073858349646</c:v>
                </c:pt>
                <c:pt idx="305">
                  <c:v>-19.635146691923698</c:v>
                </c:pt>
                <c:pt idx="306">
                  <c:v>-19.602843046129305</c:v>
                </c:pt>
                <c:pt idx="307">
                  <c:v>-19.122920646419118</c:v>
                </c:pt>
                <c:pt idx="308">
                  <c:v>-17.536723984905606</c:v>
                </c:pt>
                <c:pt idx="309">
                  <c:v>-17.437287126657608</c:v>
                </c:pt>
                <c:pt idx="310">
                  <c:v>-16.776295029432386</c:v>
                </c:pt>
                <c:pt idx="311">
                  <c:v>-16.94123021874919</c:v>
                </c:pt>
                <c:pt idx="312">
                  <c:v>-15.443498086827145</c:v>
                </c:pt>
                <c:pt idx="313">
                  <c:v>-15.684137232140618</c:v>
                </c:pt>
                <c:pt idx="314">
                  <c:v>-13.901945594582175</c:v>
                </c:pt>
                <c:pt idx="315">
                  <c:v>-13.574527325393198</c:v>
                </c:pt>
                <c:pt idx="316">
                  <c:v>-7.8891367872819398</c:v>
                </c:pt>
                <c:pt idx="317">
                  <c:v>-9.8480068681384978</c:v>
                </c:pt>
                <c:pt idx="318">
                  <c:v>-9.6116912378507955</c:v>
                </c:pt>
                <c:pt idx="319">
                  <c:v>-9.0254802996288088</c:v>
                </c:pt>
                <c:pt idx="320">
                  <c:v>-9.1507529505718921</c:v>
                </c:pt>
                <c:pt idx="321">
                  <c:v>-7.9157163848204357</c:v>
                </c:pt>
                <c:pt idx="322">
                  <c:v>-6.9236514104725826</c:v>
                </c:pt>
                <c:pt idx="323">
                  <c:v>-7.3029686220200949</c:v>
                </c:pt>
                <c:pt idx="324">
                  <c:v>-7.212208511791812</c:v>
                </c:pt>
                <c:pt idx="325">
                  <c:v>-7.4813252351497574</c:v>
                </c:pt>
                <c:pt idx="326">
                  <c:v>-7.5109553629619406</c:v>
                </c:pt>
                <c:pt idx="327">
                  <c:v>-7.3495870982056752</c:v>
                </c:pt>
                <c:pt idx="328">
                  <c:v>-7.3651252559102822</c:v>
                </c:pt>
                <c:pt idx="329">
                  <c:v>-7.5922814356175241</c:v>
                </c:pt>
                <c:pt idx="330">
                  <c:v>-7.4562939843451588</c:v>
                </c:pt>
                <c:pt idx="331">
                  <c:v>-6.9784954177883671</c:v>
                </c:pt>
                <c:pt idx="332">
                  <c:v>-6.9809927955383673</c:v>
                </c:pt>
                <c:pt idx="333">
                  <c:v>-7.0986910007069062</c:v>
                </c:pt>
                <c:pt idx="334">
                  <c:v>-7.1206896022860811</c:v>
                </c:pt>
                <c:pt idx="335">
                  <c:v>-7.1345363558479038</c:v>
                </c:pt>
                <c:pt idx="336">
                  <c:v>-7.144113468969854</c:v>
                </c:pt>
                <c:pt idx="337">
                  <c:v>-7.0050877975416341</c:v>
                </c:pt>
                <c:pt idx="338">
                  <c:v>-7.0033978050206258</c:v>
                </c:pt>
                <c:pt idx="339">
                  <c:v>-6.9240599481337899</c:v>
                </c:pt>
                <c:pt idx="340">
                  <c:v>-6.9092908255022465</c:v>
                </c:pt>
                <c:pt idx="341">
                  <c:v>-7.02977616024741</c:v>
                </c:pt>
                <c:pt idx="342">
                  <c:v>-6.9507764746708798</c:v>
                </c:pt>
                <c:pt idx="343">
                  <c:v>-7.7126458336840376</c:v>
                </c:pt>
                <c:pt idx="344">
                  <c:v>-7.8146281419139649</c:v>
                </c:pt>
                <c:pt idx="345">
                  <c:v>-7.9146321581940482</c:v>
                </c:pt>
                <c:pt idx="346">
                  <c:v>-7.7787194066844938</c:v>
                </c:pt>
                <c:pt idx="347">
                  <c:v>-7.8621066584748158</c:v>
                </c:pt>
                <c:pt idx="348">
                  <c:v>-7.6071788305864434</c:v>
                </c:pt>
                <c:pt idx="349">
                  <c:v>-7.5089816017477338</c:v>
                </c:pt>
                <c:pt idx="350">
                  <c:v>-7.6510660696187021</c:v>
                </c:pt>
                <c:pt idx="351">
                  <c:v>-7.2478627949763759</c:v>
                </c:pt>
                <c:pt idx="352">
                  <c:v>-6.6306654335688622</c:v>
                </c:pt>
                <c:pt idx="353">
                  <c:v>-7.198853414299121</c:v>
                </c:pt>
                <c:pt idx="354">
                  <c:v>-9.5608850716125549</c:v>
                </c:pt>
                <c:pt idx="355">
                  <c:v>-9.6793556615128029</c:v>
                </c:pt>
                <c:pt idx="356">
                  <c:v>-9.7986051056450343</c:v>
                </c:pt>
                <c:pt idx="357">
                  <c:v>-9.8183533102557217</c:v>
                </c:pt>
                <c:pt idx="358">
                  <c:v>-9.8656674619297657</c:v>
                </c:pt>
                <c:pt idx="359">
                  <c:v>-10.288871435298349</c:v>
                </c:pt>
                <c:pt idx="360">
                  <c:v>-9.6562214025348627</c:v>
                </c:pt>
                <c:pt idx="361">
                  <c:v>-10.142057389954863</c:v>
                </c:pt>
                <c:pt idx="362">
                  <c:v>-10.474990765298775</c:v>
                </c:pt>
                <c:pt idx="363">
                  <c:v>-10.266686203440406</c:v>
                </c:pt>
                <c:pt idx="364">
                  <c:v>-10.075220521002281</c:v>
                </c:pt>
                <c:pt idx="365">
                  <c:v>-10.292459683994675</c:v>
                </c:pt>
                <c:pt idx="366">
                  <c:v>-10.234026924775925</c:v>
                </c:pt>
                <c:pt idx="367">
                  <c:v>-10.354577760265721</c:v>
                </c:pt>
                <c:pt idx="368">
                  <c:v>-9.0940562508035736</c:v>
                </c:pt>
                <c:pt idx="369">
                  <c:v>-9.0995180840209624</c:v>
                </c:pt>
                <c:pt idx="370">
                  <c:v>-9.1906442860209623</c:v>
                </c:pt>
                <c:pt idx="371">
                  <c:v>-9.1611308800209645</c:v>
                </c:pt>
                <c:pt idx="372">
                  <c:v>-8.5615251744430179</c:v>
                </c:pt>
                <c:pt idx="373">
                  <c:v>-8.5986105869769975</c:v>
                </c:pt>
                <c:pt idx="374">
                  <c:v>-8.5205871279769987</c:v>
                </c:pt>
                <c:pt idx="375">
                  <c:v>-8.4931706595748828</c:v>
                </c:pt>
                <c:pt idx="376">
                  <c:v>-8.5994033274287283</c:v>
                </c:pt>
                <c:pt idx="377">
                  <c:v>-8.4844006801565399</c:v>
                </c:pt>
                <c:pt idx="378">
                  <c:v>-8.6558632289874442</c:v>
                </c:pt>
                <c:pt idx="379">
                  <c:v>-8.6470700334772399</c:v>
                </c:pt>
                <c:pt idx="380">
                  <c:v>-8.7825759525480365</c:v>
                </c:pt>
                <c:pt idx="381">
                  <c:v>-8.7588929896914962</c:v>
                </c:pt>
                <c:pt idx="382">
                  <c:v>-8.743055130248381</c:v>
                </c:pt>
                <c:pt idx="383">
                  <c:v>-8.6191105542718418</c:v>
                </c:pt>
                <c:pt idx="384">
                  <c:v>-8.55512539032269</c:v>
                </c:pt>
                <c:pt idx="385">
                  <c:v>-8.4148281375230809</c:v>
                </c:pt>
                <c:pt idx="386">
                  <c:v>-8.2918036859230835</c:v>
                </c:pt>
                <c:pt idx="387">
                  <c:v>-8.3601947140373678</c:v>
                </c:pt>
                <c:pt idx="388">
                  <c:v>-8.3439322297646399</c:v>
                </c:pt>
                <c:pt idx="389">
                  <c:v>-8.3635140328484301</c:v>
                </c:pt>
                <c:pt idx="390">
                  <c:v>-8.3628218535317629</c:v>
                </c:pt>
                <c:pt idx="391">
                  <c:v>-8.3482122980720472</c:v>
                </c:pt>
                <c:pt idx="392">
                  <c:v>-8.3367187904053814</c:v>
                </c:pt>
                <c:pt idx="393">
                  <c:v>-8.5477342892211698</c:v>
                </c:pt>
                <c:pt idx="394">
                  <c:v>-8.4885625740951198</c:v>
                </c:pt>
                <c:pt idx="395">
                  <c:v>-8.2770591775959339</c:v>
                </c:pt>
                <c:pt idx="396">
                  <c:v>-8.2348616740226017</c:v>
                </c:pt>
                <c:pt idx="397">
                  <c:v>-8.104507164779827</c:v>
                </c:pt>
                <c:pt idx="398">
                  <c:v>-8.0975220026947206</c:v>
                </c:pt>
                <c:pt idx="399">
                  <c:v>-8.1327423358285227</c:v>
                </c:pt>
                <c:pt idx="400">
                  <c:v>-8.128234809955508</c:v>
                </c:pt>
                <c:pt idx="401">
                  <c:v>-8.0961686806221724</c:v>
                </c:pt>
                <c:pt idx="402">
                  <c:v>-8.1830739006221744</c:v>
                </c:pt>
                <c:pt idx="403">
                  <c:v>-8.1780851522565232</c:v>
                </c:pt>
                <c:pt idx="404">
                  <c:v>-8.1165161605323846</c:v>
                </c:pt>
                <c:pt idx="405">
                  <c:v>-8.1118302805323843</c:v>
                </c:pt>
                <c:pt idx="406">
                  <c:v>-8.0972367404547594</c:v>
                </c:pt>
                <c:pt idx="407">
                  <c:v>-7.902952537052073</c:v>
                </c:pt>
                <c:pt idx="408">
                  <c:v>-7.9410049564322387</c:v>
                </c:pt>
                <c:pt idx="409">
                  <c:v>-8.2604435034867834</c:v>
                </c:pt>
                <c:pt idx="410">
                  <c:v>-7.9086573425134494</c:v>
                </c:pt>
                <c:pt idx="411">
                  <c:v>-7.9044298198467819</c:v>
                </c:pt>
                <c:pt idx="412">
                  <c:v>-7.9399986012361632</c:v>
                </c:pt>
                <c:pt idx="413">
                  <c:v>-7.9213202512309815</c:v>
                </c:pt>
                <c:pt idx="414">
                  <c:v>-7.8510845832201124</c:v>
                </c:pt>
                <c:pt idx="415">
                  <c:v>-7.891863046306443</c:v>
                </c:pt>
                <c:pt idx="416">
                  <c:v>-7.8983038176336038</c:v>
                </c:pt>
                <c:pt idx="417">
                  <c:v>-7.9024699271658623</c:v>
                </c:pt>
                <c:pt idx="418">
                  <c:v>-8.1076597385944336</c:v>
                </c:pt>
                <c:pt idx="419">
                  <c:v>-8.1857172248958037</c:v>
                </c:pt>
                <c:pt idx="420">
                  <c:v>-7.986150528566772</c:v>
                </c:pt>
                <c:pt idx="421">
                  <c:v>-8.1249119221199635</c:v>
                </c:pt>
                <c:pt idx="422">
                  <c:v>-8.1670387066605041</c:v>
                </c:pt>
                <c:pt idx="423">
                  <c:v>-8.14096965713766</c:v>
                </c:pt>
                <c:pt idx="424">
                  <c:v>-8.1378229984558406</c:v>
                </c:pt>
                <c:pt idx="425">
                  <c:v>-7.9209994645613699</c:v>
                </c:pt>
                <c:pt idx="426">
                  <c:v>-7.9293152276113688</c:v>
                </c:pt>
                <c:pt idx="427">
                  <c:v>-7.9271043649447019</c:v>
                </c:pt>
                <c:pt idx="428">
                  <c:v>-7.7908450339447022</c:v>
                </c:pt>
                <c:pt idx="429">
                  <c:v>-7.7183057363175829</c:v>
                </c:pt>
                <c:pt idx="430">
                  <c:v>-7.4274096281290847</c:v>
                </c:pt>
                <c:pt idx="431">
                  <c:v>-7.4462049669420347</c:v>
                </c:pt>
                <c:pt idx="432">
                  <c:v>-7.3754340056259062</c:v>
                </c:pt>
                <c:pt idx="433">
                  <c:v>-7.4812419515174948</c:v>
                </c:pt>
                <c:pt idx="434">
                  <c:v>-7.5100421200360135</c:v>
                </c:pt>
                <c:pt idx="435">
                  <c:v>-7.5476911181312518</c:v>
                </c:pt>
                <c:pt idx="436">
                  <c:v>-7.5564552286471747</c:v>
                </c:pt>
                <c:pt idx="437">
                  <c:v>-7.592193533870196</c:v>
                </c:pt>
                <c:pt idx="438">
                  <c:v>-7.6788823793449046</c:v>
                </c:pt>
                <c:pt idx="439">
                  <c:v>-7.6917369367883817</c:v>
                </c:pt>
                <c:pt idx="440">
                  <c:v>-7.7044031937883828</c:v>
                </c:pt>
                <c:pt idx="441">
                  <c:v>-7.7533347879772245</c:v>
                </c:pt>
                <c:pt idx="442">
                  <c:v>-7.6809439327255689</c:v>
                </c:pt>
                <c:pt idx="443">
                  <c:v>-7.6109486874836341</c:v>
                </c:pt>
                <c:pt idx="444">
                  <c:v>-7.5442242872240595</c:v>
                </c:pt>
                <c:pt idx="445">
                  <c:v>-7.5458131426907258</c:v>
                </c:pt>
                <c:pt idx="446">
                  <c:v>-7.5785780575294348</c:v>
                </c:pt>
                <c:pt idx="447">
                  <c:v>-7.5188927031644717</c:v>
                </c:pt>
                <c:pt idx="448">
                  <c:v>-7.5569885700163235</c:v>
                </c:pt>
                <c:pt idx="449">
                  <c:v>-7.6265721097885999</c:v>
                </c:pt>
                <c:pt idx="450">
                  <c:v>-7.6189129159760993</c:v>
                </c:pt>
                <c:pt idx="451">
                  <c:v>-7.6084488844543614</c:v>
                </c:pt>
                <c:pt idx="452">
                  <c:v>-7.6120450033293618</c:v>
                </c:pt>
                <c:pt idx="453">
                  <c:v>-7.6179438624543616</c:v>
                </c:pt>
                <c:pt idx="454">
                  <c:v>-7.6182887913043613</c:v>
                </c:pt>
                <c:pt idx="455">
                  <c:v>-7.6370838324861801</c:v>
                </c:pt>
                <c:pt idx="456">
                  <c:v>-7.6246902778019692</c:v>
                </c:pt>
                <c:pt idx="457">
                  <c:v>-7.6340829041769691</c:v>
                </c:pt>
                <c:pt idx="458">
                  <c:v>-7.6513129677923537</c:v>
                </c:pt>
                <c:pt idx="459">
                  <c:v>-7.6434028783923535</c:v>
                </c:pt>
                <c:pt idx="460">
                  <c:v>-7.6303919987256856</c:v>
                </c:pt>
                <c:pt idx="461">
                  <c:v>-7.6378022027256858</c:v>
                </c:pt>
                <c:pt idx="462">
                  <c:v>-7.6266231812256864</c:v>
                </c:pt>
                <c:pt idx="463">
                  <c:v>-7.612811803532435</c:v>
                </c:pt>
                <c:pt idx="464">
                  <c:v>-7.5476880983248877</c:v>
                </c:pt>
                <c:pt idx="465">
                  <c:v>-7.5513790154018103</c:v>
                </c:pt>
                <c:pt idx="466">
                  <c:v>-7.5055070269402719</c:v>
                </c:pt>
                <c:pt idx="467">
                  <c:v>-7.5119489614886596</c:v>
                </c:pt>
                <c:pt idx="468">
                  <c:v>-7.5028446138859195</c:v>
                </c:pt>
                <c:pt idx="469">
                  <c:v>-7.4122577604612623</c:v>
                </c:pt>
                <c:pt idx="470">
                  <c:v>-7.3809617824414602</c:v>
                </c:pt>
                <c:pt idx="471">
                  <c:v>-7.3252946632414604</c:v>
                </c:pt>
                <c:pt idx="472">
                  <c:v>-7.2484653593002841</c:v>
                </c:pt>
                <c:pt idx="473">
                  <c:v>-7.2696955880286787</c:v>
                </c:pt>
                <c:pt idx="474">
                  <c:v>-7.2457180103077476</c:v>
                </c:pt>
                <c:pt idx="475">
                  <c:v>-7.2279129123910826</c:v>
                </c:pt>
                <c:pt idx="476">
                  <c:v>-7.2330176000217126</c:v>
                </c:pt>
                <c:pt idx="477">
                  <c:v>-7.2342316192893188</c:v>
                </c:pt>
                <c:pt idx="478">
                  <c:v>-7.2430405004321754</c:v>
                </c:pt>
                <c:pt idx="479">
                  <c:v>-7.1041292975432864</c:v>
                </c:pt>
                <c:pt idx="480">
                  <c:v>-7.0604201179380226</c:v>
                </c:pt>
                <c:pt idx="481">
                  <c:v>-7.0802932142713564</c:v>
                </c:pt>
                <c:pt idx="482">
                  <c:v>-7.0773679829588554</c:v>
                </c:pt>
                <c:pt idx="483">
                  <c:v>-7.0537880402788558</c:v>
                </c:pt>
                <c:pt idx="484">
                  <c:v>-7.0397615827788558</c:v>
                </c:pt>
                <c:pt idx="485">
                  <c:v>-7.0397615827788558</c:v>
                </c:pt>
                <c:pt idx="486">
                  <c:v>-7.0324892594014967</c:v>
                </c:pt>
                <c:pt idx="487">
                  <c:v>-7.0045890794014971</c:v>
                </c:pt>
                <c:pt idx="488">
                  <c:v>-7.0146259063268701</c:v>
                </c:pt>
                <c:pt idx="489">
                  <c:v>-7.0064817328268694</c:v>
                </c:pt>
                <c:pt idx="490">
                  <c:v>-7.1182288507484373</c:v>
                </c:pt>
                <c:pt idx="491">
                  <c:v>-7.1355407454036106</c:v>
                </c:pt>
                <c:pt idx="492">
                  <c:v>-7.1178702948252974</c:v>
                </c:pt>
                <c:pt idx="493">
                  <c:v>-7.1301811099999011</c:v>
                </c:pt>
                <c:pt idx="494">
                  <c:v>-7.1361732707612644</c:v>
                </c:pt>
                <c:pt idx="495">
                  <c:v>-7.1650050928902971</c:v>
                </c:pt>
                <c:pt idx="496">
                  <c:v>-7.2130007160902982</c:v>
                </c:pt>
                <c:pt idx="497">
                  <c:v>-7.2124113074359766</c:v>
                </c:pt>
                <c:pt idx="498">
                  <c:v>-7.2108488162852913</c:v>
                </c:pt>
                <c:pt idx="499">
                  <c:v>-7.2545246386060454</c:v>
                </c:pt>
                <c:pt idx="500">
                  <c:v>-7.0838688415920918</c:v>
                </c:pt>
                <c:pt idx="501">
                  <c:v>-7.1258747296057887</c:v>
                </c:pt>
                <c:pt idx="502">
                  <c:v>-6.948506361010045</c:v>
                </c:pt>
                <c:pt idx="503">
                  <c:v>-6.940048425051712</c:v>
                </c:pt>
                <c:pt idx="504">
                  <c:v>-6.9843052241821466</c:v>
                </c:pt>
                <c:pt idx="505">
                  <c:v>-6.8313328665909063</c:v>
                </c:pt>
                <c:pt idx="506">
                  <c:v>-6.9680844945494131</c:v>
                </c:pt>
                <c:pt idx="507">
                  <c:v>-7.1055012152303467</c:v>
                </c:pt>
                <c:pt idx="508">
                  <c:v>-7.1880001124366961</c:v>
                </c:pt>
                <c:pt idx="509">
                  <c:v>-7.2510005000746274</c:v>
                </c:pt>
                <c:pt idx="510">
                  <c:v>-7.1290403253466677</c:v>
                </c:pt>
                <c:pt idx="511">
                  <c:v>-7.281429709063266</c:v>
                </c:pt>
                <c:pt idx="512">
                  <c:v>-7.0025403093832654</c:v>
                </c:pt>
                <c:pt idx="513">
                  <c:v>-6.8649007135979012</c:v>
                </c:pt>
                <c:pt idx="514">
                  <c:v>-4.9134243396431838</c:v>
                </c:pt>
                <c:pt idx="515">
                  <c:v>-5.1084275400502879</c:v>
                </c:pt>
                <c:pt idx="516">
                  <c:v>-4.9821594034305692</c:v>
                </c:pt>
                <c:pt idx="517">
                  <c:v>-5.0127403927179257</c:v>
                </c:pt>
                <c:pt idx="518">
                  <c:v>-5.0017481483696109</c:v>
                </c:pt>
                <c:pt idx="519">
                  <c:v>-4.8975356958657361</c:v>
                </c:pt>
                <c:pt idx="520">
                  <c:v>-4.9829691233012188</c:v>
                </c:pt>
                <c:pt idx="521">
                  <c:v>-4.9619994993012195</c:v>
                </c:pt>
                <c:pt idx="522">
                  <c:v>-5.0528545925155059</c:v>
                </c:pt>
                <c:pt idx="523">
                  <c:v>-5.0875609688755059</c:v>
                </c:pt>
                <c:pt idx="524">
                  <c:v>-5.2285619572837891</c:v>
                </c:pt>
                <c:pt idx="525">
                  <c:v>-5.1101244536917489</c:v>
                </c:pt>
                <c:pt idx="526">
                  <c:v>-5.1851501144982004</c:v>
                </c:pt>
                <c:pt idx="527">
                  <c:v>-5.105444373254298</c:v>
                </c:pt>
                <c:pt idx="528">
                  <c:v>-4.9323753155542969</c:v>
                </c:pt>
                <c:pt idx="529">
                  <c:v>-4.9987099599585525</c:v>
                </c:pt>
                <c:pt idx="530">
                  <c:v>-5.0028213743014094</c:v>
                </c:pt>
                <c:pt idx="531">
                  <c:v>-4.8636996750976174</c:v>
                </c:pt>
                <c:pt idx="532">
                  <c:v>-4.6776832382309514</c:v>
                </c:pt>
                <c:pt idx="533">
                  <c:v>-4.9016851770064616</c:v>
                </c:pt>
                <c:pt idx="534">
                  <c:v>-5.0584478299014384</c:v>
                </c:pt>
                <c:pt idx="535">
                  <c:v>-4.9320601042270189</c:v>
                </c:pt>
                <c:pt idx="536">
                  <c:v>-5.1355467287169523</c:v>
                </c:pt>
                <c:pt idx="537">
                  <c:v>-4.981113127924873</c:v>
                </c:pt>
                <c:pt idx="538">
                  <c:v>-5.0049203108339633</c:v>
                </c:pt>
                <c:pt idx="539">
                  <c:v>-5.103905674784377</c:v>
                </c:pt>
                <c:pt idx="540">
                  <c:v>-5.1353716940881746</c:v>
                </c:pt>
                <c:pt idx="541">
                  <c:v>-5.2152367148881753</c:v>
                </c:pt>
                <c:pt idx="542">
                  <c:v>-5.2337050975387776</c:v>
                </c:pt>
                <c:pt idx="543">
                  <c:v>-5.2224425279769804</c:v>
                </c:pt>
                <c:pt idx="544">
                  <c:v>-5.2329585768030675</c:v>
                </c:pt>
                <c:pt idx="545">
                  <c:v>-5.2264891751928975</c:v>
                </c:pt>
                <c:pt idx="546">
                  <c:v>-5.1937917629239898</c:v>
                </c:pt>
                <c:pt idx="547">
                  <c:v>-5.2439795484467178</c:v>
                </c:pt>
                <c:pt idx="548">
                  <c:v>-5.2496295205175842</c:v>
                </c:pt>
                <c:pt idx="549">
                  <c:v>-5.1867627256899977</c:v>
                </c:pt>
                <c:pt idx="550">
                  <c:v>-4.9868697287566643</c:v>
                </c:pt>
                <c:pt idx="551">
                  <c:v>-5.0099654578335873</c:v>
                </c:pt>
                <c:pt idx="552">
                  <c:v>-4.9684659303054977</c:v>
                </c:pt>
                <c:pt idx="553">
                  <c:v>-4.9369594647600437</c:v>
                </c:pt>
                <c:pt idx="554">
                  <c:v>-4.8272151342337279</c:v>
                </c:pt>
                <c:pt idx="555">
                  <c:v>-4.8338890215346124</c:v>
                </c:pt>
                <c:pt idx="556">
                  <c:v>-4.6842941906012792</c:v>
                </c:pt>
                <c:pt idx="557">
                  <c:v>-4.5378428054850009</c:v>
                </c:pt>
                <c:pt idx="558">
                  <c:v>-4.4406001743754118</c:v>
                </c:pt>
                <c:pt idx="559">
                  <c:v>-4.5042907158039833</c:v>
                </c:pt>
                <c:pt idx="560">
                  <c:v>-4.5536292887451593</c:v>
                </c:pt>
                <c:pt idx="561">
                  <c:v>-4.6740264781705747</c:v>
                </c:pt>
                <c:pt idx="562">
                  <c:v>-4.6718557685194106</c:v>
                </c:pt>
                <c:pt idx="563">
                  <c:v>-4.6905775607255977</c:v>
                </c:pt>
                <c:pt idx="564">
                  <c:v>-4.260727273505414</c:v>
                </c:pt>
                <c:pt idx="565">
                  <c:v>-3.7116029294692687</c:v>
                </c:pt>
                <c:pt idx="566">
                  <c:v>-1.9456834691407663</c:v>
                </c:pt>
                <c:pt idx="567">
                  <c:v>-3.4880551835490219</c:v>
                </c:pt>
                <c:pt idx="568">
                  <c:v>-3.4768460954749476</c:v>
                </c:pt>
                <c:pt idx="569">
                  <c:v>-3.5244595223499475</c:v>
                </c:pt>
                <c:pt idx="570">
                  <c:v>-3.5686859392801802</c:v>
                </c:pt>
                <c:pt idx="571">
                  <c:v>-3.6546532181582299</c:v>
                </c:pt>
                <c:pt idx="572">
                  <c:v>-3.6829136599513341</c:v>
                </c:pt>
                <c:pt idx="573">
                  <c:v>-3.7444073634807458</c:v>
                </c:pt>
                <c:pt idx="574">
                  <c:v>-3.7385786632236027</c:v>
                </c:pt>
                <c:pt idx="575">
                  <c:v>-3.7167153125784416</c:v>
                </c:pt>
                <c:pt idx="576">
                  <c:v>-3.770254541214805</c:v>
                </c:pt>
                <c:pt idx="577">
                  <c:v>-3.7152814992888787</c:v>
                </c:pt>
                <c:pt idx="578">
                  <c:v>-3.735876983211956</c:v>
                </c:pt>
                <c:pt idx="579">
                  <c:v>-3.8110184959411226</c:v>
                </c:pt>
                <c:pt idx="580">
                  <c:v>-3.6671074660456</c:v>
                </c:pt>
                <c:pt idx="581">
                  <c:v>-3.6082070107200188</c:v>
                </c:pt>
                <c:pt idx="582">
                  <c:v>-3.7207483730467512</c:v>
                </c:pt>
                <c:pt idx="583">
                  <c:v>-3.3199979902908447</c:v>
                </c:pt>
                <c:pt idx="584">
                  <c:v>-3.3947781429864969</c:v>
                </c:pt>
                <c:pt idx="585">
                  <c:v>-3.455091337305646</c:v>
                </c:pt>
                <c:pt idx="586">
                  <c:v>-3.3666197120297841</c:v>
                </c:pt>
                <c:pt idx="587">
                  <c:v>-3.385317112125021</c:v>
                </c:pt>
                <c:pt idx="588">
                  <c:v>-3.3167808080947183</c:v>
                </c:pt>
                <c:pt idx="589">
                  <c:v>-3.4444962813804323</c:v>
                </c:pt>
                <c:pt idx="590">
                  <c:v>-3.3953311669359882</c:v>
                </c:pt>
                <c:pt idx="591">
                  <c:v>-3.3439934163206035</c:v>
                </c:pt>
                <c:pt idx="592">
                  <c:v>-3.8437782626100767</c:v>
                </c:pt>
                <c:pt idx="593">
                  <c:v>-3.6556680114464406</c:v>
                </c:pt>
                <c:pt idx="594">
                  <c:v>-3.8296117810680625</c:v>
                </c:pt>
                <c:pt idx="595">
                  <c:v>-4.1865188717243109</c:v>
                </c:pt>
                <c:pt idx="596">
                  <c:v>-4.3402161969135005</c:v>
                </c:pt>
                <c:pt idx="597">
                  <c:v>-4.0774269853301659</c:v>
                </c:pt>
                <c:pt idx="598">
                  <c:v>-3.8245726709301668</c:v>
                </c:pt>
                <c:pt idx="599">
                  <c:v>-3.5624851691301678</c:v>
                </c:pt>
                <c:pt idx="600">
                  <c:v>-3.2456737625200001</c:v>
                </c:pt>
                <c:pt idx="601">
                  <c:v>-2.5110098076000003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8-410F-981A-FE8582AB8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35344"/>
        <c:axId val="502026192"/>
      </c:lineChart>
      <c:dateAx>
        <c:axId val="502035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26192"/>
        <c:crosses val="autoZero"/>
        <c:auto val="1"/>
        <c:lblOffset val="100"/>
        <c:baseTimeUnit val="days"/>
      </c:dateAx>
      <c:valAx>
        <c:axId val="50202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3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15535E-608E-4993-AE3E-CB0E4A4A84F3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479129-96EA-4689-BFDD-61114F7ACF2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0.17888000000000001</v>
      </c>
      <c r="D2" s="4">
        <f>MIN(D3:D1912)</f>
        <v>7.8799999999999999E-3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5.951E-2</v>
      </c>
      <c r="C5">
        <v>6.0940000000000001E-2</v>
      </c>
      <c r="D5">
        <v>5.8310000000000001E-2</v>
      </c>
      <c r="E5">
        <v>5.8319999999999997E-2</v>
      </c>
      <c r="F5">
        <v>2608769</v>
      </c>
      <c r="G5">
        <v>5.8319999999999997E-2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-0.99239543726236035</v>
      </c>
      <c r="Q5">
        <f t="shared" ref="Q5" si="1">F5*P5</f>
        <v>-2588930.4524714905</v>
      </c>
      <c r="R5">
        <f t="shared" ref="R5" si="2">R6+Q5</f>
        <v>-8272744123.4460001</v>
      </c>
      <c r="S5">
        <f t="shared" ref="S5" si="3">R5/100000</f>
        <v>-82727.441234459999</v>
      </c>
      <c r="T5">
        <f t="shared" ref="T5" si="4">S5/1000</f>
        <v>-82.727441234460002</v>
      </c>
    </row>
    <row r="6" spans="1:20" x14ac:dyDescent="0.25">
      <c r="A6" s="5">
        <v>44587</v>
      </c>
      <c r="B6">
        <v>5.9650000000000002E-2</v>
      </c>
      <c r="C6">
        <v>6.4360000000000001E-2</v>
      </c>
      <c r="D6">
        <v>5.7860000000000002E-2</v>
      </c>
      <c r="E6">
        <v>5.9670000000000001E-2</v>
      </c>
      <c r="F6">
        <v>77664315.599999994</v>
      </c>
      <c r="G6">
        <v>5.9670000000000001E-2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-0.44307692307692326</v>
      </c>
      <c r="Q6">
        <f t="shared" ref="Q6" si="6">F6*P6</f>
        <v>-34411265.988923088</v>
      </c>
      <c r="R6">
        <f t="shared" ref="R6" si="7">R7+Q6</f>
        <v>-8270155192.9935284</v>
      </c>
      <c r="S6">
        <f t="shared" ref="S6" si="8">R6/100000</f>
        <v>-82701.551929935289</v>
      </c>
      <c r="T6">
        <f t="shared" ref="T6" si="9">S6/1000</f>
        <v>-82.701551929935292</v>
      </c>
    </row>
    <row r="7" spans="1:20" x14ac:dyDescent="0.25">
      <c r="A7" s="5">
        <v>44586</v>
      </c>
      <c r="B7">
        <v>6.0859999999999997E-2</v>
      </c>
      <c r="C7">
        <v>6.3869999999999996E-2</v>
      </c>
      <c r="D7">
        <v>5.79E-2</v>
      </c>
      <c r="E7">
        <v>5.969E-2</v>
      </c>
      <c r="F7">
        <v>71620207.900000006</v>
      </c>
      <c r="G7">
        <v>5.969E-2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-0.40033500837520902</v>
      </c>
      <c r="Q7">
        <f t="shared" ref="Q7" si="11">F7*P7</f>
        <v>-28672076.529480714</v>
      </c>
      <c r="R7">
        <f t="shared" ref="R7" si="12">R8+Q7</f>
        <v>-8235743927.0046053</v>
      </c>
      <c r="S7">
        <f t="shared" ref="S7" si="13">R7/100000</f>
        <v>-82357.439270046059</v>
      </c>
      <c r="T7">
        <f t="shared" ref="T7" si="14">S7/1000</f>
        <v>-82.357439270046058</v>
      </c>
    </row>
    <row r="8" spans="1:20" x14ac:dyDescent="0.25">
      <c r="A8" s="5">
        <v>44585</v>
      </c>
      <c r="B8">
        <v>6.8250000000000005E-2</v>
      </c>
      <c r="C8">
        <v>6.8290000000000003E-2</v>
      </c>
      <c r="D8">
        <v>5.6439999999999997E-2</v>
      </c>
      <c r="E8">
        <v>6.0859999999999997E-2</v>
      </c>
      <c r="F8">
        <v>146952061.19999999</v>
      </c>
      <c r="G8">
        <v>6.0859999999999997E-2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-0.25400843881856577</v>
      </c>
      <c r="Q8">
        <f t="shared" ref="Q8" si="16">F8*P8</f>
        <v>-37327063.646582328</v>
      </c>
      <c r="R8">
        <f t="shared" ref="R8" si="17">R9+Q8</f>
        <v>-8207071850.4751244</v>
      </c>
      <c r="S8">
        <f t="shared" ref="S8" si="18">R8/100000</f>
        <v>-82070.718504751247</v>
      </c>
      <c r="T8">
        <f t="shared" ref="T8" si="19">S8/1000</f>
        <v>-82.070718504751241</v>
      </c>
    </row>
    <row r="9" spans="1:20" x14ac:dyDescent="0.25">
      <c r="A9" s="5">
        <v>44584</v>
      </c>
      <c r="B9">
        <v>5.3069999999999999E-2</v>
      </c>
      <c r="C9">
        <v>7.9000000000000001E-2</v>
      </c>
      <c r="D9">
        <v>5.2310000000000002E-2</v>
      </c>
      <c r="E9">
        <v>6.8339999999999998E-2</v>
      </c>
      <c r="F9">
        <v>490986764</v>
      </c>
      <c r="G9">
        <v>6.8339999999999998E-2</v>
      </c>
      <c r="L9" t="s">
        <v>8</v>
      </c>
      <c r="M9" t="s">
        <v>8</v>
      </c>
      <c r="N9" t="s">
        <v>8</v>
      </c>
      <c r="P9">
        <f t="shared" ref="P9" si="20">IF(C9=D9,0,((E9-D9)-(C9-E9))/(C9-D9))</f>
        <v>0.20119895091794654</v>
      </c>
      <c r="Q9">
        <f t="shared" ref="Q9" si="21">F9*P9</f>
        <v>98786021.831397399</v>
      </c>
      <c r="R9">
        <f t="shared" ref="R9" si="22">R10+Q9</f>
        <v>-8169744786.8285418</v>
      </c>
      <c r="S9">
        <f t="shared" ref="S9" si="23">R9/100000</f>
        <v>-81697.447868285424</v>
      </c>
      <c r="T9">
        <f t="shared" ref="T9" si="24">S9/1000</f>
        <v>-81.697447868285423</v>
      </c>
    </row>
    <row r="10" spans="1:20" x14ac:dyDescent="0.25">
      <c r="A10" s="5">
        <v>44583</v>
      </c>
      <c r="B10">
        <v>6.0940000000000001E-2</v>
      </c>
      <c r="C10">
        <v>6.3469999999999999E-2</v>
      </c>
      <c r="D10">
        <v>4.7739999999999998E-2</v>
      </c>
      <c r="E10">
        <v>5.3030000000000001E-2</v>
      </c>
      <c r="F10">
        <v>85671242.700000003</v>
      </c>
      <c r="G10">
        <v>5.3030000000000001E-2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-0.32739987285441796</v>
      </c>
      <c r="Q10">
        <f t="shared" ref="Q10" si="26">F10*P10</f>
        <v>-28048753.967259984</v>
      </c>
      <c r="R10">
        <f t="shared" ref="R10" si="27">R11+Q10</f>
        <v>-8268530808.6599388</v>
      </c>
      <c r="S10">
        <f t="shared" ref="S10" si="28">R10/100000</f>
        <v>-82685.308086599383</v>
      </c>
      <c r="T10">
        <f t="shared" ref="T10" si="29">S10/1000</f>
        <v>-82.685308086599377</v>
      </c>
    </row>
    <row r="11" spans="1:20" x14ac:dyDescent="0.25">
      <c r="A11" s="5">
        <v>44582</v>
      </c>
      <c r="B11">
        <v>7.2120000000000004E-2</v>
      </c>
      <c r="C11">
        <v>8.0629999999999993E-2</v>
      </c>
      <c r="D11">
        <v>5.851E-2</v>
      </c>
      <c r="E11">
        <v>6.1010000000000002E-2</v>
      </c>
      <c r="F11">
        <v>124758941.7</v>
      </c>
      <c r="G11">
        <v>6.1010000000000002E-2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-0.7739602169981914</v>
      </c>
      <c r="Q11">
        <f t="shared" ref="Q11" si="31">F11*P11</f>
        <v>-96558457.590596706</v>
      </c>
      <c r="R11">
        <f t="shared" ref="R11" si="32">R12+Q11</f>
        <v>-8240482054.6926785</v>
      </c>
      <c r="S11">
        <f t="shared" ref="S11" si="33">R11/100000</f>
        <v>-82404.820546926785</v>
      </c>
      <c r="T11">
        <f t="shared" ref="T11" si="34">S11/1000</f>
        <v>-82.404820546926786</v>
      </c>
    </row>
    <row r="12" spans="1:20" x14ac:dyDescent="0.25">
      <c r="A12" s="5">
        <v>44581</v>
      </c>
      <c r="B12">
        <v>7.9159999999999994E-2</v>
      </c>
      <c r="C12">
        <v>8.2809999999999995E-2</v>
      </c>
      <c r="D12">
        <v>7.1910000000000002E-2</v>
      </c>
      <c r="E12">
        <v>7.2249999999999995E-2</v>
      </c>
      <c r="F12">
        <v>46353612</v>
      </c>
      <c r="G12">
        <v>7.2249999999999995E-2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-0.93761467889908379</v>
      </c>
      <c r="Q12">
        <f t="shared" ref="Q12" si="36">F12*P12</f>
        <v>-43461827.03119272</v>
      </c>
      <c r="R12">
        <f t="shared" ref="R12" si="37">R13+Q12</f>
        <v>-8143923597.1020813</v>
      </c>
      <c r="S12">
        <f t="shared" ref="S12" si="38">R12/100000</f>
        <v>-81439.235971020811</v>
      </c>
      <c r="T12">
        <f t="shared" ref="T12" si="39">S12/1000</f>
        <v>-81.439235971020807</v>
      </c>
    </row>
    <row r="13" spans="1:20" x14ac:dyDescent="0.25">
      <c r="A13" s="5">
        <v>44580</v>
      </c>
      <c r="B13">
        <v>7.8630000000000005E-2</v>
      </c>
      <c r="C13">
        <v>8.5120000000000001E-2</v>
      </c>
      <c r="D13">
        <v>7.8240000000000004E-2</v>
      </c>
      <c r="E13">
        <v>7.9130000000000006E-2</v>
      </c>
      <c r="F13">
        <v>92162773.200000003</v>
      </c>
      <c r="G13">
        <v>7.9130000000000006E-2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-0.74127906976744118</v>
      </c>
      <c r="Q13">
        <f t="shared" ref="Q13" si="41">F13*P13</f>
        <v>-68318334.784883663</v>
      </c>
      <c r="R13">
        <f t="shared" ref="R13" si="42">R14+Q13</f>
        <v>-8100461770.0708885</v>
      </c>
      <c r="S13">
        <f t="shared" ref="S13" si="43">R13/100000</f>
        <v>-81004.617700708885</v>
      </c>
      <c r="T13">
        <f t="shared" ref="T13" si="44">S13/1000</f>
        <v>-81.004617700708891</v>
      </c>
    </row>
    <row r="14" spans="1:20" x14ac:dyDescent="0.25">
      <c r="A14" s="5">
        <v>44579</v>
      </c>
      <c r="B14">
        <v>7.9280000000000003E-2</v>
      </c>
      <c r="C14">
        <v>8.5500000000000007E-2</v>
      </c>
      <c r="D14">
        <v>7.7030000000000001E-2</v>
      </c>
      <c r="E14">
        <v>7.8619999999999995E-2</v>
      </c>
      <c r="F14">
        <v>79958082.799999997</v>
      </c>
      <c r="G14">
        <v>7.8619999999999995E-2</v>
      </c>
      <c r="L14" t="s">
        <v>8</v>
      </c>
      <c r="M14" t="s">
        <v>7</v>
      </c>
      <c r="N14" t="s">
        <v>7</v>
      </c>
      <c r="P14">
        <f t="shared" ref="P14" si="45">IF(C14=D14,0,((E14-D14)-(C14-E14))/(C14-D14))</f>
        <v>-0.62455726092089892</v>
      </c>
      <c r="Q14">
        <f t="shared" ref="Q14" si="46">F14*P14</f>
        <v>-49938401.182054438</v>
      </c>
      <c r="R14">
        <f t="shared" ref="R14" si="47">R15+Q14</f>
        <v>-8032143435.286005</v>
      </c>
      <c r="S14">
        <f t="shared" ref="S14" si="48">R14/100000</f>
        <v>-80321.434352860044</v>
      </c>
      <c r="T14">
        <f t="shared" ref="T14" si="49">S14/1000</f>
        <v>-80.321434352860038</v>
      </c>
    </row>
    <row r="15" spans="1:20" x14ac:dyDescent="0.25">
      <c r="A15" s="5">
        <v>44578</v>
      </c>
      <c r="B15">
        <v>8.3510000000000001E-2</v>
      </c>
      <c r="C15">
        <v>8.4150000000000003E-2</v>
      </c>
      <c r="D15">
        <v>7.7439999999999995E-2</v>
      </c>
      <c r="E15">
        <v>7.9299999999999995E-2</v>
      </c>
      <c r="F15">
        <v>50547243.399999999</v>
      </c>
      <c r="G15">
        <v>7.9299999999999995E-2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-0.44560357675111822</v>
      </c>
      <c r="Q15">
        <f t="shared" ref="Q15" si="51">F15*P15</f>
        <v>-22524032.453949355</v>
      </c>
      <c r="R15">
        <f t="shared" ref="R15" si="52">R16+Q15</f>
        <v>-7982205034.1039505</v>
      </c>
      <c r="S15">
        <f t="shared" ref="S15" si="53">R15/100000</f>
        <v>-79822.050341039503</v>
      </c>
      <c r="T15">
        <f t="shared" ref="T15" si="54">S15/1000</f>
        <v>-79.8220503410395</v>
      </c>
    </row>
    <row r="16" spans="1:20" x14ac:dyDescent="0.25">
      <c r="A16" s="5">
        <v>44577</v>
      </c>
      <c r="B16">
        <v>8.7279999999999996E-2</v>
      </c>
      <c r="C16">
        <v>8.7279999999999996E-2</v>
      </c>
      <c r="D16">
        <v>8.2250000000000004E-2</v>
      </c>
      <c r="E16">
        <v>8.3580000000000002E-2</v>
      </c>
      <c r="F16">
        <v>46714852.200000003</v>
      </c>
      <c r="G16">
        <v>8.3580000000000002E-2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-0.47117296222664024</v>
      </c>
      <c r="Q16">
        <f t="shared" ref="Q16" si="56">F16*P16</f>
        <v>-22010775.291053683</v>
      </c>
      <c r="R16">
        <f t="shared" ref="R16" si="57">R17+Q16</f>
        <v>-7959681001.6500015</v>
      </c>
      <c r="S16">
        <f t="shared" ref="S16" si="58">R16/100000</f>
        <v>-79596.810016500021</v>
      </c>
      <c r="T16">
        <f t="shared" ref="T16" si="59">S16/1000</f>
        <v>-79.596810016500015</v>
      </c>
    </row>
    <row r="17" spans="1:20" x14ac:dyDescent="0.25">
      <c r="A17" s="5">
        <v>44576</v>
      </c>
      <c r="B17">
        <v>8.2790000000000002E-2</v>
      </c>
      <c r="C17">
        <v>8.9969999999999994E-2</v>
      </c>
      <c r="D17">
        <v>8.1019999999999995E-2</v>
      </c>
      <c r="E17">
        <v>8.7300000000000003E-2</v>
      </c>
      <c r="F17">
        <v>75431709.5</v>
      </c>
      <c r="G17">
        <v>8.7300000000000003E-2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0.40335195530726436</v>
      </c>
      <c r="Q17">
        <f t="shared" ref="Q17" si="61">F17*P17</f>
        <v>30425527.518994547</v>
      </c>
      <c r="R17">
        <f t="shared" ref="R17" si="62">R18+Q17</f>
        <v>-7937670226.3589478</v>
      </c>
      <c r="S17">
        <f t="shared" ref="S17" si="63">R17/100000</f>
        <v>-79376.702263589483</v>
      </c>
      <c r="T17">
        <f t="shared" ref="T17" si="64">S17/1000</f>
        <v>-79.376702263589479</v>
      </c>
    </row>
    <row r="18" spans="1:20" x14ac:dyDescent="0.25">
      <c r="A18" s="5">
        <v>44575</v>
      </c>
      <c r="B18">
        <v>8.3479999999999999E-2</v>
      </c>
      <c r="C18">
        <v>8.5529999999999995E-2</v>
      </c>
      <c r="D18">
        <v>8.0100000000000005E-2</v>
      </c>
      <c r="E18">
        <v>8.2799999999999999E-2</v>
      </c>
      <c r="F18">
        <v>45060519.600000001</v>
      </c>
      <c r="G18">
        <v>8.2799999999999999E-2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-5.5248618784534626E-3</v>
      </c>
      <c r="Q18">
        <f t="shared" ref="Q18" si="66">F18*P18</f>
        <v>-248953.14696134508</v>
      </c>
      <c r="R18">
        <f t="shared" ref="R18" si="67">R19+Q18</f>
        <v>-7968095753.8779421</v>
      </c>
      <c r="S18">
        <f t="shared" ref="S18" si="68">R18/100000</f>
        <v>-79680.957538779418</v>
      </c>
      <c r="T18">
        <f t="shared" ref="T18" si="69">S18/1000</f>
        <v>-79.680957538779424</v>
      </c>
    </row>
    <row r="19" spans="1:20" x14ac:dyDescent="0.25">
      <c r="A19" s="5">
        <v>44574</v>
      </c>
      <c r="B19">
        <v>9.2109999999999997E-2</v>
      </c>
      <c r="C19">
        <v>9.2700000000000005E-2</v>
      </c>
      <c r="D19">
        <v>8.2500000000000004E-2</v>
      </c>
      <c r="E19">
        <v>8.344E-2</v>
      </c>
      <c r="F19">
        <v>92365487.799999997</v>
      </c>
      <c r="G19">
        <v>8.344E-2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-0.81568627450980469</v>
      </c>
      <c r="Q19">
        <f t="shared" ref="Q19" si="71">F19*P19</f>
        <v>-75341260.636862814</v>
      </c>
      <c r="R19">
        <f t="shared" ref="R19" si="72">R20+Q19</f>
        <v>-7967846800.7309809</v>
      </c>
      <c r="S19">
        <f t="shared" ref="S19" si="73">R19/100000</f>
        <v>-79678.468007309813</v>
      </c>
      <c r="T19">
        <f t="shared" ref="T19" si="74">S19/1000</f>
        <v>-79.678468007309817</v>
      </c>
    </row>
    <row r="20" spans="1:20" x14ac:dyDescent="0.25">
      <c r="A20" s="5">
        <v>44573</v>
      </c>
      <c r="B20">
        <v>8.9249999999999996E-2</v>
      </c>
      <c r="C20">
        <v>9.5710000000000003E-2</v>
      </c>
      <c r="D20">
        <v>8.6879999999999999E-2</v>
      </c>
      <c r="E20">
        <v>9.221E-2</v>
      </c>
      <c r="F20">
        <v>73806824.299999997</v>
      </c>
      <c r="G20">
        <v>9.221E-2</v>
      </c>
      <c r="L20" t="s">
        <v>7</v>
      </c>
      <c r="M20" t="s">
        <v>7</v>
      </c>
      <c r="N20" t="s">
        <v>7</v>
      </c>
      <c r="P20">
        <f t="shared" ref="P20" si="75">IF(C20=D20,0,((E20-D20)-(C20-E20))/(C20-D20))</f>
        <v>0.20724801812004501</v>
      </c>
      <c r="Q20">
        <f t="shared" ref="Q20" si="76">F20*P20</f>
        <v>15296318.059909377</v>
      </c>
      <c r="R20">
        <f t="shared" ref="R20" si="77">R21+Q20</f>
        <v>-7892505540.0941181</v>
      </c>
      <c r="S20">
        <f t="shared" ref="S20" si="78">R20/100000</f>
        <v>-78925.055400941186</v>
      </c>
      <c r="T20">
        <f t="shared" ref="T20" si="79">S20/1000</f>
        <v>-78.92505540094119</v>
      </c>
    </row>
    <row r="21" spans="1:20" x14ac:dyDescent="0.25">
      <c r="A21" s="5">
        <v>44572</v>
      </c>
      <c r="B21">
        <v>8.7720000000000006E-2</v>
      </c>
      <c r="C21">
        <v>9.4780000000000003E-2</v>
      </c>
      <c r="D21">
        <v>8.6550000000000002E-2</v>
      </c>
      <c r="E21">
        <v>8.9209999999999998E-2</v>
      </c>
      <c r="F21">
        <v>51541995.5</v>
      </c>
      <c r="G21">
        <v>8.9209999999999998E-2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-0.35358444714459408</v>
      </c>
      <c r="Q21">
        <f t="shared" ref="Q21" si="81">F21*P21</f>
        <v>-18224447.983596656</v>
      </c>
      <c r="R21">
        <f t="shared" ref="R21" si="82">R22+Q21</f>
        <v>-7907801858.1540279</v>
      </c>
      <c r="S21">
        <f t="shared" ref="S21" si="83">R21/100000</f>
        <v>-79078.01858154028</v>
      </c>
      <c r="T21">
        <f t="shared" ref="T21" si="84">S21/1000</f>
        <v>-79.078018581540277</v>
      </c>
    </row>
    <row r="22" spans="1:20" x14ac:dyDescent="0.25">
      <c r="A22" s="5">
        <v>44571</v>
      </c>
      <c r="B22">
        <v>9.64E-2</v>
      </c>
      <c r="C22">
        <v>9.8680000000000004E-2</v>
      </c>
      <c r="D22">
        <v>8.2919999999999994E-2</v>
      </c>
      <c r="E22">
        <v>8.7779999999999997E-2</v>
      </c>
      <c r="F22">
        <v>81143092.400000006</v>
      </c>
      <c r="G22">
        <v>8.7779999999999997E-2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-0.38324873096446699</v>
      </c>
      <c r="Q22">
        <f t="shared" ref="Q22" si="86">F22*P22</f>
        <v>-31097987.188832488</v>
      </c>
      <c r="R22">
        <f t="shared" ref="R22" si="87">R23+Q22</f>
        <v>-7889577410.1704311</v>
      </c>
      <c r="S22">
        <f t="shared" ref="S22" si="88">R22/100000</f>
        <v>-78895.774101704315</v>
      </c>
      <c r="T22">
        <f t="shared" ref="T22" si="89">S22/1000</f>
        <v>-78.895774101704319</v>
      </c>
    </row>
    <row r="23" spans="1:20" x14ac:dyDescent="0.25">
      <c r="A23" s="5">
        <v>44570</v>
      </c>
      <c r="B23">
        <v>0.10341</v>
      </c>
      <c r="C23">
        <v>0.10432</v>
      </c>
      <c r="D23">
        <v>9.5519999999999994E-2</v>
      </c>
      <c r="E23">
        <v>9.64E-2</v>
      </c>
      <c r="F23">
        <v>100210501.3</v>
      </c>
      <c r="G23">
        <v>9.64E-2</v>
      </c>
      <c r="L23" t="s">
        <v>8</v>
      </c>
      <c r="M23" t="s">
        <v>8</v>
      </c>
      <c r="N23" t="s">
        <v>7</v>
      </c>
      <c r="P23">
        <f t="shared" ref="P23" si="90">IF(C23=D23,0,((E23-D23)-(C23-E23))/(C23-D23))</f>
        <v>-0.79999999999999871</v>
      </c>
      <c r="Q23">
        <f t="shared" ref="Q23" si="91">F23*P23</f>
        <v>-80168401.039999872</v>
      </c>
      <c r="R23">
        <f t="shared" ref="R23" si="92">R24+Q23</f>
        <v>-7858479422.9815989</v>
      </c>
      <c r="S23">
        <f t="shared" ref="S23" si="93">R23/100000</f>
        <v>-78584.794229815991</v>
      </c>
      <c r="T23">
        <f t="shared" ref="T23" si="94">S23/1000</f>
        <v>-78.584794229815984</v>
      </c>
    </row>
    <row r="24" spans="1:20" x14ac:dyDescent="0.25">
      <c r="A24" s="5">
        <v>44569</v>
      </c>
      <c r="B24">
        <v>9.1939999999999994E-2</v>
      </c>
      <c r="C24">
        <v>0.10674</v>
      </c>
      <c r="D24">
        <v>8.9090000000000003E-2</v>
      </c>
      <c r="E24">
        <v>0.10352</v>
      </c>
      <c r="F24">
        <v>162437217</v>
      </c>
      <c r="G24">
        <v>0.10352</v>
      </c>
      <c r="L24" t="s">
        <v>7</v>
      </c>
      <c r="M24" t="s">
        <v>8</v>
      </c>
      <c r="N24" t="s">
        <v>7</v>
      </c>
      <c r="P24">
        <f t="shared" ref="P24" si="95">IF(C24=D24,0,((E24-D24)-(C24-E24))/(C24-D24))</f>
        <v>0.63512747875354103</v>
      </c>
      <c r="Q24">
        <f t="shared" ref="Q24" si="96">F24*P24</f>
        <v>103168340.08895184</v>
      </c>
      <c r="R24">
        <f t="shared" ref="R24" si="97">R25+Q24</f>
        <v>-7778311021.9415989</v>
      </c>
      <c r="S24">
        <f t="shared" ref="S24" si="98">R24/100000</f>
        <v>-77783.11021941599</v>
      </c>
      <c r="T24">
        <f t="shared" ref="T24" si="99">S24/1000</f>
        <v>-77.783110219415988</v>
      </c>
    </row>
    <row r="25" spans="1:20" x14ac:dyDescent="0.25">
      <c r="A25" s="5">
        <v>44568</v>
      </c>
      <c r="B25">
        <v>0.10206</v>
      </c>
      <c r="C25">
        <v>0.10206</v>
      </c>
      <c r="D25">
        <v>9.0630000000000002E-2</v>
      </c>
      <c r="E25">
        <v>9.1939999999999994E-2</v>
      </c>
      <c r="F25">
        <v>63707682</v>
      </c>
      <c r="G25">
        <v>9.1939999999999994E-2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-0.77077865266841783</v>
      </c>
      <c r="Q25">
        <f t="shared" ref="Q25" si="101">F25*P25</f>
        <v>-49104521.296588011</v>
      </c>
      <c r="R25">
        <f t="shared" ref="R25" si="102">R26+Q25</f>
        <v>-7881479362.030551</v>
      </c>
      <c r="S25">
        <f t="shared" ref="S25" si="103">R25/100000</f>
        <v>-78814.793620305514</v>
      </c>
      <c r="T25">
        <f t="shared" ref="T25" si="104">S25/1000</f>
        <v>-78.814793620305508</v>
      </c>
    </row>
    <row r="26" spans="1:20" x14ac:dyDescent="0.25">
      <c r="A26" s="5">
        <v>44567</v>
      </c>
      <c r="B26">
        <v>0.10357</v>
      </c>
      <c r="C26">
        <v>0.10780000000000001</v>
      </c>
      <c r="D26">
        <v>9.5799999999999996E-2</v>
      </c>
      <c r="E26">
        <v>0.10194</v>
      </c>
      <c r="F26">
        <v>90624449.099999994</v>
      </c>
      <c r="G26">
        <v>0.10194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2.3333333333333518E-2</v>
      </c>
      <c r="Q26">
        <f t="shared" ref="Q26" si="106">F26*P26</f>
        <v>2114570.4790000166</v>
      </c>
      <c r="R26">
        <f t="shared" ref="R26" si="107">R27+Q26</f>
        <v>-7832374840.733963</v>
      </c>
      <c r="S26">
        <f t="shared" ref="S26" si="108">R26/100000</f>
        <v>-78323.748407339634</v>
      </c>
      <c r="T26">
        <f t="shared" ref="T26" si="109">S26/1000</f>
        <v>-78.323748407339636</v>
      </c>
    </row>
    <row r="27" spans="1:20" x14ac:dyDescent="0.25">
      <c r="A27" s="5">
        <v>44566</v>
      </c>
      <c r="B27">
        <v>0.11394</v>
      </c>
      <c r="C27">
        <v>0.11763</v>
      </c>
      <c r="D27">
        <v>9.6879999999999994E-2</v>
      </c>
      <c r="E27">
        <v>0.10357</v>
      </c>
      <c r="F27">
        <v>79922439</v>
      </c>
      <c r="G27">
        <v>0.10357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-0.35518072289156627</v>
      </c>
      <c r="Q27">
        <f t="shared" ref="Q27" si="111">F27*P27</f>
        <v>-28386909.659277108</v>
      </c>
      <c r="R27">
        <f t="shared" ref="R27" si="112">R28+Q27</f>
        <v>-7834489411.2129631</v>
      </c>
      <c r="S27">
        <f t="shared" ref="S27" si="113">R27/100000</f>
        <v>-78344.894112129638</v>
      </c>
      <c r="T27">
        <f t="shared" ref="T27" si="114">S27/1000</f>
        <v>-78.344894112129637</v>
      </c>
    </row>
    <row r="28" spans="1:20" x14ac:dyDescent="0.25">
      <c r="A28" s="5">
        <v>44565</v>
      </c>
      <c r="B28">
        <v>0.11985</v>
      </c>
      <c r="C28">
        <v>0.12212000000000001</v>
      </c>
      <c r="D28">
        <v>0.11379</v>
      </c>
      <c r="E28">
        <v>0.11394</v>
      </c>
      <c r="F28">
        <v>66435694.700000003</v>
      </c>
      <c r="G28">
        <v>0.11394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-0.9639855942376957</v>
      </c>
      <c r="Q28">
        <f t="shared" ref="Q28" si="116">F28*P28</f>
        <v>-64043052.633973636</v>
      </c>
      <c r="R28">
        <f t="shared" ref="R28" si="117">R29+Q28</f>
        <v>-7806102501.5536861</v>
      </c>
      <c r="S28">
        <f t="shared" ref="S28" si="118">R28/100000</f>
        <v>-78061.025015536856</v>
      </c>
      <c r="T28">
        <f t="shared" ref="T28" si="119">S28/1000</f>
        <v>-78.061025015536856</v>
      </c>
    </row>
    <row r="29" spans="1:20" x14ac:dyDescent="0.25">
      <c r="A29" s="5">
        <v>44564</v>
      </c>
      <c r="B29">
        <v>0.125</v>
      </c>
      <c r="C29">
        <v>0.12567</v>
      </c>
      <c r="D29">
        <v>0.11841</v>
      </c>
      <c r="E29">
        <v>0.11985</v>
      </c>
      <c r="F29">
        <v>79942846.400000006</v>
      </c>
      <c r="G29">
        <v>0.11985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-0.60330578512396793</v>
      </c>
      <c r="Q29">
        <f t="shared" ref="Q29" si="121">F29*P29</f>
        <v>-48229981.712396778</v>
      </c>
      <c r="R29">
        <f t="shared" ref="R29" si="122">R30+Q29</f>
        <v>-7742059448.9197121</v>
      </c>
      <c r="S29">
        <f t="shared" ref="S29" si="123">R29/100000</f>
        <v>-77420.594489197116</v>
      </c>
      <c r="T29">
        <f t="shared" ref="T29" si="124">S29/1000</f>
        <v>-77.420594489197114</v>
      </c>
    </row>
    <row r="30" spans="1:20" x14ac:dyDescent="0.25">
      <c r="A30" s="5">
        <v>44563</v>
      </c>
      <c r="B30">
        <v>0.12938</v>
      </c>
      <c r="C30">
        <v>0.13289999999999999</v>
      </c>
      <c r="D30">
        <v>0.124</v>
      </c>
      <c r="E30">
        <v>0.12504999999999999</v>
      </c>
      <c r="F30">
        <v>80074666.900000006</v>
      </c>
      <c r="G30">
        <v>0.12504999999999999</v>
      </c>
      <c r="L30" t="s">
        <v>7</v>
      </c>
      <c r="M30" t="s">
        <v>8</v>
      </c>
      <c r="N30" t="s">
        <v>7</v>
      </c>
      <c r="P30">
        <f t="shared" ref="P30" si="125">IF(C30=D30,0,((E30-D30)-(C30-E30))/(C30-D30))</f>
        <v>-0.76404494382022548</v>
      </c>
      <c r="Q30">
        <f t="shared" ref="Q30" si="126">F30*P30</f>
        <v>-61180644.373033769</v>
      </c>
      <c r="R30">
        <f t="shared" ref="R30" si="127">R31+Q30</f>
        <v>-7693829467.2073154</v>
      </c>
      <c r="S30">
        <f t="shared" ref="S30" si="128">R30/100000</f>
        <v>-76938.294672073156</v>
      </c>
      <c r="T30">
        <f t="shared" ref="T30" si="129">S30/1000</f>
        <v>-76.938294672073155</v>
      </c>
    </row>
    <row r="31" spans="1:20" x14ac:dyDescent="0.25">
      <c r="A31" s="5">
        <v>44562</v>
      </c>
      <c r="B31">
        <v>0.13275000000000001</v>
      </c>
      <c r="C31">
        <v>0.13944999999999999</v>
      </c>
      <c r="D31">
        <v>0.12867000000000001</v>
      </c>
      <c r="E31">
        <v>0.12931999999999999</v>
      </c>
      <c r="F31">
        <v>95999633.599999994</v>
      </c>
      <c r="G31">
        <v>0.12931999999999999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-0.87940630797773933</v>
      </c>
      <c r="Q31">
        <f t="shared" ref="Q31" si="131">F31*P31</f>
        <v>-84422683.351391733</v>
      </c>
      <c r="R31">
        <f t="shared" ref="R31" si="132">R32+Q31</f>
        <v>-7632648822.8342819</v>
      </c>
      <c r="S31">
        <f t="shared" ref="S31" si="133">R31/100000</f>
        <v>-76326.488228342816</v>
      </c>
      <c r="T31">
        <f t="shared" ref="T31" si="134">S31/1000</f>
        <v>-76.326488228342811</v>
      </c>
    </row>
    <row r="32" spans="1:20" x14ac:dyDescent="0.25">
      <c r="A32" s="5">
        <v>44561</v>
      </c>
      <c r="B32">
        <v>0.12447</v>
      </c>
      <c r="C32">
        <v>0.13400000000000001</v>
      </c>
      <c r="D32">
        <v>0.12274</v>
      </c>
      <c r="E32">
        <v>0.13264999999999999</v>
      </c>
      <c r="F32">
        <v>100183666.90000001</v>
      </c>
      <c r="G32">
        <v>0.13264999999999999</v>
      </c>
      <c r="L32" t="s">
        <v>8</v>
      </c>
      <c r="M32" t="s">
        <v>8</v>
      </c>
      <c r="N32" t="s">
        <v>7</v>
      </c>
      <c r="P32">
        <f t="shared" ref="P32" si="135">IF(C32=D32,0,((E32-D32)-(C32-E32))/(C32-D32))</f>
        <v>0.76021314387211059</v>
      </c>
      <c r="Q32">
        <f t="shared" ref="Q32" si="136">F32*P32</f>
        <v>76160940.37868531</v>
      </c>
      <c r="R32">
        <f t="shared" ref="R32" si="137">R33+Q32</f>
        <v>-7548226139.4828901</v>
      </c>
      <c r="S32">
        <f t="shared" ref="S32" si="138">R32/100000</f>
        <v>-75482.261394828907</v>
      </c>
      <c r="T32">
        <f t="shared" ref="T32" si="139">S32/1000</f>
        <v>-75.48226139482891</v>
      </c>
    </row>
    <row r="33" spans="1:20" x14ac:dyDescent="0.25">
      <c r="A33" s="5">
        <v>44560</v>
      </c>
      <c r="B33">
        <v>0.13023000000000001</v>
      </c>
      <c r="C33">
        <v>0.13689999999999999</v>
      </c>
      <c r="D33">
        <v>0.12411999999999999</v>
      </c>
      <c r="E33">
        <v>0.12435</v>
      </c>
      <c r="F33">
        <v>125341309.8</v>
      </c>
      <c r="G33">
        <v>0.12435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-0.96400625978090637</v>
      </c>
      <c r="Q33">
        <f t="shared" ref="Q33" si="141">F33*P33</f>
        <v>-120829807.25633787</v>
      </c>
      <c r="R33">
        <f t="shared" ref="R33" si="142">R34+Q33</f>
        <v>-7624387079.8615751</v>
      </c>
      <c r="S33">
        <f t="shared" ref="S33" si="143">R33/100000</f>
        <v>-76243.870798615753</v>
      </c>
      <c r="T33">
        <f t="shared" ref="T33" si="144">S33/1000</f>
        <v>-76.24387079861576</v>
      </c>
    </row>
    <row r="34" spans="1:20" x14ac:dyDescent="0.25">
      <c r="A34" s="5">
        <v>44559</v>
      </c>
      <c r="B34">
        <v>0.13178000000000001</v>
      </c>
      <c r="C34">
        <v>0.13950000000000001</v>
      </c>
      <c r="D34">
        <v>0.12034</v>
      </c>
      <c r="E34">
        <v>0.13016</v>
      </c>
      <c r="F34">
        <v>252304868.30000001</v>
      </c>
      <c r="G34">
        <v>0.13016</v>
      </c>
      <c r="L34" t="s">
        <v>8</v>
      </c>
      <c r="M34" t="s">
        <v>8</v>
      </c>
      <c r="N34" t="s">
        <v>7</v>
      </c>
      <c r="P34">
        <f t="shared" ref="P34" si="145">IF(C34=D34,0,((E34-D34)-(C34-E34))/(C34-D34))</f>
        <v>2.5052192066804813E-2</v>
      </c>
      <c r="Q34">
        <f t="shared" ref="Q34" si="146">F34*P34</f>
        <v>6320790.0200414937</v>
      </c>
      <c r="R34">
        <f t="shared" ref="R34" si="147">R35+Q34</f>
        <v>-7503557272.605237</v>
      </c>
      <c r="S34">
        <f t="shared" ref="S34" si="148">R34/100000</f>
        <v>-75035.572726052371</v>
      </c>
      <c r="T34">
        <f t="shared" ref="T34" si="149">S34/1000</f>
        <v>-75.035572726052365</v>
      </c>
    </row>
    <row r="35" spans="1:20" x14ac:dyDescent="0.25">
      <c r="A35" s="5">
        <v>44558</v>
      </c>
      <c r="B35">
        <v>0.12501000000000001</v>
      </c>
      <c r="C35">
        <v>0.14097999999999999</v>
      </c>
      <c r="D35">
        <v>0.11252</v>
      </c>
      <c r="E35">
        <v>0.13177</v>
      </c>
      <c r="F35">
        <v>245263728.5</v>
      </c>
      <c r="G35">
        <v>0.13177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0.35277582572030947</v>
      </c>
      <c r="Q35">
        <f t="shared" ref="Q35" si="151">F35*P35</f>
        <v>86523114.340829298</v>
      </c>
      <c r="R35">
        <f t="shared" ref="R35" si="152">R36+Q35</f>
        <v>-7509878062.6252785</v>
      </c>
      <c r="S35">
        <f t="shared" ref="S35" si="153">R35/100000</f>
        <v>-75098.780626252788</v>
      </c>
      <c r="T35">
        <f t="shared" ref="T35" si="154">S35/1000</f>
        <v>-75.09878062625279</v>
      </c>
    </row>
    <row r="36" spans="1:20" x14ac:dyDescent="0.25">
      <c r="A36" s="5">
        <v>44557</v>
      </c>
      <c r="B36">
        <v>0.13769999999999999</v>
      </c>
      <c r="C36">
        <v>0.14000000000000001</v>
      </c>
      <c r="D36">
        <v>0.12414</v>
      </c>
      <c r="E36">
        <v>0.12501000000000001</v>
      </c>
      <c r="F36">
        <v>141547077.90000001</v>
      </c>
      <c r="G36">
        <v>0.12501000000000001</v>
      </c>
      <c r="L36" t="s">
        <v>7</v>
      </c>
      <c r="M36" t="s">
        <v>7</v>
      </c>
      <c r="N36" t="s">
        <v>8</v>
      </c>
      <c r="P36">
        <f t="shared" ref="P36" si="155">IF(C36=D36,0,((E36-D36)-(C36-E36))/(C36-D36))</f>
        <v>-0.89029003783102034</v>
      </c>
      <c r="Q36">
        <f t="shared" ref="Q36" si="156">F36*P36</f>
        <v>-126017953.33846138</v>
      </c>
      <c r="R36">
        <f t="shared" ref="R36" si="157">R37+Q36</f>
        <v>-7596401176.9661074</v>
      </c>
      <c r="S36">
        <f t="shared" ref="S36" si="158">R36/100000</f>
        <v>-75964.011769661069</v>
      </c>
      <c r="T36">
        <f t="shared" ref="T36" si="159">S36/1000</f>
        <v>-75.96401176966107</v>
      </c>
    </row>
    <row r="37" spans="1:20" x14ac:dyDescent="0.25">
      <c r="A37" s="5">
        <v>44556</v>
      </c>
      <c r="B37">
        <v>0.15440999999999999</v>
      </c>
      <c r="C37">
        <v>0.15465000000000001</v>
      </c>
      <c r="D37">
        <v>0.13453999999999999</v>
      </c>
      <c r="E37">
        <v>0.13758000000000001</v>
      </c>
      <c r="F37">
        <v>318089144.39999998</v>
      </c>
      <c r="G37">
        <v>0.13758000000000001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-0.69766285430134134</v>
      </c>
      <c r="Q37">
        <f t="shared" ref="Q37" si="161">F37*P37</f>
        <v>-221918980.40437552</v>
      </c>
      <c r="R37">
        <f t="shared" ref="R37" si="162">R38+Q37</f>
        <v>-7470383223.6276464</v>
      </c>
      <c r="S37">
        <f t="shared" ref="S37" si="163">R37/100000</f>
        <v>-74703.832236276459</v>
      </c>
      <c r="T37">
        <f t="shared" ref="T37" si="164">S37/1000</f>
        <v>-74.703832236276455</v>
      </c>
    </row>
    <row r="38" spans="1:20" x14ac:dyDescent="0.25">
      <c r="A38" s="5">
        <v>44555</v>
      </c>
      <c r="B38">
        <v>0.12479999999999999</v>
      </c>
      <c r="C38">
        <v>0.17888000000000001</v>
      </c>
      <c r="D38">
        <v>0.11801</v>
      </c>
      <c r="E38">
        <v>0.15440000000000001</v>
      </c>
      <c r="F38">
        <v>1114392783.9000001</v>
      </c>
      <c r="G38">
        <v>0.15440000000000001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0.19566288812222773</v>
      </c>
      <c r="Q38">
        <f t="shared" ref="Q38" si="166">F38*P38</f>
        <v>218045310.60044363</v>
      </c>
      <c r="R38">
        <f t="shared" ref="R38" si="167">R39+Q38</f>
        <v>-7248464243.2232714</v>
      </c>
      <c r="S38">
        <f t="shared" ref="S38" si="168">R38/100000</f>
        <v>-72484.642432232708</v>
      </c>
      <c r="T38">
        <f t="shared" ref="T38" si="169">S38/1000</f>
        <v>-72.484642432232704</v>
      </c>
    </row>
    <row r="39" spans="1:20" x14ac:dyDescent="0.25">
      <c r="A39" s="5">
        <v>44554</v>
      </c>
      <c r="B39">
        <v>9.7030000000000005E-2</v>
      </c>
      <c r="C39">
        <v>0.1431</v>
      </c>
      <c r="D39">
        <v>9.5949999999999994E-2</v>
      </c>
      <c r="E39">
        <v>0.12454</v>
      </c>
      <c r="F39">
        <v>560254606.79999995</v>
      </c>
      <c r="G39">
        <v>0.12454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0.21272534464475068</v>
      </c>
      <c r="Q39">
        <f t="shared" ref="Q39" si="171">F39*P39</f>
        <v>119180354.32033926</v>
      </c>
      <c r="R39">
        <f t="shared" ref="R39" si="172">R40+Q39</f>
        <v>-7466509553.8237152</v>
      </c>
      <c r="S39">
        <f t="shared" ref="S39" si="173">R39/100000</f>
        <v>-74665.095538237147</v>
      </c>
      <c r="T39">
        <f t="shared" ref="T39" si="174">S39/1000</f>
        <v>-74.665095538237154</v>
      </c>
    </row>
    <row r="40" spans="1:20" x14ac:dyDescent="0.25">
      <c r="A40" s="5">
        <v>44553</v>
      </c>
      <c r="B40">
        <v>9.2950000000000005E-2</v>
      </c>
      <c r="C40">
        <v>0.10249999999999999</v>
      </c>
      <c r="D40">
        <v>9.0560000000000002E-2</v>
      </c>
      <c r="E40">
        <v>9.7009999999999999E-2</v>
      </c>
      <c r="F40">
        <v>141222476.5</v>
      </c>
      <c r="G40">
        <v>9.7009999999999999E-2</v>
      </c>
      <c r="L40" t="s">
        <v>7</v>
      </c>
      <c r="M40" t="s">
        <v>7</v>
      </c>
      <c r="N40" t="s">
        <v>8</v>
      </c>
      <c r="P40">
        <f t="shared" ref="P40" si="175">IF(C40=D40,0,((E40-D40)-(C40-E40))/(C40-D40))</f>
        <v>8.0402010050251521E-2</v>
      </c>
      <c r="Q40">
        <f t="shared" ref="Q40" si="176">F40*P40</f>
        <v>11354570.974874409</v>
      </c>
      <c r="R40">
        <f t="shared" ref="R40" si="177">R41+Q40</f>
        <v>-7585689908.1440544</v>
      </c>
      <c r="S40">
        <f t="shared" ref="S40" si="178">R40/100000</f>
        <v>-75856.899081440541</v>
      </c>
      <c r="T40">
        <f t="shared" ref="T40" si="179">S40/1000</f>
        <v>-75.856899081440545</v>
      </c>
    </row>
    <row r="41" spans="1:20" x14ac:dyDescent="0.25">
      <c r="A41" s="5">
        <v>44552</v>
      </c>
      <c r="B41">
        <v>9.9739999999999995E-2</v>
      </c>
      <c r="C41">
        <v>0.10394</v>
      </c>
      <c r="D41">
        <v>9.2649999999999996E-2</v>
      </c>
      <c r="E41">
        <v>9.3009999999999995E-2</v>
      </c>
      <c r="F41">
        <v>137064772.5</v>
      </c>
      <c r="G41">
        <v>9.3009999999999995E-2</v>
      </c>
      <c r="L41" t="s">
        <v>7</v>
      </c>
      <c r="M41" t="s">
        <v>7</v>
      </c>
      <c r="N41" t="s">
        <v>8</v>
      </c>
      <c r="P41">
        <f t="shared" ref="P41" si="180">IF(C41=D41,0,((E41-D41)-(C41-E41))/(C41-D41))</f>
        <v>-0.9362267493356955</v>
      </c>
      <c r="Q41">
        <f t="shared" ref="Q41" si="181">F41*P41</f>
        <v>-128323706.40611163</v>
      </c>
      <c r="R41">
        <f t="shared" ref="R41" si="182">R42+Q41</f>
        <v>-7597044479.1189289</v>
      </c>
      <c r="S41">
        <f t="shared" ref="S41" si="183">R41/100000</f>
        <v>-75970.444791189293</v>
      </c>
      <c r="T41">
        <f t="shared" ref="T41" si="184">S41/1000</f>
        <v>-75.970444791189294</v>
      </c>
    </row>
    <row r="42" spans="1:20" x14ac:dyDescent="0.25">
      <c r="A42" s="5">
        <v>44551</v>
      </c>
      <c r="B42">
        <v>0.10453</v>
      </c>
      <c r="C42">
        <v>0.1125</v>
      </c>
      <c r="D42">
        <v>9.5509999999999998E-2</v>
      </c>
      <c r="E42">
        <v>9.9750000000000005E-2</v>
      </c>
      <c r="F42">
        <v>271959753.30000001</v>
      </c>
      <c r="G42">
        <v>9.9750000000000005E-2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-0.5008828722778097</v>
      </c>
      <c r="Q42">
        <f t="shared" ref="Q42" si="186">F42*P42</f>
        <v>-136219982.37686855</v>
      </c>
      <c r="R42">
        <f t="shared" ref="R42" si="187">R43+Q42</f>
        <v>-7468720772.7128172</v>
      </c>
      <c r="S42">
        <f t="shared" ref="S42" si="188">R42/100000</f>
        <v>-74687.207727128174</v>
      </c>
      <c r="T42">
        <f t="shared" ref="T42" si="189">S42/1000</f>
        <v>-74.687207727128168</v>
      </c>
    </row>
    <row r="43" spans="1:20" x14ac:dyDescent="0.25">
      <c r="A43" s="5">
        <v>44550</v>
      </c>
      <c r="B43">
        <v>8.8029999999999997E-2</v>
      </c>
      <c r="C43">
        <v>0.1085</v>
      </c>
      <c r="D43">
        <v>8.4260000000000002E-2</v>
      </c>
      <c r="E43">
        <v>0.10449</v>
      </c>
      <c r="F43">
        <v>226016163.90000001</v>
      </c>
      <c r="G43">
        <v>0.10449</v>
      </c>
      <c r="L43" t="s">
        <v>7</v>
      </c>
      <c r="M43" t="s">
        <v>8</v>
      </c>
      <c r="N43" t="s">
        <v>8</v>
      </c>
      <c r="P43">
        <f t="shared" ref="P43" si="190">IF(C43=D43,0,((E43-D43)-(C43-E43))/(C43-D43))</f>
        <v>0.66914191419141911</v>
      </c>
      <c r="Q43">
        <f t="shared" ref="Q43" si="191">F43*P43</f>
        <v>151236888.55024752</v>
      </c>
      <c r="R43">
        <f t="shared" ref="R43" si="192">R44+Q43</f>
        <v>-7332500790.3359489</v>
      </c>
      <c r="S43">
        <f t="shared" ref="S43" si="193">R43/100000</f>
        <v>-73325.007903359496</v>
      </c>
      <c r="T43">
        <f t="shared" ref="T43" si="194">S43/1000</f>
        <v>-73.325007903359491</v>
      </c>
    </row>
    <row r="44" spans="1:20" x14ac:dyDescent="0.25">
      <c r="A44" s="5">
        <v>44549</v>
      </c>
      <c r="B44">
        <v>9.3520000000000006E-2</v>
      </c>
      <c r="C44">
        <v>9.5039999999999999E-2</v>
      </c>
      <c r="D44">
        <v>8.727E-2</v>
      </c>
      <c r="E44">
        <v>8.8029999999999997E-2</v>
      </c>
      <c r="F44">
        <v>85594588.099999994</v>
      </c>
      <c r="G44">
        <v>8.8029999999999997E-2</v>
      </c>
      <c r="L44" t="s">
        <v>7</v>
      </c>
      <c r="M44" t="s">
        <v>8</v>
      </c>
      <c r="N44" t="s">
        <v>8</v>
      </c>
      <c r="P44">
        <f t="shared" ref="P44" si="195">IF(C44=D44,0,((E44-D44)-(C44-E44))/(C44-D44))</f>
        <v>-0.80437580437580514</v>
      </c>
      <c r="Q44">
        <f t="shared" ref="Q44" si="196">F44*P44</f>
        <v>-68850215.653153211</v>
      </c>
      <c r="R44">
        <f t="shared" ref="R44" si="197">R45+Q44</f>
        <v>-7483737678.8861961</v>
      </c>
      <c r="S44">
        <f t="shared" ref="S44" si="198">R44/100000</f>
        <v>-74837.376788861962</v>
      </c>
      <c r="T44">
        <f t="shared" ref="T44" si="199">S44/1000</f>
        <v>-74.83737678886196</v>
      </c>
    </row>
    <row r="45" spans="1:20" x14ac:dyDescent="0.25">
      <c r="A45" s="5">
        <v>44548</v>
      </c>
      <c r="B45">
        <v>8.9889999999999998E-2</v>
      </c>
      <c r="C45">
        <v>0.10259</v>
      </c>
      <c r="D45">
        <v>8.9429999999999996E-2</v>
      </c>
      <c r="E45">
        <v>9.3490000000000004E-2</v>
      </c>
      <c r="F45">
        <v>172129238.90000001</v>
      </c>
      <c r="G45">
        <v>9.3490000000000004E-2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-0.38297872340425432</v>
      </c>
      <c r="Q45">
        <f t="shared" ref="Q45" si="201">F45*P45</f>
        <v>-65921836.174467914</v>
      </c>
      <c r="R45">
        <f t="shared" ref="R45" si="202">R46+Q45</f>
        <v>-7414887463.2330427</v>
      </c>
      <c r="S45">
        <f t="shared" ref="S45" si="203">R45/100000</f>
        <v>-74148.874632330422</v>
      </c>
      <c r="T45">
        <f t="shared" ref="T45" si="204">S45/1000</f>
        <v>-74.148874632330418</v>
      </c>
    </row>
    <row r="46" spans="1:20" x14ac:dyDescent="0.25">
      <c r="A46" s="5">
        <v>44547</v>
      </c>
      <c r="B46">
        <v>0.109</v>
      </c>
      <c r="C46">
        <v>0.1125</v>
      </c>
      <c r="D46">
        <v>8.6870000000000003E-2</v>
      </c>
      <c r="E46">
        <v>8.9959999999999998E-2</v>
      </c>
      <c r="F46">
        <v>387459314.30000001</v>
      </c>
      <c r="G46">
        <v>8.9959999999999998E-2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-0.75887631681623136</v>
      </c>
      <c r="Q46">
        <f t="shared" ref="Q46" si="206">F46*P46</f>
        <v>-294033697.3521266</v>
      </c>
      <c r="R46">
        <f t="shared" ref="R46" si="207">R47+Q46</f>
        <v>-7348965627.0585747</v>
      </c>
      <c r="S46">
        <f t="shared" ref="S46" si="208">R46/100000</f>
        <v>-73489.65627058575</v>
      </c>
      <c r="T46">
        <f t="shared" ref="T46" si="209">S46/1000</f>
        <v>-73.489656270585755</v>
      </c>
    </row>
    <row r="47" spans="1:20" x14ac:dyDescent="0.25">
      <c r="A47" s="5">
        <v>44546</v>
      </c>
      <c r="B47">
        <v>7.6600000000000001E-2</v>
      </c>
      <c r="C47">
        <v>0.115</v>
      </c>
      <c r="D47">
        <v>7.5600000000000001E-2</v>
      </c>
      <c r="E47">
        <v>0.10907</v>
      </c>
      <c r="F47">
        <v>774760172.79999995</v>
      </c>
      <c r="G47">
        <v>0.10907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0.69898477157360384</v>
      </c>
      <c r="Q47">
        <f t="shared" ref="Q47" si="211">F47*P47</f>
        <v>541545562.40893376</v>
      </c>
      <c r="R47">
        <f t="shared" ref="R47" si="212">R48+Q47</f>
        <v>-7054931929.7064486</v>
      </c>
      <c r="S47">
        <f t="shared" ref="S47" si="213">R47/100000</f>
        <v>-70549.319297064489</v>
      </c>
      <c r="T47">
        <f t="shared" ref="T47" si="214">S47/1000</f>
        <v>-70.549319297064486</v>
      </c>
    </row>
    <row r="48" spans="1:20" x14ac:dyDescent="0.25">
      <c r="A48" s="5">
        <v>44545</v>
      </c>
      <c r="B48">
        <v>7.7990000000000004E-2</v>
      </c>
      <c r="C48">
        <v>7.9960000000000003E-2</v>
      </c>
      <c r="D48">
        <v>6.8000000000000005E-2</v>
      </c>
      <c r="E48">
        <v>7.6759999999999995E-2</v>
      </c>
      <c r="F48">
        <v>220712220.59999999</v>
      </c>
      <c r="G48">
        <v>7.6759999999999995E-2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0.46488294314381123</v>
      </c>
      <c r="Q48">
        <f t="shared" ref="Q48" si="216">F48*P48</f>
        <v>102605346.70033412</v>
      </c>
      <c r="R48">
        <f t="shared" ref="R48" si="217">R49+Q48</f>
        <v>-7596477492.1153822</v>
      </c>
      <c r="S48">
        <f t="shared" ref="S48" si="218">R48/100000</f>
        <v>-75964.774921153818</v>
      </c>
      <c r="T48">
        <f t="shared" ref="T48" si="219">S48/1000</f>
        <v>-75.964774921153818</v>
      </c>
    </row>
    <row r="49" spans="1:20" x14ac:dyDescent="0.25">
      <c r="A49" s="5">
        <v>44544</v>
      </c>
      <c r="B49">
        <v>7.8909999999999994E-2</v>
      </c>
      <c r="C49">
        <v>9.1999999999999998E-2</v>
      </c>
      <c r="D49">
        <v>7.5310000000000002E-2</v>
      </c>
      <c r="E49">
        <v>7.7869999999999995E-2</v>
      </c>
      <c r="F49">
        <v>203798346.69999999</v>
      </c>
      <c r="G49">
        <v>7.7869999999999995E-2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-0.69322947872977914</v>
      </c>
      <c r="Q49">
        <f t="shared" ref="Q49" si="221">F49*P49</f>
        <v>-141279021.64883178</v>
      </c>
      <c r="R49">
        <f t="shared" ref="R49" si="222">R50+Q49</f>
        <v>-7699082838.8157167</v>
      </c>
      <c r="S49">
        <f t="shared" ref="S49" si="223">R49/100000</f>
        <v>-76990.82838815717</v>
      </c>
      <c r="T49">
        <f t="shared" ref="T49" si="224">S49/1000</f>
        <v>-76.990828388157169</v>
      </c>
    </row>
    <row r="50" spans="1:20" x14ac:dyDescent="0.25">
      <c r="A50" s="5">
        <v>44543</v>
      </c>
      <c r="B50">
        <v>9.7250000000000003E-2</v>
      </c>
      <c r="C50">
        <v>9.8860000000000003E-2</v>
      </c>
      <c r="D50">
        <v>7.7509999999999996E-2</v>
      </c>
      <c r="E50">
        <v>7.8789999999999999E-2</v>
      </c>
      <c r="F50">
        <v>193801028.90000001</v>
      </c>
      <c r="G50">
        <v>7.8789999999999999E-2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-0.88009367681498807</v>
      </c>
      <c r="Q50">
        <f t="shared" ref="Q50" si="226">F50*P50</f>
        <v>-170563060.09512877</v>
      </c>
      <c r="R50">
        <f t="shared" ref="R50" si="227">R51+Q50</f>
        <v>-7557803817.1668854</v>
      </c>
      <c r="S50">
        <f t="shared" ref="S50" si="228">R50/100000</f>
        <v>-75578.038171668857</v>
      </c>
      <c r="T50">
        <f t="shared" ref="T50" si="229">S50/1000</f>
        <v>-75.578038171668851</v>
      </c>
    </row>
    <row r="51" spans="1:20" x14ac:dyDescent="0.25">
      <c r="A51" s="5">
        <v>44542</v>
      </c>
      <c r="B51">
        <v>0.1202</v>
      </c>
      <c r="C51">
        <v>0.1202</v>
      </c>
      <c r="D51">
        <v>9.3829999999999997E-2</v>
      </c>
      <c r="E51">
        <v>9.7290000000000001E-2</v>
      </c>
      <c r="F51">
        <v>291808150.5</v>
      </c>
      <c r="G51">
        <v>9.7290000000000001E-2</v>
      </c>
      <c r="L51" t="s">
        <v>7</v>
      </c>
      <c r="M51" t="s">
        <v>7</v>
      </c>
      <c r="N51" t="s">
        <v>8</v>
      </c>
      <c r="P51">
        <f t="shared" ref="P51" si="230">IF(C51=D51,0,((E51-D51)-(C51-E51))/(C51-D51))</f>
        <v>-0.73758058399696591</v>
      </c>
      <c r="Q51">
        <f t="shared" ref="Q51" si="231">F51*P51</f>
        <v>-215232026.06086451</v>
      </c>
      <c r="R51">
        <f t="shared" ref="R51" si="232">R52+Q51</f>
        <v>-7387240757.0717564</v>
      </c>
      <c r="S51">
        <f t="shared" ref="S51" si="233">R51/100000</f>
        <v>-73872.407570717565</v>
      </c>
      <c r="T51">
        <f t="shared" ref="T51" si="234">S51/1000</f>
        <v>-73.87240757071757</v>
      </c>
    </row>
    <row r="52" spans="1:20" x14ac:dyDescent="0.25">
      <c r="A52" s="5">
        <v>44541</v>
      </c>
      <c r="B52">
        <v>0.10299999999999999</v>
      </c>
      <c r="C52">
        <v>0.109</v>
      </c>
      <c r="D52">
        <v>9.6699999999999994E-2</v>
      </c>
      <c r="E52">
        <v>0.10145</v>
      </c>
      <c r="F52">
        <v>49472702.399999999</v>
      </c>
      <c r="G52">
        <v>0.10145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-0.22764227642276388</v>
      </c>
      <c r="Q52">
        <f t="shared" ref="Q52" si="236">F52*P52</f>
        <v>-11262078.595121933</v>
      </c>
      <c r="R52">
        <f t="shared" ref="R52" si="237">R53+Q52</f>
        <v>-7172008731.0108919</v>
      </c>
      <c r="S52">
        <f t="shared" ref="S52" si="238">R52/100000</f>
        <v>-71720.087310108924</v>
      </c>
      <c r="T52">
        <f t="shared" ref="T52" si="239">S52/1000</f>
        <v>-71.720087310108923</v>
      </c>
    </row>
    <row r="53" spans="1:20" x14ac:dyDescent="0.25">
      <c r="A53" s="5">
        <v>44540</v>
      </c>
      <c r="B53">
        <v>8.0019999999999994E-2</v>
      </c>
      <c r="C53">
        <v>0.12</v>
      </c>
      <c r="D53">
        <v>7.9969999999999999E-2</v>
      </c>
      <c r="E53">
        <v>0.10299999999999999</v>
      </c>
      <c r="F53">
        <v>782801415.29999995</v>
      </c>
      <c r="G53">
        <v>0.10299999999999999</v>
      </c>
      <c r="L53" t="s">
        <v>8</v>
      </c>
      <c r="M53" t="s">
        <v>8</v>
      </c>
      <c r="N53" t="s">
        <v>8</v>
      </c>
      <c r="P53">
        <f t="shared" ref="P53" si="240">IF(C53=D53,0,((E53-D53)-(C53-E53))/(C53-D53))</f>
        <v>0.15063702223332487</v>
      </c>
      <c r="Q53">
        <f t="shared" ref="Q53" si="241">F53*P53</f>
        <v>117918874.20082426</v>
      </c>
      <c r="R53">
        <f t="shared" ref="R53" si="242">R54+Q53</f>
        <v>-7160746652.4157696</v>
      </c>
      <c r="S53">
        <f t="shared" ref="S53" si="243">R53/100000</f>
        <v>-71607.466524157702</v>
      </c>
      <c r="T53">
        <f t="shared" ref="T53" si="244">S53/1000</f>
        <v>-71.607466524157701</v>
      </c>
    </row>
    <row r="54" spans="1:20" x14ac:dyDescent="0.25">
      <c r="A54" s="5">
        <v>44539</v>
      </c>
      <c r="B54">
        <v>9.3630000000000005E-2</v>
      </c>
      <c r="C54">
        <v>0.11385000000000001</v>
      </c>
      <c r="D54">
        <v>7.8200000000000006E-2</v>
      </c>
      <c r="E54">
        <v>8.0180000000000001E-2</v>
      </c>
      <c r="F54">
        <v>1586340280</v>
      </c>
      <c r="G54">
        <v>8.0180000000000001E-2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-0.88892005610098201</v>
      </c>
      <c r="Q54">
        <f t="shared" ref="Q54" si="246">F54*P54</f>
        <v>-1410129690.6928475</v>
      </c>
      <c r="R54">
        <f t="shared" ref="R54" si="247">R55+Q54</f>
        <v>-7278665526.6165934</v>
      </c>
      <c r="S54">
        <f t="shared" ref="S54" si="248">R54/100000</f>
        <v>-72786.655266165937</v>
      </c>
      <c r="T54">
        <f t="shared" ref="T54" si="249">S54/1000</f>
        <v>-72.786655266165937</v>
      </c>
    </row>
    <row r="55" spans="1:20" x14ac:dyDescent="0.25">
      <c r="A55" s="5">
        <v>44538</v>
      </c>
      <c r="B55">
        <v>6.0729999999999999E-2</v>
      </c>
      <c r="C55">
        <v>0.11552</v>
      </c>
      <c r="D55">
        <v>5.8009999999999999E-2</v>
      </c>
      <c r="E55">
        <v>9.3649999999999997E-2</v>
      </c>
      <c r="F55">
        <v>705376421.29999995</v>
      </c>
      <c r="G55">
        <v>9.3649999999999997E-2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0.23943661971830982</v>
      </c>
      <c r="Q55">
        <f t="shared" ref="Q55" si="251">F55*P55</f>
        <v>168892945.94507039</v>
      </c>
      <c r="R55">
        <f t="shared" ref="R55" si="252">R56+Q55</f>
        <v>-5868535835.9237461</v>
      </c>
      <c r="S55">
        <f t="shared" ref="S55" si="253">R55/100000</f>
        <v>-58685.358359237463</v>
      </c>
      <c r="T55">
        <f t="shared" ref="T55" si="254">S55/1000</f>
        <v>-58.685358359237462</v>
      </c>
    </row>
    <row r="56" spans="1:20" x14ac:dyDescent="0.25">
      <c r="A56" s="5">
        <v>44537</v>
      </c>
      <c r="B56">
        <v>6.404E-2</v>
      </c>
      <c r="C56">
        <v>6.9000000000000006E-2</v>
      </c>
      <c r="D56">
        <v>6.0159999999999998E-2</v>
      </c>
      <c r="E56">
        <v>6.0810000000000003E-2</v>
      </c>
      <c r="F56">
        <v>135969624</v>
      </c>
      <c r="G56">
        <v>6.0810000000000003E-2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-0.85294117647058731</v>
      </c>
      <c r="Q56">
        <f t="shared" ref="Q56" si="256">F56*P56</f>
        <v>-115974091.05882341</v>
      </c>
      <c r="R56">
        <f t="shared" ref="R56" si="257">R57+Q56</f>
        <v>-6037428781.8688164</v>
      </c>
      <c r="S56">
        <f t="shared" ref="S56" si="258">R56/100000</f>
        <v>-60374.287818688164</v>
      </c>
      <c r="T56">
        <f t="shared" ref="T56" si="259">S56/1000</f>
        <v>-60.374287818688167</v>
      </c>
    </row>
    <row r="57" spans="1:20" x14ac:dyDescent="0.25">
      <c r="A57" s="5">
        <v>44536</v>
      </c>
      <c r="B57">
        <v>6.9010000000000002E-2</v>
      </c>
      <c r="C57">
        <v>6.93E-2</v>
      </c>
      <c r="D57">
        <v>5.4969999999999998E-2</v>
      </c>
      <c r="E57">
        <v>6.411E-2</v>
      </c>
      <c r="F57">
        <v>272949154.5</v>
      </c>
      <c r="G57">
        <v>6.411E-2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0.27564549895324503</v>
      </c>
      <c r="Q57">
        <f t="shared" ref="Q57" si="261">F57*P57</f>
        <v>75237205.881018862</v>
      </c>
      <c r="R57">
        <f t="shared" ref="R57" si="262">R58+Q57</f>
        <v>-5921454690.8099928</v>
      </c>
      <c r="S57">
        <f t="shared" ref="S57" si="263">R57/100000</f>
        <v>-59214.546908099925</v>
      </c>
      <c r="T57">
        <f t="shared" ref="T57" si="264">S57/1000</f>
        <v>-59.214546908099926</v>
      </c>
    </row>
    <row r="58" spans="1:20" x14ac:dyDescent="0.25">
      <c r="A58" s="5">
        <v>44535</v>
      </c>
      <c r="B58">
        <v>7.4380000000000002E-2</v>
      </c>
      <c r="C58">
        <v>9.5740000000000006E-2</v>
      </c>
      <c r="D58">
        <v>6.6360000000000002E-2</v>
      </c>
      <c r="E58">
        <v>6.9010000000000002E-2</v>
      </c>
      <c r="F58">
        <v>1137559649.8</v>
      </c>
      <c r="G58">
        <v>6.9010000000000002E-2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-0.81960517358747453</v>
      </c>
      <c r="Q58">
        <f t="shared" ref="Q58" si="266">F58*P58</f>
        <v>-932349774.24043572</v>
      </c>
      <c r="R58">
        <f t="shared" ref="R58" si="267">R59+Q58</f>
        <v>-5996691896.6910114</v>
      </c>
      <c r="S58">
        <f t="shared" ref="S58" si="268">R58/100000</f>
        <v>-59966.918966910118</v>
      </c>
      <c r="T58">
        <f t="shared" ref="T58" si="269">S58/1000</f>
        <v>-59.966918966910114</v>
      </c>
    </row>
    <row r="59" spans="1:20" x14ac:dyDescent="0.25">
      <c r="A59" s="5">
        <v>44534</v>
      </c>
      <c r="B59">
        <v>6.5070000000000003E-2</v>
      </c>
      <c r="C59">
        <v>8.5400000000000004E-2</v>
      </c>
      <c r="D59">
        <v>5.2549999999999999E-2</v>
      </c>
      <c r="E59">
        <v>7.4499999999999997E-2</v>
      </c>
      <c r="F59">
        <v>749832522.29999995</v>
      </c>
      <c r="G59">
        <v>7.4499999999999997E-2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0.33637747336377438</v>
      </c>
      <c r="Q59">
        <f t="shared" ref="Q59" si="271">F59*P59</f>
        <v>252226769.29725999</v>
      </c>
      <c r="R59">
        <f t="shared" ref="R59" si="272">R60+Q59</f>
        <v>-5064342122.4505758</v>
      </c>
      <c r="S59">
        <f t="shared" ref="S59" si="273">R59/100000</f>
        <v>-50643.421224505757</v>
      </c>
      <c r="T59">
        <f t="shared" ref="T59" si="274">S59/1000</f>
        <v>-50.643421224505758</v>
      </c>
    </row>
    <row r="60" spans="1:20" x14ac:dyDescent="0.25">
      <c r="A60" s="5">
        <v>44533</v>
      </c>
      <c r="B60">
        <v>6.1240000000000003E-2</v>
      </c>
      <c r="C60">
        <v>8.7999999999999995E-2</v>
      </c>
      <c r="D60">
        <v>5.935E-2</v>
      </c>
      <c r="E60">
        <v>6.5100000000000005E-2</v>
      </c>
      <c r="F60">
        <v>465371108</v>
      </c>
      <c r="G60">
        <v>6.5100000000000005E-2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-0.59860383944153539</v>
      </c>
      <c r="Q60">
        <f t="shared" ref="Q60" si="276">F60*P60</f>
        <v>-278572932.01396143</v>
      </c>
      <c r="R60">
        <f t="shared" ref="R60" si="277">R61+Q60</f>
        <v>-5316568891.7478361</v>
      </c>
      <c r="S60">
        <f t="shared" ref="S60" si="278">R60/100000</f>
        <v>-53165.688917478365</v>
      </c>
      <c r="T60">
        <f t="shared" ref="T60" si="279">S60/1000</f>
        <v>-53.165688917478363</v>
      </c>
    </row>
    <row r="61" spans="1:20" x14ac:dyDescent="0.25">
      <c r="A61" s="5">
        <v>44532</v>
      </c>
      <c r="B61">
        <v>6.5310000000000007E-2</v>
      </c>
      <c r="C61">
        <v>6.6519999999999996E-2</v>
      </c>
      <c r="D61">
        <v>5.9959999999999999E-2</v>
      </c>
      <c r="E61">
        <v>6.1159999999999999E-2</v>
      </c>
      <c r="F61">
        <v>52524481.899999999</v>
      </c>
      <c r="G61">
        <v>6.1159999999999999E-2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-0.63414634146341453</v>
      </c>
      <c r="Q61">
        <f t="shared" ref="Q61" si="281">F61*P61</f>
        <v>-33308208.034146335</v>
      </c>
      <c r="R61">
        <f t="shared" ref="R61" si="282">R62+Q61</f>
        <v>-5037995959.7338743</v>
      </c>
      <c r="S61">
        <f t="shared" ref="S61" si="283">R61/100000</f>
        <v>-50379.95959733874</v>
      </c>
      <c r="T61">
        <f t="shared" ref="T61" si="284">S61/1000</f>
        <v>-50.37995959733874</v>
      </c>
    </row>
    <row r="62" spans="1:20" x14ac:dyDescent="0.25">
      <c r="A62" s="5">
        <v>44531</v>
      </c>
      <c r="B62">
        <v>5.9819999999999998E-2</v>
      </c>
      <c r="C62">
        <v>7.3770000000000002E-2</v>
      </c>
      <c r="D62">
        <v>5.9389999999999998E-2</v>
      </c>
      <c r="E62">
        <v>6.54E-2</v>
      </c>
      <c r="F62">
        <v>201155498</v>
      </c>
      <c r="G62">
        <v>6.54E-2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-0.16411682892906818</v>
      </c>
      <c r="Q62">
        <f t="shared" ref="Q62" si="286">F62*P62</f>
        <v>-33013002.453407515</v>
      </c>
      <c r="R62">
        <f t="shared" ref="R62" si="287">R63+Q62</f>
        <v>-5004687751.699728</v>
      </c>
      <c r="S62">
        <f t="shared" ref="S62" si="288">R62/100000</f>
        <v>-50046.87751699728</v>
      </c>
      <c r="T62">
        <f t="shared" ref="T62" si="289">S62/1000</f>
        <v>-50.046877516997277</v>
      </c>
    </row>
    <row r="63" spans="1:20" x14ac:dyDescent="0.25">
      <c r="A63" s="5">
        <v>44530</v>
      </c>
      <c r="B63">
        <v>5.8000000000000003E-2</v>
      </c>
      <c r="C63">
        <v>6.0019999999999997E-2</v>
      </c>
      <c r="D63">
        <v>5.6259999999999998E-2</v>
      </c>
      <c r="E63">
        <v>5.9819999999999998E-2</v>
      </c>
      <c r="F63">
        <v>26795746.399999999</v>
      </c>
      <c r="G63">
        <v>5.9819999999999998E-2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0.89361702127659637</v>
      </c>
      <c r="Q63">
        <f t="shared" ref="Q63" si="291">F63*P63</f>
        <v>23945135.080851078</v>
      </c>
      <c r="R63">
        <f t="shared" ref="R63" si="292">R64+Q63</f>
        <v>-4971674749.2463207</v>
      </c>
      <c r="S63">
        <f t="shared" ref="S63" si="293">R63/100000</f>
        <v>-49716.747492463204</v>
      </c>
      <c r="T63">
        <f t="shared" ref="T63" si="294">S63/1000</f>
        <v>-49.716747492463206</v>
      </c>
    </row>
    <row r="64" spans="1:20" x14ac:dyDescent="0.25">
      <c r="A64" s="5">
        <v>44529</v>
      </c>
      <c r="B64">
        <v>6.0609999999999997E-2</v>
      </c>
      <c r="C64">
        <v>6.0909999999999999E-2</v>
      </c>
      <c r="D64">
        <v>5.6399999999999999E-2</v>
      </c>
      <c r="E64">
        <v>5.8000000000000003E-2</v>
      </c>
      <c r="F64">
        <v>54218955.299999997</v>
      </c>
      <c r="G64">
        <v>5.8000000000000003E-2</v>
      </c>
      <c r="L64" t="s">
        <v>7</v>
      </c>
      <c r="M64" t="s">
        <v>8</v>
      </c>
      <c r="N64" t="s">
        <v>7</v>
      </c>
      <c r="P64">
        <f t="shared" ref="P64" si="295">IF(C64=D64,0,((E64-D64)-(C64-E64))/(C64-D64))</f>
        <v>-0.29046563192904473</v>
      </c>
      <c r="Q64">
        <f t="shared" ref="Q64" si="296">F64*P64</f>
        <v>-15748743.113747127</v>
      </c>
      <c r="R64">
        <f t="shared" ref="R64" si="297">R65+Q64</f>
        <v>-4995619884.3271723</v>
      </c>
      <c r="S64">
        <f t="shared" ref="S64" si="298">R64/100000</f>
        <v>-49956.198843271726</v>
      </c>
      <c r="T64">
        <f t="shared" ref="T64" si="299">S64/1000</f>
        <v>-49.956198843271729</v>
      </c>
    </row>
    <row r="65" spans="1:20" x14ac:dyDescent="0.25">
      <c r="A65" s="5">
        <v>44528</v>
      </c>
      <c r="B65">
        <v>5.5800000000000002E-2</v>
      </c>
      <c r="C65">
        <v>6.4799999999999996E-2</v>
      </c>
      <c r="D65">
        <v>5.5E-2</v>
      </c>
      <c r="E65">
        <v>6.0589999999999998E-2</v>
      </c>
      <c r="F65">
        <v>121154288.90000001</v>
      </c>
      <c r="G65">
        <v>6.0589999999999998E-2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0.14081632653061221</v>
      </c>
      <c r="Q65">
        <f t="shared" ref="Q65" si="301">F65*P65</f>
        <v>17060501.906326529</v>
      </c>
      <c r="R65">
        <f t="shared" ref="R65" si="302">R66+Q65</f>
        <v>-4979871141.2134247</v>
      </c>
      <c r="S65">
        <f t="shared" ref="S65" si="303">R65/100000</f>
        <v>-49798.711412134246</v>
      </c>
      <c r="T65">
        <f t="shared" ref="T65" si="304">S65/1000</f>
        <v>-49.798711412134246</v>
      </c>
    </row>
    <row r="66" spans="1:20" x14ac:dyDescent="0.25">
      <c r="A66" s="5">
        <v>44527</v>
      </c>
      <c r="B66">
        <v>5.6090000000000001E-2</v>
      </c>
      <c r="C66">
        <v>0.06</v>
      </c>
      <c r="D66">
        <v>5.5289999999999999E-2</v>
      </c>
      <c r="E66">
        <v>5.5800000000000002E-2</v>
      </c>
      <c r="F66">
        <v>37581425.200000003</v>
      </c>
      <c r="G66">
        <v>5.5800000000000002E-2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-0.78343949044585837</v>
      </c>
      <c r="Q66">
        <f t="shared" ref="Q66" si="306">F66*P66</f>
        <v>-29442772.608917143</v>
      </c>
      <c r="R66">
        <f t="shared" ref="R66" si="307">R67+Q66</f>
        <v>-4996931643.119751</v>
      </c>
      <c r="S66">
        <f t="shared" ref="S66" si="308">R66/100000</f>
        <v>-49969.316431197512</v>
      </c>
      <c r="T66">
        <f t="shared" ref="T66" si="309">S66/1000</f>
        <v>-49.969316431197512</v>
      </c>
    </row>
    <row r="67" spans="1:20" x14ac:dyDescent="0.25">
      <c r="A67" s="5">
        <v>44526</v>
      </c>
      <c r="B67">
        <v>6.0839999999999998E-2</v>
      </c>
      <c r="C67">
        <v>6.0999999999999999E-2</v>
      </c>
      <c r="D67">
        <v>5.1830000000000001E-2</v>
      </c>
      <c r="E67">
        <v>5.6090000000000001E-2</v>
      </c>
      <c r="F67">
        <v>63058010.799999997</v>
      </c>
      <c r="G67">
        <v>5.6090000000000001E-2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-7.0883315158124099E-2</v>
      </c>
      <c r="Q67">
        <f t="shared" ref="Q67" si="311">F67*P67</f>
        <v>-4469760.8527807929</v>
      </c>
      <c r="R67">
        <f t="shared" ref="R67" si="312">R68+Q67</f>
        <v>-4967488870.5108337</v>
      </c>
      <c r="S67">
        <f t="shared" ref="S67" si="313">R67/100000</f>
        <v>-49674.888705108337</v>
      </c>
      <c r="T67">
        <f t="shared" ref="T67" si="314">S67/1000</f>
        <v>-49.674888705108337</v>
      </c>
    </row>
    <row r="68" spans="1:20" x14ac:dyDescent="0.25">
      <c r="A68" s="5">
        <v>44525</v>
      </c>
      <c r="B68">
        <v>6.318E-2</v>
      </c>
      <c r="C68">
        <v>6.3200000000000006E-2</v>
      </c>
      <c r="D68">
        <v>5.8840000000000003E-2</v>
      </c>
      <c r="E68">
        <v>6.0999999999999999E-2</v>
      </c>
      <c r="F68">
        <v>49268113.200000003</v>
      </c>
      <c r="G68">
        <v>6.0999999999999999E-2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-9.1743119266083084E-3</v>
      </c>
      <c r="Q68">
        <f t="shared" ref="Q68" si="316">F68*P68</f>
        <v>-452001.03853224823</v>
      </c>
      <c r="R68">
        <f t="shared" ref="R68" si="317">R69+Q68</f>
        <v>-4963019109.6580534</v>
      </c>
      <c r="S68">
        <f t="shared" ref="S68" si="318">R68/100000</f>
        <v>-49630.191096580536</v>
      </c>
      <c r="T68">
        <f t="shared" ref="T68" si="319">S68/1000</f>
        <v>-49.630191096580539</v>
      </c>
    </row>
    <row r="69" spans="1:20" x14ac:dyDescent="0.25">
      <c r="A69" s="5">
        <v>44524</v>
      </c>
      <c r="B69">
        <v>6.3469999999999999E-2</v>
      </c>
      <c r="C69">
        <v>6.9930000000000006E-2</v>
      </c>
      <c r="D69">
        <v>6.1830000000000003E-2</v>
      </c>
      <c r="E69">
        <v>6.6869999999999999E-2</v>
      </c>
      <c r="F69">
        <v>30573752.699999999</v>
      </c>
      <c r="G69">
        <v>6.6869999999999999E-2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0.24444444444444297</v>
      </c>
      <c r="Q69">
        <f t="shared" ref="Q69" si="321">F69*P69</f>
        <v>7473583.9933332875</v>
      </c>
      <c r="R69">
        <f t="shared" ref="R69" si="322">R70+Q69</f>
        <v>-4962567108.6195211</v>
      </c>
      <c r="S69">
        <f t="shared" ref="S69" si="323">R69/100000</f>
        <v>-49625.671086195209</v>
      </c>
      <c r="T69">
        <f t="shared" ref="T69" si="324">S69/1000</f>
        <v>-49.625671086195212</v>
      </c>
    </row>
    <row r="70" spans="1:20" x14ac:dyDescent="0.25">
      <c r="A70" s="5">
        <v>44523</v>
      </c>
      <c r="B70">
        <v>5.9290000000000002E-2</v>
      </c>
      <c r="C70">
        <v>6.8000000000000005E-2</v>
      </c>
      <c r="D70">
        <v>5.57E-2</v>
      </c>
      <c r="E70">
        <v>6.3469999999999999E-2</v>
      </c>
      <c r="F70">
        <v>112000116.5</v>
      </c>
      <c r="G70">
        <v>6.3469999999999999E-2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0.26341463414634075</v>
      </c>
      <c r="Q70">
        <f t="shared" ref="Q70" si="326">F70*P70</f>
        <v>29502469.712195043</v>
      </c>
      <c r="R70">
        <f t="shared" ref="R70" si="327">R71+Q70</f>
        <v>-4970040692.612854</v>
      </c>
      <c r="S70">
        <f t="shared" ref="S70" si="328">R70/100000</f>
        <v>-49700.40692612854</v>
      </c>
      <c r="T70">
        <f t="shared" ref="T70" si="329">S70/1000</f>
        <v>-49.700406926128544</v>
      </c>
    </row>
    <row r="71" spans="1:20" x14ac:dyDescent="0.25">
      <c r="A71" s="5">
        <v>44522</v>
      </c>
      <c r="B71">
        <v>6.1800000000000001E-2</v>
      </c>
      <c r="C71">
        <v>6.7199999999999996E-2</v>
      </c>
      <c r="D71">
        <v>5.7000000000000002E-2</v>
      </c>
      <c r="E71">
        <v>5.9330000000000001E-2</v>
      </c>
      <c r="F71">
        <v>101657698.90000001</v>
      </c>
      <c r="G71">
        <v>5.9330000000000001E-2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-0.54313725490196074</v>
      </c>
      <c r="Q71">
        <f t="shared" ref="Q71" si="331">F71*P71</f>
        <v>-55214083.52019608</v>
      </c>
      <c r="R71">
        <f t="shared" ref="R71" si="332">R72+Q71</f>
        <v>-4999543162.3250494</v>
      </c>
      <c r="S71">
        <f t="shared" ref="S71" si="333">R71/100000</f>
        <v>-49995.431623250493</v>
      </c>
      <c r="T71">
        <f t="shared" ref="T71" si="334">S71/1000</f>
        <v>-49.995431623250497</v>
      </c>
    </row>
    <row r="72" spans="1:20" x14ac:dyDescent="0.25">
      <c r="A72" s="5">
        <v>44521</v>
      </c>
      <c r="B72">
        <v>6.0429999999999998E-2</v>
      </c>
      <c r="C72">
        <v>7.7719999999999997E-2</v>
      </c>
      <c r="D72">
        <v>5.7140000000000003E-2</v>
      </c>
      <c r="E72">
        <v>6.1769999999999999E-2</v>
      </c>
      <c r="F72">
        <v>371220739.39999998</v>
      </c>
      <c r="G72">
        <v>6.1769999999999999E-2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-0.55004859086491775</v>
      </c>
      <c r="Q72">
        <f t="shared" ref="Q72" si="336">F72*P72</f>
        <v>-204189444.60680285</v>
      </c>
      <c r="R72">
        <f t="shared" ref="R72" si="337">R73+Q72</f>
        <v>-4944329078.8048534</v>
      </c>
      <c r="S72">
        <f t="shared" ref="S72" si="338">R72/100000</f>
        <v>-49443.290788048536</v>
      </c>
      <c r="T72">
        <f t="shared" ref="T72" si="339">S72/1000</f>
        <v>-49.443290788048536</v>
      </c>
    </row>
    <row r="73" spans="1:20" x14ac:dyDescent="0.25">
      <c r="A73" s="5">
        <v>44520</v>
      </c>
      <c r="B73">
        <v>5.2449999999999997E-2</v>
      </c>
      <c r="C73">
        <v>7.0000000000000007E-2</v>
      </c>
      <c r="D73">
        <v>5.2449999999999997E-2</v>
      </c>
      <c r="E73">
        <v>6.0440000000000001E-2</v>
      </c>
      <c r="F73">
        <v>508243496.30000001</v>
      </c>
      <c r="G73">
        <v>6.0440000000000001E-2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-8.9458689458689525E-2</v>
      </c>
      <c r="Q73">
        <f t="shared" ref="Q73" si="341">F73*P73</f>
        <v>-45466797.104900323</v>
      </c>
      <c r="R73">
        <f t="shared" ref="R73" si="342">R74+Q73</f>
        <v>-4740139634.1980505</v>
      </c>
      <c r="S73">
        <f t="shared" ref="S73" si="343">R73/100000</f>
        <v>-47401.396341980508</v>
      </c>
      <c r="T73">
        <f t="shared" ref="T73" si="344">S73/1000</f>
        <v>-47.401396341980508</v>
      </c>
    </row>
    <row r="74" spans="1:20" x14ac:dyDescent="0.25">
      <c r="A74" s="5">
        <v>44519</v>
      </c>
      <c r="B74">
        <v>4.9570000000000003E-2</v>
      </c>
      <c r="C74">
        <v>5.4739999999999997E-2</v>
      </c>
      <c r="D74">
        <v>4.888E-2</v>
      </c>
      <c r="E74">
        <v>5.2449999999999997E-2</v>
      </c>
      <c r="F74">
        <v>41781315.700000003</v>
      </c>
      <c r="G74">
        <v>5.2449999999999997E-2</v>
      </c>
      <c r="L74" t="s">
        <v>7</v>
      </c>
      <c r="M74" t="s">
        <v>8</v>
      </c>
      <c r="N74" t="s">
        <v>8</v>
      </c>
      <c r="P74">
        <f t="shared" ref="P74" si="345">IF(C74=D74,0,((E74-D74)-(C74-E74))/(C74-D74))</f>
        <v>0.21843003412969234</v>
      </c>
      <c r="Q74">
        <f t="shared" ref="Q74" si="346">F74*P74</f>
        <v>9126294.2143344507</v>
      </c>
      <c r="R74">
        <f t="shared" ref="R74" si="347">R75+Q74</f>
        <v>-4694672837.0931501</v>
      </c>
      <c r="S74">
        <f t="shared" ref="S74" si="348">R74/100000</f>
        <v>-46946.728370931502</v>
      </c>
      <c r="T74">
        <f t="shared" ref="T74" si="349">S74/1000</f>
        <v>-46.946728370931503</v>
      </c>
    </row>
    <row r="75" spans="1:20" x14ac:dyDescent="0.25">
      <c r="A75" s="5">
        <v>44518</v>
      </c>
      <c r="B75">
        <v>5.4080000000000003E-2</v>
      </c>
      <c r="C75">
        <v>5.8749999999999997E-2</v>
      </c>
      <c r="D75">
        <v>4.8869999999999997E-2</v>
      </c>
      <c r="E75">
        <v>4.956E-2</v>
      </c>
      <c r="F75">
        <v>155105530.59999999</v>
      </c>
      <c r="G75">
        <v>4.956E-2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-0.86032388663967552</v>
      </c>
      <c r="Q75">
        <f t="shared" ref="Q75" si="351">F75*P75</f>
        <v>-133440992.92510112</v>
      </c>
      <c r="R75">
        <f t="shared" ref="R75" si="352">R76+Q75</f>
        <v>-4703799131.3074846</v>
      </c>
      <c r="S75">
        <f t="shared" ref="S75" si="353">R75/100000</f>
        <v>-47037.991313074846</v>
      </c>
      <c r="T75">
        <f t="shared" ref="T75" si="354">S75/1000</f>
        <v>-47.037991313074848</v>
      </c>
    </row>
    <row r="76" spans="1:20" x14ac:dyDescent="0.25">
      <c r="A76" s="5">
        <v>44517</v>
      </c>
      <c r="B76">
        <v>5.4010000000000002E-2</v>
      </c>
      <c r="C76">
        <v>5.7000000000000002E-2</v>
      </c>
      <c r="D76">
        <v>5.0119999999999998E-2</v>
      </c>
      <c r="E76">
        <v>5.4089999999999999E-2</v>
      </c>
      <c r="F76">
        <v>98725195.799999997</v>
      </c>
      <c r="G76">
        <v>5.4089999999999999E-2</v>
      </c>
      <c r="L76" t="s">
        <v>8</v>
      </c>
      <c r="M76" t="s">
        <v>8</v>
      </c>
      <c r="N76" t="s">
        <v>8</v>
      </c>
      <c r="P76">
        <f t="shared" ref="P76" si="355">IF(C76=D76,0,((E76-D76)-(C76-E76))/(C76-D76))</f>
        <v>0.15406976744186016</v>
      </c>
      <c r="Q76">
        <f t="shared" ref="Q76" si="356">F76*P76</f>
        <v>15210567.957558108</v>
      </c>
      <c r="R76">
        <f t="shared" ref="R76" si="357">R77+Q76</f>
        <v>-4570358138.3823833</v>
      </c>
      <c r="S76">
        <f t="shared" ref="S76" si="358">R76/100000</f>
        <v>-45703.581383823832</v>
      </c>
      <c r="T76">
        <f t="shared" ref="T76" si="359">S76/1000</f>
        <v>-45.703581383823831</v>
      </c>
    </row>
    <row r="77" spans="1:20" x14ac:dyDescent="0.25">
      <c r="A77" s="5">
        <v>44516</v>
      </c>
      <c r="B77">
        <v>5.1920000000000001E-2</v>
      </c>
      <c r="C77">
        <v>5.7770000000000002E-2</v>
      </c>
      <c r="D77">
        <v>4.718E-2</v>
      </c>
      <c r="E77">
        <v>5.3949999999999998E-2</v>
      </c>
      <c r="F77">
        <v>256309278.69999999</v>
      </c>
      <c r="G77">
        <v>5.3949999999999998E-2</v>
      </c>
      <c r="L77" t="s">
        <v>7</v>
      </c>
      <c r="M77" t="s">
        <v>8</v>
      </c>
      <c r="N77" t="s">
        <v>8</v>
      </c>
      <c r="P77">
        <f t="shared" ref="P77" si="360">IF(C77=D77,0,((E77-D77)-(C77-E77))/(C77-D77))</f>
        <v>0.27856468366383319</v>
      </c>
      <c r="Q77">
        <f t="shared" ref="Q77" si="361">F77*P77</f>
        <v>71398713.141170755</v>
      </c>
      <c r="R77">
        <f t="shared" ref="R77" si="362">R78+Q77</f>
        <v>-4585568706.339941</v>
      </c>
      <c r="S77">
        <f t="shared" ref="S77" si="363">R77/100000</f>
        <v>-45855.687063399411</v>
      </c>
      <c r="T77">
        <f t="shared" ref="T77" si="364">S77/1000</f>
        <v>-45.855687063399408</v>
      </c>
    </row>
    <row r="78" spans="1:20" x14ac:dyDescent="0.25">
      <c r="A78" s="5">
        <v>44515</v>
      </c>
      <c r="B78">
        <v>4.9869999999999998E-2</v>
      </c>
      <c r="C78">
        <v>5.3310000000000003E-2</v>
      </c>
      <c r="D78">
        <v>4.8710000000000003E-2</v>
      </c>
      <c r="E78">
        <v>5.1839999999999997E-2</v>
      </c>
      <c r="F78">
        <v>81322417.799999997</v>
      </c>
      <c r="G78">
        <v>5.1839999999999997E-2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0.36086956521738867</v>
      </c>
      <c r="Q78">
        <f t="shared" ref="Q78" si="366">F78*P78</f>
        <v>29346785.55391283</v>
      </c>
      <c r="R78">
        <f t="shared" ref="R78" si="367">R79+Q78</f>
        <v>-4656967419.4811115</v>
      </c>
      <c r="S78">
        <f t="shared" ref="S78" si="368">R78/100000</f>
        <v>-46569.674194811116</v>
      </c>
      <c r="T78">
        <f t="shared" ref="T78" si="369">S78/1000</f>
        <v>-46.569674194811114</v>
      </c>
    </row>
    <row r="79" spans="1:20" x14ac:dyDescent="0.25">
      <c r="A79" s="5">
        <v>44514</v>
      </c>
      <c r="B79">
        <v>4.6600000000000003E-2</v>
      </c>
      <c r="C79">
        <v>5.4080000000000003E-2</v>
      </c>
      <c r="D79">
        <v>4.6120000000000001E-2</v>
      </c>
      <c r="E79">
        <v>4.9829999999999999E-2</v>
      </c>
      <c r="F79">
        <v>340657147.19999999</v>
      </c>
      <c r="G79">
        <v>4.9829999999999999E-2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-6.7839195979900208E-2</v>
      </c>
      <c r="Q79">
        <f t="shared" ref="Q79" si="371">F79*P79</f>
        <v>-23109906.970854513</v>
      </c>
      <c r="R79">
        <f t="shared" ref="R79" si="372">R80+Q79</f>
        <v>-4686314205.0350246</v>
      </c>
      <c r="S79">
        <f t="shared" ref="S79" si="373">R79/100000</f>
        <v>-46863.142050350245</v>
      </c>
      <c r="T79">
        <f t="shared" ref="T79" si="374">S79/1000</f>
        <v>-46.863142050350248</v>
      </c>
    </row>
    <row r="80" spans="1:20" x14ac:dyDescent="0.25">
      <c r="A80" s="5">
        <v>44513</v>
      </c>
      <c r="B80">
        <v>4.7550000000000002E-2</v>
      </c>
      <c r="C80">
        <v>4.793E-2</v>
      </c>
      <c r="D80">
        <v>4.6260000000000003E-2</v>
      </c>
      <c r="E80">
        <v>4.6719999999999998E-2</v>
      </c>
      <c r="F80">
        <v>17944600.899999999</v>
      </c>
      <c r="G80">
        <v>4.6719999999999998E-2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-0.44910179640719078</v>
      </c>
      <c r="Q80">
        <f t="shared" ref="Q80" si="376">F80*P80</f>
        <v>-8058952.5000000922</v>
      </c>
      <c r="R80">
        <f t="shared" ref="R80" si="377">R81+Q80</f>
        <v>-4663204298.0641699</v>
      </c>
      <c r="S80">
        <f t="shared" ref="S80" si="378">R80/100000</f>
        <v>-46632.042980641701</v>
      </c>
      <c r="T80">
        <f t="shared" ref="T80" si="379">S80/1000</f>
        <v>-46.6320429806417</v>
      </c>
    </row>
    <row r="81" spans="1:20" x14ac:dyDescent="0.25">
      <c r="A81" s="5">
        <v>44512</v>
      </c>
      <c r="B81">
        <v>4.546E-2</v>
      </c>
      <c r="C81">
        <v>0.05</v>
      </c>
      <c r="D81">
        <v>4.4049999999999999E-2</v>
      </c>
      <c r="E81">
        <v>4.761E-2</v>
      </c>
      <c r="F81">
        <v>52784798</v>
      </c>
      <c r="G81">
        <v>4.761E-2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0.19663865546218431</v>
      </c>
      <c r="Q81">
        <f t="shared" ref="Q81" si="381">F81*P81</f>
        <v>10379531.707562996</v>
      </c>
      <c r="R81">
        <f t="shared" ref="R81" si="382">R82+Q81</f>
        <v>-4655145345.5641699</v>
      </c>
      <c r="S81">
        <f t="shared" ref="S81" si="383">R81/100000</f>
        <v>-46551.453455641698</v>
      </c>
      <c r="T81">
        <f t="shared" ref="T81" si="384">S81/1000</f>
        <v>-46.551453455641699</v>
      </c>
    </row>
    <row r="82" spans="1:20" x14ac:dyDescent="0.25">
      <c r="A82" s="5">
        <v>44511</v>
      </c>
      <c r="B82">
        <v>4.5220000000000003E-2</v>
      </c>
      <c r="C82">
        <v>4.7410000000000001E-2</v>
      </c>
      <c r="D82">
        <v>4.478E-2</v>
      </c>
      <c r="E82">
        <v>4.546E-2</v>
      </c>
      <c r="F82">
        <v>24824394.5</v>
      </c>
      <c r="G82">
        <v>4.546E-2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-0.4828897338403042</v>
      </c>
      <c r="Q82">
        <f t="shared" ref="Q82" si="386">F82*P82</f>
        <v>-11987445.252851712</v>
      </c>
      <c r="R82">
        <f t="shared" ref="R82" si="387">R83+Q82</f>
        <v>-4665524877.2717333</v>
      </c>
      <c r="S82">
        <f t="shared" ref="S82" si="388">R82/100000</f>
        <v>-46655.248772717336</v>
      </c>
      <c r="T82">
        <f t="shared" ref="T82" si="389">S82/1000</f>
        <v>-46.655248772717336</v>
      </c>
    </row>
    <row r="83" spans="1:20" x14ac:dyDescent="0.25">
      <c r="A83" s="5">
        <v>44510</v>
      </c>
      <c r="B83">
        <v>4.8680000000000001E-2</v>
      </c>
      <c r="C83">
        <v>5.1999999999999998E-2</v>
      </c>
      <c r="D83">
        <v>4.301E-2</v>
      </c>
      <c r="E83">
        <v>4.521E-2</v>
      </c>
      <c r="F83">
        <v>61226266.899999999</v>
      </c>
      <c r="G83">
        <v>4.521E-2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-0.5105672969966627</v>
      </c>
      <c r="Q83">
        <f t="shared" ref="Q83" si="391">F83*P83</f>
        <v>-31260129.596329238</v>
      </c>
      <c r="R83">
        <f t="shared" ref="R83" si="392">R84+Q83</f>
        <v>-4653537432.0188818</v>
      </c>
      <c r="S83">
        <f t="shared" ref="S83" si="393">R83/100000</f>
        <v>-46535.374320188821</v>
      </c>
      <c r="T83">
        <f t="shared" ref="T83" si="394">S83/1000</f>
        <v>-46.535374320188822</v>
      </c>
    </row>
    <row r="84" spans="1:20" x14ac:dyDescent="0.25">
      <c r="A84" s="5">
        <v>44509</v>
      </c>
      <c r="B84">
        <v>4.9829999999999999E-2</v>
      </c>
      <c r="C84">
        <v>4.9840000000000002E-2</v>
      </c>
      <c r="D84">
        <v>4.7640000000000002E-2</v>
      </c>
      <c r="E84">
        <v>4.8680000000000001E-2</v>
      </c>
      <c r="F84">
        <v>47380338</v>
      </c>
      <c r="G84">
        <v>4.8680000000000001E-2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-5.4545454545455466E-2</v>
      </c>
      <c r="Q84">
        <f t="shared" ref="Q84" si="396">F84*P84</f>
        <v>-2584382.0727273165</v>
      </c>
      <c r="R84">
        <f t="shared" ref="R84" si="397">R85+Q84</f>
        <v>-4622277302.4225521</v>
      </c>
      <c r="S84">
        <f t="shared" ref="S84" si="398">R84/100000</f>
        <v>-46222.77302422552</v>
      </c>
      <c r="T84">
        <f t="shared" ref="T84" si="399">S84/1000</f>
        <v>-46.222773024225518</v>
      </c>
    </row>
    <row r="85" spans="1:20" x14ac:dyDescent="0.25">
      <c r="A85" s="5">
        <v>44508</v>
      </c>
      <c r="B85">
        <v>5.2609999999999997E-2</v>
      </c>
      <c r="C85">
        <v>5.2699999999999997E-2</v>
      </c>
      <c r="D85">
        <v>4.8520000000000001E-2</v>
      </c>
      <c r="E85">
        <v>4.9840000000000002E-2</v>
      </c>
      <c r="F85">
        <v>54964690.399999999</v>
      </c>
      <c r="G85">
        <v>4.9840000000000002E-2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-0.36842105263157754</v>
      </c>
      <c r="Q85">
        <f t="shared" ref="Q85" si="401">F85*P85</f>
        <v>-20250149.094736762</v>
      </c>
      <c r="R85">
        <f t="shared" ref="R85" si="402">R86+Q85</f>
        <v>-4619692920.3498249</v>
      </c>
      <c r="S85">
        <f t="shared" ref="S85" si="403">R85/100000</f>
        <v>-46196.92920349825</v>
      </c>
      <c r="T85">
        <f t="shared" ref="T85" si="404">S85/1000</f>
        <v>-46.19692920349825</v>
      </c>
    </row>
    <row r="86" spans="1:20" x14ac:dyDescent="0.25">
      <c r="A86" s="5">
        <v>44507</v>
      </c>
      <c r="B86">
        <v>5.1339999999999997E-2</v>
      </c>
      <c r="C86">
        <v>5.3999999999999999E-2</v>
      </c>
      <c r="D86">
        <v>5.0119999999999998E-2</v>
      </c>
      <c r="E86">
        <v>5.2569999999999999E-2</v>
      </c>
      <c r="F86">
        <v>39491600.799999997</v>
      </c>
      <c r="G86">
        <v>5.2569999999999999E-2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0.26288659793814423</v>
      </c>
      <c r="Q86">
        <f t="shared" ref="Q86" si="406">F86*P86</f>
        <v>10381812.581443295</v>
      </c>
      <c r="R86">
        <f t="shared" ref="R86" si="407">R87+Q86</f>
        <v>-4599442771.2550879</v>
      </c>
      <c r="S86">
        <f t="shared" ref="S86" si="408">R86/100000</f>
        <v>-45994.427712550882</v>
      </c>
      <c r="T86">
        <f t="shared" ref="T86" si="409">S86/1000</f>
        <v>-45.99442771255088</v>
      </c>
    </row>
    <row r="87" spans="1:20" x14ac:dyDescent="0.25">
      <c r="A87" s="5">
        <v>44506</v>
      </c>
      <c r="B87">
        <v>4.8149999999999998E-2</v>
      </c>
      <c r="C87">
        <v>5.2999999999999999E-2</v>
      </c>
      <c r="D87">
        <v>4.734E-2</v>
      </c>
      <c r="E87">
        <v>5.1270000000000003E-2</v>
      </c>
      <c r="F87">
        <v>48877486</v>
      </c>
      <c r="G87">
        <v>5.1270000000000003E-2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0.38869257950530178</v>
      </c>
      <c r="Q87">
        <f t="shared" ref="Q87" si="411">F87*P87</f>
        <v>18998316.113074277</v>
      </c>
      <c r="R87">
        <f t="shared" ref="R87" si="412">R88+Q87</f>
        <v>-4609824583.8365307</v>
      </c>
      <c r="S87">
        <f t="shared" ref="S87" si="413">R87/100000</f>
        <v>-46098.245838365307</v>
      </c>
      <c r="T87">
        <f t="shared" ref="T87" si="414">S87/1000</f>
        <v>-46.098245838365308</v>
      </c>
    </row>
    <row r="88" spans="1:20" x14ac:dyDescent="0.25">
      <c r="A88" s="5">
        <v>44505</v>
      </c>
      <c r="B88">
        <v>5.0410000000000003E-2</v>
      </c>
      <c r="C88">
        <v>5.0599999999999999E-2</v>
      </c>
      <c r="D88">
        <v>4.8000000000000001E-2</v>
      </c>
      <c r="E88">
        <v>4.8120000000000003E-2</v>
      </c>
      <c r="F88">
        <v>29628635.100000001</v>
      </c>
      <c r="G88">
        <v>4.8120000000000003E-2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-0.90769230769230602</v>
      </c>
      <c r="Q88">
        <f t="shared" ref="Q88" si="416">F88*P88</f>
        <v>-26893684.167692259</v>
      </c>
      <c r="R88">
        <f t="shared" ref="R88" si="417">R89+Q88</f>
        <v>-4628822899.949605</v>
      </c>
      <c r="S88">
        <f t="shared" ref="S88" si="418">R88/100000</f>
        <v>-46288.228999496052</v>
      </c>
      <c r="T88">
        <f t="shared" ref="T88" si="419">S88/1000</f>
        <v>-46.288228999496049</v>
      </c>
    </row>
    <row r="89" spans="1:20" x14ac:dyDescent="0.25">
      <c r="A89" s="5">
        <v>44504</v>
      </c>
      <c r="B89">
        <v>5.1639999999999998E-2</v>
      </c>
      <c r="C89">
        <v>5.2080000000000001E-2</v>
      </c>
      <c r="D89">
        <v>4.9110000000000001E-2</v>
      </c>
      <c r="E89">
        <v>5.0470000000000001E-2</v>
      </c>
      <c r="F89">
        <v>46210432.600000001</v>
      </c>
      <c r="G89">
        <v>5.0470000000000001E-2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-8.4175084175084236E-2</v>
      </c>
      <c r="Q89">
        <f t="shared" ref="Q89" si="421">F89*P89</f>
        <v>-3889767.0538720568</v>
      </c>
      <c r="R89">
        <f t="shared" ref="R89" si="422">R90+Q89</f>
        <v>-4601929215.7819128</v>
      </c>
      <c r="S89">
        <f t="shared" ref="S89" si="423">R89/100000</f>
        <v>-46019.292157819131</v>
      </c>
      <c r="T89">
        <f t="shared" ref="T89" si="424">S89/1000</f>
        <v>-46.01929215781913</v>
      </c>
    </row>
    <row r="90" spans="1:20" x14ac:dyDescent="0.25">
      <c r="A90" s="5">
        <v>44503</v>
      </c>
      <c r="B90">
        <v>5.2490000000000002E-2</v>
      </c>
      <c r="C90">
        <v>5.3769999999999998E-2</v>
      </c>
      <c r="D90">
        <v>4.879E-2</v>
      </c>
      <c r="E90">
        <v>5.16E-2</v>
      </c>
      <c r="F90">
        <v>69209794.400000006</v>
      </c>
      <c r="G90">
        <v>5.16E-2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0.12851405622489998</v>
      </c>
      <c r="Q90">
        <f t="shared" ref="Q90" si="426">F90*P90</f>
        <v>8894431.4088353682</v>
      </c>
      <c r="R90">
        <f t="shared" ref="R90" si="427">R91+Q90</f>
        <v>-4598039448.7280407</v>
      </c>
      <c r="S90">
        <f t="shared" ref="S90" si="428">R90/100000</f>
        <v>-45980.394487280406</v>
      </c>
      <c r="T90">
        <f t="shared" ref="T90" si="429">S90/1000</f>
        <v>-45.980394487280407</v>
      </c>
    </row>
    <row r="91" spans="1:20" x14ac:dyDescent="0.25">
      <c r="A91" s="5">
        <v>44502</v>
      </c>
      <c r="B91">
        <v>4.7570000000000001E-2</v>
      </c>
      <c r="C91">
        <v>5.7849999999999999E-2</v>
      </c>
      <c r="D91">
        <v>4.7199999999999999E-2</v>
      </c>
      <c r="E91">
        <v>5.2429999999999997E-2</v>
      </c>
      <c r="F91">
        <v>155357089.5</v>
      </c>
      <c r="G91">
        <v>5.2429999999999997E-2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-1.7840375586854709E-2</v>
      </c>
      <c r="Q91">
        <f t="shared" ref="Q91" si="431">F91*P91</f>
        <v>-2771628.8267606022</v>
      </c>
      <c r="R91">
        <f t="shared" ref="R91" si="432">R92+Q91</f>
        <v>-4606933880.1368761</v>
      </c>
      <c r="S91">
        <f t="shared" ref="S91" si="433">R91/100000</f>
        <v>-46069.338801368758</v>
      </c>
      <c r="T91">
        <f t="shared" ref="T91" si="434">S91/1000</f>
        <v>-46.069338801368758</v>
      </c>
    </row>
    <row r="92" spans="1:20" x14ac:dyDescent="0.25">
      <c r="A92" s="5">
        <v>44501</v>
      </c>
      <c r="B92">
        <v>4.7440000000000003E-2</v>
      </c>
      <c r="C92">
        <v>5.1589999999999997E-2</v>
      </c>
      <c r="D92">
        <v>4.6420000000000003E-2</v>
      </c>
      <c r="E92">
        <v>4.7500000000000001E-2</v>
      </c>
      <c r="F92">
        <v>83197569.099999994</v>
      </c>
      <c r="G92">
        <v>4.7500000000000001E-2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-0.5822050290135401</v>
      </c>
      <c r="Q92">
        <f t="shared" ref="Q92" si="436">F92*P92</f>
        <v>-48438043.131721504</v>
      </c>
      <c r="R92">
        <f t="shared" ref="R92" si="437">R93+Q92</f>
        <v>-4604162251.3101158</v>
      </c>
      <c r="S92">
        <f t="shared" ref="S92" si="438">R92/100000</f>
        <v>-46041.62251310116</v>
      </c>
      <c r="T92">
        <f t="shared" ref="T92" si="439">S92/1000</f>
        <v>-46.04162251310116</v>
      </c>
    </row>
    <row r="93" spans="1:20" x14ac:dyDescent="0.25">
      <c r="A93" s="5">
        <v>44500</v>
      </c>
      <c r="B93">
        <v>4.2970000000000001E-2</v>
      </c>
      <c r="C93">
        <v>5.1999999999999998E-2</v>
      </c>
      <c r="D93">
        <v>4.2939999999999999E-2</v>
      </c>
      <c r="E93">
        <v>4.7440000000000003E-2</v>
      </c>
      <c r="F93">
        <v>185729323.09999999</v>
      </c>
      <c r="G93">
        <v>4.7440000000000003E-2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-6.622516556290356E-3</v>
      </c>
      <c r="Q93">
        <f t="shared" ref="Q93" si="441">F93*P93</f>
        <v>-1229995.5172183509</v>
      </c>
      <c r="R93">
        <f t="shared" ref="R93" si="442">R94+Q93</f>
        <v>-4555724208.1783943</v>
      </c>
      <c r="S93">
        <f t="shared" ref="S93" si="443">R93/100000</f>
        <v>-45557.242081783945</v>
      </c>
      <c r="T93">
        <f t="shared" ref="T93" si="444">S93/1000</f>
        <v>-45.557242081783947</v>
      </c>
    </row>
    <row r="94" spans="1:20" x14ac:dyDescent="0.25">
      <c r="A94" s="5">
        <v>44499</v>
      </c>
      <c r="B94">
        <v>4.3159999999999997E-2</v>
      </c>
      <c r="C94">
        <v>4.4880000000000003E-2</v>
      </c>
      <c r="D94">
        <v>4.1410000000000002E-2</v>
      </c>
      <c r="E94">
        <v>4.2959999999999998E-2</v>
      </c>
      <c r="F94">
        <v>50893272.200000003</v>
      </c>
      <c r="G94">
        <v>4.2959999999999998E-2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-0.10662824207493059</v>
      </c>
      <c r="Q94">
        <f t="shared" ref="Q94" si="446">F94*P94</f>
        <v>-5426660.1481269356</v>
      </c>
      <c r="R94">
        <f t="shared" ref="R94" si="447">R95+Q94</f>
        <v>-4554494212.6611757</v>
      </c>
      <c r="S94">
        <f t="shared" ref="S94" si="448">R94/100000</f>
        <v>-45544.942126611757</v>
      </c>
      <c r="T94">
        <f t="shared" ref="T94" si="449">S94/1000</f>
        <v>-45.544942126611758</v>
      </c>
    </row>
    <row r="95" spans="1:20" x14ac:dyDescent="0.25">
      <c r="A95" s="5">
        <v>44498</v>
      </c>
      <c r="B95">
        <v>4.1340000000000002E-2</v>
      </c>
      <c r="C95">
        <v>4.546E-2</v>
      </c>
      <c r="D95">
        <v>4.1009999999999998E-2</v>
      </c>
      <c r="E95">
        <v>4.3159999999999997E-2</v>
      </c>
      <c r="F95">
        <v>63252793.5</v>
      </c>
      <c r="G95">
        <v>4.3159999999999997E-2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-3.3707865168540269E-2</v>
      </c>
      <c r="Q95">
        <f t="shared" ref="Q95" si="451">F95*P95</f>
        <v>-2132116.6348315203</v>
      </c>
      <c r="R95">
        <f t="shared" ref="R95" si="452">R96+Q95</f>
        <v>-4549067552.5130491</v>
      </c>
      <c r="S95">
        <f t="shared" ref="S95" si="453">R95/100000</f>
        <v>-45490.675525130493</v>
      </c>
      <c r="T95">
        <f t="shared" ref="T95" si="454">S95/1000</f>
        <v>-45.490675525130492</v>
      </c>
    </row>
    <row r="96" spans="1:20" x14ac:dyDescent="0.25">
      <c r="A96" s="5">
        <v>44497</v>
      </c>
      <c r="B96">
        <v>3.8739999999999997E-2</v>
      </c>
      <c r="C96">
        <v>4.4330000000000001E-2</v>
      </c>
      <c r="D96">
        <v>3.8120000000000001E-2</v>
      </c>
      <c r="E96">
        <v>4.1349999999999998E-2</v>
      </c>
      <c r="F96">
        <v>50144671.5</v>
      </c>
      <c r="G96">
        <v>4.1349999999999998E-2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4.0257648953300043E-2</v>
      </c>
      <c r="Q96">
        <f t="shared" ref="Q96" si="456">F96*P96</f>
        <v>2018706.5821255494</v>
      </c>
      <c r="R96">
        <f t="shared" ref="R96" si="457">R97+Q96</f>
        <v>-4546935435.8782177</v>
      </c>
      <c r="S96">
        <f t="shared" ref="S96" si="458">R96/100000</f>
        <v>-45469.354358782177</v>
      </c>
      <c r="T96">
        <f t="shared" ref="T96" si="459">S96/1000</f>
        <v>-45.469354358782176</v>
      </c>
    </row>
    <row r="97" spans="1:20" x14ac:dyDescent="0.25">
      <c r="A97" s="5">
        <v>44496</v>
      </c>
      <c r="B97">
        <v>4.3650000000000001E-2</v>
      </c>
      <c r="C97">
        <v>4.4290000000000003E-2</v>
      </c>
      <c r="D97">
        <v>3.7999999999999999E-2</v>
      </c>
      <c r="E97">
        <v>3.8679999999999999E-2</v>
      </c>
      <c r="F97">
        <v>37170389</v>
      </c>
      <c r="G97">
        <v>3.8679999999999999E-2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-0.78378378378378388</v>
      </c>
      <c r="Q97">
        <f t="shared" ref="Q97" si="461">F97*P97</f>
        <v>-29133548.13513514</v>
      </c>
      <c r="R97">
        <f t="shared" ref="R97" si="462">R98+Q97</f>
        <v>-4548954142.4603434</v>
      </c>
      <c r="S97">
        <f t="shared" ref="S97" si="463">R97/100000</f>
        <v>-45489.541424603434</v>
      </c>
      <c r="T97">
        <f t="shared" ref="T97" si="464">S97/1000</f>
        <v>-45.489541424603438</v>
      </c>
    </row>
    <row r="98" spans="1:20" x14ac:dyDescent="0.25">
      <c r="A98" s="5">
        <v>44495</v>
      </c>
      <c r="B98">
        <v>4.505E-2</v>
      </c>
      <c r="C98">
        <v>4.521E-2</v>
      </c>
      <c r="D98">
        <v>4.2999999999999997E-2</v>
      </c>
      <c r="E98">
        <v>4.3619999999999999E-2</v>
      </c>
      <c r="F98">
        <v>36857504</v>
      </c>
      <c r="G98">
        <v>4.3619999999999999E-2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-0.43891402714931993</v>
      </c>
      <c r="Q98">
        <f t="shared" ref="Q98" si="466">F98*P98</f>
        <v>-16177275.511312168</v>
      </c>
      <c r="R98">
        <f t="shared" ref="R98" si="467">R99+Q98</f>
        <v>-4519820594.3252087</v>
      </c>
      <c r="S98">
        <f t="shared" ref="S98" si="468">R98/100000</f>
        <v>-45198.205943252084</v>
      </c>
      <c r="T98">
        <f t="shared" ref="T98" si="469">S98/1000</f>
        <v>-45.198205943252084</v>
      </c>
    </row>
    <row r="99" spans="1:20" x14ac:dyDescent="0.25">
      <c r="A99" s="5">
        <v>44494</v>
      </c>
      <c r="B99">
        <v>4.301E-2</v>
      </c>
      <c r="C99">
        <v>4.5690000000000001E-2</v>
      </c>
      <c r="D99">
        <v>4.24E-2</v>
      </c>
      <c r="E99">
        <v>4.5150000000000003E-2</v>
      </c>
      <c r="F99">
        <v>51236589.899999999</v>
      </c>
      <c r="G99">
        <v>4.5150000000000003E-2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0.67173252279635343</v>
      </c>
      <c r="Q99">
        <f t="shared" ref="Q99" si="471">F99*P99</f>
        <v>34417283.793009162</v>
      </c>
      <c r="R99">
        <f t="shared" ref="R99" si="472">R100+Q99</f>
        <v>-4503643318.8138962</v>
      </c>
      <c r="S99">
        <f t="shared" ref="S99" si="473">R99/100000</f>
        <v>-45036.433188138959</v>
      </c>
      <c r="T99">
        <f t="shared" ref="T99" si="474">S99/1000</f>
        <v>-45.036433188138957</v>
      </c>
    </row>
    <row r="100" spans="1:20" x14ac:dyDescent="0.25">
      <c r="A100" s="5">
        <v>44493</v>
      </c>
      <c r="B100">
        <v>4.478E-2</v>
      </c>
      <c r="C100">
        <v>4.5440000000000001E-2</v>
      </c>
      <c r="D100">
        <v>4.1840000000000002E-2</v>
      </c>
      <c r="E100">
        <v>4.3049999999999998E-2</v>
      </c>
      <c r="F100">
        <v>44088142.100000001</v>
      </c>
      <c r="G100">
        <v>4.3049999999999998E-2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-0.32777777777777994</v>
      </c>
      <c r="Q100">
        <f t="shared" ref="Q100" si="476">F100*P100</f>
        <v>-14451113.243888985</v>
      </c>
      <c r="R100">
        <f t="shared" ref="R100" si="477">R101+Q100</f>
        <v>-4538060602.606905</v>
      </c>
      <c r="S100">
        <f t="shared" ref="S100" si="478">R100/100000</f>
        <v>-45380.60602606905</v>
      </c>
      <c r="T100">
        <f t="shared" ref="T100" si="479">S100/1000</f>
        <v>-45.380606026069053</v>
      </c>
    </row>
    <row r="101" spans="1:20" x14ac:dyDescent="0.25">
      <c r="A101" s="5">
        <v>44492</v>
      </c>
      <c r="B101">
        <v>4.5760000000000002E-2</v>
      </c>
      <c r="C101">
        <v>4.8680000000000001E-2</v>
      </c>
      <c r="D101">
        <v>4.3299999999999998E-2</v>
      </c>
      <c r="E101">
        <v>4.478E-2</v>
      </c>
      <c r="F101">
        <v>59737466.899999999</v>
      </c>
      <c r="G101">
        <v>4.478E-2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-0.44981412639405155</v>
      </c>
      <c r="Q101">
        <f t="shared" ref="Q101" si="481">F101*P101</f>
        <v>-26870756.48661707</v>
      </c>
      <c r="R101">
        <f t="shared" ref="R101" si="482">R102+Q101</f>
        <v>-4523609489.3630161</v>
      </c>
      <c r="S101">
        <f t="shared" ref="S101" si="483">R101/100000</f>
        <v>-45236.094893630165</v>
      </c>
      <c r="T101">
        <f t="shared" ref="T101" si="484">S101/1000</f>
        <v>-45.236094893630167</v>
      </c>
    </row>
    <row r="102" spans="1:20" x14ac:dyDescent="0.25">
      <c r="A102" s="5">
        <v>44491</v>
      </c>
      <c r="B102">
        <v>4.5510000000000002E-2</v>
      </c>
      <c r="C102">
        <v>4.8180000000000001E-2</v>
      </c>
      <c r="D102">
        <v>4.4999999999999998E-2</v>
      </c>
      <c r="E102">
        <v>4.5659999999999999E-2</v>
      </c>
      <c r="F102">
        <v>32216598.100000001</v>
      </c>
      <c r="G102">
        <v>4.5659999999999999E-2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-0.58490566037735825</v>
      </c>
      <c r="Q102">
        <f t="shared" ref="Q102" si="486">F102*P102</f>
        <v>-18843670.586792447</v>
      </c>
      <c r="R102">
        <f t="shared" ref="R102" si="487">R103+Q102</f>
        <v>-4496738732.876399</v>
      </c>
      <c r="S102">
        <f t="shared" ref="S102" si="488">R102/100000</f>
        <v>-44967.387328763987</v>
      </c>
      <c r="T102">
        <f t="shared" ref="T102" si="489">S102/1000</f>
        <v>-44.967387328763991</v>
      </c>
    </row>
    <row r="103" spans="1:20" x14ac:dyDescent="0.25">
      <c r="A103" s="5">
        <v>44490</v>
      </c>
      <c r="B103">
        <v>4.8779999999999997E-2</v>
      </c>
      <c r="C103">
        <v>5.0939999999999999E-2</v>
      </c>
      <c r="D103">
        <v>4.4949999999999997E-2</v>
      </c>
      <c r="E103">
        <v>4.5510000000000002E-2</v>
      </c>
      <c r="F103">
        <v>70038772.5</v>
      </c>
      <c r="G103">
        <v>4.5510000000000002E-2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-0.81302170283806185</v>
      </c>
      <c r="Q103">
        <f t="shared" ref="Q103" si="491">F103*P103</f>
        <v>-56943042.082637616</v>
      </c>
      <c r="R103">
        <f t="shared" ref="R103" si="492">R104+Q103</f>
        <v>-4477895062.289607</v>
      </c>
      <c r="S103">
        <f t="shared" ref="S103" si="493">R103/100000</f>
        <v>-44778.950622896067</v>
      </c>
      <c r="T103">
        <f t="shared" ref="T103" si="494">S103/1000</f>
        <v>-44.778950622896069</v>
      </c>
    </row>
    <row r="104" spans="1:20" x14ac:dyDescent="0.25">
      <c r="A104" s="5">
        <v>44489</v>
      </c>
      <c r="B104">
        <v>4.4560000000000002E-2</v>
      </c>
      <c r="C104">
        <v>5.1990000000000001E-2</v>
      </c>
      <c r="D104">
        <v>4.394E-2</v>
      </c>
      <c r="E104">
        <v>4.879E-2</v>
      </c>
      <c r="F104">
        <v>264393045.30000001</v>
      </c>
      <c r="G104">
        <v>4.879E-2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0.20496894409937869</v>
      </c>
      <c r="Q104">
        <f t="shared" ref="Q104" si="496">F104*P104</f>
        <v>54192363.322360203</v>
      </c>
      <c r="R104">
        <f t="shared" ref="R104" si="497">R105+Q104</f>
        <v>-4420952020.2069693</v>
      </c>
      <c r="S104">
        <f t="shared" ref="S104" si="498">R104/100000</f>
        <v>-44209.520202069696</v>
      </c>
      <c r="T104">
        <f t="shared" ref="T104" si="499">S104/1000</f>
        <v>-44.209520202069697</v>
      </c>
    </row>
    <row r="105" spans="1:20" x14ac:dyDescent="0.25">
      <c r="A105" s="5">
        <v>44488</v>
      </c>
      <c r="B105">
        <v>4.4240000000000002E-2</v>
      </c>
      <c r="C105">
        <v>4.6609999999999999E-2</v>
      </c>
      <c r="D105">
        <v>4.3749999999999997E-2</v>
      </c>
      <c r="E105">
        <v>4.4560000000000002E-2</v>
      </c>
      <c r="F105">
        <v>37099447.5</v>
      </c>
      <c r="G105">
        <v>4.4560000000000002E-2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-0.43356643356643026</v>
      </c>
      <c r="Q105">
        <f t="shared" ref="Q105" si="501">F105*P105</f>
        <v>-16085075.139860017</v>
      </c>
      <c r="R105">
        <f t="shared" ref="R105" si="502">R106+Q105</f>
        <v>-4475144383.5293293</v>
      </c>
      <c r="S105">
        <f t="shared" ref="S105" si="503">R105/100000</f>
        <v>-44751.443835293292</v>
      </c>
      <c r="T105">
        <f t="shared" ref="T105" si="504">S105/1000</f>
        <v>-44.751443835293294</v>
      </c>
    </row>
    <row r="106" spans="1:20" x14ac:dyDescent="0.25">
      <c r="A106" s="5">
        <v>44487</v>
      </c>
      <c r="B106">
        <v>4.5769999999999998E-2</v>
      </c>
      <c r="C106">
        <v>5.1999999999999998E-2</v>
      </c>
      <c r="D106">
        <v>4.3729999999999998E-2</v>
      </c>
      <c r="E106">
        <v>4.4209999999999999E-2</v>
      </c>
      <c r="F106">
        <v>125464132.09999999</v>
      </c>
      <c r="G106">
        <v>4.4209999999999999E-2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-0.88391777509068892</v>
      </c>
      <c r="Q106">
        <f t="shared" ref="Q106" si="506">F106*P106</f>
        <v>-110899976.49951628</v>
      </c>
      <c r="R106">
        <f t="shared" ref="R106" si="507">R107+Q106</f>
        <v>-4459059308.3894691</v>
      </c>
      <c r="S106">
        <f t="shared" ref="S106" si="508">R106/100000</f>
        <v>-44590.593083894688</v>
      </c>
      <c r="T106">
        <f t="shared" ref="T106" si="509">S106/1000</f>
        <v>-44.590593083894689</v>
      </c>
    </row>
    <row r="107" spans="1:20" x14ac:dyDescent="0.25">
      <c r="A107" s="5">
        <v>44486</v>
      </c>
      <c r="B107">
        <v>4.3779999999999999E-2</v>
      </c>
      <c r="C107">
        <v>4.9520000000000002E-2</v>
      </c>
      <c r="D107">
        <v>4.2999999999999997E-2</v>
      </c>
      <c r="E107">
        <v>4.5740000000000003E-2</v>
      </c>
      <c r="F107">
        <v>142233298.30000001</v>
      </c>
      <c r="G107">
        <v>4.5740000000000003E-2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-0.15950920245398642</v>
      </c>
      <c r="Q107">
        <f t="shared" ref="Q107" si="511">F107*P107</f>
        <v>-22687519.974232946</v>
      </c>
      <c r="R107">
        <f t="shared" ref="R107" si="512">R108+Q107</f>
        <v>-4348159331.8899527</v>
      </c>
      <c r="S107">
        <f t="shared" ref="S107" si="513">R107/100000</f>
        <v>-43481.593318899526</v>
      </c>
      <c r="T107">
        <f t="shared" ref="T107" si="514">S107/1000</f>
        <v>-43.481593318899527</v>
      </c>
    </row>
    <row r="108" spans="1:20" x14ac:dyDescent="0.25">
      <c r="A108" s="5">
        <v>44485</v>
      </c>
      <c r="B108">
        <v>4.2790000000000002E-2</v>
      </c>
      <c r="C108">
        <v>5.5550000000000002E-2</v>
      </c>
      <c r="D108">
        <v>4.2000000000000003E-2</v>
      </c>
      <c r="E108">
        <v>4.3740000000000001E-2</v>
      </c>
      <c r="F108">
        <v>261158652</v>
      </c>
      <c r="G108">
        <v>4.3740000000000001E-2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-0.7431734317343176</v>
      </c>
      <c r="Q108">
        <f t="shared" ref="Q108" si="516">F108*P108</f>
        <v>-194086171.63394842</v>
      </c>
      <c r="R108">
        <f t="shared" ref="R108" si="517">R109+Q108</f>
        <v>-4325471811.91572</v>
      </c>
      <c r="S108">
        <f t="shared" ref="S108" si="518">R108/100000</f>
        <v>-43254.718119157202</v>
      </c>
      <c r="T108">
        <f t="shared" ref="T108" si="519">S108/1000</f>
        <v>-43.254718119157204</v>
      </c>
    </row>
    <row r="109" spans="1:20" x14ac:dyDescent="0.25">
      <c r="A109" s="5">
        <v>44484</v>
      </c>
      <c r="B109">
        <v>4.1390000000000003E-2</v>
      </c>
      <c r="C109">
        <v>4.444E-2</v>
      </c>
      <c r="D109">
        <v>3.9620000000000002E-2</v>
      </c>
      <c r="E109">
        <v>4.2790000000000002E-2</v>
      </c>
      <c r="F109">
        <v>68427285.400000006</v>
      </c>
      <c r="G109">
        <v>4.2790000000000002E-2</v>
      </c>
      <c r="L109" t="s">
        <v>8</v>
      </c>
      <c r="M109" t="s">
        <v>7</v>
      </c>
      <c r="N109" t="s">
        <v>7</v>
      </c>
      <c r="P109">
        <f t="shared" ref="P109" si="520">IF(C109=D109,0,((E109-D109)-(C109-E109))/(C109-D109))</f>
        <v>0.31535269709543595</v>
      </c>
      <c r="Q109">
        <f t="shared" ref="Q109" si="521">F109*P109</f>
        <v>21578729.005809151</v>
      </c>
      <c r="R109">
        <f t="shared" ref="R109" si="522">R110+Q109</f>
        <v>-4131385640.2817712</v>
      </c>
      <c r="S109">
        <f t="shared" ref="S109" si="523">R109/100000</f>
        <v>-41313.856402817713</v>
      </c>
      <c r="T109">
        <f t="shared" ref="T109" si="524">S109/1000</f>
        <v>-41.313856402817713</v>
      </c>
    </row>
    <row r="110" spans="1:20" x14ac:dyDescent="0.25">
      <c r="A110" s="5">
        <v>44483</v>
      </c>
      <c r="B110">
        <v>4.0509999999999997E-2</v>
      </c>
      <c r="C110">
        <v>4.2889999999999998E-2</v>
      </c>
      <c r="D110">
        <v>4.0210000000000003E-2</v>
      </c>
      <c r="E110">
        <v>4.1529999999999997E-2</v>
      </c>
      <c r="F110">
        <v>45307896.100000001</v>
      </c>
      <c r="G110">
        <v>4.1529999999999997E-2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-1.4925373134330368E-2</v>
      </c>
      <c r="Q110">
        <f t="shared" ref="Q110" si="526">F110*P110</f>
        <v>-676237.25522397168</v>
      </c>
      <c r="R110">
        <f t="shared" ref="R110" si="527">R111+Q110</f>
        <v>-4152964369.2875805</v>
      </c>
      <c r="S110">
        <f t="shared" ref="S110" si="528">R110/100000</f>
        <v>-41529.643692875805</v>
      </c>
      <c r="T110">
        <f t="shared" ref="T110" si="529">S110/1000</f>
        <v>-41.529643692875808</v>
      </c>
    </row>
    <row r="111" spans="1:20" x14ac:dyDescent="0.25">
      <c r="A111" s="5">
        <v>44482</v>
      </c>
      <c r="B111">
        <v>4.07E-2</v>
      </c>
      <c r="C111">
        <v>4.1709999999999997E-2</v>
      </c>
      <c r="D111">
        <v>3.8739999999999997E-2</v>
      </c>
      <c r="E111">
        <v>4.054E-2</v>
      </c>
      <c r="F111">
        <v>55984718.5</v>
      </c>
      <c r="G111">
        <v>4.054E-2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0.21212121212121396</v>
      </c>
      <c r="Q111">
        <f t="shared" ref="Q111" si="531">F111*P111</f>
        <v>11875546.348484952</v>
      </c>
      <c r="R111">
        <f t="shared" ref="R111" si="532">R112+Q111</f>
        <v>-4152288132.0323567</v>
      </c>
      <c r="S111">
        <f t="shared" ref="S111" si="533">R111/100000</f>
        <v>-41522.88132032357</v>
      </c>
      <c r="T111">
        <f t="shared" ref="T111" si="534">S111/1000</f>
        <v>-41.52288132032357</v>
      </c>
    </row>
    <row r="112" spans="1:20" x14ac:dyDescent="0.25">
      <c r="A112" s="5">
        <v>44481</v>
      </c>
      <c r="B112">
        <v>4.1750000000000002E-2</v>
      </c>
      <c r="C112">
        <v>4.181E-2</v>
      </c>
      <c r="D112">
        <v>3.8809999999999997E-2</v>
      </c>
      <c r="E112">
        <v>4.0680000000000001E-2</v>
      </c>
      <c r="F112">
        <v>77781785.099999994</v>
      </c>
      <c r="G112">
        <v>4.0680000000000001E-2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0.24666666666666795</v>
      </c>
      <c r="Q112">
        <f t="shared" ref="Q112" si="536">F112*P112</f>
        <v>19186173.658000097</v>
      </c>
      <c r="R112">
        <f t="shared" ref="R112" si="537">R113+Q112</f>
        <v>-4164163678.3808417</v>
      </c>
      <c r="S112">
        <f t="shared" ref="S112" si="538">R112/100000</f>
        <v>-41641.636783808419</v>
      </c>
      <c r="T112">
        <f t="shared" ref="T112" si="539">S112/1000</f>
        <v>-41.641636783808416</v>
      </c>
    </row>
    <row r="113" spans="1:20" x14ac:dyDescent="0.25">
      <c r="A113" s="5">
        <v>44480</v>
      </c>
      <c r="B113">
        <v>4.2880000000000001E-2</v>
      </c>
      <c r="C113">
        <v>4.7989999999999998E-2</v>
      </c>
      <c r="D113">
        <v>4.1300000000000003E-2</v>
      </c>
      <c r="E113">
        <v>4.1820000000000003E-2</v>
      </c>
      <c r="F113">
        <v>101316761</v>
      </c>
      <c r="G113">
        <v>4.1820000000000003E-2</v>
      </c>
      <c r="L113" t="s">
        <v>8</v>
      </c>
      <c r="M113" t="s">
        <v>7</v>
      </c>
      <c r="N113" t="s">
        <v>7</v>
      </c>
      <c r="P113">
        <f t="shared" ref="P113" si="540">IF(C113=D113,0,((E113-D113)-(C113-E113))/(C113-D113))</f>
        <v>-0.84454409566517186</v>
      </c>
      <c r="Q113">
        <f t="shared" ref="Q113" si="541">F113*P113</f>
        <v>-85566472.294469357</v>
      </c>
      <c r="R113">
        <f t="shared" ref="R113" si="542">R114+Q113</f>
        <v>-4183349852.0388417</v>
      </c>
      <c r="S113">
        <f t="shared" ref="S113" si="543">R113/100000</f>
        <v>-41833.498520388421</v>
      </c>
      <c r="T113">
        <f t="shared" ref="T113" si="544">S113/1000</f>
        <v>-41.833498520388417</v>
      </c>
    </row>
    <row r="114" spans="1:20" x14ac:dyDescent="0.25">
      <c r="A114" s="5">
        <v>44479</v>
      </c>
      <c r="B114">
        <v>4.3479999999999998E-2</v>
      </c>
      <c r="C114">
        <v>4.7199999999999999E-2</v>
      </c>
      <c r="D114">
        <v>4.2220000000000001E-2</v>
      </c>
      <c r="E114">
        <v>4.3060000000000001E-2</v>
      </c>
      <c r="F114">
        <v>111621626.5</v>
      </c>
      <c r="G114">
        <v>4.3060000000000001E-2</v>
      </c>
      <c r="L114" t="s">
        <v>8</v>
      </c>
      <c r="M114" t="s">
        <v>7</v>
      </c>
      <c r="N114" t="s">
        <v>7</v>
      </c>
      <c r="P114">
        <f t="shared" ref="P114" si="545">IF(C114=D114,0,((E114-D114)-(C114-E114))/(C114-D114))</f>
        <v>-0.66265060240963825</v>
      </c>
      <c r="Q114">
        <f t="shared" ref="Q114" si="546">F114*P114</f>
        <v>-73966138.042168647</v>
      </c>
      <c r="R114">
        <f t="shared" ref="R114" si="547">R115+Q114</f>
        <v>-4097783379.7443724</v>
      </c>
      <c r="S114">
        <f t="shared" ref="S114" si="548">R114/100000</f>
        <v>-40977.833797443724</v>
      </c>
      <c r="T114">
        <f t="shared" ref="T114" si="549">S114/1000</f>
        <v>-40.977833797443722</v>
      </c>
    </row>
    <row r="115" spans="1:20" x14ac:dyDescent="0.25">
      <c r="A115" s="5">
        <v>44478</v>
      </c>
      <c r="B115">
        <v>4.3490000000000001E-2</v>
      </c>
      <c r="C115">
        <v>4.4979999999999999E-2</v>
      </c>
      <c r="D115">
        <v>4.2810000000000001E-2</v>
      </c>
      <c r="E115">
        <v>4.3479999999999998E-2</v>
      </c>
      <c r="F115">
        <v>54808409.899999999</v>
      </c>
      <c r="G115">
        <v>4.3479999999999998E-2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-0.3824884792626751</v>
      </c>
      <c r="Q115">
        <f t="shared" ref="Q115" si="551">F115*P115</f>
        <v>-20963585.353456344</v>
      </c>
      <c r="R115">
        <f t="shared" ref="R115" si="552">R116+Q115</f>
        <v>-4023817241.7022038</v>
      </c>
      <c r="S115">
        <f t="shared" ref="S115" si="553">R115/100000</f>
        <v>-40238.17241702204</v>
      </c>
      <c r="T115">
        <f t="shared" ref="T115" si="554">S115/1000</f>
        <v>-40.238172417022042</v>
      </c>
    </row>
    <row r="116" spans="1:20" x14ac:dyDescent="0.25">
      <c r="A116" s="5">
        <v>44477</v>
      </c>
      <c r="B116">
        <v>4.6129999999999997E-2</v>
      </c>
      <c r="C116">
        <v>4.7800000000000002E-2</v>
      </c>
      <c r="D116">
        <v>4.3139999999999998E-2</v>
      </c>
      <c r="E116">
        <v>4.342E-2</v>
      </c>
      <c r="F116">
        <v>110102256.7</v>
      </c>
      <c r="G116">
        <v>4.342E-2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-0.87982832618025653</v>
      </c>
      <c r="Q116">
        <f t="shared" ref="Q116" si="556">F116*P116</f>
        <v>-96871084.221029937</v>
      </c>
      <c r="R116">
        <f t="shared" ref="R116" si="557">R117+Q116</f>
        <v>-4002853656.3487473</v>
      </c>
      <c r="S116">
        <f t="shared" ref="S116" si="558">R116/100000</f>
        <v>-40028.536563487476</v>
      </c>
      <c r="T116">
        <f t="shared" ref="T116" si="559">S116/1000</f>
        <v>-40.028536563487478</v>
      </c>
    </row>
    <row r="117" spans="1:20" x14ac:dyDescent="0.25">
      <c r="A117" s="5">
        <v>44476</v>
      </c>
      <c r="B117">
        <v>4.8059999999999999E-2</v>
      </c>
      <c r="C117">
        <v>4.8059999999999999E-2</v>
      </c>
      <c r="D117">
        <v>4.3040000000000002E-2</v>
      </c>
      <c r="E117">
        <v>4.6129999999999997E-2</v>
      </c>
      <c r="F117">
        <v>271747291</v>
      </c>
      <c r="G117">
        <v>4.6129999999999997E-2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0.2310756972111544</v>
      </c>
      <c r="Q117">
        <f t="shared" ref="Q117" si="561">F117*P117</f>
        <v>62794194.73306746</v>
      </c>
      <c r="R117">
        <f t="shared" ref="R117" si="562">R118+Q117</f>
        <v>-3905982572.1277175</v>
      </c>
      <c r="S117">
        <f t="shared" ref="S117" si="563">R117/100000</f>
        <v>-39059.825721277171</v>
      </c>
      <c r="T117">
        <f t="shared" ref="T117" si="564">S117/1000</f>
        <v>-39.059825721277171</v>
      </c>
    </row>
    <row r="118" spans="1:20" x14ac:dyDescent="0.25">
      <c r="A118" s="5">
        <v>44475</v>
      </c>
      <c r="B118">
        <v>4.7219999999999998E-2</v>
      </c>
      <c r="C118">
        <v>6.0850000000000001E-2</v>
      </c>
      <c r="D118">
        <v>4.2209999999999998E-2</v>
      </c>
      <c r="E118">
        <v>4.795E-2</v>
      </c>
      <c r="F118">
        <v>815776329.29999995</v>
      </c>
      <c r="G118">
        <v>4.795E-2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-0.38412017167381962</v>
      </c>
      <c r="Q118">
        <f t="shared" ref="Q118" si="566">F118*P118</f>
        <v>-313356143.65815437</v>
      </c>
      <c r="R118">
        <f t="shared" ref="R118" si="567">R119+Q118</f>
        <v>-3968776766.860785</v>
      </c>
      <c r="S118">
        <f t="shared" ref="S118" si="568">R118/100000</f>
        <v>-39687.767668607848</v>
      </c>
      <c r="T118">
        <f t="shared" ref="T118" si="569">S118/1000</f>
        <v>-39.687767668607847</v>
      </c>
    </row>
    <row r="119" spans="1:20" x14ac:dyDescent="0.25">
      <c r="A119" s="5">
        <v>44474</v>
      </c>
      <c r="B119">
        <v>3.7060000000000003E-2</v>
      </c>
      <c r="C119">
        <v>5.3510000000000002E-2</v>
      </c>
      <c r="D119">
        <v>3.6900000000000002E-2</v>
      </c>
      <c r="E119">
        <v>4.709E-2</v>
      </c>
      <c r="F119">
        <v>760141931.20000005</v>
      </c>
      <c r="G119">
        <v>4.709E-2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0.22697170379289558</v>
      </c>
      <c r="Q119">
        <f t="shared" ref="Q119" si="571">F119*P119</f>
        <v>172530709.24888602</v>
      </c>
      <c r="R119">
        <f t="shared" ref="R119" si="572">R120+Q119</f>
        <v>-3655420623.2026305</v>
      </c>
      <c r="S119">
        <f t="shared" ref="S119" si="573">R119/100000</f>
        <v>-36554.206232026307</v>
      </c>
      <c r="T119">
        <f t="shared" ref="T119" si="574">S119/1000</f>
        <v>-36.55420623202631</v>
      </c>
    </row>
    <row r="120" spans="1:20" x14ac:dyDescent="0.25">
      <c r="A120" s="5">
        <v>44473</v>
      </c>
      <c r="B120">
        <v>3.9120000000000002E-2</v>
      </c>
      <c r="C120">
        <v>3.9199999999999999E-2</v>
      </c>
      <c r="D120">
        <v>3.6850000000000001E-2</v>
      </c>
      <c r="E120">
        <v>3.7359999999999997E-2</v>
      </c>
      <c r="F120">
        <v>31708151.100000001</v>
      </c>
      <c r="G120">
        <v>3.7359999999999997E-2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-0.56595744680851323</v>
      </c>
      <c r="Q120">
        <f t="shared" ref="Q120" si="576">F120*P120</f>
        <v>-17945464.239574552</v>
      </c>
      <c r="R120">
        <f t="shared" ref="R120" si="577">R121+Q120</f>
        <v>-3827951332.4515166</v>
      </c>
      <c r="S120">
        <f t="shared" ref="S120" si="578">R120/100000</f>
        <v>-38279.513324515166</v>
      </c>
      <c r="T120">
        <f t="shared" ref="T120" si="579">S120/1000</f>
        <v>-38.279513324515165</v>
      </c>
    </row>
    <row r="121" spans="1:20" x14ac:dyDescent="0.25">
      <c r="A121" s="5">
        <v>44472</v>
      </c>
      <c r="B121">
        <v>3.8249999999999999E-2</v>
      </c>
      <c r="C121">
        <v>3.9980000000000002E-2</v>
      </c>
      <c r="D121">
        <v>3.7749999999999999E-2</v>
      </c>
      <c r="E121">
        <v>3.9219999999999998E-2</v>
      </c>
      <c r="F121">
        <v>62330674.299999997</v>
      </c>
      <c r="G121">
        <v>3.9219999999999998E-2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0.31838565022421278</v>
      </c>
      <c r="Q121">
        <f t="shared" ref="Q121" si="581">F121*P121</f>
        <v>19845192.265919127</v>
      </c>
      <c r="R121">
        <f t="shared" ref="R121" si="582">R122+Q121</f>
        <v>-3810005868.2119422</v>
      </c>
      <c r="S121">
        <f t="shared" ref="S121" si="583">R121/100000</f>
        <v>-38100.058682119423</v>
      </c>
      <c r="T121">
        <f t="shared" ref="T121" si="584">S121/1000</f>
        <v>-38.100058682119425</v>
      </c>
    </row>
    <row r="122" spans="1:20" x14ac:dyDescent="0.25">
      <c r="A122" s="5">
        <v>44471</v>
      </c>
      <c r="B122">
        <v>3.8249999999999999E-2</v>
      </c>
      <c r="C122">
        <v>4.1410000000000002E-2</v>
      </c>
      <c r="D122">
        <v>3.7490000000000002E-2</v>
      </c>
      <c r="E122">
        <v>3.8249999999999999E-2</v>
      </c>
      <c r="F122">
        <v>88586313.5</v>
      </c>
      <c r="G122">
        <v>3.8249999999999999E-2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-0.61224489795918535</v>
      </c>
      <c r="Q122">
        <f t="shared" ref="Q122" si="586">F122*P122</f>
        <v>-54236518.469387904</v>
      </c>
      <c r="R122">
        <f t="shared" ref="R122" si="587">R123+Q122</f>
        <v>-3829851060.4778614</v>
      </c>
      <c r="S122">
        <f t="shared" ref="S122" si="588">R122/100000</f>
        <v>-38298.510604778618</v>
      </c>
      <c r="T122">
        <f t="shared" ref="T122" si="589">S122/1000</f>
        <v>-38.29851060477862</v>
      </c>
    </row>
    <row r="123" spans="1:20" x14ac:dyDescent="0.25">
      <c r="A123" s="5">
        <v>44470</v>
      </c>
      <c r="B123">
        <v>3.7379999999999997E-2</v>
      </c>
      <c r="C123">
        <v>3.9410000000000001E-2</v>
      </c>
      <c r="D123">
        <v>3.6799999999999999E-2</v>
      </c>
      <c r="E123">
        <v>3.8260000000000002E-2</v>
      </c>
      <c r="F123">
        <v>114971165.8</v>
      </c>
      <c r="G123">
        <v>3.8260000000000002E-2</v>
      </c>
      <c r="L123" t="s">
        <v>7</v>
      </c>
      <c r="M123" t="s">
        <v>8</v>
      </c>
      <c r="N123" t="s">
        <v>8</v>
      </c>
      <c r="P123">
        <f t="shared" ref="P123" si="590">IF(C123=D123,0,((E123-D123)-(C123-E123))/(C123-D123))</f>
        <v>0.11877394636015501</v>
      </c>
      <c r="Q123">
        <f t="shared" ref="Q123" si="591">F123*P123</f>
        <v>13655579.079693688</v>
      </c>
      <c r="R123">
        <f t="shared" ref="R123" si="592">R124+Q123</f>
        <v>-3775614542.0084734</v>
      </c>
      <c r="S123">
        <f t="shared" ref="S123" si="593">R123/100000</f>
        <v>-37756.145420084737</v>
      </c>
      <c r="T123">
        <f t="shared" ref="T123" si="594">S123/1000</f>
        <v>-37.756145420084735</v>
      </c>
    </row>
    <row r="124" spans="1:20" x14ac:dyDescent="0.25">
      <c r="A124" s="5">
        <v>44469</v>
      </c>
      <c r="B124">
        <v>3.3790000000000001E-2</v>
      </c>
      <c r="C124">
        <v>4.3069999999999997E-2</v>
      </c>
      <c r="D124">
        <v>3.3750000000000002E-2</v>
      </c>
      <c r="E124">
        <v>3.7260000000000001E-2</v>
      </c>
      <c r="F124">
        <v>512653689.5</v>
      </c>
      <c r="G124">
        <v>3.7260000000000001E-2</v>
      </c>
      <c r="L124" t="s">
        <v>8</v>
      </c>
      <c r="M124" t="s">
        <v>8</v>
      </c>
      <c r="N124" t="s">
        <v>8</v>
      </c>
      <c r="P124">
        <f t="shared" ref="P124" si="595">IF(C124=D124,0,((E124-D124)-(C124-E124))/(C124-D124))</f>
        <v>-0.24678111587982809</v>
      </c>
      <c r="Q124">
        <f t="shared" ref="Q124" si="596">F124*P124</f>
        <v>-126513249.55472091</v>
      </c>
      <c r="R124">
        <f t="shared" ref="R124" si="597">R125+Q124</f>
        <v>-3789270121.0881672</v>
      </c>
      <c r="S124">
        <f t="shared" ref="S124" si="598">R124/100000</f>
        <v>-37892.701210881671</v>
      </c>
      <c r="T124">
        <f t="shared" ref="T124" si="599">S124/1000</f>
        <v>-37.892701210881668</v>
      </c>
    </row>
    <row r="125" spans="1:20" x14ac:dyDescent="0.25">
      <c r="A125" s="5">
        <v>44468</v>
      </c>
      <c r="B125">
        <v>3.3610000000000001E-2</v>
      </c>
      <c r="C125">
        <v>3.5860000000000003E-2</v>
      </c>
      <c r="D125">
        <v>3.32E-2</v>
      </c>
      <c r="E125">
        <v>3.3950000000000001E-2</v>
      </c>
      <c r="F125">
        <v>97083502.599999994</v>
      </c>
      <c r="G125">
        <v>3.3950000000000001E-2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-0.43609022556390981</v>
      </c>
      <c r="Q125">
        <f t="shared" ref="Q125" si="601">F125*P125</f>
        <v>-42337166.547368422</v>
      </c>
      <c r="R125">
        <f t="shared" ref="R125" si="602">R126+Q125</f>
        <v>-3662756871.5334463</v>
      </c>
      <c r="S125">
        <f t="shared" ref="S125" si="603">R125/100000</f>
        <v>-36627.568715334462</v>
      </c>
      <c r="T125">
        <f t="shared" ref="T125" si="604">S125/1000</f>
        <v>-36.627568715334462</v>
      </c>
    </row>
    <row r="126" spans="1:20" x14ac:dyDescent="0.25">
      <c r="A126" s="5">
        <v>44467</v>
      </c>
      <c r="B126">
        <v>3.3610000000000001E-2</v>
      </c>
      <c r="C126">
        <v>3.6290000000000003E-2</v>
      </c>
      <c r="D126">
        <v>3.3410000000000002E-2</v>
      </c>
      <c r="E126">
        <v>3.3579999999999999E-2</v>
      </c>
      <c r="F126">
        <v>91072361.700000003</v>
      </c>
      <c r="G126">
        <v>3.3579999999999999E-2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-0.88194444444444686</v>
      </c>
      <c r="Q126">
        <f t="shared" ref="Q126" si="606">F126*P126</f>
        <v>-80320763.443750218</v>
      </c>
      <c r="R126">
        <f t="shared" ref="R126" si="607">R127+Q126</f>
        <v>-3620419704.9860778</v>
      </c>
      <c r="S126">
        <f t="shared" ref="S126" si="608">R126/100000</f>
        <v>-36204.197049860777</v>
      </c>
      <c r="T126">
        <f t="shared" ref="T126" si="609">S126/1000</f>
        <v>-36.204197049860774</v>
      </c>
    </row>
    <row r="127" spans="1:20" x14ac:dyDescent="0.25">
      <c r="A127" s="5">
        <v>44466</v>
      </c>
      <c r="B127">
        <v>3.4799999999999998E-2</v>
      </c>
      <c r="C127">
        <v>3.832E-2</v>
      </c>
      <c r="D127">
        <v>3.3489999999999999E-2</v>
      </c>
      <c r="E127">
        <v>3.3680000000000002E-2</v>
      </c>
      <c r="F127">
        <v>61501345.399999999</v>
      </c>
      <c r="G127">
        <v>3.3680000000000002E-2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-0.92132505175983326</v>
      </c>
      <c r="Q127">
        <f t="shared" ref="Q127" si="611">F127*P127</f>
        <v>-56662730.233954385</v>
      </c>
      <c r="R127">
        <f t="shared" ref="R127" si="612">R128+Q127</f>
        <v>-3540098941.5423274</v>
      </c>
      <c r="S127">
        <f t="shared" ref="S127" si="613">R127/100000</f>
        <v>-35400.989415423275</v>
      </c>
      <c r="T127">
        <f t="shared" ref="T127" si="614">S127/1000</f>
        <v>-35.400989415423275</v>
      </c>
    </row>
    <row r="128" spans="1:20" x14ac:dyDescent="0.25">
      <c r="A128" s="5">
        <v>44465</v>
      </c>
      <c r="B128">
        <v>3.5270000000000003E-2</v>
      </c>
      <c r="C128">
        <v>3.7269999999999998E-2</v>
      </c>
      <c r="D128">
        <v>3.177E-2</v>
      </c>
      <c r="E128">
        <v>3.4799999999999998E-2</v>
      </c>
      <c r="F128">
        <v>104423489.7</v>
      </c>
      <c r="G128">
        <v>3.4799999999999998E-2</v>
      </c>
      <c r="L128" t="s">
        <v>7</v>
      </c>
      <c r="M128" t="s">
        <v>8</v>
      </c>
      <c r="N128" t="s">
        <v>7</v>
      </c>
      <c r="P128">
        <f t="shared" ref="P128" si="615">IF(C128=D128,0,((E128-D128)-(C128-E128))/(C128-D128))</f>
        <v>0.10181818181818149</v>
      </c>
      <c r="Q128">
        <f t="shared" ref="Q128" si="616">F128*P128</f>
        <v>10632209.860363603</v>
      </c>
      <c r="R128">
        <f t="shared" ref="R128" si="617">R129+Q128</f>
        <v>-3483436211.308373</v>
      </c>
      <c r="S128">
        <f t="shared" ref="S128" si="618">R128/100000</f>
        <v>-34834.362113083727</v>
      </c>
      <c r="T128">
        <f t="shared" ref="T128" si="619">S128/1000</f>
        <v>-34.834362113083728</v>
      </c>
    </row>
    <row r="129" spans="1:20" x14ac:dyDescent="0.25">
      <c r="A129" s="5">
        <v>44464</v>
      </c>
      <c r="B129">
        <v>3.3160000000000002E-2</v>
      </c>
      <c r="C129">
        <v>3.7650000000000003E-2</v>
      </c>
      <c r="D129">
        <v>3.2399999999999998E-2</v>
      </c>
      <c r="E129">
        <v>3.5249999999999997E-2</v>
      </c>
      <c r="F129">
        <v>108033693.3</v>
      </c>
      <c r="G129">
        <v>3.5249999999999997E-2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8.5714285714284133E-2</v>
      </c>
      <c r="Q129">
        <f t="shared" ref="Q129" si="621">F129*P129</f>
        <v>9260030.8542855438</v>
      </c>
      <c r="R129">
        <f t="shared" ref="R129" si="622">R130+Q129</f>
        <v>-3494068421.1687365</v>
      </c>
      <c r="S129">
        <f t="shared" ref="S129" si="623">R129/100000</f>
        <v>-34940.684211687367</v>
      </c>
      <c r="T129">
        <f t="shared" ref="T129" si="624">S129/1000</f>
        <v>-34.940684211687369</v>
      </c>
    </row>
    <row r="130" spans="1:20" x14ac:dyDescent="0.25">
      <c r="A130" s="5">
        <v>44463</v>
      </c>
      <c r="B130">
        <v>3.6159999999999998E-2</v>
      </c>
      <c r="C130">
        <v>3.619E-2</v>
      </c>
      <c r="D130">
        <v>3.065E-2</v>
      </c>
      <c r="E130">
        <v>3.3059999999999999E-2</v>
      </c>
      <c r="F130">
        <v>48919832.399999999</v>
      </c>
      <c r="G130">
        <v>3.3059999999999999E-2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-0.12996389891696786</v>
      </c>
      <c r="Q130">
        <f t="shared" ref="Q130" si="626">F130*P130</f>
        <v>-6357812.1530686086</v>
      </c>
      <c r="R130">
        <f t="shared" ref="R130" si="627">R131+Q130</f>
        <v>-3503328452.0230222</v>
      </c>
      <c r="S130">
        <f t="shared" ref="S130" si="628">R130/100000</f>
        <v>-35033.28452023022</v>
      </c>
      <c r="T130">
        <f t="shared" ref="T130" si="629">S130/1000</f>
        <v>-35.033284520230218</v>
      </c>
    </row>
    <row r="131" spans="1:20" x14ac:dyDescent="0.25">
      <c r="A131" s="5">
        <v>44462</v>
      </c>
      <c r="B131">
        <v>3.4569999999999997E-2</v>
      </c>
      <c r="C131">
        <v>3.8379999999999997E-2</v>
      </c>
      <c r="D131">
        <v>3.4040000000000001E-2</v>
      </c>
      <c r="E131">
        <v>3.5959999999999999E-2</v>
      </c>
      <c r="F131">
        <v>107412034.09999999</v>
      </c>
      <c r="G131">
        <v>3.5959999999999999E-2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-0.1152073732718896</v>
      </c>
      <c r="Q131">
        <f t="shared" ref="Q131" si="631">F131*P131</f>
        <v>-12374658.306451634</v>
      </c>
      <c r="R131">
        <f t="shared" ref="R131" si="632">R132+Q131</f>
        <v>-3496970639.8699536</v>
      </c>
      <c r="S131">
        <f t="shared" ref="S131" si="633">R131/100000</f>
        <v>-34969.706398699534</v>
      </c>
      <c r="T131">
        <f t="shared" ref="T131" si="634">S131/1000</f>
        <v>-34.969706398699536</v>
      </c>
    </row>
    <row r="132" spans="1:20" x14ac:dyDescent="0.25">
      <c r="A132" s="5">
        <v>44461</v>
      </c>
      <c r="B132">
        <v>3.175E-2</v>
      </c>
      <c r="C132">
        <v>3.7220000000000003E-2</v>
      </c>
      <c r="D132">
        <v>3.1359999999999999E-2</v>
      </c>
      <c r="E132">
        <v>3.4619999999999998E-2</v>
      </c>
      <c r="F132">
        <v>118017979.5</v>
      </c>
      <c r="G132">
        <v>3.4619999999999998E-2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0.11262798634812175</v>
      </c>
      <c r="Q132">
        <f t="shared" ref="Q132" si="636">F132*P132</f>
        <v>13292127.383958913</v>
      </c>
      <c r="R132">
        <f t="shared" ref="R132" si="637">R133+Q132</f>
        <v>-3484595981.5635018</v>
      </c>
      <c r="S132">
        <f t="shared" ref="S132" si="638">R132/100000</f>
        <v>-34845.959815635018</v>
      </c>
      <c r="T132">
        <f t="shared" ref="T132" si="639">S132/1000</f>
        <v>-34.84595981563502</v>
      </c>
    </row>
    <row r="133" spans="1:20" x14ac:dyDescent="0.25">
      <c r="A133" s="5">
        <v>44460</v>
      </c>
      <c r="B133">
        <v>3.2809999999999999E-2</v>
      </c>
      <c r="C133">
        <v>3.4459999999999998E-2</v>
      </c>
      <c r="D133">
        <v>3.049E-2</v>
      </c>
      <c r="E133">
        <v>3.1399999999999997E-2</v>
      </c>
      <c r="F133">
        <v>40024251.700000003</v>
      </c>
      <c r="G133">
        <v>3.1399999999999997E-2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-0.54156171284634858</v>
      </c>
      <c r="Q133">
        <f t="shared" ref="Q133" si="641">F133*P133</f>
        <v>-21675602.306045379</v>
      </c>
      <c r="R133">
        <f t="shared" ref="R133" si="642">R134+Q133</f>
        <v>-3497888108.9474607</v>
      </c>
      <c r="S133">
        <f t="shared" ref="S133" si="643">R133/100000</f>
        <v>-34978.881089474606</v>
      </c>
      <c r="T133">
        <f t="shared" ref="T133" si="644">S133/1000</f>
        <v>-34.978881089474605</v>
      </c>
    </row>
    <row r="134" spans="1:20" x14ac:dyDescent="0.25">
      <c r="A134" s="5">
        <v>44459</v>
      </c>
      <c r="B134">
        <v>4.0399999999999998E-2</v>
      </c>
      <c r="C134">
        <v>4.0489999999999998E-2</v>
      </c>
      <c r="D134">
        <v>3.4130000000000001E-2</v>
      </c>
      <c r="E134">
        <v>3.567E-2</v>
      </c>
      <c r="F134">
        <v>33241739.100000001</v>
      </c>
      <c r="G134">
        <v>3.567E-2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-0.51572327044025146</v>
      </c>
      <c r="Q134">
        <f t="shared" ref="Q134" si="646">F134*P134</f>
        <v>-17143538.403773583</v>
      </c>
      <c r="R134">
        <f t="shared" ref="R134" si="647">R135+Q134</f>
        <v>-3476212506.6414151</v>
      </c>
      <c r="S134">
        <f t="shared" ref="S134" si="648">R134/100000</f>
        <v>-34762.125066414148</v>
      </c>
      <c r="T134">
        <f t="shared" ref="T134" si="649">S134/1000</f>
        <v>-34.76212506641415</v>
      </c>
    </row>
    <row r="135" spans="1:20" x14ac:dyDescent="0.25">
      <c r="A135" s="5">
        <v>44458</v>
      </c>
      <c r="B135">
        <v>3.9780000000000003E-2</v>
      </c>
      <c r="C135">
        <v>4.4479999999999999E-2</v>
      </c>
      <c r="D135">
        <v>3.8589999999999999E-2</v>
      </c>
      <c r="E135">
        <v>4.0399999999999998E-2</v>
      </c>
      <c r="F135">
        <v>76504744.400000006</v>
      </c>
      <c r="G135">
        <v>4.0399999999999998E-2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-0.38539898132427869</v>
      </c>
      <c r="Q135">
        <f t="shared" ref="Q135" si="651">F135*P135</f>
        <v>-29484850.558234315</v>
      </c>
      <c r="R135">
        <f t="shared" ref="R135" si="652">R136+Q135</f>
        <v>-3459068968.2376413</v>
      </c>
      <c r="S135">
        <f t="shared" ref="S135" si="653">R135/100000</f>
        <v>-34590.689682376411</v>
      </c>
      <c r="T135">
        <f t="shared" ref="T135" si="654">S135/1000</f>
        <v>-34.590689682376414</v>
      </c>
    </row>
    <row r="136" spans="1:20" x14ac:dyDescent="0.25">
      <c r="A136" s="5">
        <v>44457</v>
      </c>
      <c r="B136">
        <v>3.875E-2</v>
      </c>
      <c r="C136">
        <v>4.113E-2</v>
      </c>
      <c r="D136">
        <v>3.8150000000000003E-2</v>
      </c>
      <c r="E136">
        <v>3.9780000000000003E-2</v>
      </c>
      <c r="F136">
        <v>27246068.600000001</v>
      </c>
      <c r="G136">
        <v>3.9780000000000003E-2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9.3959731543625094E-2</v>
      </c>
      <c r="Q136">
        <f t="shared" ref="Q136" si="656">F136*P136</f>
        <v>2560033.2912751934</v>
      </c>
      <c r="R136">
        <f t="shared" ref="R136" si="657">R137+Q136</f>
        <v>-3429584117.6794071</v>
      </c>
      <c r="S136">
        <f t="shared" ref="S136" si="658">R136/100000</f>
        <v>-34295.841176794071</v>
      </c>
      <c r="T136">
        <f t="shared" ref="T136" si="659">S136/1000</f>
        <v>-34.29584117679407</v>
      </c>
    </row>
    <row r="137" spans="1:20" x14ac:dyDescent="0.25">
      <c r="A137" s="5">
        <v>44456</v>
      </c>
      <c r="B137">
        <v>4.0689999999999997E-2</v>
      </c>
      <c r="C137">
        <v>4.079E-2</v>
      </c>
      <c r="D137">
        <v>3.8010000000000002E-2</v>
      </c>
      <c r="E137">
        <v>3.8580000000000003E-2</v>
      </c>
      <c r="F137">
        <v>26250053.199999999</v>
      </c>
      <c r="G137">
        <v>3.8580000000000003E-2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-0.58992805755395572</v>
      </c>
      <c r="Q137">
        <f t="shared" ref="Q137" si="661">F137*P137</f>
        <v>-15485642.894963998</v>
      </c>
      <c r="R137">
        <f t="shared" ref="R137" si="662">R138+Q137</f>
        <v>-3432144150.9706821</v>
      </c>
      <c r="S137">
        <f t="shared" ref="S137" si="663">R137/100000</f>
        <v>-34321.441509706819</v>
      </c>
      <c r="T137">
        <f t="shared" ref="T137" si="664">S137/1000</f>
        <v>-34.321441509706823</v>
      </c>
    </row>
    <row r="138" spans="1:20" x14ac:dyDescent="0.25">
      <c r="A138" s="5">
        <v>44455</v>
      </c>
      <c r="B138">
        <v>4.0230000000000002E-2</v>
      </c>
      <c r="C138">
        <v>4.3299999999999998E-2</v>
      </c>
      <c r="D138">
        <v>3.9070000000000001E-2</v>
      </c>
      <c r="E138">
        <v>4.0750000000000001E-2</v>
      </c>
      <c r="F138">
        <v>58281856</v>
      </c>
      <c r="G138">
        <v>4.0750000000000001E-2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-0.20567375886524733</v>
      </c>
      <c r="Q138">
        <f t="shared" ref="Q138" si="666">F138*P138</f>
        <v>-11987048.397163069</v>
      </c>
      <c r="R138">
        <f t="shared" ref="R138" si="667">R139+Q138</f>
        <v>-3416658508.0757179</v>
      </c>
      <c r="S138">
        <f t="shared" ref="S138" si="668">R138/100000</f>
        <v>-34166.585080757177</v>
      </c>
      <c r="T138">
        <f t="shared" ref="T138" si="669">S138/1000</f>
        <v>-34.16658508075718</v>
      </c>
    </row>
    <row r="139" spans="1:20" x14ac:dyDescent="0.25">
      <c r="A139" s="5">
        <v>44454</v>
      </c>
      <c r="B139">
        <v>4.0259999999999997E-2</v>
      </c>
      <c r="C139">
        <v>4.163E-2</v>
      </c>
      <c r="D139">
        <v>3.9640000000000002E-2</v>
      </c>
      <c r="E139">
        <v>4.0210000000000003E-2</v>
      </c>
      <c r="F139">
        <v>35001649.5</v>
      </c>
      <c r="G139">
        <v>4.0210000000000003E-2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-0.42713567839195837</v>
      </c>
      <c r="Q139">
        <f t="shared" ref="Q139" si="671">F139*P139</f>
        <v>-14950453.304020051</v>
      </c>
      <c r="R139">
        <f t="shared" ref="R139" si="672">R140+Q139</f>
        <v>-3404671459.678555</v>
      </c>
      <c r="S139">
        <f t="shared" ref="S139" si="673">R139/100000</f>
        <v>-34046.714596785547</v>
      </c>
      <c r="T139">
        <f t="shared" ref="T139" si="674">S139/1000</f>
        <v>-34.046714596785549</v>
      </c>
    </row>
    <row r="140" spans="1:20" x14ac:dyDescent="0.25">
      <c r="A140" s="5">
        <v>44453</v>
      </c>
      <c r="B140">
        <v>3.7339999999999998E-2</v>
      </c>
      <c r="C140">
        <v>4.0989999999999999E-2</v>
      </c>
      <c r="D140">
        <v>3.7069999999999999E-2</v>
      </c>
      <c r="E140">
        <v>4.0280000000000003E-2</v>
      </c>
      <c r="F140">
        <v>40306126.399999999</v>
      </c>
      <c r="G140">
        <v>4.0280000000000003E-2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0.63775510204081864</v>
      </c>
      <c r="Q140">
        <f t="shared" ref="Q140" si="676">F140*P140</f>
        <v>25705437.755102132</v>
      </c>
      <c r="R140">
        <f t="shared" ref="R140" si="677">R141+Q140</f>
        <v>-3389721006.3745351</v>
      </c>
      <c r="S140">
        <f t="shared" ref="S140" si="678">R140/100000</f>
        <v>-33897.210063745348</v>
      </c>
      <c r="T140">
        <f t="shared" ref="T140" si="679">S140/1000</f>
        <v>-33.897210063745348</v>
      </c>
    </row>
    <row r="141" spans="1:20" x14ac:dyDescent="0.25">
      <c r="A141" s="5">
        <v>44452</v>
      </c>
      <c r="B141">
        <v>3.9719999999999998E-2</v>
      </c>
      <c r="C141">
        <v>4.02E-2</v>
      </c>
      <c r="D141">
        <v>3.5889999999999998E-2</v>
      </c>
      <c r="E141">
        <v>3.7330000000000002E-2</v>
      </c>
      <c r="F141">
        <v>35244599.299999997</v>
      </c>
      <c r="G141">
        <v>3.7330000000000002E-2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-0.33178654292343235</v>
      </c>
      <c r="Q141">
        <f t="shared" ref="Q141" si="681">F141*P141</f>
        <v>-11693683.758468622</v>
      </c>
      <c r="R141">
        <f t="shared" ref="R141" si="682">R142+Q141</f>
        <v>-3415426444.1296372</v>
      </c>
      <c r="S141">
        <f t="shared" ref="S141" si="683">R141/100000</f>
        <v>-34154.264441296371</v>
      </c>
      <c r="T141">
        <f t="shared" ref="T141" si="684">S141/1000</f>
        <v>-34.15426444129637</v>
      </c>
    </row>
    <row r="142" spans="1:20" x14ac:dyDescent="0.25">
      <c r="A142" s="5">
        <v>44451</v>
      </c>
      <c r="B142">
        <v>3.9919999999999997E-2</v>
      </c>
      <c r="C142">
        <v>4.0660000000000002E-2</v>
      </c>
      <c r="D142">
        <v>3.8600000000000002E-2</v>
      </c>
      <c r="E142">
        <v>3.9820000000000001E-2</v>
      </c>
      <c r="F142">
        <v>26918018.899999999</v>
      </c>
      <c r="G142">
        <v>3.9820000000000001E-2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0.18446601941747501</v>
      </c>
      <c r="Q142">
        <f t="shared" ref="Q142" si="686">F142*P142</f>
        <v>4965459.7970873592</v>
      </c>
      <c r="R142">
        <f t="shared" ref="R142" si="687">R143+Q142</f>
        <v>-3403732760.3711686</v>
      </c>
      <c r="S142">
        <f t="shared" ref="S142" si="688">R142/100000</f>
        <v>-34037.327603711688</v>
      </c>
      <c r="T142">
        <f t="shared" ref="T142" si="689">S142/1000</f>
        <v>-34.037327603711688</v>
      </c>
    </row>
    <row r="143" spans="1:20" x14ac:dyDescent="0.25">
      <c r="A143" s="5">
        <v>44450</v>
      </c>
      <c r="B143">
        <v>3.8679999999999999E-2</v>
      </c>
      <c r="C143">
        <v>4.2970000000000001E-2</v>
      </c>
      <c r="D143">
        <v>3.8640000000000001E-2</v>
      </c>
      <c r="E143">
        <v>3.9820000000000001E-2</v>
      </c>
      <c r="F143">
        <v>57609984.399999999</v>
      </c>
      <c r="G143">
        <v>3.9820000000000001E-2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-0.45496535796766729</v>
      </c>
      <c r="Q143">
        <f t="shared" ref="Q143" si="691">F143*P143</f>
        <v>-26210547.175057728</v>
      </c>
      <c r="R143">
        <f t="shared" ref="R143" si="692">R144+Q143</f>
        <v>-3408698220.1682558</v>
      </c>
      <c r="S143">
        <f t="shared" ref="S143" si="693">R143/100000</f>
        <v>-34086.982201682556</v>
      </c>
      <c r="T143">
        <f t="shared" ref="T143" si="694">S143/1000</f>
        <v>-34.086982201682559</v>
      </c>
    </row>
    <row r="144" spans="1:20" x14ac:dyDescent="0.25">
      <c r="A144" s="5">
        <v>44449</v>
      </c>
      <c r="B144">
        <v>3.9890000000000002E-2</v>
      </c>
      <c r="C144">
        <v>4.4790000000000003E-2</v>
      </c>
      <c r="D144">
        <v>3.6220000000000002E-2</v>
      </c>
      <c r="E144">
        <v>3.8670000000000003E-2</v>
      </c>
      <c r="F144">
        <v>98672506.400000006</v>
      </c>
      <c r="G144">
        <v>3.8670000000000003E-2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-0.42823803967327878</v>
      </c>
      <c r="Q144">
        <f t="shared" ref="Q144" si="696">F144*P144</f>
        <v>-42255320.710385054</v>
      </c>
      <c r="R144">
        <f t="shared" ref="R144" si="697">R145+Q144</f>
        <v>-3382487672.9931979</v>
      </c>
      <c r="S144">
        <f t="shared" ref="S144" si="698">R144/100000</f>
        <v>-33824.876729931981</v>
      </c>
      <c r="T144">
        <f t="shared" ref="T144" si="699">S144/1000</f>
        <v>-33.824876729931979</v>
      </c>
    </row>
    <row r="145" spans="1:20" x14ac:dyDescent="0.25">
      <c r="A145" s="5">
        <v>44448</v>
      </c>
      <c r="B145">
        <v>3.9129999999999998E-2</v>
      </c>
      <c r="C145">
        <v>4.1889999999999997E-2</v>
      </c>
      <c r="D145">
        <v>3.8129999999999997E-2</v>
      </c>
      <c r="E145">
        <v>3.9890000000000002E-2</v>
      </c>
      <c r="F145">
        <v>65834354.899999999</v>
      </c>
      <c r="G145">
        <v>3.9890000000000002E-2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-6.3829787234039967E-2</v>
      </c>
      <c r="Q145">
        <f t="shared" ref="Q145" si="701">F145*P145</f>
        <v>-4202192.8659572769</v>
      </c>
      <c r="R145">
        <f t="shared" ref="R145" si="702">R146+Q145</f>
        <v>-3340232352.2828131</v>
      </c>
      <c r="S145">
        <f t="shared" ref="S145" si="703">R145/100000</f>
        <v>-33402.323522828134</v>
      </c>
      <c r="T145">
        <f t="shared" ref="T145" si="704">S145/1000</f>
        <v>-33.402323522828134</v>
      </c>
    </row>
    <row r="146" spans="1:20" x14ac:dyDescent="0.25">
      <c r="A146" s="5">
        <v>44447</v>
      </c>
      <c r="B146">
        <v>4.0390000000000002E-2</v>
      </c>
      <c r="C146">
        <v>4.2139999999999997E-2</v>
      </c>
      <c r="D146">
        <v>3.5430000000000003E-2</v>
      </c>
      <c r="E146">
        <v>3.9050000000000001E-2</v>
      </c>
      <c r="F146">
        <v>46630767.399999999</v>
      </c>
      <c r="G146">
        <v>3.9050000000000001E-2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7.8986587183308976E-2</v>
      </c>
      <c r="Q146">
        <f t="shared" ref="Q146" si="706">F146*P146</f>
        <v>3683205.1746647018</v>
      </c>
      <c r="R146">
        <f t="shared" ref="R146" si="707">R147+Q146</f>
        <v>-3336030159.4168558</v>
      </c>
      <c r="S146">
        <f t="shared" ref="S146" si="708">R146/100000</f>
        <v>-33360.301594168559</v>
      </c>
      <c r="T146">
        <f t="shared" ref="T146" si="709">S146/1000</f>
        <v>-33.360301594168561</v>
      </c>
    </row>
    <row r="147" spans="1:20" x14ac:dyDescent="0.25">
      <c r="A147" s="5">
        <v>44446</v>
      </c>
      <c r="B147">
        <v>5.1020000000000003E-2</v>
      </c>
      <c r="C147">
        <v>5.1150000000000001E-2</v>
      </c>
      <c r="D147">
        <v>3.5200000000000002E-2</v>
      </c>
      <c r="E147">
        <v>4.0390000000000002E-2</v>
      </c>
      <c r="F147">
        <v>68262438.099999994</v>
      </c>
      <c r="G147">
        <v>4.0390000000000002E-2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-0.34921630094043882</v>
      </c>
      <c r="Q147">
        <f t="shared" ref="Q147" si="711">F147*P147</f>
        <v>-23838356.126457676</v>
      </c>
      <c r="R147">
        <f t="shared" ref="R147" si="712">R148+Q147</f>
        <v>-3339713364.5915203</v>
      </c>
      <c r="S147">
        <f t="shared" ref="S147" si="713">R147/100000</f>
        <v>-33397.133645915201</v>
      </c>
      <c r="T147">
        <f t="shared" ref="T147" si="714">S147/1000</f>
        <v>-33.397133645915204</v>
      </c>
    </row>
    <row r="148" spans="1:20" x14ac:dyDescent="0.25">
      <c r="A148" s="5">
        <v>44445</v>
      </c>
      <c r="B148">
        <v>4.9439999999999998E-2</v>
      </c>
      <c r="C148">
        <v>5.3120000000000001E-2</v>
      </c>
      <c r="D148">
        <v>4.7449999999999999E-2</v>
      </c>
      <c r="E148">
        <v>5.101E-2</v>
      </c>
      <c r="F148">
        <v>59691314.299999997</v>
      </c>
      <c r="G148">
        <v>5.101E-2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0.255731922398589</v>
      </c>
      <c r="Q148">
        <f t="shared" ref="Q148" si="716">F148*P148</f>
        <v>15264974.556437384</v>
      </c>
      <c r="R148">
        <f t="shared" ref="R148" si="717">R149+Q148</f>
        <v>-3315875008.4650626</v>
      </c>
      <c r="S148">
        <f t="shared" ref="S148" si="718">R148/100000</f>
        <v>-33158.750084650623</v>
      </c>
      <c r="T148">
        <f t="shared" ref="T148" si="719">S148/1000</f>
        <v>-33.15875008465062</v>
      </c>
    </row>
    <row r="149" spans="1:20" x14ac:dyDescent="0.25">
      <c r="A149" s="5">
        <v>44444</v>
      </c>
      <c r="B149">
        <v>4.7690000000000003E-2</v>
      </c>
      <c r="C149">
        <v>5.2999999999999999E-2</v>
      </c>
      <c r="D149">
        <v>4.7500000000000001E-2</v>
      </c>
      <c r="E149">
        <v>4.9399999999999999E-2</v>
      </c>
      <c r="F149">
        <v>84650713.299999997</v>
      </c>
      <c r="G149">
        <v>4.9399999999999999E-2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-0.30909090909090925</v>
      </c>
      <c r="Q149">
        <f t="shared" ref="Q149" si="721">F149*P149</f>
        <v>-26164765.929090921</v>
      </c>
      <c r="R149">
        <f t="shared" ref="R149" si="722">R150+Q149</f>
        <v>-3331139983.0215001</v>
      </c>
      <c r="S149">
        <f t="shared" ref="S149" si="723">R149/100000</f>
        <v>-33311.399830214999</v>
      </c>
      <c r="T149">
        <f t="shared" ref="T149" si="724">S149/1000</f>
        <v>-33.311399830215002</v>
      </c>
    </row>
    <row r="150" spans="1:20" x14ac:dyDescent="0.25">
      <c r="A150" s="5">
        <v>44443</v>
      </c>
      <c r="B150">
        <v>4.5249999999999999E-2</v>
      </c>
      <c r="C150">
        <v>4.8680000000000001E-2</v>
      </c>
      <c r="D150">
        <v>4.4810000000000003E-2</v>
      </c>
      <c r="E150">
        <v>4.7539999999999999E-2</v>
      </c>
      <c r="F150">
        <v>118718052.5</v>
      </c>
      <c r="G150">
        <v>4.7539999999999999E-2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0.41085271317829325</v>
      </c>
      <c r="Q150">
        <f t="shared" ref="Q150" si="726">F150*P150</f>
        <v>48775633.972868063</v>
      </c>
      <c r="R150">
        <f t="shared" ref="R150" si="727">R151+Q150</f>
        <v>-3304975217.0924091</v>
      </c>
      <c r="S150">
        <f t="shared" ref="S150" si="728">R150/100000</f>
        <v>-33049.75217092409</v>
      </c>
      <c r="T150">
        <f t="shared" ref="T150" si="729">S150/1000</f>
        <v>-33.049752170924087</v>
      </c>
    </row>
    <row r="151" spans="1:20" x14ac:dyDescent="0.25">
      <c r="A151" s="5">
        <v>44442</v>
      </c>
      <c r="B151">
        <v>4.6059999999999997E-2</v>
      </c>
      <c r="C151">
        <v>4.6980000000000001E-2</v>
      </c>
      <c r="D151">
        <v>4.4429999999999997E-2</v>
      </c>
      <c r="E151">
        <v>4.5199999999999997E-2</v>
      </c>
      <c r="F151">
        <v>52639143.399999999</v>
      </c>
      <c r="G151">
        <v>4.5199999999999997E-2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-0.39607843137255</v>
      </c>
      <c r="Q151">
        <f t="shared" ref="Q151" si="731">F151*P151</f>
        <v>-20849229.346666716</v>
      </c>
      <c r="R151">
        <f t="shared" ref="R151" si="732">R152+Q151</f>
        <v>-3353750851.0652771</v>
      </c>
      <c r="S151">
        <f t="shared" ref="S151" si="733">R151/100000</f>
        <v>-33537.508510652769</v>
      </c>
      <c r="T151">
        <f t="shared" ref="T151" si="734">S151/1000</f>
        <v>-33.537508510652771</v>
      </c>
    </row>
    <row r="152" spans="1:20" x14ac:dyDescent="0.25">
      <c r="A152" s="5">
        <v>44441</v>
      </c>
      <c r="B152">
        <v>4.6260000000000003E-2</v>
      </c>
      <c r="C152">
        <v>4.8280000000000003E-2</v>
      </c>
      <c r="D152">
        <v>4.5370000000000001E-2</v>
      </c>
      <c r="E152">
        <v>4.6089999999999999E-2</v>
      </c>
      <c r="F152">
        <v>69362119.400000006</v>
      </c>
      <c r="G152">
        <v>4.6089999999999999E-2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-0.50515463917525927</v>
      </c>
      <c r="Q152">
        <f t="shared" ref="Q152" si="736">F152*P152</f>
        <v>-35038596.397938251</v>
      </c>
      <c r="R152">
        <f t="shared" ref="R152" si="737">R153+Q152</f>
        <v>-3332901621.7186103</v>
      </c>
      <c r="S152">
        <f t="shared" ref="S152" si="738">R152/100000</f>
        <v>-33329.016217186101</v>
      </c>
      <c r="T152">
        <f t="shared" ref="T152" si="739">S152/1000</f>
        <v>-33.329016217186101</v>
      </c>
    </row>
    <row r="153" spans="1:20" x14ac:dyDescent="0.25">
      <c r="A153" s="5">
        <v>44440</v>
      </c>
      <c r="B153">
        <v>4.471E-2</v>
      </c>
      <c r="C153">
        <v>4.6269999999999999E-2</v>
      </c>
      <c r="D153">
        <v>4.3729999999999998E-2</v>
      </c>
      <c r="E153">
        <v>4.6249999999999999E-2</v>
      </c>
      <c r="F153">
        <v>39926835.899999999</v>
      </c>
      <c r="G153">
        <v>4.6249999999999999E-2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0.9842519685039377</v>
      </c>
      <c r="Q153">
        <f t="shared" ref="Q153" si="741">F153*P153</f>
        <v>39298066.83070869</v>
      </c>
      <c r="R153">
        <f t="shared" ref="R153" si="742">R154+Q153</f>
        <v>-3297863025.320672</v>
      </c>
      <c r="S153">
        <f t="shared" ref="S153" si="743">R153/100000</f>
        <v>-32978.63025320672</v>
      </c>
      <c r="T153">
        <f t="shared" ref="T153" si="744">S153/1000</f>
        <v>-32.978630253206717</v>
      </c>
    </row>
    <row r="154" spans="1:20" x14ac:dyDescent="0.25">
      <c r="A154" s="5">
        <v>44439</v>
      </c>
      <c r="B154">
        <v>4.7440000000000003E-2</v>
      </c>
      <c r="C154">
        <v>4.7649999999999998E-2</v>
      </c>
      <c r="D154">
        <v>4.4049999999999999E-2</v>
      </c>
      <c r="E154">
        <v>4.4740000000000002E-2</v>
      </c>
      <c r="F154">
        <v>44771760.5</v>
      </c>
      <c r="G154">
        <v>4.4740000000000002E-2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-0.61666666666666481</v>
      </c>
      <c r="Q154">
        <f t="shared" ref="Q154" si="746">F154*P154</f>
        <v>-27609252.308333252</v>
      </c>
      <c r="R154">
        <f t="shared" ref="R154" si="747">R155+Q154</f>
        <v>-3337161092.1513805</v>
      </c>
      <c r="S154">
        <f t="shared" ref="S154" si="748">R154/100000</f>
        <v>-33371.610921513806</v>
      </c>
      <c r="T154">
        <f t="shared" ref="T154" si="749">S154/1000</f>
        <v>-33.371610921513806</v>
      </c>
    </row>
    <row r="155" spans="1:20" x14ac:dyDescent="0.25">
      <c r="A155" s="5">
        <v>44438</v>
      </c>
      <c r="B155">
        <v>5.3010000000000002E-2</v>
      </c>
      <c r="C155">
        <v>5.6669999999999998E-2</v>
      </c>
      <c r="D155">
        <v>4.65E-2</v>
      </c>
      <c r="E155">
        <v>4.743E-2</v>
      </c>
      <c r="F155">
        <v>121285371.59999999</v>
      </c>
      <c r="G155">
        <v>4.743E-2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-0.81710914454277284</v>
      </c>
      <c r="Q155">
        <f t="shared" ref="Q155" si="751">F155*P155</f>
        <v>-99103386.233628318</v>
      </c>
      <c r="R155">
        <f t="shared" ref="R155" si="752">R156+Q155</f>
        <v>-3309551839.8430471</v>
      </c>
      <c r="S155">
        <f t="shared" ref="S155" si="753">R155/100000</f>
        <v>-33095.518398430475</v>
      </c>
      <c r="T155">
        <f t="shared" ref="T155" si="754">S155/1000</f>
        <v>-33.095518398430478</v>
      </c>
    </row>
    <row r="156" spans="1:20" x14ac:dyDescent="0.25">
      <c r="A156" s="5">
        <v>44437</v>
      </c>
      <c r="B156">
        <v>4.5699999999999998E-2</v>
      </c>
      <c r="C156">
        <v>5.5E-2</v>
      </c>
      <c r="D156">
        <v>4.2810000000000001E-2</v>
      </c>
      <c r="E156">
        <v>5.2999999999999999E-2</v>
      </c>
      <c r="F156">
        <v>224146912.59999999</v>
      </c>
      <c r="G156">
        <v>5.2999999999999999E-2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0.67186218211648863</v>
      </c>
      <c r="Q156">
        <f t="shared" ref="Q156" si="756">F156*P156</f>
        <v>150595833.81410986</v>
      </c>
      <c r="R156">
        <f t="shared" ref="R156" si="757">R157+Q156</f>
        <v>-3210448453.6094189</v>
      </c>
      <c r="S156">
        <f t="shared" ref="S156" si="758">R156/100000</f>
        <v>-32104.484536094187</v>
      </c>
      <c r="T156">
        <f t="shared" ref="T156" si="759">S156/1000</f>
        <v>-32.104484536094191</v>
      </c>
    </row>
    <row r="157" spans="1:20" x14ac:dyDescent="0.25">
      <c r="A157" s="5">
        <v>44436</v>
      </c>
      <c r="B157">
        <v>4.3529999999999999E-2</v>
      </c>
      <c r="C157">
        <v>4.7E-2</v>
      </c>
      <c r="D157">
        <v>4.2270000000000002E-2</v>
      </c>
      <c r="E157">
        <v>4.5699999999999998E-2</v>
      </c>
      <c r="F157">
        <v>52039611.600000001</v>
      </c>
      <c r="G157">
        <v>4.5699999999999998E-2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0.4503171247357281</v>
      </c>
      <c r="Q157">
        <f t="shared" ref="Q157" si="761">F157*P157</f>
        <v>23434328.268076044</v>
      </c>
      <c r="R157">
        <f t="shared" ref="R157" si="762">R158+Q157</f>
        <v>-3361044287.4235287</v>
      </c>
      <c r="S157">
        <f t="shared" ref="S157" si="763">R157/100000</f>
        <v>-33610.44287423529</v>
      </c>
      <c r="T157">
        <f t="shared" ref="T157" si="764">S157/1000</f>
        <v>-33.610442874235289</v>
      </c>
    </row>
    <row r="158" spans="1:20" x14ac:dyDescent="0.25">
      <c r="A158" s="5">
        <v>44435</v>
      </c>
      <c r="B158">
        <v>4.1610000000000001E-2</v>
      </c>
      <c r="C158">
        <v>4.4299999999999999E-2</v>
      </c>
      <c r="D158">
        <v>3.9890000000000002E-2</v>
      </c>
      <c r="E158">
        <v>4.3459999999999999E-2</v>
      </c>
      <c r="F158">
        <v>42771042.100000001</v>
      </c>
      <c r="G158">
        <v>4.3459999999999999E-2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0.61904761904761862</v>
      </c>
      <c r="Q158">
        <f t="shared" ref="Q158" si="766">F158*P158</f>
        <v>26477311.77619046</v>
      </c>
      <c r="R158">
        <f t="shared" ref="R158" si="767">R159+Q158</f>
        <v>-3384478615.6916046</v>
      </c>
      <c r="S158">
        <f t="shared" ref="S158" si="768">R158/100000</f>
        <v>-33844.786156916045</v>
      </c>
      <c r="T158">
        <f t="shared" ref="T158" si="769">S158/1000</f>
        <v>-33.844786156916044</v>
      </c>
    </row>
    <row r="159" spans="1:20" x14ac:dyDescent="0.25">
      <c r="A159" s="5">
        <v>44434</v>
      </c>
      <c r="B159">
        <v>4.2849999999999999E-2</v>
      </c>
      <c r="C159">
        <v>4.7500000000000001E-2</v>
      </c>
      <c r="D159">
        <v>4.1300000000000003E-2</v>
      </c>
      <c r="E159">
        <v>4.156E-2</v>
      </c>
      <c r="F159">
        <v>89650837.200000003</v>
      </c>
      <c r="G159">
        <v>4.156E-2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-0.91612903225806563</v>
      </c>
      <c r="Q159">
        <f t="shared" ref="Q159" si="771">F159*P159</f>
        <v>-82131734.725161389</v>
      </c>
      <c r="R159">
        <f t="shared" ref="R159" si="772">R160+Q159</f>
        <v>-3410955927.4677949</v>
      </c>
      <c r="S159">
        <f t="shared" ref="S159" si="773">R159/100000</f>
        <v>-34109.559274677951</v>
      </c>
      <c r="T159">
        <f t="shared" ref="T159" si="774">S159/1000</f>
        <v>-34.109559274677949</v>
      </c>
    </row>
    <row r="160" spans="1:20" x14ac:dyDescent="0.25">
      <c r="A160" s="5">
        <v>44433</v>
      </c>
      <c r="B160">
        <v>4.0070000000000001E-2</v>
      </c>
      <c r="C160">
        <v>4.3749999999999997E-2</v>
      </c>
      <c r="D160">
        <v>3.8690000000000002E-2</v>
      </c>
      <c r="E160">
        <v>4.2889999999999998E-2</v>
      </c>
      <c r="F160">
        <v>42246216.200000003</v>
      </c>
      <c r="G160">
        <v>4.2889999999999998E-2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0.66007905138339906</v>
      </c>
      <c r="Q160">
        <f t="shared" ref="Q160" si="776">F160*P160</f>
        <v>27885842.313833989</v>
      </c>
      <c r="R160">
        <f t="shared" ref="R160" si="777">R161+Q160</f>
        <v>-3328824192.7426333</v>
      </c>
      <c r="S160">
        <f t="shared" ref="S160" si="778">R160/100000</f>
        <v>-33288.24192742633</v>
      </c>
      <c r="T160">
        <f t="shared" ref="T160" si="779">S160/1000</f>
        <v>-33.288241927426327</v>
      </c>
    </row>
    <row r="161" spans="1:20" x14ac:dyDescent="0.25">
      <c r="A161" s="5">
        <v>44432</v>
      </c>
      <c r="B161">
        <v>4.156E-2</v>
      </c>
      <c r="C161">
        <v>4.4790000000000003E-2</v>
      </c>
      <c r="D161">
        <v>4.0009999999999997E-2</v>
      </c>
      <c r="E161">
        <v>4.0079999999999998E-2</v>
      </c>
      <c r="F161">
        <v>43776937.200000003</v>
      </c>
      <c r="G161">
        <v>4.0079999999999998E-2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-0.97071129707112946</v>
      </c>
      <c r="Q161">
        <f t="shared" ref="Q161" si="781">F161*P161</f>
        <v>-42494767.491213381</v>
      </c>
      <c r="R161">
        <f t="shared" ref="R161" si="782">R162+Q161</f>
        <v>-3356710035.0564675</v>
      </c>
      <c r="S161">
        <f t="shared" ref="S161" si="783">R161/100000</f>
        <v>-33567.100350564673</v>
      </c>
      <c r="T161">
        <f t="shared" ref="T161" si="784">S161/1000</f>
        <v>-33.567100350564672</v>
      </c>
    </row>
    <row r="162" spans="1:20" x14ac:dyDescent="0.25">
      <c r="A162" s="5">
        <v>44431</v>
      </c>
      <c r="B162">
        <v>4.0939999999999997E-2</v>
      </c>
      <c r="C162">
        <v>4.3430000000000003E-2</v>
      </c>
      <c r="D162">
        <v>4.0590000000000001E-2</v>
      </c>
      <c r="E162">
        <v>4.1590000000000002E-2</v>
      </c>
      <c r="F162">
        <v>45329235.799999997</v>
      </c>
      <c r="G162">
        <v>4.1590000000000002E-2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-0.29577464788732388</v>
      </c>
      <c r="Q162">
        <f t="shared" ref="Q162" si="786">F162*P162</f>
        <v>-13407238.757746475</v>
      </c>
      <c r="R162">
        <f t="shared" ref="R162" si="787">R163+Q162</f>
        <v>-3314215267.5652542</v>
      </c>
      <c r="S162">
        <f t="shared" ref="S162" si="788">R162/100000</f>
        <v>-33142.152675652542</v>
      </c>
      <c r="T162">
        <f t="shared" ref="T162" si="789">S162/1000</f>
        <v>-33.14215267565254</v>
      </c>
    </row>
    <row r="163" spans="1:20" x14ac:dyDescent="0.25">
      <c r="A163" s="5">
        <v>44430</v>
      </c>
      <c r="B163">
        <v>4.1540000000000001E-2</v>
      </c>
      <c r="C163">
        <v>4.2119999999999998E-2</v>
      </c>
      <c r="D163">
        <v>4.0599999999999997E-2</v>
      </c>
      <c r="E163">
        <v>4.1430000000000002E-2</v>
      </c>
      <c r="F163">
        <v>16338924.5</v>
      </c>
      <c r="G163">
        <v>4.1430000000000002E-2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9.2105263157900089E-2</v>
      </c>
      <c r="Q163">
        <f t="shared" ref="Q163" si="791">F163*P163</f>
        <v>1504900.940789561</v>
      </c>
      <c r="R163">
        <f t="shared" ref="R163" si="792">R164+Q163</f>
        <v>-3300808028.8075075</v>
      </c>
      <c r="S163">
        <f t="shared" ref="S163" si="793">R163/100000</f>
        <v>-33008.080288075078</v>
      </c>
      <c r="T163">
        <f t="shared" ref="T163" si="794">S163/1000</f>
        <v>-33.008080288075078</v>
      </c>
    </row>
    <row r="164" spans="1:20" x14ac:dyDescent="0.25">
      <c r="A164" s="5">
        <v>44429</v>
      </c>
      <c r="B164">
        <v>4.3659999999999997E-2</v>
      </c>
      <c r="C164">
        <v>4.4389999999999999E-2</v>
      </c>
      <c r="D164">
        <v>4.1450000000000001E-2</v>
      </c>
      <c r="E164">
        <v>4.1500000000000002E-2</v>
      </c>
      <c r="F164">
        <v>44519597.600000001</v>
      </c>
      <c r="G164">
        <v>4.1500000000000002E-2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-0.96598639455782209</v>
      </c>
      <c r="Q164">
        <f t="shared" ref="Q164" si="796">F164*P164</f>
        <v>-43005325.572789073</v>
      </c>
      <c r="R164">
        <f t="shared" ref="R164" si="797">R165+Q164</f>
        <v>-3302312929.7482972</v>
      </c>
      <c r="S164">
        <f t="shared" ref="S164" si="798">R164/100000</f>
        <v>-33023.12929748297</v>
      </c>
      <c r="T164">
        <f t="shared" ref="T164" si="799">S164/1000</f>
        <v>-33.023129297482967</v>
      </c>
    </row>
    <row r="165" spans="1:20" x14ac:dyDescent="0.25">
      <c r="A165" s="5">
        <v>44428</v>
      </c>
      <c r="B165">
        <v>4.1450000000000001E-2</v>
      </c>
      <c r="C165">
        <v>4.6249999999999999E-2</v>
      </c>
      <c r="D165">
        <v>4.122E-2</v>
      </c>
      <c r="E165">
        <v>4.3650000000000001E-2</v>
      </c>
      <c r="F165">
        <v>68485360.599999994</v>
      </c>
      <c r="G165">
        <v>4.3650000000000001E-2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-3.3797216699800507E-2</v>
      </c>
      <c r="Q165">
        <f t="shared" ref="Q165" si="801">F165*P165</f>
        <v>-2314614.5729621793</v>
      </c>
      <c r="R165">
        <f t="shared" ref="R165" si="802">R166+Q165</f>
        <v>-3259307604.175508</v>
      </c>
      <c r="S165">
        <f t="shared" ref="S165" si="803">R165/100000</f>
        <v>-32593.076041755081</v>
      </c>
      <c r="T165">
        <f t="shared" ref="T165" si="804">S165/1000</f>
        <v>-32.593076041755083</v>
      </c>
    </row>
    <row r="166" spans="1:20" x14ac:dyDescent="0.25">
      <c r="A166" s="5">
        <v>44427</v>
      </c>
      <c r="B166">
        <v>4.0590000000000001E-2</v>
      </c>
      <c r="C166">
        <v>4.181E-2</v>
      </c>
      <c r="D166">
        <v>3.8859999999999999E-2</v>
      </c>
      <c r="E166">
        <v>4.1509999999999998E-2</v>
      </c>
      <c r="F166">
        <v>40085554.5</v>
      </c>
      <c r="G166">
        <v>4.1509999999999998E-2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0.79661016949152441</v>
      </c>
      <c r="Q166">
        <f t="shared" ref="Q166" si="806">F166*P166</f>
        <v>31932560.364406738</v>
      </c>
      <c r="R166">
        <f t="shared" ref="R166" si="807">R167+Q166</f>
        <v>-3256992989.6025457</v>
      </c>
      <c r="S166">
        <f t="shared" ref="S166" si="808">R166/100000</f>
        <v>-32569.929896025456</v>
      </c>
      <c r="T166">
        <f t="shared" ref="T166" si="809">S166/1000</f>
        <v>-32.569929896025457</v>
      </c>
    </row>
    <row r="167" spans="1:20" x14ac:dyDescent="0.25">
      <c r="A167" s="5">
        <v>44426</v>
      </c>
      <c r="B167">
        <v>4.1250000000000002E-2</v>
      </c>
      <c r="C167">
        <v>4.265E-2</v>
      </c>
      <c r="D167">
        <v>3.8859999999999999E-2</v>
      </c>
      <c r="E167">
        <v>4.0590000000000001E-2</v>
      </c>
      <c r="F167">
        <v>43665199.399999999</v>
      </c>
      <c r="G167">
        <v>4.0590000000000001E-2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-8.7071240105540057E-2</v>
      </c>
      <c r="Q167">
        <f t="shared" ref="Q167" si="811">F167*P167</f>
        <v>-3801983.0612136833</v>
      </c>
      <c r="R167">
        <f t="shared" ref="R167" si="812">R168+Q167</f>
        <v>-3288925549.9669523</v>
      </c>
      <c r="S167">
        <f t="shared" ref="S167" si="813">R167/100000</f>
        <v>-32889.255499669525</v>
      </c>
      <c r="T167">
        <f t="shared" ref="T167" si="814">S167/1000</f>
        <v>-32.889255499669524</v>
      </c>
    </row>
    <row r="168" spans="1:20" x14ac:dyDescent="0.25">
      <c r="A168" s="5">
        <v>44425</v>
      </c>
      <c r="B168">
        <v>4.2680000000000003E-2</v>
      </c>
      <c r="C168">
        <v>4.8399999999999999E-2</v>
      </c>
      <c r="D168">
        <v>4.0149999999999998E-2</v>
      </c>
      <c r="E168">
        <v>4.1279999999999997E-2</v>
      </c>
      <c r="F168">
        <v>132435744.59999999</v>
      </c>
      <c r="G168">
        <v>4.1279999999999997E-2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-0.7260606060606063</v>
      </c>
      <c r="Q168">
        <f t="shared" ref="Q168" si="816">F168*P168</f>
        <v>-96156376.988363668</v>
      </c>
      <c r="R168">
        <f t="shared" ref="R168" si="817">R169+Q168</f>
        <v>-3285123566.9057388</v>
      </c>
      <c r="S168">
        <f t="shared" ref="S168" si="818">R168/100000</f>
        <v>-32851.235669057387</v>
      </c>
      <c r="T168">
        <f t="shared" ref="T168" si="819">S168/1000</f>
        <v>-32.851235669057388</v>
      </c>
    </row>
    <row r="169" spans="1:20" x14ac:dyDescent="0.25">
      <c r="A169" s="5">
        <v>44424</v>
      </c>
      <c r="B169">
        <v>4.0320000000000002E-2</v>
      </c>
      <c r="C169">
        <v>4.691E-2</v>
      </c>
      <c r="D169">
        <v>3.9559999999999998E-2</v>
      </c>
      <c r="E169">
        <v>4.2680000000000003E-2</v>
      </c>
      <c r="F169">
        <v>194911892.19999999</v>
      </c>
      <c r="G169">
        <v>4.2680000000000003E-2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-0.15102040816326429</v>
      </c>
      <c r="Q169">
        <f t="shared" ref="Q169" si="821">F169*P169</f>
        <v>-29435673.515918165</v>
      </c>
      <c r="R169">
        <f t="shared" ref="R169" si="822">R170+Q169</f>
        <v>-3188967189.9173751</v>
      </c>
      <c r="S169">
        <f t="shared" ref="S169" si="823">R169/100000</f>
        <v>-31889.671899173751</v>
      </c>
      <c r="T169">
        <f t="shared" ref="T169" si="824">S169/1000</f>
        <v>-31.889671899173752</v>
      </c>
    </row>
    <row r="170" spans="1:20" x14ac:dyDescent="0.25">
      <c r="A170" s="5">
        <v>44423</v>
      </c>
      <c r="B170">
        <v>4.0120000000000003E-2</v>
      </c>
      <c r="C170">
        <v>4.3819999999999998E-2</v>
      </c>
      <c r="D170">
        <v>3.9129999999999998E-2</v>
      </c>
      <c r="E170">
        <v>4.0329999999999998E-2</v>
      </c>
      <c r="F170">
        <v>148555002</v>
      </c>
      <c r="G170">
        <v>4.0329999999999998E-2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-0.4882729211087421</v>
      </c>
      <c r="Q170">
        <f t="shared" ref="Q170" si="826">F170*P170</f>
        <v>-72535384.771855026</v>
      </c>
      <c r="R170">
        <f t="shared" ref="R170" si="827">R171+Q170</f>
        <v>-3159531516.4014568</v>
      </c>
      <c r="S170">
        <f t="shared" ref="S170" si="828">R170/100000</f>
        <v>-31595.31516401457</v>
      </c>
      <c r="T170">
        <f t="shared" ref="T170" si="829">S170/1000</f>
        <v>-31.595315164014568</v>
      </c>
    </row>
    <row r="171" spans="1:20" x14ac:dyDescent="0.25">
      <c r="A171" s="5">
        <v>44422</v>
      </c>
      <c r="B171">
        <v>3.6929999999999998E-2</v>
      </c>
      <c r="C171">
        <v>4.1000000000000002E-2</v>
      </c>
      <c r="D171">
        <v>3.4889999999999997E-2</v>
      </c>
      <c r="E171">
        <v>4.0120000000000003E-2</v>
      </c>
      <c r="F171">
        <v>118735398.7</v>
      </c>
      <c r="G171">
        <v>4.0120000000000003E-2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0.71194762684124446</v>
      </c>
      <c r="Q171">
        <f t="shared" ref="Q171" si="831">F171*P171</f>
        <v>84533385.326513991</v>
      </c>
      <c r="R171">
        <f t="shared" ref="R171" si="832">R172+Q171</f>
        <v>-3086996131.629602</v>
      </c>
      <c r="S171">
        <f t="shared" ref="S171" si="833">R171/100000</f>
        <v>-30869.96131629602</v>
      </c>
      <c r="T171">
        <f t="shared" ref="T171" si="834">S171/1000</f>
        <v>-30.86996131629602</v>
      </c>
    </row>
    <row r="172" spans="1:20" x14ac:dyDescent="0.25">
      <c r="A172" s="5">
        <v>44421</v>
      </c>
      <c r="B172">
        <v>3.2559999999999999E-2</v>
      </c>
      <c r="C172">
        <v>3.9280000000000002E-2</v>
      </c>
      <c r="D172">
        <v>3.2300000000000002E-2</v>
      </c>
      <c r="E172">
        <v>3.6970000000000003E-2</v>
      </c>
      <c r="F172">
        <v>118515116.90000001</v>
      </c>
      <c r="G172">
        <v>3.6970000000000003E-2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0.33810888252149013</v>
      </c>
      <c r="Q172">
        <f t="shared" ref="Q172" si="836">F172*P172</f>
        <v>40071013.736962773</v>
      </c>
      <c r="R172">
        <f t="shared" ref="R172" si="837">R173+Q172</f>
        <v>-3171529516.9561157</v>
      </c>
      <c r="S172">
        <f t="shared" ref="S172" si="838">R172/100000</f>
        <v>-31715.295169561155</v>
      </c>
      <c r="T172">
        <f t="shared" ref="T172" si="839">S172/1000</f>
        <v>-31.715295169561156</v>
      </c>
    </row>
    <row r="173" spans="1:20" x14ac:dyDescent="0.25">
      <c r="A173" s="5">
        <v>44420</v>
      </c>
      <c r="B173">
        <v>3.2219999999999999E-2</v>
      </c>
      <c r="C173">
        <v>3.5799999999999998E-2</v>
      </c>
      <c r="D173">
        <v>3.0630000000000001E-2</v>
      </c>
      <c r="E173">
        <v>3.2500000000000001E-2</v>
      </c>
      <c r="F173">
        <v>71709447.900000006</v>
      </c>
      <c r="G173">
        <v>3.2500000000000001E-2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-0.27659574468085069</v>
      </c>
      <c r="Q173">
        <f t="shared" ref="Q173" si="841">F173*P173</f>
        <v>-19834528.142553166</v>
      </c>
      <c r="R173">
        <f t="shared" ref="R173" si="842">R174+Q173</f>
        <v>-3211600530.6930785</v>
      </c>
      <c r="S173">
        <f t="shared" ref="S173" si="843">R173/100000</f>
        <v>-32116.005306930787</v>
      </c>
      <c r="T173">
        <f t="shared" ref="T173" si="844">S173/1000</f>
        <v>-32.116005306930788</v>
      </c>
    </row>
    <row r="174" spans="1:20" x14ac:dyDescent="0.25">
      <c r="A174" s="5">
        <v>44419</v>
      </c>
      <c r="B174">
        <v>3.092E-2</v>
      </c>
      <c r="C174">
        <v>3.4000000000000002E-2</v>
      </c>
      <c r="D174">
        <v>3.0689999999999999E-2</v>
      </c>
      <c r="E174">
        <v>3.2340000000000001E-2</v>
      </c>
      <c r="F174">
        <v>64695481.399999999</v>
      </c>
      <c r="G174">
        <v>3.2340000000000001E-2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-3.0211480362536498E-3</v>
      </c>
      <c r="Q174">
        <f t="shared" ref="Q174" si="846">F174*P174</f>
        <v>-195454.62658609453</v>
      </c>
      <c r="R174">
        <f t="shared" ref="R174" si="847">R175+Q174</f>
        <v>-3191766002.5505252</v>
      </c>
      <c r="S174">
        <f t="shared" ref="S174" si="848">R174/100000</f>
        <v>-31917.660025505251</v>
      </c>
      <c r="T174">
        <f t="shared" ref="T174" si="849">S174/1000</f>
        <v>-31.917660025505249</v>
      </c>
    </row>
    <row r="175" spans="1:20" x14ac:dyDescent="0.25">
      <c r="A175" s="5">
        <v>44418</v>
      </c>
      <c r="B175">
        <v>3.1150000000000001E-2</v>
      </c>
      <c r="C175">
        <v>3.1449999999999999E-2</v>
      </c>
      <c r="D175">
        <v>2.9190000000000001E-2</v>
      </c>
      <c r="E175">
        <v>3.0880000000000001E-2</v>
      </c>
      <c r="F175">
        <v>31354916.800000001</v>
      </c>
      <c r="G175">
        <v>3.0880000000000001E-2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0.49557522123893977</v>
      </c>
      <c r="Q175">
        <f t="shared" ref="Q175" si="851">F175*P175</f>
        <v>15538719.83008855</v>
      </c>
      <c r="R175">
        <f t="shared" ref="R175" si="852">R176+Q175</f>
        <v>-3191570547.9239392</v>
      </c>
      <c r="S175">
        <f t="shared" ref="S175" si="853">R175/100000</f>
        <v>-31915.705479239394</v>
      </c>
      <c r="T175">
        <f t="shared" ref="T175" si="854">S175/1000</f>
        <v>-31.915705479239392</v>
      </c>
    </row>
    <row r="176" spans="1:20" x14ac:dyDescent="0.25">
      <c r="A176" s="5">
        <v>44417</v>
      </c>
      <c r="B176">
        <v>2.7390000000000001E-2</v>
      </c>
      <c r="C176">
        <v>3.39E-2</v>
      </c>
      <c r="D176">
        <v>2.673E-2</v>
      </c>
      <c r="E176">
        <v>3.116E-2</v>
      </c>
      <c r="F176">
        <v>80808026.5</v>
      </c>
      <c r="G176">
        <v>3.116E-2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0.23570432357043244</v>
      </c>
      <c r="Q176">
        <f t="shared" ref="Q176" si="856">F176*P176</f>
        <v>19046801.225244079</v>
      </c>
      <c r="R176">
        <f t="shared" ref="R176" si="857">R177+Q176</f>
        <v>-3207109267.7540278</v>
      </c>
      <c r="S176">
        <f t="shared" ref="S176" si="858">R176/100000</f>
        <v>-32071.092677540277</v>
      </c>
      <c r="T176">
        <f t="shared" ref="T176" si="859">S176/1000</f>
        <v>-32.071092677540278</v>
      </c>
    </row>
    <row r="177" spans="1:20" x14ac:dyDescent="0.25">
      <c r="A177" s="5">
        <v>44416</v>
      </c>
      <c r="B177">
        <v>3.0540000000000001E-2</v>
      </c>
      <c r="C177">
        <v>3.066E-2</v>
      </c>
      <c r="D177">
        <v>2.7199999999999998E-2</v>
      </c>
      <c r="E177">
        <v>2.7390000000000001E-2</v>
      </c>
      <c r="F177">
        <v>49205242</v>
      </c>
      <c r="G177">
        <v>2.7390000000000001E-2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-0.89017341040462272</v>
      </c>
      <c r="Q177">
        <f t="shared" ref="Q177" si="861">F177*P177</f>
        <v>-43801198.080924779</v>
      </c>
      <c r="R177">
        <f t="shared" ref="R177" si="862">R178+Q177</f>
        <v>-3226156068.9792719</v>
      </c>
      <c r="S177">
        <f t="shared" ref="S177" si="863">R177/100000</f>
        <v>-32261.560689792717</v>
      </c>
      <c r="T177">
        <f t="shared" ref="T177" si="864">S177/1000</f>
        <v>-32.261560689792717</v>
      </c>
    </row>
    <row r="178" spans="1:20" x14ac:dyDescent="0.25">
      <c r="A178" s="5">
        <v>44415</v>
      </c>
      <c r="B178">
        <v>2.9350000000000001E-2</v>
      </c>
      <c r="C178">
        <v>3.159E-2</v>
      </c>
      <c r="D178">
        <v>2.912E-2</v>
      </c>
      <c r="E178">
        <v>3.0519999999999999E-2</v>
      </c>
      <c r="F178">
        <v>33308226.5</v>
      </c>
      <c r="G178">
        <v>3.0519999999999999E-2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0.13360323886639552</v>
      </c>
      <c r="Q178">
        <f t="shared" ref="Q178" si="866">F178*P178</f>
        <v>4450086.9412955055</v>
      </c>
      <c r="R178">
        <f t="shared" ref="R178" si="867">R179+Q178</f>
        <v>-3182354870.8983469</v>
      </c>
      <c r="S178">
        <f t="shared" ref="S178" si="868">R178/100000</f>
        <v>-31823.548708983468</v>
      </c>
      <c r="T178">
        <f t="shared" ref="T178" si="869">S178/1000</f>
        <v>-31.823548708983466</v>
      </c>
    </row>
    <row r="179" spans="1:20" x14ac:dyDescent="0.25">
      <c r="A179" s="5">
        <v>44414</v>
      </c>
      <c r="B179">
        <v>2.7660000000000001E-2</v>
      </c>
      <c r="C179">
        <v>3.1E-2</v>
      </c>
      <c r="D179">
        <v>2.7019999999999999E-2</v>
      </c>
      <c r="E179">
        <v>2.9340000000000001E-2</v>
      </c>
      <c r="F179">
        <v>39837733.799999997</v>
      </c>
      <c r="G179">
        <v>2.9340000000000001E-2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0.16582914572864427</v>
      </c>
      <c r="Q179">
        <f t="shared" ref="Q179" si="871">F179*P179</f>
        <v>6606257.3638191372</v>
      </c>
      <c r="R179">
        <f t="shared" ref="R179" si="872">R180+Q179</f>
        <v>-3186804957.8396425</v>
      </c>
      <c r="S179">
        <f t="shared" ref="S179" si="873">R179/100000</f>
        <v>-31868.049578396425</v>
      </c>
      <c r="T179">
        <f t="shared" ref="T179" si="874">S179/1000</f>
        <v>-31.868049578396427</v>
      </c>
    </row>
    <row r="180" spans="1:20" x14ac:dyDescent="0.25">
      <c r="A180" s="5">
        <v>44413</v>
      </c>
      <c r="B180">
        <v>2.6280000000000001E-2</v>
      </c>
      <c r="C180">
        <v>2.8500000000000001E-2</v>
      </c>
      <c r="D180">
        <v>2.5899999999999999E-2</v>
      </c>
      <c r="E180">
        <v>2.759E-2</v>
      </c>
      <c r="F180">
        <v>64916372.299999997</v>
      </c>
      <c r="G180">
        <v>2.759E-2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0.2999999999999996</v>
      </c>
      <c r="Q180">
        <f t="shared" ref="Q180" si="876">F180*P180</f>
        <v>19474911.689999972</v>
      </c>
      <c r="R180">
        <f t="shared" ref="R180" si="877">R181+Q180</f>
        <v>-3193411215.2034616</v>
      </c>
      <c r="S180">
        <f t="shared" ref="S180" si="878">R180/100000</f>
        <v>-31934.112152034617</v>
      </c>
      <c r="T180">
        <f t="shared" ref="T180" si="879">S180/1000</f>
        <v>-31.934112152034619</v>
      </c>
    </row>
    <row r="181" spans="1:20" x14ac:dyDescent="0.25">
      <c r="A181" s="5">
        <v>44412</v>
      </c>
      <c r="B181">
        <v>2.5350000000000001E-2</v>
      </c>
      <c r="C181">
        <v>2.6499999999999999E-2</v>
      </c>
      <c r="D181">
        <v>2.4420000000000001E-2</v>
      </c>
      <c r="E181">
        <v>2.63E-2</v>
      </c>
      <c r="F181">
        <v>31669982.300000001</v>
      </c>
      <c r="G181">
        <v>2.63E-2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0.80769230769230871</v>
      </c>
      <c r="Q181">
        <f t="shared" ref="Q181" si="881">F181*P181</f>
        <v>25579601.08846157</v>
      </c>
      <c r="R181">
        <f t="shared" ref="R181" si="882">R182+Q181</f>
        <v>-3212886126.8934617</v>
      </c>
      <c r="S181">
        <f t="shared" ref="S181" si="883">R181/100000</f>
        <v>-32128.861268934616</v>
      </c>
      <c r="T181">
        <f t="shared" ref="T181" si="884">S181/1000</f>
        <v>-32.128861268934614</v>
      </c>
    </row>
    <row r="182" spans="1:20" x14ac:dyDescent="0.25">
      <c r="A182" s="5">
        <v>44411</v>
      </c>
      <c r="B182">
        <v>2.6769999999999999E-2</v>
      </c>
      <c r="C182">
        <v>2.7099999999999999E-2</v>
      </c>
      <c r="D182">
        <v>2.5139999999999999E-2</v>
      </c>
      <c r="E182">
        <v>2.5340000000000001E-2</v>
      </c>
      <c r="F182">
        <v>42888661.100000001</v>
      </c>
      <c r="G182">
        <v>2.5340000000000001E-2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-0.79591836734693644</v>
      </c>
      <c r="Q182">
        <f t="shared" ref="Q182" si="886">F182*P182</f>
        <v>-34135873.120408066</v>
      </c>
      <c r="R182">
        <f t="shared" ref="R182" si="887">R183+Q182</f>
        <v>-3238465727.9819231</v>
      </c>
      <c r="S182">
        <f t="shared" ref="S182" si="888">R182/100000</f>
        <v>-32384.657279819232</v>
      </c>
      <c r="T182">
        <f t="shared" ref="T182" si="889">S182/1000</f>
        <v>-32.38465727981923</v>
      </c>
    </row>
    <row r="183" spans="1:20" x14ac:dyDescent="0.25">
      <c r="A183" s="5">
        <v>44410</v>
      </c>
      <c r="B183">
        <v>2.6689999999999998E-2</v>
      </c>
      <c r="C183">
        <v>2.8850000000000001E-2</v>
      </c>
      <c r="D183">
        <v>2.6110000000000001E-2</v>
      </c>
      <c r="E183">
        <v>2.6700000000000002E-2</v>
      </c>
      <c r="F183">
        <v>77680513.099999994</v>
      </c>
      <c r="G183">
        <v>2.6700000000000002E-2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-0.56934306569343041</v>
      </c>
      <c r="Q183">
        <f t="shared" ref="Q183" si="891">F183*P183</f>
        <v>-44226861.472992681</v>
      </c>
      <c r="R183">
        <f t="shared" ref="R183" si="892">R184+Q183</f>
        <v>-3204329854.861515</v>
      </c>
      <c r="S183">
        <f t="shared" ref="S183" si="893">R183/100000</f>
        <v>-32043.298548615152</v>
      </c>
      <c r="T183">
        <f t="shared" ref="T183" si="894">S183/1000</f>
        <v>-32.043298548615155</v>
      </c>
    </row>
    <row r="184" spans="1:20" x14ac:dyDescent="0.25">
      <c r="A184" s="5">
        <v>44409</v>
      </c>
      <c r="B184">
        <v>2.6179999999999998E-2</v>
      </c>
      <c r="C184">
        <v>2.8049999999999999E-2</v>
      </c>
      <c r="D184">
        <v>2.589E-2</v>
      </c>
      <c r="E184">
        <v>2.6700000000000002E-2</v>
      </c>
      <c r="F184">
        <v>44409527.299999997</v>
      </c>
      <c r="G184">
        <v>2.6700000000000002E-2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-0.249999999999998</v>
      </c>
      <c r="Q184">
        <f t="shared" ref="Q184" si="896">F184*P184</f>
        <v>-11102381.82499991</v>
      </c>
      <c r="R184">
        <f t="shared" ref="R184" si="897">R185+Q184</f>
        <v>-3160102993.3885221</v>
      </c>
      <c r="S184">
        <f t="shared" ref="S184" si="898">R184/100000</f>
        <v>-31601.02993388522</v>
      </c>
      <c r="T184">
        <f t="shared" ref="T184" si="899">S184/1000</f>
        <v>-31.601029933885219</v>
      </c>
    </row>
    <row r="185" spans="1:20" x14ac:dyDescent="0.25">
      <c r="A185" s="5">
        <v>44408</v>
      </c>
      <c r="B185">
        <v>2.5760000000000002E-2</v>
      </c>
      <c r="C185">
        <v>2.7629999999999998E-2</v>
      </c>
      <c r="D185">
        <v>2.4830000000000001E-2</v>
      </c>
      <c r="E185">
        <v>2.6159999999999999E-2</v>
      </c>
      <c r="F185">
        <v>81683556.400000006</v>
      </c>
      <c r="G185">
        <v>2.6159999999999999E-2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-5.0000000000000495E-2</v>
      </c>
      <c r="Q185">
        <f t="shared" ref="Q185" si="901">F185*P185</f>
        <v>-4084177.8200000408</v>
      </c>
      <c r="R185">
        <f t="shared" ref="R185" si="902">R186+Q185</f>
        <v>-3149000611.5635223</v>
      </c>
      <c r="S185">
        <f t="shared" ref="S185" si="903">R185/100000</f>
        <v>-31490.006115635224</v>
      </c>
      <c r="T185">
        <f t="shared" ref="T185" si="904">S185/1000</f>
        <v>-31.490006115635225</v>
      </c>
    </row>
    <row r="186" spans="1:20" x14ac:dyDescent="0.25">
      <c r="A186" s="5">
        <v>44407</v>
      </c>
      <c r="B186">
        <v>2.5080000000000002E-2</v>
      </c>
      <c r="C186">
        <v>2.581E-2</v>
      </c>
      <c r="D186">
        <v>2.3740000000000001E-2</v>
      </c>
      <c r="E186">
        <v>2.5680000000000001E-2</v>
      </c>
      <c r="F186">
        <v>45166831.200000003</v>
      </c>
      <c r="G186">
        <v>2.5680000000000001E-2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0.87439613526570215</v>
      </c>
      <c r="Q186">
        <f t="shared" ref="Q186" si="906">F186*P186</f>
        <v>39493702.643478341</v>
      </c>
      <c r="R186">
        <f t="shared" ref="R186" si="907">R187+Q186</f>
        <v>-3144916433.7435222</v>
      </c>
      <c r="S186">
        <f t="shared" ref="S186" si="908">R186/100000</f>
        <v>-31449.164337435221</v>
      </c>
      <c r="T186">
        <f t="shared" ref="T186" si="909">S186/1000</f>
        <v>-31.449164337435221</v>
      </c>
    </row>
    <row r="187" spans="1:20" x14ac:dyDescent="0.25">
      <c r="A187" s="5">
        <v>44406</v>
      </c>
      <c r="B187">
        <v>2.5180000000000001E-2</v>
      </c>
      <c r="C187">
        <v>2.545E-2</v>
      </c>
      <c r="D187">
        <v>2.4109999999999999E-2</v>
      </c>
      <c r="E187">
        <v>2.5100000000000001E-2</v>
      </c>
      <c r="F187">
        <v>51799693</v>
      </c>
      <c r="G187">
        <v>2.5100000000000001E-2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0.4776119402985084</v>
      </c>
      <c r="Q187">
        <f t="shared" ref="Q187" si="911">F187*P187</f>
        <v>24740151.880597062</v>
      </c>
      <c r="R187">
        <f t="shared" ref="R187" si="912">R188+Q187</f>
        <v>-3184410136.3870006</v>
      </c>
      <c r="S187">
        <f t="shared" ref="S187" si="913">R187/100000</f>
        <v>-31844.101363870006</v>
      </c>
      <c r="T187">
        <f t="shared" ref="T187" si="914">S187/1000</f>
        <v>-31.844101363870006</v>
      </c>
    </row>
    <row r="188" spans="1:20" x14ac:dyDescent="0.25">
      <c r="A188" s="5">
        <v>44405</v>
      </c>
      <c r="B188">
        <v>2.4080000000000001E-2</v>
      </c>
      <c r="C188">
        <v>2.7179999999999999E-2</v>
      </c>
      <c r="D188">
        <v>2.3800000000000002E-2</v>
      </c>
      <c r="E188">
        <v>2.5180000000000001E-2</v>
      </c>
      <c r="F188">
        <v>84525083.400000006</v>
      </c>
      <c r="G188">
        <v>2.5180000000000001E-2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-0.18343195266272175</v>
      </c>
      <c r="Q188">
        <f t="shared" ref="Q188" si="916">F188*P188</f>
        <v>-15504601.097041409</v>
      </c>
      <c r="R188">
        <f t="shared" ref="R188" si="917">R189+Q188</f>
        <v>-3209150288.2675977</v>
      </c>
      <c r="S188">
        <f t="shared" ref="S188" si="918">R188/100000</f>
        <v>-32091.502882675977</v>
      </c>
      <c r="T188">
        <f t="shared" ref="T188" si="919">S188/1000</f>
        <v>-32.091502882675975</v>
      </c>
    </row>
    <row r="189" spans="1:20" x14ac:dyDescent="0.25">
      <c r="A189" s="5">
        <v>44404</v>
      </c>
      <c r="B189">
        <v>2.341E-2</v>
      </c>
      <c r="C189">
        <v>2.4209999999999999E-2</v>
      </c>
      <c r="D189">
        <v>2.2550000000000001E-2</v>
      </c>
      <c r="E189">
        <v>2.4140000000000002E-2</v>
      </c>
      <c r="F189">
        <v>21695152.600000001</v>
      </c>
      <c r="G189">
        <v>2.4140000000000002E-2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0.91566265060241303</v>
      </c>
      <c r="Q189">
        <f t="shared" ref="Q189" si="921">F189*P189</f>
        <v>19865440.934939835</v>
      </c>
      <c r="R189">
        <f t="shared" ref="R189" si="922">R190+Q189</f>
        <v>-3193645687.1705561</v>
      </c>
      <c r="S189">
        <f t="shared" ref="S189" si="923">R189/100000</f>
        <v>-31936.456871705559</v>
      </c>
      <c r="T189">
        <f t="shared" ref="T189" si="924">S189/1000</f>
        <v>-31.936456871705559</v>
      </c>
    </row>
    <row r="190" spans="1:20" x14ac:dyDescent="0.25">
      <c r="A190" s="5">
        <v>44403</v>
      </c>
      <c r="B190">
        <v>2.3300000000000001E-2</v>
      </c>
      <c r="C190">
        <v>2.5180000000000001E-2</v>
      </c>
      <c r="D190">
        <v>2.2849999999999999E-2</v>
      </c>
      <c r="E190">
        <v>2.334E-2</v>
      </c>
      <c r="F190">
        <v>39608408</v>
      </c>
      <c r="G190">
        <v>2.334E-2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-0.579399141630901</v>
      </c>
      <c r="Q190">
        <f t="shared" ref="Q190" si="926">F190*P190</f>
        <v>-22949077.596566513</v>
      </c>
      <c r="R190">
        <f t="shared" ref="R190" si="927">R191+Q190</f>
        <v>-3213511128.1054959</v>
      </c>
      <c r="S190">
        <f t="shared" ref="S190" si="928">R190/100000</f>
        <v>-32135.11128105496</v>
      </c>
      <c r="T190">
        <f t="shared" ref="T190" si="929">S190/1000</f>
        <v>-32.135111281054961</v>
      </c>
    </row>
    <row r="191" spans="1:20" x14ac:dyDescent="0.25">
      <c r="A191" s="5">
        <v>44402</v>
      </c>
      <c r="B191">
        <v>2.3130000000000001E-2</v>
      </c>
      <c r="C191">
        <v>2.3890000000000002E-2</v>
      </c>
      <c r="D191">
        <v>2.248E-2</v>
      </c>
      <c r="E191">
        <v>2.3269999999999999E-2</v>
      </c>
      <c r="F191">
        <v>27156838.800000001</v>
      </c>
      <c r="G191">
        <v>2.3269999999999999E-2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0.12056737588652224</v>
      </c>
      <c r="Q191">
        <f t="shared" ref="Q191" si="931">F191*P191</f>
        <v>3274228.7914892915</v>
      </c>
      <c r="R191">
        <f t="shared" ref="R191" si="932">R192+Q191</f>
        <v>-3190562050.5089293</v>
      </c>
      <c r="S191">
        <f t="shared" ref="S191" si="933">R191/100000</f>
        <v>-31905.620505089293</v>
      </c>
      <c r="T191">
        <f t="shared" ref="T191:T197" si="934">S191/1000</f>
        <v>-31.905620505089292</v>
      </c>
    </row>
    <row r="192" spans="1:20" x14ac:dyDescent="0.25">
      <c r="A192" s="5">
        <v>44401</v>
      </c>
      <c r="B192">
        <v>2.1989999999999999E-2</v>
      </c>
      <c r="C192">
        <v>2.3560000000000001E-2</v>
      </c>
      <c r="D192">
        <v>2.1739999999999999E-2</v>
      </c>
      <c r="E192">
        <v>2.3099999999999999E-2</v>
      </c>
      <c r="F192">
        <v>27422132.800000001</v>
      </c>
      <c r="G192">
        <v>2.3099999999999999E-2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0.4945054945054928</v>
      </c>
      <c r="Q192">
        <f t="shared" ref="Q192" si="936">F192*P192</f>
        <v>13560395.340659294</v>
      </c>
      <c r="R192">
        <f t="shared" ref="R192" si="937">R193+Q192</f>
        <v>-3193836279.3004184</v>
      </c>
      <c r="S192">
        <f t="shared" ref="S192" si="938">R192/100000</f>
        <v>-31938.362793004184</v>
      </c>
      <c r="T192">
        <f t="shared" si="934"/>
        <v>-31.938362793004185</v>
      </c>
    </row>
    <row r="193" spans="1:20" x14ac:dyDescent="0.25">
      <c r="A193" s="5">
        <v>44400</v>
      </c>
      <c r="B193">
        <v>2.086E-2</v>
      </c>
      <c r="C193">
        <v>2.1999999999999999E-2</v>
      </c>
      <c r="D193">
        <v>2.086E-2</v>
      </c>
      <c r="E193">
        <v>2.1989999999999999E-2</v>
      </c>
      <c r="F193">
        <v>15396046.4</v>
      </c>
      <c r="G193">
        <v>2.1989999999999999E-2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0.98245614035087792</v>
      </c>
      <c r="Q193">
        <f t="shared" ref="Q193" si="940">F193*P193</f>
        <v>15125940.322807029</v>
      </c>
      <c r="R193">
        <f t="shared" ref="R193" si="941">R194+Q193</f>
        <v>-3207396674.6410775</v>
      </c>
      <c r="S193">
        <f t="shared" ref="S193" si="942">R193/100000</f>
        <v>-32073.966746410777</v>
      </c>
      <c r="T193">
        <f t="shared" si="934"/>
        <v>-32.073966746410775</v>
      </c>
    </row>
    <row r="194" spans="1:20" x14ac:dyDescent="0.25">
      <c r="A194" s="5">
        <v>44399</v>
      </c>
      <c r="B194">
        <v>2.0400000000000001E-2</v>
      </c>
      <c r="C194">
        <v>2.111E-2</v>
      </c>
      <c r="D194">
        <v>1.984E-2</v>
      </c>
      <c r="E194">
        <v>2.0820000000000002E-2</v>
      </c>
      <c r="F194">
        <v>20949905.600000001</v>
      </c>
      <c r="G194">
        <v>2.0820000000000002E-2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0.54330708661417559</v>
      </c>
      <c r="Q194">
        <f t="shared" ref="Q194" si="944">F194*P194</f>
        <v>11382232.176378002</v>
      </c>
      <c r="R194">
        <f t="shared" ref="R194" si="945">R195+Q194</f>
        <v>-3222522614.9638844</v>
      </c>
      <c r="S194">
        <f t="shared" ref="S194" si="946">R194/100000</f>
        <v>-32225.226149638842</v>
      </c>
      <c r="T194">
        <f t="shared" si="934"/>
        <v>-32.225226149638843</v>
      </c>
    </row>
    <row r="195" spans="1:20" x14ac:dyDescent="0.25">
      <c r="A195" s="5">
        <v>44398</v>
      </c>
      <c r="B195">
        <v>1.8149999999999999E-2</v>
      </c>
      <c r="C195">
        <v>2.0750000000000001E-2</v>
      </c>
      <c r="D195">
        <v>1.7860000000000001E-2</v>
      </c>
      <c r="E195">
        <v>2.0480000000000002E-2</v>
      </c>
      <c r="F195">
        <v>26096845.100000001</v>
      </c>
      <c r="G195">
        <v>2.0480000000000002E-2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0.81314878892733611</v>
      </c>
      <c r="Q195">
        <f t="shared" ref="Q195" si="948">F195*P195</f>
        <v>21220617.987889286</v>
      </c>
      <c r="R195">
        <f t="shared" ref="R195" si="949">R196+Q195</f>
        <v>-3233904847.1402621</v>
      </c>
      <c r="S195">
        <f t="shared" ref="S195" si="950">R195/100000</f>
        <v>-32339.048471402621</v>
      </c>
      <c r="T195">
        <f t="shared" si="934"/>
        <v>-32.33904847140262</v>
      </c>
    </row>
    <row r="196" spans="1:20" x14ac:dyDescent="0.25">
      <c r="A196" s="5">
        <v>44397</v>
      </c>
      <c r="B196">
        <v>1.9480000000000001E-2</v>
      </c>
      <c r="C196">
        <v>1.9779999999999999E-2</v>
      </c>
      <c r="D196">
        <v>1.7809999999999999E-2</v>
      </c>
      <c r="E196">
        <v>1.8149999999999999E-2</v>
      </c>
      <c r="F196">
        <v>21063834.899999999</v>
      </c>
      <c r="G196">
        <v>1.8149999999999999E-2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-0.65482233502538056</v>
      </c>
      <c r="Q196">
        <f t="shared" ref="Q196" si="952">F196*P196</f>
        <v>-13793069.553807102</v>
      </c>
      <c r="R196">
        <f t="shared" ref="R196" si="953">R197+Q196</f>
        <v>-3255125465.1281514</v>
      </c>
      <c r="S196">
        <f t="shared" ref="S196" si="954">R196/100000</f>
        <v>-32551.254651281513</v>
      </c>
      <c r="T196">
        <f t="shared" si="934"/>
        <v>-32.551254651281511</v>
      </c>
    </row>
    <row r="197" spans="1:20" x14ac:dyDescent="0.25">
      <c r="A197" s="5">
        <v>44396</v>
      </c>
      <c r="B197">
        <v>2.1729999999999999E-2</v>
      </c>
      <c r="C197">
        <v>2.1729999999999999E-2</v>
      </c>
      <c r="D197">
        <v>1.934E-2</v>
      </c>
      <c r="E197">
        <v>1.9570000000000001E-2</v>
      </c>
      <c r="F197">
        <v>17932335.199999999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-0.80753138075313724</v>
      </c>
      <c r="Q197">
        <f t="shared" ref="Q197" si="956">F197*P197</f>
        <v>-14480923.404184084</v>
      </c>
      <c r="R197">
        <f t="shared" ref="R197" si="957">R198+Q197</f>
        <v>-3241332395.5743442</v>
      </c>
      <c r="S197">
        <f t="shared" ref="S197" si="958">R197/100000</f>
        <v>-32413.323955743443</v>
      </c>
      <c r="T197">
        <f t="shared" si="934"/>
        <v>-32.413323955743444</v>
      </c>
    </row>
    <row r="198" spans="1:20" x14ac:dyDescent="0.25">
      <c r="A198" s="5">
        <v>44395</v>
      </c>
      <c r="B198">
        <v>2.1069999999999998E-2</v>
      </c>
      <c r="C198">
        <v>2.2349999999999998E-2</v>
      </c>
      <c r="D198">
        <v>2.1069999999999998E-2</v>
      </c>
      <c r="E198">
        <v>2.172E-2</v>
      </c>
      <c r="F198">
        <v>21768056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1.5625000000002075E-2</v>
      </c>
      <c r="Q198">
        <f t="shared" ref="Q198:Q261" si="960">F198*P198</f>
        <v>340125.87500004517</v>
      </c>
      <c r="R198">
        <f t="shared" ref="R198:R261" si="961">R199+Q198</f>
        <v>-3226851472.1701603</v>
      </c>
      <c r="S198">
        <f t="shared" ref="S198:S261" si="962">R198/100000</f>
        <v>-32268.514721701602</v>
      </c>
      <c r="T198">
        <f t="shared" ref="T198:T261" si="963">S198/1000</f>
        <v>-32.2685147217016</v>
      </c>
    </row>
    <row r="199" spans="1:20" x14ac:dyDescent="0.25">
      <c r="A199" s="5">
        <v>44394</v>
      </c>
      <c r="B199">
        <v>2.2380000000000001E-2</v>
      </c>
      <c r="C199">
        <v>2.2689999999999998E-2</v>
      </c>
      <c r="D199">
        <v>2.0899999999999998E-2</v>
      </c>
      <c r="E199">
        <v>2.102E-2</v>
      </c>
      <c r="F199">
        <v>32677879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-0.86592178770949491</v>
      </c>
      <c r="Q199">
        <f t="shared" si="960"/>
        <v>-28296487.402234562</v>
      </c>
      <c r="R199">
        <f t="shared" si="961"/>
        <v>-3227191598.0451603</v>
      </c>
      <c r="S199">
        <f t="shared" si="962"/>
        <v>-32271.915980451602</v>
      </c>
      <c r="T199">
        <f t="shared" si="963"/>
        <v>-32.271915980451602</v>
      </c>
    </row>
    <row r="200" spans="1:20" x14ac:dyDescent="0.25">
      <c r="A200" s="5">
        <v>44393</v>
      </c>
      <c r="B200">
        <v>2.1430000000000001E-2</v>
      </c>
      <c r="C200">
        <v>2.5649999999999999E-2</v>
      </c>
      <c r="D200">
        <v>2.0809999999999999E-2</v>
      </c>
      <c r="E200">
        <v>2.2360000000000001E-2</v>
      </c>
      <c r="F200">
        <v>189024078.5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-0.35950413223140387</v>
      </c>
      <c r="Q200">
        <f t="shared" si="960"/>
        <v>-67954937.311983272</v>
      </c>
      <c r="R200">
        <f t="shared" si="961"/>
        <v>-3198895110.6429257</v>
      </c>
      <c r="S200">
        <f t="shared" si="962"/>
        <v>-31988.951106429256</v>
      </c>
      <c r="T200">
        <f t="shared" si="963"/>
        <v>-31.988951106429255</v>
      </c>
    </row>
    <row r="201" spans="1:20" x14ac:dyDescent="0.25">
      <c r="A201" s="5">
        <v>44392</v>
      </c>
      <c r="B201">
        <v>2.2669999999999999E-2</v>
      </c>
      <c r="C201">
        <v>2.307E-2</v>
      </c>
      <c r="D201">
        <v>2.0899999999999998E-2</v>
      </c>
      <c r="E201">
        <v>2.1430000000000001E-2</v>
      </c>
      <c r="F201">
        <v>31176597.100000001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-0.51152073732718684</v>
      </c>
      <c r="Q201">
        <f t="shared" si="960"/>
        <v>-15947475.935944635</v>
      </c>
      <c r="R201">
        <f t="shared" si="961"/>
        <v>-3130940173.3309426</v>
      </c>
      <c r="S201">
        <f t="shared" si="962"/>
        <v>-31309.401733309427</v>
      </c>
      <c r="T201">
        <f t="shared" si="963"/>
        <v>-31.309401733309429</v>
      </c>
    </row>
    <row r="202" spans="1:20" x14ac:dyDescent="0.25">
      <c r="A202" s="5">
        <v>44391</v>
      </c>
      <c r="B202">
        <v>2.2700000000000001E-2</v>
      </c>
      <c r="C202">
        <v>2.307E-2</v>
      </c>
      <c r="D202">
        <v>2.0990000000000002E-2</v>
      </c>
      <c r="E202">
        <v>2.264E-2</v>
      </c>
      <c r="F202">
        <v>17189873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0.58653846153846145</v>
      </c>
      <c r="Q202">
        <f t="shared" si="960"/>
        <v>10082521.663461536</v>
      </c>
      <c r="R202">
        <f t="shared" si="961"/>
        <v>-3114992697.3949981</v>
      </c>
      <c r="S202">
        <f t="shared" si="962"/>
        <v>-31149.92697394998</v>
      </c>
      <c r="T202">
        <f t="shared" si="963"/>
        <v>-31.149926973949981</v>
      </c>
    </row>
    <row r="203" spans="1:20" x14ac:dyDescent="0.25">
      <c r="A203" s="5">
        <v>44390</v>
      </c>
      <c r="B203">
        <v>2.2720000000000001E-2</v>
      </c>
      <c r="C203">
        <v>2.3310000000000001E-2</v>
      </c>
      <c r="D203">
        <v>2.24E-2</v>
      </c>
      <c r="E203">
        <v>2.2620000000000001E-2</v>
      </c>
      <c r="F203">
        <v>9676430.1999999993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-0.51648351648351387</v>
      </c>
      <c r="Q203">
        <f t="shared" si="960"/>
        <v>-4997716.696703271</v>
      </c>
      <c r="R203">
        <f t="shared" si="961"/>
        <v>-3125075219.0584598</v>
      </c>
      <c r="S203">
        <f t="shared" si="962"/>
        <v>-31250.752190584597</v>
      </c>
      <c r="T203">
        <f t="shared" si="963"/>
        <v>-31.250752190584596</v>
      </c>
    </row>
    <row r="204" spans="1:20" x14ac:dyDescent="0.25">
      <c r="A204" s="5">
        <v>44389</v>
      </c>
      <c r="B204">
        <v>2.4209999999999999E-2</v>
      </c>
      <c r="C204">
        <v>2.4580000000000001E-2</v>
      </c>
      <c r="D204">
        <v>2.239E-2</v>
      </c>
      <c r="E204">
        <v>2.274E-2</v>
      </c>
      <c r="F204">
        <v>27804738.800000001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-0.68036529680365343</v>
      </c>
      <c r="Q204">
        <f t="shared" si="960"/>
        <v>-18917379.366210058</v>
      </c>
      <c r="R204">
        <f t="shared" si="961"/>
        <v>-3120077502.3617563</v>
      </c>
      <c r="S204">
        <f t="shared" si="962"/>
        <v>-31200.775023617563</v>
      </c>
      <c r="T204">
        <f t="shared" si="963"/>
        <v>-31.200775023617563</v>
      </c>
    </row>
    <row r="205" spans="1:20" x14ac:dyDescent="0.25">
      <c r="A205" s="5">
        <v>44388</v>
      </c>
      <c r="B205">
        <v>2.3189999999999999E-2</v>
      </c>
      <c r="C205">
        <v>2.4639999999999999E-2</v>
      </c>
      <c r="D205">
        <v>2.2919999999999999E-2</v>
      </c>
      <c r="E205">
        <v>2.4209999999999999E-2</v>
      </c>
      <c r="F205">
        <v>17887835.300000001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0.5</v>
      </c>
      <c r="Q205">
        <f t="shared" si="960"/>
        <v>8943917.6500000004</v>
      </c>
      <c r="R205">
        <f t="shared" si="961"/>
        <v>-3101160122.9955463</v>
      </c>
      <c r="S205">
        <f t="shared" si="962"/>
        <v>-31011.601229955464</v>
      </c>
      <c r="T205">
        <f t="shared" si="963"/>
        <v>-31.011601229955463</v>
      </c>
    </row>
    <row r="206" spans="1:20" x14ac:dyDescent="0.25">
      <c r="A206" s="5">
        <v>44387</v>
      </c>
      <c r="B206">
        <v>2.4150000000000001E-2</v>
      </c>
      <c r="C206">
        <v>2.4459999999999999E-2</v>
      </c>
      <c r="D206">
        <v>2.2679999999999999E-2</v>
      </c>
      <c r="E206">
        <v>2.3120000000000002E-2</v>
      </c>
      <c r="F206">
        <v>11575563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-0.50561797752808668</v>
      </c>
      <c r="Q206">
        <f t="shared" si="960"/>
        <v>-5852812.7528089518</v>
      </c>
      <c r="R206">
        <f t="shared" si="961"/>
        <v>-3110104040.6455464</v>
      </c>
      <c r="S206">
        <f t="shared" si="962"/>
        <v>-31101.040406455464</v>
      </c>
      <c r="T206">
        <f t="shared" si="963"/>
        <v>-31.101040406455464</v>
      </c>
    </row>
    <row r="207" spans="1:20" x14ac:dyDescent="0.25">
      <c r="A207" s="5">
        <v>44386</v>
      </c>
      <c r="B207">
        <v>2.3460000000000002E-2</v>
      </c>
      <c r="C207">
        <v>2.4490000000000001E-2</v>
      </c>
      <c r="D207">
        <v>2.281E-2</v>
      </c>
      <c r="E207">
        <v>2.4140000000000002E-2</v>
      </c>
      <c r="F207">
        <v>10190641.6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0.58333333333333404</v>
      </c>
      <c r="Q207">
        <f t="shared" si="960"/>
        <v>5944540.9333333401</v>
      </c>
      <c r="R207">
        <f t="shared" si="961"/>
        <v>-3104251227.8927374</v>
      </c>
      <c r="S207">
        <f t="shared" si="962"/>
        <v>-31042.512278927374</v>
      </c>
      <c r="T207">
        <f t="shared" si="963"/>
        <v>-31.042512278927372</v>
      </c>
    </row>
    <row r="208" spans="1:20" x14ac:dyDescent="0.25">
      <c r="A208" s="5">
        <v>44385</v>
      </c>
      <c r="B208">
        <v>2.5430000000000001E-2</v>
      </c>
      <c r="C208">
        <v>2.5499999999999998E-2</v>
      </c>
      <c r="D208">
        <v>2.281E-2</v>
      </c>
      <c r="E208">
        <v>2.3359999999999999E-2</v>
      </c>
      <c r="F208">
        <v>24893806.699999999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-0.59107806691449905</v>
      </c>
      <c r="Q208">
        <f t="shared" si="960"/>
        <v>-14714183.142379204</v>
      </c>
      <c r="R208">
        <f t="shared" si="961"/>
        <v>-3110195768.8260708</v>
      </c>
      <c r="S208">
        <f t="shared" si="962"/>
        <v>-31101.957688260707</v>
      </c>
      <c r="T208">
        <f t="shared" si="963"/>
        <v>-31.101957688260708</v>
      </c>
    </row>
    <row r="209" spans="1:20" x14ac:dyDescent="0.25">
      <c r="A209" s="5">
        <v>44384</v>
      </c>
      <c r="B209">
        <v>2.504E-2</v>
      </c>
      <c r="C209">
        <v>2.7390000000000001E-2</v>
      </c>
      <c r="D209">
        <v>2.47E-2</v>
      </c>
      <c r="E209">
        <v>2.5499999999999998E-2</v>
      </c>
      <c r="F209">
        <v>34488809.799999997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-0.40520446096654411</v>
      </c>
      <c r="Q209">
        <f t="shared" si="960"/>
        <v>-13975019.584386664</v>
      </c>
      <c r="R209">
        <f t="shared" si="961"/>
        <v>-3095481585.6836915</v>
      </c>
      <c r="S209">
        <f t="shared" si="962"/>
        <v>-30954.815856836914</v>
      </c>
      <c r="T209">
        <f t="shared" si="963"/>
        <v>-30.954815856836916</v>
      </c>
    </row>
    <row r="210" spans="1:20" x14ac:dyDescent="0.25">
      <c r="A210" s="5">
        <v>44383</v>
      </c>
      <c r="B210">
        <v>2.46E-2</v>
      </c>
      <c r="C210">
        <v>2.5909999999999999E-2</v>
      </c>
      <c r="D210">
        <v>2.4369999999999999E-2</v>
      </c>
      <c r="E210">
        <v>2.4989999999999998E-2</v>
      </c>
      <c r="F210">
        <v>33333693.100000001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-0.19480519480519592</v>
      </c>
      <c r="Q210">
        <f t="shared" si="960"/>
        <v>-6493576.5779221151</v>
      </c>
      <c r="R210">
        <f t="shared" si="961"/>
        <v>-3081506566.0993047</v>
      </c>
      <c r="S210">
        <f t="shared" si="962"/>
        <v>-30815.065660993048</v>
      </c>
      <c r="T210">
        <f t="shared" si="963"/>
        <v>-30.815065660993049</v>
      </c>
    </row>
    <row r="211" spans="1:20" x14ac:dyDescent="0.25">
      <c r="A211" s="5">
        <v>44382</v>
      </c>
      <c r="B211">
        <v>2.504E-2</v>
      </c>
      <c r="C211">
        <v>2.5479999999999999E-2</v>
      </c>
      <c r="D211">
        <v>2.3259999999999999E-2</v>
      </c>
      <c r="E211">
        <v>2.4590000000000001E-2</v>
      </c>
      <c r="F211">
        <v>20211876.5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0.19819819819819953</v>
      </c>
      <c r="Q211">
        <f t="shared" si="960"/>
        <v>4005957.5045045316</v>
      </c>
      <c r="R211">
        <f t="shared" si="961"/>
        <v>-3075012989.5213823</v>
      </c>
      <c r="S211">
        <f t="shared" si="962"/>
        <v>-30750.129895213824</v>
      </c>
      <c r="T211">
        <f t="shared" si="963"/>
        <v>-30.750129895213824</v>
      </c>
    </row>
    <row r="212" spans="1:20" x14ac:dyDescent="0.25">
      <c r="A212" s="5">
        <v>44381</v>
      </c>
      <c r="B212">
        <v>2.3970000000000002E-2</v>
      </c>
      <c r="C212">
        <v>2.6460000000000001E-2</v>
      </c>
      <c r="D212">
        <v>2.3599999999999999E-2</v>
      </c>
      <c r="E212">
        <v>2.5059999999999999E-2</v>
      </c>
      <c r="F212">
        <v>40579305.600000001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2.0979020979020113E-2</v>
      </c>
      <c r="Q212">
        <f t="shared" si="960"/>
        <v>851314.10349646839</v>
      </c>
      <c r="R212">
        <f t="shared" si="961"/>
        <v>-3079018947.025887</v>
      </c>
      <c r="S212">
        <f t="shared" si="962"/>
        <v>-30790.189470258869</v>
      </c>
      <c r="T212">
        <f t="shared" si="963"/>
        <v>-30.79018947025887</v>
      </c>
    </row>
    <row r="213" spans="1:20" x14ac:dyDescent="0.25">
      <c r="A213" s="5">
        <v>44380</v>
      </c>
      <c r="B213">
        <v>2.3279999999999999E-2</v>
      </c>
      <c r="C213">
        <v>2.5389999999999999E-2</v>
      </c>
      <c r="D213">
        <v>2.2759999999999999E-2</v>
      </c>
      <c r="E213">
        <v>2.3959999999999999E-2</v>
      </c>
      <c r="F213">
        <v>56439612.100000001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-8.7452471482890121E-2</v>
      </c>
      <c r="Q213">
        <f t="shared" si="960"/>
        <v>-4935783.5676806299</v>
      </c>
      <c r="R213">
        <f t="shared" si="961"/>
        <v>-3079870261.1293836</v>
      </c>
      <c r="S213">
        <f t="shared" si="962"/>
        <v>-30798.702611293837</v>
      </c>
      <c r="T213">
        <f t="shared" si="963"/>
        <v>-30.798702611293837</v>
      </c>
    </row>
    <row r="214" spans="1:20" x14ac:dyDescent="0.25">
      <c r="A214" s="5">
        <v>44379</v>
      </c>
      <c r="B214">
        <v>2.376E-2</v>
      </c>
      <c r="C214">
        <v>2.4119999999999999E-2</v>
      </c>
      <c r="D214">
        <v>2.1930000000000002E-2</v>
      </c>
      <c r="E214">
        <v>2.3269999999999999E-2</v>
      </c>
      <c r="F214">
        <v>26392983.300000001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0.22374429223744199</v>
      </c>
      <c r="Q214">
        <f t="shared" si="960"/>
        <v>5905279.3684931267</v>
      </c>
      <c r="R214">
        <f t="shared" si="961"/>
        <v>-3074934477.5617027</v>
      </c>
      <c r="S214">
        <f t="shared" si="962"/>
        <v>-30749.344775617028</v>
      </c>
      <c r="T214">
        <f t="shared" si="963"/>
        <v>-30.749344775617029</v>
      </c>
    </row>
    <row r="215" spans="1:20" x14ac:dyDescent="0.25">
      <c r="A215" s="5">
        <v>44378</v>
      </c>
      <c r="B215">
        <v>2.5600000000000001E-2</v>
      </c>
      <c r="C215">
        <v>2.5600000000000001E-2</v>
      </c>
      <c r="D215">
        <v>2.257E-2</v>
      </c>
      <c r="E215">
        <v>2.368E-2</v>
      </c>
      <c r="F215">
        <v>53045436.600000001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-0.26732673267326773</v>
      </c>
      <c r="Q215">
        <f t="shared" si="960"/>
        <v>-14180463.249504972</v>
      </c>
      <c r="R215">
        <f t="shared" si="961"/>
        <v>-3080839756.9301958</v>
      </c>
      <c r="S215">
        <f t="shared" si="962"/>
        <v>-30808.397569301957</v>
      </c>
      <c r="T215">
        <f t="shared" si="963"/>
        <v>-30.808397569301956</v>
      </c>
    </row>
    <row r="216" spans="1:20" x14ac:dyDescent="0.25">
      <c r="A216" s="5">
        <v>44377</v>
      </c>
      <c r="B216">
        <v>2.503E-2</v>
      </c>
      <c r="C216">
        <v>2.7E-2</v>
      </c>
      <c r="D216">
        <v>2.3939999999999999E-2</v>
      </c>
      <c r="E216">
        <v>2.5530000000000001E-2</v>
      </c>
      <c r="F216">
        <v>106160395.09999999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3.921568627451047E-2</v>
      </c>
      <c r="Q216">
        <f t="shared" si="960"/>
        <v>4163152.7490196782</v>
      </c>
      <c r="R216">
        <f t="shared" si="961"/>
        <v>-3066659293.6806908</v>
      </c>
      <c r="S216">
        <f t="shared" si="962"/>
        <v>-30666.592936806908</v>
      </c>
      <c r="T216">
        <f t="shared" si="963"/>
        <v>-30.666592936806907</v>
      </c>
    </row>
    <row r="217" spans="1:20" x14ac:dyDescent="0.25">
      <c r="A217" s="5">
        <v>44376</v>
      </c>
      <c r="B217">
        <v>2.3259999999999999E-2</v>
      </c>
      <c r="C217">
        <v>2.5780000000000001E-2</v>
      </c>
      <c r="D217">
        <v>2.282E-2</v>
      </c>
      <c r="E217">
        <v>2.4989999999999998E-2</v>
      </c>
      <c r="F217">
        <v>63203578.600000001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0.46621621621621467</v>
      </c>
      <c r="Q217">
        <f t="shared" si="960"/>
        <v>29466533.266216118</v>
      </c>
      <c r="R217">
        <f t="shared" si="961"/>
        <v>-3070822446.4297104</v>
      </c>
      <c r="S217">
        <f t="shared" si="962"/>
        <v>-30708.224464297105</v>
      </c>
      <c r="T217">
        <f t="shared" si="963"/>
        <v>-30.708224464297107</v>
      </c>
    </row>
    <row r="218" spans="1:20" x14ac:dyDescent="0.25">
      <c r="A218" s="5">
        <v>44375</v>
      </c>
      <c r="B218">
        <v>2.239E-2</v>
      </c>
      <c r="C218">
        <v>2.46E-2</v>
      </c>
      <c r="D218">
        <v>2.18E-2</v>
      </c>
      <c r="E218">
        <v>2.3259999999999999E-2</v>
      </c>
      <c r="F218">
        <v>50349560.299999997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4.2857142857142344E-2</v>
      </c>
      <c r="Q218">
        <f t="shared" si="960"/>
        <v>2157838.2985714027</v>
      </c>
      <c r="R218">
        <f t="shared" si="961"/>
        <v>-3100288979.6959267</v>
      </c>
      <c r="S218">
        <f t="shared" si="962"/>
        <v>-31002.889796959265</v>
      </c>
      <c r="T218">
        <f t="shared" si="963"/>
        <v>-31.002889796959266</v>
      </c>
    </row>
    <row r="219" spans="1:20" x14ac:dyDescent="0.25">
      <c r="A219" s="5">
        <v>44374</v>
      </c>
      <c r="B219">
        <v>2.1309999999999999E-2</v>
      </c>
      <c r="C219">
        <v>2.2499999999999999E-2</v>
      </c>
      <c r="D219">
        <v>2.035E-2</v>
      </c>
      <c r="E219">
        <v>2.2440000000000002E-2</v>
      </c>
      <c r="F219">
        <v>75851666.700000003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0.94418604651163018</v>
      </c>
      <c r="Q219">
        <f t="shared" si="960"/>
        <v>71618085.30279088</v>
      </c>
      <c r="R219">
        <f t="shared" si="961"/>
        <v>-3102446817.9944983</v>
      </c>
      <c r="S219">
        <f t="shared" si="962"/>
        <v>-31024.468179944983</v>
      </c>
      <c r="T219">
        <f t="shared" si="963"/>
        <v>-31.024468179944982</v>
      </c>
    </row>
    <row r="220" spans="1:20" x14ac:dyDescent="0.25">
      <c r="A220" s="5">
        <v>44373</v>
      </c>
      <c r="B220">
        <v>2.1870000000000001E-2</v>
      </c>
      <c r="C220">
        <v>2.3050000000000001E-2</v>
      </c>
      <c r="D220">
        <v>1.9810000000000001E-2</v>
      </c>
      <c r="E220">
        <v>2.1299999999999999E-2</v>
      </c>
      <c r="F220">
        <v>62583330.700000003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-8.0246913580247936E-2</v>
      </c>
      <c r="Q220">
        <f t="shared" si="960"/>
        <v>-5022119.1302469783</v>
      </c>
      <c r="R220">
        <f t="shared" si="961"/>
        <v>-3174064903.2972889</v>
      </c>
      <c r="S220">
        <f t="shared" si="962"/>
        <v>-31740.649032972888</v>
      </c>
      <c r="T220">
        <f t="shared" si="963"/>
        <v>-31.740649032972886</v>
      </c>
    </row>
    <row r="221" spans="1:20" x14ac:dyDescent="0.25">
      <c r="A221" s="5">
        <v>44372</v>
      </c>
      <c r="B221">
        <v>2.478E-2</v>
      </c>
      <c r="C221">
        <v>2.615E-2</v>
      </c>
      <c r="D221">
        <v>2.1399999999999999E-2</v>
      </c>
      <c r="E221">
        <v>2.1899999999999999E-2</v>
      </c>
      <c r="F221">
        <v>44749775.5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-0.78947368421052622</v>
      </c>
      <c r="Q221">
        <f t="shared" si="960"/>
        <v>-35328770.131578945</v>
      </c>
      <c r="R221">
        <f t="shared" si="961"/>
        <v>-3169042784.1670418</v>
      </c>
      <c r="S221">
        <f t="shared" si="962"/>
        <v>-31690.427841670418</v>
      </c>
      <c r="T221">
        <f t="shared" si="963"/>
        <v>-31.690427841670417</v>
      </c>
    </row>
    <row r="222" spans="1:20" x14ac:dyDescent="0.25">
      <c r="A222" s="5">
        <v>44371</v>
      </c>
      <c r="B222">
        <v>2.4910000000000002E-2</v>
      </c>
      <c r="C222">
        <v>2.664E-2</v>
      </c>
      <c r="D222">
        <v>2.2960000000000001E-2</v>
      </c>
      <c r="E222">
        <v>2.477E-2</v>
      </c>
      <c r="F222">
        <v>70041460.200000003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-1.6304347826087237E-2</v>
      </c>
      <c r="Q222">
        <f t="shared" si="960"/>
        <v>-1141980.3293478459</v>
      </c>
      <c r="R222">
        <f t="shared" si="961"/>
        <v>-3133714014.0354629</v>
      </c>
      <c r="S222">
        <f t="shared" si="962"/>
        <v>-31337.14014035463</v>
      </c>
      <c r="T222">
        <f t="shared" si="963"/>
        <v>-31.337140140354631</v>
      </c>
    </row>
    <row r="223" spans="1:20" x14ac:dyDescent="0.25">
      <c r="A223" s="5">
        <v>44370</v>
      </c>
      <c r="B223">
        <v>2.1489999999999999E-2</v>
      </c>
      <c r="C223">
        <v>2.7730000000000001E-2</v>
      </c>
      <c r="D223">
        <v>2.0709999999999999E-2</v>
      </c>
      <c r="E223">
        <v>2.4920000000000001E-2</v>
      </c>
      <c r="F223">
        <v>79604023.599999994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0.19943019943019966</v>
      </c>
      <c r="Q223">
        <f t="shared" si="960"/>
        <v>15875446.301994318</v>
      </c>
      <c r="R223">
        <f t="shared" si="961"/>
        <v>-3132572033.7061152</v>
      </c>
      <c r="S223">
        <f t="shared" si="962"/>
        <v>-31325.720337061153</v>
      </c>
      <c r="T223">
        <f t="shared" si="963"/>
        <v>-31.325720337061153</v>
      </c>
    </row>
    <row r="224" spans="1:20" x14ac:dyDescent="0.25">
      <c r="A224" s="5">
        <v>44369</v>
      </c>
      <c r="B224">
        <v>2.3220000000000001E-2</v>
      </c>
      <c r="C224">
        <v>2.4920000000000001E-2</v>
      </c>
      <c r="D224">
        <v>1.8180000000000002E-2</v>
      </c>
      <c r="E224">
        <v>2.147E-2</v>
      </c>
      <c r="F224">
        <v>71475632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-2.3738872403561411E-2</v>
      </c>
      <c r="Q224">
        <f t="shared" si="960"/>
        <v>-1696750.908011911</v>
      </c>
      <c r="R224">
        <f t="shared" si="961"/>
        <v>-3148447480.0081096</v>
      </c>
      <c r="S224">
        <f t="shared" si="962"/>
        <v>-31484.474800081094</v>
      </c>
      <c r="T224">
        <f t="shared" si="963"/>
        <v>-31.484474800081095</v>
      </c>
    </row>
    <row r="225" spans="1:20" x14ac:dyDescent="0.25">
      <c r="A225" s="5">
        <v>44368</v>
      </c>
      <c r="B225">
        <v>3.0519999999999999E-2</v>
      </c>
      <c r="C225">
        <v>3.0689999999999999E-2</v>
      </c>
      <c r="D225">
        <v>2.307E-2</v>
      </c>
      <c r="E225">
        <v>2.3210000000000001E-2</v>
      </c>
      <c r="F225">
        <v>95246540.299999997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-0.96325459317585271</v>
      </c>
      <c r="Q225">
        <f t="shared" si="960"/>
        <v>-91746667.428083956</v>
      </c>
      <c r="R225">
        <f t="shared" si="961"/>
        <v>-3146750729.1000977</v>
      </c>
      <c r="S225">
        <f t="shared" si="962"/>
        <v>-31467.507291000977</v>
      </c>
      <c r="T225">
        <f t="shared" si="963"/>
        <v>-31.467507291000977</v>
      </c>
    </row>
    <row r="226" spans="1:20" x14ac:dyDescent="0.25">
      <c r="A226" s="5">
        <v>44367</v>
      </c>
      <c r="B226">
        <v>3.2460000000000003E-2</v>
      </c>
      <c r="C226">
        <v>3.252E-2</v>
      </c>
      <c r="D226">
        <v>2.818E-2</v>
      </c>
      <c r="E226">
        <v>3.0540000000000001E-2</v>
      </c>
      <c r="F226">
        <v>78202463.099999994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8.755760368663637E-2</v>
      </c>
      <c r="Q226">
        <f t="shared" si="960"/>
        <v>6847220.2714286046</v>
      </c>
      <c r="R226">
        <f t="shared" si="961"/>
        <v>-3055004061.6720138</v>
      </c>
      <c r="S226">
        <f t="shared" si="962"/>
        <v>-30550.040616720136</v>
      </c>
      <c r="T226">
        <f t="shared" si="963"/>
        <v>-30.550040616720135</v>
      </c>
    </row>
    <row r="227" spans="1:20" x14ac:dyDescent="0.25">
      <c r="A227" s="5">
        <v>44366</v>
      </c>
      <c r="B227">
        <v>3.3989999999999999E-2</v>
      </c>
      <c r="C227">
        <v>3.5409999999999997E-2</v>
      </c>
      <c r="D227">
        <v>3.2410000000000001E-2</v>
      </c>
      <c r="E227">
        <v>3.2489999999999998E-2</v>
      </c>
      <c r="F227">
        <v>77379726.200000003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-0.94666666666666877</v>
      </c>
      <c r="Q227">
        <f t="shared" si="960"/>
        <v>-73252807.4693335</v>
      </c>
      <c r="R227">
        <f t="shared" si="961"/>
        <v>-3061851281.9434423</v>
      </c>
      <c r="S227">
        <f t="shared" si="962"/>
        <v>-30618.512819434425</v>
      </c>
      <c r="T227">
        <f t="shared" si="963"/>
        <v>-30.618512819434425</v>
      </c>
    </row>
    <row r="228" spans="1:20" x14ac:dyDescent="0.25">
      <c r="A228" s="5">
        <v>44365</v>
      </c>
      <c r="B228">
        <v>3.7269999999999998E-2</v>
      </c>
      <c r="C228">
        <v>3.7769999999999998E-2</v>
      </c>
      <c r="D228">
        <v>3.2719999999999999E-2</v>
      </c>
      <c r="E228">
        <v>3.4040000000000001E-2</v>
      </c>
      <c r="F228">
        <v>80067829.700000003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-0.47722772277227643</v>
      </c>
      <c r="Q228">
        <f t="shared" si="960"/>
        <v>-38210588.035049446</v>
      </c>
      <c r="R228">
        <f t="shared" si="961"/>
        <v>-2988598474.4741087</v>
      </c>
      <c r="S228">
        <f t="shared" si="962"/>
        <v>-29885.984744741087</v>
      </c>
      <c r="T228">
        <f t="shared" si="963"/>
        <v>-29.885984744741087</v>
      </c>
    </row>
    <row r="229" spans="1:20" x14ac:dyDescent="0.25">
      <c r="A229" s="5">
        <v>44364</v>
      </c>
      <c r="B229">
        <v>3.4430000000000002E-2</v>
      </c>
      <c r="C229">
        <v>4.4889999999999999E-2</v>
      </c>
      <c r="D229">
        <v>3.3329999999999999E-2</v>
      </c>
      <c r="E229">
        <v>3.7269999999999998E-2</v>
      </c>
      <c r="F229">
        <v>397089189.19999999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-0.31833910034602098</v>
      </c>
      <c r="Q229">
        <f t="shared" si="960"/>
        <v>-126409015.2470589</v>
      </c>
      <c r="R229">
        <f t="shared" si="961"/>
        <v>-2950387886.4390593</v>
      </c>
      <c r="S229">
        <f t="shared" si="962"/>
        <v>-29503.878864390594</v>
      </c>
      <c r="T229">
        <f t="shared" si="963"/>
        <v>-29.503878864390593</v>
      </c>
    </row>
    <row r="230" spans="1:20" x14ac:dyDescent="0.25">
      <c r="A230" s="5">
        <v>44363</v>
      </c>
      <c r="B230">
        <v>3.5409999999999997E-2</v>
      </c>
      <c r="C230">
        <v>3.687E-2</v>
      </c>
      <c r="D230">
        <v>3.2410000000000001E-2</v>
      </c>
      <c r="E230">
        <v>3.4430000000000002E-2</v>
      </c>
      <c r="F230">
        <v>407636473.10000002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-9.4170403587443247E-2</v>
      </c>
      <c r="Q230">
        <f t="shared" si="960"/>
        <v>-38387291.188788958</v>
      </c>
      <c r="R230">
        <f t="shared" si="961"/>
        <v>-2823978871.1920004</v>
      </c>
      <c r="S230">
        <f t="shared" si="962"/>
        <v>-28239.788711920002</v>
      </c>
      <c r="T230">
        <f t="shared" si="963"/>
        <v>-28.239788711920003</v>
      </c>
    </row>
    <row r="231" spans="1:20" x14ac:dyDescent="0.25">
      <c r="A231" s="5">
        <v>44362</v>
      </c>
      <c r="B231">
        <v>3.2910000000000002E-2</v>
      </c>
      <c r="C231">
        <v>4.0140000000000002E-2</v>
      </c>
      <c r="D231">
        <v>3.2439999999999997E-2</v>
      </c>
      <c r="E231">
        <v>3.5470000000000002E-2</v>
      </c>
      <c r="F231">
        <v>189545075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-0.21298701298701228</v>
      </c>
      <c r="Q231">
        <f t="shared" si="960"/>
        <v>-40370639.350649215</v>
      </c>
      <c r="R231">
        <f t="shared" si="961"/>
        <v>-2785591580.0032115</v>
      </c>
      <c r="S231">
        <f t="shared" si="962"/>
        <v>-27855.915800032115</v>
      </c>
      <c r="T231">
        <f t="shared" si="963"/>
        <v>-27.855915800032115</v>
      </c>
    </row>
    <row r="232" spans="1:20" x14ac:dyDescent="0.25">
      <c r="A232" s="5">
        <v>44361</v>
      </c>
      <c r="B232">
        <v>3.2660000000000002E-2</v>
      </c>
      <c r="C232">
        <v>3.4630000000000001E-2</v>
      </c>
      <c r="D232">
        <v>3.1739999999999997E-2</v>
      </c>
      <c r="E232">
        <v>3.2960000000000003E-2</v>
      </c>
      <c r="F232">
        <v>43320861.799999997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-0.15570934256055069</v>
      </c>
      <c r="Q232">
        <f t="shared" si="960"/>
        <v>-6745462.910034474</v>
      </c>
      <c r="R232">
        <f t="shared" si="961"/>
        <v>-2745220940.6525621</v>
      </c>
      <c r="S232">
        <f t="shared" si="962"/>
        <v>-27452.209406525621</v>
      </c>
      <c r="T232">
        <f t="shared" si="963"/>
        <v>-27.452209406525622</v>
      </c>
    </row>
    <row r="233" spans="1:20" x14ac:dyDescent="0.25">
      <c r="A233" s="5">
        <v>44360</v>
      </c>
      <c r="B233">
        <v>3.116E-2</v>
      </c>
      <c r="C233">
        <v>3.2890000000000003E-2</v>
      </c>
      <c r="D233">
        <v>2.894E-2</v>
      </c>
      <c r="E233">
        <v>3.2590000000000001E-2</v>
      </c>
      <c r="F233">
        <v>41055305.399999999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0.848101265822784</v>
      </c>
      <c r="Q233">
        <f t="shared" si="960"/>
        <v>34819056.47848098</v>
      </c>
      <c r="R233">
        <f t="shared" si="961"/>
        <v>-2738475477.7425275</v>
      </c>
      <c r="S233">
        <f t="shared" si="962"/>
        <v>-27384.754777425274</v>
      </c>
      <c r="T233">
        <f t="shared" si="963"/>
        <v>-27.384754777425275</v>
      </c>
    </row>
    <row r="234" spans="1:20" x14ac:dyDescent="0.25">
      <c r="A234" s="5">
        <v>44359</v>
      </c>
      <c r="B234">
        <v>3.4430000000000002E-2</v>
      </c>
      <c r="C234">
        <v>3.4430000000000002E-2</v>
      </c>
      <c r="D234">
        <v>2.853E-2</v>
      </c>
      <c r="E234">
        <v>3.116E-2</v>
      </c>
      <c r="F234">
        <v>66329271.5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-0.10847457627118667</v>
      </c>
      <c r="Q234">
        <f t="shared" si="960"/>
        <v>-7195039.6203389987</v>
      </c>
      <c r="R234">
        <f t="shared" si="961"/>
        <v>-2773294534.2210083</v>
      </c>
      <c r="S234">
        <f t="shared" si="962"/>
        <v>-27732.945342210081</v>
      </c>
      <c r="T234">
        <f t="shared" si="963"/>
        <v>-27.73294534221008</v>
      </c>
    </row>
    <row r="235" spans="1:20" x14ac:dyDescent="0.25">
      <c r="A235" s="5">
        <v>44358</v>
      </c>
      <c r="B235">
        <v>3.7940000000000002E-2</v>
      </c>
      <c r="C235">
        <v>4.052E-2</v>
      </c>
      <c r="D235">
        <v>3.3480000000000003E-2</v>
      </c>
      <c r="E235">
        <v>3.397E-2</v>
      </c>
      <c r="F235">
        <v>72894872.400000006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-0.86079545454545525</v>
      </c>
      <c r="Q235">
        <f t="shared" si="960"/>
        <v>-62747574.821590967</v>
      </c>
      <c r="R235">
        <f t="shared" si="961"/>
        <v>-2766099494.6006694</v>
      </c>
      <c r="S235">
        <f t="shared" si="962"/>
        <v>-27660.994946006693</v>
      </c>
      <c r="T235">
        <f t="shared" si="963"/>
        <v>-27.660994946006692</v>
      </c>
    </row>
    <row r="236" spans="1:20" x14ac:dyDescent="0.25">
      <c r="A236" s="5">
        <v>44357</v>
      </c>
      <c r="B236">
        <v>3.6799999999999999E-2</v>
      </c>
      <c r="C236">
        <v>4.2520000000000002E-2</v>
      </c>
      <c r="D236">
        <v>3.3950000000000001E-2</v>
      </c>
      <c r="E236">
        <v>3.7949999999999998E-2</v>
      </c>
      <c r="F236">
        <v>154217203.40000001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-6.6511085180864404E-2</v>
      </c>
      <c r="Q236">
        <f t="shared" si="960"/>
        <v>-10257153.551692093</v>
      </c>
      <c r="R236">
        <f t="shared" si="961"/>
        <v>-2703351919.7790785</v>
      </c>
      <c r="S236">
        <f t="shared" si="962"/>
        <v>-27033.519197790785</v>
      </c>
      <c r="T236">
        <f t="shared" si="963"/>
        <v>-27.033519197790785</v>
      </c>
    </row>
    <row r="237" spans="1:20" x14ac:dyDescent="0.25">
      <c r="A237" s="5">
        <v>44356</v>
      </c>
      <c r="B237">
        <v>3.1489999999999997E-2</v>
      </c>
      <c r="C237">
        <v>4.1000000000000002E-2</v>
      </c>
      <c r="D237">
        <v>2.9559999999999999E-2</v>
      </c>
      <c r="E237">
        <v>3.6799999999999999E-2</v>
      </c>
      <c r="F237">
        <v>112762291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0.26573426573426545</v>
      </c>
      <c r="Q237">
        <f t="shared" si="960"/>
        <v>29964804.601398569</v>
      </c>
      <c r="R237">
        <f t="shared" si="961"/>
        <v>-2693094766.2273865</v>
      </c>
      <c r="S237">
        <f t="shared" si="962"/>
        <v>-26930.947662273866</v>
      </c>
      <c r="T237">
        <f t="shared" si="963"/>
        <v>-26.930947662273866</v>
      </c>
    </row>
    <row r="238" spans="1:20" x14ac:dyDescent="0.25">
      <c r="A238" s="5">
        <v>44355</v>
      </c>
      <c r="B238">
        <v>3.0450000000000001E-2</v>
      </c>
      <c r="C238">
        <v>3.211E-2</v>
      </c>
      <c r="D238">
        <v>2.6880000000000001E-2</v>
      </c>
      <c r="E238">
        <v>3.15E-2</v>
      </c>
      <c r="F238">
        <v>40542627.600000001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0.7667304015296369</v>
      </c>
      <c r="Q238">
        <f t="shared" si="960"/>
        <v>31085265.138814539</v>
      </c>
      <c r="R238">
        <f t="shared" si="961"/>
        <v>-2723059570.8287849</v>
      </c>
      <c r="S238">
        <f t="shared" si="962"/>
        <v>-27230.595708287849</v>
      </c>
      <c r="T238">
        <f t="shared" si="963"/>
        <v>-27.230595708287847</v>
      </c>
    </row>
    <row r="239" spans="1:20" x14ac:dyDescent="0.25">
      <c r="A239" s="5">
        <v>44354</v>
      </c>
      <c r="B239">
        <v>3.5549999999999998E-2</v>
      </c>
      <c r="C239">
        <v>3.9E-2</v>
      </c>
      <c r="D239">
        <v>3.0200000000000001E-2</v>
      </c>
      <c r="E239">
        <v>3.0439999999999998E-2</v>
      </c>
      <c r="F239">
        <v>69314874.700000003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-0.9454545454545461</v>
      </c>
      <c r="Q239">
        <f t="shared" si="960"/>
        <v>-65534063.352727324</v>
      </c>
      <c r="R239">
        <f t="shared" si="961"/>
        <v>-2754144835.9675994</v>
      </c>
      <c r="S239">
        <f t="shared" si="962"/>
        <v>-27541.448359675993</v>
      </c>
      <c r="T239">
        <f t="shared" si="963"/>
        <v>-27.541448359675993</v>
      </c>
    </row>
    <row r="240" spans="1:20" x14ac:dyDescent="0.25">
      <c r="A240" s="5">
        <v>44353</v>
      </c>
      <c r="B240">
        <v>3.0700000000000002E-2</v>
      </c>
      <c r="C240">
        <v>4.2700000000000002E-2</v>
      </c>
      <c r="D240">
        <v>3.0509999999999999E-2</v>
      </c>
      <c r="E240">
        <v>3.5479999999999998E-2</v>
      </c>
      <c r="F240">
        <v>179601159.90000001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-0.18457752255947538</v>
      </c>
      <c r="Q240">
        <f t="shared" si="960"/>
        <v>-33150337.143150195</v>
      </c>
      <c r="R240">
        <f t="shared" si="961"/>
        <v>-2688610772.614872</v>
      </c>
      <c r="S240">
        <f t="shared" si="962"/>
        <v>-26886.107726148719</v>
      </c>
      <c r="T240">
        <f t="shared" si="963"/>
        <v>-26.886107726148719</v>
      </c>
    </row>
    <row r="241" spans="1:20" x14ac:dyDescent="0.25">
      <c r="A241" s="5">
        <v>44352</v>
      </c>
      <c r="B241">
        <v>3.3270000000000001E-2</v>
      </c>
      <c r="C241">
        <v>3.4840000000000003E-2</v>
      </c>
      <c r="D241">
        <v>0.03</v>
      </c>
      <c r="E241">
        <v>3.0689999999999999E-2</v>
      </c>
      <c r="F241">
        <v>27301987.199999999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-0.71487603305785163</v>
      </c>
      <c r="Q241">
        <f t="shared" si="960"/>
        <v>-19517536.304132242</v>
      </c>
      <c r="R241">
        <f t="shared" si="961"/>
        <v>-2655460435.4717216</v>
      </c>
      <c r="S241">
        <f t="shared" si="962"/>
        <v>-26554.604354717216</v>
      </c>
      <c r="T241">
        <f t="shared" si="963"/>
        <v>-26.554604354717217</v>
      </c>
    </row>
    <row r="242" spans="1:20" x14ac:dyDescent="0.25">
      <c r="A242" s="5">
        <v>44351</v>
      </c>
      <c r="B242">
        <v>3.6260000000000001E-2</v>
      </c>
      <c r="C242">
        <v>3.6990000000000002E-2</v>
      </c>
      <c r="D242">
        <v>3.0800000000000001E-2</v>
      </c>
      <c r="E242">
        <v>3.3459999999999997E-2</v>
      </c>
      <c r="F242">
        <v>71689600.400000006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-0.14054927302100315</v>
      </c>
      <c r="Q242">
        <f t="shared" si="960"/>
        <v>-10075921.219386216</v>
      </c>
      <c r="R242">
        <f t="shared" si="961"/>
        <v>-2635942899.1675892</v>
      </c>
      <c r="S242">
        <f t="shared" si="962"/>
        <v>-26359.428991675893</v>
      </c>
      <c r="T242">
        <f t="shared" si="963"/>
        <v>-26.359428991675895</v>
      </c>
    </row>
    <row r="243" spans="1:20" x14ac:dyDescent="0.25">
      <c r="A243" s="5">
        <v>44350</v>
      </c>
      <c r="B243">
        <v>3.4459999999999998E-2</v>
      </c>
      <c r="C243">
        <v>3.6999999999999998E-2</v>
      </c>
      <c r="D243">
        <v>3.3590000000000002E-2</v>
      </c>
      <c r="E243">
        <v>3.6229999999999998E-2</v>
      </c>
      <c r="F243">
        <v>68492121.5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0.54838709677419317</v>
      </c>
      <c r="Q243">
        <f t="shared" si="960"/>
        <v>37560195.661290295</v>
      </c>
      <c r="R243">
        <f t="shared" si="961"/>
        <v>-2625866977.9482031</v>
      </c>
      <c r="S243">
        <f t="shared" si="962"/>
        <v>-26258.669779482032</v>
      </c>
      <c r="T243">
        <f t="shared" si="963"/>
        <v>-26.25866977948203</v>
      </c>
    </row>
    <row r="244" spans="1:20" x14ac:dyDescent="0.25">
      <c r="A244" s="5">
        <v>44349</v>
      </c>
      <c r="B244">
        <v>3.32E-2</v>
      </c>
      <c r="C244">
        <v>3.5839999999999997E-2</v>
      </c>
      <c r="D244">
        <v>3.2300000000000002E-2</v>
      </c>
      <c r="E244">
        <v>3.4479999999999997E-2</v>
      </c>
      <c r="F244">
        <v>29562867.800000001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0.2316384180790948</v>
      </c>
      <c r="Q244">
        <f t="shared" si="960"/>
        <v>6847895.9310734095</v>
      </c>
      <c r="R244">
        <f t="shared" si="961"/>
        <v>-2663427173.6094933</v>
      </c>
      <c r="S244">
        <f t="shared" si="962"/>
        <v>-26634.271736094932</v>
      </c>
      <c r="T244">
        <f t="shared" si="963"/>
        <v>-26.634271736094931</v>
      </c>
    </row>
    <row r="245" spans="1:20" x14ac:dyDescent="0.25">
      <c r="A245" s="5">
        <v>44348</v>
      </c>
      <c r="B245">
        <v>3.4340000000000002E-2</v>
      </c>
      <c r="C245">
        <v>3.5000000000000003E-2</v>
      </c>
      <c r="D245">
        <v>3.227E-2</v>
      </c>
      <c r="E245">
        <v>3.3140000000000003E-2</v>
      </c>
      <c r="F245">
        <v>20344363.199999999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-0.3626373626373614</v>
      </c>
      <c r="Q245">
        <f t="shared" si="960"/>
        <v>-7377626.2153845904</v>
      </c>
      <c r="R245">
        <f t="shared" si="961"/>
        <v>-2670275069.5405664</v>
      </c>
      <c r="S245">
        <f t="shared" si="962"/>
        <v>-26702.750695405666</v>
      </c>
      <c r="T245">
        <f t="shared" si="963"/>
        <v>-26.702750695405665</v>
      </c>
    </row>
    <row r="246" spans="1:20" x14ac:dyDescent="0.25">
      <c r="A246" s="5">
        <v>44347</v>
      </c>
      <c r="B246">
        <v>3.1009999999999999E-2</v>
      </c>
      <c r="C246">
        <v>3.5009999999999999E-2</v>
      </c>
      <c r="D246">
        <v>3.0370000000000001E-2</v>
      </c>
      <c r="E246">
        <v>3.449E-2</v>
      </c>
      <c r="F246">
        <v>31310556.800000001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0.77586206896551735</v>
      </c>
      <c r="Q246">
        <f t="shared" si="960"/>
        <v>24292673.379310347</v>
      </c>
      <c r="R246">
        <f t="shared" si="961"/>
        <v>-2662897443.325182</v>
      </c>
      <c r="S246">
        <f t="shared" si="962"/>
        <v>-26628.97443325182</v>
      </c>
      <c r="T246">
        <f t="shared" si="963"/>
        <v>-26.62897443325182</v>
      </c>
    </row>
    <row r="247" spans="1:20" x14ac:dyDescent="0.25">
      <c r="A247" s="5">
        <v>44346</v>
      </c>
      <c r="B247">
        <v>3.0640000000000001E-2</v>
      </c>
      <c r="C247">
        <v>3.2550000000000003E-2</v>
      </c>
      <c r="D247">
        <v>2.852E-2</v>
      </c>
      <c r="E247">
        <v>3.1150000000000001E-2</v>
      </c>
      <c r="F247">
        <v>15274564.5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0.30521091811414336</v>
      </c>
      <c r="Q247">
        <f t="shared" si="960"/>
        <v>4661963.854838701</v>
      </c>
      <c r="R247">
        <f t="shared" si="961"/>
        <v>-2687190116.7044921</v>
      </c>
      <c r="S247">
        <f t="shared" si="962"/>
        <v>-26871.901167044922</v>
      </c>
      <c r="T247">
        <f t="shared" si="963"/>
        <v>-26.871901167044921</v>
      </c>
    </row>
    <row r="248" spans="1:20" x14ac:dyDescent="0.25">
      <c r="A248" s="5">
        <v>44345</v>
      </c>
      <c r="B248">
        <v>3.1E-2</v>
      </c>
      <c r="C248">
        <v>3.2620000000000003E-2</v>
      </c>
      <c r="D248">
        <v>2.852E-2</v>
      </c>
      <c r="E248">
        <v>3.065E-2</v>
      </c>
      <c r="F248">
        <v>15282019.6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3.9024390243901669E-2</v>
      </c>
      <c r="Q248">
        <f t="shared" si="960"/>
        <v>596371.49658535409</v>
      </c>
      <c r="R248">
        <f t="shared" si="961"/>
        <v>-2691852080.5593309</v>
      </c>
      <c r="S248">
        <f t="shared" si="962"/>
        <v>-26918.520805593311</v>
      </c>
      <c r="T248">
        <f t="shared" si="963"/>
        <v>-26.91852080559331</v>
      </c>
    </row>
    <row r="249" spans="1:20" x14ac:dyDescent="0.25">
      <c r="A249" s="5">
        <v>44344</v>
      </c>
      <c r="B249">
        <v>3.6949999999999997E-2</v>
      </c>
      <c r="C249">
        <v>3.7539999999999997E-2</v>
      </c>
      <c r="D249">
        <v>2.98E-2</v>
      </c>
      <c r="E249">
        <v>3.1009999999999999E-2</v>
      </c>
      <c r="F249">
        <v>33459321.699999999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-0.6873385012919897</v>
      </c>
      <c r="Q249">
        <f t="shared" si="960"/>
        <v>-22997880.03152455</v>
      </c>
      <c r="R249">
        <f t="shared" si="961"/>
        <v>-2692448452.0559163</v>
      </c>
      <c r="S249">
        <f t="shared" si="962"/>
        <v>-26924.484520559163</v>
      </c>
      <c r="T249">
        <f t="shared" si="963"/>
        <v>-26.924484520559162</v>
      </c>
    </row>
    <row r="250" spans="1:20" x14ac:dyDescent="0.25">
      <c r="A250" s="5">
        <v>44343</v>
      </c>
      <c r="B250">
        <v>3.8390000000000001E-2</v>
      </c>
      <c r="C250">
        <v>3.9E-2</v>
      </c>
      <c r="D250">
        <v>3.4819999999999997E-2</v>
      </c>
      <c r="E250">
        <v>3.6949999999999997E-2</v>
      </c>
      <c r="F250">
        <v>21197317.199999999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1.9138755980860449E-2</v>
      </c>
      <c r="Q250">
        <f t="shared" si="960"/>
        <v>405690.28133969603</v>
      </c>
      <c r="R250">
        <f t="shared" si="961"/>
        <v>-2669450572.0243917</v>
      </c>
      <c r="S250">
        <f t="shared" si="962"/>
        <v>-26694.505720243917</v>
      </c>
      <c r="T250">
        <f t="shared" si="963"/>
        <v>-26.694505720243917</v>
      </c>
    </row>
    <row r="251" spans="1:20" x14ac:dyDescent="0.25">
      <c r="A251" s="5">
        <v>44342</v>
      </c>
      <c r="B251">
        <v>3.5209999999999998E-2</v>
      </c>
      <c r="C251">
        <v>3.9379999999999998E-2</v>
      </c>
      <c r="D251">
        <v>3.4229999999999997E-2</v>
      </c>
      <c r="E251">
        <v>3.8469999999999997E-2</v>
      </c>
      <c r="F251">
        <v>43934726.600000001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0.64660194174757257</v>
      </c>
      <c r="Q251">
        <f t="shared" si="960"/>
        <v>28408279.529708728</v>
      </c>
      <c r="R251">
        <f t="shared" si="961"/>
        <v>-2669856262.3057313</v>
      </c>
      <c r="S251">
        <f t="shared" si="962"/>
        <v>-26698.562623057314</v>
      </c>
      <c r="T251">
        <f t="shared" si="963"/>
        <v>-26.698562623057313</v>
      </c>
    </row>
    <row r="252" spans="1:20" x14ac:dyDescent="0.25">
      <c r="A252" s="5">
        <v>44341</v>
      </c>
      <c r="B252">
        <v>3.354E-2</v>
      </c>
      <c r="C252">
        <v>3.5589999999999997E-2</v>
      </c>
      <c r="D252">
        <v>3.0130000000000001E-2</v>
      </c>
      <c r="E252">
        <v>3.5060000000000001E-2</v>
      </c>
      <c r="F252">
        <v>59760112.899999999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0.80586080586080733</v>
      </c>
      <c r="Q252">
        <f t="shared" si="960"/>
        <v>48158332.73992683</v>
      </c>
      <c r="R252">
        <f t="shared" si="961"/>
        <v>-2698264541.8354402</v>
      </c>
      <c r="S252">
        <f t="shared" si="962"/>
        <v>-26982.645418354401</v>
      </c>
      <c r="T252">
        <f t="shared" si="963"/>
        <v>-26.982645418354402</v>
      </c>
    </row>
    <row r="253" spans="1:20" x14ac:dyDescent="0.25">
      <c r="A253" s="5">
        <v>44340</v>
      </c>
      <c r="B253">
        <v>2.741E-2</v>
      </c>
      <c r="C253">
        <v>3.7359999999999997E-2</v>
      </c>
      <c r="D253">
        <v>2.656E-2</v>
      </c>
      <c r="E253">
        <v>3.3340000000000002E-2</v>
      </c>
      <c r="F253">
        <v>111689328.8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0.25555555555555615</v>
      </c>
      <c r="Q253">
        <f t="shared" si="960"/>
        <v>28542828.471111175</v>
      </c>
      <c r="R253">
        <f t="shared" si="961"/>
        <v>-2746422874.575367</v>
      </c>
      <c r="S253">
        <f t="shared" si="962"/>
        <v>-27464.22874575367</v>
      </c>
      <c r="T253">
        <f t="shared" si="963"/>
        <v>-27.464228745753669</v>
      </c>
    </row>
    <row r="254" spans="1:20" x14ac:dyDescent="0.25">
      <c r="A254" s="5">
        <v>44339</v>
      </c>
      <c r="B254">
        <v>3.2509999999999997E-2</v>
      </c>
      <c r="C254">
        <v>3.4369999999999998E-2</v>
      </c>
      <c r="D254">
        <v>2.2499999999999999E-2</v>
      </c>
      <c r="E254">
        <v>2.7320000000000001E-2</v>
      </c>
      <c r="F254">
        <v>83793292.299999997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-0.18786857624262815</v>
      </c>
      <c r="Q254">
        <f t="shared" si="960"/>
        <v>-15742126.523083376</v>
      </c>
      <c r="R254">
        <f t="shared" si="961"/>
        <v>-2774965703.0464783</v>
      </c>
      <c r="S254">
        <f t="shared" si="962"/>
        <v>-27749.657030464783</v>
      </c>
      <c r="T254">
        <f t="shared" si="963"/>
        <v>-27.749657030464782</v>
      </c>
    </row>
    <row r="255" spans="1:20" x14ac:dyDescent="0.25">
      <c r="A255" s="5">
        <v>44338</v>
      </c>
      <c r="B255">
        <v>3.5439999999999999E-2</v>
      </c>
      <c r="C255">
        <v>3.6859999999999997E-2</v>
      </c>
      <c r="D255">
        <v>3.124E-2</v>
      </c>
      <c r="E255">
        <v>3.2509999999999997E-2</v>
      </c>
      <c r="F255">
        <v>43371549.899999999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-0.54804270462633542</v>
      </c>
      <c r="Q255">
        <f t="shared" si="960"/>
        <v>-23769461.511032067</v>
      </c>
      <c r="R255">
        <f t="shared" si="961"/>
        <v>-2759223576.5233951</v>
      </c>
      <c r="S255">
        <f t="shared" si="962"/>
        <v>-27592.235765233952</v>
      </c>
      <c r="T255">
        <f t="shared" si="963"/>
        <v>-27.592235765233951</v>
      </c>
    </row>
    <row r="256" spans="1:20" x14ac:dyDescent="0.25">
      <c r="A256" s="5">
        <v>44337</v>
      </c>
      <c r="B256">
        <v>4.2930000000000003E-2</v>
      </c>
      <c r="C256">
        <v>5.2499999999999998E-2</v>
      </c>
      <c r="D256">
        <v>2.9940000000000001E-2</v>
      </c>
      <c r="E256">
        <v>3.5439999999999999E-2</v>
      </c>
      <c r="F256">
        <v>229173752.59999999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-0.51241134751773065</v>
      </c>
      <c r="Q256">
        <f t="shared" si="960"/>
        <v>-117431231.38546103</v>
      </c>
      <c r="R256">
        <f t="shared" si="961"/>
        <v>-2735454115.012363</v>
      </c>
      <c r="S256">
        <f t="shared" si="962"/>
        <v>-27354.54115012363</v>
      </c>
      <c r="T256">
        <f t="shared" si="963"/>
        <v>-27.35454115012363</v>
      </c>
    </row>
    <row r="257" spans="1:20" x14ac:dyDescent="0.25">
      <c r="A257" s="5">
        <v>44336</v>
      </c>
      <c r="B257">
        <v>3.7539999999999997E-2</v>
      </c>
      <c r="C257">
        <v>4.616E-2</v>
      </c>
      <c r="D257">
        <v>3.4139999999999997E-2</v>
      </c>
      <c r="E257">
        <v>4.2909999999999997E-2</v>
      </c>
      <c r="F257">
        <v>140364795.5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0.45923460898502461</v>
      </c>
      <c r="Q257">
        <f t="shared" si="960"/>
        <v>64460371.976705439</v>
      </c>
      <c r="R257">
        <f t="shared" si="961"/>
        <v>-2618022883.6269021</v>
      </c>
      <c r="S257">
        <f t="shared" si="962"/>
        <v>-26180.22883626902</v>
      </c>
      <c r="T257">
        <f t="shared" si="963"/>
        <v>-26.18022883626902</v>
      </c>
    </row>
    <row r="258" spans="1:20" x14ac:dyDescent="0.25">
      <c r="A258" s="5">
        <v>44335</v>
      </c>
      <c r="B258">
        <v>5.1330000000000001E-2</v>
      </c>
      <c r="C258">
        <v>5.2249999999999998E-2</v>
      </c>
      <c r="D258">
        <v>2.828E-2</v>
      </c>
      <c r="E258">
        <v>3.7319999999999999E-2</v>
      </c>
      <c r="F258">
        <v>78873072.799999997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-0.24572382144347099</v>
      </c>
      <c r="Q258">
        <f t="shared" si="960"/>
        <v>-19380992.857405089</v>
      </c>
      <c r="R258">
        <f t="shared" si="961"/>
        <v>-2682483255.6036077</v>
      </c>
      <c r="S258">
        <f t="shared" si="962"/>
        <v>-26824.832556036075</v>
      </c>
      <c r="T258">
        <f t="shared" si="963"/>
        <v>-26.824832556036075</v>
      </c>
    </row>
    <row r="259" spans="1:20" x14ac:dyDescent="0.25">
      <c r="A259" s="5">
        <v>44334</v>
      </c>
      <c r="B259">
        <v>4.9799999999999997E-2</v>
      </c>
      <c r="C259">
        <v>5.5419999999999997E-2</v>
      </c>
      <c r="D259">
        <v>4.9230000000000003E-2</v>
      </c>
      <c r="E259">
        <v>5.142E-2</v>
      </c>
      <c r="F259">
        <v>39637721.5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-0.29240710823909544</v>
      </c>
      <c r="Q259">
        <f t="shared" si="960"/>
        <v>-11590351.52100162</v>
      </c>
      <c r="R259">
        <f t="shared" si="961"/>
        <v>-2663102262.7462025</v>
      </c>
      <c r="S259">
        <f t="shared" si="962"/>
        <v>-26631.022627462025</v>
      </c>
      <c r="T259">
        <f t="shared" si="963"/>
        <v>-26.631022627462027</v>
      </c>
    </row>
    <row r="260" spans="1:20" x14ac:dyDescent="0.25">
      <c r="A260" s="5">
        <v>44333</v>
      </c>
      <c r="B260">
        <v>5.4980000000000001E-2</v>
      </c>
      <c r="C260">
        <v>5.5210000000000002E-2</v>
      </c>
      <c r="D260">
        <v>4.725E-2</v>
      </c>
      <c r="E260">
        <v>4.9549999999999997E-2</v>
      </c>
      <c r="F260">
        <v>43033832.5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-0.42211055276382009</v>
      </c>
      <c r="Q260">
        <f t="shared" si="960"/>
        <v>-18165034.824120644</v>
      </c>
      <c r="R260">
        <f t="shared" si="961"/>
        <v>-2651511911.2252007</v>
      </c>
      <c r="S260">
        <f t="shared" si="962"/>
        <v>-26515.119112252007</v>
      </c>
      <c r="T260">
        <f t="shared" si="963"/>
        <v>-26.515119112252005</v>
      </c>
    </row>
    <row r="261" spans="1:20" x14ac:dyDescent="0.25">
      <c r="A261" s="5">
        <v>44332</v>
      </c>
      <c r="B261">
        <v>5.5190000000000003E-2</v>
      </c>
      <c r="C261">
        <v>6.1990000000000003E-2</v>
      </c>
      <c r="D261">
        <v>5.1909999999999998E-2</v>
      </c>
      <c r="E261">
        <v>5.4859999999999999E-2</v>
      </c>
      <c r="F261">
        <v>38998157.700000003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-0.41468253968253976</v>
      </c>
      <c r="Q261">
        <f t="shared" si="960"/>
        <v>-16171855.077976195</v>
      </c>
      <c r="R261">
        <f t="shared" si="961"/>
        <v>-2633346876.4010801</v>
      </c>
      <c r="S261">
        <f t="shared" si="962"/>
        <v>-26333.468764010802</v>
      </c>
      <c r="T261">
        <f t="shared" si="963"/>
        <v>-26.333468764010803</v>
      </c>
    </row>
    <row r="262" spans="1:20" x14ac:dyDescent="0.25">
      <c r="A262" s="5">
        <v>44331</v>
      </c>
      <c r="B262">
        <v>5.9880000000000003E-2</v>
      </c>
      <c r="C262">
        <v>6.2300000000000001E-2</v>
      </c>
      <c r="D262">
        <v>5.4350000000000002E-2</v>
      </c>
      <c r="E262">
        <v>5.5079999999999997E-2</v>
      </c>
      <c r="F262">
        <v>51127371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-0.81635220125786301</v>
      </c>
      <c r="Q262">
        <f t="shared" ref="Q262:Q325" si="965">F262*P262</f>
        <v>-41737941.860377431</v>
      </c>
      <c r="R262">
        <f t="shared" ref="R262:R325" si="966">R263+Q262</f>
        <v>-2617175021.3231039</v>
      </c>
      <c r="S262">
        <f t="shared" ref="S262:S325" si="967">R262/100000</f>
        <v>-26171.75021323104</v>
      </c>
      <c r="T262">
        <f t="shared" ref="T262:T325" si="968">S262/1000</f>
        <v>-26.171750213231039</v>
      </c>
    </row>
    <row r="263" spans="1:20" x14ac:dyDescent="0.25">
      <c r="A263" s="5">
        <v>44330</v>
      </c>
      <c r="B263">
        <v>5.6419999999999998E-2</v>
      </c>
      <c r="C263">
        <v>6.4159999999999995E-2</v>
      </c>
      <c r="D263">
        <v>5.6030000000000003E-2</v>
      </c>
      <c r="E263">
        <v>5.9880000000000003E-2</v>
      </c>
      <c r="F263">
        <v>63373487.5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-5.2890528905288232E-2</v>
      </c>
      <c r="Q263">
        <f t="shared" si="965"/>
        <v>-3351857.2724476727</v>
      </c>
      <c r="R263">
        <f t="shared" si="966"/>
        <v>-2575437079.4627266</v>
      </c>
      <c r="S263">
        <f t="shared" si="967"/>
        <v>-25754.370794627266</v>
      </c>
      <c r="T263">
        <f t="shared" si="968"/>
        <v>-25.754370794627267</v>
      </c>
    </row>
    <row r="264" spans="1:20" x14ac:dyDescent="0.25">
      <c r="A264" s="5">
        <v>44329</v>
      </c>
      <c r="B264">
        <v>5.7259999999999998E-2</v>
      </c>
      <c r="C264">
        <v>6.1530000000000001E-2</v>
      </c>
      <c r="D264">
        <v>5.2060000000000002E-2</v>
      </c>
      <c r="E264">
        <v>5.6370000000000003E-2</v>
      </c>
      <c r="F264">
        <v>80180257.799999997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-8.9757127771910944E-2</v>
      </c>
      <c r="Q264">
        <f t="shared" si="965"/>
        <v>-7196749.6441393588</v>
      </c>
      <c r="R264">
        <f t="shared" si="966"/>
        <v>-2572085222.190279</v>
      </c>
      <c r="S264">
        <f t="shared" si="967"/>
        <v>-25720.852221902791</v>
      </c>
      <c r="T264">
        <f t="shared" si="968"/>
        <v>-25.720852221902792</v>
      </c>
    </row>
    <row r="265" spans="1:20" x14ac:dyDescent="0.25">
      <c r="A265" s="5">
        <v>44328</v>
      </c>
      <c r="B265">
        <v>7.0279999999999995E-2</v>
      </c>
      <c r="C265">
        <v>7.1999999999999995E-2</v>
      </c>
      <c r="D265">
        <v>5.2999999999999999E-2</v>
      </c>
      <c r="E265">
        <v>5.7500000000000002E-2</v>
      </c>
      <c r="F265">
        <v>50471303.5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-0.52631578947368374</v>
      </c>
      <c r="Q265">
        <f t="shared" si="965"/>
        <v>-26563843.947368398</v>
      </c>
      <c r="R265">
        <f t="shared" si="966"/>
        <v>-2564888472.5461397</v>
      </c>
      <c r="S265">
        <f t="shared" si="967"/>
        <v>-25648.884725461397</v>
      </c>
      <c r="T265">
        <f t="shared" si="968"/>
        <v>-25.648884725461397</v>
      </c>
    </row>
    <row r="266" spans="1:20" x14ac:dyDescent="0.25">
      <c r="A266" s="5">
        <v>44327</v>
      </c>
      <c r="B266">
        <v>6.7360000000000003E-2</v>
      </c>
      <c r="C266">
        <v>7.2410000000000002E-2</v>
      </c>
      <c r="D266">
        <v>6.0199999999999997E-2</v>
      </c>
      <c r="E266">
        <v>7.0290000000000005E-2</v>
      </c>
      <c r="F266">
        <v>73016227.200000003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0.65274365274365342</v>
      </c>
      <c r="Q266">
        <f t="shared" si="965"/>
        <v>47660878.852088504</v>
      </c>
      <c r="R266">
        <f t="shared" si="966"/>
        <v>-2538324628.5987711</v>
      </c>
      <c r="S266">
        <f t="shared" si="967"/>
        <v>-25383.246285987712</v>
      </c>
      <c r="T266">
        <f t="shared" si="968"/>
        <v>-25.383246285987713</v>
      </c>
    </row>
    <row r="267" spans="1:20" x14ac:dyDescent="0.25">
      <c r="A267" s="5">
        <v>44326</v>
      </c>
      <c r="B267">
        <v>7.6499999999999999E-2</v>
      </c>
      <c r="C267">
        <v>7.9899999999999999E-2</v>
      </c>
      <c r="D267">
        <v>6.2170000000000003E-2</v>
      </c>
      <c r="E267">
        <v>6.7349999999999993E-2</v>
      </c>
      <c r="F267">
        <v>137360498.40000001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-0.4156796390298938</v>
      </c>
      <c r="Q267">
        <f t="shared" si="965"/>
        <v>-57097962.391878307</v>
      </c>
      <c r="R267">
        <f t="shared" si="966"/>
        <v>-2585985507.4508595</v>
      </c>
      <c r="S267">
        <f t="shared" si="967"/>
        <v>-25859.855074508596</v>
      </c>
      <c r="T267">
        <f t="shared" si="968"/>
        <v>-25.859855074508594</v>
      </c>
    </row>
    <row r="268" spans="1:20" x14ac:dyDescent="0.25">
      <c r="A268" s="5">
        <v>44325</v>
      </c>
      <c r="B268">
        <v>8.8190000000000004E-2</v>
      </c>
      <c r="C268">
        <v>9.0990000000000001E-2</v>
      </c>
      <c r="D268">
        <v>7.2499999999999995E-2</v>
      </c>
      <c r="E268">
        <v>7.6490000000000002E-2</v>
      </c>
      <c r="F268">
        <v>357759824.30000001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-0.56841535965386625</v>
      </c>
      <c r="Q268">
        <f t="shared" si="965"/>
        <v>-203356179.1991885</v>
      </c>
      <c r="R268">
        <f t="shared" si="966"/>
        <v>-2528887545.0589814</v>
      </c>
      <c r="S268">
        <f t="shared" si="967"/>
        <v>-25288.875450589814</v>
      </c>
      <c r="T268">
        <f t="shared" si="968"/>
        <v>-25.288875450589813</v>
      </c>
    </row>
    <row r="269" spans="1:20" x14ac:dyDescent="0.25">
      <c r="A269" s="5">
        <v>44324</v>
      </c>
      <c r="B269">
        <v>6.7589999999999997E-2</v>
      </c>
      <c r="C269">
        <v>9.6530000000000005E-2</v>
      </c>
      <c r="D269">
        <v>6.6650000000000001E-2</v>
      </c>
      <c r="E269">
        <v>8.8410000000000002E-2</v>
      </c>
      <c r="F269">
        <v>723597957.5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0.45649263721552868</v>
      </c>
      <c r="Q269">
        <f t="shared" si="965"/>
        <v>330317139.90294504</v>
      </c>
      <c r="R269">
        <f t="shared" si="966"/>
        <v>-2325531365.8597927</v>
      </c>
      <c r="S269">
        <f t="shared" si="967"/>
        <v>-23255.313658597926</v>
      </c>
      <c r="T269">
        <f t="shared" si="968"/>
        <v>-23.255313658597927</v>
      </c>
    </row>
    <row r="270" spans="1:20" x14ac:dyDescent="0.25">
      <c r="A270" s="5">
        <v>44323</v>
      </c>
      <c r="B270">
        <v>6.8349999999999994E-2</v>
      </c>
      <c r="C270">
        <v>7.2940000000000005E-2</v>
      </c>
      <c r="D270">
        <v>6.5000000000000002E-2</v>
      </c>
      <c r="E270">
        <v>6.7589999999999997E-2</v>
      </c>
      <c r="F270">
        <v>68994475.299999997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-0.34760705289672689</v>
      </c>
      <c r="Q270">
        <f t="shared" si="965"/>
        <v>-23982966.225189015</v>
      </c>
      <c r="R270">
        <f t="shared" si="966"/>
        <v>-2655848505.7627378</v>
      </c>
      <c r="S270">
        <f t="shared" si="967"/>
        <v>-26558.485057627378</v>
      </c>
      <c r="T270">
        <f t="shared" si="968"/>
        <v>-26.558485057627379</v>
      </c>
    </row>
    <row r="271" spans="1:20" x14ac:dyDescent="0.25">
      <c r="A271" s="5">
        <v>44322</v>
      </c>
      <c r="B271">
        <v>7.1470000000000006E-2</v>
      </c>
      <c r="C271">
        <v>7.1639999999999995E-2</v>
      </c>
      <c r="D271">
        <v>6.7000000000000004E-2</v>
      </c>
      <c r="E271">
        <v>6.8349999999999994E-2</v>
      </c>
      <c r="F271">
        <v>63572905.600000001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-0.41810344827586526</v>
      </c>
      <c r="Q271">
        <f t="shared" si="965"/>
        <v>-26580051.048276067</v>
      </c>
      <c r="R271">
        <f t="shared" si="966"/>
        <v>-2631865539.5375485</v>
      </c>
      <c r="S271">
        <f t="shared" si="967"/>
        <v>-26318.655395375485</v>
      </c>
      <c r="T271">
        <f t="shared" si="968"/>
        <v>-26.318655395375483</v>
      </c>
    </row>
    <row r="272" spans="1:20" x14ac:dyDescent="0.25">
      <c r="A272" s="5">
        <v>44321</v>
      </c>
      <c r="B272">
        <v>6.5500000000000003E-2</v>
      </c>
      <c r="C272">
        <v>7.3999999999999996E-2</v>
      </c>
      <c r="D272">
        <v>6.4329999999999998E-2</v>
      </c>
      <c r="E272">
        <v>7.1540000000000006E-2</v>
      </c>
      <c r="F272">
        <v>72202629.700000003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0.49120992761117055</v>
      </c>
      <c r="Q272">
        <f t="shared" si="965"/>
        <v>35466648.508273154</v>
      </c>
      <c r="R272">
        <f t="shared" si="966"/>
        <v>-2605285488.4892726</v>
      </c>
      <c r="S272">
        <f t="shared" si="967"/>
        <v>-26052.854884892728</v>
      </c>
      <c r="T272">
        <f t="shared" si="968"/>
        <v>-26.052854884892728</v>
      </c>
    </row>
    <row r="273" spans="1:20" x14ac:dyDescent="0.25">
      <c r="A273" s="5">
        <v>44320</v>
      </c>
      <c r="B273">
        <v>7.8219999999999998E-2</v>
      </c>
      <c r="C273">
        <v>7.8340000000000007E-2</v>
      </c>
      <c r="D273">
        <v>6.4199999999999993E-2</v>
      </c>
      <c r="E273">
        <v>6.5299999999999997E-2</v>
      </c>
      <c r="F273">
        <v>129168556.8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-0.84441301272984404</v>
      </c>
      <c r="Q273">
        <f t="shared" si="965"/>
        <v>-109071610.19745398</v>
      </c>
      <c r="R273">
        <f t="shared" si="966"/>
        <v>-2640752136.9975457</v>
      </c>
      <c r="S273">
        <f t="shared" si="967"/>
        <v>-26407.521369975457</v>
      </c>
      <c r="T273">
        <f t="shared" si="968"/>
        <v>-26.407521369975456</v>
      </c>
    </row>
    <row r="274" spans="1:20" x14ac:dyDescent="0.25">
      <c r="A274" s="5">
        <v>44319</v>
      </c>
      <c r="B274">
        <v>7.324E-2</v>
      </c>
      <c r="C274">
        <v>8.6999999999999994E-2</v>
      </c>
      <c r="D274">
        <v>7.1889999999999996E-2</v>
      </c>
      <c r="E274">
        <v>7.8179999999999999E-2</v>
      </c>
      <c r="F274">
        <v>258818118.59999999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-0.16743878226340111</v>
      </c>
      <c r="Q274">
        <f t="shared" si="965"/>
        <v>-43336190.606088527</v>
      </c>
      <c r="R274">
        <f t="shared" si="966"/>
        <v>-2531680526.8000917</v>
      </c>
      <c r="S274">
        <f t="shared" si="967"/>
        <v>-25316.805268000917</v>
      </c>
      <c r="T274">
        <f t="shared" si="968"/>
        <v>-25.316805268000916</v>
      </c>
    </row>
    <row r="275" spans="1:20" x14ac:dyDescent="0.25">
      <c r="A275" s="5">
        <v>44318</v>
      </c>
      <c r="B275">
        <v>7.0900000000000005E-2</v>
      </c>
      <c r="C275">
        <v>7.3999999999999996E-2</v>
      </c>
      <c r="D275">
        <v>6.6049999999999998E-2</v>
      </c>
      <c r="E275">
        <v>7.3300000000000004E-2</v>
      </c>
      <c r="F275">
        <v>76904714.900000006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0.82389937106918432</v>
      </c>
      <c r="Q275">
        <f t="shared" si="965"/>
        <v>63361746.238364935</v>
      </c>
      <c r="R275">
        <f t="shared" si="966"/>
        <v>-2488344336.1940031</v>
      </c>
      <c r="S275">
        <f t="shared" si="967"/>
        <v>-24883.44336194003</v>
      </c>
      <c r="T275">
        <f t="shared" si="968"/>
        <v>-24.883443361940031</v>
      </c>
    </row>
    <row r="276" spans="1:20" x14ac:dyDescent="0.25">
      <c r="A276" s="5">
        <v>44317</v>
      </c>
      <c r="B276">
        <v>6.9540000000000005E-2</v>
      </c>
      <c r="C276">
        <v>7.4999999999999997E-2</v>
      </c>
      <c r="D276">
        <v>6.6729999999999998E-2</v>
      </c>
      <c r="E276">
        <v>7.0900000000000005E-2</v>
      </c>
      <c r="F276">
        <v>96955077.799999997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8.4643288996389954E-3</v>
      </c>
      <c r="Q276">
        <f t="shared" si="965"/>
        <v>820659.66698928713</v>
      </c>
      <c r="R276">
        <f t="shared" si="966"/>
        <v>-2551706082.4323678</v>
      </c>
      <c r="S276">
        <f t="shared" si="967"/>
        <v>-25517.060824323678</v>
      </c>
      <c r="T276">
        <f t="shared" si="968"/>
        <v>-25.517060824323679</v>
      </c>
    </row>
    <row r="277" spans="1:20" x14ac:dyDescent="0.25">
      <c r="A277" s="5">
        <v>44316</v>
      </c>
      <c r="B277">
        <v>6.234E-2</v>
      </c>
      <c r="C277">
        <v>7.3999999999999996E-2</v>
      </c>
      <c r="D277">
        <v>6.062E-2</v>
      </c>
      <c r="E277">
        <v>6.9610000000000005E-2</v>
      </c>
      <c r="F277">
        <v>132076244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0.34379671150971713</v>
      </c>
      <c r="Q277">
        <f t="shared" si="965"/>
        <v>45407378.355755009</v>
      </c>
      <c r="R277">
        <f t="shared" si="966"/>
        <v>-2552526742.0993571</v>
      </c>
      <c r="S277">
        <f t="shared" si="967"/>
        <v>-25525.267420993572</v>
      </c>
      <c r="T277">
        <f t="shared" si="968"/>
        <v>-25.525267420993572</v>
      </c>
    </row>
    <row r="278" spans="1:20" x14ac:dyDescent="0.25">
      <c r="A278" s="5">
        <v>44315</v>
      </c>
      <c r="B278">
        <v>6.3390000000000002E-2</v>
      </c>
      <c r="C278">
        <v>6.5240000000000006E-2</v>
      </c>
      <c r="D278">
        <v>5.7970000000000001E-2</v>
      </c>
      <c r="E278">
        <v>6.2530000000000002E-2</v>
      </c>
      <c r="F278">
        <v>59259536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0.25447042640990319</v>
      </c>
      <c r="Q278">
        <f t="shared" si="965"/>
        <v>15079799.394773008</v>
      </c>
      <c r="R278">
        <f t="shared" si="966"/>
        <v>-2597934120.455112</v>
      </c>
      <c r="S278">
        <f t="shared" si="967"/>
        <v>-25979.341204551121</v>
      </c>
      <c r="T278">
        <f t="shared" si="968"/>
        <v>-25.979341204551123</v>
      </c>
    </row>
    <row r="279" spans="1:20" x14ac:dyDescent="0.25">
      <c r="A279" s="5">
        <v>44314</v>
      </c>
      <c r="B279">
        <v>6.7110000000000003E-2</v>
      </c>
      <c r="C279">
        <v>6.7599999999999993E-2</v>
      </c>
      <c r="D279">
        <v>5.9630000000000002E-2</v>
      </c>
      <c r="E279">
        <v>6.3289999999999999E-2</v>
      </c>
      <c r="F279">
        <v>81598890.299999997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-8.1555834378920763E-2</v>
      </c>
      <c r="Q279">
        <f t="shared" si="965"/>
        <v>-6654865.5828105239</v>
      </c>
      <c r="R279">
        <f t="shared" si="966"/>
        <v>-2613013919.849885</v>
      </c>
      <c r="S279">
        <f t="shared" si="967"/>
        <v>-26130.139198498851</v>
      </c>
      <c r="T279">
        <f t="shared" si="968"/>
        <v>-26.130139198498853</v>
      </c>
    </row>
    <row r="280" spans="1:20" x14ac:dyDescent="0.25">
      <c r="A280" s="5">
        <v>44313</v>
      </c>
      <c r="B280">
        <v>6.1120000000000001E-2</v>
      </c>
      <c r="C280">
        <v>6.8400000000000002E-2</v>
      </c>
      <c r="D280">
        <v>6.1030000000000001E-2</v>
      </c>
      <c r="E280">
        <v>6.7180000000000004E-2</v>
      </c>
      <c r="F280">
        <v>88214986.5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0.668928086838535</v>
      </c>
      <c r="Q280">
        <f t="shared" si="965"/>
        <v>59009482.149932191</v>
      </c>
      <c r="R280">
        <f t="shared" si="966"/>
        <v>-2606359054.2670746</v>
      </c>
      <c r="S280">
        <f t="shared" si="967"/>
        <v>-26063.590542670747</v>
      </c>
      <c r="T280">
        <f t="shared" si="968"/>
        <v>-26.063590542670745</v>
      </c>
    </row>
    <row r="281" spans="1:20" x14ac:dyDescent="0.25">
      <c r="A281" s="5">
        <v>44312</v>
      </c>
      <c r="B281">
        <v>5.4010000000000002E-2</v>
      </c>
      <c r="C281">
        <v>6.5000000000000002E-2</v>
      </c>
      <c r="D281">
        <v>5.3949999999999998E-2</v>
      </c>
      <c r="E281">
        <v>6.1179999999999998E-2</v>
      </c>
      <c r="F281">
        <v>96323899.700000003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0.30859728506787287</v>
      </c>
      <c r="Q281">
        <f t="shared" si="965"/>
        <v>29725293.934570096</v>
      </c>
      <c r="R281">
        <f t="shared" si="966"/>
        <v>-2665368536.417007</v>
      </c>
      <c r="S281">
        <f t="shared" si="967"/>
        <v>-26653.685364170069</v>
      </c>
      <c r="T281">
        <f t="shared" si="968"/>
        <v>-26.65368536417007</v>
      </c>
    </row>
    <row r="282" spans="1:20" x14ac:dyDescent="0.25">
      <c r="A282" s="5">
        <v>44311</v>
      </c>
      <c r="B282">
        <v>5.0110000000000002E-2</v>
      </c>
      <c r="C282">
        <v>5.9799999999999999E-2</v>
      </c>
      <c r="D282">
        <v>4.7399999999999998E-2</v>
      </c>
      <c r="E282">
        <v>5.3999999999999999E-2</v>
      </c>
      <c r="F282">
        <v>116004876.90000001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6.4516129032258229E-2</v>
      </c>
      <c r="Q282">
        <f t="shared" si="965"/>
        <v>7484185.6064516325</v>
      </c>
      <c r="R282">
        <f t="shared" si="966"/>
        <v>-2695093830.3515773</v>
      </c>
      <c r="S282">
        <f t="shared" si="967"/>
        <v>-26950.938303515773</v>
      </c>
      <c r="T282">
        <f t="shared" si="968"/>
        <v>-26.950938303515773</v>
      </c>
    </row>
    <row r="283" spans="1:20" x14ac:dyDescent="0.25">
      <c r="A283" s="5">
        <v>44310</v>
      </c>
      <c r="B283">
        <v>5.459E-2</v>
      </c>
      <c r="C283">
        <v>5.8599999999999999E-2</v>
      </c>
      <c r="D283">
        <v>4.9869999999999998E-2</v>
      </c>
      <c r="E283">
        <v>5.0040000000000001E-2</v>
      </c>
      <c r="F283">
        <v>62073503.700000003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-0.96105383734249639</v>
      </c>
      <c r="Q283">
        <f t="shared" si="965"/>
        <v>-59655978.928178653</v>
      </c>
      <c r="R283">
        <f t="shared" si="966"/>
        <v>-2702578015.9580288</v>
      </c>
      <c r="S283">
        <f t="shared" si="967"/>
        <v>-27025.780159580288</v>
      </c>
      <c r="T283">
        <f t="shared" si="968"/>
        <v>-27.02578015958029</v>
      </c>
    </row>
    <row r="284" spans="1:20" x14ac:dyDescent="0.25">
      <c r="A284" s="5">
        <v>44309</v>
      </c>
      <c r="B284">
        <v>6.1159999999999999E-2</v>
      </c>
      <c r="C284">
        <v>6.2420000000000003E-2</v>
      </c>
      <c r="D284">
        <v>4.7E-2</v>
      </c>
      <c r="E284">
        <v>5.459E-2</v>
      </c>
      <c r="F284">
        <v>135651460.90000001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-1.5564202334630612E-2</v>
      </c>
      <c r="Q284">
        <f t="shared" si="965"/>
        <v>-2111306.7844358333</v>
      </c>
      <c r="R284">
        <f t="shared" si="966"/>
        <v>-2642922037.02985</v>
      </c>
      <c r="S284">
        <f t="shared" si="967"/>
        <v>-26429.220370298499</v>
      </c>
      <c r="T284">
        <f t="shared" si="968"/>
        <v>-26.429220370298498</v>
      </c>
    </row>
    <row r="285" spans="1:20" x14ac:dyDescent="0.25">
      <c r="A285" s="5">
        <v>44308</v>
      </c>
      <c r="B285">
        <v>6.5869999999999998E-2</v>
      </c>
      <c r="C285">
        <v>7.0900000000000005E-2</v>
      </c>
      <c r="D285">
        <v>5.8119999999999998E-2</v>
      </c>
      <c r="E285">
        <v>6.0999999999999999E-2</v>
      </c>
      <c r="F285">
        <v>87095996.5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-0.54929577464788748</v>
      </c>
      <c r="Q285">
        <f t="shared" si="965"/>
        <v>-47841462.866197199</v>
      </c>
      <c r="R285">
        <f t="shared" si="966"/>
        <v>-2640810730.2454143</v>
      </c>
      <c r="S285">
        <f t="shared" si="967"/>
        <v>-26408.107302454144</v>
      </c>
      <c r="T285">
        <f t="shared" si="968"/>
        <v>-26.408107302454145</v>
      </c>
    </row>
    <row r="286" spans="1:20" x14ac:dyDescent="0.25">
      <c r="A286" s="5">
        <v>44307</v>
      </c>
      <c r="B286">
        <v>6.8769999999999998E-2</v>
      </c>
      <c r="C286">
        <v>7.7649999999999997E-2</v>
      </c>
      <c r="D286">
        <v>6.3060000000000005E-2</v>
      </c>
      <c r="E286">
        <v>6.6070000000000004E-2</v>
      </c>
      <c r="F286">
        <v>103046649.8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-0.58738862234407119</v>
      </c>
      <c r="Q286">
        <f t="shared" si="965"/>
        <v>-60528429.663193956</v>
      </c>
      <c r="R286">
        <f t="shared" si="966"/>
        <v>-2592969267.3792171</v>
      </c>
      <c r="S286">
        <f t="shared" si="967"/>
        <v>-25929.692673792171</v>
      </c>
      <c r="T286">
        <f t="shared" si="968"/>
        <v>-25.929692673792172</v>
      </c>
    </row>
    <row r="287" spans="1:20" x14ac:dyDescent="0.25">
      <c r="A287" s="5">
        <v>44306</v>
      </c>
      <c r="B287">
        <v>6.7419999999999994E-2</v>
      </c>
      <c r="C287">
        <v>7.2270000000000001E-2</v>
      </c>
      <c r="D287">
        <v>6.0760000000000002E-2</v>
      </c>
      <c r="E287">
        <v>6.8769999999999998E-2</v>
      </c>
      <c r="F287">
        <v>71444233.099999994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0.39183318853171101</v>
      </c>
      <c r="Q287">
        <f t="shared" si="965"/>
        <v>27994221.657775804</v>
      </c>
      <c r="R287">
        <f t="shared" si="966"/>
        <v>-2532440837.716023</v>
      </c>
      <c r="S287">
        <f t="shared" si="967"/>
        <v>-25324.408377160231</v>
      </c>
      <c r="T287">
        <f t="shared" si="968"/>
        <v>-25.324408377160232</v>
      </c>
    </row>
    <row r="288" spans="1:20" x14ac:dyDescent="0.25">
      <c r="A288" s="5">
        <v>44305</v>
      </c>
      <c r="B288">
        <v>7.324E-2</v>
      </c>
      <c r="C288">
        <v>8.4269999999999998E-2</v>
      </c>
      <c r="D288">
        <v>6.59E-2</v>
      </c>
      <c r="E288">
        <v>6.7379999999999995E-2</v>
      </c>
      <c r="F288">
        <v>135294853.40000001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-0.83886771910724056</v>
      </c>
      <c r="Q288">
        <f t="shared" si="965"/>
        <v>-113494485.0786065</v>
      </c>
      <c r="R288">
        <f t="shared" si="966"/>
        <v>-2560435059.3737988</v>
      </c>
      <c r="S288">
        <f t="shared" si="967"/>
        <v>-25604.350593737989</v>
      </c>
      <c r="T288">
        <f t="shared" si="968"/>
        <v>-25.604350593737987</v>
      </c>
    </row>
    <row r="289" spans="1:20" x14ac:dyDescent="0.25">
      <c r="A289" s="5">
        <v>44304</v>
      </c>
      <c r="B289">
        <v>8.4260000000000002E-2</v>
      </c>
      <c r="C289">
        <v>8.5000000000000006E-2</v>
      </c>
      <c r="D289">
        <v>6.5180000000000002E-2</v>
      </c>
      <c r="E289">
        <v>7.324E-2</v>
      </c>
      <c r="F289">
        <v>92004949.200000003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-0.18668012108980869</v>
      </c>
      <c r="Q289">
        <f t="shared" si="965"/>
        <v>-17175495.057517696</v>
      </c>
      <c r="R289">
        <f t="shared" si="966"/>
        <v>-2446940574.2951922</v>
      </c>
      <c r="S289">
        <f t="shared" si="967"/>
        <v>-24469.405742951923</v>
      </c>
      <c r="T289">
        <f t="shared" si="968"/>
        <v>-24.469405742951924</v>
      </c>
    </row>
    <row r="290" spans="1:20" x14ac:dyDescent="0.25">
      <c r="A290" s="5">
        <v>44303</v>
      </c>
      <c r="B290">
        <v>8.4500000000000006E-2</v>
      </c>
      <c r="C290">
        <v>8.9590000000000003E-2</v>
      </c>
      <c r="D290">
        <v>8.3099999999999993E-2</v>
      </c>
      <c r="E290">
        <v>8.4349999999999994E-2</v>
      </c>
      <c r="F290">
        <v>95625484.900000006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-0.61479198767334386</v>
      </c>
      <c r="Q290">
        <f t="shared" si="965"/>
        <v>-58789781.933898337</v>
      </c>
      <c r="R290">
        <f t="shared" si="966"/>
        <v>-2429765079.2376747</v>
      </c>
      <c r="S290">
        <f t="shared" si="967"/>
        <v>-24297.650792376746</v>
      </c>
      <c r="T290">
        <f t="shared" si="968"/>
        <v>-24.297650792376746</v>
      </c>
    </row>
    <row r="291" spans="1:20" x14ac:dyDescent="0.25">
      <c r="A291" s="5">
        <v>44302</v>
      </c>
      <c r="B291">
        <v>9.7189999999999999E-2</v>
      </c>
      <c r="C291">
        <v>9.8180000000000003E-2</v>
      </c>
      <c r="D291">
        <v>8.0670000000000006E-2</v>
      </c>
      <c r="E291">
        <v>8.4570000000000006E-2</v>
      </c>
      <c r="F291">
        <v>135571851.19999999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-0.55454026270702439</v>
      </c>
      <c r="Q291">
        <f t="shared" si="965"/>
        <v>-75180049.980125606</v>
      </c>
      <c r="R291">
        <f t="shared" si="966"/>
        <v>-2370975297.3037763</v>
      </c>
      <c r="S291">
        <f t="shared" si="967"/>
        <v>-23709.752973037761</v>
      </c>
      <c r="T291">
        <f t="shared" si="968"/>
        <v>-23.709752973037762</v>
      </c>
    </row>
    <row r="292" spans="1:20" x14ac:dyDescent="0.25">
      <c r="A292" s="5">
        <v>44301</v>
      </c>
      <c r="B292">
        <v>9.0550000000000005E-2</v>
      </c>
      <c r="C292">
        <v>0.10764</v>
      </c>
      <c r="D292">
        <v>8.9279999999999998E-2</v>
      </c>
      <c r="E292">
        <v>9.7210000000000005E-2</v>
      </c>
      <c r="F292">
        <v>209573801.5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-0.13616557734204729</v>
      </c>
      <c r="Q292">
        <f t="shared" si="965"/>
        <v>-28536737.677015115</v>
      </c>
      <c r="R292">
        <f t="shared" si="966"/>
        <v>-2295795247.3236508</v>
      </c>
      <c r="S292">
        <f t="shared" si="967"/>
        <v>-22957.95247323651</v>
      </c>
      <c r="T292">
        <f t="shared" si="968"/>
        <v>-22.95795247323651</v>
      </c>
    </row>
    <row r="293" spans="1:20" x14ac:dyDescent="0.25">
      <c r="A293" s="5">
        <v>44300</v>
      </c>
      <c r="B293">
        <v>8.8539999999999994E-2</v>
      </c>
      <c r="C293">
        <v>9.3899999999999997E-2</v>
      </c>
      <c r="D293">
        <v>8.3500000000000005E-2</v>
      </c>
      <c r="E293">
        <v>9.0539999999999995E-2</v>
      </c>
      <c r="F293">
        <v>124045730.2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0.35384615384615303</v>
      </c>
      <c r="Q293">
        <f t="shared" si="965"/>
        <v>43893104.532307595</v>
      </c>
      <c r="R293">
        <f t="shared" si="966"/>
        <v>-2267258509.6466355</v>
      </c>
      <c r="S293">
        <f t="shared" si="967"/>
        <v>-22672.585096466355</v>
      </c>
      <c r="T293">
        <f t="shared" si="968"/>
        <v>-22.672585096466356</v>
      </c>
    </row>
    <row r="294" spans="1:20" x14ac:dyDescent="0.25">
      <c r="A294" s="5">
        <v>44299</v>
      </c>
      <c r="B294">
        <v>9.5570000000000002E-2</v>
      </c>
      <c r="C294">
        <v>9.7379999999999994E-2</v>
      </c>
      <c r="D294">
        <v>8.7160000000000001E-2</v>
      </c>
      <c r="E294">
        <v>8.8529999999999998E-2</v>
      </c>
      <c r="F294">
        <v>134753397.19999999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-0.73189823874755433</v>
      </c>
      <c r="Q294">
        <f t="shared" si="965"/>
        <v>-98625774.075929612</v>
      </c>
      <c r="R294">
        <f t="shared" si="966"/>
        <v>-2311151614.1789432</v>
      </c>
      <c r="S294">
        <f t="shared" si="967"/>
        <v>-23111.516141789431</v>
      </c>
      <c r="T294">
        <f t="shared" si="968"/>
        <v>-23.11151614178943</v>
      </c>
    </row>
    <row r="295" spans="1:20" x14ac:dyDescent="0.25">
      <c r="A295" s="5">
        <v>44298</v>
      </c>
      <c r="B295">
        <v>0.10723000000000001</v>
      </c>
      <c r="C295">
        <v>0.10983</v>
      </c>
      <c r="D295">
        <v>9.5000000000000001E-2</v>
      </c>
      <c r="E295">
        <v>9.5500000000000002E-2</v>
      </c>
      <c r="F295">
        <v>143805030.59999999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-0.93256911665542808</v>
      </c>
      <c r="Q295">
        <f t="shared" si="965"/>
        <v>-134108130.3572488</v>
      </c>
      <c r="R295">
        <f t="shared" si="966"/>
        <v>-2212525840.1030135</v>
      </c>
      <c r="S295">
        <f t="shared" si="967"/>
        <v>-22125.258401030136</v>
      </c>
      <c r="T295">
        <f t="shared" si="968"/>
        <v>-22.125258401030138</v>
      </c>
    </row>
    <row r="296" spans="1:20" x14ac:dyDescent="0.25">
      <c r="A296" s="5">
        <v>44297</v>
      </c>
      <c r="B296">
        <v>0.11008999999999999</v>
      </c>
      <c r="C296">
        <v>0.11916</v>
      </c>
      <c r="D296">
        <v>0.10273</v>
      </c>
      <c r="E296">
        <v>0.10753</v>
      </c>
      <c r="F296">
        <v>249160661.30000001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-0.41570298234936109</v>
      </c>
      <c r="Q296">
        <f t="shared" si="965"/>
        <v>-103576829.98654905</v>
      </c>
      <c r="R296">
        <f t="shared" si="966"/>
        <v>-2078417709.7457647</v>
      </c>
      <c r="S296">
        <f t="shared" si="967"/>
        <v>-20784.177097457647</v>
      </c>
      <c r="T296">
        <f t="shared" si="968"/>
        <v>-20.784177097457647</v>
      </c>
    </row>
    <row r="297" spans="1:20" x14ac:dyDescent="0.25">
      <c r="A297" s="5">
        <v>44296</v>
      </c>
      <c r="B297">
        <v>0.11466</v>
      </c>
      <c r="C297">
        <v>0.14299999999999999</v>
      </c>
      <c r="D297">
        <v>0.10077999999999999</v>
      </c>
      <c r="E297">
        <v>0.11011</v>
      </c>
      <c r="F297">
        <v>875904772.79999995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-0.55802936996684005</v>
      </c>
      <c r="Q297">
        <f t="shared" si="965"/>
        <v>-488780588.51653212</v>
      </c>
      <c r="R297">
        <f t="shared" si="966"/>
        <v>-1974840879.7592156</v>
      </c>
      <c r="S297">
        <f t="shared" si="967"/>
        <v>-19748.408797592157</v>
      </c>
      <c r="T297">
        <f t="shared" si="968"/>
        <v>-19.748408797592159</v>
      </c>
    </row>
    <row r="298" spans="1:20" x14ac:dyDescent="0.25">
      <c r="A298" s="5">
        <v>44295</v>
      </c>
      <c r="B298">
        <v>8.455E-2</v>
      </c>
      <c r="C298">
        <v>0.11990000000000001</v>
      </c>
      <c r="D298">
        <v>8.3360000000000004E-2</v>
      </c>
      <c r="E298">
        <v>0.1145</v>
      </c>
      <c r="F298">
        <v>641946120.89999998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0.70443349753694573</v>
      </c>
      <c r="Q298">
        <f t="shared" si="965"/>
        <v>452208351.17586201</v>
      </c>
      <c r="R298">
        <f t="shared" si="966"/>
        <v>-1486060291.2426834</v>
      </c>
      <c r="S298">
        <f t="shared" si="967"/>
        <v>-14860.602912426833</v>
      </c>
      <c r="T298">
        <f t="shared" si="968"/>
        <v>-14.860602912426833</v>
      </c>
    </row>
    <row r="299" spans="1:20" x14ac:dyDescent="0.25">
      <c r="A299" s="5">
        <v>44294</v>
      </c>
      <c r="B299">
        <v>8.0100000000000005E-2</v>
      </c>
      <c r="C299">
        <v>8.745E-2</v>
      </c>
      <c r="D299">
        <v>7.893E-2</v>
      </c>
      <c r="E299">
        <v>8.4239999999999995E-2</v>
      </c>
      <c r="F299">
        <v>68758003.599999994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0.24647887323943554</v>
      </c>
      <c r="Q299">
        <f t="shared" si="965"/>
        <v>16947395.253521051</v>
      </c>
      <c r="R299">
        <f t="shared" si="966"/>
        <v>-1938268642.4185455</v>
      </c>
      <c r="S299">
        <f t="shared" si="967"/>
        <v>-19382.686424185456</v>
      </c>
      <c r="T299">
        <f t="shared" si="968"/>
        <v>-19.382686424185458</v>
      </c>
    </row>
    <row r="300" spans="1:20" x14ac:dyDescent="0.25">
      <c r="A300" s="5">
        <v>44293</v>
      </c>
      <c r="B300">
        <v>8.6470000000000005E-2</v>
      </c>
      <c r="C300">
        <v>9.0880000000000002E-2</v>
      </c>
      <c r="D300">
        <v>7.2499999999999995E-2</v>
      </c>
      <c r="E300">
        <v>8.0100000000000005E-2</v>
      </c>
      <c r="F300">
        <v>88223072.400000006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-0.17301414581066307</v>
      </c>
      <c r="Q300">
        <f t="shared" si="965"/>
        <v>-15263839.512078285</v>
      </c>
      <c r="R300">
        <f t="shared" si="966"/>
        <v>-1955216037.6720665</v>
      </c>
      <c r="S300">
        <f t="shared" si="967"/>
        <v>-19552.160376720665</v>
      </c>
      <c r="T300">
        <f t="shared" si="968"/>
        <v>-19.552160376720664</v>
      </c>
    </row>
    <row r="301" spans="1:20" x14ac:dyDescent="0.25">
      <c r="A301" s="5">
        <v>44292</v>
      </c>
      <c r="B301">
        <v>9.5130000000000006E-2</v>
      </c>
      <c r="C301">
        <v>9.6250000000000002E-2</v>
      </c>
      <c r="D301">
        <v>8.3119999999999999E-2</v>
      </c>
      <c r="E301">
        <v>8.6559999999999998E-2</v>
      </c>
      <c r="F301">
        <v>85264008.5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-0.47600913937547634</v>
      </c>
      <c r="Q301">
        <f t="shared" si="965"/>
        <v>-40586447.305788301</v>
      </c>
      <c r="R301">
        <f t="shared" si="966"/>
        <v>-1939952198.1599882</v>
      </c>
      <c r="S301">
        <f t="shared" si="967"/>
        <v>-19399.521981599883</v>
      </c>
      <c r="T301">
        <f t="shared" si="968"/>
        <v>-19.399521981599882</v>
      </c>
    </row>
    <row r="302" spans="1:20" x14ac:dyDescent="0.25">
      <c r="A302" s="5">
        <v>44291</v>
      </c>
      <c r="B302">
        <v>8.9450000000000002E-2</v>
      </c>
      <c r="C302">
        <v>0.10782</v>
      </c>
      <c r="D302">
        <v>8.3519999999999997E-2</v>
      </c>
      <c r="E302">
        <v>9.5130000000000006E-2</v>
      </c>
      <c r="F302">
        <v>227157216.40000001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-4.4444444444443773E-2</v>
      </c>
      <c r="Q302">
        <f t="shared" si="965"/>
        <v>-10095876.284444293</v>
      </c>
      <c r="R302">
        <f t="shared" si="966"/>
        <v>-1899365750.8541999</v>
      </c>
      <c r="S302">
        <f t="shared" si="967"/>
        <v>-18993.657508541997</v>
      </c>
      <c r="T302">
        <f t="shared" si="968"/>
        <v>-18.993657508541997</v>
      </c>
    </row>
    <row r="303" spans="1:20" x14ac:dyDescent="0.25">
      <c r="A303" s="5">
        <v>44290</v>
      </c>
      <c r="B303">
        <v>7.5829999999999995E-2</v>
      </c>
      <c r="C303">
        <v>9.2399999999999996E-2</v>
      </c>
      <c r="D303">
        <v>7.5029999999999999E-2</v>
      </c>
      <c r="E303">
        <v>8.9459999999999998E-2</v>
      </c>
      <c r="F303">
        <v>170850203.19999999</v>
      </c>
      <c r="G303">
        <v>0</v>
      </c>
      <c r="L303" t="s">
        <v>8</v>
      </c>
      <c r="M303" t="s">
        <v>8</v>
      </c>
      <c r="N303" t="s">
        <v>7</v>
      </c>
      <c r="P303">
        <f t="shared" si="964"/>
        <v>0.66148531951640777</v>
      </c>
      <c r="Q303">
        <f t="shared" si="965"/>
        <v>113014901.25319518</v>
      </c>
      <c r="R303">
        <f t="shared" si="966"/>
        <v>-1889269874.5697556</v>
      </c>
      <c r="S303">
        <f t="shared" si="967"/>
        <v>-18892.698745697555</v>
      </c>
      <c r="T303">
        <f t="shared" si="968"/>
        <v>-18.892698745697555</v>
      </c>
    </row>
    <row r="304" spans="1:20" x14ac:dyDescent="0.25">
      <c r="A304" s="5">
        <v>44289</v>
      </c>
      <c r="B304">
        <v>8.1259999999999999E-2</v>
      </c>
      <c r="C304">
        <v>8.2739999999999994E-2</v>
      </c>
      <c r="D304">
        <v>7.4899999999999994E-2</v>
      </c>
      <c r="E304">
        <v>7.6020000000000004E-2</v>
      </c>
      <c r="F304">
        <v>85401164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-0.71428571428571175</v>
      </c>
      <c r="Q304">
        <f t="shared" si="965"/>
        <v>-61000831.428571209</v>
      </c>
      <c r="R304">
        <f t="shared" si="966"/>
        <v>-2002284775.8229508</v>
      </c>
      <c r="S304">
        <f t="shared" si="967"/>
        <v>-20022.847758229509</v>
      </c>
      <c r="T304">
        <f t="shared" si="968"/>
        <v>-20.02284775822951</v>
      </c>
    </row>
    <row r="305" spans="1:20" x14ac:dyDescent="0.25">
      <c r="A305" s="5">
        <v>44288</v>
      </c>
      <c r="B305">
        <v>8.3769999999999997E-2</v>
      </c>
      <c r="C305">
        <v>8.4580000000000002E-2</v>
      </c>
      <c r="D305">
        <v>7.8920000000000004E-2</v>
      </c>
      <c r="E305">
        <v>8.1259999999999999E-2</v>
      </c>
      <c r="F305">
        <v>91735631.599999994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-0.1731448763250899</v>
      </c>
      <c r="Q305">
        <f t="shared" si="965"/>
        <v>-15883554.587986007</v>
      </c>
      <c r="R305">
        <f t="shared" si="966"/>
        <v>-1941283944.3943796</v>
      </c>
      <c r="S305">
        <f t="shared" si="967"/>
        <v>-19412.839443943798</v>
      </c>
      <c r="T305">
        <f t="shared" si="968"/>
        <v>-19.412839443943799</v>
      </c>
    </row>
    <row r="306" spans="1:20" x14ac:dyDescent="0.25">
      <c r="A306" s="5">
        <v>44287</v>
      </c>
      <c r="B306">
        <v>8.3690000000000001E-2</v>
      </c>
      <c r="C306">
        <v>9.2499999999999999E-2</v>
      </c>
      <c r="D306">
        <v>8.2180000000000003E-2</v>
      </c>
      <c r="E306">
        <v>8.3799999999999999E-2</v>
      </c>
      <c r="F306">
        <v>158453018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-0.68604651162790753</v>
      </c>
      <c r="Q306">
        <f t="shared" si="965"/>
        <v>-108706140.25581405</v>
      </c>
      <c r="R306">
        <f t="shared" si="966"/>
        <v>-1925400389.8063936</v>
      </c>
      <c r="S306">
        <f t="shared" si="967"/>
        <v>-19254.003898063937</v>
      </c>
      <c r="T306">
        <f t="shared" si="968"/>
        <v>-19.254003898063935</v>
      </c>
    </row>
    <row r="307" spans="1:20" x14ac:dyDescent="0.25">
      <c r="A307" s="5">
        <v>44286</v>
      </c>
      <c r="B307">
        <v>8.2849999999999993E-2</v>
      </c>
      <c r="C307">
        <v>8.3900000000000002E-2</v>
      </c>
      <c r="D307">
        <v>7.4639999999999998E-2</v>
      </c>
      <c r="E307">
        <v>8.3779999999999993E-2</v>
      </c>
      <c r="F307">
        <v>82342137.799999997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0.97408207343412334</v>
      </c>
      <c r="Q307">
        <f t="shared" si="965"/>
        <v>80208000.319222301</v>
      </c>
      <c r="R307">
        <f t="shared" si="966"/>
        <v>-1816694249.5505795</v>
      </c>
      <c r="S307">
        <f t="shared" si="967"/>
        <v>-18166.942495505795</v>
      </c>
      <c r="T307">
        <f t="shared" si="968"/>
        <v>-18.166942495505793</v>
      </c>
    </row>
    <row r="308" spans="1:20" x14ac:dyDescent="0.25">
      <c r="A308" s="5">
        <v>44285</v>
      </c>
      <c r="B308">
        <v>8.6319999999999994E-2</v>
      </c>
      <c r="C308">
        <v>8.7980000000000003E-2</v>
      </c>
      <c r="D308">
        <v>0.08</v>
      </c>
      <c r="E308">
        <v>8.2860000000000003E-2</v>
      </c>
      <c r="F308">
        <v>97436732.299999997</v>
      </c>
      <c r="G308">
        <v>0</v>
      </c>
      <c r="L308" t="s">
        <v>8</v>
      </c>
      <c r="M308" t="s">
        <v>7</v>
      </c>
      <c r="N308" t="s">
        <v>7</v>
      </c>
      <c r="P308">
        <f t="shared" si="964"/>
        <v>-0.28320802005012502</v>
      </c>
      <c r="Q308">
        <f t="shared" si="965"/>
        <v>-27594864.034837063</v>
      </c>
      <c r="R308">
        <f t="shared" si="966"/>
        <v>-1896902249.8698018</v>
      </c>
      <c r="S308">
        <f t="shared" si="967"/>
        <v>-18969.022498698017</v>
      </c>
      <c r="T308">
        <f t="shared" si="968"/>
        <v>-18.969022498698017</v>
      </c>
    </row>
    <row r="309" spans="1:20" x14ac:dyDescent="0.25">
      <c r="A309" s="5">
        <v>44284</v>
      </c>
      <c r="B309">
        <v>7.9549999999999996E-2</v>
      </c>
      <c r="C309">
        <v>8.6360000000000006E-2</v>
      </c>
      <c r="D309">
        <v>7.7109999999999998E-2</v>
      </c>
      <c r="E309">
        <v>8.6230000000000001E-2</v>
      </c>
      <c r="F309">
        <v>96931854.400000006</v>
      </c>
      <c r="G309">
        <v>0</v>
      </c>
      <c r="L309" t="s">
        <v>8</v>
      </c>
      <c r="M309" t="s">
        <v>7</v>
      </c>
      <c r="N309" t="s">
        <v>7</v>
      </c>
      <c r="P309">
        <f t="shared" si="964"/>
        <v>0.97189189189189085</v>
      </c>
      <c r="Q309">
        <f t="shared" si="965"/>
        <v>94207283.357405305</v>
      </c>
      <c r="R309">
        <f t="shared" si="966"/>
        <v>-1869307385.8349648</v>
      </c>
      <c r="S309">
        <f t="shared" si="967"/>
        <v>-18693.073858349646</v>
      </c>
      <c r="T309">
        <f t="shared" si="968"/>
        <v>-18.693073858349646</v>
      </c>
    </row>
    <row r="310" spans="1:20" x14ac:dyDescent="0.25">
      <c r="A310" s="5">
        <v>44283</v>
      </c>
      <c r="B310">
        <v>8.004E-2</v>
      </c>
      <c r="C310">
        <v>8.2799999999999999E-2</v>
      </c>
      <c r="D310">
        <v>7.6380000000000003E-2</v>
      </c>
      <c r="E310">
        <v>7.9469999999999999E-2</v>
      </c>
      <c r="F310">
        <v>86412252.5</v>
      </c>
      <c r="G310">
        <v>0</v>
      </c>
      <c r="L310" t="s">
        <v>7</v>
      </c>
      <c r="M310" t="s">
        <v>7</v>
      </c>
      <c r="N310" t="s">
        <v>7</v>
      </c>
      <c r="P310">
        <f t="shared" si="964"/>
        <v>-3.7383177570094121E-2</v>
      </c>
      <c r="Q310">
        <f t="shared" si="965"/>
        <v>-3230364.5794393094</v>
      </c>
      <c r="R310">
        <f t="shared" si="966"/>
        <v>-1963514669.1923699</v>
      </c>
      <c r="S310">
        <f t="shared" si="967"/>
        <v>-19635.146691923699</v>
      </c>
      <c r="T310">
        <f t="shared" si="968"/>
        <v>-19.635146691923698</v>
      </c>
    </row>
    <row r="311" spans="1:20" x14ac:dyDescent="0.25">
      <c r="A311" s="5">
        <v>44282</v>
      </c>
      <c r="B311">
        <v>8.1390000000000004E-2</v>
      </c>
      <c r="C311">
        <v>8.4970000000000004E-2</v>
      </c>
      <c r="D311">
        <v>7.8E-2</v>
      </c>
      <c r="E311">
        <v>0.08</v>
      </c>
      <c r="F311">
        <v>112628253.40000001</v>
      </c>
      <c r="G311">
        <v>0</v>
      </c>
      <c r="L311" t="s">
        <v>7</v>
      </c>
      <c r="M311" t="s">
        <v>7</v>
      </c>
      <c r="N311" t="s">
        <v>7</v>
      </c>
      <c r="P311">
        <f t="shared" si="964"/>
        <v>-0.42611190817790512</v>
      </c>
      <c r="Q311">
        <f t="shared" si="965"/>
        <v>-47992239.971018635</v>
      </c>
      <c r="R311">
        <f t="shared" si="966"/>
        <v>-1960284304.6129305</v>
      </c>
      <c r="S311">
        <f t="shared" si="967"/>
        <v>-19602.843046129306</v>
      </c>
      <c r="T311">
        <f t="shared" si="968"/>
        <v>-19.602843046129305</v>
      </c>
    </row>
    <row r="312" spans="1:20" x14ac:dyDescent="0.25">
      <c r="A312" s="5">
        <v>44281</v>
      </c>
      <c r="B312">
        <v>7.6759999999999995E-2</v>
      </c>
      <c r="C312">
        <v>9.7000000000000003E-2</v>
      </c>
      <c r="D312">
        <v>7.6649999999999996E-2</v>
      </c>
      <c r="E312">
        <v>8.1250000000000003E-2</v>
      </c>
      <c r="F312">
        <v>289498673.19999999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-0.54791154791154739</v>
      </c>
      <c r="Q312">
        <f t="shared" si="965"/>
        <v>-158619666.15135118</v>
      </c>
      <c r="R312">
        <f t="shared" si="966"/>
        <v>-1912292064.641912</v>
      </c>
      <c r="S312">
        <f t="shared" si="967"/>
        <v>-19122.920646419119</v>
      </c>
      <c r="T312">
        <f t="shared" si="968"/>
        <v>-19.122920646419118</v>
      </c>
    </row>
    <row r="313" spans="1:20" x14ac:dyDescent="0.25">
      <c r="A313" s="5">
        <v>44280</v>
      </c>
      <c r="B313">
        <v>8.0699999999999994E-2</v>
      </c>
      <c r="C313">
        <v>8.1920000000000007E-2</v>
      </c>
      <c r="D313">
        <v>7.1919999999999998E-2</v>
      </c>
      <c r="E313">
        <v>7.6399999999999996E-2</v>
      </c>
      <c r="F313">
        <v>95612363.700000003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-0.10400000000000122</v>
      </c>
      <c r="Q313">
        <f t="shared" si="965"/>
        <v>-9943685.8248001169</v>
      </c>
      <c r="R313">
        <f t="shared" si="966"/>
        <v>-1753672398.4905608</v>
      </c>
      <c r="S313">
        <f t="shared" si="967"/>
        <v>-17536.723984905606</v>
      </c>
      <c r="T313">
        <f t="shared" si="968"/>
        <v>-17.536723984905606</v>
      </c>
    </row>
    <row r="314" spans="1:20" x14ac:dyDescent="0.25">
      <c r="A314" s="5">
        <v>44279</v>
      </c>
      <c r="B314">
        <v>9.1869999999999993E-2</v>
      </c>
      <c r="C314">
        <v>9.919E-2</v>
      </c>
      <c r="D314">
        <v>7.5480000000000005E-2</v>
      </c>
      <c r="E314">
        <v>8.0949999999999994E-2</v>
      </c>
      <c r="F314">
        <v>122726097.3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-0.53859131168283514</v>
      </c>
      <c r="Q314">
        <f t="shared" si="965"/>
        <v>-66099209.722522251</v>
      </c>
      <c r="R314">
        <f t="shared" si="966"/>
        <v>-1743728712.6657608</v>
      </c>
      <c r="S314">
        <f t="shared" si="967"/>
        <v>-17437.287126657608</v>
      </c>
      <c r="T314">
        <f t="shared" si="968"/>
        <v>-17.437287126657608</v>
      </c>
    </row>
    <row r="315" spans="1:20" x14ac:dyDescent="0.25">
      <c r="A315" s="5">
        <v>44278</v>
      </c>
      <c r="B315">
        <v>9.0300000000000005E-2</v>
      </c>
      <c r="C315">
        <v>9.9000000000000005E-2</v>
      </c>
      <c r="D315">
        <v>8.2460000000000006E-2</v>
      </c>
      <c r="E315">
        <v>9.1899999999999996E-2</v>
      </c>
      <c r="F315">
        <v>116582394.5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0.14147521160822135</v>
      </c>
      <c r="Q315">
        <f t="shared" si="965"/>
        <v>16493518.93168064</v>
      </c>
      <c r="R315">
        <f t="shared" si="966"/>
        <v>-1677629502.9432385</v>
      </c>
      <c r="S315">
        <f t="shared" si="967"/>
        <v>-16776.295029432385</v>
      </c>
      <c r="T315">
        <f t="shared" si="968"/>
        <v>-16.776295029432386</v>
      </c>
    </row>
    <row r="316" spans="1:20" x14ac:dyDescent="0.25">
      <c r="A316" s="5">
        <v>44277</v>
      </c>
      <c r="B316">
        <v>8.8840000000000002E-2</v>
      </c>
      <c r="C316">
        <v>0.11276</v>
      </c>
      <c r="D316">
        <v>8.5819999999999994E-2</v>
      </c>
      <c r="E316">
        <v>9.0300000000000005E-2</v>
      </c>
      <c r="F316">
        <v>224409920.09999999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-0.66740905716406751</v>
      </c>
      <c r="Q316">
        <f t="shared" si="965"/>
        <v>-149773213.19220471</v>
      </c>
      <c r="R316">
        <f t="shared" si="966"/>
        <v>-1694123021.8749192</v>
      </c>
      <c r="S316">
        <f t="shared" si="967"/>
        <v>-16941.230218749191</v>
      </c>
      <c r="T316">
        <f t="shared" si="968"/>
        <v>-16.94123021874919</v>
      </c>
    </row>
    <row r="317" spans="1:20" x14ac:dyDescent="0.25">
      <c r="A317" s="5">
        <v>44276</v>
      </c>
      <c r="B317">
        <v>9.0359999999999996E-2</v>
      </c>
      <c r="C317">
        <v>9.1499999999999998E-2</v>
      </c>
      <c r="D317">
        <v>8.3779999999999993E-2</v>
      </c>
      <c r="E317">
        <v>8.8830000000000006E-2</v>
      </c>
      <c r="F317">
        <v>78056058.900000006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0.30829015544041705</v>
      </c>
      <c r="Q317">
        <f t="shared" si="965"/>
        <v>24063914.531347349</v>
      </c>
      <c r="R317">
        <f t="shared" si="966"/>
        <v>-1544349808.6827145</v>
      </c>
      <c r="S317">
        <f t="shared" si="967"/>
        <v>-15443.498086827145</v>
      </c>
      <c r="T317">
        <f t="shared" si="968"/>
        <v>-15.443498086827145</v>
      </c>
    </row>
    <row r="318" spans="1:20" x14ac:dyDescent="0.25">
      <c r="A318" s="5">
        <v>44275</v>
      </c>
      <c r="B318">
        <v>9.708E-2</v>
      </c>
      <c r="C318">
        <v>0.10489999999999999</v>
      </c>
      <c r="D318">
        <v>8.9499999999999996E-2</v>
      </c>
      <c r="E318">
        <v>9.0279999999999999E-2</v>
      </c>
      <c r="F318">
        <v>198307451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-0.89870129870129833</v>
      </c>
      <c r="Q318">
        <f t="shared" si="965"/>
        <v>-178219163.75584409</v>
      </c>
      <c r="R318">
        <f t="shared" si="966"/>
        <v>-1568413723.2140617</v>
      </c>
      <c r="S318">
        <f t="shared" si="967"/>
        <v>-15684.137232140618</v>
      </c>
      <c r="T318">
        <f t="shared" si="968"/>
        <v>-15.684137232140618</v>
      </c>
    </row>
    <row r="319" spans="1:20" x14ac:dyDescent="0.25">
      <c r="A319" s="5">
        <v>44274</v>
      </c>
      <c r="B319">
        <v>9.7460000000000005E-2</v>
      </c>
      <c r="C319">
        <v>0.1067</v>
      </c>
      <c r="D319">
        <v>9.146E-2</v>
      </c>
      <c r="E319">
        <v>9.7009999999999999E-2</v>
      </c>
      <c r="F319">
        <v>120527884.59999999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-0.27165354330708685</v>
      </c>
      <c r="Q319">
        <f t="shared" si="965"/>
        <v>-32741826.918897666</v>
      </c>
      <c r="R319">
        <f t="shared" si="966"/>
        <v>-1390194559.4582176</v>
      </c>
      <c r="S319">
        <f t="shared" si="967"/>
        <v>-13901.945594582176</v>
      </c>
      <c r="T319">
        <f t="shared" si="968"/>
        <v>-13.901945594582175</v>
      </c>
    </row>
    <row r="320" spans="1:20" x14ac:dyDescent="0.25">
      <c r="A320" s="5">
        <v>44273</v>
      </c>
      <c r="B320">
        <v>9.9290000000000003E-2</v>
      </c>
      <c r="C320">
        <v>0.12386999999999999</v>
      </c>
      <c r="D320">
        <v>9.4210000000000002E-2</v>
      </c>
      <c r="E320">
        <v>9.7509999999999999E-2</v>
      </c>
      <c r="F320">
        <v>731260552.29999995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-0.77747808496291315</v>
      </c>
      <c r="Q320">
        <f t="shared" si="965"/>
        <v>-568539053.81112611</v>
      </c>
      <c r="R320">
        <f t="shared" si="966"/>
        <v>-1357452732.53932</v>
      </c>
      <c r="S320">
        <f t="shared" si="967"/>
        <v>-13574.527325393199</v>
      </c>
      <c r="T320">
        <f t="shared" si="968"/>
        <v>-13.574527325393198</v>
      </c>
    </row>
    <row r="321" spans="1:20" x14ac:dyDescent="0.25">
      <c r="A321" s="5">
        <v>44272</v>
      </c>
      <c r="B321">
        <v>7.5170000000000001E-2</v>
      </c>
      <c r="C321">
        <v>0.10804</v>
      </c>
      <c r="D321">
        <v>6.9000000000000006E-2</v>
      </c>
      <c r="E321">
        <v>9.9510000000000001E-2</v>
      </c>
      <c r="F321">
        <v>347926696.80000001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0.56301229508196737</v>
      </c>
      <c r="Q321">
        <f t="shared" si="965"/>
        <v>195887008.08565581</v>
      </c>
      <c r="R321">
        <f t="shared" si="966"/>
        <v>-788913678.728194</v>
      </c>
      <c r="S321">
        <f t="shared" si="967"/>
        <v>-7889.1367872819401</v>
      </c>
      <c r="T321">
        <f t="shared" si="968"/>
        <v>-7.8891367872819398</v>
      </c>
    </row>
    <row r="322" spans="1:20" x14ac:dyDescent="0.25">
      <c r="A322" s="5">
        <v>44271</v>
      </c>
      <c r="B322">
        <v>7.9680000000000001E-2</v>
      </c>
      <c r="C322">
        <v>8.0659999999999996E-2</v>
      </c>
      <c r="D322">
        <v>7.2040000000000007E-2</v>
      </c>
      <c r="E322">
        <v>7.5170000000000001E-2</v>
      </c>
      <c r="F322">
        <v>86315285.299999997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-0.27378190255220464</v>
      </c>
      <c r="Q322">
        <f t="shared" si="965"/>
        <v>-23631563.028770339</v>
      </c>
      <c r="R322">
        <f t="shared" si="966"/>
        <v>-984800686.81384981</v>
      </c>
      <c r="S322">
        <f t="shared" si="967"/>
        <v>-9848.0068681384982</v>
      </c>
      <c r="T322">
        <f t="shared" si="968"/>
        <v>-9.8480068681384978</v>
      </c>
    </row>
    <row r="323" spans="1:20" x14ac:dyDescent="0.25">
      <c r="A323" s="5">
        <v>44270</v>
      </c>
      <c r="B323">
        <v>8.2229999999999998E-2</v>
      </c>
      <c r="C323">
        <v>9.2999999999999999E-2</v>
      </c>
      <c r="D323">
        <v>7.4079999999999993E-2</v>
      </c>
      <c r="E323">
        <v>7.9680000000000001E-2</v>
      </c>
      <c r="F323">
        <v>143667240.30000001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-0.4080338266384772</v>
      </c>
      <c r="Q323">
        <f t="shared" si="965"/>
        <v>-58621093.822198652</v>
      </c>
      <c r="R323">
        <f t="shared" si="966"/>
        <v>-961169123.78507948</v>
      </c>
      <c r="S323">
        <f t="shared" si="967"/>
        <v>-9611.691237850795</v>
      </c>
      <c r="T323">
        <f t="shared" si="968"/>
        <v>-9.6116912378507955</v>
      </c>
    </row>
    <row r="324" spans="1:20" x14ac:dyDescent="0.25">
      <c r="A324" s="5">
        <v>44269</v>
      </c>
      <c r="B324">
        <v>7.1080000000000004E-2</v>
      </c>
      <c r="C324">
        <v>9.2999999999999999E-2</v>
      </c>
      <c r="D324">
        <v>7.0510000000000003E-2</v>
      </c>
      <c r="E324">
        <v>8.2239999999999994E-2</v>
      </c>
      <c r="F324">
        <v>290451744.30000001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4.3130280124499105E-2</v>
      </c>
      <c r="Q324">
        <f t="shared" si="965"/>
        <v>12527265.094308387</v>
      </c>
      <c r="R324">
        <f t="shared" si="966"/>
        <v>-902548029.96288085</v>
      </c>
      <c r="S324">
        <f t="shared" si="967"/>
        <v>-9025.480299628809</v>
      </c>
      <c r="T324">
        <f t="shared" si="968"/>
        <v>-9.0254802996288088</v>
      </c>
    </row>
    <row r="325" spans="1:20" x14ac:dyDescent="0.25">
      <c r="A325" s="5">
        <v>44268</v>
      </c>
      <c r="B325">
        <v>7.0300000000000001E-2</v>
      </c>
      <c r="C325">
        <v>8.8400000000000006E-2</v>
      </c>
      <c r="D325">
        <v>6.6110000000000002E-2</v>
      </c>
      <c r="E325">
        <v>7.1080000000000004E-2</v>
      </c>
      <c r="F325">
        <v>222906599.59999999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-0.55406011664423493</v>
      </c>
      <c r="Q325">
        <f t="shared" si="965"/>
        <v>-123503656.57514577</v>
      </c>
      <c r="R325">
        <f t="shared" si="966"/>
        <v>-915075295.05718923</v>
      </c>
      <c r="S325">
        <f t="shared" si="967"/>
        <v>-9150.7529505718921</v>
      </c>
      <c r="T325">
        <f t="shared" si="968"/>
        <v>-9.1507529505718921</v>
      </c>
    </row>
    <row r="326" spans="1:20" x14ac:dyDescent="0.25">
      <c r="A326" s="5">
        <v>44267</v>
      </c>
      <c r="B326">
        <v>5.8389999999999997E-2</v>
      </c>
      <c r="C326">
        <v>9.1999999999999998E-2</v>
      </c>
      <c r="D326">
        <v>5.6180000000000001E-2</v>
      </c>
      <c r="E326">
        <v>7.0499999999999993E-2</v>
      </c>
      <c r="F326">
        <v>494927122.30000001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-0.20044667783361286</v>
      </c>
      <c r="Q326">
        <f t="shared" ref="Q326:Q389" si="970">F326*P326</f>
        <v>-99206497.434785217</v>
      </c>
      <c r="R326">
        <f t="shared" ref="R326:R389" si="971">R327+Q326</f>
        <v>-791571638.4820435</v>
      </c>
      <c r="S326">
        <f t="shared" ref="S326:S389" si="972">R326/100000</f>
        <v>-7915.7163848204355</v>
      </c>
      <c r="T326">
        <f t="shared" ref="T326:T389" si="973">S326/1000</f>
        <v>-7.9157163848204357</v>
      </c>
    </row>
    <row r="327" spans="1:20" x14ac:dyDescent="0.25">
      <c r="A327" s="5">
        <v>44266</v>
      </c>
      <c r="B327">
        <v>5.135E-2</v>
      </c>
      <c r="C327">
        <v>6.2E-2</v>
      </c>
      <c r="D327">
        <v>4.8739999999999999E-2</v>
      </c>
      <c r="E327">
        <v>5.851E-2</v>
      </c>
      <c r="F327">
        <v>80091500.400000006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0.47360482654600305</v>
      </c>
      <c r="Q327">
        <f t="shared" si="970"/>
        <v>37931721.154751137</v>
      </c>
      <c r="R327">
        <f t="shared" si="971"/>
        <v>-692365141.04725826</v>
      </c>
      <c r="S327">
        <f t="shared" si="972"/>
        <v>-6923.6514104725829</v>
      </c>
      <c r="T327">
        <f t="shared" si="973"/>
        <v>-6.9236514104725826</v>
      </c>
    </row>
    <row r="328" spans="1:20" x14ac:dyDescent="0.25">
      <c r="A328" s="5">
        <v>44265</v>
      </c>
      <c r="B328">
        <v>5.3469999999999997E-2</v>
      </c>
      <c r="C328">
        <v>5.4600000000000003E-2</v>
      </c>
      <c r="D328">
        <v>4.965E-2</v>
      </c>
      <c r="E328">
        <v>5.1380000000000002E-2</v>
      </c>
      <c r="F328">
        <v>30151848.699999999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-0.30101010101010045</v>
      </c>
      <c r="Q328">
        <f t="shared" si="970"/>
        <v>-9076011.022828266</v>
      </c>
      <c r="R328">
        <f t="shared" si="971"/>
        <v>-730296862.20200944</v>
      </c>
      <c r="S328">
        <f t="shared" si="972"/>
        <v>-7302.9686220200947</v>
      </c>
      <c r="T328">
        <f t="shared" si="973"/>
        <v>-7.3029686220200949</v>
      </c>
    </row>
    <row r="329" spans="1:20" x14ac:dyDescent="0.25">
      <c r="A329" s="5">
        <v>44264</v>
      </c>
      <c r="B329">
        <v>4.8770000000000001E-2</v>
      </c>
      <c r="C329">
        <v>5.45E-2</v>
      </c>
      <c r="D329">
        <v>4.827E-2</v>
      </c>
      <c r="E329">
        <v>5.3490000000000003E-2</v>
      </c>
      <c r="F329">
        <v>39824161.200000003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0.6757624398073846</v>
      </c>
      <c r="Q329">
        <f t="shared" si="970"/>
        <v>26911672.335794583</v>
      </c>
      <c r="R329">
        <f t="shared" si="971"/>
        <v>-721220851.17918122</v>
      </c>
      <c r="S329">
        <f t="shared" si="972"/>
        <v>-7212.2085117918123</v>
      </c>
      <c r="T329">
        <f t="shared" si="973"/>
        <v>-7.212208511791812</v>
      </c>
    </row>
    <row r="330" spans="1:20" x14ac:dyDescent="0.25">
      <c r="A330" s="5">
        <v>44263</v>
      </c>
      <c r="B330">
        <v>4.5780000000000001E-2</v>
      </c>
      <c r="C330">
        <v>5.2499999999999998E-2</v>
      </c>
      <c r="D330">
        <v>4.462E-2</v>
      </c>
      <c r="E330">
        <v>4.8750000000000002E-2</v>
      </c>
      <c r="F330">
        <v>61443528.200000003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4.8223350253807792E-2</v>
      </c>
      <c r="Q330">
        <f t="shared" si="970"/>
        <v>2963012.7812183164</v>
      </c>
      <c r="R330">
        <f t="shared" si="971"/>
        <v>-748132523.51497579</v>
      </c>
      <c r="S330">
        <f t="shared" si="972"/>
        <v>-7481.3252351497576</v>
      </c>
      <c r="T330">
        <f t="shared" si="973"/>
        <v>-7.4813252351497574</v>
      </c>
    </row>
    <row r="331" spans="1:20" x14ac:dyDescent="0.25">
      <c r="A331" s="5">
        <v>44262</v>
      </c>
      <c r="B331">
        <v>4.5060000000000003E-2</v>
      </c>
      <c r="C331">
        <v>4.8590000000000001E-2</v>
      </c>
      <c r="D331">
        <v>4.4200000000000003E-2</v>
      </c>
      <c r="E331">
        <v>4.5789999999999997E-2</v>
      </c>
      <c r="F331">
        <v>58546006.799999997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-0.27562642369020735</v>
      </c>
      <c r="Q331">
        <f t="shared" si="970"/>
        <v>-16136826.47562656</v>
      </c>
      <c r="R331">
        <f t="shared" si="971"/>
        <v>-751095536.29619408</v>
      </c>
      <c r="S331">
        <f t="shared" si="972"/>
        <v>-7510.9553629619404</v>
      </c>
      <c r="T331">
        <f t="shared" si="973"/>
        <v>-7.5109553629619406</v>
      </c>
    </row>
    <row r="332" spans="1:20" x14ac:dyDescent="0.25">
      <c r="A332" s="5">
        <v>44261</v>
      </c>
      <c r="B332">
        <v>4.48E-2</v>
      </c>
      <c r="C332">
        <v>4.684E-2</v>
      </c>
      <c r="D332">
        <v>4.3150000000000001E-2</v>
      </c>
      <c r="E332">
        <v>4.505E-2</v>
      </c>
      <c r="F332">
        <v>52123456.299999997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2.9810298102980765E-2</v>
      </c>
      <c r="Q332">
        <f t="shared" si="970"/>
        <v>1553815.7704606908</v>
      </c>
      <c r="R332">
        <f t="shared" si="971"/>
        <v>-734958709.82056749</v>
      </c>
      <c r="S332">
        <f t="shared" si="972"/>
        <v>-7349.5870982056749</v>
      </c>
      <c r="T332">
        <f t="shared" si="973"/>
        <v>-7.3495870982056752</v>
      </c>
    </row>
    <row r="333" spans="1:20" x14ac:dyDescent="0.25">
      <c r="A333" s="5">
        <v>44260</v>
      </c>
      <c r="B333">
        <v>4.3249999999999997E-2</v>
      </c>
      <c r="C333">
        <v>4.6710000000000002E-2</v>
      </c>
      <c r="D333">
        <v>4.0219999999999999E-2</v>
      </c>
      <c r="E333">
        <v>4.4790000000000003E-2</v>
      </c>
      <c r="F333">
        <v>55631834.200000003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0.40832049306625662</v>
      </c>
      <c r="Q333">
        <f t="shared" si="970"/>
        <v>22715617.97072424</v>
      </c>
      <c r="R333">
        <f t="shared" si="971"/>
        <v>-736512525.59102821</v>
      </c>
      <c r="S333">
        <f t="shared" si="972"/>
        <v>-7365.1252559102822</v>
      </c>
      <c r="T333">
        <f t="shared" si="973"/>
        <v>-7.3651252559102822</v>
      </c>
    </row>
    <row r="334" spans="1:20" x14ac:dyDescent="0.25">
      <c r="A334" s="5">
        <v>44259</v>
      </c>
      <c r="B334">
        <v>4.6080000000000003E-2</v>
      </c>
      <c r="C334">
        <v>4.6670000000000003E-2</v>
      </c>
      <c r="D334">
        <v>4.1640000000000003E-2</v>
      </c>
      <c r="E334">
        <v>4.3229999999999998E-2</v>
      </c>
      <c r="F334">
        <v>36973885.399999999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-0.36779324055666229</v>
      </c>
      <c r="Q334">
        <f t="shared" si="970"/>
        <v>-13598745.127236662</v>
      </c>
      <c r="R334">
        <f t="shared" si="971"/>
        <v>-759228143.56175244</v>
      </c>
      <c r="S334">
        <f t="shared" si="972"/>
        <v>-7592.281435617524</v>
      </c>
      <c r="T334">
        <f t="shared" si="973"/>
        <v>-7.5922814356175241</v>
      </c>
    </row>
    <row r="335" spans="1:20" x14ac:dyDescent="0.25">
      <c r="A335" s="5">
        <v>44258</v>
      </c>
      <c r="B335">
        <v>4.231E-2</v>
      </c>
      <c r="C335">
        <v>5.4699999999999999E-2</v>
      </c>
      <c r="D335">
        <v>4.2110000000000002E-2</v>
      </c>
      <c r="E335">
        <v>4.6080000000000003E-2</v>
      </c>
      <c r="F335">
        <v>129365246.3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-0.36934074662430466</v>
      </c>
      <c r="Q335">
        <f t="shared" si="970"/>
        <v>-47779856.655679062</v>
      </c>
      <c r="R335">
        <f t="shared" si="971"/>
        <v>-745629398.43451583</v>
      </c>
      <c r="S335">
        <f t="shared" si="972"/>
        <v>-7456.2939843451586</v>
      </c>
      <c r="T335">
        <f t="shared" si="973"/>
        <v>-7.4562939843451588</v>
      </c>
    </row>
    <row r="336" spans="1:20" x14ac:dyDescent="0.25">
      <c r="A336" s="5">
        <v>44257</v>
      </c>
      <c r="B336">
        <v>4.4429999999999997E-2</v>
      </c>
      <c r="C336">
        <v>4.4639999999999999E-2</v>
      </c>
      <c r="D336">
        <v>0.04</v>
      </c>
      <c r="E336">
        <v>4.2340000000000003E-2</v>
      </c>
      <c r="F336">
        <v>28969581.899999999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8.6206896551735603E-3</v>
      </c>
      <c r="Q336">
        <f t="shared" si="970"/>
        <v>249737.7750000332</v>
      </c>
      <c r="R336">
        <f t="shared" si="971"/>
        <v>-697849541.77883673</v>
      </c>
      <c r="S336">
        <f t="shared" si="972"/>
        <v>-6978.4954177883674</v>
      </c>
      <c r="T336">
        <f t="shared" si="973"/>
        <v>-6.9784954177883671</v>
      </c>
    </row>
    <row r="337" spans="1:20" x14ac:dyDescent="0.25">
      <c r="A337" s="5">
        <v>44256</v>
      </c>
      <c r="B337">
        <v>4.3299999999999998E-2</v>
      </c>
      <c r="C337">
        <v>4.5159999999999999E-2</v>
      </c>
      <c r="D337">
        <v>4.249E-2</v>
      </c>
      <c r="E337">
        <v>4.4409999999999998E-2</v>
      </c>
      <c r="F337">
        <v>26859334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0.43820224719101047</v>
      </c>
      <c r="Q337">
        <f t="shared" si="970"/>
        <v>11769820.516853912</v>
      </c>
      <c r="R337">
        <f t="shared" si="971"/>
        <v>-698099279.5538367</v>
      </c>
      <c r="S337">
        <f t="shared" si="972"/>
        <v>-6980.9927955383673</v>
      </c>
      <c r="T337">
        <f t="shared" si="973"/>
        <v>-6.9809927955383673</v>
      </c>
    </row>
    <row r="338" spans="1:20" x14ac:dyDescent="0.25">
      <c r="A338" s="5">
        <v>44255</v>
      </c>
      <c r="B338">
        <v>4.3709999999999999E-2</v>
      </c>
      <c r="C338">
        <v>4.5359999999999998E-2</v>
      </c>
      <c r="D338">
        <v>4.0750000000000001E-2</v>
      </c>
      <c r="E338">
        <v>4.3249999999999997E-2</v>
      </c>
      <c r="F338">
        <v>26003475.199999999</v>
      </c>
      <c r="G338">
        <v>0</v>
      </c>
      <c r="L338" t="s">
        <v>7</v>
      </c>
      <c r="M338" t="s">
        <v>8</v>
      </c>
      <c r="N338" t="s">
        <v>7</v>
      </c>
      <c r="P338">
        <f t="shared" si="969"/>
        <v>8.4598698481560708E-2</v>
      </c>
      <c r="Q338">
        <f t="shared" si="970"/>
        <v>2199860.1579175415</v>
      </c>
      <c r="R338">
        <f t="shared" si="971"/>
        <v>-709869100.07069063</v>
      </c>
      <c r="S338">
        <f t="shared" si="972"/>
        <v>-7098.6910007069064</v>
      </c>
      <c r="T338">
        <f t="shared" si="973"/>
        <v>-7.0986910007069062</v>
      </c>
    </row>
    <row r="339" spans="1:20" x14ac:dyDescent="0.25">
      <c r="A339" s="5">
        <v>44254</v>
      </c>
      <c r="B339">
        <v>4.2110000000000002E-2</v>
      </c>
      <c r="C339">
        <v>4.5949999999999998E-2</v>
      </c>
      <c r="D339">
        <v>4.1340000000000002E-2</v>
      </c>
      <c r="E339">
        <v>4.3740000000000001E-2</v>
      </c>
      <c r="F339">
        <v>33596596.799999997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4.1214750542299963E-2</v>
      </c>
      <c r="Q339">
        <f t="shared" si="970"/>
        <v>1384675.3561822332</v>
      </c>
      <c r="R339">
        <f t="shared" si="971"/>
        <v>-712068960.22860813</v>
      </c>
      <c r="S339">
        <f t="shared" si="972"/>
        <v>-7120.689602286081</v>
      </c>
      <c r="T339">
        <f t="shared" si="973"/>
        <v>-7.1206896022860811</v>
      </c>
    </row>
    <row r="340" spans="1:20" x14ac:dyDescent="0.25">
      <c r="A340" s="5">
        <v>44253</v>
      </c>
      <c r="B340">
        <v>4.0419999999999998E-2</v>
      </c>
      <c r="C340">
        <v>4.5780000000000001E-2</v>
      </c>
      <c r="D340">
        <v>3.7580000000000002E-2</v>
      </c>
      <c r="E340">
        <v>4.2110000000000002E-2</v>
      </c>
      <c r="F340">
        <v>9131666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0.10487804878048777</v>
      </c>
      <c r="Q340">
        <f t="shared" si="970"/>
        <v>957711.31219512166</v>
      </c>
      <c r="R340">
        <f t="shared" si="971"/>
        <v>-713453635.58479035</v>
      </c>
      <c r="S340">
        <f t="shared" si="972"/>
        <v>-7134.5363558479039</v>
      </c>
      <c r="T340">
        <f t="shared" si="973"/>
        <v>-7.1345363558479038</v>
      </c>
    </row>
    <row r="341" spans="1:20" x14ac:dyDescent="0.25">
      <c r="A341" s="5">
        <v>44252</v>
      </c>
      <c r="B341">
        <v>4.2750000000000003E-2</v>
      </c>
      <c r="C341">
        <v>4.8640000000000003E-2</v>
      </c>
      <c r="D341">
        <v>4.0489999999999998E-2</v>
      </c>
      <c r="E341">
        <v>4.0500000000000001E-2</v>
      </c>
      <c r="F341">
        <v>13936767.800000001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-0.99754601226993789</v>
      </c>
      <c r="Q341">
        <f t="shared" si="970"/>
        <v>-13902567.142822076</v>
      </c>
      <c r="R341">
        <f t="shared" si="971"/>
        <v>-714411346.89698541</v>
      </c>
      <c r="S341">
        <f t="shared" si="972"/>
        <v>-7144.1134689698538</v>
      </c>
      <c r="T341">
        <f t="shared" si="973"/>
        <v>-7.144113468969854</v>
      </c>
    </row>
    <row r="342" spans="1:20" x14ac:dyDescent="0.25">
      <c r="A342" s="5">
        <v>44251</v>
      </c>
      <c r="B342">
        <v>4.1910000000000003E-2</v>
      </c>
      <c r="C342">
        <v>4.6489999999999997E-2</v>
      </c>
      <c r="D342">
        <v>3.9350000000000003E-2</v>
      </c>
      <c r="E342">
        <v>4.2889999999999998E-2</v>
      </c>
      <c r="F342">
        <v>20110911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-8.4033613445384514E-3</v>
      </c>
      <c r="Q342">
        <f t="shared" si="970"/>
        <v>-168999.25210085313</v>
      </c>
      <c r="R342">
        <f t="shared" si="971"/>
        <v>-700508779.75416338</v>
      </c>
      <c r="S342">
        <f t="shared" si="972"/>
        <v>-7005.0877975416342</v>
      </c>
      <c r="T342">
        <f t="shared" si="973"/>
        <v>-7.0050877975416341</v>
      </c>
    </row>
    <row r="343" spans="1:20" x14ac:dyDescent="0.25">
      <c r="A343" s="5">
        <v>44250</v>
      </c>
      <c r="B343">
        <v>5.3060000000000003E-2</v>
      </c>
      <c r="C343">
        <v>5.3319999999999999E-2</v>
      </c>
      <c r="D343">
        <v>3.5999999999999997E-2</v>
      </c>
      <c r="E343">
        <v>4.1779999999999998E-2</v>
      </c>
      <c r="F343">
        <v>23856452.800000001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-0.33256351039260973</v>
      </c>
      <c r="Q343">
        <f t="shared" si="970"/>
        <v>-7933785.6886836039</v>
      </c>
      <c r="R343">
        <f t="shared" si="971"/>
        <v>-700339780.50206256</v>
      </c>
      <c r="S343">
        <f t="shared" si="972"/>
        <v>-7003.397805020626</v>
      </c>
      <c r="T343">
        <f t="shared" si="973"/>
        <v>-7.0033978050206258</v>
      </c>
    </row>
    <row r="344" spans="1:20" x14ac:dyDescent="0.25">
      <c r="A344" s="5">
        <v>44249</v>
      </c>
      <c r="B344">
        <v>5.9549999999999999E-2</v>
      </c>
      <c r="C344">
        <v>6.0789999999999997E-2</v>
      </c>
      <c r="D344">
        <v>4.6460000000000001E-2</v>
      </c>
      <c r="E344">
        <v>5.3060000000000003E-2</v>
      </c>
      <c r="F344">
        <v>18729338.699999999</v>
      </c>
      <c r="G344">
        <v>0</v>
      </c>
      <c r="L344" t="s">
        <v>7</v>
      </c>
      <c r="M344" t="s">
        <v>7</v>
      </c>
      <c r="N344" t="s">
        <v>8</v>
      </c>
      <c r="P344">
        <f t="shared" si="969"/>
        <v>-7.8855547801813849E-2</v>
      </c>
      <c r="Q344">
        <f t="shared" si="970"/>
        <v>-1476912.2631542119</v>
      </c>
      <c r="R344">
        <f t="shared" si="971"/>
        <v>-692405994.81337893</v>
      </c>
      <c r="S344">
        <f t="shared" si="972"/>
        <v>-6924.0599481337895</v>
      </c>
      <c r="T344">
        <f t="shared" si="973"/>
        <v>-6.9240599481337899</v>
      </c>
    </row>
    <row r="345" spans="1:20" x14ac:dyDescent="0.25">
      <c r="A345" s="5">
        <v>44248</v>
      </c>
      <c r="B345">
        <v>5.3800000000000001E-2</v>
      </c>
      <c r="C345">
        <v>6.2899999999999998E-2</v>
      </c>
      <c r="D345">
        <v>5.101E-2</v>
      </c>
      <c r="E345">
        <v>5.9560000000000002E-2</v>
      </c>
      <c r="F345">
        <v>27496557.199999999</v>
      </c>
      <c r="G345">
        <v>0</v>
      </c>
      <c r="L345" t="s">
        <v>7</v>
      </c>
      <c r="M345" t="s">
        <v>8</v>
      </c>
      <c r="N345" t="s">
        <v>8</v>
      </c>
      <c r="P345">
        <f t="shared" si="969"/>
        <v>0.43818334735071551</v>
      </c>
      <c r="Q345">
        <f t="shared" si="970"/>
        <v>12048533.474516418</v>
      </c>
      <c r="R345">
        <f t="shared" si="971"/>
        <v>-690929082.55022466</v>
      </c>
      <c r="S345">
        <f t="shared" si="972"/>
        <v>-6909.2908255022467</v>
      </c>
      <c r="T345">
        <f t="shared" si="973"/>
        <v>-6.9092908255022465</v>
      </c>
    </row>
    <row r="346" spans="1:20" x14ac:dyDescent="0.25">
      <c r="A346" s="5">
        <v>44247</v>
      </c>
      <c r="B346">
        <v>5.8999999999999997E-2</v>
      </c>
      <c r="C346">
        <v>5.9339999999999997E-2</v>
      </c>
      <c r="D346">
        <v>5.1499999999999997E-2</v>
      </c>
      <c r="E346">
        <v>5.3800000000000001E-2</v>
      </c>
      <c r="F346">
        <v>19115973.300000001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-0.41326530612244811</v>
      </c>
      <c r="Q346">
        <f t="shared" si="970"/>
        <v>-7899968.5576530453</v>
      </c>
      <c r="R346">
        <f t="shared" si="971"/>
        <v>-702977616.02474105</v>
      </c>
      <c r="S346">
        <f t="shared" si="972"/>
        <v>-7029.7761602474102</v>
      </c>
      <c r="T346">
        <f t="shared" si="973"/>
        <v>-7.02977616024741</v>
      </c>
    </row>
    <row r="347" spans="1:20" x14ac:dyDescent="0.25">
      <c r="A347" s="5">
        <v>44246</v>
      </c>
      <c r="B347">
        <v>5.0590000000000003E-2</v>
      </c>
      <c r="C347">
        <v>5.9339999999999997E-2</v>
      </c>
      <c r="D347">
        <v>4.87E-2</v>
      </c>
      <c r="E347">
        <v>5.901E-2</v>
      </c>
      <c r="F347">
        <v>81225350.5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0.93796992481203068</v>
      </c>
      <c r="Q347">
        <f t="shared" si="970"/>
        <v>76186935.901315838</v>
      </c>
      <c r="R347">
        <f t="shared" si="971"/>
        <v>-695077647.46708798</v>
      </c>
      <c r="S347">
        <f t="shared" si="972"/>
        <v>-6950.7764746708799</v>
      </c>
      <c r="T347">
        <f t="shared" si="973"/>
        <v>-6.9507764746708798</v>
      </c>
    </row>
    <row r="348" spans="1:20" x14ac:dyDescent="0.25">
      <c r="A348" s="5">
        <v>44245</v>
      </c>
      <c r="B348">
        <v>4.8500000000000001E-2</v>
      </c>
      <c r="C348">
        <v>5.2330000000000002E-2</v>
      </c>
      <c r="D348">
        <v>4.6850000000000003E-2</v>
      </c>
      <c r="E348">
        <v>5.0720000000000001E-2</v>
      </c>
      <c r="F348">
        <v>24728453.5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0.41240875912408737</v>
      </c>
      <c r="Q348">
        <f t="shared" si="970"/>
        <v>10198230.822992695</v>
      </c>
      <c r="R348">
        <f t="shared" si="971"/>
        <v>-771264583.36840379</v>
      </c>
      <c r="S348">
        <f t="shared" si="972"/>
        <v>-7712.6458336840378</v>
      </c>
      <c r="T348">
        <f t="shared" si="973"/>
        <v>-7.7126458336840376</v>
      </c>
    </row>
    <row r="349" spans="1:20" x14ac:dyDescent="0.25">
      <c r="A349" s="5">
        <v>44244</v>
      </c>
      <c r="B349">
        <v>4.5249999999999999E-2</v>
      </c>
      <c r="C349">
        <v>5.0999999999999997E-2</v>
      </c>
      <c r="D349">
        <v>4.1360000000000001E-2</v>
      </c>
      <c r="E349">
        <v>4.8390000000000002E-2</v>
      </c>
      <c r="F349">
        <v>21810830.699999999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0.45850622406639102</v>
      </c>
      <c r="Q349">
        <f t="shared" si="970"/>
        <v>10000401.628008319</v>
      </c>
      <c r="R349">
        <f t="shared" si="971"/>
        <v>-781462814.19139647</v>
      </c>
      <c r="S349">
        <f t="shared" si="972"/>
        <v>-7814.628141913965</v>
      </c>
      <c r="T349">
        <f t="shared" si="973"/>
        <v>-7.8146281419139649</v>
      </c>
    </row>
    <row r="350" spans="1:20" x14ac:dyDescent="0.25">
      <c r="A350" s="5">
        <v>44243</v>
      </c>
      <c r="B350">
        <v>4.7980000000000002E-2</v>
      </c>
      <c r="C350">
        <v>5.0999999999999997E-2</v>
      </c>
      <c r="D350">
        <v>4.3150000000000001E-2</v>
      </c>
      <c r="E350">
        <v>4.505E-2</v>
      </c>
      <c r="F350">
        <v>26343582.699999999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-0.51592356687898089</v>
      </c>
      <c r="Q350">
        <f t="shared" si="970"/>
        <v>-13591275.150955414</v>
      </c>
      <c r="R350">
        <f t="shared" si="971"/>
        <v>-791463215.81940484</v>
      </c>
      <c r="S350">
        <f t="shared" si="972"/>
        <v>-7914.6321581940483</v>
      </c>
      <c r="T350">
        <f t="shared" si="973"/>
        <v>-7.9146321581940482</v>
      </c>
    </row>
    <row r="351" spans="1:20" x14ac:dyDescent="0.25">
      <c r="A351" s="5">
        <v>44242</v>
      </c>
      <c r="B351">
        <v>4.8840000000000001E-2</v>
      </c>
      <c r="C351">
        <v>5.0999999999999997E-2</v>
      </c>
      <c r="D351">
        <v>4.2320000000000003E-2</v>
      </c>
      <c r="E351">
        <v>4.7989999999999998E-2</v>
      </c>
      <c r="F351">
        <v>27210576.899999999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0.30645161290322553</v>
      </c>
      <c r="Q351">
        <f t="shared" si="970"/>
        <v>8338725.1790322503</v>
      </c>
      <c r="R351">
        <f t="shared" si="971"/>
        <v>-777871940.6684494</v>
      </c>
      <c r="S351">
        <f t="shared" si="972"/>
        <v>-7778.7194066844941</v>
      </c>
      <c r="T351">
        <f t="shared" si="973"/>
        <v>-7.7787194066844938</v>
      </c>
    </row>
    <row r="352" spans="1:20" x14ac:dyDescent="0.25">
      <c r="A352" s="5">
        <v>44241</v>
      </c>
      <c r="B352">
        <v>5.4039999999999998E-2</v>
      </c>
      <c r="C352">
        <v>5.6300000000000003E-2</v>
      </c>
      <c r="D352">
        <v>4.7699999999999999E-2</v>
      </c>
      <c r="E352">
        <v>4.8840000000000001E-2</v>
      </c>
      <c r="F352">
        <v>34689546.200000003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-0.73488372093023213</v>
      </c>
      <c r="Q352">
        <f t="shared" si="970"/>
        <v>-25492782.788837198</v>
      </c>
      <c r="R352">
        <f t="shared" si="971"/>
        <v>-786210665.84748161</v>
      </c>
      <c r="S352">
        <f t="shared" si="972"/>
        <v>-7862.106658474816</v>
      </c>
      <c r="T352">
        <f t="shared" si="973"/>
        <v>-7.8621066584748158</v>
      </c>
    </row>
    <row r="353" spans="1:20" x14ac:dyDescent="0.25">
      <c r="A353" s="5">
        <v>44240</v>
      </c>
      <c r="B353">
        <v>5.33E-2</v>
      </c>
      <c r="C353">
        <v>5.6340000000000001E-2</v>
      </c>
      <c r="D353">
        <v>5.262E-2</v>
      </c>
      <c r="E353">
        <v>5.3850000000000002E-2</v>
      </c>
      <c r="F353">
        <v>28991562.800000001</v>
      </c>
      <c r="G353">
        <v>0</v>
      </c>
      <c r="L353" t="s">
        <v>8</v>
      </c>
      <c r="M353" t="s">
        <v>7</v>
      </c>
      <c r="N353" t="s">
        <v>8</v>
      </c>
      <c r="P353">
        <f t="shared" si="969"/>
        <v>-0.33870967741935398</v>
      </c>
      <c r="Q353">
        <f t="shared" si="970"/>
        <v>-9819722.8838709425</v>
      </c>
      <c r="R353">
        <f t="shared" si="971"/>
        <v>-760717883.05864441</v>
      </c>
      <c r="S353">
        <f t="shared" si="972"/>
        <v>-7607.1788305864438</v>
      </c>
      <c r="T353">
        <f t="shared" si="973"/>
        <v>-7.6071788305864434</v>
      </c>
    </row>
    <row r="354" spans="1:20" x14ac:dyDescent="0.25">
      <c r="A354" s="5">
        <v>44239</v>
      </c>
      <c r="B354">
        <v>5.2159999999999998E-2</v>
      </c>
      <c r="C354">
        <v>5.5E-2</v>
      </c>
      <c r="D354">
        <v>4.9730000000000003E-2</v>
      </c>
      <c r="E354">
        <v>5.33E-2</v>
      </c>
      <c r="F354">
        <v>40041986.399999999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0.35483870967741893</v>
      </c>
      <c r="Q354">
        <f t="shared" si="970"/>
        <v>14208446.787096757</v>
      </c>
      <c r="R354">
        <f t="shared" si="971"/>
        <v>-750898160.17477345</v>
      </c>
      <c r="S354">
        <f t="shared" si="972"/>
        <v>-7508.9816017477342</v>
      </c>
      <c r="T354">
        <f t="shared" si="973"/>
        <v>-7.5089816017477338</v>
      </c>
    </row>
    <row r="355" spans="1:20" x14ac:dyDescent="0.25">
      <c r="A355" s="5">
        <v>44238</v>
      </c>
      <c r="B355">
        <v>5.3010000000000002E-2</v>
      </c>
      <c r="C355">
        <v>5.7450000000000001E-2</v>
      </c>
      <c r="D355">
        <v>5.074E-2</v>
      </c>
      <c r="E355">
        <v>5.212E-2</v>
      </c>
      <c r="F355">
        <v>68493518.299999997</v>
      </c>
      <c r="G355">
        <v>0</v>
      </c>
      <c r="L355" t="s">
        <v>7</v>
      </c>
      <c r="M355" t="s">
        <v>7</v>
      </c>
      <c r="N355" t="s">
        <v>8</v>
      </c>
      <c r="P355">
        <f t="shared" si="969"/>
        <v>-0.58867362146050695</v>
      </c>
      <c r="Q355">
        <f t="shared" si="970"/>
        <v>-40320327.464232504</v>
      </c>
      <c r="R355">
        <f t="shared" si="971"/>
        <v>-765106606.96187019</v>
      </c>
      <c r="S355">
        <f t="shared" si="972"/>
        <v>-7651.0660696187024</v>
      </c>
      <c r="T355">
        <f t="shared" si="973"/>
        <v>-7.6510660696187021</v>
      </c>
    </row>
    <row r="356" spans="1:20" x14ac:dyDescent="0.25">
      <c r="A356" s="5">
        <v>44237</v>
      </c>
      <c r="B356">
        <v>5.2780000000000001E-2</v>
      </c>
      <c r="C356">
        <v>6.3839999999999994E-2</v>
      </c>
      <c r="D356">
        <v>0.05</v>
      </c>
      <c r="E356">
        <v>5.3010000000000002E-2</v>
      </c>
      <c r="F356">
        <v>109232883.40000001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-0.56502890173410392</v>
      </c>
      <c r="Q356">
        <f t="shared" si="970"/>
        <v>-61719736.140751436</v>
      </c>
      <c r="R356">
        <f t="shared" si="971"/>
        <v>-724786279.49763763</v>
      </c>
      <c r="S356">
        <f t="shared" si="972"/>
        <v>-7247.8627949763759</v>
      </c>
      <c r="T356">
        <f t="shared" si="973"/>
        <v>-7.2478627949763759</v>
      </c>
    </row>
    <row r="357" spans="1:20" x14ac:dyDescent="0.25">
      <c r="A357" s="5">
        <v>44236</v>
      </c>
      <c r="B357">
        <v>4.4600000000000001E-2</v>
      </c>
      <c r="C357">
        <v>5.7110000000000001E-2</v>
      </c>
      <c r="D357">
        <v>4.1279999999999997E-2</v>
      </c>
      <c r="E357">
        <v>5.2780000000000001E-2</v>
      </c>
      <c r="F357">
        <v>125445128.8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0.45293746051800388</v>
      </c>
      <c r="Q357">
        <f t="shared" si="970"/>
        <v>56818798.073025912</v>
      </c>
      <c r="R357">
        <f t="shared" si="971"/>
        <v>-663066543.35688615</v>
      </c>
      <c r="S357">
        <f t="shared" si="972"/>
        <v>-6630.6654335688618</v>
      </c>
      <c r="T357">
        <f t="shared" si="973"/>
        <v>-6.6306654335688622</v>
      </c>
    </row>
    <row r="358" spans="1:20" x14ac:dyDescent="0.25">
      <c r="A358" s="5">
        <v>44235</v>
      </c>
      <c r="B358">
        <v>3.4279999999999998E-2</v>
      </c>
      <c r="C358">
        <v>4.5769999999999998E-2</v>
      </c>
      <c r="D358">
        <v>3.3709999999999997E-2</v>
      </c>
      <c r="E358">
        <v>4.462E-2</v>
      </c>
      <c r="F358">
        <v>291865797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0.80928689883913796</v>
      </c>
      <c r="Q358">
        <f t="shared" si="970"/>
        <v>236203165.73134339</v>
      </c>
      <c r="R358">
        <f t="shared" si="971"/>
        <v>-719885341.42991209</v>
      </c>
      <c r="S358">
        <f t="shared" si="972"/>
        <v>-7198.8534142991211</v>
      </c>
      <c r="T358">
        <f t="shared" si="973"/>
        <v>-7.198853414299121</v>
      </c>
    </row>
    <row r="359" spans="1:20" x14ac:dyDescent="0.25">
      <c r="A359" s="5">
        <v>44234</v>
      </c>
      <c r="B359">
        <v>3.2489999999999998E-2</v>
      </c>
      <c r="C359">
        <v>3.5000000000000003E-2</v>
      </c>
      <c r="D359">
        <v>3.099E-2</v>
      </c>
      <c r="E359">
        <v>3.4270000000000002E-2</v>
      </c>
      <c r="F359">
        <v>18630081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0.63591022443890233</v>
      </c>
      <c r="Q359">
        <f t="shared" si="970"/>
        <v>11847058.99002493</v>
      </c>
      <c r="R359">
        <f t="shared" si="971"/>
        <v>-956088507.16125548</v>
      </c>
      <c r="S359">
        <f t="shared" si="972"/>
        <v>-9560.8850716125544</v>
      </c>
      <c r="T359">
        <f t="shared" si="973"/>
        <v>-9.5608850716125549</v>
      </c>
    </row>
    <row r="360" spans="1:20" x14ac:dyDescent="0.25">
      <c r="A360" s="5">
        <v>44233</v>
      </c>
      <c r="B360">
        <v>3.1829999999999997E-2</v>
      </c>
      <c r="C360">
        <v>3.3980000000000003E-2</v>
      </c>
      <c r="D360">
        <v>2.9139999999999999E-2</v>
      </c>
      <c r="E360">
        <v>3.2259999999999997E-2</v>
      </c>
      <c r="F360">
        <v>41226236.399999999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0.28925619834710542</v>
      </c>
      <c r="Q360">
        <f t="shared" si="970"/>
        <v>11924944.413223056</v>
      </c>
      <c r="R360">
        <f t="shared" si="971"/>
        <v>-967935566.1512804</v>
      </c>
      <c r="S360">
        <f t="shared" si="972"/>
        <v>-9679.3556615128036</v>
      </c>
      <c r="T360">
        <f t="shared" si="973"/>
        <v>-9.6793556615128029</v>
      </c>
    </row>
    <row r="361" spans="1:20" x14ac:dyDescent="0.25">
      <c r="A361" s="5">
        <v>44232</v>
      </c>
      <c r="B361">
        <v>2.8809999999999999E-2</v>
      </c>
      <c r="C361">
        <v>3.5000000000000003E-2</v>
      </c>
      <c r="D361">
        <v>2.845E-2</v>
      </c>
      <c r="E361">
        <v>3.1800000000000002E-2</v>
      </c>
      <c r="F361">
        <v>86233826.799999997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2.290076335877874E-2</v>
      </c>
      <c r="Q361">
        <f t="shared" si="970"/>
        <v>1974820.4610687122</v>
      </c>
      <c r="R361">
        <f t="shared" si="971"/>
        <v>-979860510.56450343</v>
      </c>
      <c r="S361">
        <f t="shared" si="972"/>
        <v>-9798.6051056450342</v>
      </c>
      <c r="T361">
        <f t="shared" si="973"/>
        <v>-9.7986051056450343</v>
      </c>
    </row>
    <row r="362" spans="1:20" x14ac:dyDescent="0.25">
      <c r="A362" s="5">
        <v>44231</v>
      </c>
      <c r="B362">
        <v>2.7640000000000001E-2</v>
      </c>
      <c r="C362">
        <v>3.1E-2</v>
      </c>
      <c r="D362">
        <v>2.6030000000000001E-2</v>
      </c>
      <c r="E362">
        <v>2.8709999999999999E-2</v>
      </c>
      <c r="F362">
        <v>60295213.799999997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7.8470824949697801E-2</v>
      </c>
      <c r="Q362">
        <f t="shared" si="970"/>
        <v>4731415.167404403</v>
      </c>
      <c r="R362">
        <f t="shared" si="971"/>
        <v>-981835331.02557218</v>
      </c>
      <c r="S362">
        <f t="shared" si="972"/>
        <v>-9818.3533102557212</v>
      </c>
      <c r="T362">
        <f t="shared" si="973"/>
        <v>-9.8183533102557217</v>
      </c>
    </row>
    <row r="363" spans="1:20" x14ac:dyDescent="0.25">
      <c r="A363" s="5">
        <v>44230</v>
      </c>
      <c r="B363">
        <v>2.6270000000000002E-2</v>
      </c>
      <c r="C363">
        <v>2.8309999999999998E-2</v>
      </c>
      <c r="D363">
        <v>2.5000000000000001E-2</v>
      </c>
      <c r="E363">
        <v>2.7640000000000001E-2</v>
      </c>
      <c r="F363">
        <v>71106860.5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0.59516616314199544</v>
      </c>
      <c r="Q363">
        <f t="shared" si="970"/>
        <v>42320397.336858109</v>
      </c>
      <c r="R363">
        <f t="shared" si="971"/>
        <v>-986566746.19297659</v>
      </c>
      <c r="S363">
        <f t="shared" si="972"/>
        <v>-9865.6674619297664</v>
      </c>
      <c r="T363">
        <f t="shared" si="973"/>
        <v>-9.8656674619297657</v>
      </c>
    </row>
    <row r="364" spans="1:20" x14ac:dyDescent="0.25">
      <c r="A364" s="5">
        <v>44229</v>
      </c>
      <c r="B364">
        <v>2.699E-2</v>
      </c>
      <c r="C364">
        <v>3.3989999999999999E-2</v>
      </c>
      <c r="D364">
        <v>2.435E-2</v>
      </c>
      <c r="E364">
        <v>2.6249999999999999E-2</v>
      </c>
      <c r="F364">
        <v>104430587.59999999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-0.60580912863070557</v>
      </c>
      <c r="Q364">
        <f t="shared" si="970"/>
        <v>-63265003.276348561</v>
      </c>
      <c r="R364">
        <f t="shared" si="971"/>
        <v>-1028887143.5298347</v>
      </c>
      <c r="S364">
        <f t="shared" si="972"/>
        <v>-10288.871435298348</v>
      </c>
      <c r="T364">
        <f t="shared" si="973"/>
        <v>-10.288871435298349</v>
      </c>
    </row>
    <row r="365" spans="1:20" x14ac:dyDescent="0.25">
      <c r="A365" s="5">
        <v>44228</v>
      </c>
      <c r="B365">
        <v>2.3439999999999999E-2</v>
      </c>
      <c r="C365">
        <v>2.7130000000000001E-2</v>
      </c>
      <c r="D365">
        <v>2.3130000000000001E-2</v>
      </c>
      <c r="E365">
        <v>2.7019999999999999E-2</v>
      </c>
      <c r="F365">
        <v>51411215.600000001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0.94499999999999873</v>
      </c>
      <c r="Q365">
        <f t="shared" si="970"/>
        <v>48583598.741999939</v>
      </c>
      <c r="R365">
        <f t="shared" si="971"/>
        <v>-965622140.25348616</v>
      </c>
      <c r="S365">
        <f t="shared" si="972"/>
        <v>-9656.2214025348621</v>
      </c>
      <c r="T365">
        <f t="shared" si="973"/>
        <v>-9.6562214025348627</v>
      </c>
    </row>
    <row r="366" spans="1:20" x14ac:dyDescent="0.25">
      <c r="A366" s="5">
        <v>44227</v>
      </c>
      <c r="B366">
        <v>2.2769999999999999E-2</v>
      </c>
      <c r="C366">
        <v>2.3890000000000002E-2</v>
      </c>
      <c r="D366">
        <v>2.1999999999999999E-2</v>
      </c>
      <c r="E366">
        <v>2.3449999999999999E-2</v>
      </c>
      <c r="F366">
        <v>62301394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0.53439153439153197</v>
      </c>
      <c r="Q366">
        <f t="shared" si="970"/>
        <v>33293337.534391385</v>
      </c>
      <c r="R366">
        <f t="shared" si="971"/>
        <v>-1014205738.9954861</v>
      </c>
      <c r="S366">
        <f t="shared" si="972"/>
        <v>-10142.057389954862</v>
      </c>
      <c r="T366">
        <f t="shared" si="973"/>
        <v>-10.142057389954863</v>
      </c>
    </row>
    <row r="367" spans="1:20" x14ac:dyDescent="0.25">
      <c r="A367" s="5">
        <v>44226</v>
      </c>
      <c r="B367">
        <v>2.3060000000000001E-2</v>
      </c>
      <c r="C367">
        <v>2.435E-2</v>
      </c>
      <c r="D367">
        <v>2.2020000000000001E-2</v>
      </c>
      <c r="E367">
        <v>2.2780000000000002E-2</v>
      </c>
      <c r="F367">
        <v>59919707.299999997</v>
      </c>
      <c r="G367">
        <v>0</v>
      </c>
      <c r="L367" t="s">
        <v>7</v>
      </c>
      <c r="M367" t="s">
        <v>8</v>
      </c>
      <c r="N367" t="s">
        <v>8</v>
      </c>
      <c r="P367">
        <f t="shared" si="969"/>
        <v>-0.34763948497854019</v>
      </c>
      <c r="Q367">
        <f t="shared" si="970"/>
        <v>-20830456.185836874</v>
      </c>
      <c r="R367">
        <f t="shared" si="971"/>
        <v>-1047499076.5298775</v>
      </c>
      <c r="S367">
        <f t="shared" si="972"/>
        <v>-10474.990765298775</v>
      </c>
      <c r="T367">
        <f t="shared" si="973"/>
        <v>-10.474990765298775</v>
      </c>
    </row>
    <row r="368" spans="1:20" x14ac:dyDescent="0.25">
      <c r="A368" s="5">
        <v>44225</v>
      </c>
      <c r="B368">
        <v>2.29E-2</v>
      </c>
      <c r="C368">
        <v>2.4989999999999998E-2</v>
      </c>
      <c r="D368">
        <v>2.1999999999999999E-2</v>
      </c>
      <c r="E368">
        <v>2.3050000000000001E-2</v>
      </c>
      <c r="F368">
        <v>64323864.100000001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-0.29765886287625254</v>
      </c>
      <c r="Q368">
        <f t="shared" si="970"/>
        <v>-19146568.243812606</v>
      </c>
      <c r="R368">
        <f t="shared" si="971"/>
        <v>-1026668620.3440406</v>
      </c>
      <c r="S368">
        <f t="shared" si="972"/>
        <v>-10266.686203440406</v>
      </c>
      <c r="T368">
        <f t="shared" si="973"/>
        <v>-10.266686203440406</v>
      </c>
    </row>
    <row r="369" spans="1:20" x14ac:dyDescent="0.25">
      <c r="A369" s="5">
        <v>44224</v>
      </c>
      <c r="B369">
        <v>1.9619999999999999E-2</v>
      </c>
      <c r="C369">
        <v>2.4420000000000001E-2</v>
      </c>
      <c r="D369">
        <v>1.916E-2</v>
      </c>
      <c r="E369">
        <v>2.2859999999999998E-2</v>
      </c>
      <c r="F369">
        <v>53396168.100000001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0.40684410646387753</v>
      </c>
      <c r="Q369">
        <f t="shared" si="970"/>
        <v>21723916.299239501</v>
      </c>
      <c r="R369">
        <f t="shared" si="971"/>
        <v>-1007522052.1002281</v>
      </c>
      <c r="S369">
        <f t="shared" si="972"/>
        <v>-10075.22052100228</v>
      </c>
      <c r="T369">
        <f t="shared" si="973"/>
        <v>-10.075220521002281</v>
      </c>
    </row>
    <row r="370" spans="1:20" x14ac:dyDescent="0.25">
      <c r="A370" s="5">
        <v>44223</v>
      </c>
      <c r="B370">
        <v>2.0709999999999999E-2</v>
      </c>
      <c r="C370">
        <v>2.1080000000000002E-2</v>
      </c>
      <c r="D370">
        <v>1.8519999999999998E-2</v>
      </c>
      <c r="E370">
        <v>1.9599999999999999E-2</v>
      </c>
      <c r="F370">
        <v>37396965.899999999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-0.15625000000000022</v>
      </c>
      <c r="Q370">
        <f t="shared" si="970"/>
        <v>-5843275.9218750084</v>
      </c>
      <c r="R370">
        <f t="shared" si="971"/>
        <v>-1029245968.3994676</v>
      </c>
      <c r="S370">
        <f t="shared" si="972"/>
        <v>-10292.459683994675</v>
      </c>
      <c r="T370">
        <f t="shared" si="973"/>
        <v>-10.292459683994675</v>
      </c>
    </row>
    <row r="371" spans="1:20" x14ac:dyDescent="0.25">
      <c r="A371" s="5">
        <v>44222</v>
      </c>
      <c r="B371">
        <v>2.0250000000000001E-2</v>
      </c>
      <c r="C371">
        <v>2.1239999999999998E-2</v>
      </c>
      <c r="D371">
        <v>1.9279999999999999E-2</v>
      </c>
      <c r="E371">
        <v>2.0719999999999999E-2</v>
      </c>
      <c r="F371">
        <v>25682569.300000001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0.46938775510204117</v>
      </c>
      <c r="Q371">
        <f t="shared" si="970"/>
        <v>12055083.548979601</v>
      </c>
      <c r="R371">
        <f t="shared" si="971"/>
        <v>-1023402692.4775926</v>
      </c>
      <c r="S371">
        <f t="shared" si="972"/>
        <v>-10234.026924775926</v>
      </c>
      <c r="T371">
        <f t="shared" si="973"/>
        <v>-10.234026924775925</v>
      </c>
    </row>
    <row r="372" spans="1:20" x14ac:dyDescent="0.25">
      <c r="A372" s="5">
        <v>44221</v>
      </c>
      <c r="B372">
        <v>2.087E-2</v>
      </c>
      <c r="C372">
        <v>2.2519999999999998E-2</v>
      </c>
      <c r="D372">
        <v>2.001E-2</v>
      </c>
      <c r="E372">
        <v>2.034E-2</v>
      </c>
      <c r="F372">
        <v>171022107.5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-0.73705179282868472</v>
      </c>
      <c r="Q372">
        <f t="shared" si="970"/>
        <v>-126052150.94621505</v>
      </c>
      <c r="R372">
        <f t="shared" si="971"/>
        <v>-1035457776.0265722</v>
      </c>
      <c r="S372">
        <f t="shared" si="972"/>
        <v>-10354.577760265722</v>
      </c>
      <c r="T372">
        <f t="shared" si="973"/>
        <v>-10.354577760265721</v>
      </c>
    </row>
    <row r="373" spans="1:20" x14ac:dyDescent="0.25">
      <c r="A373" s="5">
        <v>44220</v>
      </c>
      <c r="B373">
        <v>2.129E-2</v>
      </c>
      <c r="C373">
        <v>2.1430000000000001E-2</v>
      </c>
      <c r="D373">
        <v>2.0279999999999999E-2</v>
      </c>
      <c r="E373">
        <v>2.0879999999999999E-2</v>
      </c>
      <c r="F373">
        <v>12562216.4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4.3478260869563384E-2</v>
      </c>
      <c r="Q373">
        <f t="shared" si="970"/>
        <v>546183.32173910737</v>
      </c>
      <c r="R373">
        <f t="shared" si="971"/>
        <v>-909405625.08035719</v>
      </c>
      <c r="S373">
        <f t="shared" si="972"/>
        <v>-9094.0562508035728</v>
      </c>
      <c r="T373">
        <f t="shared" si="973"/>
        <v>-9.0940562508035736</v>
      </c>
    </row>
    <row r="374" spans="1:20" x14ac:dyDescent="0.25">
      <c r="A374" s="5">
        <v>44219</v>
      </c>
      <c r="B374">
        <v>2.0209999999999999E-2</v>
      </c>
      <c r="C374">
        <v>2.1850000000000001E-2</v>
      </c>
      <c r="D374">
        <v>1.985E-2</v>
      </c>
      <c r="E374">
        <v>2.128E-2</v>
      </c>
      <c r="F374">
        <v>21192140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0.42999999999999944</v>
      </c>
      <c r="Q374">
        <f t="shared" si="970"/>
        <v>9112620.1999999881</v>
      </c>
      <c r="R374">
        <f t="shared" si="971"/>
        <v>-909951808.40209627</v>
      </c>
      <c r="S374">
        <f t="shared" si="972"/>
        <v>-9099.5180840209632</v>
      </c>
      <c r="T374">
        <f t="shared" si="973"/>
        <v>-9.0995180840209624</v>
      </c>
    </row>
    <row r="375" spans="1:20" x14ac:dyDescent="0.25">
      <c r="A375" s="5">
        <v>44218</v>
      </c>
      <c r="B375">
        <v>1.9949999999999999E-2</v>
      </c>
      <c r="C375">
        <v>2.2329999999999999E-2</v>
      </c>
      <c r="D375">
        <v>1.8270000000000002E-2</v>
      </c>
      <c r="E375">
        <v>2.0230000000000001E-2</v>
      </c>
      <c r="F375">
        <v>85588877.400000006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-3.4482758620689127E-2</v>
      </c>
      <c r="Q375">
        <f t="shared" si="970"/>
        <v>-2951340.5999999549</v>
      </c>
      <c r="R375">
        <f t="shared" si="971"/>
        <v>-919064428.60209632</v>
      </c>
      <c r="S375">
        <f t="shared" si="972"/>
        <v>-9190.6442860209627</v>
      </c>
      <c r="T375">
        <f t="shared" si="973"/>
        <v>-9.1906442860209623</v>
      </c>
    </row>
    <row r="376" spans="1:20" x14ac:dyDescent="0.25">
      <c r="A376" s="5">
        <v>44217</v>
      </c>
      <c r="B376">
        <v>2.2179999999999998E-2</v>
      </c>
      <c r="C376">
        <v>2.5100000000000001E-2</v>
      </c>
      <c r="D376">
        <v>1.984E-2</v>
      </c>
      <c r="E376">
        <v>0.02</v>
      </c>
      <c r="F376">
        <v>63844656.100000001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-0.93916349809885913</v>
      </c>
      <c r="Q376">
        <f t="shared" si="970"/>
        <v>-59960570.557794668</v>
      </c>
      <c r="R376">
        <f t="shared" si="971"/>
        <v>-916113088.00209641</v>
      </c>
      <c r="S376">
        <f t="shared" si="972"/>
        <v>-9161.1308800209645</v>
      </c>
      <c r="T376">
        <f t="shared" si="973"/>
        <v>-9.1611308800209645</v>
      </c>
    </row>
    <row r="377" spans="1:20" x14ac:dyDescent="0.25">
      <c r="A377" s="5">
        <v>44216</v>
      </c>
      <c r="B377">
        <v>2.213E-2</v>
      </c>
      <c r="C377">
        <v>2.2610000000000002E-2</v>
      </c>
      <c r="D377">
        <v>2.0549999999999999E-2</v>
      </c>
      <c r="E377">
        <v>2.2190000000000001E-2</v>
      </c>
      <c r="F377">
        <v>6261963.0999999996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0.59223300970873816</v>
      </c>
      <c r="Q377">
        <f t="shared" si="970"/>
        <v>3708541.2533980599</v>
      </c>
      <c r="R377">
        <f t="shared" si="971"/>
        <v>-856152517.44430172</v>
      </c>
      <c r="S377">
        <f t="shared" si="972"/>
        <v>-8561.525174443017</v>
      </c>
      <c r="T377">
        <f t="shared" si="973"/>
        <v>-8.5615251744430179</v>
      </c>
    </row>
    <row r="378" spans="1:20" x14ac:dyDescent="0.25">
      <c r="A378" s="5">
        <v>44215</v>
      </c>
      <c r="B378">
        <v>2.2859999999999998E-2</v>
      </c>
      <c r="C378">
        <v>2.3400000000000001E-2</v>
      </c>
      <c r="D378">
        <v>2.213E-2</v>
      </c>
      <c r="E378">
        <v>2.213E-2</v>
      </c>
      <c r="F378">
        <v>7802345.9000000004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-1</v>
      </c>
      <c r="Q378">
        <f t="shared" si="970"/>
        <v>-7802345.9000000004</v>
      </c>
      <c r="R378">
        <f t="shared" si="971"/>
        <v>-859861058.69769979</v>
      </c>
      <c r="S378">
        <f t="shared" si="972"/>
        <v>-8598.6105869769981</v>
      </c>
      <c r="T378">
        <f t="shared" si="973"/>
        <v>-8.5986105869769975</v>
      </c>
    </row>
    <row r="379" spans="1:20" x14ac:dyDescent="0.25">
      <c r="A379" s="5">
        <v>44214</v>
      </c>
      <c r="B379">
        <v>2.2950000000000002E-2</v>
      </c>
      <c r="C379">
        <v>2.3900000000000001E-2</v>
      </c>
      <c r="D379">
        <v>2.2009999999999998E-2</v>
      </c>
      <c r="E379">
        <v>2.2859999999999998E-2</v>
      </c>
      <c r="F379">
        <v>27272171.199999999</v>
      </c>
      <c r="G379">
        <v>0</v>
      </c>
      <c r="L379" t="s">
        <v>8</v>
      </c>
      <c r="M379" t="s">
        <v>7</v>
      </c>
      <c r="N379" t="s">
        <v>8</v>
      </c>
      <c r="P379">
        <f t="shared" si="969"/>
        <v>-0.10052910052910179</v>
      </c>
      <c r="Q379">
        <f t="shared" si="970"/>
        <v>-2741646.8402116746</v>
      </c>
      <c r="R379">
        <f t="shared" si="971"/>
        <v>-852058712.79769981</v>
      </c>
      <c r="S379">
        <f t="shared" si="972"/>
        <v>-8520.5871279769981</v>
      </c>
      <c r="T379">
        <f t="shared" si="973"/>
        <v>-8.5205871279769987</v>
      </c>
    </row>
    <row r="380" spans="1:20" x14ac:dyDescent="0.25">
      <c r="A380" s="5">
        <v>44213</v>
      </c>
      <c r="B380">
        <v>2.2210000000000001E-2</v>
      </c>
      <c r="C380">
        <v>2.359E-2</v>
      </c>
      <c r="D380">
        <v>2.0990000000000002E-2</v>
      </c>
      <c r="E380">
        <v>2.2919999999999999E-2</v>
      </c>
      <c r="F380">
        <v>21921026.699999999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0.48461538461538389</v>
      </c>
      <c r="Q380">
        <f t="shared" si="970"/>
        <v>10623266.785384599</v>
      </c>
      <c r="R380">
        <f t="shared" si="971"/>
        <v>-849317065.95748818</v>
      </c>
      <c r="S380">
        <f t="shared" si="972"/>
        <v>-8493.1706595748819</v>
      </c>
      <c r="T380">
        <f t="shared" si="973"/>
        <v>-8.4931706595748828</v>
      </c>
    </row>
    <row r="381" spans="1:20" x14ac:dyDescent="0.25">
      <c r="A381" s="5">
        <v>44212</v>
      </c>
      <c r="B381">
        <v>2.2720000000000001E-2</v>
      </c>
      <c r="C381">
        <v>2.349E-2</v>
      </c>
      <c r="D381">
        <v>2.18E-2</v>
      </c>
      <c r="E381">
        <v>2.2210000000000001E-2</v>
      </c>
      <c r="F381">
        <v>22339594.699999999</v>
      </c>
      <c r="G381">
        <v>0</v>
      </c>
      <c r="L381" t="s">
        <v>7</v>
      </c>
      <c r="M381" t="s">
        <v>8</v>
      </c>
      <c r="N381" t="s">
        <v>8</v>
      </c>
      <c r="P381">
        <f t="shared" si="969"/>
        <v>-0.51479289940828343</v>
      </c>
      <c r="Q381">
        <f t="shared" si="970"/>
        <v>-11500264.727218922</v>
      </c>
      <c r="R381">
        <f t="shared" si="971"/>
        <v>-859940332.74287283</v>
      </c>
      <c r="S381">
        <f t="shared" si="972"/>
        <v>-8599.4033274287285</v>
      </c>
      <c r="T381">
        <f t="shared" si="973"/>
        <v>-8.5994033274287283</v>
      </c>
    </row>
    <row r="382" spans="1:20" x14ac:dyDescent="0.25">
      <c r="A382" s="5">
        <v>44211</v>
      </c>
      <c r="B382">
        <v>2.1149999999999999E-2</v>
      </c>
      <c r="C382">
        <v>2.504E-2</v>
      </c>
      <c r="D382">
        <v>1.8180000000000002E-2</v>
      </c>
      <c r="E382">
        <v>2.2700000000000001E-2</v>
      </c>
      <c r="F382">
        <v>53955646.100000001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0.31778425655976705</v>
      </c>
      <c r="Q382">
        <f t="shared" si="970"/>
        <v>17146254.883090395</v>
      </c>
      <c r="R382">
        <f t="shared" si="971"/>
        <v>-848440068.01565397</v>
      </c>
      <c r="S382">
        <f t="shared" si="972"/>
        <v>-8484.4006801565392</v>
      </c>
      <c r="T382">
        <f t="shared" si="973"/>
        <v>-8.4844006801565399</v>
      </c>
    </row>
    <row r="383" spans="1:20" x14ac:dyDescent="0.25">
      <c r="A383" s="5">
        <v>44210</v>
      </c>
      <c r="B383">
        <v>2.0549999999999999E-2</v>
      </c>
      <c r="C383">
        <v>2.1899999999999999E-2</v>
      </c>
      <c r="D383">
        <v>2.043E-2</v>
      </c>
      <c r="E383">
        <v>2.1139999999999999E-2</v>
      </c>
      <c r="F383">
        <v>25851994.800000001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-3.4013605442177866E-2</v>
      </c>
      <c r="Q383">
        <f t="shared" si="970"/>
        <v>-879319.55102043389</v>
      </c>
      <c r="R383">
        <f t="shared" si="971"/>
        <v>-865586322.89874434</v>
      </c>
      <c r="S383">
        <f t="shared" si="972"/>
        <v>-8655.863228987444</v>
      </c>
      <c r="T383">
        <f t="shared" si="973"/>
        <v>-8.6558632289874442</v>
      </c>
    </row>
    <row r="384" spans="1:20" x14ac:dyDescent="0.25">
      <c r="A384" s="5">
        <v>44209</v>
      </c>
      <c r="B384">
        <v>1.8079999999999999E-2</v>
      </c>
      <c r="C384">
        <v>2.0979999999999999E-2</v>
      </c>
      <c r="D384">
        <v>1.7590000000000001E-2</v>
      </c>
      <c r="E384">
        <v>2.0559999999999998E-2</v>
      </c>
      <c r="F384">
        <v>18014316.300000001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0.75221238938053059</v>
      </c>
      <c r="Q384">
        <f t="shared" si="970"/>
        <v>13550591.907079639</v>
      </c>
      <c r="R384">
        <f t="shared" si="971"/>
        <v>-864707003.34772396</v>
      </c>
      <c r="S384">
        <f t="shared" si="972"/>
        <v>-8647.0700334772391</v>
      </c>
      <c r="T384">
        <f t="shared" si="973"/>
        <v>-8.6470700334772399</v>
      </c>
    </row>
    <row r="385" spans="1:20" x14ac:dyDescent="0.25">
      <c r="A385" s="5">
        <v>44208</v>
      </c>
      <c r="B385">
        <v>1.8679999999999999E-2</v>
      </c>
      <c r="C385">
        <v>1.949E-2</v>
      </c>
      <c r="D385">
        <v>1.712E-2</v>
      </c>
      <c r="E385">
        <v>1.8089999999999998E-2</v>
      </c>
      <c r="F385">
        <v>13053167.9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-0.18143459915611948</v>
      </c>
      <c r="Q385">
        <f t="shared" si="970"/>
        <v>-2368296.2856540261</v>
      </c>
      <c r="R385">
        <f t="shared" si="971"/>
        <v>-878257595.25480366</v>
      </c>
      <c r="S385">
        <f t="shared" si="972"/>
        <v>-8782.5759525480371</v>
      </c>
      <c r="T385">
        <f t="shared" si="973"/>
        <v>-8.7825759525480365</v>
      </c>
    </row>
    <row r="386" spans="1:20" x14ac:dyDescent="0.25">
      <c r="A386" s="5">
        <v>44207</v>
      </c>
      <c r="B386">
        <v>2.1340000000000001E-2</v>
      </c>
      <c r="C386">
        <v>2.1409999999999998E-2</v>
      </c>
      <c r="D386">
        <v>1.6400000000000001E-2</v>
      </c>
      <c r="E386">
        <v>1.8710000000000001E-2</v>
      </c>
      <c r="F386">
        <v>20345557.899999999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-7.7844311377245151E-2</v>
      </c>
      <c r="Q386">
        <f t="shared" si="970"/>
        <v>-1583785.9443113699</v>
      </c>
      <c r="R386">
        <f t="shared" si="971"/>
        <v>-875889298.96914959</v>
      </c>
      <c r="S386">
        <f t="shared" si="972"/>
        <v>-8758.892989691496</v>
      </c>
      <c r="T386">
        <f t="shared" si="973"/>
        <v>-8.7588929896914962</v>
      </c>
    </row>
    <row r="387" spans="1:20" x14ac:dyDescent="0.25">
      <c r="A387" s="5">
        <v>44206</v>
      </c>
      <c r="B387">
        <v>2.3290000000000002E-2</v>
      </c>
      <c r="C387">
        <v>2.3779999999999999E-2</v>
      </c>
      <c r="D387">
        <v>2.0369999999999999E-2</v>
      </c>
      <c r="E387">
        <v>2.1329999999999998E-2</v>
      </c>
      <c r="F387">
        <v>28365839.199999999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-0.43695014662756654</v>
      </c>
      <c r="Q387">
        <f t="shared" si="970"/>
        <v>-12394457.597653974</v>
      </c>
      <c r="R387">
        <f t="shared" si="971"/>
        <v>-874305513.02483821</v>
      </c>
      <c r="S387">
        <f t="shared" si="972"/>
        <v>-8743.0551302483818</v>
      </c>
      <c r="T387">
        <f t="shared" si="973"/>
        <v>-8.743055130248381</v>
      </c>
    </row>
    <row r="388" spans="1:20" x14ac:dyDescent="0.25">
      <c r="A388" s="5">
        <v>44205</v>
      </c>
      <c r="B388">
        <v>2.231E-2</v>
      </c>
      <c r="C388">
        <v>2.588E-2</v>
      </c>
      <c r="D388">
        <v>2.1749999999999999E-2</v>
      </c>
      <c r="E388">
        <v>2.3279999999999999E-2</v>
      </c>
      <c r="F388">
        <v>24697077.300000001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-0.25907990314770002</v>
      </c>
      <c r="Q388">
        <f t="shared" si="970"/>
        <v>-6398516.3949152613</v>
      </c>
      <c r="R388">
        <f t="shared" si="971"/>
        <v>-861911055.42718422</v>
      </c>
      <c r="S388">
        <f t="shared" si="972"/>
        <v>-8619.1105542718415</v>
      </c>
      <c r="T388">
        <f t="shared" si="973"/>
        <v>-8.6191105542718418</v>
      </c>
    </row>
    <row r="389" spans="1:20" x14ac:dyDescent="0.25">
      <c r="A389" s="5">
        <v>44204</v>
      </c>
      <c r="B389">
        <v>2.5000000000000001E-2</v>
      </c>
      <c r="C389">
        <v>2.596E-2</v>
      </c>
      <c r="D389">
        <v>2.087E-2</v>
      </c>
      <c r="E389">
        <v>2.2290000000000001E-2</v>
      </c>
      <c r="F389">
        <v>31738356.300000001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-0.44204322200392893</v>
      </c>
      <c r="Q389">
        <f t="shared" si="970"/>
        <v>-14029725.279960698</v>
      </c>
      <c r="R389">
        <f t="shared" si="971"/>
        <v>-855512539.032269</v>
      </c>
      <c r="S389">
        <f t="shared" si="972"/>
        <v>-8555.1253903226898</v>
      </c>
      <c r="T389">
        <f t="shared" si="973"/>
        <v>-8.55512539032269</v>
      </c>
    </row>
    <row r="390" spans="1:20" x14ac:dyDescent="0.25">
      <c r="A390" s="5">
        <v>44203</v>
      </c>
      <c r="B390">
        <v>2.6589999999999999E-2</v>
      </c>
      <c r="C390">
        <v>2.8479999999999998E-2</v>
      </c>
      <c r="D390">
        <v>2.4279999999999999E-2</v>
      </c>
      <c r="E390">
        <v>2.5000000000000001E-2</v>
      </c>
      <c r="F390">
        <v>18721112.199999999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-0.65714285714285614</v>
      </c>
      <c r="Q390">
        <f t="shared" ref="Q390:Q453" si="975">F390*P390</f>
        <v>-12302445.159999982</v>
      </c>
      <c r="R390">
        <f t="shared" ref="R390:R453" si="976">R391+Q390</f>
        <v>-841482813.75230825</v>
      </c>
      <c r="S390">
        <f t="shared" ref="S390:S453" si="977">R390/100000</f>
        <v>-8414.8281375230818</v>
      </c>
      <c r="T390">
        <f t="shared" ref="T390:T453" si="978">S390/1000</f>
        <v>-8.4148281375230809</v>
      </c>
    </row>
    <row r="391" spans="1:20" x14ac:dyDescent="0.25">
      <c r="A391" s="5">
        <v>44202</v>
      </c>
      <c r="B391">
        <v>2.3380000000000001E-2</v>
      </c>
      <c r="C391">
        <v>2.691E-2</v>
      </c>
      <c r="D391">
        <v>2.3060000000000001E-2</v>
      </c>
      <c r="E391">
        <v>2.6579999999999999E-2</v>
      </c>
      <c r="F391">
        <v>8254089.5999999996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0.82857142857142829</v>
      </c>
      <c r="Q391">
        <f t="shared" si="975"/>
        <v>6839102.8114285693</v>
      </c>
      <c r="R391">
        <f t="shared" si="976"/>
        <v>-829180368.59230828</v>
      </c>
      <c r="S391">
        <f t="shared" si="977"/>
        <v>-8291.8036859230833</v>
      </c>
      <c r="T391">
        <f t="shared" si="978"/>
        <v>-8.2918036859230835</v>
      </c>
    </row>
    <row r="392" spans="1:20" x14ac:dyDescent="0.25">
      <c r="A392" s="5">
        <v>44201</v>
      </c>
      <c r="B392">
        <v>2.3310000000000001E-2</v>
      </c>
      <c r="C392">
        <v>2.4539999999999999E-2</v>
      </c>
      <c r="D392">
        <v>2.2780000000000002E-2</v>
      </c>
      <c r="E392">
        <v>2.3539999999999998E-2</v>
      </c>
      <c r="F392">
        <v>11925821.800000001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-0.13636363636363888</v>
      </c>
      <c r="Q392">
        <f t="shared" si="975"/>
        <v>-1626248.4272727573</v>
      </c>
      <c r="R392">
        <f t="shared" si="976"/>
        <v>-836019471.40373683</v>
      </c>
      <c r="S392">
        <f t="shared" si="977"/>
        <v>-8360.1947140373686</v>
      </c>
      <c r="T392">
        <f t="shared" si="978"/>
        <v>-8.3601947140373678</v>
      </c>
    </row>
    <row r="393" spans="1:20" x14ac:dyDescent="0.25">
      <c r="A393" s="5">
        <v>44200</v>
      </c>
      <c r="B393">
        <v>2.3599999999999999E-2</v>
      </c>
      <c r="C393">
        <v>2.5700000000000001E-2</v>
      </c>
      <c r="D393">
        <v>2.0209999999999999E-2</v>
      </c>
      <c r="E393">
        <v>2.3290000000000002E-2</v>
      </c>
      <c r="F393">
        <v>16045387.9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0.12204007285974566</v>
      </c>
      <c r="Q393">
        <f t="shared" si="975"/>
        <v>1958180.3083788815</v>
      </c>
      <c r="R393">
        <f t="shared" si="976"/>
        <v>-834393222.97646403</v>
      </c>
      <c r="S393">
        <f t="shared" si="977"/>
        <v>-8343.9322297646395</v>
      </c>
      <c r="T393">
        <f t="shared" si="978"/>
        <v>-8.3439322297646399</v>
      </c>
    </row>
    <row r="394" spans="1:20" x14ac:dyDescent="0.25">
      <c r="A394" s="5">
        <v>44199</v>
      </c>
      <c r="B394">
        <v>2.3179999999999999E-2</v>
      </c>
      <c r="C394">
        <v>2.5600000000000001E-2</v>
      </c>
      <c r="D394">
        <v>2.1999999999999999E-2</v>
      </c>
      <c r="E394">
        <v>2.3789999999999999E-2</v>
      </c>
      <c r="F394">
        <v>12459227.699999999</v>
      </c>
      <c r="G394">
        <v>0</v>
      </c>
      <c r="L394" t="s">
        <v>7</v>
      </c>
      <c r="M394" t="s">
        <v>8</v>
      </c>
      <c r="N394" t="s">
        <v>7</v>
      </c>
      <c r="P394">
        <f t="shared" si="974"/>
        <v>-5.5555555555562887E-3</v>
      </c>
      <c r="Q394">
        <f t="shared" si="975"/>
        <v>-69217.931666675795</v>
      </c>
      <c r="R394">
        <f t="shared" si="976"/>
        <v>-836351403.28484297</v>
      </c>
      <c r="S394">
        <f t="shared" si="977"/>
        <v>-8363.5140328484304</v>
      </c>
      <c r="T394">
        <f t="shared" si="978"/>
        <v>-8.3635140328484301</v>
      </c>
    </row>
    <row r="395" spans="1:20" x14ac:dyDescent="0.25">
      <c r="A395" s="5">
        <v>44198</v>
      </c>
      <c r="B395">
        <v>2.2020000000000001E-2</v>
      </c>
      <c r="C395">
        <v>2.5499999999999998E-2</v>
      </c>
      <c r="D395">
        <v>2.128E-2</v>
      </c>
      <c r="E395">
        <v>2.3199999999999998E-2</v>
      </c>
      <c r="F395">
        <v>16224295.800000001</v>
      </c>
      <c r="G395">
        <v>0</v>
      </c>
      <c r="L395" t="s">
        <v>8</v>
      </c>
      <c r="M395" t="s">
        <v>8</v>
      </c>
      <c r="N395" t="s">
        <v>7</v>
      </c>
      <c r="P395">
        <f t="shared" si="974"/>
        <v>-9.0047393364929396E-2</v>
      </c>
      <c r="Q395">
        <f t="shared" si="975"/>
        <v>-1460955.5459715719</v>
      </c>
      <c r="R395">
        <f t="shared" si="976"/>
        <v>-836282185.35317624</v>
      </c>
      <c r="S395">
        <f t="shared" si="977"/>
        <v>-8362.8218535317628</v>
      </c>
      <c r="T395">
        <f t="shared" si="978"/>
        <v>-8.3628218535317629</v>
      </c>
    </row>
    <row r="396" spans="1:20" x14ac:dyDescent="0.25">
      <c r="A396" s="5">
        <v>44197</v>
      </c>
      <c r="B396">
        <v>2.2970000000000001E-2</v>
      </c>
      <c r="C396">
        <v>2.3400000000000001E-2</v>
      </c>
      <c r="D396">
        <v>2.1059999999999999E-2</v>
      </c>
      <c r="E396">
        <v>2.2020000000000001E-2</v>
      </c>
      <c r="F396">
        <v>6403525.7000000002</v>
      </c>
      <c r="G396">
        <v>0</v>
      </c>
      <c r="L396" t="s">
        <v>7</v>
      </c>
      <c r="M396" t="s">
        <v>8</v>
      </c>
      <c r="N396" t="s">
        <v>7</v>
      </c>
      <c r="P396">
        <f t="shared" si="974"/>
        <v>-0.17948717948717796</v>
      </c>
      <c r="Q396">
        <f t="shared" si="975"/>
        <v>-1149350.7666666568</v>
      </c>
      <c r="R396">
        <f t="shared" si="976"/>
        <v>-834821229.80720472</v>
      </c>
      <c r="S396">
        <f t="shared" si="977"/>
        <v>-8348.2122980720469</v>
      </c>
      <c r="T396">
        <f t="shared" si="978"/>
        <v>-8.3482122980720472</v>
      </c>
    </row>
    <row r="397" spans="1:20" x14ac:dyDescent="0.25">
      <c r="A397" s="5">
        <v>44196</v>
      </c>
      <c r="B397">
        <v>2.0039999999999999E-2</v>
      </c>
      <c r="C397">
        <v>2.3300000000000001E-2</v>
      </c>
      <c r="D397">
        <v>1.95E-2</v>
      </c>
      <c r="E397">
        <v>2.2970000000000001E-2</v>
      </c>
      <c r="F397">
        <v>25536907.5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0.826315789473684</v>
      </c>
      <c r="Q397">
        <f t="shared" si="975"/>
        <v>21101549.881578941</v>
      </c>
      <c r="R397">
        <f t="shared" si="976"/>
        <v>-833671879.04053807</v>
      </c>
      <c r="S397">
        <f t="shared" si="977"/>
        <v>-8336.7187904053808</v>
      </c>
      <c r="T397">
        <f t="shared" si="978"/>
        <v>-8.3367187904053814</v>
      </c>
    </row>
    <row r="398" spans="1:20" x14ac:dyDescent="0.25">
      <c r="A398" s="5">
        <v>44195</v>
      </c>
      <c r="B398">
        <v>2.1600000000000001E-2</v>
      </c>
      <c r="C398">
        <v>2.198E-2</v>
      </c>
      <c r="D398">
        <v>1.9599999999999999E-2</v>
      </c>
      <c r="E398">
        <v>2.0039999999999999E-2</v>
      </c>
      <c r="F398">
        <v>9388578.8000000007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-0.63025210084033667</v>
      </c>
      <c r="Q398">
        <f t="shared" si="975"/>
        <v>-5917171.5126050478</v>
      </c>
      <c r="R398">
        <f t="shared" si="976"/>
        <v>-854773428.92211699</v>
      </c>
      <c r="S398">
        <f t="shared" si="977"/>
        <v>-8547.7342892211691</v>
      </c>
      <c r="T398">
        <f t="shared" si="978"/>
        <v>-8.5477342892211698</v>
      </c>
    </row>
    <row r="399" spans="1:20" x14ac:dyDescent="0.25">
      <c r="A399" s="5">
        <v>44194</v>
      </c>
      <c r="B399">
        <v>2.3879999999999998E-2</v>
      </c>
      <c r="C399">
        <v>2.7E-2</v>
      </c>
      <c r="D399">
        <v>2.087E-2</v>
      </c>
      <c r="E399">
        <v>2.1700000000000001E-2</v>
      </c>
      <c r="F399">
        <v>29004828.199999999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-0.72920065252854782</v>
      </c>
      <c r="Q399">
        <f t="shared" si="975"/>
        <v>-21150339.649918426</v>
      </c>
      <c r="R399">
        <f t="shared" si="976"/>
        <v>-848856257.40951192</v>
      </c>
      <c r="S399">
        <f t="shared" si="977"/>
        <v>-8488.56257409512</v>
      </c>
      <c r="T399">
        <f t="shared" si="978"/>
        <v>-8.4885625740951198</v>
      </c>
    </row>
    <row r="400" spans="1:20" x14ac:dyDescent="0.25">
      <c r="A400" s="5">
        <v>44193</v>
      </c>
      <c r="B400">
        <v>2.4160000000000001E-2</v>
      </c>
      <c r="C400">
        <v>2.495E-2</v>
      </c>
      <c r="D400">
        <v>2.3449999999999999E-2</v>
      </c>
      <c r="E400">
        <v>2.3879999999999998E-2</v>
      </c>
      <c r="F400">
        <v>9890039.9000000004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-0.42666666666666742</v>
      </c>
      <c r="Q400">
        <f t="shared" si="975"/>
        <v>-4219750.3573333407</v>
      </c>
      <c r="R400">
        <f t="shared" si="976"/>
        <v>-827705917.75959349</v>
      </c>
      <c r="S400">
        <f t="shared" si="977"/>
        <v>-8277.0591775959347</v>
      </c>
      <c r="T400">
        <f t="shared" si="978"/>
        <v>-8.2770591775959339</v>
      </c>
    </row>
    <row r="401" spans="1:20" x14ac:dyDescent="0.25">
      <c r="A401" s="5">
        <v>44192</v>
      </c>
      <c r="B401">
        <v>2.47E-2</v>
      </c>
      <c r="C401">
        <v>2.7640000000000001E-2</v>
      </c>
      <c r="D401">
        <v>2.2450000000000001E-2</v>
      </c>
      <c r="E401">
        <v>2.401E-2</v>
      </c>
      <c r="F401">
        <v>32683087.100000001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-0.39884393063583862</v>
      </c>
      <c r="Q401">
        <f t="shared" si="975"/>
        <v>-13035450.924277473</v>
      </c>
      <c r="R401">
        <f t="shared" si="976"/>
        <v>-823486167.40226018</v>
      </c>
      <c r="S401">
        <f t="shared" si="977"/>
        <v>-8234.8616740226025</v>
      </c>
      <c r="T401">
        <f t="shared" si="978"/>
        <v>-8.2348616740226017</v>
      </c>
    </row>
    <row r="402" spans="1:20" x14ac:dyDescent="0.25">
      <c r="A402" s="5">
        <v>44191</v>
      </c>
      <c r="B402">
        <v>2.41E-2</v>
      </c>
      <c r="C402">
        <v>2.5649999999999999E-2</v>
      </c>
      <c r="D402">
        <v>2.3769999999999999E-2</v>
      </c>
      <c r="E402">
        <v>2.4670000000000001E-2</v>
      </c>
      <c r="F402">
        <v>16415130.9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-4.2553191489359973E-2</v>
      </c>
      <c r="Q402">
        <f t="shared" si="975"/>
        <v>-698516.20851060993</v>
      </c>
      <c r="R402">
        <f t="shared" si="976"/>
        <v>-810450716.47798276</v>
      </c>
      <c r="S402">
        <f t="shared" si="977"/>
        <v>-8104.5071647798277</v>
      </c>
      <c r="T402">
        <f t="shared" si="978"/>
        <v>-8.104507164779827</v>
      </c>
    </row>
    <row r="403" spans="1:20" x14ac:dyDescent="0.25">
      <c r="A403" s="5">
        <v>44190</v>
      </c>
      <c r="B403">
        <v>2.2440000000000002E-2</v>
      </c>
      <c r="C403">
        <v>2.469E-2</v>
      </c>
      <c r="D403">
        <v>2.1850000000000001E-2</v>
      </c>
      <c r="E403">
        <v>2.4E-2</v>
      </c>
      <c r="F403">
        <v>6851078.5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0.51408450704225361</v>
      </c>
      <c r="Q403">
        <f t="shared" si="975"/>
        <v>3522033.3133802824</v>
      </c>
      <c r="R403">
        <f t="shared" si="976"/>
        <v>-809752200.26947212</v>
      </c>
      <c r="S403">
        <f t="shared" si="977"/>
        <v>-8097.5220026947209</v>
      </c>
      <c r="T403">
        <f t="shared" si="978"/>
        <v>-8.0975220026947206</v>
      </c>
    </row>
    <row r="404" spans="1:20" x14ac:dyDescent="0.25">
      <c r="A404" s="5">
        <v>44189</v>
      </c>
      <c r="B404">
        <v>2.1989999999999999E-2</v>
      </c>
      <c r="C404">
        <v>2.427E-2</v>
      </c>
      <c r="D404">
        <v>2.0490000000000001E-2</v>
      </c>
      <c r="E404">
        <v>2.223E-2</v>
      </c>
      <c r="F404">
        <v>5679482.5999999996</v>
      </c>
      <c r="G404">
        <v>0</v>
      </c>
      <c r="L404" t="s">
        <v>7</v>
      </c>
      <c r="M404" t="s">
        <v>8</v>
      </c>
      <c r="N404" t="s">
        <v>8</v>
      </c>
      <c r="P404">
        <f t="shared" si="974"/>
        <v>-7.9365079365079833E-2</v>
      </c>
      <c r="Q404">
        <f t="shared" si="975"/>
        <v>-450752.5873015899</v>
      </c>
      <c r="R404">
        <f t="shared" si="976"/>
        <v>-813274233.58285236</v>
      </c>
      <c r="S404">
        <f t="shared" si="977"/>
        <v>-8132.7423358285232</v>
      </c>
      <c r="T404">
        <f t="shared" si="978"/>
        <v>-8.1327423358285227</v>
      </c>
    </row>
    <row r="405" spans="1:20" x14ac:dyDescent="0.25">
      <c r="A405" s="5">
        <v>44188</v>
      </c>
      <c r="B405">
        <v>2.3210000000000001E-2</v>
      </c>
      <c r="C405">
        <v>2.445E-2</v>
      </c>
      <c r="D405">
        <v>2.0310000000000002E-2</v>
      </c>
      <c r="E405">
        <v>2.1989999999999999E-2</v>
      </c>
      <c r="F405">
        <v>17019714.800000001</v>
      </c>
      <c r="G405">
        <v>0</v>
      </c>
      <c r="L405" t="s">
        <v>8</v>
      </c>
      <c r="M405" t="s">
        <v>8</v>
      </c>
      <c r="N405" t="s">
        <v>8</v>
      </c>
      <c r="P405">
        <f t="shared" si="974"/>
        <v>-0.18840579710145008</v>
      </c>
      <c r="Q405">
        <f t="shared" si="975"/>
        <v>-3206612.9333333471</v>
      </c>
      <c r="R405">
        <f t="shared" si="976"/>
        <v>-812823480.99555075</v>
      </c>
      <c r="S405">
        <f t="shared" si="977"/>
        <v>-8128.2348099555074</v>
      </c>
      <c r="T405">
        <f t="shared" si="978"/>
        <v>-8.128234809955508</v>
      </c>
    </row>
    <row r="406" spans="1:20" x14ac:dyDescent="0.25">
      <c r="A406" s="5">
        <v>44187</v>
      </c>
      <c r="B406">
        <v>2.1499999999999998E-2</v>
      </c>
      <c r="C406">
        <v>2.3470000000000001E-2</v>
      </c>
      <c r="D406">
        <v>1.857E-2</v>
      </c>
      <c r="E406">
        <v>2.3470000000000001E-2</v>
      </c>
      <c r="F406">
        <v>8690522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1</v>
      </c>
      <c r="Q406">
        <f t="shared" si="975"/>
        <v>8690522</v>
      </c>
      <c r="R406">
        <f t="shared" si="976"/>
        <v>-809616868.06221735</v>
      </c>
      <c r="S406">
        <f t="shared" si="977"/>
        <v>-8096.1686806221733</v>
      </c>
      <c r="T406">
        <f t="shared" si="978"/>
        <v>-8.0961686806221724</v>
      </c>
    </row>
    <row r="407" spans="1:20" x14ac:dyDescent="0.25">
      <c r="A407" s="5">
        <v>44186</v>
      </c>
      <c r="B407">
        <v>2.2950000000000002E-2</v>
      </c>
      <c r="C407">
        <v>2.3470000000000001E-2</v>
      </c>
      <c r="D407">
        <v>1.9859999999999999E-2</v>
      </c>
      <c r="E407">
        <v>2.1559999999999999E-2</v>
      </c>
      <c r="F407">
        <v>8575896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-5.8171745152355049E-2</v>
      </c>
      <c r="Q407">
        <f t="shared" si="975"/>
        <v>-498874.83656510105</v>
      </c>
      <c r="R407">
        <f t="shared" si="976"/>
        <v>-818307390.06221735</v>
      </c>
      <c r="S407">
        <f t="shared" si="977"/>
        <v>-8183.0739006221738</v>
      </c>
      <c r="T407">
        <f t="shared" si="978"/>
        <v>-8.1830739006221744</v>
      </c>
    </row>
    <row r="408" spans="1:20" x14ac:dyDescent="0.25">
      <c r="A408" s="5">
        <v>44185</v>
      </c>
      <c r="B408">
        <v>2.2540000000000001E-2</v>
      </c>
      <c r="C408">
        <v>2.5000000000000001E-2</v>
      </c>
      <c r="D408">
        <v>2.2100000000000002E-2</v>
      </c>
      <c r="E408">
        <v>2.2950000000000002E-2</v>
      </c>
      <c r="F408">
        <v>14879173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-0.4137931034482758</v>
      </c>
      <c r="Q408">
        <f t="shared" si="975"/>
        <v>-6156899.1724137925</v>
      </c>
      <c r="R408">
        <f t="shared" si="976"/>
        <v>-817808515.22565222</v>
      </c>
      <c r="S408">
        <f t="shared" si="977"/>
        <v>-8178.0851522565226</v>
      </c>
      <c r="T408">
        <f t="shared" si="978"/>
        <v>-8.1780851522565232</v>
      </c>
    </row>
    <row r="409" spans="1:20" x14ac:dyDescent="0.25">
      <c r="A409" s="5">
        <v>44184</v>
      </c>
      <c r="B409">
        <v>2.2339999999999999E-2</v>
      </c>
      <c r="C409">
        <v>2.3140000000000001E-2</v>
      </c>
      <c r="D409">
        <v>2.2079999999999999E-2</v>
      </c>
      <c r="E409">
        <v>2.2550000000000001E-2</v>
      </c>
      <c r="F409">
        <v>4139194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-0.11320754716980978</v>
      </c>
      <c r="Q409">
        <f t="shared" si="975"/>
        <v>-468587.99999999366</v>
      </c>
      <c r="R409">
        <f t="shared" si="976"/>
        <v>-811651616.05323839</v>
      </c>
      <c r="S409">
        <f t="shared" si="977"/>
        <v>-8116.5161605323838</v>
      </c>
      <c r="T409">
        <f t="shared" si="978"/>
        <v>-8.1165161605323846</v>
      </c>
    </row>
    <row r="410" spans="1:20" x14ac:dyDescent="0.25">
      <c r="A410" s="5">
        <v>44183</v>
      </c>
      <c r="B410">
        <v>2.1690000000000001E-2</v>
      </c>
      <c r="C410">
        <v>2.35E-2</v>
      </c>
      <c r="D410">
        <v>2.1309999999999999E-2</v>
      </c>
      <c r="E410">
        <v>2.2190000000000001E-2</v>
      </c>
      <c r="F410">
        <v>7432523.9000000004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-0.19634703196346856</v>
      </c>
      <c r="Q410">
        <f t="shared" si="975"/>
        <v>-1459354.0077625441</v>
      </c>
      <c r="R410">
        <f t="shared" si="976"/>
        <v>-811183028.05323839</v>
      </c>
      <c r="S410">
        <f t="shared" si="977"/>
        <v>-8111.8302805323838</v>
      </c>
      <c r="T410">
        <f t="shared" si="978"/>
        <v>-8.1118302805323843</v>
      </c>
    </row>
    <row r="411" spans="1:20" x14ac:dyDescent="0.25">
      <c r="A411" s="5">
        <v>44182</v>
      </c>
      <c r="B411">
        <v>2.334E-2</v>
      </c>
      <c r="C411">
        <v>2.4420000000000001E-2</v>
      </c>
      <c r="D411">
        <v>2.1440000000000001E-2</v>
      </c>
      <c r="E411">
        <v>2.1700000000000001E-2</v>
      </c>
      <c r="F411">
        <v>23535240.899999999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-0.82550335570469813</v>
      </c>
      <c r="Q411">
        <f t="shared" si="975"/>
        <v>-19428420.340268459</v>
      </c>
      <c r="R411">
        <f t="shared" si="976"/>
        <v>-809723674.04547584</v>
      </c>
      <c r="S411">
        <f t="shared" si="977"/>
        <v>-8097.2367404547585</v>
      </c>
      <c r="T411">
        <f t="shared" si="978"/>
        <v>-8.0972367404547594</v>
      </c>
    </row>
    <row r="412" spans="1:20" x14ac:dyDescent="0.25">
      <c r="A412" s="5">
        <v>44181</v>
      </c>
      <c r="B412">
        <v>2.1659999999999999E-2</v>
      </c>
      <c r="C412">
        <v>2.3630000000000002E-2</v>
      </c>
      <c r="D412">
        <v>2.121E-2</v>
      </c>
      <c r="E412">
        <v>2.3109999999999999E-2</v>
      </c>
      <c r="F412">
        <v>6672960.5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0.57024793388429529</v>
      </c>
      <c r="Q412">
        <f t="shared" si="975"/>
        <v>3805241.9380165138</v>
      </c>
      <c r="R412">
        <f t="shared" si="976"/>
        <v>-790295253.70520735</v>
      </c>
      <c r="S412">
        <f t="shared" si="977"/>
        <v>-7902.9525370520732</v>
      </c>
      <c r="T412">
        <f t="shared" si="978"/>
        <v>-7.902952537052073</v>
      </c>
    </row>
    <row r="413" spans="1:20" x14ac:dyDescent="0.25">
      <c r="A413" s="5">
        <v>44180</v>
      </c>
      <c r="B413">
        <v>1.9709999999999998E-2</v>
      </c>
      <c r="C413">
        <v>2.1700000000000001E-2</v>
      </c>
      <c r="D413">
        <v>1.95E-2</v>
      </c>
      <c r="E413">
        <v>2.1669999999999998E-2</v>
      </c>
      <c r="F413">
        <v>32839476.800000001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0.97272727272727066</v>
      </c>
      <c r="Q413">
        <f t="shared" si="975"/>
        <v>31943854.70545448</v>
      </c>
      <c r="R413">
        <f t="shared" si="976"/>
        <v>-794100495.64322388</v>
      </c>
      <c r="S413">
        <f t="shared" si="977"/>
        <v>-7941.0049564322389</v>
      </c>
      <c r="T413">
        <f t="shared" si="978"/>
        <v>-7.9410049564322387</v>
      </c>
    </row>
    <row r="414" spans="1:20" x14ac:dyDescent="0.25">
      <c r="A414" s="5">
        <v>44179</v>
      </c>
      <c r="B414">
        <v>2.0889999999999999E-2</v>
      </c>
      <c r="C414">
        <v>2.1420000000000002E-2</v>
      </c>
      <c r="D414">
        <v>1.917E-2</v>
      </c>
      <c r="E414">
        <v>1.9699999999999999E-2</v>
      </c>
      <c r="F414">
        <v>66514190.100000001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-0.52888888888888996</v>
      </c>
      <c r="Q414">
        <f t="shared" si="975"/>
        <v>-35178616.097333409</v>
      </c>
      <c r="R414">
        <f t="shared" si="976"/>
        <v>-826044350.34867835</v>
      </c>
      <c r="S414">
        <f t="shared" si="977"/>
        <v>-8260.4435034867838</v>
      </c>
      <c r="T414">
        <f t="shared" si="978"/>
        <v>-8.2604435034867834</v>
      </c>
    </row>
    <row r="415" spans="1:20" x14ac:dyDescent="0.25">
      <c r="A415" s="5">
        <v>44178</v>
      </c>
      <c r="B415">
        <v>2.0500000000000001E-2</v>
      </c>
      <c r="C415">
        <v>2.1940000000000001E-2</v>
      </c>
      <c r="D415">
        <v>2.026E-2</v>
      </c>
      <c r="E415">
        <v>2.102E-2</v>
      </c>
      <c r="F415">
        <v>4438898.8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-9.5238095238095441E-2</v>
      </c>
      <c r="Q415">
        <f t="shared" si="975"/>
        <v>-422752.26666666754</v>
      </c>
      <c r="R415">
        <f t="shared" si="976"/>
        <v>-790865734.25134492</v>
      </c>
      <c r="S415">
        <f t="shared" si="977"/>
        <v>-7908.6573425134493</v>
      </c>
      <c r="T415">
        <f t="shared" si="978"/>
        <v>-7.9086573425134494</v>
      </c>
    </row>
    <row r="416" spans="1:20" x14ac:dyDescent="0.25">
      <c r="A416" s="5">
        <v>44177</v>
      </c>
      <c r="B416">
        <v>1.9E-2</v>
      </c>
      <c r="C416">
        <v>2.1260000000000001E-2</v>
      </c>
      <c r="D416">
        <v>1.9E-2</v>
      </c>
      <c r="E416">
        <v>2.0500000000000001E-2</v>
      </c>
      <c r="F416">
        <v>10862898.1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0.3274336283185843</v>
      </c>
      <c r="Q416">
        <f t="shared" si="975"/>
        <v>3556878.1389380554</v>
      </c>
      <c r="R416">
        <f t="shared" si="976"/>
        <v>-790442981.98467827</v>
      </c>
      <c r="S416">
        <f t="shared" si="977"/>
        <v>-7904.4298198467823</v>
      </c>
      <c r="T416">
        <f t="shared" si="978"/>
        <v>-7.9044298198467819</v>
      </c>
    </row>
    <row r="417" spans="1:20" x14ac:dyDescent="0.25">
      <c r="A417" s="5">
        <v>44176</v>
      </c>
      <c r="B417">
        <v>1.9699999999999999E-2</v>
      </c>
      <c r="C417">
        <v>2.0480000000000002E-2</v>
      </c>
      <c r="D417">
        <v>1.8550000000000001E-2</v>
      </c>
      <c r="E417">
        <v>1.9199999999999998E-2</v>
      </c>
      <c r="F417">
        <v>5722097.7000000002</v>
      </c>
      <c r="G417">
        <v>0</v>
      </c>
      <c r="L417" t="s">
        <v>8</v>
      </c>
      <c r="M417" t="s">
        <v>7</v>
      </c>
      <c r="N417" t="s">
        <v>8</v>
      </c>
      <c r="P417">
        <f t="shared" si="974"/>
        <v>-0.3264248704663239</v>
      </c>
      <c r="Q417">
        <f t="shared" si="975"/>
        <v>-1867835.0005181499</v>
      </c>
      <c r="R417">
        <f t="shared" si="976"/>
        <v>-793999860.12361634</v>
      </c>
      <c r="S417">
        <f t="shared" si="977"/>
        <v>-7939.9986012361633</v>
      </c>
      <c r="T417">
        <f t="shared" si="978"/>
        <v>-7.9399986012361632</v>
      </c>
    </row>
    <row r="418" spans="1:20" x14ac:dyDescent="0.25">
      <c r="A418" s="5">
        <v>44175</v>
      </c>
      <c r="B418">
        <v>2.051E-2</v>
      </c>
      <c r="C418">
        <v>2.2259999999999999E-2</v>
      </c>
      <c r="D418">
        <v>1.8579999999999999E-2</v>
      </c>
      <c r="E418">
        <v>1.9650000000000001E-2</v>
      </c>
      <c r="F418">
        <v>16783588.199999999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-0.4184782608695643</v>
      </c>
      <c r="Q418">
        <f t="shared" si="975"/>
        <v>-7023566.8010869408</v>
      </c>
      <c r="R418">
        <f t="shared" si="976"/>
        <v>-792132025.12309813</v>
      </c>
      <c r="S418">
        <f t="shared" si="977"/>
        <v>-7921.3202512309817</v>
      </c>
      <c r="T418">
        <f t="shared" si="978"/>
        <v>-7.9213202512309815</v>
      </c>
    </row>
    <row r="419" spans="1:20" x14ac:dyDescent="0.25">
      <c r="A419" s="5">
        <v>44174</v>
      </c>
      <c r="B419">
        <v>2.0289999999999999E-2</v>
      </c>
      <c r="C419">
        <v>2.385E-2</v>
      </c>
      <c r="D419">
        <v>1.6899999999999998E-2</v>
      </c>
      <c r="E419">
        <v>2.0789999999999999E-2</v>
      </c>
      <c r="F419">
        <v>34145821.5</v>
      </c>
      <c r="G419">
        <v>0</v>
      </c>
      <c r="L419" t="s">
        <v>8</v>
      </c>
      <c r="M419" t="s">
        <v>8</v>
      </c>
      <c r="N419" t="s">
        <v>8</v>
      </c>
      <c r="P419">
        <f t="shared" si="974"/>
        <v>0.11942446043165478</v>
      </c>
      <c r="Q419">
        <f t="shared" si="975"/>
        <v>4077846.308633097</v>
      </c>
      <c r="R419">
        <f t="shared" si="976"/>
        <v>-785108458.32201123</v>
      </c>
      <c r="S419">
        <f t="shared" si="977"/>
        <v>-7851.0845832201121</v>
      </c>
      <c r="T419">
        <f t="shared" si="978"/>
        <v>-7.8510845832201124</v>
      </c>
    </row>
    <row r="420" spans="1:20" x14ac:dyDescent="0.25">
      <c r="A420" s="5">
        <v>44173</v>
      </c>
      <c r="B420">
        <v>1.8759999999999999E-2</v>
      </c>
      <c r="C420">
        <v>2.179E-2</v>
      </c>
      <c r="D420">
        <v>1.8550000000000001E-2</v>
      </c>
      <c r="E420">
        <v>2.0219999999999998E-2</v>
      </c>
      <c r="F420">
        <v>20868099.100000001</v>
      </c>
      <c r="G420">
        <v>0</v>
      </c>
      <c r="L420" t="s">
        <v>8</v>
      </c>
      <c r="M420" t="s">
        <v>8</v>
      </c>
      <c r="N420" t="s">
        <v>7</v>
      </c>
      <c r="P420">
        <f t="shared" si="974"/>
        <v>3.0864197530862943E-2</v>
      </c>
      <c r="Q420">
        <f t="shared" si="975"/>
        <v>644077.13271602325</v>
      </c>
      <c r="R420">
        <f t="shared" si="976"/>
        <v>-789186304.63064432</v>
      </c>
      <c r="S420">
        <f t="shared" si="977"/>
        <v>-7891.8630463064428</v>
      </c>
      <c r="T420">
        <f t="shared" si="978"/>
        <v>-7.891863046306443</v>
      </c>
    </row>
    <row r="421" spans="1:20" x14ac:dyDescent="0.25">
      <c r="A421" s="5">
        <v>44172</v>
      </c>
      <c r="B421">
        <v>1.8749999999999999E-2</v>
      </c>
      <c r="C421">
        <v>1.941E-2</v>
      </c>
      <c r="D421">
        <v>1.8169999999999999E-2</v>
      </c>
      <c r="E421">
        <v>1.8800000000000001E-2</v>
      </c>
      <c r="F421">
        <v>25829879.100000001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1.6129032258066636E-2</v>
      </c>
      <c r="Q421">
        <f t="shared" si="975"/>
        <v>416610.95322586125</v>
      </c>
      <c r="R421">
        <f t="shared" si="976"/>
        <v>-789830381.76336038</v>
      </c>
      <c r="S421">
        <f t="shared" si="977"/>
        <v>-7898.303817633604</v>
      </c>
      <c r="T421">
        <f t="shared" si="978"/>
        <v>-7.8983038176336038</v>
      </c>
    </row>
    <row r="422" spans="1:20" x14ac:dyDescent="0.25">
      <c r="A422" s="5">
        <v>44171</v>
      </c>
      <c r="B422">
        <v>1.7850000000000001E-2</v>
      </c>
      <c r="C422">
        <v>1.9109999999999999E-2</v>
      </c>
      <c r="D422">
        <v>1.7430000000000001E-2</v>
      </c>
      <c r="E422">
        <v>1.8749999999999999E-2</v>
      </c>
      <c r="F422">
        <v>35908217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0.57142857142857173</v>
      </c>
      <c r="Q422">
        <f t="shared" si="975"/>
        <v>20518981.142857153</v>
      </c>
      <c r="R422">
        <f t="shared" si="976"/>
        <v>-790246992.71658623</v>
      </c>
      <c r="S422">
        <f t="shared" si="977"/>
        <v>-7902.4699271658619</v>
      </c>
      <c r="T422">
        <f t="shared" si="978"/>
        <v>-7.9024699271658623</v>
      </c>
    </row>
    <row r="423" spans="1:20" x14ac:dyDescent="0.25">
      <c r="A423" s="5">
        <v>44170</v>
      </c>
      <c r="B423">
        <v>1.8350000000000002E-2</v>
      </c>
      <c r="C423">
        <v>1.9E-2</v>
      </c>
      <c r="D423">
        <v>1.5350000000000001E-2</v>
      </c>
      <c r="E423">
        <v>1.78E-2</v>
      </c>
      <c r="F423">
        <v>22792786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0.34246575342465746</v>
      </c>
      <c r="Q423">
        <f t="shared" si="975"/>
        <v>7805748.6301369844</v>
      </c>
      <c r="R423">
        <f t="shared" si="976"/>
        <v>-810765973.85944343</v>
      </c>
      <c r="S423">
        <f t="shared" si="977"/>
        <v>-8107.6597385944342</v>
      </c>
      <c r="T423">
        <f t="shared" si="978"/>
        <v>-8.1076597385944336</v>
      </c>
    </row>
    <row r="424" spans="1:20" x14ac:dyDescent="0.25">
      <c r="A424" s="5">
        <v>44169</v>
      </c>
      <c r="B424">
        <v>1.908E-2</v>
      </c>
      <c r="C424">
        <v>1.9779999999999999E-2</v>
      </c>
      <c r="D424">
        <v>1.823E-2</v>
      </c>
      <c r="E424">
        <v>1.8370000000000001E-2</v>
      </c>
      <c r="F424">
        <v>24356565.300000001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-0.81935483870967574</v>
      </c>
      <c r="Q424">
        <f t="shared" si="975"/>
        <v>-19956669.632903185</v>
      </c>
      <c r="R424">
        <f t="shared" si="976"/>
        <v>-818571722.48958039</v>
      </c>
      <c r="S424">
        <f t="shared" si="977"/>
        <v>-8185.7172248958041</v>
      </c>
      <c r="T424">
        <f t="shared" si="978"/>
        <v>-8.1857172248958037</v>
      </c>
    </row>
    <row r="425" spans="1:20" x14ac:dyDescent="0.25">
      <c r="A425" s="5">
        <v>44168</v>
      </c>
      <c r="B425">
        <v>1.7940000000000001E-2</v>
      </c>
      <c r="C425">
        <v>1.949E-2</v>
      </c>
      <c r="D425">
        <v>1.7610000000000001E-2</v>
      </c>
      <c r="E425">
        <v>1.9060000000000001E-2</v>
      </c>
      <c r="F425">
        <v>25575629.399999999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0.54255319148936187</v>
      </c>
      <c r="Q425">
        <f t="shared" si="975"/>
        <v>13876139.355319152</v>
      </c>
      <c r="R425">
        <f t="shared" si="976"/>
        <v>-798615052.85667717</v>
      </c>
      <c r="S425">
        <f t="shared" si="977"/>
        <v>-7986.1505285667718</v>
      </c>
      <c r="T425">
        <f t="shared" si="978"/>
        <v>-7.986150528566772</v>
      </c>
    </row>
    <row r="426" spans="1:20" x14ac:dyDescent="0.25">
      <c r="A426" s="5">
        <v>44167</v>
      </c>
      <c r="B426">
        <v>1.6310000000000002E-2</v>
      </c>
      <c r="C426">
        <v>1.8460000000000001E-2</v>
      </c>
      <c r="D426">
        <v>1.6240000000000001E-2</v>
      </c>
      <c r="E426">
        <v>1.7940000000000001E-2</v>
      </c>
      <c r="F426">
        <v>7925547.5999999996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0.53153153153153176</v>
      </c>
      <c r="Q426">
        <f t="shared" si="975"/>
        <v>4212678.4540540557</v>
      </c>
      <c r="R426">
        <f t="shared" si="976"/>
        <v>-812491192.21199632</v>
      </c>
      <c r="S426">
        <f t="shared" si="977"/>
        <v>-8124.9119221199635</v>
      </c>
      <c r="T426">
        <f t="shared" si="978"/>
        <v>-8.1249119221199635</v>
      </c>
    </row>
    <row r="427" spans="1:20" x14ac:dyDescent="0.25">
      <c r="A427" s="5">
        <v>44166</v>
      </c>
      <c r="B427">
        <v>1.7139999999999999E-2</v>
      </c>
      <c r="C427">
        <v>1.77E-2</v>
      </c>
      <c r="D427">
        <v>1.5730000000000001E-2</v>
      </c>
      <c r="E427">
        <v>1.6299999999999999E-2</v>
      </c>
      <c r="F427">
        <v>6187473.2000000002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-0.42131979695431704</v>
      </c>
      <c r="Q427">
        <f t="shared" si="975"/>
        <v>-2606904.9522842783</v>
      </c>
      <c r="R427">
        <f t="shared" si="976"/>
        <v>-816703870.66605031</v>
      </c>
      <c r="S427">
        <f t="shared" si="977"/>
        <v>-8167.0387066605035</v>
      </c>
      <c r="T427">
        <f t="shared" si="978"/>
        <v>-8.1670387066605041</v>
      </c>
    </row>
    <row r="428" spans="1:20" x14ac:dyDescent="0.25">
      <c r="A428" s="5">
        <v>44165</v>
      </c>
      <c r="B428">
        <v>1.7000000000000001E-2</v>
      </c>
      <c r="C428">
        <v>1.7899999999999999E-2</v>
      </c>
      <c r="D428">
        <v>1.6580000000000001E-2</v>
      </c>
      <c r="E428">
        <v>1.7149999999999999E-2</v>
      </c>
      <c r="F428">
        <v>2307549.7000000002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-0.13636363636363888</v>
      </c>
      <c r="Q428">
        <f t="shared" si="975"/>
        <v>-314665.86818182399</v>
      </c>
      <c r="R428">
        <f t="shared" si="976"/>
        <v>-814096965.71376598</v>
      </c>
      <c r="S428">
        <f t="shared" si="977"/>
        <v>-8140.9696571376599</v>
      </c>
      <c r="T428">
        <f t="shared" si="978"/>
        <v>-8.14096965713766</v>
      </c>
    </row>
    <row r="429" spans="1:20" x14ac:dyDescent="0.25">
      <c r="A429" s="5">
        <v>44164</v>
      </c>
      <c r="B429">
        <v>1.6990000000000002E-2</v>
      </c>
      <c r="C429">
        <v>1.84E-2</v>
      </c>
      <c r="D429">
        <v>1.6410000000000001E-2</v>
      </c>
      <c r="E429">
        <v>1.6990000000000002E-2</v>
      </c>
      <c r="F429">
        <v>51985401.5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-0.41708542713567737</v>
      </c>
      <c r="Q429">
        <f t="shared" si="975"/>
        <v>-21682353.389447182</v>
      </c>
      <c r="R429">
        <f t="shared" si="976"/>
        <v>-813782299.84558415</v>
      </c>
      <c r="S429">
        <f t="shared" si="977"/>
        <v>-8137.8229984558411</v>
      </c>
      <c r="T429">
        <f t="shared" si="978"/>
        <v>-8.1378229984558406</v>
      </c>
    </row>
    <row r="430" spans="1:20" x14ac:dyDescent="0.25">
      <c r="A430" s="5">
        <v>44163</v>
      </c>
      <c r="B430">
        <v>1.6250000000000001E-2</v>
      </c>
      <c r="C430">
        <v>1.7160000000000002E-2</v>
      </c>
      <c r="D430">
        <v>1.5959999999999998E-2</v>
      </c>
      <c r="E430">
        <v>1.685E-2</v>
      </c>
      <c r="F430">
        <v>1720502.7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0.48333333333333262</v>
      </c>
      <c r="Q430">
        <f t="shared" si="975"/>
        <v>831576.30499999877</v>
      </c>
      <c r="R430">
        <f t="shared" si="976"/>
        <v>-792099946.45613694</v>
      </c>
      <c r="S430">
        <f t="shared" si="977"/>
        <v>-7920.9994645613697</v>
      </c>
      <c r="T430">
        <f t="shared" si="978"/>
        <v>-7.9209994645613699</v>
      </c>
    </row>
    <row r="431" spans="1:20" x14ac:dyDescent="0.25">
      <c r="A431" s="5">
        <v>44162</v>
      </c>
      <c r="B431">
        <v>1.643E-2</v>
      </c>
      <c r="C431">
        <v>1.704E-2</v>
      </c>
      <c r="D431">
        <v>1.5720000000000001E-2</v>
      </c>
      <c r="E431">
        <v>1.6299999999999999E-2</v>
      </c>
      <c r="F431">
        <v>1823961.7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-0.12121212121212432</v>
      </c>
      <c r="Q431">
        <f t="shared" si="975"/>
        <v>-221086.26666667234</v>
      </c>
      <c r="R431">
        <f t="shared" si="976"/>
        <v>-792931522.76113689</v>
      </c>
      <c r="S431">
        <f t="shared" si="977"/>
        <v>-7929.3152276113688</v>
      </c>
      <c r="T431">
        <f t="shared" si="978"/>
        <v>-7.9293152276113688</v>
      </c>
    </row>
    <row r="432" spans="1:20" x14ac:dyDescent="0.25">
      <c r="A432" s="5">
        <v>44161</v>
      </c>
      <c r="B432">
        <v>1.857E-2</v>
      </c>
      <c r="C432">
        <v>2.01E-2</v>
      </c>
      <c r="D432">
        <v>1.538E-2</v>
      </c>
      <c r="E432">
        <v>1.6559999999999998E-2</v>
      </c>
      <c r="F432">
        <v>27251866.199999999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-0.50000000000000056</v>
      </c>
      <c r="Q432">
        <f t="shared" si="975"/>
        <v>-13625933.100000015</v>
      </c>
      <c r="R432">
        <f t="shared" si="976"/>
        <v>-792710436.49447024</v>
      </c>
      <c r="S432">
        <f t="shared" si="977"/>
        <v>-7927.104364944702</v>
      </c>
      <c r="T432">
        <f t="shared" si="978"/>
        <v>-7.9271043649447019</v>
      </c>
    </row>
    <row r="433" spans="1:20" x14ac:dyDescent="0.25">
      <c r="A433" s="5">
        <v>44160</v>
      </c>
      <c r="B433">
        <v>0.02</v>
      </c>
      <c r="C433">
        <v>2.0559999999999998E-2</v>
      </c>
      <c r="D433">
        <v>1.8200000000000001E-2</v>
      </c>
      <c r="E433">
        <v>1.874E-2</v>
      </c>
      <c r="F433">
        <v>13374433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-0.54237288135593276</v>
      </c>
      <c r="Q433">
        <f t="shared" si="975"/>
        <v>-7253929.7627118714</v>
      </c>
      <c r="R433">
        <f t="shared" si="976"/>
        <v>-779084503.39447021</v>
      </c>
      <c r="S433">
        <f t="shared" si="977"/>
        <v>-7790.8450339447018</v>
      </c>
      <c r="T433">
        <f t="shared" si="978"/>
        <v>-7.7908450339447022</v>
      </c>
    </row>
    <row r="434" spans="1:20" x14ac:dyDescent="0.25">
      <c r="A434" s="5">
        <v>44159</v>
      </c>
      <c r="B434">
        <v>2.1190000000000001E-2</v>
      </c>
      <c r="C434">
        <v>2.2550000000000001E-2</v>
      </c>
      <c r="D434">
        <v>1.942E-2</v>
      </c>
      <c r="E434">
        <v>1.992E-2</v>
      </c>
      <c r="F434">
        <v>42746705.100000001</v>
      </c>
      <c r="G434">
        <v>0</v>
      </c>
      <c r="L434" t="s">
        <v>7</v>
      </c>
      <c r="M434" t="s">
        <v>8</v>
      </c>
      <c r="N434" t="s">
        <v>8</v>
      </c>
      <c r="P434">
        <f t="shared" si="974"/>
        <v>-0.68051118210862604</v>
      </c>
      <c r="Q434">
        <f t="shared" si="975"/>
        <v>-29089610.818849836</v>
      </c>
      <c r="R434">
        <f t="shared" si="976"/>
        <v>-771830573.63175833</v>
      </c>
      <c r="S434">
        <f t="shared" si="977"/>
        <v>-7718.3057363175831</v>
      </c>
      <c r="T434">
        <f t="shared" si="978"/>
        <v>-7.7183057363175829</v>
      </c>
    </row>
    <row r="435" spans="1:20" x14ac:dyDescent="0.25">
      <c r="A435" s="5">
        <v>44158</v>
      </c>
      <c r="B435">
        <v>2.0920000000000001E-2</v>
      </c>
      <c r="C435">
        <v>2.2450000000000001E-2</v>
      </c>
      <c r="D435">
        <v>1.967E-2</v>
      </c>
      <c r="E435">
        <v>2.1229999999999999E-2</v>
      </c>
      <c r="F435">
        <v>15367953.5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0.12230215827338001</v>
      </c>
      <c r="Q435">
        <f t="shared" si="975"/>
        <v>1879533.8812949443</v>
      </c>
      <c r="R435">
        <f t="shared" si="976"/>
        <v>-742740962.81290853</v>
      </c>
      <c r="S435">
        <f t="shared" si="977"/>
        <v>-7427.4096281290849</v>
      </c>
      <c r="T435">
        <f t="shared" si="978"/>
        <v>-7.4274096281290847</v>
      </c>
    </row>
    <row r="436" spans="1:20" x14ac:dyDescent="0.25">
      <c r="A436" s="5">
        <v>44157</v>
      </c>
      <c r="B436">
        <v>2.3189999999999999E-2</v>
      </c>
      <c r="C436">
        <v>2.5000000000000001E-2</v>
      </c>
      <c r="D436">
        <v>1.8800000000000001E-2</v>
      </c>
      <c r="E436">
        <v>2.061E-2</v>
      </c>
      <c r="F436">
        <v>17006975.199999999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-0.41612903225806486</v>
      </c>
      <c r="Q436">
        <f t="shared" si="975"/>
        <v>-7077096.131612909</v>
      </c>
      <c r="R436">
        <f t="shared" si="976"/>
        <v>-744620496.6942035</v>
      </c>
      <c r="S436">
        <f t="shared" si="977"/>
        <v>-7446.2049669420348</v>
      </c>
      <c r="T436">
        <f t="shared" si="978"/>
        <v>-7.4462049669420347</v>
      </c>
    </row>
    <row r="437" spans="1:20" x14ac:dyDescent="0.25">
      <c r="A437" s="5">
        <v>44156</v>
      </c>
      <c r="B437">
        <v>1.9949999999999999E-2</v>
      </c>
      <c r="C437">
        <v>2.4879999999999999E-2</v>
      </c>
      <c r="D437">
        <v>1.9529999999999999E-2</v>
      </c>
      <c r="E437">
        <v>2.3199999999999998E-2</v>
      </c>
      <c r="F437">
        <v>28445854.800000001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0.37196261682242965</v>
      </c>
      <c r="Q437">
        <f t="shared" si="975"/>
        <v>10580794.589158872</v>
      </c>
      <c r="R437">
        <f t="shared" si="976"/>
        <v>-737543400.5625906</v>
      </c>
      <c r="S437">
        <f t="shared" si="977"/>
        <v>-7375.4340056259061</v>
      </c>
      <c r="T437">
        <f t="shared" si="978"/>
        <v>-7.3754340056259062</v>
      </c>
    </row>
    <row r="438" spans="1:20" x14ac:dyDescent="0.25">
      <c r="A438" s="5">
        <v>44155</v>
      </c>
      <c r="B438">
        <v>1.8859999999999998E-2</v>
      </c>
      <c r="C438">
        <v>2.0500000000000001E-2</v>
      </c>
      <c r="D438">
        <v>1.8339999999999999E-2</v>
      </c>
      <c r="E438">
        <v>1.992E-2</v>
      </c>
      <c r="F438">
        <v>6220836.4000000004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0.46296296296296291</v>
      </c>
      <c r="Q438">
        <f t="shared" si="975"/>
        <v>2880016.8518518517</v>
      </c>
      <c r="R438">
        <f t="shared" si="976"/>
        <v>-748124195.15174949</v>
      </c>
      <c r="S438">
        <f t="shared" si="977"/>
        <v>-7481.2419515174952</v>
      </c>
      <c r="T438">
        <f t="shared" si="978"/>
        <v>-7.4812419515174948</v>
      </c>
    </row>
    <row r="439" spans="1:20" x14ac:dyDescent="0.25">
      <c r="A439" s="5">
        <v>44154</v>
      </c>
      <c r="B439">
        <v>1.771E-2</v>
      </c>
      <c r="C439">
        <v>0.02</v>
      </c>
      <c r="D439">
        <v>1.7059999999999999E-2</v>
      </c>
      <c r="E439">
        <v>1.8880000000000001E-2</v>
      </c>
      <c r="F439">
        <v>15812579.199999999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0.23809523809523889</v>
      </c>
      <c r="Q439">
        <f t="shared" si="975"/>
        <v>3764899.8095238218</v>
      </c>
      <c r="R439">
        <f t="shared" si="976"/>
        <v>-751004212.00360131</v>
      </c>
      <c r="S439">
        <f t="shared" si="977"/>
        <v>-7510.0421200360133</v>
      </c>
      <c r="T439">
        <f t="shared" si="978"/>
        <v>-7.5100421200360135</v>
      </c>
    </row>
    <row r="440" spans="1:20" x14ac:dyDescent="0.25">
      <c r="A440" s="5">
        <v>44153</v>
      </c>
      <c r="B440">
        <v>1.8550000000000001E-2</v>
      </c>
      <c r="C440">
        <v>1.857E-2</v>
      </c>
      <c r="D440">
        <v>1.7000000000000001E-2</v>
      </c>
      <c r="E440">
        <v>1.788E-2</v>
      </c>
      <c r="F440">
        <v>7241922.9000000004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0.12101910828025439</v>
      </c>
      <c r="Q440">
        <f t="shared" si="975"/>
        <v>876411.05159235396</v>
      </c>
      <c r="R440">
        <f t="shared" si="976"/>
        <v>-754769111.81312513</v>
      </c>
      <c r="S440">
        <f t="shared" si="977"/>
        <v>-7547.6911181312516</v>
      </c>
      <c r="T440">
        <f t="shared" si="978"/>
        <v>-7.5476911181312518</v>
      </c>
    </row>
    <row r="441" spans="1:20" x14ac:dyDescent="0.25">
      <c r="A441" s="5">
        <v>44152</v>
      </c>
      <c r="B441">
        <v>1.6879999999999999E-2</v>
      </c>
      <c r="C441">
        <v>1.933E-2</v>
      </c>
      <c r="D441">
        <v>1.6549999999999999E-2</v>
      </c>
      <c r="E441">
        <v>1.8550000000000001E-2</v>
      </c>
      <c r="F441">
        <v>8143646.5999999996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0.43884892086331001</v>
      </c>
      <c r="Q441">
        <f t="shared" si="975"/>
        <v>3573830.5223021633</v>
      </c>
      <c r="R441">
        <f t="shared" si="976"/>
        <v>-755645522.86471748</v>
      </c>
      <c r="S441">
        <f t="shared" si="977"/>
        <v>-7556.4552286471744</v>
      </c>
      <c r="T441">
        <f t="shared" si="978"/>
        <v>-7.5564552286471747</v>
      </c>
    </row>
    <row r="442" spans="1:20" x14ac:dyDescent="0.25">
      <c r="A442" s="5">
        <v>44151</v>
      </c>
      <c r="B442">
        <v>1.4670000000000001E-2</v>
      </c>
      <c r="C442">
        <v>1.7219999999999999E-2</v>
      </c>
      <c r="D442">
        <v>1.465E-2</v>
      </c>
      <c r="E442">
        <v>1.6879999999999999E-2</v>
      </c>
      <c r="F442">
        <v>11787848.300000001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0.73540856031128399</v>
      </c>
      <c r="Q442">
        <f t="shared" si="975"/>
        <v>8668884.5474708173</v>
      </c>
      <c r="R442">
        <f t="shared" si="976"/>
        <v>-759219353.38701963</v>
      </c>
      <c r="S442">
        <f t="shared" si="977"/>
        <v>-7592.193533870196</v>
      </c>
      <c r="T442">
        <f t="shared" si="978"/>
        <v>-7.592193533870196</v>
      </c>
    </row>
    <row r="443" spans="1:20" x14ac:dyDescent="0.25">
      <c r="A443" s="5">
        <v>44150</v>
      </c>
      <c r="B443">
        <v>1.43E-2</v>
      </c>
      <c r="C443">
        <v>1.504E-2</v>
      </c>
      <c r="D443">
        <v>1.389E-2</v>
      </c>
      <c r="E443">
        <v>1.4670000000000001E-2</v>
      </c>
      <c r="F443">
        <v>3605546.6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0.35652173913043683</v>
      </c>
      <c r="Q443">
        <f t="shared" si="975"/>
        <v>1285455.7443478336</v>
      </c>
      <c r="R443">
        <f t="shared" si="976"/>
        <v>-767888237.93449044</v>
      </c>
      <c r="S443">
        <f t="shared" si="977"/>
        <v>-7678.8823793449046</v>
      </c>
      <c r="T443">
        <f t="shared" si="978"/>
        <v>-7.6788823793449046</v>
      </c>
    </row>
    <row r="444" spans="1:20" x14ac:dyDescent="0.25">
      <c r="A444" s="5">
        <v>44149</v>
      </c>
      <c r="B444">
        <v>1.461E-2</v>
      </c>
      <c r="C444">
        <v>1.485E-2</v>
      </c>
      <c r="D444">
        <v>1.35E-2</v>
      </c>
      <c r="E444">
        <v>1.431E-2</v>
      </c>
      <c r="F444">
        <v>6333128.5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0.19999999999999948</v>
      </c>
      <c r="Q444">
        <f t="shared" si="975"/>
        <v>1266625.6999999967</v>
      </c>
      <c r="R444">
        <f t="shared" si="976"/>
        <v>-769173693.67883825</v>
      </c>
      <c r="S444">
        <f t="shared" si="977"/>
        <v>-7691.7369367883821</v>
      </c>
      <c r="T444">
        <f t="shared" si="978"/>
        <v>-7.6917369367883817</v>
      </c>
    </row>
    <row r="445" spans="1:20" x14ac:dyDescent="0.25">
      <c r="A445" s="5">
        <v>44148</v>
      </c>
      <c r="B445">
        <v>1.2959999999999999E-2</v>
      </c>
      <c r="C445">
        <v>1.528E-2</v>
      </c>
      <c r="D445">
        <v>1.295E-2</v>
      </c>
      <c r="E445">
        <v>1.456E-2</v>
      </c>
      <c r="F445">
        <v>12810181.4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0.38197424892703863</v>
      </c>
      <c r="Q445">
        <f t="shared" si="975"/>
        <v>4893159.41888412</v>
      </c>
      <c r="R445">
        <f t="shared" si="976"/>
        <v>-770440319.3788383</v>
      </c>
      <c r="S445">
        <f t="shared" si="977"/>
        <v>-7704.4031937883829</v>
      </c>
      <c r="T445">
        <f t="shared" si="978"/>
        <v>-7.7044031937883828</v>
      </c>
    </row>
    <row r="446" spans="1:20" x14ac:dyDescent="0.25">
      <c r="A446" s="5">
        <v>44147</v>
      </c>
      <c r="B446">
        <v>1.294E-2</v>
      </c>
      <c r="C446">
        <v>1.4200000000000001E-2</v>
      </c>
      <c r="D446">
        <v>1.269E-2</v>
      </c>
      <c r="E446">
        <v>1.2959999999999999E-2</v>
      </c>
      <c r="F446">
        <v>11269091.9</v>
      </c>
      <c r="G446">
        <v>0</v>
      </c>
      <c r="L446" t="s">
        <v>8</v>
      </c>
      <c r="M446" t="s">
        <v>7</v>
      </c>
      <c r="N446" t="s">
        <v>8</v>
      </c>
      <c r="P446">
        <f t="shared" si="974"/>
        <v>-0.64238410596026585</v>
      </c>
      <c r="Q446">
        <f t="shared" si="975"/>
        <v>-7239085.5251655737</v>
      </c>
      <c r="R446">
        <f t="shared" si="976"/>
        <v>-775333478.79772246</v>
      </c>
      <c r="S446">
        <f t="shared" si="977"/>
        <v>-7753.3347879772246</v>
      </c>
      <c r="T446">
        <f t="shared" si="978"/>
        <v>-7.7533347879772245</v>
      </c>
    </row>
    <row r="447" spans="1:20" x14ac:dyDescent="0.25">
      <c r="A447" s="5">
        <v>44146</v>
      </c>
      <c r="B447">
        <v>1.388E-2</v>
      </c>
      <c r="C447">
        <v>1.4149999999999999E-2</v>
      </c>
      <c r="D447">
        <v>1.291E-2</v>
      </c>
      <c r="E447">
        <v>1.298E-2</v>
      </c>
      <c r="F447">
        <v>7890373.0999999996</v>
      </c>
      <c r="G447">
        <v>0</v>
      </c>
      <c r="L447" t="s">
        <v>8</v>
      </c>
      <c r="M447" t="s">
        <v>7</v>
      </c>
      <c r="N447" t="s">
        <v>8</v>
      </c>
      <c r="P447">
        <f t="shared" si="974"/>
        <v>-0.88709677419354738</v>
      </c>
      <c r="Q447">
        <f t="shared" si="975"/>
        <v>-6999524.5241935402</v>
      </c>
      <c r="R447">
        <f t="shared" si="976"/>
        <v>-768094393.2725569</v>
      </c>
      <c r="S447">
        <f t="shared" si="977"/>
        <v>-7680.9439327255686</v>
      </c>
      <c r="T447">
        <f t="shared" si="978"/>
        <v>-7.6809439327255689</v>
      </c>
    </row>
    <row r="448" spans="1:20" x14ac:dyDescent="0.25">
      <c r="A448" s="5">
        <v>44145</v>
      </c>
      <c r="B448">
        <v>1.423E-2</v>
      </c>
      <c r="C448">
        <v>1.542E-2</v>
      </c>
      <c r="D448">
        <v>1.307E-2</v>
      </c>
      <c r="E448">
        <v>1.3899999999999999E-2</v>
      </c>
      <c r="F448">
        <v>22724976.899999999</v>
      </c>
      <c r="G448">
        <v>0</v>
      </c>
      <c r="L448" t="s">
        <v>7</v>
      </c>
      <c r="M448" t="s">
        <v>7</v>
      </c>
      <c r="N448" t="s">
        <v>8</v>
      </c>
      <c r="P448">
        <f t="shared" si="974"/>
        <v>-0.29361702127659639</v>
      </c>
      <c r="Q448">
        <f t="shared" si="975"/>
        <v>-6672440.0259574614</v>
      </c>
      <c r="R448">
        <f t="shared" si="976"/>
        <v>-761094868.74836338</v>
      </c>
      <c r="S448">
        <f t="shared" si="977"/>
        <v>-7610.9486874836339</v>
      </c>
      <c r="T448">
        <f t="shared" si="978"/>
        <v>-7.6109486874836341</v>
      </c>
    </row>
    <row r="449" spans="1:20" x14ac:dyDescent="0.25">
      <c r="A449" s="5">
        <v>44144</v>
      </c>
      <c r="B449">
        <v>1.29E-2</v>
      </c>
      <c r="C449">
        <v>1.6E-2</v>
      </c>
      <c r="D449">
        <v>1.285E-2</v>
      </c>
      <c r="E449">
        <v>1.443E-2</v>
      </c>
      <c r="F449">
        <v>50048947.200000003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3.1746031746030454E-3</v>
      </c>
      <c r="Q449">
        <f t="shared" si="975"/>
        <v>158885.5466666602</v>
      </c>
      <c r="R449">
        <f t="shared" si="976"/>
        <v>-754422428.72240591</v>
      </c>
      <c r="S449">
        <f t="shared" si="977"/>
        <v>-7544.2242872240595</v>
      </c>
      <c r="T449">
        <f t="shared" si="978"/>
        <v>-7.5442242872240595</v>
      </c>
    </row>
    <row r="450" spans="1:20" x14ac:dyDescent="0.25">
      <c r="A450" s="5">
        <v>44143</v>
      </c>
      <c r="B450">
        <v>1.205E-2</v>
      </c>
      <c r="C450">
        <v>1.329E-2</v>
      </c>
      <c r="D450">
        <v>1.205E-2</v>
      </c>
      <c r="E450">
        <v>1.319E-2</v>
      </c>
      <c r="F450">
        <v>3906586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0.83870967741935576</v>
      </c>
      <c r="Q450">
        <f t="shared" si="975"/>
        <v>3276491.4838709715</v>
      </c>
      <c r="R450">
        <f t="shared" si="976"/>
        <v>-754581314.26907253</v>
      </c>
      <c r="S450">
        <f t="shared" si="977"/>
        <v>-7545.8131426907257</v>
      </c>
      <c r="T450">
        <f t="shared" si="978"/>
        <v>-7.5458131426907258</v>
      </c>
    </row>
    <row r="451" spans="1:20" x14ac:dyDescent="0.25">
      <c r="A451" s="5">
        <v>44142</v>
      </c>
      <c r="B451">
        <v>1.3270000000000001E-2</v>
      </c>
      <c r="C451">
        <v>1.4540000000000001E-2</v>
      </c>
      <c r="D451">
        <v>1.18E-2</v>
      </c>
      <c r="E451">
        <v>1.214E-2</v>
      </c>
      <c r="F451">
        <v>7938731.5999999996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-0.75182481751824826</v>
      </c>
      <c r="Q451">
        <f t="shared" si="975"/>
        <v>-5968535.4364963509</v>
      </c>
      <c r="R451">
        <f t="shared" si="976"/>
        <v>-757857805.75294352</v>
      </c>
      <c r="S451">
        <f t="shared" si="977"/>
        <v>-7578.5780575294348</v>
      </c>
      <c r="T451">
        <f t="shared" si="978"/>
        <v>-7.5785780575294348</v>
      </c>
    </row>
    <row r="452" spans="1:20" x14ac:dyDescent="0.25">
      <c r="A452" s="5">
        <v>44141</v>
      </c>
      <c r="B452">
        <v>1.2619999999999999E-2</v>
      </c>
      <c r="C452">
        <v>1.349E-2</v>
      </c>
      <c r="D452">
        <v>1.2409999999999999E-2</v>
      </c>
      <c r="E452">
        <v>1.341E-2</v>
      </c>
      <c r="F452">
        <v>4472123.5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0.85185185185185164</v>
      </c>
      <c r="Q452">
        <f t="shared" si="975"/>
        <v>3809586.6851851842</v>
      </c>
      <c r="R452">
        <f t="shared" si="976"/>
        <v>-751889270.31644714</v>
      </c>
      <c r="S452">
        <f t="shared" si="977"/>
        <v>-7518.8927031644716</v>
      </c>
      <c r="T452">
        <f t="shared" si="978"/>
        <v>-7.5188927031644717</v>
      </c>
    </row>
    <row r="453" spans="1:20" x14ac:dyDescent="0.25">
      <c r="A453" s="5">
        <v>44140</v>
      </c>
      <c r="B453">
        <v>1.0919999999999999E-2</v>
      </c>
      <c r="C453">
        <v>1.26E-2</v>
      </c>
      <c r="D453">
        <v>1.0580000000000001E-2</v>
      </c>
      <c r="E453">
        <v>1.2460000000000001E-2</v>
      </c>
      <c r="F453">
        <v>8078089.0999999996</v>
      </c>
      <c r="G453">
        <v>0</v>
      </c>
      <c r="L453" t="s">
        <v>7</v>
      </c>
      <c r="M453" t="s">
        <v>8</v>
      </c>
      <c r="N453" t="s">
        <v>7</v>
      </c>
      <c r="P453">
        <f t="shared" si="974"/>
        <v>0.86138613861386182</v>
      </c>
      <c r="Q453">
        <f t="shared" si="975"/>
        <v>6958353.977227726</v>
      </c>
      <c r="R453">
        <f t="shared" si="976"/>
        <v>-755698857.00163233</v>
      </c>
      <c r="S453">
        <f t="shared" si="977"/>
        <v>-7556.9885700163231</v>
      </c>
      <c r="T453">
        <f t="shared" si="978"/>
        <v>-7.5569885700163235</v>
      </c>
    </row>
    <row r="454" spans="1:20" x14ac:dyDescent="0.25">
      <c r="A454" s="5">
        <v>44139</v>
      </c>
      <c r="B454">
        <v>1.136E-2</v>
      </c>
      <c r="C454">
        <v>1.1440000000000001E-2</v>
      </c>
      <c r="D454">
        <v>1.0800000000000001E-2</v>
      </c>
      <c r="E454">
        <v>1.095E-2</v>
      </c>
      <c r="F454">
        <v>1441730.6</v>
      </c>
      <c r="G454">
        <v>0</v>
      </c>
      <c r="L454" t="s">
        <v>7</v>
      </c>
      <c r="M454" t="s">
        <v>8</v>
      </c>
      <c r="N454" t="s">
        <v>7</v>
      </c>
      <c r="P454">
        <f t="shared" ref="P454:P517" si="979">IF(C454=D454,0,((E454-D454)-(C454-E454))/(C454-D454))</f>
        <v>-0.53125000000000278</v>
      </c>
      <c r="Q454">
        <f t="shared" ref="Q454:Q517" si="980">F454*P454</f>
        <v>-765919.38125000405</v>
      </c>
      <c r="R454">
        <f t="shared" ref="R454:R517" si="981">R455+Q454</f>
        <v>-762657210.97886002</v>
      </c>
      <c r="S454">
        <f t="shared" ref="S454:S517" si="982">R454/100000</f>
        <v>-7626.5721097885998</v>
      </c>
      <c r="T454">
        <f t="shared" ref="T454:T517" si="983">S454/1000</f>
        <v>-7.6265721097885999</v>
      </c>
    </row>
    <row r="455" spans="1:20" x14ac:dyDescent="0.25">
      <c r="A455" s="5">
        <v>44138</v>
      </c>
      <c r="B455">
        <v>1.163E-2</v>
      </c>
      <c r="C455">
        <v>1.1900000000000001E-2</v>
      </c>
      <c r="D455">
        <v>1.1209999999999999E-2</v>
      </c>
      <c r="E455">
        <v>1.1429999999999999E-2</v>
      </c>
      <c r="F455">
        <v>2888072.7</v>
      </c>
      <c r="G455">
        <v>0</v>
      </c>
      <c r="L455" t="s">
        <v>8</v>
      </c>
      <c r="M455" t="s">
        <v>8</v>
      </c>
      <c r="N455" t="s">
        <v>7</v>
      </c>
      <c r="P455">
        <f t="shared" si="979"/>
        <v>-0.36231884057971225</v>
      </c>
      <c r="Q455">
        <f t="shared" si="980"/>
        <v>-1046403.1521739193</v>
      </c>
      <c r="R455">
        <f t="shared" si="981"/>
        <v>-761891291.59761</v>
      </c>
      <c r="S455">
        <f t="shared" si="982"/>
        <v>-7618.9129159760996</v>
      </c>
      <c r="T455">
        <f t="shared" si="983"/>
        <v>-7.6189129159760993</v>
      </c>
    </row>
    <row r="456" spans="1:20" x14ac:dyDescent="0.25">
      <c r="A456" s="5">
        <v>44137</v>
      </c>
      <c r="B456">
        <v>1.1780000000000001E-2</v>
      </c>
      <c r="C456">
        <v>1.1979999999999999E-2</v>
      </c>
      <c r="D456">
        <v>1.1180000000000001E-2</v>
      </c>
      <c r="E456">
        <v>1.163E-2</v>
      </c>
      <c r="F456">
        <v>2876895.1</v>
      </c>
      <c r="G456">
        <v>0</v>
      </c>
      <c r="L456" t="s">
        <v>8</v>
      </c>
      <c r="M456" t="s">
        <v>8</v>
      </c>
      <c r="N456" t="s">
        <v>7</v>
      </c>
      <c r="P456">
        <f t="shared" si="979"/>
        <v>0.12499999999999946</v>
      </c>
      <c r="Q456">
        <f t="shared" si="980"/>
        <v>359611.88749999844</v>
      </c>
      <c r="R456">
        <f t="shared" si="981"/>
        <v>-760844888.44543612</v>
      </c>
      <c r="S456">
        <f t="shared" si="982"/>
        <v>-7608.4488844543612</v>
      </c>
      <c r="T456">
        <f t="shared" si="983"/>
        <v>-7.6084488844543614</v>
      </c>
    </row>
    <row r="457" spans="1:20" x14ac:dyDescent="0.25">
      <c r="A457" s="5">
        <v>44136</v>
      </c>
      <c r="B457">
        <v>1.1390000000000001E-2</v>
      </c>
      <c r="C457">
        <v>1.1979999999999999E-2</v>
      </c>
      <c r="D457">
        <v>1.1180000000000001E-2</v>
      </c>
      <c r="E457">
        <v>1.1730000000000001E-2</v>
      </c>
      <c r="F457">
        <v>1573029.1</v>
      </c>
      <c r="G457">
        <v>0</v>
      </c>
      <c r="L457" t="s">
        <v>8</v>
      </c>
      <c r="M457" t="s">
        <v>8</v>
      </c>
      <c r="N457" t="s">
        <v>7</v>
      </c>
      <c r="P457">
        <f t="shared" si="979"/>
        <v>0.37500000000000272</v>
      </c>
      <c r="Q457">
        <f t="shared" si="980"/>
        <v>589885.91250000428</v>
      </c>
      <c r="R457">
        <f t="shared" si="981"/>
        <v>-761204500.33293617</v>
      </c>
      <c r="S457">
        <f t="shared" si="982"/>
        <v>-7612.0450033293619</v>
      </c>
      <c r="T457">
        <f t="shared" si="983"/>
        <v>-7.6120450033293618</v>
      </c>
    </row>
    <row r="458" spans="1:20" x14ac:dyDescent="0.25">
      <c r="A458" s="5">
        <v>44135</v>
      </c>
      <c r="B458">
        <v>1.1390000000000001E-2</v>
      </c>
      <c r="C458">
        <v>1.1690000000000001E-2</v>
      </c>
      <c r="D458">
        <v>1.129E-2</v>
      </c>
      <c r="E458">
        <v>1.15E-2</v>
      </c>
      <c r="F458">
        <v>689857.7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4.9999999999997831E-2</v>
      </c>
      <c r="Q458">
        <f t="shared" si="980"/>
        <v>34492.884999998503</v>
      </c>
      <c r="R458">
        <f t="shared" si="981"/>
        <v>-761794386.24543619</v>
      </c>
      <c r="S458">
        <f t="shared" si="982"/>
        <v>-7617.9438624543618</v>
      </c>
      <c r="T458">
        <f t="shared" si="983"/>
        <v>-7.6179438624543616</v>
      </c>
    </row>
    <row r="459" spans="1:20" x14ac:dyDescent="0.25">
      <c r="A459" s="5">
        <v>44134</v>
      </c>
      <c r="B459">
        <v>1.1039999999999999E-2</v>
      </c>
      <c r="C459">
        <v>1.157E-2</v>
      </c>
      <c r="D459">
        <v>1.0580000000000001E-2</v>
      </c>
      <c r="E459">
        <v>1.1480000000000001E-2</v>
      </c>
      <c r="F459">
        <v>2297171.7000000002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0.81818181818181845</v>
      </c>
      <c r="Q459">
        <f t="shared" si="980"/>
        <v>1879504.1181818189</v>
      </c>
      <c r="R459">
        <f t="shared" si="981"/>
        <v>-761828879.13043618</v>
      </c>
      <c r="S459">
        <f t="shared" si="982"/>
        <v>-7618.2887913043614</v>
      </c>
      <c r="T459">
        <f t="shared" si="983"/>
        <v>-7.6182887913043613</v>
      </c>
    </row>
    <row r="460" spans="1:20" x14ac:dyDescent="0.25">
      <c r="A460" s="5">
        <v>44133</v>
      </c>
      <c r="B460">
        <v>1.0630000000000001E-2</v>
      </c>
      <c r="C460">
        <v>1.1350000000000001E-2</v>
      </c>
      <c r="D460">
        <v>1.059E-2</v>
      </c>
      <c r="E460">
        <v>1.0880000000000001E-2</v>
      </c>
      <c r="F460">
        <v>5232834.2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-0.2368421052631573</v>
      </c>
      <c r="Q460">
        <f t="shared" si="980"/>
        <v>-1239355.4684210496</v>
      </c>
      <c r="R460">
        <f t="shared" si="981"/>
        <v>-763708383.24861801</v>
      </c>
      <c r="S460">
        <f t="shared" si="982"/>
        <v>-7637.0838324861797</v>
      </c>
      <c r="T460">
        <f t="shared" si="983"/>
        <v>-7.6370838324861801</v>
      </c>
    </row>
    <row r="461" spans="1:20" x14ac:dyDescent="0.25">
      <c r="A461" s="5">
        <v>44132</v>
      </c>
      <c r="B461">
        <v>1.081E-2</v>
      </c>
      <c r="C461">
        <v>1.1169999999999999E-2</v>
      </c>
      <c r="D461">
        <v>9.8899999999999995E-3</v>
      </c>
      <c r="E461">
        <v>1.061E-2</v>
      </c>
      <c r="F461">
        <v>7514101.0999999996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0.12500000000000033</v>
      </c>
      <c r="Q461">
        <f t="shared" si="980"/>
        <v>939262.6375000024</v>
      </c>
      <c r="R461">
        <f t="shared" si="981"/>
        <v>-762469027.78019691</v>
      </c>
      <c r="S461">
        <f t="shared" si="982"/>
        <v>-7624.6902778019694</v>
      </c>
      <c r="T461">
        <f t="shared" si="983"/>
        <v>-7.6246902778019692</v>
      </c>
    </row>
    <row r="462" spans="1:20" x14ac:dyDescent="0.25">
      <c r="A462" s="5">
        <v>44131</v>
      </c>
      <c r="B462">
        <v>1.072E-2</v>
      </c>
      <c r="C462">
        <v>1.129E-2</v>
      </c>
      <c r="D462">
        <v>1.0120000000000001E-2</v>
      </c>
      <c r="E462">
        <v>1.0789999999999999E-2</v>
      </c>
      <c r="F462">
        <v>11858337.9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0.14529914529914392</v>
      </c>
      <c r="Q462">
        <f t="shared" si="980"/>
        <v>1723006.3615384453</v>
      </c>
      <c r="R462">
        <f t="shared" si="981"/>
        <v>-763408290.41769695</v>
      </c>
      <c r="S462">
        <f t="shared" si="982"/>
        <v>-7634.0829041769694</v>
      </c>
      <c r="T462">
        <f t="shared" si="983"/>
        <v>-7.6340829041769691</v>
      </c>
    </row>
    <row r="463" spans="1:20" x14ac:dyDescent="0.25">
      <c r="A463" s="5">
        <v>44130</v>
      </c>
      <c r="B463">
        <v>1.1140000000000001E-2</v>
      </c>
      <c r="C463">
        <v>1.1390000000000001E-2</v>
      </c>
      <c r="D463">
        <v>1.064E-2</v>
      </c>
      <c r="E463">
        <v>1.0829999999999999E-2</v>
      </c>
      <c r="F463">
        <v>1603396.5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-0.4933333333333359</v>
      </c>
      <c r="Q463">
        <f t="shared" si="980"/>
        <v>-791008.94000000414</v>
      </c>
      <c r="R463">
        <f t="shared" si="981"/>
        <v>-765131296.77923536</v>
      </c>
      <c r="S463">
        <f t="shared" si="982"/>
        <v>-7651.3129677923534</v>
      </c>
      <c r="T463">
        <f t="shared" si="983"/>
        <v>-7.6513129677923537</v>
      </c>
    </row>
    <row r="464" spans="1:20" x14ac:dyDescent="0.25">
      <c r="A464" s="5">
        <v>44129</v>
      </c>
      <c r="B464">
        <v>1.174E-2</v>
      </c>
      <c r="C464">
        <v>1.1979999999999999E-2</v>
      </c>
      <c r="D464">
        <v>1.0840000000000001E-2</v>
      </c>
      <c r="E464">
        <v>1.1220000000000001E-2</v>
      </c>
      <c r="F464">
        <v>3903263.9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-0.33333333333333232</v>
      </c>
      <c r="Q464">
        <f t="shared" si="980"/>
        <v>-1301087.9666666626</v>
      </c>
      <c r="R464">
        <f t="shared" si="981"/>
        <v>-764340287.83923531</v>
      </c>
      <c r="S464">
        <f t="shared" si="982"/>
        <v>-7643.4028783923532</v>
      </c>
      <c r="T464">
        <f t="shared" si="983"/>
        <v>-7.6434028783923535</v>
      </c>
    </row>
    <row r="465" spans="1:20" x14ac:dyDescent="0.25">
      <c r="A465" s="5">
        <v>44128</v>
      </c>
      <c r="B465">
        <v>1.171E-2</v>
      </c>
      <c r="C465">
        <v>1.1809999999999999E-2</v>
      </c>
      <c r="D465">
        <v>1.15E-2</v>
      </c>
      <c r="E465">
        <v>1.1809999999999999E-2</v>
      </c>
      <c r="F465">
        <v>741020.4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1</v>
      </c>
      <c r="Q465">
        <f t="shared" si="980"/>
        <v>741020.4</v>
      </c>
      <c r="R465">
        <f t="shared" si="981"/>
        <v>-763039199.87256861</v>
      </c>
      <c r="S465">
        <f t="shared" si="982"/>
        <v>-7630.3919987256859</v>
      </c>
      <c r="T465">
        <f t="shared" si="983"/>
        <v>-7.6303919987256856</v>
      </c>
    </row>
    <row r="466" spans="1:20" x14ac:dyDescent="0.25">
      <c r="A466" s="5">
        <v>44127</v>
      </c>
      <c r="B466">
        <v>1.1950000000000001E-2</v>
      </c>
      <c r="C466">
        <v>1.223E-2</v>
      </c>
      <c r="D466">
        <v>1.1509999999999999E-2</v>
      </c>
      <c r="E466">
        <v>1.17E-2</v>
      </c>
      <c r="F466">
        <v>2367322.2000000002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-0.47222222222221977</v>
      </c>
      <c r="Q466">
        <f t="shared" si="980"/>
        <v>-1117902.1499999943</v>
      </c>
      <c r="R466">
        <f t="shared" si="981"/>
        <v>-763780220.27256858</v>
      </c>
      <c r="S466">
        <f t="shared" si="982"/>
        <v>-7637.8022027256857</v>
      </c>
      <c r="T466">
        <f t="shared" si="983"/>
        <v>-7.6378022027256858</v>
      </c>
    </row>
    <row r="467" spans="1:20" x14ac:dyDescent="0.25">
      <c r="A467" s="5">
        <v>44126</v>
      </c>
      <c r="B467">
        <v>1.146E-2</v>
      </c>
      <c r="C467">
        <v>1.2999999999999999E-2</v>
      </c>
      <c r="D467">
        <v>1.137E-2</v>
      </c>
      <c r="E467">
        <v>1.1990000000000001E-2</v>
      </c>
      <c r="F467">
        <v>5772447.5999999996</v>
      </c>
      <c r="G467">
        <v>0</v>
      </c>
      <c r="L467" t="s">
        <v>7</v>
      </c>
      <c r="M467" t="s">
        <v>8</v>
      </c>
      <c r="N467" t="s">
        <v>7</v>
      </c>
      <c r="P467">
        <f t="shared" si="979"/>
        <v>-0.23926380368098044</v>
      </c>
      <c r="Q467">
        <f t="shared" si="980"/>
        <v>-1381137.7693251467</v>
      </c>
      <c r="R467">
        <f t="shared" si="981"/>
        <v>-762662318.12256861</v>
      </c>
      <c r="S467">
        <f t="shared" si="982"/>
        <v>-7626.6231812256865</v>
      </c>
      <c r="T467">
        <f t="shared" si="983"/>
        <v>-7.6266231812256864</v>
      </c>
    </row>
    <row r="468" spans="1:20" x14ac:dyDescent="0.25">
      <c r="A468" s="5">
        <v>44125</v>
      </c>
      <c r="B468">
        <v>1.0880000000000001E-2</v>
      </c>
      <c r="C468">
        <v>1.2999999999999999E-2</v>
      </c>
      <c r="D468">
        <v>1.0880000000000001E-2</v>
      </c>
      <c r="E468">
        <v>1.146E-2</v>
      </c>
      <c r="F468">
        <v>14381484.9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-0.45283018867924596</v>
      </c>
      <c r="Q468">
        <f t="shared" si="980"/>
        <v>-6512370.5207547266</v>
      </c>
      <c r="R468">
        <f t="shared" si="981"/>
        <v>-761281180.35324347</v>
      </c>
      <c r="S468">
        <f t="shared" si="982"/>
        <v>-7612.8118035324351</v>
      </c>
      <c r="T468">
        <f t="shared" si="983"/>
        <v>-7.612811803532435</v>
      </c>
    </row>
    <row r="469" spans="1:20" x14ac:dyDescent="0.25">
      <c r="A469" s="5">
        <v>44124</v>
      </c>
      <c r="B469">
        <v>1.0959999999999999E-2</v>
      </c>
      <c r="C469">
        <v>1.1180000000000001E-2</v>
      </c>
      <c r="D469">
        <v>1.0529999999999999E-2</v>
      </c>
      <c r="E469">
        <v>1.0880000000000001E-2</v>
      </c>
      <c r="F469">
        <v>4798192.2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7.6923076923078981E-2</v>
      </c>
      <c r="Q469">
        <f t="shared" si="980"/>
        <v>369091.70769231761</v>
      </c>
      <c r="R469">
        <f t="shared" si="981"/>
        <v>-754768809.83248878</v>
      </c>
      <c r="S469">
        <f t="shared" si="982"/>
        <v>-7547.6880983248875</v>
      </c>
      <c r="T469">
        <f t="shared" si="983"/>
        <v>-7.5476880983248877</v>
      </c>
    </row>
    <row r="470" spans="1:20" x14ac:dyDescent="0.25">
      <c r="A470" s="5">
        <v>44123</v>
      </c>
      <c r="B470">
        <v>1.1299999999999999E-2</v>
      </c>
      <c r="C470">
        <v>1.141E-2</v>
      </c>
      <c r="D470">
        <v>1.089E-2</v>
      </c>
      <c r="E470">
        <v>1.095E-2</v>
      </c>
      <c r="F470">
        <v>5963358.5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-0.76923076923077183</v>
      </c>
      <c r="Q470">
        <f t="shared" si="980"/>
        <v>-4587198.8461538618</v>
      </c>
      <c r="R470">
        <f t="shared" si="981"/>
        <v>-755137901.54018104</v>
      </c>
      <c r="S470">
        <f t="shared" si="982"/>
        <v>-7551.3790154018106</v>
      </c>
      <c r="T470">
        <f t="shared" si="983"/>
        <v>-7.5513790154018103</v>
      </c>
    </row>
    <row r="471" spans="1:20" x14ac:dyDescent="0.25">
      <c r="A471" s="5">
        <v>44122</v>
      </c>
      <c r="B471">
        <v>1.145E-2</v>
      </c>
      <c r="C471">
        <v>1.163E-2</v>
      </c>
      <c r="D471">
        <v>1.1010000000000001E-2</v>
      </c>
      <c r="E471">
        <v>1.1350000000000001E-2</v>
      </c>
      <c r="F471">
        <v>6656665.7000000002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9.6774193548388898E-2</v>
      </c>
      <c r="Q471">
        <f t="shared" si="980"/>
        <v>644193.45483872166</v>
      </c>
      <c r="R471">
        <f t="shared" si="981"/>
        <v>-750550702.69402719</v>
      </c>
      <c r="S471">
        <f t="shared" si="982"/>
        <v>-7505.5070269402722</v>
      </c>
      <c r="T471">
        <f t="shared" si="983"/>
        <v>-7.5055070269402719</v>
      </c>
    </row>
    <row r="472" spans="1:20" x14ac:dyDescent="0.25">
      <c r="A472" s="5">
        <v>44121</v>
      </c>
      <c r="B472">
        <v>1.11E-2</v>
      </c>
      <c r="C472">
        <v>1.1809999999999999E-2</v>
      </c>
      <c r="D472">
        <v>1.108E-2</v>
      </c>
      <c r="E472">
        <v>1.137E-2</v>
      </c>
      <c r="F472">
        <v>4430782.5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-0.20547945205479334</v>
      </c>
      <c r="Q472">
        <f t="shared" si="980"/>
        <v>-910434.7602739674</v>
      </c>
      <c r="R472">
        <f t="shared" si="981"/>
        <v>-751194896.14886594</v>
      </c>
      <c r="S472">
        <f t="shared" si="982"/>
        <v>-7511.9489614886597</v>
      </c>
      <c r="T472">
        <f t="shared" si="983"/>
        <v>-7.5119489614886596</v>
      </c>
    </row>
    <row r="473" spans="1:20" x14ac:dyDescent="0.25">
      <c r="A473" s="5">
        <v>44120</v>
      </c>
      <c r="B473">
        <v>1.2330000000000001E-2</v>
      </c>
      <c r="C473">
        <v>1.2489999999999999E-2</v>
      </c>
      <c r="D473">
        <v>1.103E-2</v>
      </c>
      <c r="E473">
        <v>1.11E-2</v>
      </c>
      <c r="F473">
        <v>10019455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-0.90410958904109506</v>
      </c>
      <c r="Q473">
        <f t="shared" si="980"/>
        <v>-9058685.3424657453</v>
      </c>
      <c r="R473">
        <f t="shared" si="981"/>
        <v>-750284461.388592</v>
      </c>
      <c r="S473">
        <f t="shared" si="982"/>
        <v>-7502.8446138859199</v>
      </c>
      <c r="T473">
        <f t="shared" si="983"/>
        <v>-7.5028446138859195</v>
      </c>
    </row>
    <row r="474" spans="1:20" x14ac:dyDescent="0.25">
      <c r="A474" s="5">
        <v>44119</v>
      </c>
      <c r="B474">
        <v>1.268E-2</v>
      </c>
      <c r="C474">
        <v>1.319E-2</v>
      </c>
      <c r="D474">
        <v>1.218E-2</v>
      </c>
      <c r="E474">
        <v>1.2409999999999999E-2</v>
      </c>
      <c r="F474">
        <v>5747079.5999999996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-0.54455445544554615</v>
      </c>
      <c r="Q474">
        <f t="shared" si="980"/>
        <v>-3129597.8019802072</v>
      </c>
      <c r="R474">
        <f t="shared" si="981"/>
        <v>-741225776.04612625</v>
      </c>
      <c r="S474">
        <f t="shared" si="982"/>
        <v>-7412.2577604612625</v>
      </c>
      <c r="T474">
        <f t="shared" si="983"/>
        <v>-7.4122577604612623</v>
      </c>
    </row>
    <row r="475" spans="1:20" x14ac:dyDescent="0.25">
      <c r="A475" s="5">
        <v>44118</v>
      </c>
      <c r="B475">
        <v>1.2880000000000001E-2</v>
      </c>
      <c r="C475">
        <v>1.342E-2</v>
      </c>
      <c r="D475">
        <v>1.252E-2</v>
      </c>
      <c r="E475">
        <v>1.2749999999999999E-2</v>
      </c>
      <c r="F475">
        <v>11386456.199999999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-0.48888888888889032</v>
      </c>
      <c r="Q475">
        <f t="shared" si="980"/>
        <v>-5566711.9200000158</v>
      </c>
      <c r="R475">
        <f t="shared" si="981"/>
        <v>-738096178.24414599</v>
      </c>
      <c r="S475">
        <f t="shared" si="982"/>
        <v>-7380.9617824414599</v>
      </c>
      <c r="T475">
        <f t="shared" si="983"/>
        <v>-7.3809617824414602</v>
      </c>
    </row>
    <row r="476" spans="1:20" x14ac:dyDescent="0.25">
      <c r="A476" s="5">
        <v>44117</v>
      </c>
      <c r="B476">
        <v>1.367E-2</v>
      </c>
      <c r="C476">
        <v>1.389E-2</v>
      </c>
      <c r="D476">
        <v>1.2699999999999999E-2</v>
      </c>
      <c r="E476">
        <v>1.291E-2</v>
      </c>
      <c r="F476">
        <v>11873619.699999999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-0.64705882352941158</v>
      </c>
      <c r="Q476">
        <f t="shared" si="980"/>
        <v>-7682930.3941176441</v>
      </c>
      <c r="R476">
        <f t="shared" si="981"/>
        <v>-732529466.32414603</v>
      </c>
      <c r="S476">
        <f t="shared" si="982"/>
        <v>-7325.2946632414605</v>
      </c>
      <c r="T476">
        <f t="shared" si="983"/>
        <v>-7.3252946632414604</v>
      </c>
    </row>
    <row r="477" spans="1:20" x14ac:dyDescent="0.25">
      <c r="A477" s="5">
        <v>44116</v>
      </c>
      <c r="B477">
        <v>1.362E-2</v>
      </c>
      <c r="C477">
        <v>1.3860000000000001E-2</v>
      </c>
      <c r="D477">
        <v>1.3050000000000001E-2</v>
      </c>
      <c r="E477">
        <v>1.366E-2</v>
      </c>
      <c r="F477">
        <v>4194264.7</v>
      </c>
      <c r="G477">
        <v>0</v>
      </c>
      <c r="L477" t="s">
        <v>7</v>
      </c>
      <c r="M477" t="s">
        <v>7</v>
      </c>
      <c r="N477" t="s">
        <v>8</v>
      </c>
      <c r="P477">
        <f t="shared" si="979"/>
        <v>0.50617283950617153</v>
      </c>
      <c r="Q477">
        <f t="shared" si="980"/>
        <v>2123022.8728395007</v>
      </c>
      <c r="R477">
        <f t="shared" si="981"/>
        <v>-724846535.93002844</v>
      </c>
      <c r="S477">
        <f t="shared" si="982"/>
        <v>-7248.465359300284</v>
      </c>
      <c r="T477">
        <f t="shared" si="983"/>
        <v>-7.2484653593002841</v>
      </c>
    </row>
    <row r="478" spans="1:20" x14ac:dyDescent="0.25">
      <c r="A478" s="5">
        <v>44115</v>
      </c>
      <c r="B478">
        <v>1.328E-2</v>
      </c>
      <c r="C478">
        <v>1.4120000000000001E-2</v>
      </c>
      <c r="D478">
        <v>1.3259999999999999E-2</v>
      </c>
      <c r="E478">
        <v>1.3509999999999999E-2</v>
      </c>
      <c r="F478">
        <v>5727976.9000000004</v>
      </c>
      <c r="G478">
        <v>0</v>
      </c>
      <c r="L478" t="s">
        <v>8</v>
      </c>
      <c r="M478" t="s">
        <v>7</v>
      </c>
      <c r="N478" t="s">
        <v>8</v>
      </c>
      <c r="P478">
        <f t="shared" si="979"/>
        <v>-0.41860465116279111</v>
      </c>
      <c r="Q478">
        <f t="shared" si="980"/>
        <v>-2397757.772093026</v>
      </c>
      <c r="R478">
        <f t="shared" si="981"/>
        <v>-726969558.80286789</v>
      </c>
      <c r="S478">
        <f t="shared" si="982"/>
        <v>-7269.6955880286787</v>
      </c>
      <c r="T478">
        <f t="shared" si="983"/>
        <v>-7.2696955880286787</v>
      </c>
    </row>
    <row r="479" spans="1:20" x14ac:dyDescent="0.25">
      <c r="A479" s="5">
        <v>44114</v>
      </c>
      <c r="B479">
        <v>1.323E-2</v>
      </c>
      <c r="C479">
        <v>1.371E-2</v>
      </c>
      <c r="D479">
        <v>1.323E-2</v>
      </c>
      <c r="E479">
        <v>1.328E-2</v>
      </c>
      <c r="F479">
        <v>2249065</v>
      </c>
      <c r="G479">
        <v>0</v>
      </c>
      <c r="L479" t="s">
        <v>8</v>
      </c>
      <c r="M479" t="s">
        <v>7</v>
      </c>
      <c r="N479" t="s">
        <v>8</v>
      </c>
      <c r="P479">
        <f t="shared" si="979"/>
        <v>-0.79166666666666774</v>
      </c>
      <c r="Q479">
        <f t="shared" si="980"/>
        <v>-1780509.7916666691</v>
      </c>
      <c r="R479">
        <f t="shared" si="981"/>
        <v>-724571801.03077483</v>
      </c>
      <c r="S479">
        <f t="shared" si="982"/>
        <v>-7245.718010307748</v>
      </c>
      <c r="T479">
        <f t="shared" si="983"/>
        <v>-7.2457180103077476</v>
      </c>
    </row>
    <row r="480" spans="1:20" x14ac:dyDescent="0.25">
      <c r="A480" s="5">
        <v>44113</v>
      </c>
      <c r="B480">
        <v>1.2919999999999999E-2</v>
      </c>
      <c r="C480">
        <v>1.38E-2</v>
      </c>
      <c r="D480">
        <v>1.269E-2</v>
      </c>
      <c r="E480">
        <v>1.3310000000000001E-2</v>
      </c>
      <c r="F480">
        <v>4358617.9000000004</v>
      </c>
      <c r="G480">
        <v>0</v>
      </c>
      <c r="L480" t="s">
        <v>8</v>
      </c>
      <c r="M480" t="s">
        <v>7</v>
      </c>
      <c r="N480" t="s">
        <v>8</v>
      </c>
      <c r="P480">
        <f t="shared" si="979"/>
        <v>0.11711711711711861</v>
      </c>
      <c r="Q480">
        <f t="shared" si="980"/>
        <v>510468.76306306961</v>
      </c>
      <c r="R480">
        <f t="shared" si="981"/>
        <v>-722791291.2391082</v>
      </c>
      <c r="S480">
        <f t="shared" si="982"/>
        <v>-7227.9129123910825</v>
      </c>
      <c r="T480">
        <f t="shared" si="983"/>
        <v>-7.2279129123910826</v>
      </c>
    </row>
    <row r="481" spans="1:20" x14ac:dyDescent="0.25">
      <c r="A481" s="5">
        <v>44112</v>
      </c>
      <c r="B481">
        <v>1.286E-2</v>
      </c>
      <c r="C481">
        <v>1.3480000000000001E-2</v>
      </c>
      <c r="D481">
        <v>1.206E-2</v>
      </c>
      <c r="E481">
        <v>1.281E-2</v>
      </c>
      <c r="F481">
        <v>2154884.2000000002</v>
      </c>
      <c r="G481">
        <v>0</v>
      </c>
      <c r="L481" t="s">
        <v>7</v>
      </c>
      <c r="M481" t="s">
        <v>7</v>
      </c>
      <c r="N481" t="s">
        <v>8</v>
      </c>
      <c r="P481">
        <f t="shared" si="979"/>
        <v>5.633802816901419E-2</v>
      </c>
      <c r="Q481">
        <f t="shared" si="980"/>
        <v>121401.92676056361</v>
      </c>
      <c r="R481">
        <f t="shared" si="981"/>
        <v>-723301760.00217128</v>
      </c>
      <c r="S481">
        <f t="shared" si="982"/>
        <v>-7233.0176000217125</v>
      </c>
      <c r="T481">
        <f t="shared" si="983"/>
        <v>-7.2330176000217126</v>
      </c>
    </row>
    <row r="482" spans="1:20" x14ac:dyDescent="0.25">
      <c r="A482" s="5">
        <v>44111</v>
      </c>
      <c r="B482">
        <v>1.2800000000000001E-2</v>
      </c>
      <c r="C482">
        <v>1.311E-2</v>
      </c>
      <c r="D482">
        <v>1.2409999999999999E-2</v>
      </c>
      <c r="E482">
        <v>1.2840000000000001E-2</v>
      </c>
      <c r="F482">
        <v>3853885.5</v>
      </c>
      <c r="G482">
        <v>0</v>
      </c>
      <c r="L482" t="s">
        <v>7</v>
      </c>
      <c r="M482" t="s">
        <v>8</v>
      </c>
      <c r="N482" t="s">
        <v>8</v>
      </c>
      <c r="P482">
        <f t="shared" si="979"/>
        <v>0.22857142857143134</v>
      </c>
      <c r="Q482">
        <f t="shared" si="980"/>
        <v>880888.11428572494</v>
      </c>
      <c r="R482">
        <f t="shared" si="981"/>
        <v>-723423161.92893183</v>
      </c>
      <c r="S482">
        <f t="shared" si="982"/>
        <v>-7234.2316192893186</v>
      </c>
      <c r="T482">
        <f t="shared" si="983"/>
        <v>-7.2342316192893188</v>
      </c>
    </row>
    <row r="483" spans="1:20" x14ac:dyDescent="0.25">
      <c r="A483" s="5">
        <v>44110</v>
      </c>
      <c r="B483">
        <v>1.321E-2</v>
      </c>
      <c r="C483">
        <v>1.414E-2</v>
      </c>
      <c r="D483">
        <v>1.243E-2</v>
      </c>
      <c r="E483">
        <v>1.278E-2</v>
      </c>
      <c r="F483">
        <v>23518629.399999999</v>
      </c>
      <c r="G483">
        <v>0</v>
      </c>
      <c r="L483" t="s">
        <v>8</v>
      </c>
      <c r="M483" t="s">
        <v>8</v>
      </c>
      <c r="N483" t="s">
        <v>8</v>
      </c>
      <c r="P483">
        <f t="shared" si="979"/>
        <v>-0.59064327485380153</v>
      </c>
      <c r="Q483">
        <f t="shared" si="980"/>
        <v>-13891120.288888896</v>
      </c>
      <c r="R483">
        <f t="shared" si="981"/>
        <v>-724304050.04321754</v>
      </c>
      <c r="S483">
        <f t="shared" si="982"/>
        <v>-7243.0405004321756</v>
      </c>
      <c r="T483">
        <f t="shared" si="983"/>
        <v>-7.2430405004321754</v>
      </c>
    </row>
    <row r="484" spans="1:20" x14ac:dyDescent="0.25">
      <c r="A484" s="5">
        <v>44109</v>
      </c>
      <c r="B484">
        <v>1.3469999999999999E-2</v>
      </c>
      <c r="C484">
        <v>1.3820000000000001E-2</v>
      </c>
      <c r="D484">
        <v>1.306E-2</v>
      </c>
      <c r="E484">
        <v>1.319E-2</v>
      </c>
      <c r="F484">
        <v>6643795.2999999998</v>
      </c>
      <c r="G484">
        <v>0</v>
      </c>
      <c r="L484" t="s">
        <v>8</v>
      </c>
      <c r="M484" t="s">
        <v>8</v>
      </c>
      <c r="N484" t="s">
        <v>8</v>
      </c>
      <c r="P484">
        <f t="shared" si="979"/>
        <v>-0.65789473684210564</v>
      </c>
      <c r="Q484">
        <f t="shared" si="980"/>
        <v>-4370917.9605263183</v>
      </c>
      <c r="R484">
        <f t="shared" si="981"/>
        <v>-710412929.75432861</v>
      </c>
      <c r="S484">
        <f t="shared" si="982"/>
        <v>-7104.1292975432862</v>
      </c>
      <c r="T484">
        <f t="shared" si="983"/>
        <v>-7.1041292975432864</v>
      </c>
    </row>
    <row r="485" spans="1:20" x14ac:dyDescent="0.25">
      <c r="A485" s="5">
        <v>44108</v>
      </c>
      <c r="B485">
        <v>1.311E-2</v>
      </c>
      <c r="C485">
        <v>1.363E-2</v>
      </c>
      <c r="D485">
        <v>1.285E-2</v>
      </c>
      <c r="E485">
        <v>1.3469999999999999E-2</v>
      </c>
      <c r="F485">
        <v>3369785.9</v>
      </c>
      <c r="G485">
        <v>0</v>
      </c>
      <c r="L485" t="s">
        <v>8</v>
      </c>
      <c r="M485" t="s">
        <v>8</v>
      </c>
      <c r="N485" t="s">
        <v>8</v>
      </c>
      <c r="P485">
        <f t="shared" si="979"/>
        <v>0.58974358974358843</v>
      </c>
      <c r="Q485">
        <f t="shared" si="980"/>
        <v>1987309.6333333289</v>
      </c>
      <c r="R485">
        <f t="shared" si="981"/>
        <v>-706042011.79380226</v>
      </c>
      <c r="S485">
        <f t="shared" si="982"/>
        <v>-7060.4201179380225</v>
      </c>
      <c r="T485">
        <f t="shared" si="983"/>
        <v>-7.0604201179380226</v>
      </c>
    </row>
    <row r="486" spans="1:20" x14ac:dyDescent="0.25">
      <c r="A486" s="5">
        <v>44107</v>
      </c>
      <c r="B486">
        <v>1.308E-2</v>
      </c>
      <c r="C486">
        <v>1.371E-2</v>
      </c>
      <c r="D486">
        <v>1.2749999999999999E-2</v>
      </c>
      <c r="E486">
        <v>1.316E-2</v>
      </c>
      <c r="F486">
        <v>2005872.9</v>
      </c>
      <c r="G486">
        <v>0</v>
      </c>
      <c r="L486" t="s">
        <v>8</v>
      </c>
      <c r="M486" t="s">
        <v>8</v>
      </c>
      <c r="N486" t="s">
        <v>8</v>
      </c>
      <c r="P486">
        <f t="shared" si="979"/>
        <v>-0.1458333333333327</v>
      </c>
      <c r="Q486">
        <f t="shared" si="980"/>
        <v>-292523.1312499987</v>
      </c>
      <c r="R486">
        <f t="shared" si="981"/>
        <v>-708029321.42713559</v>
      </c>
      <c r="S486">
        <f t="shared" si="982"/>
        <v>-7080.2932142713562</v>
      </c>
      <c r="T486">
        <f t="shared" si="983"/>
        <v>-7.0802932142713564</v>
      </c>
    </row>
    <row r="487" spans="1:20" x14ac:dyDescent="0.25">
      <c r="A487" s="5">
        <v>44106</v>
      </c>
      <c r="B487">
        <v>1.325E-2</v>
      </c>
      <c r="C487">
        <v>1.4189999999999999E-2</v>
      </c>
      <c r="D487">
        <v>1.244E-2</v>
      </c>
      <c r="E487">
        <v>1.3100000000000001E-2</v>
      </c>
      <c r="F487">
        <v>9596488.3000000007</v>
      </c>
      <c r="G487">
        <v>0</v>
      </c>
      <c r="L487" t="s">
        <v>7</v>
      </c>
      <c r="M487" t="s">
        <v>8</v>
      </c>
      <c r="N487" t="s">
        <v>8</v>
      </c>
      <c r="P487">
        <f t="shared" si="979"/>
        <v>-0.24571428571428464</v>
      </c>
      <c r="Q487">
        <f t="shared" si="980"/>
        <v>-2357994.2679999899</v>
      </c>
      <c r="R487">
        <f t="shared" si="981"/>
        <v>-707736798.29588556</v>
      </c>
      <c r="S487">
        <f t="shared" si="982"/>
        <v>-7077.3679829588555</v>
      </c>
      <c r="T487">
        <f t="shared" si="983"/>
        <v>-7.0773679829588554</v>
      </c>
    </row>
    <row r="488" spans="1:20" x14ac:dyDescent="0.25">
      <c r="A488" s="5">
        <v>44105</v>
      </c>
      <c r="B488">
        <v>1.353E-2</v>
      </c>
      <c r="C488">
        <v>1.44E-2</v>
      </c>
      <c r="D488">
        <v>1.26E-2</v>
      </c>
      <c r="E488">
        <v>1.325E-2</v>
      </c>
      <c r="F488">
        <v>5049524.7</v>
      </c>
      <c r="G488">
        <v>0</v>
      </c>
      <c r="L488" t="s">
        <v>7</v>
      </c>
      <c r="M488" t="s">
        <v>8</v>
      </c>
      <c r="N488" t="s">
        <v>8</v>
      </c>
      <c r="P488">
        <f t="shared" si="979"/>
        <v>-0.27777777777777812</v>
      </c>
      <c r="Q488">
        <f t="shared" si="980"/>
        <v>-1402645.7500000019</v>
      </c>
      <c r="R488">
        <f t="shared" si="981"/>
        <v>-705378804.02788556</v>
      </c>
      <c r="S488">
        <f t="shared" si="982"/>
        <v>-7053.788040278856</v>
      </c>
      <c r="T488">
        <f t="shared" si="983"/>
        <v>-7.0537880402788558</v>
      </c>
    </row>
    <row r="489" spans="1:20" x14ac:dyDescent="0.25">
      <c r="A489" s="5">
        <v>44104</v>
      </c>
      <c r="B489">
        <v>1.389E-2</v>
      </c>
      <c r="C489">
        <v>1.389E-2</v>
      </c>
      <c r="D489">
        <v>1.315E-2</v>
      </c>
      <c r="E489">
        <v>1.3520000000000001E-2</v>
      </c>
      <c r="F489">
        <v>2741616.5</v>
      </c>
      <c r="G489">
        <v>0</v>
      </c>
      <c r="L489" t="s">
        <v>7</v>
      </c>
      <c r="M489" t="s">
        <v>8</v>
      </c>
      <c r="N489" t="s">
        <v>8</v>
      </c>
      <c r="P489">
        <f t="shared" si="979"/>
        <v>2.3442209134821739E-15</v>
      </c>
      <c r="Q489">
        <f t="shared" si="980"/>
        <v>6.4269547360478006E-9</v>
      </c>
      <c r="R489">
        <f t="shared" si="981"/>
        <v>-703976158.27788556</v>
      </c>
      <c r="S489">
        <f t="shared" si="982"/>
        <v>-7039.7615827788559</v>
      </c>
      <c r="T489">
        <f t="shared" si="983"/>
        <v>-7.0397615827788558</v>
      </c>
    </row>
    <row r="490" spans="1:20" x14ac:dyDescent="0.25">
      <c r="A490" s="5">
        <v>44103</v>
      </c>
      <c r="B490">
        <v>1.362E-2</v>
      </c>
      <c r="C490">
        <v>1.444E-2</v>
      </c>
      <c r="D490">
        <v>1.338E-2</v>
      </c>
      <c r="E490">
        <v>1.388E-2</v>
      </c>
      <c r="F490">
        <v>12847771.300000001</v>
      </c>
      <c r="G490">
        <v>0</v>
      </c>
      <c r="L490" t="s">
        <v>8</v>
      </c>
      <c r="M490" t="s">
        <v>8</v>
      </c>
      <c r="N490" t="s">
        <v>8</v>
      </c>
      <c r="P490">
        <f t="shared" si="979"/>
        <v>-5.6603773584904982E-2</v>
      </c>
      <c r="Q490">
        <f t="shared" si="980"/>
        <v>-727232.33773584035</v>
      </c>
      <c r="R490">
        <f t="shared" si="981"/>
        <v>-703976158.27788556</v>
      </c>
      <c r="S490">
        <f t="shared" si="982"/>
        <v>-7039.7615827788559</v>
      </c>
      <c r="T490">
        <f t="shared" si="983"/>
        <v>-7.0397615827788558</v>
      </c>
    </row>
    <row r="491" spans="1:20" x14ac:dyDescent="0.25">
      <c r="A491" s="5">
        <v>44102</v>
      </c>
      <c r="B491">
        <v>1.397E-2</v>
      </c>
      <c r="C491">
        <v>1.3979999999999999E-2</v>
      </c>
      <c r="D491">
        <v>1.362E-2</v>
      </c>
      <c r="E491">
        <v>1.362E-2</v>
      </c>
      <c r="F491">
        <v>2790018</v>
      </c>
      <c r="G491">
        <v>0</v>
      </c>
      <c r="L491" t="s">
        <v>7</v>
      </c>
      <c r="M491" t="s">
        <v>8</v>
      </c>
      <c r="N491" t="s">
        <v>8</v>
      </c>
      <c r="P491">
        <f t="shared" si="979"/>
        <v>-1</v>
      </c>
      <c r="Q491">
        <f t="shared" si="980"/>
        <v>-2790018</v>
      </c>
      <c r="R491">
        <f t="shared" si="981"/>
        <v>-703248925.94014966</v>
      </c>
      <c r="S491">
        <f t="shared" si="982"/>
        <v>-7032.4892594014964</v>
      </c>
      <c r="T491">
        <f t="shared" si="983"/>
        <v>-7.0324892594014967</v>
      </c>
    </row>
    <row r="492" spans="1:20" x14ac:dyDescent="0.25">
      <c r="A492" s="5">
        <v>44101</v>
      </c>
      <c r="B492">
        <v>1.3979999999999999E-2</v>
      </c>
      <c r="C492">
        <v>1.41E-2</v>
      </c>
      <c r="D492">
        <v>1.3429999999999999E-2</v>
      </c>
      <c r="E492">
        <v>1.397E-2</v>
      </c>
      <c r="F492">
        <v>1640164.4</v>
      </c>
      <c r="G492">
        <v>0</v>
      </c>
      <c r="L492" t="s">
        <v>7</v>
      </c>
      <c r="M492" t="s">
        <v>8</v>
      </c>
      <c r="N492" t="s">
        <v>8</v>
      </c>
      <c r="P492">
        <f t="shared" si="979"/>
        <v>0.61194029850746323</v>
      </c>
      <c r="Q492">
        <f t="shared" si="980"/>
        <v>1003682.6925373143</v>
      </c>
      <c r="R492">
        <f t="shared" si="981"/>
        <v>-700458907.94014966</v>
      </c>
      <c r="S492">
        <f t="shared" si="982"/>
        <v>-7004.5890794014967</v>
      </c>
      <c r="T492">
        <f t="shared" si="983"/>
        <v>-7.0045890794014971</v>
      </c>
    </row>
    <row r="493" spans="1:20" x14ac:dyDescent="0.25">
      <c r="A493" s="5">
        <v>44100</v>
      </c>
      <c r="B493">
        <v>1.426E-2</v>
      </c>
      <c r="C493">
        <v>1.438E-2</v>
      </c>
      <c r="D493">
        <v>1.3899999999999999E-2</v>
      </c>
      <c r="E493">
        <v>1.4019999999999999E-2</v>
      </c>
      <c r="F493">
        <v>1628834.7</v>
      </c>
      <c r="G493">
        <v>0</v>
      </c>
      <c r="L493" t="s">
        <v>8</v>
      </c>
      <c r="M493" t="s">
        <v>8</v>
      </c>
      <c r="N493" t="s">
        <v>8</v>
      </c>
      <c r="P493">
        <f t="shared" si="979"/>
        <v>-0.5</v>
      </c>
      <c r="Q493">
        <f t="shared" si="980"/>
        <v>-814417.35</v>
      </c>
      <c r="R493">
        <f t="shared" si="981"/>
        <v>-701462590.63268697</v>
      </c>
      <c r="S493">
        <f t="shared" si="982"/>
        <v>-7014.6259063268699</v>
      </c>
      <c r="T493">
        <f t="shared" si="983"/>
        <v>-7.0146259063268701</v>
      </c>
    </row>
    <row r="494" spans="1:20" x14ac:dyDescent="0.25">
      <c r="A494" s="5">
        <v>44099</v>
      </c>
      <c r="B494">
        <v>1.396E-2</v>
      </c>
      <c r="C494">
        <v>1.486E-2</v>
      </c>
      <c r="D494">
        <v>1.333E-2</v>
      </c>
      <c r="E494">
        <v>1.426E-2</v>
      </c>
      <c r="F494">
        <v>51810027.399999999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0.21568627450980418</v>
      </c>
      <c r="Q494">
        <f t="shared" si="980"/>
        <v>11174711.792156875</v>
      </c>
      <c r="R494">
        <f t="shared" si="981"/>
        <v>-700648173.28268695</v>
      </c>
      <c r="S494">
        <f t="shared" si="982"/>
        <v>-7006.4817328268691</v>
      </c>
      <c r="T494">
        <f t="shared" si="983"/>
        <v>-7.0064817328268694</v>
      </c>
    </row>
    <row r="495" spans="1:20" x14ac:dyDescent="0.25">
      <c r="A495" s="5">
        <v>44098</v>
      </c>
      <c r="B495">
        <v>1.316E-2</v>
      </c>
      <c r="C495">
        <v>1.3979999999999999E-2</v>
      </c>
      <c r="D495">
        <v>1.311E-2</v>
      </c>
      <c r="E495">
        <v>1.3849999999999999E-2</v>
      </c>
      <c r="F495">
        <v>2469073.5</v>
      </c>
      <c r="G495">
        <v>0</v>
      </c>
      <c r="L495" t="s">
        <v>8</v>
      </c>
      <c r="M495" t="s">
        <v>8</v>
      </c>
      <c r="N495" t="s">
        <v>8</v>
      </c>
      <c r="P495">
        <f t="shared" si="979"/>
        <v>0.70114942528735624</v>
      </c>
      <c r="Q495">
        <f t="shared" si="980"/>
        <v>1731189.4655172413</v>
      </c>
      <c r="R495">
        <f t="shared" si="981"/>
        <v>-711822885.07484376</v>
      </c>
      <c r="S495">
        <f t="shared" si="982"/>
        <v>-7118.2288507484373</v>
      </c>
      <c r="T495">
        <f t="shared" si="983"/>
        <v>-7.1182288507484373</v>
      </c>
    </row>
    <row r="496" spans="1:20" x14ac:dyDescent="0.25">
      <c r="A496" s="5">
        <v>44097</v>
      </c>
      <c r="B496">
        <v>1.367E-2</v>
      </c>
      <c r="C496">
        <v>1.397E-2</v>
      </c>
      <c r="D496">
        <v>1.3140000000000001E-2</v>
      </c>
      <c r="E496">
        <v>1.315E-2</v>
      </c>
      <c r="F496">
        <v>1810675.8</v>
      </c>
      <c r="G496">
        <v>0</v>
      </c>
      <c r="L496" t="s">
        <v>8</v>
      </c>
      <c r="M496" t="s">
        <v>8</v>
      </c>
      <c r="N496" t="s">
        <v>8</v>
      </c>
      <c r="P496">
        <f t="shared" si="979"/>
        <v>-0.97590361445783225</v>
      </c>
      <c r="Q496">
        <f t="shared" si="980"/>
        <v>-1767045.057831327</v>
      </c>
      <c r="R496">
        <f t="shared" si="981"/>
        <v>-713554074.54036105</v>
      </c>
      <c r="S496">
        <f t="shared" si="982"/>
        <v>-7135.5407454036103</v>
      </c>
      <c r="T496">
        <f t="shared" si="983"/>
        <v>-7.1355407454036106</v>
      </c>
    </row>
    <row r="497" spans="1:20" x14ac:dyDescent="0.25">
      <c r="A497" s="5">
        <v>44096</v>
      </c>
      <c r="B497">
        <v>1.333E-2</v>
      </c>
      <c r="C497">
        <v>1.409E-2</v>
      </c>
      <c r="D497">
        <v>1.2829999999999999E-2</v>
      </c>
      <c r="E497">
        <v>1.3679999999999999E-2</v>
      </c>
      <c r="F497">
        <v>3525369.8</v>
      </c>
      <c r="G497">
        <v>0</v>
      </c>
      <c r="L497" t="s">
        <v>8</v>
      </c>
      <c r="M497" t="s">
        <v>8</v>
      </c>
      <c r="N497" t="s">
        <v>8</v>
      </c>
      <c r="P497">
        <f t="shared" si="979"/>
        <v>0.34920634920634858</v>
      </c>
      <c r="Q497">
        <f t="shared" si="980"/>
        <v>1231081.5174603153</v>
      </c>
      <c r="R497">
        <f t="shared" si="981"/>
        <v>-711787029.48252976</v>
      </c>
      <c r="S497">
        <f t="shared" si="982"/>
        <v>-7117.8702948252976</v>
      </c>
      <c r="T497">
        <f t="shared" si="983"/>
        <v>-7.1178702948252974</v>
      </c>
    </row>
    <row r="498" spans="1:20" x14ac:dyDescent="0.25">
      <c r="A498" s="5">
        <v>44095</v>
      </c>
      <c r="B498">
        <v>1.421E-2</v>
      </c>
      <c r="C498">
        <v>1.4290000000000001E-2</v>
      </c>
      <c r="D498">
        <v>1.2529999999999999E-2</v>
      </c>
      <c r="E498">
        <v>1.3480000000000001E-2</v>
      </c>
      <c r="F498">
        <v>7533002.0999999996</v>
      </c>
      <c r="G498">
        <v>0</v>
      </c>
      <c r="L498" t="s">
        <v>7</v>
      </c>
      <c r="M498" t="s">
        <v>8</v>
      </c>
      <c r="N498" t="s">
        <v>8</v>
      </c>
      <c r="P498">
        <f t="shared" si="979"/>
        <v>7.9545454545455196E-2</v>
      </c>
      <c r="Q498">
        <f t="shared" si="980"/>
        <v>599216.07613636856</v>
      </c>
      <c r="R498">
        <f t="shared" si="981"/>
        <v>-713018110.99999011</v>
      </c>
      <c r="S498">
        <f t="shared" si="982"/>
        <v>-7130.1811099999013</v>
      </c>
      <c r="T498">
        <f t="shared" si="983"/>
        <v>-7.1301811099999011</v>
      </c>
    </row>
    <row r="499" spans="1:20" x14ac:dyDescent="0.25">
      <c r="A499" s="5">
        <v>44094</v>
      </c>
      <c r="B499">
        <v>1.426E-2</v>
      </c>
      <c r="C499">
        <v>1.4330000000000001E-2</v>
      </c>
      <c r="D499">
        <v>1.34E-2</v>
      </c>
      <c r="E499">
        <v>1.421E-2</v>
      </c>
      <c r="F499">
        <v>3886028.2</v>
      </c>
      <c r="G499">
        <v>0</v>
      </c>
      <c r="L499" t="s">
        <v>7</v>
      </c>
      <c r="M499" t="s">
        <v>8</v>
      </c>
      <c r="N499" t="s">
        <v>8</v>
      </c>
      <c r="P499">
        <f t="shared" si="979"/>
        <v>0.74193548387096719</v>
      </c>
      <c r="Q499">
        <f t="shared" si="980"/>
        <v>2883182.2129032239</v>
      </c>
      <c r="R499">
        <f t="shared" si="981"/>
        <v>-713617327.07612646</v>
      </c>
      <c r="S499">
        <f t="shared" si="982"/>
        <v>-7136.1732707612646</v>
      </c>
      <c r="T499">
        <f t="shared" si="983"/>
        <v>-7.1361732707612644</v>
      </c>
    </row>
    <row r="500" spans="1:20" x14ac:dyDescent="0.25">
      <c r="A500" s="5">
        <v>44093</v>
      </c>
      <c r="B500">
        <v>1.3390000000000001E-2</v>
      </c>
      <c r="C500">
        <v>1.4579999999999999E-2</v>
      </c>
      <c r="D500">
        <v>1.338E-2</v>
      </c>
      <c r="E500">
        <v>1.426E-2</v>
      </c>
      <c r="F500">
        <v>10284776.4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0.46666666666666801</v>
      </c>
      <c r="Q500">
        <f t="shared" si="980"/>
        <v>4799562.3200000143</v>
      </c>
      <c r="R500">
        <f t="shared" si="981"/>
        <v>-716500509.28902972</v>
      </c>
      <c r="S500">
        <f t="shared" si="982"/>
        <v>-7165.0050928902974</v>
      </c>
      <c r="T500">
        <f t="shared" si="983"/>
        <v>-7.1650050928902971</v>
      </c>
    </row>
    <row r="501" spans="1:20" x14ac:dyDescent="0.25">
      <c r="A501" s="5">
        <v>44092</v>
      </c>
      <c r="B501">
        <v>1.302E-2</v>
      </c>
      <c r="C501">
        <v>1.379E-2</v>
      </c>
      <c r="D501">
        <v>1.298E-2</v>
      </c>
      <c r="E501">
        <v>1.338E-2</v>
      </c>
      <c r="F501">
        <v>4774210.0999999996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-1.2345679012347318E-2</v>
      </c>
      <c r="Q501">
        <f t="shared" si="980"/>
        <v>-58940.865432106584</v>
      </c>
      <c r="R501">
        <f t="shared" si="981"/>
        <v>-721300071.60902977</v>
      </c>
      <c r="S501">
        <f t="shared" si="982"/>
        <v>-7213.0007160902978</v>
      </c>
      <c r="T501">
        <f t="shared" si="983"/>
        <v>-7.2130007160902982</v>
      </c>
    </row>
    <row r="502" spans="1:20" x14ac:dyDescent="0.25">
      <c r="A502" s="5">
        <v>44091</v>
      </c>
      <c r="B502">
        <v>1.2880000000000001E-2</v>
      </c>
      <c r="C502">
        <v>1.34E-2</v>
      </c>
      <c r="D502">
        <v>1.2670000000000001E-2</v>
      </c>
      <c r="E502">
        <v>1.302E-2</v>
      </c>
      <c r="F502">
        <v>3802061.8</v>
      </c>
      <c r="G502">
        <v>0</v>
      </c>
      <c r="L502" t="s">
        <v>8</v>
      </c>
      <c r="M502" t="s">
        <v>7</v>
      </c>
      <c r="N502" t="s">
        <v>8</v>
      </c>
      <c r="P502">
        <f t="shared" si="979"/>
        <v>-4.1095890410959623E-2</v>
      </c>
      <c r="Q502">
        <f t="shared" si="980"/>
        <v>-156249.11506849588</v>
      </c>
      <c r="R502">
        <f t="shared" si="981"/>
        <v>-721241130.74359763</v>
      </c>
      <c r="S502">
        <f t="shared" si="982"/>
        <v>-7212.4113074359766</v>
      </c>
      <c r="T502">
        <f t="shared" si="983"/>
        <v>-7.2124113074359766</v>
      </c>
    </row>
    <row r="503" spans="1:20" x14ac:dyDescent="0.25">
      <c r="A503" s="5">
        <v>44090</v>
      </c>
      <c r="B503">
        <v>1.24E-2</v>
      </c>
      <c r="C503">
        <v>1.362E-2</v>
      </c>
      <c r="D503">
        <v>1.15E-2</v>
      </c>
      <c r="E503">
        <v>1.29E-2</v>
      </c>
      <c r="F503">
        <v>13616579.9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0.32075471698113206</v>
      </c>
      <c r="Q503">
        <f t="shared" si="980"/>
        <v>4367582.2320754714</v>
      </c>
      <c r="R503">
        <f t="shared" si="981"/>
        <v>-721084881.62852907</v>
      </c>
      <c r="S503">
        <f t="shared" si="982"/>
        <v>-7210.8488162852909</v>
      </c>
      <c r="T503">
        <f t="shared" si="983"/>
        <v>-7.2108488162852913</v>
      </c>
    </row>
    <row r="504" spans="1:20" x14ac:dyDescent="0.25">
      <c r="A504" s="5">
        <v>44089</v>
      </c>
      <c r="B504">
        <v>1.436E-2</v>
      </c>
      <c r="C504">
        <v>1.443E-2</v>
      </c>
      <c r="D504">
        <v>1.2279999999999999E-2</v>
      </c>
      <c r="E504">
        <v>1.23E-2</v>
      </c>
      <c r="F504">
        <v>17389097.800000001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-0.98139534883720847</v>
      </c>
      <c r="Q504">
        <f t="shared" si="980"/>
        <v>-17065579.701395337</v>
      </c>
      <c r="R504">
        <f t="shared" si="981"/>
        <v>-725452463.86060452</v>
      </c>
      <c r="S504">
        <f t="shared" si="982"/>
        <v>-7254.5246386060453</v>
      </c>
      <c r="T504">
        <f t="shared" si="983"/>
        <v>-7.2545246386060454</v>
      </c>
    </row>
    <row r="505" spans="1:20" x14ac:dyDescent="0.25">
      <c r="A505" s="5">
        <v>44088</v>
      </c>
      <c r="B505">
        <v>1.387E-2</v>
      </c>
      <c r="C505">
        <v>1.4590000000000001E-2</v>
      </c>
      <c r="D505">
        <v>1.3860000000000001E-2</v>
      </c>
      <c r="E505">
        <v>1.435E-2</v>
      </c>
      <c r="F505">
        <v>12265719.300000001</v>
      </c>
      <c r="G505">
        <v>0</v>
      </c>
      <c r="L505" t="s">
        <v>7</v>
      </c>
      <c r="M505" t="s">
        <v>8</v>
      </c>
      <c r="N505" t="s">
        <v>8</v>
      </c>
      <c r="P505">
        <f t="shared" si="979"/>
        <v>0.34246575342465557</v>
      </c>
      <c r="Q505">
        <f t="shared" si="980"/>
        <v>4200588.8013698393</v>
      </c>
      <c r="R505">
        <f t="shared" si="981"/>
        <v>-708386884.15920913</v>
      </c>
      <c r="S505">
        <f t="shared" si="982"/>
        <v>-7083.8688415920915</v>
      </c>
      <c r="T505">
        <f t="shared" si="983"/>
        <v>-7.0838688415920918</v>
      </c>
    </row>
    <row r="506" spans="1:20" x14ac:dyDescent="0.25">
      <c r="A506" s="5">
        <v>44087</v>
      </c>
      <c r="B506">
        <v>1.3899999999999999E-2</v>
      </c>
      <c r="C506">
        <v>1.532E-2</v>
      </c>
      <c r="D506">
        <v>1.3440000000000001E-2</v>
      </c>
      <c r="E506">
        <v>1.387E-2</v>
      </c>
      <c r="F506">
        <v>32691424.800000001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-0.54255319148936187</v>
      </c>
      <c r="Q506">
        <f t="shared" si="980"/>
        <v>-17736836.859574474</v>
      </c>
      <c r="R506">
        <f t="shared" si="981"/>
        <v>-712587472.96057892</v>
      </c>
      <c r="S506">
        <f t="shared" si="982"/>
        <v>-7125.8747296057891</v>
      </c>
      <c r="T506">
        <f t="shared" si="983"/>
        <v>-7.1258747296057887</v>
      </c>
    </row>
    <row r="507" spans="1:20" x14ac:dyDescent="0.25">
      <c r="A507" s="5">
        <v>44086</v>
      </c>
      <c r="B507">
        <v>1.3690000000000001E-2</v>
      </c>
      <c r="C507">
        <v>1.468E-2</v>
      </c>
      <c r="D507">
        <v>1.324E-2</v>
      </c>
      <c r="E507">
        <v>1.393E-2</v>
      </c>
      <c r="F507">
        <v>20299046.300000001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-4.1666666666667372E-2</v>
      </c>
      <c r="Q507">
        <f t="shared" si="980"/>
        <v>-845793.59583334764</v>
      </c>
      <c r="R507">
        <f t="shared" si="981"/>
        <v>-694850636.10100448</v>
      </c>
      <c r="S507">
        <f t="shared" si="982"/>
        <v>-6948.5063610100451</v>
      </c>
      <c r="T507">
        <f t="shared" si="983"/>
        <v>-6.948506361010045</v>
      </c>
    </row>
    <row r="508" spans="1:20" x14ac:dyDescent="0.25">
      <c r="A508" s="5">
        <v>44085</v>
      </c>
      <c r="B508">
        <v>1.383E-2</v>
      </c>
      <c r="C508">
        <v>1.413E-2</v>
      </c>
      <c r="D508">
        <v>1.2749999999999999E-2</v>
      </c>
      <c r="E508">
        <v>1.374E-2</v>
      </c>
      <c r="F508">
        <v>10179063.800000001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0.43478260869565299</v>
      </c>
      <c r="Q508">
        <f t="shared" si="980"/>
        <v>4425679.9130434869</v>
      </c>
      <c r="R508">
        <f t="shared" si="981"/>
        <v>-694004842.50517118</v>
      </c>
      <c r="S508">
        <f t="shared" si="982"/>
        <v>-6940.048425051712</v>
      </c>
      <c r="T508">
        <f t="shared" si="983"/>
        <v>-6.940048425051712</v>
      </c>
    </row>
    <row r="509" spans="1:20" x14ac:dyDescent="0.25">
      <c r="A509" s="5">
        <v>44084</v>
      </c>
      <c r="B509">
        <v>1.414E-2</v>
      </c>
      <c r="C509">
        <v>1.499E-2</v>
      </c>
      <c r="D509">
        <v>1.362E-2</v>
      </c>
      <c r="E509">
        <v>1.383E-2</v>
      </c>
      <c r="F509">
        <v>22060224.199999999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-0.69343065693430628</v>
      </c>
      <c r="Q509">
        <f t="shared" si="980"/>
        <v>-15297235.75912408</v>
      </c>
      <c r="R509">
        <f t="shared" si="981"/>
        <v>-698430522.41821468</v>
      </c>
      <c r="S509">
        <f t="shared" si="982"/>
        <v>-6984.305224182147</v>
      </c>
      <c r="T509">
        <f t="shared" si="983"/>
        <v>-6.9843052241821466</v>
      </c>
    </row>
    <row r="510" spans="1:20" x14ac:dyDescent="0.25">
      <c r="A510" s="5">
        <v>44083</v>
      </c>
      <c r="B510">
        <v>1.4030000000000001E-2</v>
      </c>
      <c r="C510">
        <v>1.482E-2</v>
      </c>
      <c r="D510">
        <v>1.2409999999999999E-2</v>
      </c>
      <c r="E510">
        <v>1.41E-2</v>
      </c>
      <c r="F510">
        <v>33976435.399999999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0.40248962655601667</v>
      </c>
      <c r="Q510">
        <f t="shared" si="980"/>
        <v>13675162.795850623</v>
      </c>
      <c r="R510">
        <f t="shared" si="981"/>
        <v>-683133286.65909064</v>
      </c>
      <c r="S510">
        <f t="shared" si="982"/>
        <v>-6831.3328665909066</v>
      </c>
      <c r="T510">
        <f t="shared" si="983"/>
        <v>-6.8313328665909063</v>
      </c>
    </row>
    <row r="511" spans="1:20" x14ac:dyDescent="0.25">
      <c r="A511" s="5">
        <v>44082</v>
      </c>
      <c r="B511">
        <v>1.337E-2</v>
      </c>
      <c r="C511">
        <v>1.478E-2</v>
      </c>
      <c r="D511">
        <v>1.221E-2</v>
      </c>
      <c r="E511">
        <v>1.4019999999999999E-2</v>
      </c>
      <c r="F511">
        <v>33634378.299999997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0.40856031128404635</v>
      </c>
      <c r="Q511">
        <f t="shared" si="980"/>
        <v>13741672.068093373</v>
      </c>
      <c r="R511">
        <f t="shared" si="981"/>
        <v>-696808449.45494127</v>
      </c>
      <c r="S511">
        <f t="shared" si="982"/>
        <v>-6968.0844945494127</v>
      </c>
      <c r="T511">
        <f t="shared" si="983"/>
        <v>-6.9680844945494131</v>
      </c>
    </row>
    <row r="512" spans="1:20" x14ac:dyDescent="0.25">
      <c r="A512" s="5">
        <v>44081</v>
      </c>
      <c r="B512">
        <v>1.2880000000000001E-2</v>
      </c>
      <c r="C512">
        <v>1.3469999999999999E-2</v>
      </c>
      <c r="D512">
        <v>1.158E-2</v>
      </c>
      <c r="E512">
        <v>1.324E-2</v>
      </c>
      <c r="F512">
        <v>10903700.4</v>
      </c>
      <c r="G512">
        <v>0</v>
      </c>
      <c r="L512" t="s">
        <v>7</v>
      </c>
      <c r="M512" t="s">
        <v>8</v>
      </c>
      <c r="N512" t="s">
        <v>7</v>
      </c>
      <c r="P512">
        <f t="shared" si="979"/>
        <v>0.75661375661375729</v>
      </c>
      <c r="Q512">
        <f t="shared" si="980"/>
        <v>8249889.720634928</v>
      </c>
      <c r="R512">
        <f t="shared" si="981"/>
        <v>-710550121.52303469</v>
      </c>
      <c r="S512">
        <f t="shared" si="982"/>
        <v>-7105.501215230347</v>
      </c>
      <c r="T512">
        <f t="shared" si="983"/>
        <v>-7.1055012152303467</v>
      </c>
    </row>
    <row r="513" spans="1:20" x14ac:dyDescent="0.25">
      <c r="A513" s="5">
        <v>44080</v>
      </c>
      <c r="B513">
        <v>1.205E-2</v>
      </c>
      <c r="C513">
        <v>1.357E-2</v>
      </c>
      <c r="D513">
        <v>1.125E-2</v>
      </c>
      <c r="E513">
        <v>1.303E-2</v>
      </c>
      <c r="F513">
        <v>11787169.300000001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0.53448275862068939</v>
      </c>
      <c r="Q513">
        <f t="shared" si="980"/>
        <v>6300038.7637931006</v>
      </c>
      <c r="R513">
        <f t="shared" si="981"/>
        <v>-718800011.24366963</v>
      </c>
      <c r="S513">
        <f t="shared" si="982"/>
        <v>-7188.0001124366963</v>
      </c>
      <c r="T513">
        <f t="shared" si="983"/>
        <v>-7.1880001124366961</v>
      </c>
    </row>
    <row r="514" spans="1:20" x14ac:dyDescent="0.25">
      <c r="A514" s="5">
        <v>44079</v>
      </c>
      <c r="B514">
        <v>1.396E-2</v>
      </c>
      <c r="C514">
        <v>1.5140000000000001E-2</v>
      </c>
      <c r="D514">
        <v>1.1169999999999999E-2</v>
      </c>
      <c r="E514">
        <v>1.217E-2</v>
      </c>
      <c r="F514">
        <v>24577761.100000001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-0.49622166246851357</v>
      </c>
      <c r="Q514">
        <f t="shared" si="980"/>
        <v>-12196017.472795963</v>
      </c>
      <c r="R514">
        <f t="shared" si="981"/>
        <v>-725100050.00746274</v>
      </c>
      <c r="S514">
        <f t="shared" si="982"/>
        <v>-7251.0005000746278</v>
      </c>
      <c r="T514">
        <f t="shared" si="983"/>
        <v>-7.2510005000746274</v>
      </c>
    </row>
    <row r="515" spans="1:20" x14ac:dyDescent="0.25">
      <c r="A515" s="5">
        <v>44078</v>
      </c>
      <c r="B515">
        <v>1.272E-2</v>
      </c>
      <c r="C515">
        <v>1.4120000000000001E-2</v>
      </c>
      <c r="D515">
        <v>1.1650000000000001E-2</v>
      </c>
      <c r="E515">
        <v>1.388E-2</v>
      </c>
      <c r="F515">
        <v>18914662.199999999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0.80566801619433148</v>
      </c>
      <c r="Q515">
        <f t="shared" si="980"/>
        <v>15238938.371659908</v>
      </c>
      <c r="R515">
        <f t="shared" si="981"/>
        <v>-712904032.53466678</v>
      </c>
      <c r="S515">
        <f t="shared" si="982"/>
        <v>-7129.0403253466675</v>
      </c>
      <c r="T515">
        <f t="shared" si="983"/>
        <v>-7.1290403253466677</v>
      </c>
    </row>
    <row r="516" spans="1:20" x14ac:dyDescent="0.25">
      <c r="A516" s="5">
        <v>44077</v>
      </c>
      <c r="B516">
        <v>1.559E-2</v>
      </c>
      <c r="C516">
        <v>1.6049999999999998E-2</v>
      </c>
      <c r="D516">
        <v>1.255E-2</v>
      </c>
      <c r="E516">
        <v>1.2659999999999999E-2</v>
      </c>
      <c r="F516">
        <v>29759539.600000001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-0.93714285714285772</v>
      </c>
      <c r="Q516">
        <f t="shared" si="980"/>
        <v>-27888939.968000017</v>
      </c>
      <c r="R516">
        <f t="shared" si="981"/>
        <v>-728142970.90632665</v>
      </c>
      <c r="S516">
        <f t="shared" si="982"/>
        <v>-7281.4297090632663</v>
      </c>
      <c r="T516">
        <f t="shared" si="983"/>
        <v>-7.281429709063266</v>
      </c>
    </row>
    <row r="517" spans="1:20" x14ac:dyDescent="0.25">
      <c r="A517" s="5">
        <v>44076</v>
      </c>
      <c r="B517">
        <v>1.6500000000000001E-2</v>
      </c>
      <c r="C517">
        <v>1.7100000000000001E-2</v>
      </c>
      <c r="D517">
        <v>1.5049999999999999E-2</v>
      </c>
      <c r="E517">
        <v>1.5630000000000002E-2</v>
      </c>
      <c r="F517">
        <v>31703502.399999999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-0.43414634146341269</v>
      </c>
      <c r="Q517">
        <f t="shared" si="980"/>
        <v>-13763959.578536524</v>
      </c>
      <c r="R517">
        <f t="shared" si="981"/>
        <v>-700254030.9383266</v>
      </c>
      <c r="S517">
        <f t="shared" si="982"/>
        <v>-7002.5403093832656</v>
      </c>
      <c r="T517">
        <f t="shared" si="983"/>
        <v>-7.0025403093832654</v>
      </c>
    </row>
    <row r="518" spans="1:20" x14ac:dyDescent="0.25">
      <c r="A518" s="5">
        <v>44075</v>
      </c>
      <c r="B518">
        <v>1.8429999999999998E-2</v>
      </c>
      <c r="C518">
        <v>2.1590000000000002E-2</v>
      </c>
      <c r="D518">
        <v>1.6289999999999999E-2</v>
      </c>
      <c r="E518">
        <v>1.652E-2</v>
      </c>
      <c r="F518">
        <v>213694726.90000001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-0.91320754716981101</v>
      </c>
      <c r="Q518">
        <f t="shared" ref="Q518:Q581" si="985">F518*P518</f>
        <v>-195147637.39547163</v>
      </c>
      <c r="R518">
        <f t="shared" ref="R518:R581" si="986">R519+Q518</f>
        <v>-686490071.35979009</v>
      </c>
      <c r="S518">
        <f t="shared" ref="S518:S581" si="987">R518/100000</f>
        <v>-6864.9007135979009</v>
      </c>
      <c r="T518">
        <f t="shared" ref="T518:T581" si="988">S518/1000</f>
        <v>-6.8649007135979012</v>
      </c>
    </row>
    <row r="519" spans="1:20" x14ac:dyDescent="0.25">
      <c r="A519" s="5">
        <v>44074</v>
      </c>
      <c r="B519">
        <v>1.4659999999999999E-2</v>
      </c>
      <c r="C519">
        <v>2.1760000000000002E-2</v>
      </c>
      <c r="D519">
        <v>1.444E-2</v>
      </c>
      <c r="E519">
        <v>1.847E-2</v>
      </c>
      <c r="F519">
        <v>192895057.69999999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0.10109289617486328</v>
      </c>
      <c r="Q519">
        <f t="shared" si="985"/>
        <v>19500320.04071036</v>
      </c>
      <c r="R519">
        <f t="shared" si="986"/>
        <v>-491342433.96431839</v>
      </c>
      <c r="S519">
        <f t="shared" si="987"/>
        <v>-4913.4243396431839</v>
      </c>
      <c r="T519">
        <f t="shared" si="988"/>
        <v>-4.9134243396431838</v>
      </c>
    </row>
    <row r="520" spans="1:20" x14ac:dyDescent="0.25">
      <c r="A520" s="5">
        <v>44073</v>
      </c>
      <c r="B520">
        <v>1.5299999999999999E-2</v>
      </c>
      <c r="C520">
        <v>1.6E-2</v>
      </c>
      <c r="D520">
        <v>1.4579999999999999E-2</v>
      </c>
      <c r="E520">
        <v>1.469E-2</v>
      </c>
      <c r="F520">
        <v>14941729.5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-0.84507042253521036</v>
      </c>
      <c r="Q520">
        <f t="shared" si="985"/>
        <v>-12626813.661971817</v>
      </c>
      <c r="R520">
        <f t="shared" si="986"/>
        <v>-510842754.00502872</v>
      </c>
      <c r="S520">
        <f t="shared" si="987"/>
        <v>-5108.4275400502875</v>
      </c>
      <c r="T520">
        <f t="shared" si="988"/>
        <v>-5.1084275400502879</v>
      </c>
    </row>
    <row r="521" spans="1:20" x14ac:dyDescent="0.25">
      <c r="A521" s="5">
        <v>44072</v>
      </c>
      <c r="B521">
        <v>1.5520000000000001E-2</v>
      </c>
      <c r="C521">
        <v>1.559E-2</v>
      </c>
      <c r="D521">
        <v>1.472E-2</v>
      </c>
      <c r="E521">
        <v>1.5270000000000001E-2</v>
      </c>
      <c r="F521">
        <v>11567591.6</v>
      </c>
      <c r="G521">
        <v>0</v>
      </c>
      <c r="L521" t="s">
        <v>7</v>
      </c>
      <c r="M521" t="s">
        <v>8</v>
      </c>
      <c r="N521" t="s">
        <v>8</v>
      </c>
      <c r="P521">
        <f t="shared" si="984"/>
        <v>0.26436781609195542</v>
      </c>
      <c r="Q521">
        <f t="shared" si="985"/>
        <v>3058098.9287356483</v>
      </c>
      <c r="R521">
        <f t="shared" si="986"/>
        <v>-498215940.34305692</v>
      </c>
      <c r="S521">
        <f t="shared" si="987"/>
        <v>-4982.159403430569</v>
      </c>
      <c r="T521">
        <f t="shared" si="988"/>
        <v>-4.9821594034305692</v>
      </c>
    </row>
    <row r="522" spans="1:20" x14ac:dyDescent="0.25">
      <c r="A522" s="5">
        <v>44071</v>
      </c>
      <c r="B522">
        <v>1.54E-2</v>
      </c>
      <c r="C522">
        <v>1.6E-2</v>
      </c>
      <c r="D522">
        <v>1.511E-2</v>
      </c>
      <c r="E522">
        <v>1.5509999999999999E-2</v>
      </c>
      <c r="F522">
        <v>10870108.300000001</v>
      </c>
      <c r="G522">
        <v>0</v>
      </c>
      <c r="L522" t="s">
        <v>7</v>
      </c>
      <c r="M522" t="s">
        <v>8</v>
      </c>
      <c r="N522" t="s">
        <v>8</v>
      </c>
      <c r="P522">
        <f t="shared" si="984"/>
        <v>-0.10112359550561968</v>
      </c>
      <c r="Q522">
        <f t="shared" si="985"/>
        <v>-1099224.4348314793</v>
      </c>
      <c r="R522">
        <f t="shared" si="986"/>
        <v>-501274039.27179259</v>
      </c>
      <c r="S522">
        <f t="shared" si="987"/>
        <v>-5012.7403927179257</v>
      </c>
      <c r="T522">
        <f t="shared" si="988"/>
        <v>-5.0127403927179257</v>
      </c>
    </row>
    <row r="523" spans="1:20" x14ac:dyDescent="0.25">
      <c r="A523" s="5">
        <v>44070</v>
      </c>
      <c r="B523">
        <v>1.5789999999999998E-2</v>
      </c>
      <c r="C523">
        <v>1.6979999999999999E-2</v>
      </c>
      <c r="D523">
        <v>1.44E-2</v>
      </c>
      <c r="E523">
        <v>1.54E-2</v>
      </c>
      <c r="F523">
        <v>46356573.700000003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-0.22480620155038661</v>
      </c>
      <c r="Q523">
        <f t="shared" si="985"/>
        <v>-10421245.250387551</v>
      </c>
      <c r="R523">
        <f t="shared" si="986"/>
        <v>-500174814.83696109</v>
      </c>
      <c r="S523">
        <f t="shared" si="987"/>
        <v>-5001.748148369611</v>
      </c>
      <c r="T523">
        <f t="shared" si="988"/>
        <v>-5.0017481483696109</v>
      </c>
    </row>
    <row r="524" spans="1:20" x14ac:dyDescent="0.25">
      <c r="A524" s="5">
        <v>44069</v>
      </c>
      <c r="B524">
        <v>1.532E-2</v>
      </c>
      <c r="C524">
        <v>1.6199999999999999E-2</v>
      </c>
      <c r="D524">
        <v>1.4959999999999999E-2</v>
      </c>
      <c r="E524">
        <v>1.585E-2</v>
      </c>
      <c r="F524">
        <v>19618046.300000001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0.43548387096774244</v>
      </c>
      <c r="Q524">
        <f t="shared" si="985"/>
        <v>8543342.743548397</v>
      </c>
      <c r="R524">
        <f t="shared" si="986"/>
        <v>-489753569.58657354</v>
      </c>
      <c r="S524">
        <f t="shared" si="987"/>
        <v>-4897.5356958657358</v>
      </c>
      <c r="T524">
        <f t="shared" si="988"/>
        <v>-4.8975356958657361</v>
      </c>
    </row>
    <row r="525" spans="1:20" x14ac:dyDescent="0.25">
      <c r="A525" s="5">
        <v>44068</v>
      </c>
      <c r="B525">
        <v>1.626E-2</v>
      </c>
      <c r="C525">
        <v>1.6500000000000001E-2</v>
      </c>
      <c r="D525">
        <v>1.4460000000000001E-2</v>
      </c>
      <c r="E525">
        <v>1.536E-2</v>
      </c>
      <c r="F525">
        <v>17824180.399999999</v>
      </c>
      <c r="G525">
        <v>0</v>
      </c>
      <c r="L525" t="s">
        <v>7</v>
      </c>
      <c r="M525" t="s">
        <v>8</v>
      </c>
      <c r="N525" t="s">
        <v>8</v>
      </c>
      <c r="P525">
        <f t="shared" si="984"/>
        <v>-0.11764705882352972</v>
      </c>
      <c r="Q525">
        <f t="shared" si="985"/>
        <v>-2096962.4000000053</v>
      </c>
      <c r="R525">
        <f t="shared" si="986"/>
        <v>-498296912.33012193</v>
      </c>
      <c r="S525">
        <f t="shared" si="987"/>
        <v>-4982.969123301219</v>
      </c>
      <c r="T525">
        <f t="shared" si="988"/>
        <v>-4.9829691233012188</v>
      </c>
    </row>
    <row r="526" spans="1:20" x14ac:dyDescent="0.25">
      <c r="A526" s="5">
        <v>44067</v>
      </c>
      <c r="B526">
        <v>1.5219999999999999E-2</v>
      </c>
      <c r="C526">
        <v>1.6979999999999999E-2</v>
      </c>
      <c r="D526">
        <v>1.474E-2</v>
      </c>
      <c r="E526">
        <v>1.626E-2</v>
      </c>
      <c r="F526">
        <v>25439426.100000001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0.35714285714285826</v>
      </c>
      <c r="Q526">
        <f t="shared" si="985"/>
        <v>9085509.3214286007</v>
      </c>
      <c r="R526">
        <f t="shared" si="986"/>
        <v>-496199949.93012196</v>
      </c>
      <c r="S526">
        <f t="shared" si="987"/>
        <v>-4961.9994993012197</v>
      </c>
      <c r="T526">
        <f t="shared" si="988"/>
        <v>-4.9619994993012195</v>
      </c>
    </row>
    <row r="527" spans="1:20" x14ac:dyDescent="0.25">
      <c r="A527" s="5">
        <v>44066</v>
      </c>
      <c r="B527">
        <v>1.5440000000000001E-2</v>
      </c>
      <c r="C527">
        <v>1.5480000000000001E-2</v>
      </c>
      <c r="D527">
        <v>1.473E-2</v>
      </c>
      <c r="E527">
        <v>1.524E-2</v>
      </c>
      <c r="F527">
        <v>9640660.0999999996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0.35999999999999888</v>
      </c>
      <c r="Q527">
        <f t="shared" si="985"/>
        <v>3470637.6359999892</v>
      </c>
      <c r="R527">
        <f t="shared" si="986"/>
        <v>-505285459.25155056</v>
      </c>
      <c r="S527">
        <f t="shared" si="987"/>
        <v>-5052.8545925155058</v>
      </c>
      <c r="T527">
        <f t="shared" si="988"/>
        <v>-5.0528545925155059</v>
      </c>
    </row>
    <row r="528" spans="1:20" x14ac:dyDescent="0.25">
      <c r="A528" s="5">
        <v>44065</v>
      </c>
      <c r="B528">
        <v>1.4659999999999999E-2</v>
      </c>
      <c r="C528">
        <v>1.554E-2</v>
      </c>
      <c r="D528">
        <v>1.3849999999999999E-2</v>
      </c>
      <c r="E528">
        <v>1.553E-2</v>
      </c>
      <c r="F528">
        <v>14268962.300000001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0.98816568047337328</v>
      </c>
      <c r="Q528">
        <f t="shared" si="985"/>
        <v>14100098.840828409</v>
      </c>
      <c r="R528">
        <f t="shared" si="986"/>
        <v>-508756096.88755053</v>
      </c>
      <c r="S528">
        <f t="shared" si="987"/>
        <v>-5087.5609688755058</v>
      </c>
      <c r="T528">
        <f t="shared" si="988"/>
        <v>-5.0875609688755059</v>
      </c>
    </row>
    <row r="529" spans="1:20" x14ac:dyDescent="0.25">
      <c r="A529" s="5">
        <v>44064</v>
      </c>
      <c r="B529">
        <v>1.6039999999999999E-2</v>
      </c>
      <c r="C529">
        <v>1.6650000000000002E-2</v>
      </c>
      <c r="D529">
        <v>1.464E-2</v>
      </c>
      <c r="E529">
        <v>1.4659999999999999E-2</v>
      </c>
      <c r="F529">
        <v>12084232.6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-0.98009950248756306</v>
      </c>
      <c r="Q529">
        <f t="shared" si="985"/>
        <v>-11843750.359203991</v>
      </c>
      <c r="R529">
        <f t="shared" si="986"/>
        <v>-522856195.72837895</v>
      </c>
      <c r="S529">
        <f t="shared" si="987"/>
        <v>-5228.5619572837895</v>
      </c>
      <c r="T529">
        <f t="shared" si="988"/>
        <v>-5.2285619572837891</v>
      </c>
    </row>
    <row r="530" spans="1:20" x14ac:dyDescent="0.25">
      <c r="A530" s="5">
        <v>44063</v>
      </c>
      <c r="B530">
        <v>1.5679999999999999E-2</v>
      </c>
      <c r="C530">
        <v>1.6500000000000001E-2</v>
      </c>
      <c r="D530">
        <v>1.495E-2</v>
      </c>
      <c r="E530">
        <v>1.6049999999999998E-2</v>
      </c>
      <c r="F530">
        <v>17890734.5</v>
      </c>
      <c r="G530">
        <v>0</v>
      </c>
      <c r="L530" t="s">
        <v>7</v>
      </c>
      <c r="M530" t="s">
        <v>7</v>
      </c>
      <c r="N530" t="s">
        <v>8</v>
      </c>
      <c r="P530">
        <f t="shared" si="984"/>
        <v>0.4193548387096746</v>
      </c>
      <c r="Q530">
        <f t="shared" si="985"/>
        <v>7502566.0806451114</v>
      </c>
      <c r="R530">
        <f t="shared" si="986"/>
        <v>-511012445.36917496</v>
      </c>
      <c r="S530">
        <f t="shared" si="987"/>
        <v>-5110.1244536917493</v>
      </c>
      <c r="T530">
        <f t="shared" si="988"/>
        <v>-5.1101244536917489</v>
      </c>
    </row>
    <row r="531" spans="1:20" x14ac:dyDescent="0.25">
      <c r="A531" s="5">
        <v>44062</v>
      </c>
      <c r="B531">
        <v>1.6469999999999999E-2</v>
      </c>
      <c r="C531">
        <v>1.6580000000000001E-2</v>
      </c>
      <c r="D531">
        <v>1.5350000000000001E-2</v>
      </c>
      <c r="E531">
        <v>1.5720000000000001E-2</v>
      </c>
      <c r="F531">
        <v>20007767.699999999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-0.39837398373983662</v>
      </c>
      <c r="Q531">
        <f t="shared" si="985"/>
        <v>-7970574.1243902277</v>
      </c>
      <c r="R531">
        <f t="shared" si="986"/>
        <v>-518515011.44982004</v>
      </c>
      <c r="S531">
        <f t="shared" si="987"/>
        <v>-5185.1501144982003</v>
      </c>
      <c r="T531">
        <f t="shared" si="988"/>
        <v>-5.1851501144982004</v>
      </c>
    </row>
    <row r="532" spans="1:20" x14ac:dyDescent="0.25">
      <c r="A532" s="5">
        <v>44061</v>
      </c>
      <c r="B532">
        <v>1.6719999999999999E-2</v>
      </c>
      <c r="C532">
        <v>1.8200000000000001E-2</v>
      </c>
      <c r="D532">
        <v>1.6E-2</v>
      </c>
      <c r="E532">
        <v>1.6469999999999999E-2</v>
      </c>
      <c r="F532">
        <v>30218406.899999999</v>
      </c>
      <c r="G532">
        <v>0</v>
      </c>
      <c r="L532" t="s">
        <v>8</v>
      </c>
      <c r="M532" t="s">
        <v>7</v>
      </c>
      <c r="N532" t="s">
        <v>8</v>
      </c>
      <c r="P532">
        <f t="shared" si="984"/>
        <v>-0.57272727272727453</v>
      </c>
      <c r="Q532">
        <f t="shared" si="985"/>
        <v>-17306905.770000052</v>
      </c>
      <c r="R532">
        <f t="shared" si="986"/>
        <v>-510544437.3254298</v>
      </c>
      <c r="S532">
        <f t="shared" si="987"/>
        <v>-5105.4443732542977</v>
      </c>
      <c r="T532">
        <f t="shared" si="988"/>
        <v>-5.105444373254298</v>
      </c>
    </row>
    <row r="533" spans="1:20" x14ac:dyDescent="0.25">
      <c r="A533" s="5">
        <v>44060</v>
      </c>
      <c r="B533">
        <v>1.6070000000000001E-2</v>
      </c>
      <c r="C533">
        <v>1.72E-2</v>
      </c>
      <c r="D533">
        <v>1.5789999999999998E-2</v>
      </c>
      <c r="E533">
        <v>1.6709999999999999E-2</v>
      </c>
      <c r="F533">
        <v>21751592.699999999</v>
      </c>
      <c r="G533">
        <v>0</v>
      </c>
      <c r="L533" t="s">
        <v>8</v>
      </c>
      <c r="M533" t="s">
        <v>7</v>
      </c>
      <c r="N533" t="s">
        <v>8</v>
      </c>
      <c r="P533">
        <f t="shared" si="984"/>
        <v>0.30496453900709175</v>
      </c>
      <c r="Q533">
        <f t="shared" si="985"/>
        <v>6633464.4404255217</v>
      </c>
      <c r="R533">
        <f t="shared" si="986"/>
        <v>-493237531.55542976</v>
      </c>
      <c r="S533">
        <f t="shared" si="987"/>
        <v>-4932.3753155542972</v>
      </c>
      <c r="T533">
        <f t="shared" si="988"/>
        <v>-4.9323753155542969</v>
      </c>
    </row>
    <row r="534" spans="1:20" x14ac:dyDescent="0.25">
      <c r="A534" s="5">
        <v>44059</v>
      </c>
      <c r="B534">
        <v>1.6330000000000001E-2</v>
      </c>
      <c r="C534">
        <v>1.6590000000000001E-2</v>
      </c>
      <c r="D534">
        <v>1.554E-2</v>
      </c>
      <c r="E534">
        <v>1.6080000000000001E-2</v>
      </c>
      <c r="F534">
        <v>14389950.199999999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2.8571428571429042E-2</v>
      </c>
      <c r="Q534">
        <f t="shared" si="985"/>
        <v>411141.43428572104</v>
      </c>
      <c r="R534">
        <f t="shared" si="986"/>
        <v>-499870995.99585527</v>
      </c>
      <c r="S534">
        <f t="shared" si="987"/>
        <v>-4998.7099599585526</v>
      </c>
      <c r="T534">
        <f t="shared" si="988"/>
        <v>-4.9987099599585525</v>
      </c>
    </row>
    <row r="535" spans="1:20" x14ac:dyDescent="0.25">
      <c r="A535" s="5">
        <v>44058</v>
      </c>
      <c r="B535">
        <v>1.6750000000000001E-2</v>
      </c>
      <c r="C535">
        <v>1.8200000000000001E-2</v>
      </c>
      <c r="D535">
        <v>1.609E-2</v>
      </c>
      <c r="E535">
        <v>1.6379999999999999E-2</v>
      </c>
      <c r="F535">
        <v>19186064.399999999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-0.72511848341232366</v>
      </c>
      <c r="Q535">
        <f t="shared" si="985"/>
        <v>-13912169.920379173</v>
      </c>
      <c r="R535">
        <f t="shared" si="986"/>
        <v>-500282137.43014097</v>
      </c>
      <c r="S535">
        <f t="shared" si="987"/>
        <v>-5002.8213743014094</v>
      </c>
      <c r="T535">
        <f t="shared" si="988"/>
        <v>-5.0028213743014094</v>
      </c>
    </row>
    <row r="536" spans="1:20" x14ac:dyDescent="0.25">
      <c r="A536" s="5">
        <v>44057</v>
      </c>
      <c r="B536">
        <v>1.7270000000000001E-2</v>
      </c>
      <c r="C536">
        <v>1.8630000000000001E-2</v>
      </c>
      <c r="D536">
        <v>1.6230000000000001E-2</v>
      </c>
      <c r="E536">
        <v>1.669E-2</v>
      </c>
      <c r="F536">
        <v>30164827.600000001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-0.6166666666666677</v>
      </c>
      <c r="Q536">
        <f t="shared" si="985"/>
        <v>-18601643.686666697</v>
      </c>
      <c r="R536">
        <f t="shared" si="986"/>
        <v>-486369967.50976181</v>
      </c>
      <c r="S536">
        <f t="shared" si="987"/>
        <v>-4863.6996750976177</v>
      </c>
      <c r="T536">
        <f t="shared" si="988"/>
        <v>-4.8636996750976174</v>
      </c>
    </row>
    <row r="537" spans="1:20" x14ac:dyDescent="0.25">
      <c r="A537" s="5">
        <v>44056</v>
      </c>
      <c r="B537">
        <v>1.494E-2</v>
      </c>
      <c r="C537">
        <v>1.8489999999999999E-2</v>
      </c>
      <c r="D537">
        <v>1.4080000000000001E-2</v>
      </c>
      <c r="E537">
        <v>1.7260000000000001E-2</v>
      </c>
      <c r="F537">
        <v>50658900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0.44217687074829987</v>
      </c>
      <c r="Q537">
        <f t="shared" si="985"/>
        <v>22400193.877551049</v>
      </c>
      <c r="R537">
        <f t="shared" si="986"/>
        <v>-467768323.82309508</v>
      </c>
      <c r="S537">
        <f t="shared" si="987"/>
        <v>-4677.6832382309512</v>
      </c>
      <c r="T537">
        <f t="shared" si="988"/>
        <v>-4.6776832382309514</v>
      </c>
    </row>
    <row r="538" spans="1:20" x14ac:dyDescent="0.25">
      <c r="A538" s="5">
        <v>44055</v>
      </c>
      <c r="B538">
        <v>1.3520000000000001E-2</v>
      </c>
      <c r="C538">
        <v>1.5180000000000001E-2</v>
      </c>
      <c r="D538">
        <v>1.299E-2</v>
      </c>
      <c r="E538">
        <v>1.4930000000000001E-2</v>
      </c>
      <c r="F538">
        <v>20314213.600000001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0.77168949771689488</v>
      </c>
      <c r="Q538">
        <f t="shared" si="985"/>
        <v>15676265.289497716</v>
      </c>
      <c r="R538">
        <f t="shared" si="986"/>
        <v>-490168517.7006461</v>
      </c>
      <c r="S538">
        <f t="shared" si="987"/>
        <v>-4901.6851770064613</v>
      </c>
      <c r="T538">
        <f t="shared" si="988"/>
        <v>-4.9016851770064616</v>
      </c>
    </row>
    <row r="539" spans="1:20" x14ac:dyDescent="0.25">
      <c r="A539" s="5">
        <v>44054</v>
      </c>
      <c r="B539">
        <v>1.4760000000000001E-2</v>
      </c>
      <c r="C539">
        <v>1.549E-2</v>
      </c>
      <c r="D539">
        <v>1.291E-2</v>
      </c>
      <c r="E539">
        <v>1.3679999999999999E-2</v>
      </c>
      <c r="F539">
        <v>31353878.100000001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-0.40310077519379872</v>
      </c>
      <c r="Q539">
        <f t="shared" si="985"/>
        <v>-12638772.56744187</v>
      </c>
      <c r="R539">
        <f t="shared" si="986"/>
        <v>-505844782.99014384</v>
      </c>
      <c r="S539">
        <f t="shared" si="987"/>
        <v>-5058.4478299014381</v>
      </c>
      <c r="T539">
        <f t="shared" si="988"/>
        <v>-5.0584478299014384</v>
      </c>
    </row>
    <row r="540" spans="1:20" x14ac:dyDescent="0.25">
      <c r="A540" s="5">
        <v>44053</v>
      </c>
      <c r="B540">
        <v>1.324E-2</v>
      </c>
      <c r="C540">
        <v>1.549E-2</v>
      </c>
      <c r="D540">
        <v>1.251E-2</v>
      </c>
      <c r="E540">
        <v>1.473E-2</v>
      </c>
      <c r="F540">
        <v>41533571.299999997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0.48993288590604012</v>
      </c>
      <c r="Q540">
        <f t="shared" si="985"/>
        <v>20348662.448993281</v>
      </c>
      <c r="R540">
        <f t="shared" si="986"/>
        <v>-493206010.42270195</v>
      </c>
      <c r="S540">
        <f t="shared" si="987"/>
        <v>-4932.0601042270191</v>
      </c>
      <c r="T540">
        <f t="shared" si="988"/>
        <v>-4.9320601042270189</v>
      </c>
    </row>
    <row r="541" spans="1:20" x14ac:dyDescent="0.25">
      <c r="A541" s="5">
        <v>44052</v>
      </c>
      <c r="B541">
        <v>1.3339999999999999E-2</v>
      </c>
      <c r="C541">
        <v>1.4069999999999999E-2</v>
      </c>
      <c r="D541">
        <v>1.306E-2</v>
      </c>
      <c r="E541">
        <v>1.332E-2</v>
      </c>
      <c r="F541">
        <v>31832232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-0.48514851485148486</v>
      </c>
      <c r="Q541">
        <f t="shared" si="985"/>
        <v>-15443360.079207912</v>
      </c>
      <c r="R541">
        <f t="shared" si="986"/>
        <v>-513554672.87169522</v>
      </c>
      <c r="S541">
        <f t="shared" si="987"/>
        <v>-5135.5467287169522</v>
      </c>
      <c r="T541">
        <f t="shared" si="988"/>
        <v>-5.1355467287169523</v>
      </c>
    </row>
    <row r="542" spans="1:20" x14ac:dyDescent="0.25">
      <c r="A542" s="5">
        <v>44051</v>
      </c>
      <c r="B542">
        <v>1.319E-2</v>
      </c>
      <c r="C542">
        <v>1.3690000000000001E-2</v>
      </c>
      <c r="D542">
        <v>1.281E-2</v>
      </c>
      <c r="E542">
        <v>1.3339999999999999E-2</v>
      </c>
      <c r="F542">
        <v>11639067.199999999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0.204545454545452</v>
      </c>
      <c r="Q542">
        <f t="shared" si="985"/>
        <v>2380718.2909090612</v>
      </c>
      <c r="R542">
        <f t="shared" si="986"/>
        <v>-498111312.79248732</v>
      </c>
      <c r="S542">
        <f t="shared" si="987"/>
        <v>-4981.113127924873</v>
      </c>
      <c r="T542">
        <f t="shared" si="988"/>
        <v>-4.981113127924873</v>
      </c>
    </row>
    <row r="543" spans="1:20" x14ac:dyDescent="0.25">
      <c r="A543" s="5">
        <v>44050</v>
      </c>
      <c r="B543">
        <v>1.243E-2</v>
      </c>
      <c r="C543">
        <v>1.349E-2</v>
      </c>
      <c r="D543">
        <v>1.2279999999999999E-2</v>
      </c>
      <c r="E543">
        <v>1.3180000000000001E-2</v>
      </c>
      <c r="F543">
        <v>20300388.199999999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0.48760330578512517</v>
      </c>
      <c r="Q543">
        <f t="shared" si="985"/>
        <v>9898536.3950413465</v>
      </c>
      <c r="R543">
        <f t="shared" si="986"/>
        <v>-500492031.08339638</v>
      </c>
      <c r="S543">
        <f t="shared" si="987"/>
        <v>-5004.9203108339634</v>
      </c>
      <c r="T543">
        <f t="shared" si="988"/>
        <v>-5.0049203108339633</v>
      </c>
    </row>
    <row r="544" spans="1:20" x14ac:dyDescent="0.25">
      <c r="A544" s="5">
        <v>44049</v>
      </c>
      <c r="B544">
        <v>1.206E-2</v>
      </c>
      <c r="C544">
        <v>1.2710000000000001E-2</v>
      </c>
      <c r="D544">
        <v>1.192E-2</v>
      </c>
      <c r="E544">
        <v>1.239E-2</v>
      </c>
      <c r="F544">
        <v>16572103.5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0.18987341772151764</v>
      </c>
      <c r="Q544">
        <f t="shared" si="985"/>
        <v>3146601.9303797246</v>
      </c>
      <c r="R544">
        <f t="shared" si="986"/>
        <v>-510390567.47843772</v>
      </c>
      <c r="S544">
        <f t="shared" si="987"/>
        <v>-5103.905674784377</v>
      </c>
      <c r="T544">
        <f t="shared" si="988"/>
        <v>-5.103905674784377</v>
      </c>
    </row>
    <row r="545" spans="1:20" x14ac:dyDescent="0.25">
      <c r="A545" s="5">
        <v>44048</v>
      </c>
      <c r="B545">
        <v>1.1860000000000001E-2</v>
      </c>
      <c r="C545">
        <v>1.2149999999999999E-2</v>
      </c>
      <c r="D545">
        <v>1.155E-2</v>
      </c>
      <c r="E545">
        <v>1.2030000000000001E-2</v>
      </c>
      <c r="F545">
        <v>13310836.800000001</v>
      </c>
      <c r="G545">
        <v>0</v>
      </c>
      <c r="L545" t="s">
        <v>7</v>
      </c>
      <c r="M545" t="s">
        <v>8</v>
      </c>
      <c r="N545" t="s">
        <v>7</v>
      </c>
      <c r="P545">
        <f t="shared" si="984"/>
        <v>0.60000000000000464</v>
      </c>
      <c r="Q545">
        <f t="shared" si="985"/>
        <v>7986502.0800000625</v>
      </c>
      <c r="R545">
        <f t="shared" si="986"/>
        <v>-513537169.40881747</v>
      </c>
      <c r="S545">
        <f t="shared" si="987"/>
        <v>-5135.371694088175</v>
      </c>
      <c r="T545">
        <f t="shared" si="988"/>
        <v>-5.1353716940881746</v>
      </c>
    </row>
    <row r="546" spans="1:20" x14ac:dyDescent="0.25">
      <c r="A546" s="5">
        <v>44047</v>
      </c>
      <c r="B546">
        <v>1.145E-2</v>
      </c>
      <c r="C546">
        <v>1.26E-2</v>
      </c>
      <c r="D546">
        <v>1.094E-2</v>
      </c>
      <c r="E546">
        <v>1.187E-2</v>
      </c>
      <c r="F546">
        <v>15328757.6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0.12048192771084369</v>
      </c>
      <c r="Q546">
        <f t="shared" si="985"/>
        <v>1846838.2650602458</v>
      </c>
      <c r="R546">
        <f t="shared" si="986"/>
        <v>-521523671.48881751</v>
      </c>
      <c r="S546">
        <f t="shared" si="987"/>
        <v>-5215.2367148881749</v>
      </c>
      <c r="T546">
        <f t="shared" si="988"/>
        <v>-5.2152367148881753</v>
      </c>
    </row>
    <row r="547" spans="1:20" x14ac:dyDescent="0.25">
      <c r="A547" s="5">
        <v>44046</v>
      </c>
      <c r="B547">
        <v>1.1209999999999999E-2</v>
      </c>
      <c r="C547">
        <v>1.189E-2</v>
      </c>
      <c r="D547">
        <v>1.0999999999999999E-2</v>
      </c>
      <c r="E547">
        <v>1.14E-2</v>
      </c>
      <c r="F547">
        <v>11137429.9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-0.10112359550561578</v>
      </c>
      <c r="Q547">
        <f t="shared" si="985"/>
        <v>-1126256.9561797509</v>
      </c>
      <c r="R547">
        <f t="shared" si="986"/>
        <v>-523370509.75387776</v>
      </c>
      <c r="S547">
        <f t="shared" si="987"/>
        <v>-5233.7050975387774</v>
      </c>
      <c r="T547">
        <f t="shared" si="988"/>
        <v>-5.2337050975387776</v>
      </c>
    </row>
    <row r="548" spans="1:20" x14ac:dyDescent="0.25">
      <c r="A548" s="5">
        <v>44045</v>
      </c>
      <c r="B548">
        <v>1.1679999999999999E-2</v>
      </c>
      <c r="C548">
        <v>1.188E-2</v>
      </c>
      <c r="D548">
        <v>1.0500000000000001E-2</v>
      </c>
      <c r="E548">
        <v>1.128E-2</v>
      </c>
      <c r="F548">
        <v>8062304.0999999996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0.13043478260869543</v>
      </c>
      <c r="Q548">
        <f t="shared" si="985"/>
        <v>1051604.8826086938</v>
      </c>
      <c r="R548">
        <f t="shared" si="986"/>
        <v>-522244252.79769802</v>
      </c>
      <c r="S548">
        <f t="shared" si="987"/>
        <v>-5222.4425279769803</v>
      </c>
      <c r="T548">
        <f t="shared" si="988"/>
        <v>-5.2224425279769804</v>
      </c>
    </row>
    <row r="549" spans="1:20" x14ac:dyDescent="0.25">
      <c r="A549" s="5">
        <v>44044</v>
      </c>
      <c r="B549">
        <v>1.1610000000000001E-2</v>
      </c>
      <c r="C549">
        <v>1.1900000000000001E-2</v>
      </c>
      <c r="D549">
        <v>1.1310000000000001E-2</v>
      </c>
      <c r="E549">
        <v>1.159E-2</v>
      </c>
      <c r="F549">
        <v>12723156.5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-5.0847457627122429E-2</v>
      </c>
      <c r="Q549">
        <f t="shared" si="985"/>
        <v>-646940.1610169973</v>
      </c>
      <c r="R549">
        <f t="shared" si="986"/>
        <v>-523295857.68030673</v>
      </c>
      <c r="S549">
        <f t="shared" si="987"/>
        <v>-5232.9585768030674</v>
      </c>
      <c r="T549">
        <f t="shared" si="988"/>
        <v>-5.2329585768030675</v>
      </c>
    </row>
    <row r="550" spans="1:20" x14ac:dyDescent="0.25">
      <c r="A550" s="5">
        <v>44043</v>
      </c>
      <c r="B550">
        <v>1.205E-2</v>
      </c>
      <c r="C550">
        <v>1.23E-2</v>
      </c>
      <c r="D550">
        <v>1.111E-2</v>
      </c>
      <c r="E550">
        <v>1.1560000000000001E-2</v>
      </c>
      <c r="F550">
        <v>13417214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-0.24369747899159544</v>
      </c>
      <c r="Q550">
        <f t="shared" si="985"/>
        <v>-3269741.22689074</v>
      </c>
      <c r="R550">
        <f t="shared" si="986"/>
        <v>-522648917.51928973</v>
      </c>
      <c r="S550">
        <f t="shared" si="987"/>
        <v>-5226.4891751928972</v>
      </c>
      <c r="T550">
        <f t="shared" si="988"/>
        <v>-5.2264891751928975</v>
      </c>
    </row>
    <row r="551" spans="1:20" x14ac:dyDescent="0.25">
      <c r="A551" s="5">
        <v>44042</v>
      </c>
      <c r="B551">
        <v>1.189E-2</v>
      </c>
      <c r="C551">
        <v>1.235E-2</v>
      </c>
      <c r="D551">
        <v>1.1469999999999999E-2</v>
      </c>
      <c r="E551">
        <v>1.204E-2</v>
      </c>
      <c r="F551">
        <v>16986635.100000001</v>
      </c>
      <c r="G551">
        <v>0</v>
      </c>
      <c r="L551" t="s">
        <v>8</v>
      </c>
      <c r="M551" t="s">
        <v>8</v>
      </c>
      <c r="N551" t="s">
        <v>7</v>
      </c>
      <c r="P551">
        <f t="shared" si="984"/>
        <v>0.29545454545454702</v>
      </c>
      <c r="Q551">
        <f t="shared" si="985"/>
        <v>5018778.5522727547</v>
      </c>
      <c r="R551">
        <f t="shared" si="986"/>
        <v>-519379176.29239899</v>
      </c>
      <c r="S551">
        <f t="shared" si="987"/>
        <v>-5193.7917629239901</v>
      </c>
      <c r="T551">
        <f t="shared" si="988"/>
        <v>-5.1937917629239898</v>
      </c>
    </row>
    <row r="552" spans="1:20" x14ac:dyDescent="0.25">
      <c r="A552" s="5">
        <v>44041</v>
      </c>
      <c r="B552">
        <v>1.1560000000000001E-2</v>
      </c>
      <c r="C552">
        <v>1.248E-2</v>
      </c>
      <c r="D552">
        <v>1.1209999999999999E-2</v>
      </c>
      <c r="E552">
        <v>1.1860000000000001E-2</v>
      </c>
      <c r="F552">
        <v>23918215.100000001</v>
      </c>
      <c r="G552">
        <v>0</v>
      </c>
      <c r="L552" t="s">
        <v>7</v>
      </c>
      <c r="M552" t="s">
        <v>8</v>
      </c>
      <c r="N552" t="s">
        <v>7</v>
      </c>
      <c r="P552">
        <f t="shared" si="984"/>
        <v>2.362204724409625E-2</v>
      </c>
      <c r="Q552">
        <f t="shared" si="985"/>
        <v>564997.20708665636</v>
      </c>
      <c r="R552">
        <f t="shared" si="986"/>
        <v>-524397954.84467173</v>
      </c>
      <c r="S552">
        <f t="shared" si="987"/>
        <v>-5243.9795484467177</v>
      </c>
      <c r="T552">
        <f t="shared" si="988"/>
        <v>-5.2439795484467178</v>
      </c>
    </row>
    <row r="553" spans="1:20" x14ac:dyDescent="0.25">
      <c r="A553" s="5">
        <v>44040</v>
      </c>
      <c r="B553">
        <v>1.11E-2</v>
      </c>
      <c r="C553">
        <v>1.251E-2</v>
      </c>
      <c r="D553">
        <v>1.106E-2</v>
      </c>
      <c r="E553">
        <v>1.155E-2</v>
      </c>
      <c r="F553">
        <v>19395075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-0.32413793103448391</v>
      </c>
      <c r="Q553">
        <f t="shared" si="985"/>
        <v>-6286679.4827586431</v>
      </c>
      <c r="R553">
        <f t="shared" si="986"/>
        <v>-524962952.05175841</v>
      </c>
      <c r="S553">
        <f t="shared" si="987"/>
        <v>-5249.6295205175838</v>
      </c>
      <c r="T553">
        <f t="shared" si="988"/>
        <v>-5.2496295205175842</v>
      </c>
    </row>
    <row r="554" spans="1:20" x14ac:dyDescent="0.25">
      <c r="A554" s="5">
        <v>44039</v>
      </c>
      <c r="B554">
        <v>1.277E-2</v>
      </c>
      <c r="C554">
        <v>1.2800000000000001E-2</v>
      </c>
      <c r="D554">
        <v>1.055E-2</v>
      </c>
      <c r="E554">
        <v>1.11E-2</v>
      </c>
      <c r="F554">
        <v>39109499.399999999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-0.51111111111111107</v>
      </c>
      <c r="Q554">
        <f t="shared" si="985"/>
        <v>-19989299.693333331</v>
      </c>
      <c r="R554">
        <f t="shared" si="986"/>
        <v>-518676272.56899977</v>
      </c>
      <c r="S554">
        <f t="shared" si="987"/>
        <v>-5186.7627256899978</v>
      </c>
      <c r="T554">
        <f t="shared" si="988"/>
        <v>-5.1867627256899977</v>
      </c>
    </row>
    <row r="555" spans="1:20" x14ac:dyDescent="0.25">
      <c r="A555" s="5">
        <v>44038</v>
      </c>
      <c r="B555">
        <v>1.265E-2</v>
      </c>
      <c r="C555">
        <v>1.333E-2</v>
      </c>
      <c r="D555">
        <v>1.2030000000000001E-2</v>
      </c>
      <c r="E555">
        <v>1.278E-2</v>
      </c>
      <c r="F555">
        <v>15012223.9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0.15384615384615302</v>
      </c>
      <c r="Q555">
        <f t="shared" si="985"/>
        <v>2309572.9076922955</v>
      </c>
      <c r="R555">
        <f t="shared" si="986"/>
        <v>-498686972.87566644</v>
      </c>
      <c r="S555">
        <f t="shared" si="987"/>
        <v>-4986.8697287566647</v>
      </c>
      <c r="T555">
        <f t="shared" si="988"/>
        <v>-4.9868697287566643</v>
      </c>
    </row>
    <row r="556" spans="1:20" x14ac:dyDescent="0.25">
      <c r="A556" s="5">
        <v>44037</v>
      </c>
      <c r="B556">
        <v>1.251E-2</v>
      </c>
      <c r="C556">
        <v>1.3270000000000001E-2</v>
      </c>
      <c r="D556">
        <v>1.238E-2</v>
      </c>
      <c r="E556">
        <v>1.265E-2</v>
      </c>
      <c r="F556">
        <v>10552737</v>
      </c>
      <c r="G556">
        <v>0</v>
      </c>
      <c r="L556" t="s">
        <v>7</v>
      </c>
      <c r="M556" t="s">
        <v>7</v>
      </c>
      <c r="N556" t="s">
        <v>7</v>
      </c>
      <c r="P556">
        <f t="shared" si="984"/>
        <v>-0.39325842696629359</v>
      </c>
      <c r="Q556">
        <f t="shared" si="985"/>
        <v>-4149952.7528090044</v>
      </c>
      <c r="R556">
        <f t="shared" si="986"/>
        <v>-500996545.78335875</v>
      </c>
      <c r="S556">
        <f t="shared" si="987"/>
        <v>-5009.9654578335876</v>
      </c>
      <c r="T556">
        <f t="shared" si="988"/>
        <v>-5.0099654578335873</v>
      </c>
    </row>
    <row r="557" spans="1:20" x14ac:dyDescent="0.25">
      <c r="A557" s="5">
        <v>44036</v>
      </c>
      <c r="B557">
        <v>1.261E-2</v>
      </c>
      <c r="C557">
        <v>1.2789999999999999E-2</v>
      </c>
      <c r="D557">
        <v>1.235E-2</v>
      </c>
      <c r="E557">
        <v>1.251E-2</v>
      </c>
      <c r="F557">
        <v>11552370.699999999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-0.27272727272726988</v>
      </c>
      <c r="Q557">
        <f t="shared" si="985"/>
        <v>-3150646.5545454216</v>
      </c>
      <c r="R557">
        <f t="shared" si="986"/>
        <v>-496846593.03054976</v>
      </c>
      <c r="S557">
        <f t="shared" si="987"/>
        <v>-4968.4659303054977</v>
      </c>
      <c r="T557">
        <f t="shared" si="988"/>
        <v>-4.9684659303054977</v>
      </c>
    </row>
    <row r="558" spans="1:20" x14ac:dyDescent="0.25">
      <c r="A558" s="5">
        <v>44035</v>
      </c>
      <c r="B558">
        <v>1.2789999999999999E-2</v>
      </c>
      <c r="C558">
        <v>1.3599999999999999E-2</v>
      </c>
      <c r="D558">
        <v>1.227E-2</v>
      </c>
      <c r="E558">
        <v>1.261E-2</v>
      </c>
      <c r="F558">
        <v>22455378.399999999</v>
      </c>
      <c r="G558">
        <v>0</v>
      </c>
      <c r="L558" t="s">
        <v>8</v>
      </c>
      <c r="M558" t="s">
        <v>7</v>
      </c>
      <c r="N558" t="s">
        <v>7</v>
      </c>
      <c r="P558">
        <f t="shared" si="984"/>
        <v>-0.488721804511278</v>
      </c>
      <c r="Q558">
        <f t="shared" si="985"/>
        <v>-10974433.052631574</v>
      </c>
      <c r="R558">
        <f t="shared" si="986"/>
        <v>-493695946.47600436</v>
      </c>
      <c r="S558">
        <f t="shared" si="987"/>
        <v>-4936.9594647600434</v>
      </c>
      <c r="T558">
        <f t="shared" si="988"/>
        <v>-4.9369594647600437</v>
      </c>
    </row>
    <row r="559" spans="1:20" x14ac:dyDescent="0.25">
      <c r="A559" s="5">
        <v>44034</v>
      </c>
      <c r="B559">
        <v>1.2460000000000001E-2</v>
      </c>
      <c r="C559">
        <v>1.332E-2</v>
      </c>
      <c r="D559">
        <v>1.2189999999999999E-2</v>
      </c>
      <c r="E559">
        <v>1.278E-2</v>
      </c>
      <c r="F559">
        <v>15082985.300000001</v>
      </c>
      <c r="G559">
        <v>0</v>
      </c>
      <c r="L559" t="s">
        <v>8</v>
      </c>
      <c r="M559" t="s">
        <v>7</v>
      </c>
      <c r="N559" t="s">
        <v>7</v>
      </c>
      <c r="P559">
        <f t="shared" si="984"/>
        <v>4.424778761061917E-2</v>
      </c>
      <c r="Q559">
        <f t="shared" si="985"/>
        <v>667388.73008849111</v>
      </c>
      <c r="R559">
        <f t="shared" si="986"/>
        <v>-482721513.42337281</v>
      </c>
      <c r="S559">
        <f t="shared" si="987"/>
        <v>-4827.2151342337283</v>
      </c>
      <c r="T559">
        <f t="shared" si="988"/>
        <v>-4.8272151342337279</v>
      </c>
    </row>
    <row r="560" spans="1:20" x14ac:dyDescent="0.25">
      <c r="A560" s="5">
        <v>44033</v>
      </c>
      <c r="B560">
        <v>1.282E-2</v>
      </c>
      <c r="C560">
        <v>1.3390000000000001E-2</v>
      </c>
      <c r="D560">
        <v>1.2189999999999999E-2</v>
      </c>
      <c r="E560">
        <v>1.247E-2</v>
      </c>
      <c r="F560">
        <v>28049030.800000001</v>
      </c>
      <c r="G560">
        <v>0</v>
      </c>
      <c r="L560" t="s">
        <v>7</v>
      </c>
      <c r="M560" t="s">
        <v>7</v>
      </c>
      <c r="N560" t="s">
        <v>7</v>
      </c>
      <c r="P560">
        <f t="shared" si="984"/>
        <v>-0.53333333333333266</v>
      </c>
      <c r="Q560">
        <f t="shared" si="985"/>
        <v>-14959483.093333315</v>
      </c>
      <c r="R560">
        <f t="shared" si="986"/>
        <v>-483388902.15346128</v>
      </c>
      <c r="S560">
        <f t="shared" si="987"/>
        <v>-4833.8890215346128</v>
      </c>
      <c r="T560">
        <f t="shared" si="988"/>
        <v>-4.8338890215346124</v>
      </c>
    </row>
    <row r="561" spans="1:104" x14ac:dyDescent="0.25">
      <c r="A561" s="5">
        <v>44032</v>
      </c>
      <c r="B561">
        <v>1.2149999999999999E-2</v>
      </c>
      <c r="C561">
        <v>1.44E-2</v>
      </c>
      <c r="D561">
        <v>1.1820000000000001E-2</v>
      </c>
      <c r="E561">
        <v>1.281E-2</v>
      </c>
      <c r="F561">
        <v>62974095.600000001</v>
      </c>
      <c r="G561">
        <v>0</v>
      </c>
      <c r="L561" t="s">
        <v>8</v>
      </c>
      <c r="M561" t="s">
        <v>8</v>
      </c>
      <c r="N561" t="s">
        <v>7</v>
      </c>
      <c r="P561">
        <f t="shared" si="984"/>
        <v>-0.23255813953488375</v>
      </c>
      <c r="Q561">
        <f t="shared" si="985"/>
        <v>-14645138.511627909</v>
      </c>
      <c r="R561">
        <f t="shared" si="986"/>
        <v>-468429419.06012797</v>
      </c>
      <c r="S561">
        <f t="shared" si="987"/>
        <v>-4684.2941906012793</v>
      </c>
      <c r="T561">
        <f t="shared" si="988"/>
        <v>-4.6842941906012792</v>
      </c>
      <c r="CZ561" t="s">
        <v>7</v>
      </c>
    </row>
    <row r="562" spans="1:104" x14ac:dyDescent="0.25">
      <c r="A562" s="5">
        <v>44031</v>
      </c>
      <c r="B562">
        <v>1.2370000000000001E-2</v>
      </c>
      <c r="C562">
        <v>1.273E-2</v>
      </c>
      <c r="D562">
        <v>1.2E-2</v>
      </c>
      <c r="E562">
        <v>1.218E-2</v>
      </c>
      <c r="F562">
        <v>19185708.300000001</v>
      </c>
      <c r="G562">
        <v>0</v>
      </c>
      <c r="L562" t="s">
        <v>8</v>
      </c>
      <c r="M562" t="s">
        <v>8</v>
      </c>
      <c r="N562" t="s">
        <v>7</v>
      </c>
      <c r="P562">
        <f t="shared" si="984"/>
        <v>-0.50684931506849407</v>
      </c>
      <c r="Q562">
        <f t="shared" si="985"/>
        <v>-9724263.1109589227</v>
      </c>
      <c r="R562">
        <f t="shared" si="986"/>
        <v>-453784280.54850006</v>
      </c>
      <c r="S562">
        <f t="shared" si="987"/>
        <v>-4537.842805485001</v>
      </c>
      <c r="T562">
        <f t="shared" si="988"/>
        <v>-4.5378428054850009</v>
      </c>
      <c r="CZ562" t="s">
        <v>7</v>
      </c>
    </row>
    <row r="563" spans="1:104" x14ac:dyDescent="0.25">
      <c r="A563" s="5">
        <v>44030</v>
      </c>
      <c r="B563">
        <v>1.243E-2</v>
      </c>
      <c r="C563">
        <v>1.264E-2</v>
      </c>
      <c r="D563">
        <v>1.18E-2</v>
      </c>
      <c r="E563">
        <v>1.2370000000000001E-2</v>
      </c>
      <c r="F563">
        <v>17833351.600000001</v>
      </c>
      <c r="G563">
        <v>0</v>
      </c>
      <c r="L563" t="s">
        <v>7</v>
      </c>
      <c r="M563" t="s">
        <v>8</v>
      </c>
      <c r="N563" t="s">
        <v>7</v>
      </c>
      <c r="P563">
        <f t="shared" si="984"/>
        <v>0.35714285714285893</v>
      </c>
      <c r="Q563">
        <f t="shared" si="985"/>
        <v>6369054.1428571753</v>
      </c>
      <c r="R563">
        <f t="shared" si="986"/>
        <v>-444060017.43754113</v>
      </c>
      <c r="S563">
        <f t="shared" si="987"/>
        <v>-4440.6001743754114</v>
      </c>
      <c r="T563">
        <f t="shared" si="988"/>
        <v>-4.4406001743754118</v>
      </c>
      <c r="CZ563" t="s">
        <v>7</v>
      </c>
    </row>
    <row r="564" spans="1:104" x14ac:dyDescent="0.25">
      <c r="A564" s="5">
        <v>44029</v>
      </c>
      <c r="B564">
        <v>1.1860000000000001E-2</v>
      </c>
      <c r="C564">
        <v>1.299E-2</v>
      </c>
      <c r="D564">
        <v>1.163E-2</v>
      </c>
      <c r="E564">
        <v>1.2409999999999999E-2</v>
      </c>
      <c r="F564">
        <v>33550229.600000001</v>
      </c>
      <c r="G564">
        <v>0</v>
      </c>
      <c r="L564" t="s">
        <v>8</v>
      </c>
      <c r="M564" t="s">
        <v>8</v>
      </c>
      <c r="N564" t="s">
        <v>7</v>
      </c>
      <c r="P564">
        <f t="shared" si="984"/>
        <v>0.14705882352941085</v>
      </c>
      <c r="Q564">
        <f t="shared" si="985"/>
        <v>4933857.2941176165</v>
      </c>
      <c r="R564">
        <f t="shared" si="986"/>
        <v>-450429071.58039832</v>
      </c>
      <c r="S564">
        <f t="shared" si="987"/>
        <v>-4504.2907158039834</v>
      </c>
      <c r="T564">
        <f t="shared" si="988"/>
        <v>-4.5042907158039833</v>
      </c>
    </row>
    <row r="565" spans="1:104" x14ac:dyDescent="0.25">
      <c r="A565" s="5">
        <v>44028</v>
      </c>
      <c r="B565">
        <v>1.21E-2</v>
      </c>
      <c r="C565">
        <v>1.247E-2</v>
      </c>
      <c r="D565">
        <v>1.0659999999999999E-2</v>
      </c>
      <c r="E565">
        <v>1.1820000000000001E-2</v>
      </c>
      <c r="F565">
        <v>42729198.600000001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0.28176795580110581</v>
      </c>
      <c r="Q565">
        <f t="shared" si="985"/>
        <v>12039718.942541473</v>
      </c>
      <c r="R565">
        <f t="shared" si="986"/>
        <v>-455362928.87451595</v>
      </c>
      <c r="S565">
        <f t="shared" si="987"/>
        <v>-4553.6292887451591</v>
      </c>
      <c r="T565">
        <f t="shared" si="988"/>
        <v>-4.5536292887451593</v>
      </c>
    </row>
    <row r="566" spans="1:104" x14ac:dyDescent="0.25">
      <c r="A566" s="5">
        <v>44027</v>
      </c>
      <c r="B566">
        <v>1.153E-2</v>
      </c>
      <c r="C566">
        <v>1.3180000000000001E-2</v>
      </c>
      <c r="D566">
        <v>1.103E-2</v>
      </c>
      <c r="E566">
        <v>1.21E-2</v>
      </c>
      <c r="F566">
        <v>46670257.5</v>
      </c>
      <c r="G566">
        <v>0</v>
      </c>
      <c r="L566" t="s">
        <v>8</v>
      </c>
      <c r="M566" t="s">
        <v>8</v>
      </c>
      <c r="N566" t="s">
        <v>7</v>
      </c>
      <c r="P566">
        <f t="shared" si="984"/>
        <v>-4.6511627906982902E-3</v>
      </c>
      <c r="Q566">
        <f t="shared" si="985"/>
        <v>-217070.96511630781</v>
      </c>
      <c r="R566">
        <f t="shared" si="986"/>
        <v>-467402647.81705743</v>
      </c>
      <c r="S566">
        <f t="shared" si="987"/>
        <v>-4674.0264781705746</v>
      </c>
      <c r="T566">
        <f t="shared" si="988"/>
        <v>-4.6740264781705747</v>
      </c>
    </row>
    <row r="567" spans="1:104" x14ac:dyDescent="0.25">
      <c r="A567" s="5">
        <v>44026</v>
      </c>
      <c r="B567">
        <v>1.111E-2</v>
      </c>
      <c r="C567">
        <v>1.201E-2</v>
      </c>
      <c r="D567">
        <v>1.1039999999999999E-2</v>
      </c>
      <c r="E567">
        <v>1.157E-2</v>
      </c>
      <c r="F567">
        <v>20177931.600000001</v>
      </c>
      <c r="G567">
        <v>0</v>
      </c>
      <c r="L567" t="s">
        <v>8</v>
      </c>
      <c r="M567" t="s">
        <v>7</v>
      </c>
      <c r="N567" t="s">
        <v>7</v>
      </c>
      <c r="P567">
        <f t="shared" si="984"/>
        <v>9.2783505154640719E-2</v>
      </c>
      <c r="Q567">
        <f t="shared" si="985"/>
        <v>1872179.2206185879</v>
      </c>
      <c r="R567">
        <f t="shared" si="986"/>
        <v>-467185576.85194111</v>
      </c>
      <c r="S567">
        <f t="shared" si="987"/>
        <v>-4671.855768519411</v>
      </c>
      <c r="T567">
        <f t="shared" si="988"/>
        <v>-4.6718557685194106</v>
      </c>
    </row>
    <row r="568" spans="1:104" x14ac:dyDescent="0.25">
      <c r="A568" s="5">
        <v>44025</v>
      </c>
      <c r="B568">
        <v>1.2030000000000001E-2</v>
      </c>
      <c r="C568">
        <v>1.2120000000000001E-2</v>
      </c>
      <c r="D568">
        <v>1.103E-2</v>
      </c>
      <c r="E568">
        <v>1.1140000000000001E-2</v>
      </c>
      <c r="F568">
        <v>53854806.100000001</v>
      </c>
      <c r="G568">
        <v>0</v>
      </c>
      <c r="L568" t="s">
        <v>7</v>
      </c>
      <c r="M568" t="s">
        <v>7</v>
      </c>
      <c r="N568" t="s">
        <v>7</v>
      </c>
      <c r="P568">
        <f t="shared" si="984"/>
        <v>-0.79816513761467767</v>
      </c>
      <c r="Q568">
        <f t="shared" si="985"/>
        <v>-42985028.722018287</v>
      </c>
      <c r="R568">
        <f t="shared" si="986"/>
        <v>-469057756.07255971</v>
      </c>
      <c r="S568">
        <f t="shared" si="987"/>
        <v>-4690.5775607255973</v>
      </c>
      <c r="T568">
        <f t="shared" si="988"/>
        <v>-4.6905775607255977</v>
      </c>
    </row>
    <row r="569" spans="1:104" x14ac:dyDescent="0.25">
      <c r="A569" s="5">
        <v>44024</v>
      </c>
      <c r="B569">
        <v>1.226E-2</v>
      </c>
      <c r="C569">
        <v>1.35E-2</v>
      </c>
      <c r="D569">
        <v>1.184E-2</v>
      </c>
      <c r="E569">
        <v>1.2019999999999999E-2</v>
      </c>
      <c r="F569">
        <v>70118954.700000003</v>
      </c>
      <c r="G569">
        <v>0</v>
      </c>
      <c r="L569" t="s">
        <v>7</v>
      </c>
      <c r="M569" t="s">
        <v>7</v>
      </c>
      <c r="N569" t="s">
        <v>8</v>
      </c>
      <c r="P569">
        <f t="shared" si="984"/>
        <v>-0.78313253012048245</v>
      </c>
      <c r="Q569">
        <f t="shared" si="985"/>
        <v>-54912434.403614499</v>
      </c>
      <c r="R569">
        <f t="shared" si="986"/>
        <v>-426072727.35054141</v>
      </c>
      <c r="S569">
        <f t="shared" si="987"/>
        <v>-4260.7272735054139</v>
      </c>
      <c r="T569">
        <f t="shared" si="988"/>
        <v>-4.260727273505414</v>
      </c>
    </row>
    <row r="570" spans="1:104" x14ac:dyDescent="0.25">
      <c r="A570" s="5">
        <v>44023</v>
      </c>
      <c r="B570">
        <v>1.345E-2</v>
      </c>
      <c r="C570">
        <v>1.5879999999999998E-2</v>
      </c>
      <c r="D570">
        <v>1.174E-2</v>
      </c>
      <c r="E570">
        <v>1.218E-2</v>
      </c>
      <c r="F570">
        <v>224260937.59999999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-0.78743961352657021</v>
      </c>
      <c r="Q570">
        <f t="shared" si="985"/>
        <v>-176591946.03285027</v>
      </c>
      <c r="R570">
        <f t="shared" si="986"/>
        <v>-371160292.94692689</v>
      </c>
      <c r="S570">
        <f t="shared" si="987"/>
        <v>-3711.6029294692689</v>
      </c>
      <c r="T570">
        <f t="shared" si="988"/>
        <v>-3.7116029294692687</v>
      </c>
    </row>
    <row r="571" spans="1:104" x14ac:dyDescent="0.25">
      <c r="A571" s="5">
        <v>44022</v>
      </c>
      <c r="B571">
        <v>9.6299999999999997E-3</v>
      </c>
      <c r="C571">
        <v>1.3990000000000001E-2</v>
      </c>
      <c r="D571">
        <v>9.6299999999999997E-3</v>
      </c>
      <c r="E571">
        <v>1.342E-2</v>
      </c>
      <c r="F571">
        <v>208842878.09999999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0.73853211009174269</v>
      </c>
      <c r="Q571">
        <f t="shared" si="985"/>
        <v>154237171.44082558</v>
      </c>
      <c r="R571">
        <f t="shared" si="986"/>
        <v>-194568346.91407663</v>
      </c>
      <c r="S571">
        <f t="shared" si="987"/>
        <v>-1945.6834691407662</v>
      </c>
      <c r="T571">
        <f t="shared" si="988"/>
        <v>-1.9456834691407663</v>
      </c>
    </row>
    <row r="572" spans="1:104" x14ac:dyDescent="0.25">
      <c r="A572" s="5">
        <v>44021</v>
      </c>
      <c r="B572">
        <v>9.7400000000000004E-3</v>
      </c>
      <c r="C572">
        <v>9.92E-3</v>
      </c>
      <c r="D572">
        <v>9.3799999999999994E-3</v>
      </c>
      <c r="E572">
        <v>9.6299999999999997E-3</v>
      </c>
      <c r="F572">
        <v>15132268.9</v>
      </c>
      <c r="G572">
        <v>0</v>
      </c>
      <c r="L572" t="s">
        <v>7</v>
      </c>
      <c r="M572" t="s">
        <v>8</v>
      </c>
      <c r="N572" t="s">
        <v>7</v>
      </c>
      <c r="P572">
        <f t="shared" si="984"/>
        <v>-7.4074074074074195E-2</v>
      </c>
      <c r="Q572">
        <f t="shared" si="985"/>
        <v>-1120908.8074074092</v>
      </c>
      <c r="R572">
        <f t="shared" si="986"/>
        <v>-348805518.35490221</v>
      </c>
      <c r="S572">
        <f t="shared" si="987"/>
        <v>-3488.0551835490219</v>
      </c>
      <c r="T572">
        <f t="shared" si="988"/>
        <v>-3.4880551835490219</v>
      </c>
    </row>
    <row r="573" spans="1:104" x14ac:dyDescent="0.25">
      <c r="A573" s="5">
        <v>44020</v>
      </c>
      <c r="B573">
        <v>9.3699999999999999E-3</v>
      </c>
      <c r="C573">
        <v>1.0160000000000001E-2</v>
      </c>
      <c r="D573">
        <v>9.1999999999999998E-3</v>
      </c>
      <c r="E573">
        <v>9.7800000000000005E-3</v>
      </c>
      <c r="F573">
        <v>22854444.899999999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0.2083333333333337</v>
      </c>
      <c r="Q573">
        <f t="shared" si="985"/>
        <v>4761342.6875000084</v>
      </c>
      <c r="R573">
        <f t="shared" si="986"/>
        <v>-347684609.54749477</v>
      </c>
      <c r="S573">
        <f t="shared" si="987"/>
        <v>-3476.8460954749476</v>
      </c>
      <c r="T573">
        <f t="shared" si="988"/>
        <v>-3.4768460954749476</v>
      </c>
    </row>
    <row r="574" spans="1:104" x14ac:dyDescent="0.25">
      <c r="A574" s="5">
        <v>44019</v>
      </c>
      <c r="B574">
        <v>9.3900000000000008E-3</v>
      </c>
      <c r="C574">
        <v>9.4900000000000002E-3</v>
      </c>
      <c r="D574">
        <v>9.0600000000000003E-3</v>
      </c>
      <c r="E574">
        <v>9.41E-3</v>
      </c>
      <c r="F574">
        <v>7043466.4000000004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0.62790697674418494</v>
      </c>
      <c r="Q574">
        <f t="shared" si="985"/>
        <v>4422641.6930232486</v>
      </c>
      <c r="R574">
        <f t="shared" si="986"/>
        <v>-352445952.23499477</v>
      </c>
      <c r="S574">
        <f t="shared" si="987"/>
        <v>-3524.4595223499477</v>
      </c>
      <c r="T574">
        <f t="shared" si="988"/>
        <v>-3.5244595223499475</v>
      </c>
    </row>
    <row r="575" spans="1:104" x14ac:dyDescent="0.25">
      <c r="A575" s="5">
        <v>44018</v>
      </c>
      <c r="B575">
        <v>9.2300000000000004E-3</v>
      </c>
      <c r="C575">
        <v>9.4299999999999991E-3</v>
      </c>
      <c r="D575">
        <v>9.0200000000000002E-3</v>
      </c>
      <c r="E575">
        <v>9.3699999999999999E-3</v>
      </c>
      <c r="F575">
        <v>12153994.6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0.70731707317073444</v>
      </c>
      <c r="Q575">
        <f t="shared" si="985"/>
        <v>8596727.8878049105</v>
      </c>
      <c r="R575">
        <f t="shared" si="986"/>
        <v>-356868593.92801803</v>
      </c>
      <c r="S575">
        <f t="shared" si="987"/>
        <v>-3568.6859392801803</v>
      </c>
      <c r="T575">
        <f t="shared" si="988"/>
        <v>-3.5686859392801802</v>
      </c>
    </row>
    <row r="576" spans="1:104" x14ac:dyDescent="0.25">
      <c r="A576" s="5">
        <v>44017</v>
      </c>
      <c r="B576">
        <v>9.11E-3</v>
      </c>
      <c r="C576">
        <v>9.4699999999999993E-3</v>
      </c>
      <c r="D576">
        <v>8.8900000000000003E-3</v>
      </c>
      <c r="E576">
        <v>9.2200000000000008E-3</v>
      </c>
      <c r="F576">
        <v>20488820.300000001</v>
      </c>
      <c r="G576">
        <v>0</v>
      </c>
      <c r="L576" t="s">
        <v>8</v>
      </c>
      <c r="M576" t="s">
        <v>7</v>
      </c>
      <c r="N576" t="s">
        <v>7</v>
      </c>
      <c r="P576">
        <f t="shared" si="984"/>
        <v>0.13793103448276223</v>
      </c>
      <c r="Q576">
        <f t="shared" si="985"/>
        <v>2826044.1793104187</v>
      </c>
      <c r="R576">
        <f t="shared" si="986"/>
        <v>-365465321.81582296</v>
      </c>
      <c r="S576">
        <f t="shared" si="987"/>
        <v>-3654.6532181582297</v>
      </c>
      <c r="T576">
        <f t="shared" si="988"/>
        <v>-3.6546532181582299</v>
      </c>
    </row>
    <row r="577" spans="1:20" x14ac:dyDescent="0.25">
      <c r="A577" s="5">
        <v>44016</v>
      </c>
      <c r="B577">
        <v>8.9599999999999992E-3</v>
      </c>
      <c r="C577">
        <v>9.1500000000000001E-3</v>
      </c>
      <c r="D577">
        <v>8.8100000000000001E-3</v>
      </c>
      <c r="E577">
        <v>9.1000000000000004E-3</v>
      </c>
      <c r="F577">
        <v>8711608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0.70588235294117829</v>
      </c>
      <c r="Q577">
        <f t="shared" si="985"/>
        <v>6149370.3529411927</v>
      </c>
      <c r="R577">
        <f t="shared" si="986"/>
        <v>-368291365.9951334</v>
      </c>
      <c r="S577">
        <f t="shared" si="987"/>
        <v>-3682.913659951334</v>
      </c>
      <c r="T577">
        <f t="shared" si="988"/>
        <v>-3.6829136599513341</v>
      </c>
    </row>
    <row r="578" spans="1:20" x14ac:dyDescent="0.25">
      <c r="A578" s="5">
        <v>44015</v>
      </c>
      <c r="B578">
        <v>8.8100000000000001E-3</v>
      </c>
      <c r="C578">
        <v>9.1500000000000001E-3</v>
      </c>
      <c r="D578">
        <v>8.8000000000000005E-3</v>
      </c>
      <c r="E578">
        <v>8.9599999999999992E-3</v>
      </c>
      <c r="F578">
        <v>6800150.2999999998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-8.5714285714292224E-2</v>
      </c>
      <c r="Q578">
        <f t="shared" si="985"/>
        <v>-582870.02571432991</v>
      </c>
      <c r="R578">
        <f t="shared" si="986"/>
        <v>-374440736.34807462</v>
      </c>
      <c r="S578">
        <f t="shared" si="987"/>
        <v>-3744.407363480746</v>
      </c>
      <c r="T578">
        <f t="shared" si="988"/>
        <v>-3.7444073634807458</v>
      </c>
    </row>
    <row r="579" spans="1:20" x14ac:dyDescent="0.25">
      <c r="A579" s="5">
        <v>44014</v>
      </c>
      <c r="B579">
        <v>9.1599999999999997E-3</v>
      </c>
      <c r="C579">
        <v>9.1999999999999998E-3</v>
      </c>
      <c r="D579">
        <v>8.5800000000000008E-3</v>
      </c>
      <c r="E579">
        <v>8.8199999999999997E-3</v>
      </c>
      <c r="F579">
        <v>9682341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-0.22580645161290558</v>
      </c>
      <c r="Q579">
        <f t="shared" si="985"/>
        <v>-2186335.0645161518</v>
      </c>
      <c r="R579">
        <f t="shared" si="986"/>
        <v>-373857866.32236028</v>
      </c>
      <c r="S579">
        <f t="shared" si="987"/>
        <v>-3738.5786632236027</v>
      </c>
      <c r="T579">
        <f t="shared" si="988"/>
        <v>-3.7385786632236027</v>
      </c>
    </row>
    <row r="580" spans="1:20" x14ac:dyDescent="0.25">
      <c r="A580" s="5">
        <v>44013</v>
      </c>
      <c r="B580">
        <v>8.8699999999999994E-3</v>
      </c>
      <c r="C580">
        <v>9.1999999999999998E-3</v>
      </c>
      <c r="D580">
        <v>8.7600000000000004E-3</v>
      </c>
      <c r="E580">
        <v>9.1599999999999997E-3</v>
      </c>
      <c r="F580">
        <v>6543683.5</v>
      </c>
      <c r="G580">
        <v>0</v>
      </c>
      <c r="L580" t="s">
        <v>7</v>
      </c>
      <c r="M580" t="s">
        <v>7</v>
      </c>
      <c r="N580" t="s">
        <v>7</v>
      </c>
      <c r="P580">
        <f t="shared" si="984"/>
        <v>0.81818181818181746</v>
      </c>
      <c r="Q580">
        <f t="shared" si="985"/>
        <v>5353922.8636363586</v>
      </c>
      <c r="R580">
        <f t="shared" si="986"/>
        <v>-371671531.25784415</v>
      </c>
      <c r="S580">
        <f t="shared" si="987"/>
        <v>-3716.7153125784416</v>
      </c>
      <c r="T580">
        <f t="shared" si="988"/>
        <v>-3.7167153125784416</v>
      </c>
    </row>
    <row r="581" spans="1:20" x14ac:dyDescent="0.25">
      <c r="A581" s="5">
        <v>44012</v>
      </c>
      <c r="B581">
        <v>9.2200000000000008E-3</v>
      </c>
      <c r="C581">
        <v>9.2700000000000005E-3</v>
      </c>
      <c r="D581">
        <v>8.7299999999999999E-3</v>
      </c>
      <c r="E581">
        <v>8.8599999999999998E-3</v>
      </c>
      <c r="F581">
        <v>10601943.800000001</v>
      </c>
      <c r="G581">
        <v>0</v>
      </c>
      <c r="L581" t="s">
        <v>7</v>
      </c>
      <c r="M581" t="s">
        <v>7</v>
      </c>
      <c r="N581" t="s">
        <v>7</v>
      </c>
      <c r="P581">
        <f t="shared" si="984"/>
        <v>-0.51851851851851938</v>
      </c>
      <c r="Q581">
        <f t="shared" si="985"/>
        <v>-5497304.1925926022</v>
      </c>
      <c r="R581">
        <f t="shared" si="986"/>
        <v>-377025454.12148052</v>
      </c>
      <c r="S581">
        <f t="shared" si="987"/>
        <v>-3770.2545412148052</v>
      </c>
      <c r="T581">
        <f t="shared" si="988"/>
        <v>-3.770254541214805</v>
      </c>
    </row>
    <row r="582" spans="1:20" x14ac:dyDescent="0.25">
      <c r="A582" s="5">
        <v>44011</v>
      </c>
      <c r="B582">
        <v>9.2700000000000005E-3</v>
      </c>
      <c r="C582">
        <v>9.41E-3</v>
      </c>
      <c r="D582">
        <v>8.8900000000000003E-3</v>
      </c>
      <c r="E582">
        <v>9.2099999999999994E-3</v>
      </c>
      <c r="F582">
        <v>8924709.6999999993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0.2307692307692282</v>
      </c>
      <c r="Q582">
        <f t="shared" ref="Q582:Q645" si="990">F582*P582</f>
        <v>2059548.3923076692</v>
      </c>
      <c r="R582">
        <f t="shared" ref="R582:R645" si="991">R583+Q582</f>
        <v>-371528149.9288879</v>
      </c>
      <c r="S582">
        <f t="shared" ref="S582:S645" si="992">R582/100000</f>
        <v>-3715.2814992888789</v>
      </c>
      <c r="T582">
        <f t="shared" ref="T582:T645" si="993">S582/1000</f>
        <v>-3.7152814992888787</v>
      </c>
    </row>
    <row r="583" spans="1:20" x14ac:dyDescent="0.25">
      <c r="A583" s="5">
        <v>44010</v>
      </c>
      <c r="B583">
        <v>8.5599999999999999E-3</v>
      </c>
      <c r="C583">
        <v>9.4199999999999996E-3</v>
      </c>
      <c r="D583">
        <v>8.4600000000000005E-3</v>
      </c>
      <c r="E583">
        <v>9.2300000000000004E-3</v>
      </c>
      <c r="F583">
        <v>12437215.9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0.60416666666666796</v>
      </c>
      <c r="Q583">
        <f t="shared" si="990"/>
        <v>7514151.272916683</v>
      </c>
      <c r="R583">
        <f t="shared" si="991"/>
        <v>-373587698.3211956</v>
      </c>
      <c r="S583">
        <f t="shared" si="992"/>
        <v>-3735.876983211956</v>
      </c>
      <c r="T583">
        <f t="shared" si="993"/>
        <v>-3.735876983211956</v>
      </c>
    </row>
    <row r="584" spans="1:20" x14ac:dyDescent="0.25">
      <c r="A584" s="5">
        <v>44009</v>
      </c>
      <c r="B584">
        <v>9.6699999999999998E-3</v>
      </c>
      <c r="C584">
        <v>9.6699999999999998E-3</v>
      </c>
      <c r="D584">
        <v>8.3300000000000006E-3</v>
      </c>
      <c r="E584">
        <v>8.5900000000000004E-3</v>
      </c>
      <c r="F584">
        <v>23517168.300000001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-0.61194029850746268</v>
      </c>
      <c r="Q584">
        <f t="shared" si="990"/>
        <v>-14391102.989552239</v>
      </c>
      <c r="R584">
        <f t="shared" si="991"/>
        <v>-381101849.59411228</v>
      </c>
      <c r="S584">
        <f t="shared" si="992"/>
        <v>-3811.0184959411226</v>
      </c>
      <c r="T584">
        <f t="shared" si="993"/>
        <v>-3.8110184959411226</v>
      </c>
    </row>
    <row r="585" spans="1:20" x14ac:dyDescent="0.25">
      <c r="A585" s="5">
        <v>44008</v>
      </c>
      <c r="B585">
        <v>9.8600000000000007E-3</v>
      </c>
      <c r="C585">
        <v>1.0200000000000001E-2</v>
      </c>
      <c r="D585">
        <v>9.3399999999999993E-3</v>
      </c>
      <c r="E585">
        <v>9.6399999999999993E-3</v>
      </c>
      <c r="F585">
        <v>19482458.300000001</v>
      </c>
      <c r="G585">
        <v>0</v>
      </c>
      <c r="L585" t="s">
        <v>8</v>
      </c>
      <c r="M585" t="s">
        <v>8</v>
      </c>
      <c r="N585" t="s">
        <v>7</v>
      </c>
      <c r="P585">
        <f t="shared" si="989"/>
        <v>-0.30232558139535015</v>
      </c>
      <c r="Q585">
        <f t="shared" si="990"/>
        <v>-5890045.5325581655</v>
      </c>
      <c r="R585">
        <f t="shared" si="991"/>
        <v>-366710746.60456002</v>
      </c>
      <c r="S585">
        <f t="shared" si="992"/>
        <v>-3667.1074660456002</v>
      </c>
      <c r="T585">
        <f t="shared" si="993"/>
        <v>-3.6671074660456</v>
      </c>
    </row>
    <row r="586" spans="1:20" x14ac:dyDescent="0.25">
      <c r="A586" s="5">
        <v>44007</v>
      </c>
      <c r="B586">
        <v>9.5499999999999995E-3</v>
      </c>
      <c r="C586">
        <v>1.018E-2</v>
      </c>
      <c r="D586">
        <v>9.1699999999999993E-3</v>
      </c>
      <c r="E586">
        <v>9.8499999999999994E-3</v>
      </c>
      <c r="F586">
        <v>32476221.699999999</v>
      </c>
      <c r="G586">
        <v>0</v>
      </c>
      <c r="L586" t="s">
        <v>7</v>
      </c>
      <c r="M586" t="s">
        <v>8</v>
      </c>
      <c r="N586" t="s">
        <v>7</v>
      </c>
      <c r="P586">
        <f t="shared" si="989"/>
        <v>0.34653465346534601</v>
      </c>
      <c r="Q586">
        <f t="shared" si="990"/>
        <v>11254136.23267325</v>
      </c>
      <c r="R586">
        <f t="shared" si="991"/>
        <v>-360820701.07200187</v>
      </c>
      <c r="S586">
        <f t="shared" si="992"/>
        <v>-3608.2070107200188</v>
      </c>
      <c r="T586">
        <f t="shared" si="993"/>
        <v>-3.6082070107200188</v>
      </c>
    </row>
    <row r="587" spans="1:20" x14ac:dyDescent="0.25">
      <c r="A587" s="5">
        <v>44006</v>
      </c>
      <c r="B587">
        <v>9.3500000000000007E-3</v>
      </c>
      <c r="C587">
        <v>1.051E-2</v>
      </c>
      <c r="D587">
        <v>9.2399999999999999E-3</v>
      </c>
      <c r="E587">
        <v>9.5499999999999995E-3</v>
      </c>
      <c r="F587">
        <v>78300459.400000006</v>
      </c>
      <c r="G587">
        <v>0</v>
      </c>
      <c r="L587" t="s">
        <v>8</v>
      </c>
      <c r="M587" t="s">
        <v>8</v>
      </c>
      <c r="N587" t="s">
        <v>7</v>
      </c>
      <c r="P587">
        <f t="shared" si="989"/>
        <v>-0.51181102362204811</v>
      </c>
      <c r="Q587">
        <f t="shared" si="990"/>
        <v>-40075038.275590621</v>
      </c>
      <c r="R587">
        <f t="shared" si="991"/>
        <v>-372074837.3046751</v>
      </c>
      <c r="S587">
        <f t="shared" si="992"/>
        <v>-3720.7483730467511</v>
      </c>
      <c r="T587">
        <f t="shared" si="993"/>
        <v>-3.7207483730467512</v>
      </c>
    </row>
    <row r="588" spans="1:20" x14ac:dyDescent="0.25">
      <c r="A588" s="5">
        <v>44005</v>
      </c>
      <c r="B588">
        <v>9.2099999999999994E-3</v>
      </c>
      <c r="C588">
        <v>9.58E-3</v>
      </c>
      <c r="D588">
        <v>8.8900000000000003E-3</v>
      </c>
      <c r="E588">
        <v>9.3399999999999993E-3</v>
      </c>
      <c r="F588">
        <v>24570621.600000001</v>
      </c>
      <c r="G588">
        <v>0</v>
      </c>
      <c r="L588" t="s">
        <v>8</v>
      </c>
      <c r="M588" t="s">
        <v>7</v>
      </c>
      <c r="N588" t="s">
        <v>7</v>
      </c>
      <c r="P588">
        <f t="shared" si="989"/>
        <v>0.30434782608695432</v>
      </c>
      <c r="Q588">
        <f t="shared" si="990"/>
        <v>7478015.2695651641</v>
      </c>
      <c r="R588">
        <f t="shared" si="991"/>
        <v>-331999799.0290845</v>
      </c>
      <c r="S588">
        <f t="shared" si="992"/>
        <v>-3319.9979902908449</v>
      </c>
      <c r="T588">
        <f t="shared" si="993"/>
        <v>-3.3199979902908447</v>
      </c>
    </row>
    <row r="589" spans="1:20" x14ac:dyDescent="0.25">
      <c r="A589" s="5">
        <v>44004</v>
      </c>
      <c r="B589">
        <v>8.8900000000000003E-3</v>
      </c>
      <c r="C589">
        <v>9.3500000000000007E-3</v>
      </c>
      <c r="D589">
        <v>8.8800000000000007E-3</v>
      </c>
      <c r="E589">
        <v>9.2200000000000008E-3</v>
      </c>
      <c r="F589">
        <v>13498667.300000001</v>
      </c>
      <c r="G589">
        <v>0</v>
      </c>
      <c r="L589" t="s">
        <v>8</v>
      </c>
      <c r="M589" t="s">
        <v>7</v>
      </c>
      <c r="N589" t="s">
        <v>7</v>
      </c>
      <c r="P589">
        <f t="shared" si="989"/>
        <v>0.44680851063829818</v>
      </c>
      <c r="Q589">
        <f t="shared" si="990"/>
        <v>6031319.4319148986</v>
      </c>
      <c r="R589">
        <f t="shared" si="991"/>
        <v>-339477814.29864967</v>
      </c>
      <c r="S589">
        <f t="shared" si="992"/>
        <v>-3394.7781429864967</v>
      </c>
      <c r="T589">
        <f t="shared" si="993"/>
        <v>-3.3947781429864969</v>
      </c>
    </row>
    <row r="590" spans="1:20" x14ac:dyDescent="0.25">
      <c r="A590" s="5">
        <v>44003</v>
      </c>
      <c r="B590">
        <v>8.9800000000000001E-3</v>
      </c>
      <c r="C590">
        <v>9.1800000000000007E-3</v>
      </c>
      <c r="D590">
        <v>8.8900000000000003E-3</v>
      </c>
      <c r="E590">
        <v>8.8999999999999999E-3</v>
      </c>
      <c r="F590">
        <v>9502507.9000000004</v>
      </c>
      <c r="G590">
        <v>0</v>
      </c>
      <c r="L590" t="s">
        <v>7</v>
      </c>
      <c r="M590" t="s">
        <v>7</v>
      </c>
      <c r="N590" t="s">
        <v>7</v>
      </c>
      <c r="P590">
        <f t="shared" si="989"/>
        <v>-0.93103448275862355</v>
      </c>
      <c r="Q590">
        <f t="shared" si="990"/>
        <v>-8847162.5275862347</v>
      </c>
      <c r="R590">
        <f t="shared" si="991"/>
        <v>-345509133.73056459</v>
      </c>
      <c r="S590">
        <f t="shared" si="992"/>
        <v>-3455.091337305646</v>
      </c>
      <c r="T590">
        <f t="shared" si="993"/>
        <v>-3.455091337305646</v>
      </c>
    </row>
    <row r="591" spans="1:20" x14ac:dyDescent="0.25">
      <c r="A591" s="5">
        <v>44002</v>
      </c>
      <c r="B591">
        <v>9.1500000000000001E-3</v>
      </c>
      <c r="C591">
        <v>9.2200000000000008E-3</v>
      </c>
      <c r="D591">
        <v>8.8000000000000005E-3</v>
      </c>
      <c r="E591">
        <v>9.0299999999999998E-3</v>
      </c>
      <c r="F591">
        <v>19632270.100000001</v>
      </c>
      <c r="G591">
        <v>0</v>
      </c>
      <c r="L591" t="s">
        <v>7</v>
      </c>
      <c r="M591" t="s">
        <v>7</v>
      </c>
      <c r="N591" t="s">
        <v>7</v>
      </c>
      <c r="P591">
        <f t="shared" si="989"/>
        <v>9.5238095238091305E-2</v>
      </c>
      <c r="Q591">
        <f t="shared" si="990"/>
        <v>1869740.0095237324</v>
      </c>
      <c r="R591">
        <f t="shared" si="991"/>
        <v>-336661971.20297837</v>
      </c>
      <c r="S591">
        <f t="shared" si="992"/>
        <v>-3366.6197120297838</v>
      </c>
      <c r="T591">
        <f t="shared" si="993"/>
        <v>-3.3666197120297841</v>
      </c>
    </row>
    <row r="592" spans="1:20" x14ac:dyDescent="0.25">
      <c r="A592" s="5">
        <v>44001</v>
      </c>
      <c r="B592">
        <v>9.2599999999999991E-3</v>
      </c>
      <c r="C592">
        <v>9.5499999999999995E-3</v>
      </c>
      <c r="D592">
        <v>8.8900000000000003E-3</v>
      </c>
      <c r="E592">
        <v>9.1500000000000001E-3</v>
      </c>
      <c r="F592">
        <v>32309971.899999999</v>
      </c>
      <c r="G592">
        <v>0</v>
      </c>
      <c r="L592" t="s">
        <v>8</v>
      </c>
      <c r="M592" t="s">
        <v>7</v>
      </c>
      <c r="N592" t="s">
        <v>7</v>
      </c>
      <c r="P592">
        <f t="shared" si="989"/>
        <v>-0.21212121212121166</v>
      </c>
      <c r="Q592">
        <f t="shared" si="990"/>
        <v>-6853630.4030302875</v>
      </c>
      <c r="R592">
        <f t="shared" si="991"/>
        <v>-338531711.21250212</v>
      </c>
      <c r="S592">
        <f t="shared" si="992"/>
        <v>-3385.3171121250211</v>
      </c>
      <c r="T592">
        <f t="shared" si="993"/>
        <v>-3.385317112125021</v>
      </c>
    </row>
    <row r="593" spans="1:20" x14ac:dyDescent="0.25">
      <c r="A593" s="5">
        <v>44000</v>
      </c>
      <c r="B593">
        <v>9.0799999999999995E-3</v>
      </c>
      <c r="C593">
        <v>9.3500000000000007E-3</v>
      </c>
      <c r="D593">
        <v>8.8599999999999998E-3</v>
      </c>
      <c r="E593">
        <v>9.2399999999999999E-3</v>
      </c>
      <c r="F593">
        <v>23177993.300000001</v>
      </c>
      <c r="G593">
        <v>0</v>
      </c>
      <c r="L593" t="s">
        <v>7</v>
      </c>
      <c r="M593" t="s">
        <v>7</v>
      </c>
      <c r="N593" t="s">
        <v>7</v>
      </c>
      <c r="P593">
        <f t="shared" si="989"/>
        <v>0.55102040816326314</v>
      </c>
      <c r="Q593">
        <f t="shared" si="990"/>
        <v>12771547.328571379</v>
      </c>
      <c r="R593">
        <f t="shared" si="991"/>
        <v>-331678080.80947185</v>
      </c>
      <c r="S593">
        <f t="shared" si="992"/>
        <v>-3316.7808080947184</v>
      </c>
      <c r="T593">
        <f t="shared" si="993"/>
        <v>-3.3167808080947183</v>
      </c>
    </row>
    <row r="594" spans="1:20" x14ac:dyDescent="0.25">
      <c r="A594" s="5">
        <v>43999</v>
      </c>
      <c r="B594">
        <v>9.2499999999999995E-3</v>
      </c>
      <c r="C594">
        <v>9.2599999999999991E-3</v>
      </c>
      <c r="D594">
        <v>8.8999999999999999E-3</v>
      </c>
      <c r="E594">
        <v>9.0299999999999998E-3</v>
      </c>
      <c r="F594">
        <v>17699441.199999999</v>
      </c>
      <c r="G594">
        <v>0</v>
      </c>
      <c r="L594" t="s">
        <v>7</v>
      </c>
      <c r="M594" t="s">
        <v>7</v>
      </c>
      <c r="N594" t="s">
        <v>7</v>
      </c>
      <c r="P594">
        <f t="shared" si="989"/>
        <v>-0.27777777777777668</v>
      </c>
      <c r="Q594">
        <f t="shared" si="990"/>
        <v>-4916511.4444444245</v>
      </c>
      <c r="R594">
        <f t="shared" si="991"/>
        <v>-344449628.13804322</v>
      </c>
      <c r="S594">
        <f t="shared" si="992"/>
        <v>-3444.4962813804323</v>
      </c>
      <c r="T594">
        <f t="shared" si="993"/>
        <v>-3.4444962813804323</v>
      </c>
    </row>
    <row r="595" spans="1:20" x14ac:dyDescent="0.25">
      <c r="A595" s="5">
        <v>43998</v>
      </c>
      <c r="B595">
        <v>9.5099999999999994E-3</v>
      </c>
      <c r="C595">
        <v>9.6500000000000006E-3</v>
      </c>
      <c r="D595">
        <v>8.9999999999999993E-3</v>
      </c>
      <c r="E595">
        <v>9.2499999999999995E-3</v>
      </c>
      <c r="F595">
        <v>22246358.600000001</v>
      </c>
      <c r="G595">
        <v>0</v>
      </c>
      <c r="L595" t="s">
        <v>7</v>
      </c>
      <c r="M595" t="s">
        <v>7</v>
      </c>
      <c r="N595" t="s">
        <v>7</v>
      </c>
      <c r="P595">
        <f t="shared" si="989"/>
        <v>-0.23076923076923159</v>
      </c>
      <c r="Q595">
        <f t="shared" si="990"/>
        <v>-5133775.0615384802</v>
      </c>
      <c r="R595">
        <f t="shared" si="991"/>
        <v>-339533116.69359881</v>
      </c>
      <c r="S595">
        <f t="shared" si="992"/>
        <v>-3395.3311669359882</v>
      </c>
      <c r="T595">
        <f t="shared" si="993"/>
        <v>-3.3953311669359882</v>
      </c>
    </row>
    <row r="596" spans="1:20" x14ac:dyDescent="0.25">
      <c r="A596" s="5">
        <v>43997</v>
      </c>
      <c r="B596">
        <v>9.11E-3</v>
      </c>
      <c r="C596">
        <v>9.7599999999999996E-3</v>
      </c>
      <c r="D596">
        <v>8.2400000000000008E-3</v>
      </c>
      <c r="E596">
        <v>9.5099999999999994E-3</v>
      </c>
      <c r="F596">
        <v>74477741.799999997</v>
      </c>
      <c r="G596">
        <v>0</v>
      </c>
      <c r="L596" t="s">
        <v>8</v>
      </c>
      <c r="M596" t="s">
        <v>7</v>
      </c>
      <c r="N596" t="s">
        <v>7</v>
      </c>
      <c r="P596">
        <f t="shared" si="989"/>
        <v>0.67105263157894679</v>
      </c>
      <c r="Q596">
        <f t="shared" si="990"/>
        <v>49978484.628947325</v>
      </c>
      <c r="R596">
        <f t="shared" si="991"/>
        <v>-334399341.63206035</v>
      </c>
      <c r="S596">
        <f t="shared" si="992"/>
        <v>-3343.9934163206035</v>
      </c>
      <c r="T596">
        <f t="shared" si="993"/>
        <v>-3.3439934163206035</v>
      </c>
    </row>
    <row r="597" spans="1:20" x14ac:dyDescent="0.25">
      <c r="A597" s="5">
        <v>43996</v>
      </c>
      <c r="B597">
        <v>9.4800000000000006E-3</v>
      </c>
      <c r="C597">
        <v>9.6100000000000005E-3</v>
      </c>
      <c r="D597">
        <v>9.0600000000000003E-3</v>
      </c>
      <c r="E597">
        <v>9.1800000000000007E-3</v>
      </c>
      <c r="F597">
        <v>33374399.399999999</v>
      </c>
      <c r="G597">
        <v>0</v>
      </c>
      <c r="L597" t="s">
        <v>8</v>
      </c>
      <c r="M597" t="s">
        <v>8</v>
      </c>
      <c r="N597" t="s">
        <v>7</v>
      </c>
      <c r="P597">
        <f t="shared" si="989"/>
        <v>-0.5636363636363626</v>
      </c>
      <c r="Q597">
        <f t="shared" si="990"/>
        <v>-18811025.1163636</v>
      </c>
      <c r="R597">
        <f t="shared" si="991"/>
        <v>-384377826.26100767</v>
      </c>
      <c r="S597">
        <f t="shared" si="992"/>
        <v>-3843.7782626100766</v>
      </c>
      <c r="T597">
        <f t="shared" si="993"/>
        <v>-3.8437782626100767</v>
      </c>
    </row>
    <row r="598" spans="1:20" x14ac:dyDescent="0.25">
      <c r="A598" s="5">
        <v>43995</v>
      </c>
      <c r="B598">
        <v>9.2899999999999996E-3</v>
      </c>
      <c r="C598">
        <v>9.6600000000000002E-3</v>
      </c>
      <c r="D598">
        <v>8.9200000000000008E-3</v>
      </c>
      <c r="E598">
        <v>9.4800000000000006E-3</v>
      </c>
      <c r="F598">
        <v>33873260.399999999</v>
      </c>
      <c r="G598">
        <v>0</v>
      </c>
      <c r="L598" t="s">
        <v>7</v>
      </c>
      <c r="M598" t="s">
        <v>8</v>
      </c>
      <c r="N598" t="s">
        <v>7</v>
      </c>
      <c r="P598">
        <f t="shared" si="989"/>
        <v>0.51351351351351415</v>
      </c>
      <c r="Q598">
        <f t="shared" si="990"/>
        <v>17394376.962162182</v>
      </c>
      <c r="R598">
        <f t="shared" si="991"/>
        <v>-365566801.14464408</v>
      </c>
      <c r="S598">
        <f t="shared" si="992"/>
        <v>-3655.6680114464407</v>
      </c>
      <c r="T598">
        <f t="shared" si="993"/>
        <v>-3.6556680114464406</v>
      </c>
    </row>
    <row r="599" spans="1:20" x14ac:dyDescent="0.25">
      <c r="A599" s="5">
        <v>43994</v>
      </c>
      <c r="B599">
        <v>8.5800000000000008E-3</v>
      </c>
      <c r="C599">
        <v>9.7900000000000001E-3</v>
      </c>
      <c r="D599">
        <v>8.5100000000000002E-3</v>
      </c>
      <c r="E599">
        <v>9.3399999999999993E-3</v>
      </c>
      <c r="F599">
        <v>120221335.8</v>
      </c>
      <c r="G599">
        <v>0</v>
      </c>
      <c r="L599" t="s">
        <v>8</v>
      </c>
      <c r="M599" t="s">
        <v>8</v>
      </c>
      <c r="N599" t="s">
        <v>7</v>
      </c>
      <c r="P599">
        <f t="shared" si="989"/>
        <v>0.29687499999999878</v>
      </c>
      <c r="Q599">
        <f t="shared" si="990"/>
        <v>35690709.065624855</v>
      </c>
      <c r="R599">
        <f t="shared" si="991"/>
        <v>-382961178.10680628</v>
      </c>
      <c r="S599">
        <f t="shared" si="992"/>
        <v>-3829.6117810680626</v>
      </c>
      <c r="T599">
        <f t="shared" si="993"/>
        <v>-3.8296117810680625</v>
      </c>
    </row>
    <row r="600" spans="1:20" x14ac:dyDescent="0.25">
      <c r="A600" s="5">
        <v>43993</v>
      </c>
      <c r="B600">
        <v>8.5699999999999995E-3</v>
      </c>
      <c r="C600">
        <v>8.9899999999999997E-3</v>
      </c>
      <c r="D600">
        <v>7.8799999999999999E-3</v>
      </c>
      <c r="E600">
        <v>8.6E-3</v>
      </c>
      <c r="F600">
        <v>51698191.200000003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0.2972972972972977</v>
      </c>
      <c r="Q600">
        <f t="shared" si="990"/>
        <v>15369732.518918941</v>
      </c>
      <c r="R600">
        <f t="shared" si="991"/>
        <v>-418651887.17243111</v>
      </c>
      <c r="S600">
        <f t="shared" si="992"/>
        <v>-4186.5188717243109</v>
      </c>
      <c r="T600">
        <f t="shared" si="993"/>
        <v>-4.1865188717243109</v>
      </c>
    </row>
    <row r="601" spans="1:20" x14ac:dyDescent="0.25">
      <c r="A601" s="5">
        <v>43992</v>
      </c>
      <c r="B601">
        <v>8.6700000000000006E-3</v>
      </c>
      <c r="C601">
        <v>8.94E-3</v>
      </c>
      <c r="D601">
        <v>8.4600000000000005E-3</v>
      </c>
      <c r="E601">
        <v>8.5299999999999994E-3</v>
      </c>
      <c r="F601">
        <v>37099653.399999999</v>
      </c>
      <c r="G601">
        <v>0</v>
      </c>
      <c r="L601" t="s">
        <v>7</v>
      </c>
      <c r="M601" t="s">
        <v>7</v>
      </c>
      <c r="N601" t="s">
        <v>7</v>
      </c>
      <c r="P601">
        <f t="shared" si="989"/>
        <v>-0.7083333333333377</v>
      </c>
      <c r="Q601">
        <f t="shared" si="990"/>
        <v>-26278921.158333495</v>
      </c>
      <c r="R601">
        <f t="shared" si="991"/>
        <v>-434021619.69135004</v>
      </c>
      <c r="S601">
        <f t="shared" si="992"/>
        <v>-4340.2161969135004</v>
      </c>
      <c r="T601">
        <f t="shared" si="993"/>
        <v>-4.3402161969135005</v>
      </c>
    </row>
    <row r="602" spans="1:20" x14ac:dyDescent="0.25">
      <c r="A602" s="5">
        <v>43991</v>
      </c>
      <c r="B602">
        <v>9.1500000000000001E-3</v>
      </c>
      <c r="C602">
        <v>9.2099999999999994E-3</v>
      </c>
      <c r="D602">
        <v>8.6099999999999996E-3</v>
      </c>
      <c r="E602">
        <v>8.6700000000000006E-3</v>
      </c>
      <c r="F602">
        <v>31606789.300000001</v>
      </c>
      <c r="G602">
        <v>0</v>
      </c>
      <c r="L602" t="s">
        <v>7</v>
      </c>
      <c r="M602" t="s">
        <v>7</v>
      </c>
      <c r="N602" t="s">
        <v>7</v>
      </c>
      <c r="P602">
        <f t="shared" si="989"/>
        <v>-0.79999999999999649</v>
      </c>
      <c r="Q602">
        <f t="shared" si="990"/>
        <v>-25285431.43999989</v>
      </c>
      <c r="R602">
        <f t="shared" si="991"/>
        <v>-407742698.53301656</v>
      </c>
      <c r="S602">
        <f t="shared" si="992"/>
        <v>-4077.4269853301657</v>
      </c>
      <c r="T602">
        <f t="shared" si="993"/>
        <v>-4.0774269853301659</v>
      </c>
    </row>
    <row r="603" spans="1:20" x14ac:dyDescent="0.25">
      <c r="A603" s="5">
        <v>43990</v>
      </c>
      <c r="B603">
        <v>9.1599999999999997E-3</v>
      </c>
      <c r="C603">
        <v>9.5899999999999996E-3</v>
      </c>
      <c r="D603">
        <v>9.0399999999999994E-3</v>
      </c>
      <c r="E603">
        <v>9.1500000000000001E-3</v>
      </c>
      <c r="F603">
        <v>43681250.299999997</v>
      </c>
      <c r="G603">
        <v>0</v>
      </c>
      <c r="L603" t="s">
        <v>8</v>
      </c>
      <c r="M603" t="s">
        <v>7</v>
      </c>
      <c r="N603" t="s">
        <v>7</v>
      </c>
      <c r="P603">
        <f t="shared" si="989"/>
        <v>-0.59999999999999742</v>
      </c>
      <c r="Q603">
        <f t="shared" si="990"/>
        <v>-26208750.179999884</v>
      </c>
      <c r="R603">
        <f t="shared" si="991"/>
        <v>-382457267.09301668</v>
      </c>
      <c r="S603">
        <f t="shared" si="992"/>
        <v>-3824.5726709301666</v>
      </c>
      <c r="T603">
        <f t="shared" si="993"/>
        <v>-3.8245726709301668</v>
      </c>
    </row>
    <row r="604" spans="1:20" x14ac:dyDescent="0.25">
      <c r="A604" s="5">
        <v>43989</v>
      </c>
      <c r="B604">
        <v>9.9699999999999997E-3</v>
      </c>
      <c r="C604">
        <v>9.9699999999999997E-3</v>
      </c>
      <c r="D604">
        <v>8.7899999999999992E-3</v>
      </c>
      <c r="E604">
        <v>9.1500000000000001E-3</v>
      </c>
      <c r="F604">
        <v>81269013</v>
      </c>
      <c r="G604">
        <v>0</v>
      </c>
      <c r="L604" t="s">
        <v>7</v>
      </c>
      <c r="M604" t="s">
        <v>7</v>
      </c>
      <c r="N604" t="s">
        <v>7</v>
      </c>
      <c r="P604">
        <f t="shared" si="989"/>
        <v>-0.3898305084745749</v>
      </c>
      <c r="Q604">
        <f t="shared" si="990"/>
        <v>-31681140.661016837</v>
      </c>
      <c r="R604">
        <f t="shared" si="991"/>
        <v>-356248516.9130168</v>
      </c>
      <c r="S604">
        <f t="shared" si="992"/>
        <v>-3562.4851691301678</v>
      </c>
      <c r="T604">
        <f t="shared" si="993"/>
        <v>-3.5624851691301678</v>
      </c>
    </row>
    <row r="605" spans="1:20" x14ac:dyDescent="0.25">
      <c r="A605" s="5">
        <v>43988</v>
      </c>
      <c r="B605">
        <v>1.03E-2</v>
      </c>
      <c r="C605">
        <v>1.06E-2</v>
      </c>
      <c r="D605">
        <v>9.8499999999999994E-3</v>
      </c>
      <c r="E605">
        <v>9.9699999999999997E-3</v>
      </c>
      <c r="F605">
        <v>108038816.90000001</v>
      </c>
      <c r="G605">
        <v>0</v>
      </c>
      <c r="L605" t="s">
        <v>7</v>
      </c>
      <c r="M605" t="s">
        <v>7</v>
      </c>
      <c r="N605" t="s">
        <v>7</v>
      </c>
      <c r="P605">
        <f t="shared" si="989"/>
        <v>-0.67999999999999949</v>
      </c>
      <c r="Q605">
        <f t="shared" si="990"/>
        <v>-73466395.491999954</v>
      </c>
      <c r="R605">
        <f t="shared" si="991"/>
        <v>-324567376.25199997</v>
      </c>
      <c r="S605">
        <f t="shared" si="992"/>
        <v>-3245.6737625199999</v>
      </c>
      <c r="T605">
        <f t="shared" si="993"/>
        <v>-3.2456737625200001</v>
      </c>
    </row>
    <row r="606" spans="1:20" x14ac:dyDescent="0.25">
      <c r="A606" s="5">
        <v>43987</v>
      </c>
      <c r="B606">
        <v>1.2630000000000001E-2</v>
      </c>
      <c r="C606">
        <v>1.54E-2</v>
      </c>
      <c r="D606">
        <v>9.4000000000000004E-3</v>
      </c>
      <c r="E606">
        <v>1.03E-2</v>
      </c>
      <c r="F606">
        <v>358715686.80000001</v>
      </c>
      <c r="G606">
        <v>0</v>
      </c>
      <c r="P606">
        <f t="shared" si="989"/>
        <v>-0.70000000000000007</v>
      </c>
      <c r="Q606">
        <f t="shared" si="990"/>
        <v>-251100980.76000002</v>
      </c>
      <c r="R606">
        <f t="shared" si="991"/>
        <v>-251100980.76000002</v>
      </c>
      <c r="S606">
        <f t="shared" si="992"/>
        <v>-2511.0098076000004</v>
      </c>
      <c r="T606">
        <f t="shared" si="993"/>
        <v>-2.5110098076000003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LL730" sqref="LL73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$A$729</v>
      </c>
      <c r="D111" s="1" t="str">
        <f>ADDRESS(C121-1,D121,1,1)</f>
        <v>$LL$729</v>
      </c>
      <c r="E111"/>
    </row>
    <row r="112" spans="1:5" x14ac:dyDescent="0.25">
      <c r="A112" s="7">
        <v>12164.144957890772</v>
      </c>
      <c r="C112" s="1" t="str">
        <f>ADDRESS(C121,1,1,1)</f>
        <v>$A$730</v>
      </c>
      <c r="D112" s="1" t="str">
        <f>ADDRESS(C121,D121-1,1,1)</f>
        <v>$LK$730</v>
      </c>
      <c r="E112"/>
    </row>
    <row r="113" spans="1:5" x14ac:dyDescent="0.25">
      <c r="A113" s="7">
        <v>11925.63231165762</v>
      </c>
      <c r="C113" s="1" t="str">
        <f>ADDRESS(C121+1,1,1,1)</f>
        <v>$A$731</v>
      </c>
      <c r="D113" s="1" t="str">
        <f>ADDRESS(C121-1,D121+1,1,1)</f>
        <v>$LM$729</v>
      </c>
    </row>
    <row r="114" spans="1:5" x14ac:dyDescent="0.25">
      <c r="A114" s="7">
        <v>11691.796383978059</v>
      </c>
      <c r="C114" s="1" t="str">
        <f>ADDRESS(C121,D121,1,1)</f>
        <v>$LL$730</v>
      </c>
      <c r="D114" s="1" t="str">
        <f>ADDRESS(C121+1,D121+1,1,1)</f>
        <v>$LM$731</v>
      </c>
    </row>
    <row r="115" spans="1:5" x14ac:dyDescent="0.25">
      <c r="A115" s="7">
        <v>11462.545474488292</v>
      </c>
      <c r="C115" s="1" t="str">
        <f>ADDRESS(C121+1,D121,1,1)</f>
        <v>$LL$731</v>
      </c>
    </row>
    <row r="116" spans="1:5" x14ac:dyDescent="0.25">
      <c r="A116" s="7">
        <v>11237.789680870874</v>
      </c>
      <c r="C116" s="1">
        <f>C117-1</f>
        <v>729</v>
      </c>
    </row>
    <row r="117" spans="1:5" x14ac:dyDescent="0.25">
      <c r="A117" s="7">
        <v>11017.440863598895</v>
      </c>
      <c r="C117" s="1">
        <f>C121</f>
        <v>730</v>
      </c>
      <c r="D117" s="1">
        <f>D121</f>
        <v>324</v>
      </c>
    </row>
    <row r="118" spans="1:5" x14ac:dyDescent="0.25">
      <c r="A118" s="7">
        <v>10801.412611371465</v>
      </c>
      <c r="C118" s="1">
        <f>C117+1</f>
        <v>731</v>
      </c>
      <c r="D118" s="1">
        <f>D117+1</f>
        <v>325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730</v>
      </c>
      <c r="D121" s="19">
        <v>324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R730</v>
      </c>
      <c r="D123" s="1" t="str">
        <f>"C"&amp;D121</f>
        <v>C324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5.8908157329606609E-2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312" x14ac:dyDescent="0.25">
      <c r="A673" s="7">
        <v>0.18213156881997963</v>
      </c>
      <c r="B673"/>
      <c r="C673"/>
      <c r="D673"/>
      <c r="E673"/>
      <c r="F673" s="27" t="s">
        <v>7</v>
      </c>
    </row>
    <row r="674" spans="1:312" x14ac:dyDescent="0.25">
      <c r="A674" s="7">
        <v>0.17856036158821534</v>
      </c>
      <c r="B674"/>
      <c r="C674"/>
      <c r="D674"/>
      <c r="E674"/>
      <c r="F674" s="27" t="s">
        <v>7</v>
      </c>
      <c r="KU674" s="27" t="s">
        <v>8</v>
      </c>
    </row>
    <row r="675" spans="1:312" x14ac:dyDescent="0.25">
      <c r="A675" s="7">
        <v>0.17505917802766208</v>
      </c>
      <c r="B675"/>
      <c r="C675"/>
      <c r="D675"/>
      <c r="E675"/>
      <c r="F675" s="27" t="s">
        <v>7</v>
      </c>
      <c r="KU675" s="27" t="s">
        <v>8</v>
      </c>
      <c r="KV675" s="27" t="s">
        <v>7</v>
      </c>
    </row>
    <row r="676" spans="1:312" x14ac:dyDescent="0.25">
      <c r="A676" s="7">
        <v>0.17162664512515888</v>
      </c>
      <c r="B676"/>
      <c r="C676"/>
      <c r="D676"/>
      <c r="E676"/>
      <c r="F676" s="27" t="s">
        <v>7</v>
      </c>
      <c r="KU676" s="27" t="s">
        <v>8</v>
      </c>
      <c r="KV676" s="27" t="s">
        <v>7</v>
      </c>
    </row>
    <row r="677" spans="1:312" x14ac:dyDescent="0.25">
      <c r="A677" s="7">
        <v>0.16826141678937145</v>
      </c>
      <c r="B677"/>
      <c r="C677"/>
      <c r="D677"/>
      <c r="E677"/>
      <c r="F677" s="27" t="s">
        <v>7</v>
      </c>
      <c r="KU677" s="27" t="s">
        <v>8</v>
      </c>
      <c r="KV677" s="27" t="s">
        <v>7</v>
      </c>
    </row>
    <row r="678" spans="1:312" x14ac:dyDescent="0.25">
      <c r="A678" s="7">
        <v>0.16496217332291319</v>
      </c>
      <c r="B678"/>
      <c r="C678"/>
      <c r="D678"/>
      <c r="E678"/>
      <c r="F678" s="27" t="s">
        <v>7</v>
      </c>
      <c r="KU678" s="27" t="s">
        <v>8</v>
      </c>
      <c r="KV678" s="27" t="s">
        <v>7</v>
      </c>
    </row>
    <row r="679" spans="1:312" x14ac:dyDescent="0.25">
      <c r="A679" s="7">
        <v>0.16172762090481685</v>
      </c>
      <c r="B679"/>
      <c r="C679"/>
      <c r="D679"/>
      <c r="E679"/>
      <c r="F679" s="27" t="s">
        <v>7</v>
      </c>
      <c r="KU679" s="27" t="s">
        <v>8</v>
      </c>
      <c r="KV679" s="27" t="s">
        <v>7</v>
      </c>
    </row>
    <row r="680" spans="1:312" x14ac:dyDescent="0.25">
      <c r="A680" s="7">
        <v>0.15855649108315376</v>
      </c>
      <c r="B680"/>
      <c r="C680"/>
      <c r="D680"/>
      <c r="E680"/>
      <c r="F680" s="27" t="s">
        <v>7</v>
      </c>
      <c r="KU680" s="27" t="s">
        <v>8</v>
      </c>
      <c r="KV680" s="27" t="s">
        <v>7</v>
      </c>
    </row>
    <row r="681" spans="1:312" x14ac:dyDescent="0.25">
      <c r="A681" s="7">
        <v>0.15544754027760171</v>
      </c>
      <c r="B681"/>
      <c r="C681"/>
      <c r="D681"/>
      <c r="E681"/>
      <c r="F681" s="27" t="s">
        <v>7</v>
      </c>
      <c r="KU681" s="27" t="s">
        <v>8</v>
      </c>
      <c r="KV681" s="27" t="s">
        <v>7</v>
      </c>
    </row>
    <row r="682" spans="1:312" x14ac:dyDescent="0.25">
      <c r="A682" s="7">
        <v>0.15239954929176638</v>
      </c>
      <c r="B682"/>
      <c r="C682"/>
      <c r="D682"/>
      <c r="E682"/>
      <c r="F682" s="27" t="s">
        <v>7</v>
      </c>
      <c r="KU682" s="27" t="s">
        <v>8</v>
      </c>
      <c r="KV682" s="27" t="s">
        <v>7</v>
      </c>
    </row>
    <row r="683" spans="1:312" x14ac:dyDescent="0.25">
      <c r="A683" s="7">
        <v>0.14941132283506509</v>
      </c>
      <c r="B683"/>
      <c r="C683"/>
      <c r="D683"/>
      <c r="E683"/>
      <c r="F683" s="27" t="s">
        <v>7</v>
      </c>
      <c r="KU683" s="27" t="s">
        <v>8</v>
      </c>
      <c r="KV683" s="27" t="s">
        <v>7</v>
      </c>
    </row>
    <row r="684" spans="1:312" x14ac:dyDescent="0.25">
      <c r="A684" s="7">
        <v>0.14648168905398537</v>
      </c>
      <c r="B684"/>
      <c r="C684"/>
      <c r="D684"/>
      <c r="E684"/>
      <c r="F684" s="27" t="s">
        <v>7</v>
      </c>
      <c r="KU684" s="27" t="s">
        <v>8</v>
      </c>
      <c r="KV684" s="27" t="s">
        <v>7</v>
      </c>
    </row>
    <row r="685" spans="1:312" x14ac:dyDescent="0.25">
      <c r="A685" s="7">
        <v>0.14360949907253467</v>
      </c>
      <c r="B685"/>
      <c r="C685"/>
      <c r="D685"/>
      <c r="E685"/>
      <c r="F685" s="27" t="s">
        <v>7</v>
      </c>
      <c r="KU685" s="27" t="s">
        <v>8</v>
      </c>
      <c r="KV685" s="27" t="s">
        <v>7</v>
      </c>
    </row>
    <row r="686" spans="1:312" x14ac:dyDescent="0.25">
      <c r="A686" s="7">
        <v>0.14079362654170066</v>
      </c>
      <c r="B686"/>
      <c r="C686"/>
      <c r="D686"/>
      <c r="E686"/>
      <c r="F686" s="27" t="s">
        <v>7</v>
      </c>
      <c r="FE686" s="27" t="s">
        <v>8</v>
      </c>
      <c r="KU686" s="27" t="s">
        <v>8</v>
      </c>
      <c r="KV686" s="27" t="s">
        <v>7</v>
      </c>
    </row>
    <row r="687" spans="1:312" x14ac:dyDescent="0.25">
      <c r="A687" s="7">
        <v>0.13803296719774574</v>
      </c>
      <c r="B687"/>
      <c r="C687"/>
      <c r="D687"/>
      <c r="E687"/>
      <c r="F687" s="27" t="s">
        <v>7</v>
      </c>
      <c r="FE687" s="27" t="s">
        <v>8</v>
      </c>
      <c r="FF687" s="27" t="s">
        <v>7</v>
      </c>
      <c r="KU687" s="27" t="s">
        <v>8</v>
      </c>
      <c r="KV687" s="27" t="s">
        <v>7</v>
      </c>
      <c r="KW687" s="27" t="s">
        <v>8</v>
      </c>
      <c r="KY687" s="27" t="s">
        <v>8</v>
      </c>
    </row>
    <row r="688" spans="1:312" x14ac:dyDescent="0.25">
      <c r="A688" s="7">
        <v>0.1353264384291625</v>
      </c>
      <c r="B688"/>
      <c r="C688"/>
      <c r="D688"/>
      <c r="E688"/>
      <c r="F688" s="27" t="s">
        <v>7</v>
      </c>
      <c r="FE688" s="27" t="s">
        <v>8</v>
      </c>
      <c r="FF688" s="27" t="s">
        <v>7</v>
      </c>
      <c r="KU688" s="27" t="s">
        <v>8</v>
      </c>
      <c r="KV688" s="27" t="s">
        <v>7</v>
      </c>
      <c r="KW688" s="27" t="s">
        <v>8</v>
      </c>
      <c r="KX688" s="27" t="s">
        <v>7</v>
      </c>
      <c r="KY688" s="27" t="s">
        <v>8</v>
      </c>
      <c r="KZ688" s="27" t="s">
        <v>7</v>
      </c>
    </row>
    <row r="689" spans="1:314" x14ac:dyDescent="0.25">
      <c r="A689" s="7">
        <v>0.13267297885212009</v>
      </c>
      <c r="B689"/>
      <c r="C689"/>
      <c r="D689"/>
      <c r="E689"/>
      <c r="F689" s="27" t="s">
        <v>7</v>
      </c>
      <c r="FE689" s="27" t="s">
        <v>8</v>
      </c>
      <c r="FF689" s="27" t="s">
        <v>7</v>
      </c>
      <c r="KU689" s="27" t="s">
        <v>8</v>
      </c>
      <c r="KV689" s="27" t="s">
        <v>7</v>
      </c>
      <c r="KW689" s="27" t="s">
        <v>8</v>
      </c>
      <c r="KX689" s="27" t="s">
        <v>7</v>
      </c>
      <c r="KY689" s="27" t="s">
        <v>8</v>
      </c>
      <c r="KZ689" s="27" t="s">
        <v>7</v>
      </c>
    </row>
    <row r="690" spans="1:314" x14ac:dyDescent="0.25">
      <c r="A690" s="7">
        <v>0.13007154789423539</v>
      </c>
      <c r="B690"/>
      <c r="C690"/>
      <c r="D690"/>
      <c r="E690"/>
      <c r="F690" s="27" t="s">
        <v>7</v>
      </c>
      <c r="FE690" s="27" t="s">
        <v>8</v>
      </c>
      <c r="FF690" s="27" t="s">
        <v>7</v>
      </c>
      <c r="KU690" s="27" t="s">
        <v>8</v>
      </c>
      <c r="KV690" s="27" t="s">
        <v>7</v>
      </c>
      <c r="KW690" s="27" t="s">
        <v>8</v>
      </c>
      <c r="KX690" s="27" t="s">
        <v>7</v>
      </c>
      <c r="KY690" s="27" t="s">
        <v>8</v>
      </c>
      <c r="KZ690" s="27" t="s">
        <v>7</v>
      </c>
    </row>
    <row r="691" spans="1:314" x14ac:dyDescent="0.25">
      <c r="A691" s="7">
        <v>0.12752112538650529</v>
      </c>
      <c r="B691"/>
      <c r="C691"/>
      <c r="D691"/>
      <c r="E691"/>
      <c r="F691" s="27" t="s">
        <v>7</v>
      </c>
      <c r="FE691" s="27" t="s">
        <v>8</v>
      </c>
      <c r="FF691" s="27" t="s">
        <v>7</v>
      </c>
      <c r="KU691" s="27" t="s">
        <v>8</v>
      </c>
      <c r="KV691" s="27" t="s">
        <v>7</v>
      </c>
      <c r="KW691" s="27" t="s">
        <v>8</v>
      </c>
      <c r="KX691" s="27" t="s">
        <v>7</v>
      </c>
      <c r="KY691" s="27" t="s">
        <v>8</v>
      </c>
      <c r="KZ691" s="27" t="s">
        <v>7</v>
      </c>
    </row>
    <row r="692" spans="1:314" x14ac:dyDescent="0.25">
      <c r="A692" s="7">
        <v>0.12502071116324048</v>
      </c>
      <c r="B692"/>
      <c r="C692"/>
      <c r="D692"/>
      <c r="E692"/>
      <c r="F692" s="27" t="s">
        <v>7</v>
      </c>
      <c r="FE692" s="27" t="s">
        <v>8</v>
      </c>
      <c r="FF692" s="27" t="s">
        <v>7</v>
      </c>
      <c r="KU692" s="27" t="s">
        <v>8</v>
      </c>
      <c r="KV692" s="27" t="s">
        <v>7</v>
      </c>
      <c r="KW692" s="27" t="s">
        <v>8</v>
      </c>
      <c r="KX692" s="27" t="s">
        <v>7</v>
      </c>
      <c r="KZ692" s="27" t="s">
        <v>7</v>
      </c>
    </row>
    <row r="693" spans="1:314" x14ac:dyDescent="0.25">
      <c r="A693" s="7">
        <v>0.1225693246698436</v>
      </c>
      <c r="B693"/>
      <c r="C693"/>
      <c r="D693"/>
      <c r="E693"/>
      <c r="F693" s="27" t="s">
        <v>7</v>
      </c>
      <c r="ES693" s="27" t="s">
        <v>8</v>
      </c>
      <c r="FE693" s="27" t="s">
        <v>8</v>
      </c>
      <c r="FF693" s="27" t="s">
        <v>7</v>
      </c>
      <c r="KU693" s="27" t="s">
        <v>8</v>
      </c>
      <c r="KV693" s="27" t="s">
        <v>7</v>
      </c>
      <c r="KW693" s="27" t="s">
        <v>8</v>
      </c>
      <c r="KZ693" s="27" t="s">
        <v>7</v>
      </c>
    </row>
    <row r="694" spans="1:314" x14ac:dyDescent="0.25">
      <c r="A694" s="7">
        <v>0.12016600457827803</v>
      </c>
      <c r="B694"/>
      <c r="C694"/>
      <c r="D694"/>
      <c r="E694"/>
      <c r="F694" s="27" t="s">
        <v>7</v>
      </c>
      <c r="ES694" s="27" t="s">
        <v>8</v>
      </c>
      <c r="ET694" s="27" t="s">
        <v>7</v>
      </c>
      <c r="FE694" s="27" t="s">
        <v>8</v>
      </c>
      <c r="FF694" s="27" t="s">
        <v>7</v>
      </c>
      <c r="KU694" s="27" t="s">
        <v>8</v>
      </c>
      <c r="KV694" s="27" t="s">
        <v>7</v>
      </c>
      <c r="KW694" s="27" t="s">
        <v>8</v>
      </c>
      <c r="KZ694" s="27" t="s">
        <v>7</v>
      </c>
    </row>
    <row r="695" spans="1:314" x14ac:dyDescent="0.25">
      <c r="A695" s="7">
        <v>0.1178098084100765</v>
      </c>
      <c r="B695"/>
      <c r="C695"/>
      <c r="D695"/>
      <c r="E695"/>
      <c r="F695" s="27" t="s">
        <v>7</v>
      </c>
      <c r="ES695" s="27" t="s">
        <v>8</v>
      </c>
      <c r="ET695" s="27" t="s">
        <v>7</v>
      </c>
      <c r="FE695" s="27" t="s">
        <v>8</v>
      </c>
      <c r="FF695" s="27" t="s">
        <v>7</v>
      </c>
      <c r="KM695" s="27" t="s">
        <v>8</v>
      </c>
      <c r="KU695" s="27" t="s">
        <v>8</v>
      </c>
      <c r="KV695" s="27" t="s">
        <v>7</v>
      </c>
      <c r="KW695" s="27" t="s">
        <v>8</v>
      </c>
      <c r="KZ695" s="27" t="s">
        <v>7</v>
      </c>
    </row>
    <row r="696" spans="1:314" x14ac:dyDescent="0.25">
      <c r="A696" s="7">
        <v>0.11549981216674166</v>
      </c>
      <c r="B696"/>
      <c r="C696"/>
      <c r="D696"/>
      <c r="E696"/>
      <c r="F696" s="27" t="s">
        <v>7</v>
      </c>
      <c r="ES696" s="27" t="s">
        <v>8</v>
      </c>
      <c r="ET696" s="27" t="s">
        <v>7</v>
      </c>
      <c r="FE696" s="27" t="s">
        <v>8</v>
      </c>
      <c r="FF696" s="27" t="s">
        <v>7</v>
      </c>
      <c r="KK696" s="27" t="s">
        <v>8</v>
      </c>
      <c r="KM696" s="27" t="s">
        <v>8</v>
      </c>
      <c r="KN696" s="27" t="s">
        <v>7</v>
      </c>
      <c r="KU696" s="27" t="s">
        <v>8</v>
      </c>
      <c r="KV696" s="27" t="s">
        <v>7</v>
      </c>
      <c r="KW696" s="27" t="s">
        <v>8</v>
      </c>
      <c r="KZ696" s="27" t="s">
        <v>7</v>
      </c>
    </row>
    <row r="697" spans="1:314" x14ac:dyDescent="0.25">
      <c r="A697" s="7">
        <v>0.11323510996739378</v>
      </c>
      <c r="B697"/>
      <c r="C697"/>
      <c r="D697"/>
      <c r="E697"/>
      <c r="F697" s="27" t="s">
        <v>7</v>
      </c>
      <c r="ES697" s="27" t="s">
        <v>8</v>
      </c>
      <c r="ET697" s="27" t="s">
        <v>7</v>
      </c>
      <c r="FE697" s="27" t="s">
        <v>8</v>
      </c>
      <c r="FF697" s="27" t="s">
        <v>7</v>
      </c>
      <c r="KK697" s="27" t="s">
        <v>8</v>
      </c>
      <c r="KL697" s="27" t="s">
        <v>7</v>
      </c>
      <c r="KM697" s="27" t="s">
        <v>8</v>
      </c>
      <c r="KN697" s="27" t="s">
        <v>7</v>
      </c>
      <c r="KO697" s="27" t="s">
        <v>8</v>
      </c>
      <c r="KU697" s="27" t="s">
        <v>8</v>
      </c>
      <c r="KV697" s="27" t="s">
        <v>7</v>
      </c>
      <c r="KZ697" s="27" t="s">
        <v>7</v>
      </c>
    </row>
    <row r="698" spans="1:314" x14ac:dyDescent="0.25">
      <c r="A698" s="7">
        <v>0.11101481369352331</v>
      </c>
      <c r="B698"/>
      <c r="C698"/>
      <c r="D698"/>
      <c r="E698"/>
      <c r="F698" s="27" t="s">
        <v>7</v>
      </c>
      <c r="ES698" s="27" t="s">
        <v>8</v>
      </c>
      <c r="ET698" s="27" t="s">
        <v>7</v>
      </c>
      <c r="EU698" s="27" t="s">
        <v>8</v>
      </c>
      <c r="FE698" s="27" t="s">
        <v>8</v>
      </c>
      <c r="FF698" s="27" t="s">
        <v>7</v>
      </c>
      <c r="KK698" s="27" t="s">
        <v>8</v>
      </c>
      <c r="KL698" s="27" t="s">
        <v>7</v>
      </c>
      <c r="KM698" s="27" t="s">
        <v>8</v>
      </c>
      <c r="KN698" s="27" t="s">
        <v>7</v>
      </c>
      <c r="KO698" s="27" t="s">
        <v>8</v>
      </c>
      <c r="KP698" s="27" t="s">
        <v>7</v>
      </c>
      <c r="KS698" s="27" t="s">
        <v>8</v>
      </c>
      <c r="KU698" s="27" t="s">
        <v>8</v>
      </c>
      <c r="KZ698" s="27" t="s">
        <v>7</v>
      </c>
    </row>
    <row r="699" spans="1:314" x14ac:dyDescent="0.25">
      <c r="A699" s="7">
        <v>0.10883805264070913</v>
      </c>
      <c r="B699"/>
      <c r="C699"/>
      <c r="D699"/>
      <c r="E699"/>
      <c r="F699" s="27" t="s">
        <v>7</v>
      </c>
      <c r="ES699" s="27" t="s">
        <v>8</v>
      </c>
      <c r="ET699" s="27" t="s">
        <v>7</v>
      </c>
      <c r="EU699" s="27" t="s">
        <v>8</v>
      </c>
      <c r="EV699" s="27" t="s">
        <v>7</v>
      </c>
      <c r="FE699" s="27" t="s">
        <v>8</v>
      </c>
      <c r="FF699" s="27" t="s">
        <v>7</v>
      </c>
      <c r="KK699" s="27" t="s">
        <v>8</v>
      </c>
      <c r="KL699" s="27" t="s">
        <v>7</v>
      </c>
      <c r="KM699" s="27" t="s">
        <v>8</v>
      </c>
      <c r="KN699" s="27" t="s">
        <v>7</v>
      </c>
      <c r="KO699" s="27" t="s">
        <v>8</v>
      </c>
      <c r="KP699" s="27" t="s">
        <v>7</v>
      </c>
      <c r="KS699" s="27" t="s">
        <v>8</v>
      </c>
      <c r="KT699" s="27" t="s">
        <v>7</v>
      </c>
      <c r="KU699" s="27" t="s">
        <v>8</v>
      </c>
      <c r="KZ699" s="27" t="s">
        <v>7</v>
      </c>
    </row>
    <row r="700" spans="1:314" x14ac:dyDescent="0.25">
      <c r="A700" s="7">
        <v>0.10670397317716582</v>
      </c>
      <c r="B700"/>
      <c r="C700"/>
      <c r="D700"/>
      <c r="E700"/>
      <c r="F700" s="27" t="s">
        <v>7</v>
      </c>
      <c r="ES700" s="27" t="s">
        <v>8</v>
      </c>
      <c r="ET700" s="27" t="s">
        <v>7</v>
      </c>
      <c r="EU700" s="27" t="s">
        <v>8</v>
      </c>
      <c r="EV700" s="27" t="s">
        <v>7</v>
      </c>
      <c r="FC700" s="27" t="s">
        <v>8</v>
      </c>
      <c r="FE700" s="27" t="s">
        <v>8</v>
      </c>
      <c r="FF700" s="27" t="s">
        <v>7</v>
      </c>
      <c r="FG700" s="27" t="s">
        <v>8</v>
      </c>
      <c r="KK700" s="27" t="s">
        <v>8</v>
      </c>
      <c r="KL700" s="27" t="s">
        <v>7</v>
      </c>
      <c r="KM700" s="27" t="s">
        <v>8</v>
      </c>
      <c r="KN700" s="27" t="s">
        <v>7</v>
      </c>
      <c r="KO700" s="27" t="s">
        <v>8</v>
      </c>
      <c r="KP700" s="27" t="s">
        <v>7</v>
      </c>
      <c r="KS700" s="27" t="s">
        <v>8</v>
      </c>
      <c r="KT700" s="27" t="s">
        <v>7</v>
      </c>
      <c r="KU700" s="27" t="s">
        <v>8</v>
      </c>
      <c r="KZ700" s="27" t="s">
        <v>7</v>
      </c>
    </row>
    <row r="701" spans="1:314" x14ac:dyDescent="0.25">
      <c r="A701" s="7">
        <v>0.1046117384089861</v>
      </c>
      <c r="B701"/>
      <c r="C701"/>
      <c r="D701"/>
      <c r="E701"/>
      <c r="F701" s="27" t="s">
        <v>7</v>
      </c>
      <c r="ES701" s="27" t="s">
        <v>8</v>
      </c>
      <c r="ET701" s="27" t="s">
        <v>7</v>
      </c>
      <c r="EU701" s="27" t="s">
        <v>8</v>
      </c>
      <c r="EV701" s="27" t="s">
        <v>7</v>
      </c>
      <c r="FC701" s="27" t="s">
        <v>8</v>
      </c>
      <c r="FD701" s="27" t="s">
        <v>7</v>
      </c>
      <c r="FE701" s="27" t="s">
        <v>8</v>
      </c>
      <c r="FF701" s="27" t="s">
        <v>7</v>
      </c>
      <c r="FG701" s="27" t="s">
        <v>8</v>
      </c>
      <c r="FH701" s="27" t="s">
        <v>7</v>
      </c>
      <c r="KK701" s="27" t="s">
        <v>8</v>
      </c>
      <c r="KL701" s="27" t="s">
        <v>7</v>
      </c>
      <c r="KM701" s="27" t="s">
        <v>8</v>
      </c>
      <c r="KN701" s="27" t="s">
        <v>7</v>
      </c>
      <c r="KO701" s="27" t="s">
        <v>8</v>
      </c>
      <c r="KP701" s="27" t="s">
        <v>7</v>
      </c>
      <c r="KS701" s="27" t="s">
        <v>8</v>
      </c>
      <c r="KT701" s="27" t="s">
        <v>7</v>
      </c>
      <c r="KU701" s="27" t="s">
        <v>8</v>
      </c>
      <c r="KZ701" s="27" t="s">
        <v>7</v>
      </c>
    </row>
    <row r="702" spans="1:314" x14ac:dyDescent="0.25">
      <c r="A702" s="7">
        <v>0.10256052785194716</v>
      </c>
      <c r="B702"/>
      <c r="C702"/>
      <c r="D702"/>
      <c r="E702"/>
      <c r="F702" s="27" t="s">
        <v>7</v>
      </c>
      <c r="ES702" s="27" t="s">
        <v>8</v>
      </c>
      <c r="ET702" s="27" t="s">
        <v>7</v>
      </c>
      <c r="EU702" s="27" t="s">
        <v>8</v>
      </c>
      <c r="EV702" s="27" t="s">
        <v>7</v>
      </c>
      <c r="FC702" s="27" t="s">
        <v>8</v>
      </c>
      <c r="FD702" s="27" t="s">
        <v>7</v>
      </c>
      <c r="FE702" s="27" t="s">
        <v>8</v>
      </c>
      <c r="FF702" s="27" t="s">
        <v>7</v>
      </c>
      <c r="FG702" s="27" t="s">
        <v>8</v>
      </c>
      <c r="FH702" s="27" t="s">
        <v>7</v>
      </c>
      <c r="KK702" s="27" t="s">
        <v>8</v>
      </c>
      <c r="KL702" s="27" t="s">
        <v>7</v>
      </c>
      <c r="KM702" s="27" t="s">
        <v>8</v>
      </c>
      <c r="KN702" s="27" t="s">
        <v>7</v>
      </c>
      <c r="KO702" s="27" t="s">
        <v>8</v>
      </c>
      <c r="KP702" s="27" t="s">
        <v>7</v>
      </c>
      <c r="KQ702" s="27" t="s">
        <v>8</v>
      </c>
      <c r="KS702" s="27" t="s">
        <v>8</v>
      </c>
      <c r="KT702" s="27" t="s">
        <v>7</v>
      </c>
      <c r="KU702" s="27" t="s">
        <v>8</v>
      </c>
      <c r="KZ702" s="27" t="s">
        <v>7</v>
      </c>
      <c r="LA702" s="27" t="s">
        <v>8</v>
      </c>
    </row>
    <row r="703" spans="1:314" x14ac:dyDescent="0.25">
      <c r="A703" s="7">
        <v>0.10054953710975212</v>
      </c>
      <c r="B703"/>
      <c r="C703"/>
      <c r="D703"/>
      <c r="E703"/>
      <c r="F703" s="27" t="s">
        <v>7</v>
      </c>
      <c r="ES703" s="27" t="s">
        <v>8</v>
      </c>
      <c r="ET703" s="27" t="s">
        <v>7</v>
      </c>
      <c r="EU703" s="27" t="s">
        <v>8</v>
      </c>
      <c r="EV703" s="27" t="s">
        <v>7</v>
      </c>
      <c r="FC703" s="27" t="s">
        <v>8</v>
      </c>
      <c r="FD703" s="27" t="s">
        <v>7</v>
      </c>
      <c r="FE703" s="27" t="s">
        <v>8</v>
      </c>
      <c r="FF703" s="27" t="s">
        <v>7</v>
      </c>
      <c r="FG703" s="27" t="s">
        <v>8</v>
      </c>
      <c r="FH703" s="27" t="s">
        <v>7</v>
      </c>
      <c r="KK703" s="27" t="s">
        <v>8</v>
      </c>
      <c r="KL703" s="27" t="s">
        <v>7</v>
      </c>
      <c r="KM703" s="27" t="s">
        <v>8</v>
      </c>
      <c r="KN703" s="27" t="s">
        <v>7</v>
      </c>
      <c r="KO703" s="27" t="s">
        <v>8</v>
      </c>
      <c r="KP703" s="27" t="s">
        <v>7</v>
      </c>
      <c r="KQ703" s="27" t="s">
        <v>8</v>
      </c>
      <c r="KR703" s="27" t="s">
        <v>7</v>
      </c>
      <c r="KS703" s="27" t="s">
        <v>8</v>
      </c>
      <c r="KT703" s="27" t="s">
        <v>7</v>
      </c>
      <c r="KU703" s="27" t="s">
        <v>8</v>
      </c>
      <c r="KZ703" s="27" t="s">
        <v>7</v>
      </c>
      <c r="LA703" s="27" t="s">
        <v>8</v>
      </c>
      <c r="LB703" s="27" t="s">
        <v>7</v>
      </c>
    </row>
    <row r="704" spans="1:314" x14ac:dyDescent="0.25">
      <c r="A704" s="7">
        <v>9.8577977558580512E-2</v>
      </c>
      <c r="B704"/>
      <c r="C704"/>
      <c r="D704"/>
      <c r="E704"/>
      <c r="F704" s="27" t="s">
        <v>7</v>
      </c>
      <c r="ES704" s="27" t="s">
        <v>8</v>
      </c>
      <c r="ET704" s="27" t="s">
        <v>7</v>
      </c>
      <c r="EU704" s="27" t="s">
        <v>8</v>
      </c>
      <c r="EV704" s="27" t="s">
        <v>7</v>
      </c>
      <c r="FC704" s="27" t="s">
        <v>8</v>
      </c>
      <c r="FD704" s="27" t="s">
        <v>7</v>
      </c>
      <c r="FE704" s="27" t="s">
        <v>8</v>
      </c>
      <c r="FF704" s="27" t="s">
        <v>7</v>
      </c>
      <c r="FG704" s="27" t="s">
        <v>8</v>
      </c>
      <c r="FH704" s="27" t="s">
        <v>7</v>
      </c>
      <c r="KK704" s="27" t="s">
        <v>8</v>
      </c>
      <c r="KL704" s="27" t="s">
        <v>7</v>
      </c>
      <c r="KM704" s="27" t="s">
        <v>8</v>
      </c>
      <c r="KN704" s="27" t="s">
        <v>7</v>
      </c>
      <c r="KO704" s="27" t="s">
        <v>8</v>
      </c>
      <c r="KP704" s="27" t="s">
        <v>7</v>
      </c>
      <c r="KQ704" s="27" t="s">
        <v>8</v>
      </c>
      <c r="KR704" s="27" t="s">
        <v>7</v>
      </c>
      <c r="KS704" s="27" t="s">
        <v>8</v>
      </c>
      <c r="KT704" s="27" t="s">
        <v>7</v>
      </c>
      <c r="KU704" s="27" t="s">
        <v>8</v>
      </c>
      <c r="KZ704" s="27" t="s">
        <v>7</v>
      </c>
      <c r="LA704" s="27" t="s">
        <v>8</v>
      </c>
      <c r="LB704" s="27" t="s">
        <v>7</v>
      </c>
    </row>
    <row r="705" spans="1:322" x14ac:dyDescent="0.25">
      <c r="A705" s="7">
        <v>9.6645076037824032E-2</v>
      </c>
      <c r="B705"/>
      <c r="C705"/>
      <c r="D705"/>
      <c r="E705"/>
      <c r="F705" s="27" t="s">
        <v>7</v>
      </c>
      <c r="ES705" s="27" t="s">
        <v>8</v>
      </c>
      <c r="ET705" s="27" t="s">
        <v>7</v>
      </c>
      <c r="EU705" s="27" t="s">
        <v>8</v>
      </c>
      <c r="EV705" s="27" t="s">
        <v>7</v>
      </c>
      <c r="EW705" s="27" t="s">
        <v>8</v>
      </c>
      <c r="FC705" s="27" t="s">
        <v>8</v>
      </c>
      <c r="FD705" s="27" t="s">
        <v>7</v>
      </c>
      <c r="FE705" s="27" t="s">
        <v>8</v>
      </c>
      <c r="FF705" s="27" t="s">
        <v>7</v>
      </c>
      <c r="FG705" s="27" t="s">
        <v>8</v>
      </c>
      <c r="FH705" s="27" t="s">
        <v>7</v>
      </c>
      <c r="KK705" s="27" t="s">
        <v>8</v>
      </c>
      <c r="KL705" s="27" t="s">
        <v>7</v>
      </c>
      <c r="KM705" s="27" t="s">
        <v>8</v>
      </c>
      <c r="KN705" s="27" t="s">
        <v>7</v>
      </c>
      <c r="KO705" s="27" t="s">
        <v>8</v>
      </c>
      <c r="KP705" s="27" t="s">
        <v>7</v>
      </c>
      <c r="KQ705" s="27" t="s">
        <v>8</v>
      </c>
      <c r="KR705" s="27" t="s">
        <v>7</v>
      </c>
      <c r="KS705" s="27" t="s">
        <v>8</v>
      </c>
      <c r="KT705" s="27" t="s">
        <v>7</v>
      </c>
      <c r="KU705" s="27" t="s">
        <v>8</v>
      </c>
      <c r="KZ705" s="27" t="s">
        <v>7</v>
      </c>
      <c r="LA705" s="27" t="s">
        <v>8</v>
      </c>
      <c r="LB705" s="27" t="s">
        <v>7</v>
      </c>
    </row>
    <row r="706" spans="1:322" x14ac:dyDescent="0.25">
      <c r="A706" s="7">
        <v>9.4750074546886304E-2</v>
      </c>
      <c r="B706"/>
      <c r="C706"/>
      <c r="D706"/>
      <c r="E706"/>
      <c r="F706" s="27" t="s">
        <v>7</v>
      </c>
      <c r="ES706" s="27" t="s">
        <v>8</v>
      </c>
      <c r="ET706" s="27" t="s">
        <v>7</v>
      </c>
      <c r="EU706" s="27" t="s">
        <v>8</v>
      </c>
      <c r="EV706" s="27" t="s">
        <v>7</v>
      </c>
      <c r="EW706" s="27" t="s">
        <v>8</v>
      </c>
      <c r="EX706" s="27" t="s">
        <v>7</v>
      </c>
      <c r="FC706" s="27" t="s">
        <v>8</v>
      </c>
      <c r="FD706" s="27" t="s">
        <v>7</v>
      </c>
      <c r="FE706" s="27" t="s">
        <v>8</v>
      </c>
      <c r="FF706" s="27" t="s">
        <v>7</v>
      </c>
      <c r="FG706" s="27" t="s">
        <v>8</v>
      </c>
      <c r="FH706" s="27" t="s">
        <v>7</v>
      </c>
      <c r="FW706" s="27" t="s">
        <v>8</v>
      </c>
      <c r="KI706" s="27" t="s">
        <v>8</v>
      </c>
      <c r="KK706" s="27" t="s">
        <v>8</v>
      </c>
      <c r="KL706" s="27" t="s">
        <v>7</v>
      </c>
      <c r="KM706" s="27" t="s">
        <v>8</v>
      </c>
      <c r="KN706" s="27" t="s">
        <v>7</v>
      </c>
      <c r="KO706" s="27" t="s">
        <v>8</v>
      </c>
      <c r="KP706" s="27" t="s">
        <v>7</v>
      </c>
      <c r="KQ706" s="27" t="s">
        <v>8</v>
      </c>
      <c r="KR706" s="27" t="s">
        <v>7</v>
      </c>
      <c r="KS706" s="27" t="s">
        <v>8</v>
      </c>
      <c r="KT706" s="27" t="s">
        <v>7</v>
      </c>
      <c r="KU706" s="27" t="s">
        <v>8</v>
      </c>
      <c r="KZ706" s="27" t="s">
        <v>7</v>
      </c>
      <c r="LA706" s="27" t="s">
        <v>8</v>
      </c>
      <c r="LB706" s="27" t="s">
        <v>7</v>
      </c>
      <c r="LC706" s="27" t="s">
        <v>8</v>
      </c>
    </row>
    <row r="707" spans="1:322" x14ac:dyDescent="0.25">
      <c r="A707" s="7">
        <v>9.2892229947927743E-2</v>
      </c>
      <c r="B707"/>
      <c r="C707"/>
      <c r="D707"/>
      <c r="E707"/>
      <c r="F707" s="27" t="s">
        <v>7</v>
      </c>
      <c r="EQ707" s="27" t="s">
        <v>8</v>
      </c>
      <c r="ES707" s="27" t="s">
        <v>8</v>
      </c>
      <c r="ET707" s="27" t="s">
        <v>7</v>
      </c>
      <c r="EU707" s="27" t="s">
        <v>8</v>
      </c>
      <c r="EV707" s="27" t="s">
        <v>7</v>
      </c>
      <c r="EW707" s="27" t="s">
        <v>8</v>
      </c>
      <c r="EX707" s="27" t="s">
        <v>7</v>
      </c>
      <c r="FC707" s="27" t="s">
        <v>8</v>
      </c>
      <c r="FD707" s="27" t="s">
        <v>7</v>
      </c>
      <c r="FE707" s="27" t="s">
        <v>8</v>
      </c>
      <c r="FF707" s="27" t="s">
        <v>7</v>
      </c>
      <c r="FG707" s="27" t="s">
        <v>8</v>
      </c>
      <c r="FH707" s="27" t="s">
        <v>7</v>
      </c>
      <c r="FW707" s="27" t="s">
        <v>8</v>
      </c>
      <c r="FX707" s="27" t="s">
        <v>7</v>
      </c>
      <c r="KI707" s="27" t="s">
        <v>8</v>
      </c>
      <c r="KJ707" s="27" t="s">
        <v>7</v>
      </c>
      <c r="KK707" s="27" t="s">
        <v>8</v>
      </c>
      <c r="KL707" s="27" t="s">
        <v>7</v>
      </c>
      <c r="KM707" s="27" t="s">
        <v>8</v>
      </c>
      <c r="KN707" s="27" t="s">
        <v>7</v>
      </c>
      <c r="KO707" s="27" t="s">
        <v>8</v>
      </c>
      <c r="KP707" s="27" t="s">
        <v>7</v>
      </c>
      <c r="KQ707" s="27" t="s">
        <v>8</v>
      </c>
      <c r="KR707" s="27" t="s">
        <v>7</v>
      </c>
      <c r="KS707" s="27" t="s">
        <v>8</v>
      </c>
      <c r="KT707" s="27" t="s">
        <v>7</v>
      </c>
      <c r="KU707" s="27" t="s">
        <v>8</v>
      </c>
      <c r="KZ707" s="27" t="s">
        <v>7</v>
      </c>
      <c r="LA707" s="27" t="s">
        <v>8</v>
      </c>
      <c r="LB707" s="27" t="s">
        <v>7</v>
      </c>
      <c r="LC707" s="27" t="s">
        <v>8</v>
      </c>
      <c r="LD707" s="27" t="s">
        <v>7</v>
      </c>
    </row>
    <row r="708" spans="1:322" x14ac:dyDescent="0.25">
      <c r="A708" s="7">
        <v>9.1070813674438963E-2</v>
      </c>
      <c r="B708"/>
      <c r="C708"/>
      <c r="D708"/>
      <c r="E708"/>
      <c r="F708" s="27" t="s">
        <v>7</v>
      </c>
      <c r="EO708" s="27" t="s">
        <v>8</v>
      </c>
      <c r="EQ708" s="27" t="s">
        <v>8</v>
      </c>
      <c r="ER708" s="27" t="s">
        <v>7</v>
      </c>
      <c r="ES708" s="27" t="s">
        <v>8</v>
      </c>
      <c r="ET708" s="27" t="s">
        <v>7</v>
      </c>
      <c r="EU708" s="27" t="s">
        <v>8</v>
      </c>
      <c r="EV708" s="27" t="s">
        <v>7</v>
      </c>
      <c r="EW708" s="27" t="s">
        <v>8</v>
      </c>
      <c r="EX708" s="27" t="s">
        <v>7</v>
      </c>
      <c r="FA708" s="27" t="s">
        <v>8</v>
      </c>
      <c r="FC708" s="27" t="s">
        <v>8</v>
      </c>
      <c r="FD708" s="27" t="s">
        <v>7</v>
      </c>
      <c r="FE708" s="27" t="s">
        <v>8</v>
      </c>
      <c r="FF708" s="27" t="s">
        <v>7</v>
      </c>
      <c r="FG708" s="27" t="s">
        <v>8</v>
      </c>
      <c r="FH708" s="27" t="s">
        <v>7</v>
      </c>
      <c r="FW708" s="27" t="s">
        <v>8</v>
      </c>
      <c r="FX708" s="27" t="s">
        <v>7</v>
      </c>
      <c r="KI708" s="27" t="s">
        <v>8</v>
      </c>
      <c r="KJ708" s="27" t="s">
        <v>7</v>
      </c>
      <c r="KK708" s="27" t="s">
        <v>8</v>
      </c>
      <c r="KL708" s="27" t="s">
        <v>7</v>
      </c>
      <c r="KM708" s="27" t="s">
        <v>8</v>
      </c>
      <c r="KN708" s="27" t="s">
        <v>7</v>
      </c>
      <c r="KO708" s="27" t="s">
        <v>8</v>
      </c>
      <c r="KP708" s="27" t="s">
        <v>7</v>
      </c>
      <c r="KQ708" s="27" t="s">
        <v>8</v>
      </c>
      <c r="KR708" s="27" t="s">
        <v>7</v>
      </c>
      <c r="KS708" s="27" t="s">
        <v>8</v>
      </c>
      <c r="KT708" s="27" t="s">
        <v>7</v>
      </c>
      <c r="KZ708" s="27" t="s">
        <v>7</v>
      </c>
      <c r="LA708" s="27" t="s">
        <v>8</v>
      </c>
      <c r="LB708" s="27" t="s">
        <v>7</v>
      </c>
      <c r="LC708" s="27" t="s">
        <v>8</v>
      </c>
      <c r="LD708" s="27" t="s">
        <v>7</v>
      </c>
    </row>
    <row r="709" spans="1:322" x14ac:dyDescent="0.25">
      <c r="A709" s="7">
        <v>8.9285111445528392E-2</v>
      </c>
      <c r="B709"/>
      <c r="C709"/>
      <c r="D709"/>
      <c r="E709"/>
      <c r="F709" s="27" t="s">
        <v>7</v>
      </c>
      <c r="EO709" s="27" t="s">
        <v>8</v>
      </c>
      <c r="EP709" s="27" t="s">
        <v>7</v>
      </c>
      <c r="EQ709" s="27" t="s">
        <v>8</v>
      </c>
      <c r="ER709" s="27" t="s">
        <v>7</v>
      </c>
      <c r="ES709" s="27" t="s">
        <v>8</v>
      </c>
      <c r="ET709" s="27" t="s">
        <v>7</v>
      </c>
      <c r="EU709" s="27" t="s">
        <v>8</v>
      </c>
      <c r="EV709" s="27" t="s">
        <v>7</v>
      </c>
      <c r="EW709" s="27" t="s">
        <v>8</v>
      </c>
      <c r="EX709" s="27" t="s">
        <v>7</v>
      </c>
      <c r="FA709" s="27" t="s">
        <v>8</v>
      </c>
      <c r="FB709" s="27" t="s">
        <v>7</v>
      </c>
      <c r="FC709" s="27" t="s">
        <v>8</v>
      </c>
      <c r="FD709" s="27" t="s">
        <v>7</v>
      </c>
      <c r="FE709" s="27" t="s">
        <v>8</v>
      </c>
      <c r="FF709" s="27" t="s">
        <v>7</v>
      </c>
      <c r="FG709" s="27" t="s">
        <v>8</v>
      </c>
      <c r="FH709" s="27" t="s">
        <v>7</v>
      </c>
      <c r="FI709" s="27" t="s">
        <v>8</v>
      </c>
      <c r="FW709" s="27" t="s">
        <v>8</v>
      </c>
      <c r="FX709" s="27" t="s">
        <v>7</v>
      </c>
      <c r="KI709" s="27" t="s">
        <v>8</v>
      </c>
      <c r="KJ709" s="27" t="s">
        <v>7</v>
      </c>
      <c r="KK709" s="27" t="s">
        <v>8</v>
      </c>
      <c r="KL709" s="27" t="s">
        <v>7</v>
      </c>
      <c r="KM709" s="27" t="s">
        <v>8</v>
      </c>
      <c r="KN709" s="27" t="s">
        <v>7</v>
      </c>
      <c r="KO709" s="27" t="s">
        <v>8</v>
      </c>
      <c r="KP709" s="27" t="s">
        <v>7</v>
      </c>
      <c r="KQ709" s="27" t="s">
        <v>8</v>
      </c>
      <c r="KR709" s="27" t="s">
        <v>7</v>
      </c>
      <c r="KS709" s="27" t="s">
        <v>8</v>
      </c>
      <c r="KZ709" s="27" t="s">
        <v>7</v>
      </c>
      <c r="LB709" s="27" t="s">
        <v>7</v>
      </c>
      <c r="LC709" s="27" t="s">
        <v>8</v>
      </c>
      <c r="LD709" s="27" t="s">
        <v>7</v>
      </c>
      <c r="LE709" s="27" t="s">
        <v>8</v>
      </c>
    </row>
    <row r="710" spans="1:322" x14ac:dyDescent="0.25">
      <c r="A710" s="7">
        <v>8.7534422985812155E-2</v>
      </c>
      <c r="B710"/>
      <c r="C710"/>
      <c r="D710"/>
      <c r="E710"/>
      <c r="F710" s="27" t="s">
        <v>7</v>
      </c>
      <c r="EO710" s="27" t="s">
        <v>8</v>
      </c>
      <c r="EP710" s="27" t="s">
        <v>7</v>
      </c>
      <c r="EQ710" s="27" t="s">
        <v>8</v>
      </c>
      <c r="ER710" s="27" t="s">
        <v>7</v>
      </c>
      <c r="ES710" s="27" t="s">
        <v>8</v>
      </c>
      <c r="ET710" s="27" t="s">
        <v>7</v>
      </c>
      <c r="EU710" s="27" t="s">
        <v>8</v>
      </c>
      <c r="EV710" s="27" t="s">
        <v>7</v>
      </c>
      <c r="EW710" s="27" t="s">
        <v>8</v>
      </c>
      <c r="EX710" s="27" t="s">
        <v>7</v>
      </c>
      <c r="EY710" s="27" t="s">
        <v>8</v>
      </c>
      <c r="FA710" s="27" t="s">
        <v>8</v>
      </c>
      <c r="FB710" s="27" t="s">
        <v>7</v>
      </c>
      <c r="FC710" s="27" t="s">
        <v>8</v>
      </c>
      <c r="FD710" s="27" t="s">
        <v>7</v>
      </c>
      <c r="FE710" s="27" t="s">
        <v>8</v>
      </c>
      <c r="FF710" s="27" t="s">
        <v>7</v>
      </c>
      <c r="FG710" s="27" t="s">
        <v>8</v>
      </c>
      <c r="FH710" s="27" t="s">
        <v>7</v>
      </c>
      <c r="FI710" s="27" t="s">
        <v>8</v>
      </c>
      <c r="FJ710" s="27" t="s">
        <v>7</v>
      </c>
      <c r="FW710" s="27" t="s">
        <v>8</v>
      </c>
      <c r="FX710" s="27" t="s">
        <v>7</v>
      </c>
      <c r="KG710" s="27" t="s">
        <v>8</v>
      </c>
      <c r="KI710" s="27" t="s">
        <v>8</v>
      </c>
      <c r="KJ710" s="27" t="s">
        <v>7</v>
      </c>
      <c r="KK710" s="27" t="s">
        <v>8</v>
      </c>
      <c r="KL710" s="27" t="s">
        <v>7</v>
      </c>
      <c r="KM710" s="27" t="s">
        <v>8</v>
      </c>
      <c r="KN710" s="27" t="s">
        <v>7</v>
      </c>
      <c r="KO710" s="27" t="s">
        <v>8</v>
      </c>
      <c r="KP710" s="27" t="s">
        <v>7</v>
      </c>
      <c r="KR710" s="27" t="s">
        <v>7</v>
      </c>
      <c r="KS710" s="27" t="s">
        <v>8</v>
      </c>
      <c r="LB710" s="27" t="s">
        <v>7</v>
      </c>
      <c r="LC710" s="27" t="s">
        <v>8</v>
      </c>
      <c r="LD710" s="27" t="s">
        <v>7</v>
      </c>
      <c r="LE710" s="27" t="s">
        <v>8</v>
      </c>
      <c r="LF710" s="27" t="s">
        <v>7</v>
      </c>
    </row>
    <row r="711" spans="1:322" x14ac:dyDescent="0.25">
      <c r="A711" s="7">
        <v>8.5818061750796232E-2</v>
      </c>
      <c r="B711"/>
      <c r="C711"/>
      <c r="D711"/>
      <c r="E711"/>
      <c r="F711" s="27" t="s">
        <v>7</v>
      </c>
      <c r="EO711" s="27" t="s">
        <v>8</v>
      </c>
      <c r="EP711" s="27" t="s">
        <v>7</v>
      </c>
      <c r="EQ711" s="27" t="s">
        <v>8</v>
      </c>
      <c r="ER711" s="27" t="s">
        <v>7</v>
      </c>
      <c r="ES711" s="27" t="s">
        <v>8</v>
      </c>
      <c r="ET711" s="27" t="s">
        <v>7</v>
      </c>
      <c r="EU711" s="27" t="s">
        <v>8</v>
      </c>
      <c r="EV711" s="27" t="s">
        <v>7</v>
      </c>
      <c r="EW711" s="27" t="s">
        <v>8</v>
      </c>
      <c r="EX711" s="27" t="s">
        <v>7</v>
      </c>
      <c r="EY711" s="27" t="s">
        <v>8</v>
      </c>
      <c r="EZ711" s="27" t="s">
        <v>7</v>
      </c>
      <c r="FA711" s="27" t="s">
        <v>8</v>
      </c>
      <c r="FB711" s="27" t="s">
        <v>7</v>
      </c>
      <c r="FC711" s="27" t="s">
        <v>8</v>
      </c>
      <c r="FD711" s="27" t="s">
        <v>7</v>
      </c>
      <c r="FE711" s="27" t="s">
        <v>8</v>
      </c>
      <c r="FF711" s="27" t="s">
        <v>7</v>
      </c>
      <c r="FG711" s="27" t="s">
        <v>8</v>
      </c>
      <c r="FH711" s="27" t="s">
        <v>7</v>
      </c>
      <c r="FI711" s="27" t="s">
        <v>8</v>
      </c>
      <c r="FJ711" s="27" t="s">
        <v>7</v>
      </c>
      <c r="FS711" s="27" t="s">
        <v>8</v>
      </c>
      <c r="FW711" s="27" t="s">
        <v>8</v>
      </c>
      <c r="FX711" s="27" t="s">
        <v>7</v>
      </c>
      <c r="KG711" s="27" t="s">
        <v>8</v>
      </c>
      <c r="KH711" s="27" t="s">
        <v>7</v>
      </c>
      <c r="KI711" s="27" t="s">
        <v>8</v>
      </c>
      <c r="KJ711" s="27" t="s">
        <v>7</v>
      </c>
      <c r="KK711" s="27" t="s">
        <v>8</v>
      </c>
      <c r="KL711" s="27" t="s">
        <v>7</v>
      </c>
      <c r="KM711" s="27" t="s">
        <v>8</v>
      </c>
      <c r="KN711" s="27" t="s">
        <v>7</v>
      </c>
      <c r="KO711" s="27" t="s">
        <v>8</v>
      </c>
      <c r="KR711" s="27" t="s">
        <v>7</v>
      </c>
      <c r="LB711" s="27" t="s">
        <v>7</v>
      </c>
      <c r="LC711" s="27" t="s">
        <v>8</v>
      </c>
      <c r="LD711" s="27" t="s">
        <v>7</v>
      </c>
      <c r="LE711" s="27" t="s">
        <v>8</v>
      </c>
      <c r="LF711" s="27" t="s">
        <v>7</v>
      </c>
    </row>
    <row r="712" spans="1:322" x14ac:dyDescent="0.25">
      <c r="A712" s="7">
        <v>8.4135354657643366E-2</v>
      </c>
      <c r="B712"/>
      <c r="C712"/>
      <c r="D712"/>
      <c r="E712"/>
      <c r="F712" s="27" t="s">
        <v>7</v>
      </c>
      <c r="EO712" s="27" t="s">
        <v>8</v>
      </c>
      <c r="EP712" s="27" t="s">
        <v>7</v>
      </c>
      <c r="EQ712" s="27" t="s">
        <v>8</v>
      </c>
      <c r="ER712" s="27" t="s">
        <v>7</v>
      </c>
      <c r="ES712" s="27" t="s">
        <v>8</v>
      </c>
      <c r="ET712" s="27" t="s">
        <v>7</v>
      </c>
      <c r="EV712" s="27" t="s">
        <v>7</v>
      </c>
      <c r="EW712" s="27" t="s">
        <v>8</v>
      </c>
      <c r="EX712" s="27" t="s">
        <v>7</v>
      </c>
      <c r="EY712" s="27" t="s">
        <v>8</v>
      </c>
      <c r="EZ712" s="27" t="s">
        <v>7</v>
      </c>
      <c r="FA712" s="27" t="s">
        <v>8</v>
      </c>
      <c r="FB712" s="27" t="s">
        <v>7</v>
      </c>
      <c r="FC712" s="27" t="s">
        <v>8</v>
      </c>
      <c r="FD712" s="27" t="s">
        <v>7</v>
      </c>
      <c r="FE712" s="27" t="s">
        <v>8</v>
      </c>
      <c r="FF712" s="27" t="s">
        <v>7</v>
      </c>
      <c r="FH712" s="27" t="s">
        <v>7</v>
      </c>
      <c r="FI712" s="27" t="s">
        <v>8</v>
      </c>
      <c r="FJ712" s="27" t="s">
        <v>7</v>
      </c>
      <c r="FK712" s="27" t="s">
        <v>8</v>
      </c>
      <c r="FS712" s="27" t="s">
        <v>8</v>
      </c>
      <c r="FT712" s="27" t="s">
        <v>7</v>
      </c>
      <c r="FW712" s="27" t="s">
        <v>8</v>
      </c>
      <c r="FX712" s="27" t="s">
        <v>7</v>
      </c>
      <c r="KG712" s="27" t="s">
        <v>8</v>
      </c>
      <c r="KH712" s="27" t="s">
        <v>7</v>
      </c>
      <c r="KI712" s="27" t="s">
        <v>8</v>
      </c>
      <c r="KJ712" s="27" t="s">
        <v>7</v>
      </c>
      <c r="KK712" s="27" t="s">
        <v>8</v>
      </c>
      <c r="KL712" s="27" t="s">
        <v>7</v>
      </c>
      <c r="KM712" s="27" t="s">
        <v>8</v>
      </c>
      <c r="KN712" s="27" t="s">
        <v>7</v>
      </c>
      <c r="KO712" s="27" t="s">
        <v>8</v>
      </c>
      <c r="LB712" s="27" t="s">
        <v>7</v>
      </c>
      <c r="LD712" s="27" t="s">
        <v>7</v>
      </c>
      <c r="LE712" s="27" t="s">
        <v>8</v>
      </c>
      <c r="LF712" s="27" t="s">
        <v>7</v>
      </c>
      <c r="LG712" s="27" t="s">
        <v>8</v>
      </c>
    </row>
    <row r="713" spans="1:322" x14ac:dyDescent="0.25">
      <c r="A713" s="7">
        <v>8.248564182121898E-2</v>
      </c>
      <c r="B713"/>
      <c r="C713"/>
      <c r="D713"/>
      <c r="E713"/>
      <c r="F713" s="27" t="s">
        <v>7</v>
      </c>
      <c r="EO713" s="27" t="s">
        <v>8</v>
      </c>
      <c r="EP713" s="27" t="s">
        <v>7</v>
      </c>
      <c r="EQ713" s="27" t="s">
        <v>8</v>
      </c>
      <c r="ER713" s="27" t="s">
        <v>7</v>
      </c>
      <c r="ES713" s="27" t="s">
        <v>8</v>
      </c>
      <c r="EV713" s="27" t="s">
        <v>7</v>
      </c>
      <c r="EW713" s="27" t="s">
        <v>8</v>
      </c>
      <c r="EX713" s="27" t="s">
        <v>7</v>
      </c>
      <c r="EY713" s="27" t="s">
        <v>8</v>
      </c>
      <c r="EZ713" s="27" t="s">
        <v>7</v>
      </c>
      <c r="FA713" s="27" t="s">
        <v>8</v>
      </c>
      <c r="FB713" s="27" t="s">
        <v>7</v>
      </c>
      <c r="FC713" s="27" t="s">
        <v>8</v>
      </c>
      <c r="FD713" s="27" t="s">
        <v>7</v>
      </c>
      <c r="FE713" s="27" t="s">
        <v>8</v>
      </c>
      <c r="FH713" s="27" t="s">
        <v>7</v>
      </c>
      <c r="FI713" s="27" t="s">
        <v>8</v>
      </c>
      <c r="FJ713" s="27" t="s">
        <v>7</v>
      </c>
      <c r="FK713" s="27" t="s">
        <v>8</v>
      </c>
      <c r="FL713" s="27" t="s">
        <v>7</v>
      </c>
      <c r="FS713" s="27" t="s">
        <v>8</v>
      </c>
      <c r="FT713" s="27" t="s">
        <v>7</v>
      </c>
      <c r="FW713" s="27" t="s">
        <v>8</v>
      </c>
      <c r="FX713" s="27" t="s">
        <v>7</v>
      </c>
      <c r="KG713" s="27" t="s">
        <v>8</v>
      </c>
      <c r="KH713" s="27" t="s">
        <v>7</v>
      </c>
      <c r="KI713" s="27" t="s">
        <v>8</v>
      </c>
      <c r="KJ713" s="27" t="s">
        <v>7</v>
      </c>
      <c r="KK713" s="27" t="s">
        <v>8</v>
      </c>
      <c r="KL713" s="27" t="s">
        <v>7</v>
      </c>
      <c r="KM713" s="27" t="s">
        <v>8</v>
      </c>
      <c r="KN713" s="27" t="s">
        <v>7</v>
      </c>
      <c r="KO713" s="27" t="s">
        <v>8</v>
      </c>
      <c r="LD713" s="27" t="s">
        <v>7</v>
      </c>
      <c r="LE713" s="27" t="s">
        <v>8</v>
      </c>
      <c r="LF713" s="27" t="s">
        <v>7</v>
      </c>
      <c r="LG713" s="27" t="s">
        <v>8</v>
      </c>
      <c r="LH713" s="27" t="s">
        <v>7</v>
      </c>
    </row>
    <row r="714" spans="1:322" x14ac:dyDescent="0.25">
      <c r="A714" s="7">
        <v>8.0868276295312735E-2</v>
      </c>
      <c r="B714"/>
      <c r="C714"/>
      <c r="D714"/>
      <c r="E714"/>
      <c r="F714" s="27" t="s">
        <v>7</v>
      </c>
      <c r="EO714" s="27" t="s">
        <v>8</v>
      </c>
      <c r="EP714" s="27" t="s">
        <v>7</v>
      </c>
      <c r="EQ714" s="27" t="s">
        <v>8</v>
      </c>
      <c r="ER714" s="27" t="s">
        <v>7</v>
      </c>
      <c r="ES714" s="27" t="s">
        <v>8</v>
      </c>
      <c r="EV714" s="27" t="s">
        <v>7</v>
      </c>
      <c r="EW714" s="27" t="s">
        <v>8</v>
      </c>
      <c r="EX714" s="27" t="s">
        <v>7</v>
      </c>
      <c r="EY714" s="27" t="s">
        <v>8</v>
      </c>
      <c r="EZ714" s="27" t="s">
        <v>7</v>
      </c>
      <c r="FA714" s="27" t="s">
        <v>8</v>
      </c>
      <c r="FB714" s="27" t="s">
        <v>7</v>
      </c>
      <c r="FC714" s="27" t="s">
        <v>8</v>
      </c>
      <c r="FD714" s="27" t="s">
        <v>7</v>
      </c>
      <c r="FE714" s="27" t="s">
        <v>8</v>
      </c>
      <c r="FH714" s="27" t="s">
        <v>7</v>
      </c>
      <c r="FJ714" s="27" t="s">
        <v>7</v>
      </c>
      <c r="FK714" s="27" t="s">
        <v>8</v>
      </c>
      <c r="FL714" s="27" t="s">
        <v>7</v>
      </c>
      <c r="FS714" s="27" t="s">
        <v>8</v>
      </c>
      <c r="FT714" s="27" t="s">
        <v>7</v>
      </c>
      <c r="FW714" s="27" t="s">
        <v>8</v>
      </c>
      <c r="FX714" s="27" t="s">
        <v>7</v>
      </c>
      <c r="KG714" s="27" t="s">
        <v>8</v>
      </c>
      <c r="KH714" s="27" t="s">
        <v>7</v>
      </c>
      <c r="KI714" s="27" t="s">
        <v>8</v>
      </c>
      <c r="KJ714" s="27" t="s">
        <v>7</v>
      </c>
      <c r="KK714" s="27" t="s">
        <v>8</v>
      </c>
      <c r="KL714" s="27" t="s">
        <v>7</v>
      </c>
      <c r="KM714" s="27" t="s">
        <v>8</v>
      </c>
      <c r="KN714" s="27" t="s">
        <v>7</v>
      </c>
      <c r="KO714" s="27" t="s">
        <v>8</v>
      </c>
      <c r="LD714" s="27" t="s">
        <v>7</v>
      </c>
      <c r="LF714" s="27" t="s">
        <v>7</v>
      </c>
      <c r="LG714" s="27" t="s">
        <v>8</v>
      </c>
      <c r="LH714" s="27" t="s">
        <v>7</v>
      </c>
    </row>
    <row r="715" spans="1:322" x14ac:dyDescent="0.25">
      <c r="A715" s="7">
        <v>7.9282623818934056E-2</v>
      </c>
      <c r="B715"/>
      <c r="C715"/>
      <c r="D715"/>
      <c r="E715"/>
      <c r="F715" s="27" t="s">
        <v>7</v>
      </c>
      <c r="EO715" s="27" t="s">
        <v>8</v>
      </c>
      <c r="EP715" s="27" t="s">
        <v>7</v>
      </c>
      <c r="EQ715" s="27" t="s">
        <v>8</v>
      </c>
      <c r="ER715" s="27" t="s">
        <v>7</v>
      </c>
      <c r="ES715" s="27" t="s">
        <v>8</v>
      </c>
      <c r="EV715" s="27" t="s">
        <v>7</v>
      </c>
      <c r="EW715" s="27" t="s">
        <v>8</v>
      </c>
      <c r="EX715" s="27" t="s">
        <v>7</v>
      </c>
      <c r="EY715" s="27" t="s">
        <v>8</v>
      </c>
      <c r="EZ715" s="27" t="s">
        <v>7</v>
      </c>
      <c r="FA715" s="27" t="s">
        <v>8</v>
      </c>
      <c r="FB715" s="27" t="s">
        <v>7</v>
      </c>
      <c r="FC715" s="27" t="s">
        <v>8</v>
      </c>
      <c r="FD715" s="27" t="s">
        <v>7</v>
      </c>
      <c r="FE715" s="27" t="s">
        <v>8</v>
      </c>
      <c r="FJ715" s="27" t="s">
        <v>7</v>
      </c>
      <c r="FK715" s="27" t="s">
        <v>8</v>
      </c>
      <c r="FL715" s="27" t="s">
        <v>7</v>
      </c>
      <c r="FS715" s="27" t="s">
        <v>8</v>
      </c>
      <c r="FT715" s="27" t="s">
        <v>7</v>
      </c>
      <c r="FW715" s="27" t="s">
        <v>8</v>
      </c>
      <c r="FX715" s="27" t="s">
        <v>7</v>
      </c>
      <c r="KG715" s="27" t="s">
        <v>8</v>
      </c>
      <c r="KH715" s="27" t="s">
        <v>7</v>
      </c>
      <c r="KI715" s="27" t="s">
        <v>8</v>
      </c>
      <c r="KJ715" s="27" t="s">
        <v>7</v>
      </c>
      <c r="KK715" s="27" t="s">
        <v>8</v>
      </c>
      <c r="KL715" s="27" t="s">
        <v>7</v>
      </c>
      <c r="KN715" s="27" t="s">
        <v>7</v>
      </c>
      <c r="KO715" s="27" t="s">
        <v>8</v>
      </c>
      <c r="LF715" s="27" t="s">
        <v>7</v>
      </c>
      <c r="LG715" s="27" t="s">
        <v>8</v>
      </c>
      <c r="LH715" s="27" t="s">
        <v>7</v>
      </c>
    </row>
    <row r="716" spans="1:322" x14ac:dyDescent="0.25">
      <c r="A716" s="7">
        <v>7.7728062567582412E-2</v>
      </c>
      <c r="B716"/>
      <c r="C716"/>
      <c r="D716"/>
      <c r="E716"/>
      <c r="F716" s="27" t="s">
        <v>7</v>
      </c>
      <c r="EO716" s="27" t="s">
        <v>8</v>
      </c>
      <c r="EP716" s="27" t="s">
        <v>7</v>
      </c>
      <c r="EQ716" s="27" t="s">
        <v>8</v>
      </c>
      <c r="ER716" s="27" t="s">
        <v>7</v>
      </c>
      <c r="ES716" s="27" t="s">
        <v>8</v>
      </c>
      <c r="EV716" s="27" t="s">
        <v>7</v>
      </c>
      <c r="EW716" s="27" t="s">
        <v>8</v>
      </c>
      <c r="EX716" s="27" t="s">
        <v>7</v>
      </c>
      <c r="EZ716" s="27" t="s">
        <v>7</v>
      </c>
      <c r="FA716" s="27" t="s">
        <v>8</v>
      </c>
      <c r="FB716" s="27" t="s">
        <v>7</v>
      </c>
      <c r="FC716" s="27" t="s">
        <v>8</v>
      </c>
      <c r="FD716" s="27" t="s">
        <v>7</v>
      </c>
      <c r="FE716" s="27" t="s">
        <v>8</v>
      </c>
      <c r="FJ716" s="27" t="s">
        <v>7</v>
      </c>
      <c r="FK716" s="27" t="s">
        <v>8</v>
      </c>
      <c r="FL716" s="27" t="s">
        <v>7</v>
      </c>
      <c r="FS716" s="27" t="s">
        <v>8</v>
      </c>
      <c r="FT716" s="27" t="s">
        <v>7</v>
      </c>
      <c r="FW716" s="27" t="s">
        <v>8</v>
      </c>
      <c r="FX716" s="27" t="s">
        <v>7</v>
      </c>
      <c r="KG716" s="27" t="s">
        <v>8</v>
      </c>
      <c r="KH716" s="27" t="s">
        <v>7</v>
      </c>
      <c r="KI716" s="27" t="s">
        <v>8</v>
      </c>
      <c r="KJ716" s="27" t="s">
        <v>7</v>
      </c>
      <c r="KK716" s="27" t="s">
        <v>8</v>
      </c>
      <c r="KN716" s="27" t="s">
        <v>7</v>
      </c>
      <c r="KO716" s="27" t="s">
        <v>8</v>
      </c>
      <c r="LF716" s="27" t="s">
        <v>7</v>
      </c>
      <c r="LH716" s="27" t="s">
        <v>7</v>
      </c>
      <c r="LI716" s="27" t="s">
        <v>8</v>
      </c>
    </row>
    <row r="717" spans="1:322" x14ac:dyDescent="0.25">
      <c r="A717" s="7">
        <v>7.6203982909394521E-2</v>
      </c>
      <c r="B717"/>
      <c r="C717"/>
      <c r="D717"/>
      <c r="E717"/>
      <c r="F717" s="27" t="s">
        <v>7</v>
      </c>
      <c r="EO717" s="27" t="s">
        <v>8</v>
      </c>
      <c r="EP717" s="27" t="s">
        <v>7</v>
      </c>
      <c r="EQ717" s="27" t="s">
        <v>8</v>
      </c>
      <c r="ER717" s="27" t="s">
        <v>7</v>
      </c>
      <c r="ES717" s="27" t="s">
        <v>8</v>
      </c>
      <c r="EV717" s="27" t="s">
        <v>7</v>
      </c>
      <c r="EW717" s="27" t="s">
        <v>8</v>
      </c>
      <c r="EZ717" s="27" t="s">
        <v>7</v>
      </c>
      <c r="FA717" s="27" t="s">
        <v>8</v>
      </c>
      <c r="FB717" s="27" t="s">
        <v>7</v>
      </c>
      <c r="FD717" s="27" t="s">
        <v>7</v>
      </c>
      <c r="FE717" s="27" t="s">
        <v>8</v>
      </c>
      <c r="FJ717" s="27" t="s">
        <v>7</v>
      </c>
      <c r="FK717" s="27" t="s">
        <v>8</v>
      </c>
      <c r="FL717" s="27" t="s">
        <v>7</v>
      </c>
      <c r="FM717" s="27" t="s">
        <v>8</v>
      </c>
      <c r="FS717" s="27" t="s">
        <v>8</v>
      </c>
      <c r="FT717" s="27" t="s">
        <v>7</v>
      </c>
      <c r="FW717" s="27" t="s">
        <v>8</v>
      </c>
      <c r="FX717" s="27" t="s">
        <v>7</v>
      </c>
      <c r="JY717" s="27" t="s">
        <v>8</v>
      </c>
      <c r="KG717" s="27" t="s">
        <v>8</v>
      </c>
      <c r="KH717" s="27" t="s">
        <v>7</v>
      </c>
      <c r="KI717" s="27" t="s">
        <v>8</v>
      </c>
      <c r="KJ717" s="27" t="s">
        <v>7</v>
      </c>
      <c r="KK717" s="27" t="s">
        <v>8</v>
      </c>
      <c r="KN717" s="27" t="s">
        <v>7</v>
      </c>
      <c r="KO717" s="27" t="s">
        <v>8</v>
      </c>
      <c r="LH717" s="27" t="s">
        <v>7</v>
      </c>
      <c r="LI717" s="27" t="s">
        <v>8</v>
      </c>
      <c r="LJ717" s="27" t="s">
        <v>7</v>
      </c>
    </row>
    <row r="718" spans="1:322" x14ac:dyDescent="0.25">
      <c r="A718" s="7">
        <v>7.4709787166073058E-2</v>
      </c>
      <c r="B718"/>
      <c r="C718"/>
      <c r="D718"/>
      <c r="E718"/>
      <c r="F718" s="27" t="s">
        <v>7</v>
      </c>
      <c r="EO718" s="27" t="s">
        <v>8</v>
      </c>
      <c r="EP718" s="27" t="s">
        <v>7</v>
      </c>
      <c r="EQ718" s="27" t="s">
        <v>8</v>
      </c>
      <c r="ER718" s="27" t="s">
        <v>7</v>
      </c>
      <c r="ES718" s="27" t="s">
        <v>8</v>
      </c>
      <c r="EV718" s="27" t="s">
        <v>7</v>
      </c>
      <c r="EW718" s="27" t="s">
        <v>8</v>
      </c>
      <c r="EZ718" s="27" t="s">
        <v>7</v>
      </c>
      <c r="FD718" s="27" t="s">
        <v>7</v>
      </c>
      <c r="FE718" s="27" t="s">
        <v>8</v>
      </c>
      <c r="FJ718" s="27" t="s">
        <v>7</v>
      </c>
      <c r="FK718" s="27" t="s">
        <v>8</v>
      </c>
      <c r="FL718" s="27" t="s">
        <v>7</v>
      </c>
      <c r="FM718" s="27" t="s">
        <v>8</v>
      </c>
      <c r="FN718" s="27" t="s">
        <v>7</v>
      </c>
      <c r="FQ718" s="27" t="s">
        <v>8</v>
      </c>
      <c r="FS718" s="27" t="s">
        <v>8</v>
      </c>
      <c r="FT718" s="27" t="s">
        <v>7</v>
      </c>
      <c r="FW718" s="27" t="s">
        <v>8</v>
      </c>
      <c r="FX718" s="27" t="s">
        <v>7</v>
      </c>
      <c r="JY718" s="27" t="s">
        <v>8</v>
      </c>
      <c r="JZ718" s="27" t="s">
        <v>7</v>
      </c>
      <c r="KG718" s="27" t="s">
        <v>8</v>
      </c>
      <c r="KH718" s="27" t="s">
        <v>7</v>
      </c>
      <c r="KI718" s="27" t="s">
        <v>8</v>
      </c>
      <c r="KJ718" s="27" t="s">
        <v>7</v>
      </c>
      <c r="KK718" s="27" t="s">
        <v>8</v>
      </c>
      <c r="KN718" s="27" t="s">
        <v>7</v>
      </c>
      <c r="KO718" s="27" t="s">
        <v>8</v>
      </c>
      <c r="LH718" s="27" t="s">
        <v>7</v>
      </c>
      <c r="LI718" s="27" t="s">
        <v>8</v>
      </c>
      <c r="LJ718" s="27" t="s">
        <v>7</v>
      </c>
    </row>
    <row r="719" spans="1:322" x14ac:dyDescent="0.25">
      <c r="A719" s="7">
        <v>7.3244889378503E-2</v>
      </c>
      <c r="B719"/>
      <c r="C719"/>
      <c r="D719"/>
      <c r="E719"/>
      <c r="F719" s="27" t="s">
        <v>7</v>
      </c>
      <c r="EO719" s="27" t="s">
        <v>8</v>
      </c>
      <c r="EP719" s="27" t="s">
        <v>7</v>
      </c>
      <c r="EQ719" s="27" t="s">
        <v>8</v>
      </c>
      <c r="ER719" s="27" t="s">
        <v>7</v>
      </c>
      <c r="ES719" s="27" t="s">
        <v>8</v>
      </c>
      <c r="EV719" s="27" t="s">
        <v>7</v>
      </c>
      <c r="FD719" s="27" t="s">
        <v>7</v>
      </c>
      <c r="FJ719" s="27" t="s">
        <v>7</v>
      </c>
      <c r="FK719" s="27" t="s">
        <v>8</v>
      </c>
      <c r="FL719" s="27" t="s">
        <v>7</v>
      </c>
      <c r="FM719" s="27" t="s">
        <v>8</v>
      </c>
      <c r="FN719" s="27" t="s">
        <v>7</v>
      </c>
      <c r="FQ719" s="27" t="s">
        <v>8</v>
      </c>
      <c r="FR719" s="27" t="s">
        <v>7</v>
      </c>
      <c r="FS719" s="27" t="s">
        <v>8</v>
      </c>
      <c r="FT719" s="27" t="s">
        <v>7</v>
      </c>
      <c r="FU719" s="27" t="s">
        <v>8</v>
      </c>
      <c r="FW719" s="27" t="s">
        <v>8</v>
      </c>
      <c r="FX719" s="27" t="s">
        <v>7</v>
      </c>
      <c r="JY719" s="27" t="s">
        <v>8</v>
      </c>
      <c r="JZ719" s="27" t="s">
        <v>7</v>
      </c>
      <c r="KE719" s="27" t="s">
        <v>8</v>
      </c>
      <c r="KG719" s="27" t="s">
        <v>8</v>
      </c>
      <c r="KH719" s="27" t="s">
        <v>7</v>
      </c>
      <c r="KI719" s="27" t="s">
        <v>8</v>
      </c>
      <c r="KJ719" s="27" t="s">
        <v>7</v>
      </c>
      <c r="KK719" s="27" t="s">
        <v>8</v>
      </c>
      <c r="KN719" s="27" t="s">
        <v>7</v>
      </c>
      <c r="KO719" s="27" t="s">
        <v>8</v>
      </c>
      <c r="LH719" s="27" t="s">
        <v>7</v>
      </c>
      <c r="LI719" s="27" t="s">
        <v>8</v>
      </c>
      <c r="LJ719" s="27" t="s">
        <v>7</v>
      </c>
    </row>
    <row r="720" spans="1:322" x14ac:dyDescent="0.25">
      <c r="A720" s="7">
        <v>7.1808715076963722E-2</v>
      </c>
      <c r="B720"/>
      <c r="C720"/>
      <c r="D720"/>
      <c r="E720"/>
      <c r="F720" s="27" t="s">
        <v>7</v>
      </c>
      <c r="EO720" s="27" t="s">
        <v>8</v>
      </c>
      <c r="EP720" s="27" t="s">
        <v>7</v>
      </c>
      <c r="EQ720" s="27" t="s">
        <v>8</v>
      </c>
      <c r="ER720" s="27" t="s">
        <v>7</v>
      </c>
      <c r="ES720" s="27" t="s">
        <v>8</v>
      </c>
      <c r="FJ720" s="27" t="s">
        <v>7</v>
      </c>
      <c r="FK720" s="27" t="s">
        <v>8</v>
      </c>
      <c r="FL720" s="27" t="s">
        <v>7</v>
      </c>
      <c r="FM720" s="27" t="s">
        <v>8</v>
      </c>
      <c r="FN720" s="27" t="s">
        <v>7</v>
      </c>
      <c r="FQ720" s="27" t="s">
        <v>8</v>
      </c>
      <c r="FR720" s="27" t="s">
        <v>7</v>
      </c>
      <c r="FS720" s="27" t="s">
        <v>8</v>
      </c>
      <c r="FT720" s="27" t="s">
        <v>7</v>
      </c>
      <c r="FU720" s="27" t="s">
        <v>8</v>
      </c>
      <c r="FV720" s="27" t="s">
        <v>7</v>
      </c>
      <c r="FW720" s="27" t="s">
        <v>8</v>
      </c>
      <c r="FX720" s="27" t="s">
        <v>7</v>
      </c>
      <c r="JY720" s="27" t="s">
        <v>8</v>
      </c>
      <c r="JZ720" s="27" t="s">
        <v>7</v>
      </c>
      <c r="KE720" s="27" t="s">
        <v>8</v>
      </c>
      <c r="KF720" s="27" t="s">
        <v>7</v>
      </c>
      <c r="KG720" s="27" t="s">
        <v>8</v>
      </c>
      <c r="KH720" s="27" t="s">
        <v>7</v>
      </c>
      <c r="KI720" s="27" t="s">
        <v>8</v>
      </c>
      <c r="KJ720" s="27" t="s">
        <v>7</v>
      </c>
      <c r="KK720" s="27" t="s">
        <v>8</v>
      </c>
      <c r="KN720" s="27" t="s">
        <v>7</v>
      </c>
      <c r="KO720" s="27" t="s">
        <v>8</v>
      </c>
      <c r="LH720" s="27" t="s">
        <v>7</v>
      </c>
      <c r="LI720" s="27" t="s">
        <v>8</v>
      </c>
      <c r="LJ720" s="27" t="s">
        <v>7</v>
      </c>
    </row>
    <row r="721" spans="1:324" x14ac:dyDescent="0.25">
      <c r="A721" s="7">
        <v>7.0400701055846782E-2</v>
      </c>
      <c r="B721"/>
      <c r="C721"/>
      <c r="D721"/>
      <c r="E721"/>
      <c r="F721" s="27" t="s">
        <v>7</v>
      </c>
      <c r="EO721" s="27" t="s">
        <v>8</v>
      </c>
      <c r="EP721" s="27" t="s">
        <v>7</v>
      </c>
      <c r="EQ721" s="27" t="s">
        <v>8</v>
      </c>
      <c r="ER721" s="27" t="s">
        <v>7</v>
      </c>
      <c r="ES721" s="27" t="s">
        <v>8</v>
      </c>
      <c r="FJ721" s="27" t="s">
        <v>7</v>
      </c>
      <c r="FK721" s="27" t="s">
        <v>8</v>
      </c>
      <c r="FL721" s="27" t="s">
        <v>7</v>
      </c>
      <c r="FM721" s="27" t="s">
        <v>8</v>
      </c>
      <c r="FN721" s="27" t="s">
        <v>7</v>
      </c>
      <c r="FQ721" s="27" t="s">
        <v>8</v>
      </c>
      <c r="FR721" s="27" t="s">
        <v>7</v>
      </c>
      <c r="FS721" s="27" t="s">
        <v>8</v>
      </c>
      <c r="FT721" s="27" t="s">
        <v>7</v>
      </c>
      <c r="FU721" s="27" t="s">
        <v>8</v>
      </c>
      <c r="FV721" s="27" t="s">
        <v>7</v>
      </c>
      <c r="FW721" s="27" t="s">
        <v>8</v>
      </c>
      <c r="FX721" s="27" t="s">
        <v>7</v>
      </c>
      <c r="JY721" s="27" t="s">
        <v>8</v>
      </c>
      <c r="JZ721" s="27" t="s">
        <v>7</v>
      </c>
      <c r="KE721" s="27" t="s">
        <v>8</v>
      </c>
      <c r="KF721" s="27" t="s">
        <v>7</v>
      </c>
      <c r="KG721" s="27" t="s">
        <v>8</v>
      </c>
      <c r="KH721" s="27" t="s">
        <v>7</v>
      </c>
      <c r="KI721" s="27" t="s">
        <v>8</v>
      </c>
      <c r="KJ721" s="27" t="s">
        <v>7</v>
      </c>
      <c r="KK721" s="27" t="s">
        <v>8</v>
      </c>
      <c r="KN721" s="27" t="s">
        <v>7</v>
      </c>
      <c r="KO721" s="27" t="s">
        <v>8</v>
      </c>
      <c r="LH721" s="27" t="s">
        <v>7</v>
      </c>
      <c r="LI721" s="27" t="s">
        <v>8</v>
      </c>
      <c r="LJ721" s="27" t="s">
        <v>7</v>
      </c>
    </row>
    <row r="722" spans="1:324" x14ac:dyDescent="0.25">
      <c r="A722" s="7">
        <v>6.9020295152790956E-2</v>
      </c>
      <c r="B722"/>
      <c r="C722"/>
      <c r="D722"/>
      <c r="E722"/>
      <c r="F722" s="27" t="s">
        <v>7</v>
      </c>
      <c r="EO722" s="27" t="s">
        <v>8</v>
      </c>
      <c r="EP722" s="27" t="s">
        <v>7</v>
      </c>
      <c r="EQ722" s="27" t="s">
        <v>8</v>
      </c>
      <c r="ER722" s="27" t="s">
        <v>7</v>
      </c>
      <c r="FJ722" s="27" t="s">
        <v>7</v>
      </c>
      <c r="FK722" s="27" t="s">
        <v>8</v>
      </c>
      <c r="FL722" s="27" t="s">
        <v>7</v>
      </c>
      <c r="FM722" s="27" t="s">
        <v>8</v>
      </c>
      <c r="FN722" s="27" t="s">
        <v>7</v>
      </c>
      <c r="FQ722" s="27" t="s">
        <v>8</v>
      </c>
      <c r="FR722" s="27" t="s">
        <v>7</v>
      </c>
      <c r="FS722" s="27" t="s">
        <v>8</v>
      </c>
      <c r="FT722" s="27" t="s">
        <v>7</v>
      </c>
      <c r="FU722" s="27" t="s">
        <v>8</v>
      </c>
      <c r="FV722" s="27" t="s">
        <v>7</v>
      </c>
      <c r="FW722" s="27" t="s">
        <v>8</v>
      </c>
      <c r="FX722" s="27" t="s">
        <v>7</v>
      </c>
      <c r="JY722" s="27" t="s">
        <v>8</v>
      </c>
      <c r="JZ722" s="27" t="s">
        <v>7</v>
      </c>
      <c r="KA722" s="27" t="s">
        <v>8</v>
      </c>
      <c r="KE722" s="27" t="s">
        <v>8</v>
      </c>
      <c r="KF722" s="27" t="s">
        <v>7</v>
      </c>
      <c r="KG722" s="27" t="s">
        <v>8</v>
      </c>
      <c r="KH722" s="27" t="s">
        <v>7</v>
      </c>
      <c r="KI722" s="27" t="s">
        <v>8</v>
      </c>
      <c r="KJ722" s="27" t="s">
        <v>7</v>
      </c>
      <c r="KK722" s="27" t="s">
        <v>8</v>
      </c>
      <c r="KN722" s="27" t="s">
        <v>7</v>
      </c>
      <c r="LH722" s="27" t="s">
        <v>7</v>
      </c>
      <c r="LI722" s="27" t="s">
        <v>8</v>
      </c>
      <c r="LJ722" s="27" t="s">
        <v>7</v>
      </c>
    </row>
    <row r="723" spans="1:324" x14ac:dyDescent="0.25">
      <c r="A723" s="7">
        <v>6.7666956032147993E-2</v>
      </c>
      <c r="B723"/>
      <c r="C723"/>
      <c r="D723"/>
      <c r="E723"/>
      <c r="F723" s="27" t="s">
        <v>7</v>
      </c>
      <c r="EO723" s="27" t="s">
        <v>8</v>
      </c>
      <c r="EP723" s="27" t="s">
        <v>7</v>
      </c>
      <c r="EQ723" s="27" t="s">
        <v>8</v>
      </c>
      <c r="FJ723" s="27" t="s">
        <v>7</v>
      </c>
      <c r="FK723" s="27" t="s">
        <v>8</v>
      </c>
      <c r="FL723" s="27" t="s">
        <v>7</v>
      </c>
      <c r="FM723" s="27" t="s">
        <v>8</v>
      </c>
      <c r="FN723" s="27" t="s">
        <v>7</v>
      </c>
      <c r="FO723" s="27" t="s">
        <v>8</v>
      </c>
      <c r="FQ723" s="27" t="s">
        <v>8</v>
      </c>
      <c r="FR723" s="27" t="s">
        <v>7</v>
      </c>
      <c r="FS723" s="27" t="s">
        <v>8</v>
      </c>
      <c r="FT723" s="27" t="s">
        <v>7</v>
      </c>
      <c r="FU723" s="27" t="s">
        <v>8</v>
      </c>
      <c r="FV723" s="27" t="s">
        <v>7</v>
      </c>
      <c r="FW723" s="27" t="s">
        <v>8</v>
      </c>
      <c r="FX723" s="27" t="s">
        <v>7</v>
      </c>
      <c r="JY723" s="27" t="s">
        <v>8</v>
      </c>
      <c r="JZ723" s="27" t="s">
        <v>7</v>
      </c>
      <c r="KA723" s="27" t="s">
        <v>8</v>
      </c>
      <c r="KB723" s="27" t="s">
        <v>7</v>
      </c>
      <c r="KE723" s="27" t="s">
        <v>8</v>
      </c>
      <c r="KF723" s="27" t="s">
        <v>7</v>
      </c>
      <c r="KG723" s="27" t="s">
        <v>8</v>
      </c>
      <c r="KH723" s="27" t="s">
        <v>7</v>
      </c>
      <c r="KI723" s="27" t="s">
        <v>8</v>
      </c>
      <c r="KJ723" s="27" t="s">
        <v>7</v>
      </c>
      <c r="KK723" s="27" t="s">
        <v>8</v>
      </c>
      <c r="LH723" s="27" t="s">
        <v>7</v>
      </c>
      <c r="LI723" s="27" t="s">
        <v>8</v>
      </c>
      <c r="LJ723" s="27" t="s">
        <v>7</v>
      </c>
    </row>
    <row r="724" spans="1:324" x14ac:dyDescent="0.25">
      <c r="A724" s="7">
        <v>6.6340152972694105E-2</v>
      </c>
      <c r="B724"/>
      <c r="C724"/>
      <c r="D724"/>
      <c r="E724"/>
      <c r="F724" s="27" t="s">
        <v>7</v>
      </c>
      <c r="EO724" s="27" t="s">
        <v>8</v>
      </c>
      <c r="EP724" s="27" t="s">
        <v>7</v>
      </c>
      <c r="FJ724" s="27" t="s">
        <v>7</v>
      </c>
      <c r="FL724" s="27" t="s">
        <v>7</v>
      </c>
      <c r="FM724" s="27" t="s">
        <v>8</v>
      </c>
      <c r="FN724" s="27" t="s">
        <v>7</v>
      </c>
      <c r="FO724" s="27" t="s">
        <v>8</v>
      </c>
      <c r="FP724" s="27" t="s">
        <v>7</v>
      </c>
      <c r="FQ724" s="27" t="s">
        <v>8</v>
      </c>
      <c r="FR724" s="27" t="s">
        <v>7</v>
      </c>
      <c r="FT724" s="27" t="s">
        <v>7</v>
      </c>
      <c r="FU724" s="27" t="s">
        <v>8</v>
      </c>
      <c r="FV724" s="27" t="s">
        <v>7</v>
      </c>
      <c r="FW724" s="27" t="s">
        <v>8</v>
      </c>
      <c r="FX724" s="27" t="s">
        <v>7</v>
      </c>
      <c r="JY724" s="27" t="s">
        <v>8</v>
      </c>
      <c r="JZ724" s="27" t="s">
        <v>7</v>
      </c>
      <c r="KA724" s="27" t="s">
        <v>8</v>
      </c>
      <c r="KB724" s="27" t="s">
        <v>7</v>
      </c>
      <c r="KE724" s="27" t="s">
        <v>8</v>
      </c>
      <c r="KF724" s="27" t="s">
        <v>7</v>
      </c>
      <c r="KG724" s="27" t="s">
        <v>8</v>
      </c>
      <c r="KH724" s="27" t="s">
        <v>7</v>
      </c>
      <c r="KI724" s="27" t="s">
        <v>8</v>
      </c>
      <c r="KJ724" s="27" t="s">
        <v>7</v>
      </c>
      <c r="KK724" s="27" t="s">
        <v>8</v>
      </c>
      <c r="LH724" s="27" t="s">
        <v>7</v>
      </c>
      <c r="LI724" s="27" t="s">
        <v>8</v>
      </c>
      <c r="LJ724" s="27" t="s">
        <v>7</v>
      </c>
    </row>
    <row r="725" spans="1:324" x14ac:dyDescent="0.25">
      <c r="A725" s="7">
        <v>6.5039365659504023E-2</v>
      </c>
      <c r="B725"/>
      <c r="C725"/>
      <c r="D725"/>
      <c r="E725"/>
      <c r="F725" s="27" t="s">
        <v>7</v>
      </c>
      <c r="EO725" s="27" t="s">
        <v>8</v>
      </c>
      <c r="FL725" s="27" t="s">
        <v>7</v>
      </c>
      <c r="FM725" s="27" t="s">
        <v>8</v>
      </c>
      <c r="FN725" s="27" t="s">
        <v>7</v>
      </c>
      <c r="FO725" s="27" t="s">
        <v>8</v>
      </c>
      <c r="FP725" s="27" t="s">
        <v>7</v>
      </c>
      <c r="FQ725" s="27" t="s">
        <v>8</v>
      </c>
      <c r="FT725" s="27" t="s">
        <v>7</v>
      </c>
      <c r="FV725" s="27" t="s">
        <v>7</v>
      </c>
      <c r="FX725" s="27" t="s">
        <v>7</v>
      </c>
      <c r="JY725" s="27" t="s">
        <v>8</v>
      </c>
      <c r="JZ725" s="27" t="s">
        <v>7</v>
      </c>
      <c r="KA725" s="27" t="s">
        <v>8</v>
      </c>
      <c r="KB725" s="27" t="s">
        <v>7</v>
      </c>
      <c r="KE725" s="27" t="s">
        <v>8</v>
      </c>
      <c r="KF725" s="27" t="s">
        <v>7</v>
      </c>
      <c r="KG725" s="27" t="s">
        <v>8</v>
      </c>
      <c r="KH725" s="27" t="s">
        <v>7</v>
      </c>
      <c r="KI725" s="27" t="s">
        <v>8</v>
      </c>
      <c r="KJ725" s="27" t="s">
        <v>7</v>
      </c>
      <c r="KK725" s="27" t="s">
        <v>8</v>
      </c>
      <c r="LH725" s="27" t="s">
        <v>7</v>
      </c>
      <c r="LI725" s="27" t="s">
        <v>8</v>
      </c>
      <c r="LJ725" s="27" t="s">
        <v>7</v>
      </c>
    </row>
    <row r="726" spans="1:324" x14ac:dyDescent="0.25">
      <c r="A726" s="7">
        <v>6.3764083979905906E-2</v>
      </c>
      <c r="B726"/>
      <c r="C726"/>
      <c r="D726"/>
      <c r="E726"/>
      <c r="F726" s="27" t="s">
        <v>7</v>
      </c>
      <c r="DW726" s="27" t="s">
        <v>8</v>
      </c>
      <c r="EO726" s="27" t="s">
        <v>8</v>
      </c>
      <c r="FL726" s="27" t="s">
        <v>7</v>
      </c>
      <c r="FM726" s="27" t="s">
        <v>8</v>
      </c>
      <c r="FN726" s="27" t="s">
        <v>7</v>
      </c>
      <c r="FO726" s="27" t="s">
        <v>8</v>
      </c>
      <c r="FP726" s="27" t="s">
        <v>7</v>
      </c>
      <c r="FQ726" s="27" t="s">
        <v>8</v>
      </c>
      <c r="FX726" s="27" t="s">
        <v>7</v>
      </c>
      <c r="FY726" s="27" t="s">
        <v>8</v>
      </c>
      <c r="JY726" s="27" t="s">
        <v>8</v>
      </c>
      <c r="JZ726" s="27" t="s">
        <v>7</v>
      </c>
      <c r="KA726" s="27" t="s">
        <v>8</v>
      </c>
      <c r="KB726" s="27" t="s">
        <v>7</v>
      </c>
      <c r="KC726" s="27" t="s">
        <v>8</v>
      </c>
      <c r="KE726" s="27" t="s">
        <v>8</v>
      </c>
      <c r="KF726" s="27" t="s">
        <v>7</v>
      </c>
      <c r="KG726" s="27" t="s">
        <v>8</v>
      </c>
      <c r="KH726" s="27" t="s">
        <v>7</v>
      </c>
      <c r="KI726" s="27" t="s">
        <v>8</v>
      </c>
      <c r="KJ726" s="27" t="s">
        <v>7</v>
      </c>
      <c r="KK726" s="27" t="s">
        <v>8</v>
      </c>
      <c r="LH726" s="27" t="s">
        <v>7</v>
      </c>
      <c r="LI726" s="27" t="s">
        <v>8</v>
      </c>
      <c r="LJ726" s="27" t="s">
        <v>7</v>
      </c>
      <c r="LK726" s="27" t="s">
        <v>8</v>
      </c>
    </row>
    <row r="727" spans="1:324" x14ac:dyDescent="0.25">
      <c r="A727" s="7">
        <v>6.251380782343717E-2</v>
      </c>
      <c r="B727"/>
      <c r="C727"/>
      <c r="D727"/>
      <c r="E727"/>
      <c r="F727" s="27" t="s">
        <v>7</v>
      </c>
      <c r="DW727" s="27" t="s">
        <v>8</v>
      </c>
      <c r="DX727" s="27" t="s">
        <v>7</v>
      </c>
      <c r="EO727" s="27" t="s">
        <v>8</v>
      </c>
      <c r="FL727" s="27" t="s">
        <v>7</v>
      </c>
      <c r="FM727" s="27" t="s">
        <v>8</v>
      </c>
      <c r="FN727" s="27" t="s">
        <v>7</v>
      </c>
      <c r="FO727" s="27" t="s">
        <v>8</v>
      </c>
      <c r="FP727" s="27" t="s">
        <v>7</v>
      </c>
      <c r="FQ727" s="27" t="s">
        <v>8</v>
      </c>
      <c r="FX727" s="27" t="s">
        <v>7</v>
      </c>
      <c r="FY727" s="27" t="s">
        <v>8</v>
      </c>
      <c r="FZ727" s="27" t="s">
        <v>7</v>
      </c>
      <c r="JY727" s="27" t="s">
        <v>8</v>
      </c>
      <c r="JZ727" s="27" t="s">
        <v>7</v>
      </c>
      <c r="KA727" s="27" t="s">
        <v>8</v>
      </c>
      <c r="KB727" s="27" t="s">
        <v>7</v>
      </c>
      <c r="KC727" s="27" t="s">
        <v>8</v>
      </c>
      <c r="KD727" s="27" t="s">
        <v>7</v>
      </c>
      <c r="KE727" s="27" t="s">
        <v>8</v>
      </c>
      <c r="KF727" s="27" t="s">
        <v>7</v>
      </c>
      <c r="KG727" s="27" t="s">
        <v>8</v>
      </c>
      <c r="KH727" s="27" t="s">
        <v>7</v>
      </c>
      <c r="KI727" s="27" t="s">
        <v>8</v>
      </c>
      <c r="KJ727" s="27" t="s">
        <v>7</v>
      </c>
      <c r="KK727" s="27" t="s">
        <v>8</v>
      </c>
      <c r="LH727" s="27" t="s">
        <v>7</v>
      </c>
      <c r="LI727" s="27" t="s">
        <v>8</v>
      </c>
      <c r="LJ727" s="27" t="s">
        <v>7</v>
      </c>
      <c r="LK727" s="27" t="s">
        <v>8</v>
      </c>
      <c r="LL727" s="27" t="s">
        <v>7</v>
      </c>
    </row>
    <row r="728" spans="1:324" x14ac:dyDescent="0.25">
      <c r="A728" s="7">
        <v>6.1288046885722716E-2</v>
      </c>
      <c r="B728"/>
      <c r="C728"/>
      <c r="D728"/>
      <c r="E728"/>
      <c r="F728" s="27" t="s">
        <v>7</v>
      </c>
      <c r="DW728" s="27" t="s">
        <v>8</v>
      </c>
      <c r="DX728" s="27" t="s">
        <v>7</v>
      </c>
      <c r="EO728" s="27" t="s">
        <v>8</v>
      </c>
      <c r="FL728" s="27" t="s">
        <v>7</v>
      </c>
      <c r="FN728" s="27" t="s">
        <v>7</v>
      </c>
      <c r="FO728" s="27" t="s">
        <v>8</v>
      </c>
      <c r="FP728" s="27" t="s">
        <v>7</v>
      </c>
      <c r="FQ728" s="27" t="s">
        <v>8</v>
      </c>
      <c r="FX728" s="27" t="s">
        <v>7</v>
      </c>
      <c r="FY728" s="27" t="s">
        <v>8</v>
      </c>
      <c r="FZ728" s="27" t="s">
        <v>7</v>
      </c>
      <c r="JY728" s="27" t="s">
        <v>8</v>
      </c>
      <c r="JZ728" s="27" t="s">
        <v>7</v>
      </c>
      <c r="KA728" s="27" t="s">
        <v>8</v>
      </c>
      <c r="KB728" s="27" t="s">
        <v>7</v>
      </c>
      <c r="KC728" s="27" t="s">
        <v>8</v>
      </c>
      <c r="KD728" s="27" t="s">
        <v>7</v>
      </c>
      <c r="KE728" s="27" t="s">
        <v>8</v>
      </c>
      <c r="KF728" s="27" t="s">
        <v>7</v>
      </c>
      <c r="KG728" s="27" t="s">
        <v>8</v>
      </c>
      <c r="KH728" s="27" t="s">
        <v>7</v>
      </c>
      <c r="KI728" s="27" t="s">
        <v>8</v>
      </c>
      <c r="KJ728" s="27" t="s">
        <v>7</v>
      </c>
      <c r="KK728" s="27" t="s">
        <v>8</v>
      </c>
      <c r="LH728" s="27" t="s">
        <v>7</v>
      </c>
      <c r="LI728" s="27" t="s">
        <v>8</v>
      </c>
      <c r="LJ728" s="27" t="s">
        <v>7</v>
      </c>
      <c r="LK728" s="27" t="s">
        <v>8</v>
      </c>
      <c r="LL728" s="27" t="s">
        <v>7</v>
      </c>
    </row>
    <row r="729" spans="1:324" x14ac:dyDescent="0.25">
      <c r="A729" s="7">
        <v>6.0086320476198739E-2</v>
      </c>
      <c r="B729"/>
      <c r="C729"/>
      <c r="D729"/>
      <c r="E729"/>
      <c r="F729" s="27" t="s">
        <v>7</v>
      </c>
      <c r="DW729" s="27" t="s">
        <v>8</v>
      </c>
      <c r="DX729" s="27" t="s">
        <v>7</v>
      </c>
      <c r="EO729" s="27" t="s">
        <v>8</v>
      </c>
      <c r="FN729" s="27" t="s">
        <v>7</v>
      </c>
      <c r="FO729" s="27" t="s">
        <v>8</v>
      </c>
      <c r="FP729" s="27" t="s">
        <v>7</v>
      </c>
      <c r="FQ729" s="27" t="s">
        <v>8</v>
      </c>
      <c r="FX729" s="27" t="s">
        <v>7</v>
      </c>
      <c r="FY729" s="27" t="s">
        <v>8</v>
      </c>
      <c r="FZ729" s="27" t="s">
        <v>7</v>
      </c>
      <c r="IW729" s="27" t="s">
        <v>8</v>
      </c>
      <c r="JY729" s="27" t="s">
        <v>8</v>
      </c>
      <c r="JZ729" s="27" t="s">
        <v>7</v>
      </c>
      <c r="KA729" s="27" t="s">
        <v>8</v>
      </c>
      <c r="KB729" s="27" t="s">
        <v>7</v>
      </c>
      <c r="KC729" s="27" t="s">
        <v>8</v>
      </c>
      <c r="KD729" s="27" t="s">
        <v>7</v>
      </c>
      <c r="KE729" s="27" t="s">
        <v>8</v>
      </c>
      <c r="KF729" s="27" t="s">
        <v>7</v>
      </c>
      <c r="KH729" s="27" t="s">
        <v>7</v>
      </c>
      <c r="KI729" s="27" t="s">
        <v>8</v>
      </c>
      <c r="KJ729" s="27" t="s">
        <v>7</v>
      </c>
      <c r="KK729" s="27" t="s">
        <v>8</v>
      </c>
      <c r="LH729" s="27" t="s">
        <v>7</v>
      </c>
      <c r="LI729" s="27" t="s">
        <v>8</v>
      </c>
      <c r="LJ729" s="27" t="s">
        <v>7</v>
      </c>
      <c r="LK729" s="27" t="s">
        <v>8</v>
      </c>
      <c r="LL729" s="27" t="s">
        <v>7</v>
      </c>
    </row>
    <row r="730" spans="1:324" x14ac:dyDescent="0.25">
      <c r="A730" s="7">
        <v>5.8908157329606609E-2</v>
      </c>
      <c r="B730"/>
      <c r="C730"/>
      <c r="D730"/>
      <c r="E730"/>
      <c r="F730" s="27" t="s">
        <v>7</v>
      </c>
      <c r="DW730" s="27" t="s">
        <v>8</v>
      </c>
      <c r="DX730" s="27" t="s">
        <v>7</v>
      </c>
      <c r="EC730" s="27" t="s">
        <v>8</v>
      </c>
      <c r="EO730" s="27" t="s">
        <v>8</v>
      </c>
      <c r="FN730" s="27" t="s">
        <v>7</v>
      </c>
      <c r="FO730" s="27" t="s">
        <v>8</v>
      </c>
      <c r="FP730" s="27" t="s">
        <v>7</v>
      </c>
      <c r="FX730" s="27" t="s">
        <v>7</v>
      </c>
      <c r="FY730" s="27" t="s">
        <v>8</v>
      </c>
      <c r="FZ730" s="27" t="s">
        <v>7</v>
      </c>
      <c r="IW730" s="27" t="s">
        <v>8</v>
      </c>
      <c r="IX730" s="27" t="s">
        <v>7</v>
      </c>
      <c r="JY730" s="27" t="s">
        <v>8</v>
      </c>
      <c r="JZ730" s="27" t="s">
        <v>7</v>
      </c>
      <c r="KA730" s="27" t="s">
        <v>8</v>
      </c>
      <c r="KB730" s="27" t="s">
        <v>7</v>
      </c>
      <c r="KC730" s="27" t="s">
        <v>8</v>
      </c>
      <c r="KD730" s="27" t="s">
        <v>7</v>
      </c>
      <c r="KE730" s="27" t="s">
        <v>8</v>
      </c>
      <c r="KH730" s="27" t="s">
        <v>7</v>
      </c>
      <c r="KI730" s="27" t="s">
        <v>8</v>
      </c>
      <c r="KJ730" s="27" t="s">
        <v>7</v>
      </c>
      <c r="KK730" s="27" t="s">
        <v>8</v>
      </c>
      <c r="LH730" s="27" t="s">
        <v>7</v>
      </c>
      <c r="LI730" s="27" t="s">
        <v>8</v>
      </c>
      <c r="LJ730" s="27" t="s">
        <v>7</v>
      </c>
      <c r="LK730" s="27" t="s">
        <v>8</v>
      </c>
      <c r="LL730" s="27" t="s">
        <v>7</v>
      </c>
    </row>
    <row r="731" spans="1:324" x14ac:dyDescent="0.25">
      <c r="A731" s="7">
        <v>5.7753095421182947E-2</v>
      </c>
      <c r="B731"/>
      <c r="C731"/>
      <c r="D731"/>
      <c r="E731"/>
      <c r="F731" s="27" t="s">
        <v>7</v>
      </c>
      <c r="DW731" s="27" t="s">
        <v>8</v>
      </c>
      <c r="DX731" s="27" t="s">
        <v>7</v>
      </c>
      <c r="EC731" s="27" t="s">
        <v>8</v>
      </c>
      <c r="ED731" s="27" t="s">
        <v>7</v>
      </c>
      <c r="EO731" s="27" t="s">
        <v>8</v>
      </c>
      <c r="FN731" s="27" t="s">
        <v>7</v>
      </c>
      <c r="FO731" s="27" t="s">
        <v>8</v>
      </c>
      <c r="FX731" s="27" t="s">
        <v>7</v>
      </c>
      <c r="FY731" s="27" t="s">
        <v>8</v>
      </c>
      <c r="FZ731" s="27" t="s">
        <v>7</v>
      </c>
      <c r="IW731" s="27" t="s">
        <v>8</v>
      </c>
      <c r="IX731" s="27" t="s">
        <v>7</v>
      </c>
      <c r="JO731" s="27" t="s">
        <v>8</v>
      </c>
      <c r="JW731" s="27" t="s">
        <v>8</v>
      </c>
      <c r="JY731" s="27" t="s">
        <v>8</v>
      </c>
      <c r="JZ731" s="27" t="s">
        <v>7</v>
      </c>
      <c r="KA731" s="27" t="s">
        <v>8</v>
      </c>
      <c r="KB731" s="27" t="s">
        <v>7</v>
      </c>
      <c r="KC731" s="27" t="s">
        <v>8</v>
      </c>
      <c r="KD731" s="27" t="s">
        <v>7</v>
      </c>
      <c r="KE731" s="27" t="s">
        <v>8</v>
      </c>
      <c r="KH731" s="27" t="s">
        <v>7</v>
      </c>
      <c r="KI731" s="27" t="s">
        <v>8</v>
      </c>
      <c r="KJ731" s="27" t="s">
        <v>7</v>
      </c>
      <c r="KK731" s="27" t="s">
        <v>8</v>
      </c>
      <c r="LH731" s="27" t="s">
        <v>7</v>
      </c>
      <c r="LI731" s="27" t="s">
        <v>8</v>
      </c>
      <c r="LJ731" s="27" t="s">
        <v>7</v>
      </c>
      <c r="LK731" s="27" t="s">
        <v>8</v>
      </c>
    </row>
    <row r="732" spans="1:324" x14ac:dyDescent="0.25">
      <c r="A732" s="7">
        <v>5.6620681785473484E-2</v>
      </c>
      <c r="B732"/>
      <c r="C732"/>
      <c r="D732"/>
      <c r="E732"/>
      <c r="F732" s="27" t="s">
        <v>7</v>
      </c>
      <c r="DW732" s="27" t="s">
        <v>8</v>
      </c>
      <c r="DX732" s="27" t="s">
        <v>7</v>
      </c>
      <c r="EC732" s="27" t="s">
        <v>8</v>
      </c>
      <c r="ED732" s="27" t="s">
        <v>7</v>
      </c>
      <c r="EO732" s="27" t="s">
        <v>8</v>
      </c>
      <c r="FN732" s="27" t="s">
        <v>7</v>
      </c>
      <c r="FO732" s="27" t="s">
        <v>8</v>
      </c>
      <c r="FX732" s="27" t="s">
        <v>7</v>
      </c>
      <c r="FY732" s="27" t="s">
        <v>8</v>
      </c>
      <c r="FZ732" s="27" t="s">
        <v>7</v>
      </c>
      <c r="HY732" s="27" t="s">
        <v>8</v>
      </c>
      <c r="IW732" s="27" t="s">
        <v>8</v>
      </c>
      <c r="IX732" s="27" t="s">
        <v>7</v>
      </c>
      <c r="JO732" s="27" t="s">
        <v>8</v>
      </c>
      <c r="JP732" s="27" t="s">
        <v>7</v>
      </c>
      <c r="JW732" s="27" t="s">
        <v>8</v>
      </c>
      <c r="JX732" s="27" t="s">
        <v>7</v>
      </c>
      <c r="JY732" s="27" t="s">
        <v>8</v>
      </c>
      <c r="JZ732" s="27" t="s">
        <v>7</v>
      </c>
      <c r="KB732" s="27" t="s">
        <v>7</v>
      </c>
      <c r="KC732" s="27" t="s">
        <v>8</v>
      </c>
      <c r="KD732" s="27" t="s">
        <v>7</v>
      </c>
      <c r="KH732" s="27" t="s">
        <v>7</v>
      </c>
      <c r="KI732" s="27" t="s">
        <v>8</v>
      </c>
      <c r="KJ732" s="27" t="s">
        <v>7</v>
      </c>
      <c r="KK732" s="27" t="s">
        <v>8</v>
      </c>
      <c r="LH732" s="27" t="s">
        <v>7</v>
      </c>
      <c r="LI732" s="27" t="s">
        <v>8</v>
      </c>
      <c r="LJ732" s="27" t="s">
        <v>7</v>
      </c>
    </row>
    <row r="733" spans="1:324" x14ac:dyDescent="0.25">
      <c r="A733" s="7">
        <v>5.5510472338699497E-2</v>
      </c>
      <c r="B733"/>
      <c r="C733"/>
      <c r="D733"/>
      <c r="E733"/>
      <c r="F733" s="27" t="s">
        <v>7</v>
      </c>
      <c r="DW733" s="27" t="s">
        <v>8</v>
      </c>
      <c r="DX733" s="27" t="s">
        <v>7</v>
      </c>
      <c r="DY733" s="27" t="s">
        <v>8</v>
      </c>
      <c r="EC733" s="27" t="s">
        <v>8</v>
      </c>
      <c r="ED733" s="27" t="s">
        <v>7</v>
      </c>
      <c r="EO733" s="27" t="s">
        <v>8</v>
      </c>
      <c r="FN733" s="27" t="s">
        <v>7</v>
      </c>
      <c r="FO733" s="27" t="s">
        <v>8</v>
      </c>
      <c r="FX733" s="27" t="s">
        <v>7</v>
      </c>
      <c r="FY733" s="27" t="s">
        <v>8</v>
      </c>
      <c r="FZ733" s="27" t="s">
        <v>7</v>
      </c>
      <c r="HY733" s="27" t="s">
        <v>8</v>
      </c>
      <c r="HZ733" s="27" t="s">
        <v>7</v>
      </c>
      <c r="IW733" s="27" t="s">
        <v>8</v>
      </c>
      <c r="IX733" s="27" t="s">
        <v>7</v>
      </c>
      <c r="JC733" s="27" t="s">
        <v>8</v>
      </c>
      <c r="JO733" s="27" t="s">
        <v>8</v>
      </c>
      <c r="JP733" s="27" t="s">
        <v>7</v>
      </c>
      <c r="JW733" s="27" t="s">
        <v>8</v>
      </c>
      <c r="JX733" s="27" t="s">
        <v>7</v>
      </c>
      <c r="JY733" s="27" t="s">
        <v>8</v>
      </c>
      <c r="KB733" s="27" t="s">
        <v>7</v>
      </c>
      <c r="KC733" s="27" t="s">
        <v>8</v>
      </c>
      <c r="KH733" s="27" t="s">
        <v>7</v>
      </c>
      <c r="KI733" s="27" t="s">
        <v>8</v>
      </c>
      <c r="KJ733" s="27" t="s">
        <v>7</v>
      </c>
      <c r="LH733" s="27" t="s">
        <v>7</v>
      </c>
      <c r="LI733" s="27" t="s">
        <v>8</v>
      </c>
    </row>
    <row r="734" spans="1:324" x14ac:dyDescent="0.25">
      <c r="A734" s="7">
        <v>5.4422031704607354E-2</v>
      </c>
      <c r="B734"/>
      <c r="C734"/>
      <c r="D734"/>
      <c r="E734"/>
      <c r="F734" s="27" t="s">
        <v>7</v>
      </c>
      <c r="DW734" s="27" t="s">
        <v>8</v>
      </c>
      <c r="DX734" s="27" t="s">
        <v>7</v>
      </c>
      <c r="DY734" s="27" t="s">
        <v>8</v>
      </c>
      <c r="DZ734" s="27" t="s">
        <v>7</v>
      </c>
      <c r="EC734" s="27" t="s">
        <v>8</v>
      </c>
      <c r="ED734" s="27" t="s">
        <v>7</v>
      </c>
      <c r="EK734" s="27" t="s">
        <v>8</v>
      </c>
      <c r="EM734" s="27" t="s">
        <v>8</v>
      </c>
      <c r="EO734" s="27" t="s">
        <v>8</v>
      </c>
      <c r="FN734" s="27" t="s">
        <v>7</v>
      </c>
      <c r="FO734" s="27" t="s">
        <v>8</v>
      </c>
      <c r="FX734" s="27" t="s">
        <v>7</v>
      </c>
      <c r="FY734" s="27" t="s">
        <v>8</v>
      </c>
      <c r="FZ734" s="27" t="s">
        <v>7</v>
      </c>
      <c r="GA734" s="27" t="s">
        <v>8</v>
      </c>
      <c r="HY734" s="27" t="s">
        <v>8</v>
      </c>
      <c r="HZ734" s="27" t="s">
        <v>7</v>
      </c>
      <c r="IW734" s="27" t="s">
        <v>8</v>
      </c>
      <c r="IX734" s="27" t="s">
        <v>7</v>
      </c>
      <c r="JC734" s="27" t="s">
        <v>8</v>
      </c>
      <c r="JD734" s="27" t="s">
        <v>7</v>
      </c>
      <c r="JO734" s="27" t="s">
        <v>8</v>
      </c>
      <c r="JP734" s="27" t="s">
        <v>7</v>
      </c>
      <c r="JW734" s="27" t="s">
        <v>8</v>
      </c>
      <c r="JX734" s="27" t="s">
        <v>7</v>
      </c>
      <c r="JY734" s="27" t="s">
        <v>8</v>
      </c>
      <c r="KB734" s="27" t="s">
        <v>7</v>
      </c>
      <c r="KC734" s="27" t="s">
        <v>8</v>
      </c>
      <c r="KH734" s="27" t="s">
        <v>7</v>
      </c>
      <c r="KI734" s="27" t="s">
        <v>8</v>
      </c>
      <c r="LH734" s="27" t="s">
        <v>7</v>
      </c>
      <c r="LI734" s="27" t="s">
        <v>8</v>
      </c>
    </row>
    <row r="735" spans="1:324" x14ac:dyDescent="0.25">
      <c r="A735" s="7">
        <v>5.3354933043732705E-2</v>
      </c>
      <c r="B735"/>
      <c r="C735"/>
      <c r="D735"/>
      <c r="E735"/>
      <c r="F735" s="27" t="s">
        <v>7</v>
      </c>
      <c r="DW735" s="27" t="s">
        <v>8</v>
      </c>
      <c r="DX735" s="27" t="s">
        <v>7</v>
      </c>
      <c r="DY735" s="27" t="s">
        <v>8</v>
      </c>
      <c r="DZ735" s="27" t="s">
        <v>7</v>
      </c>
      <c r="EC735" s="27" t="s">
        <v>8</v>
      </c>
      <c r="ED735" s="27" t="s">
        <v>7</v>
      </c>
      <c r="EK735" s="27" t="s">
        <v>8</v>
      </c>
      <c r="EL735" s="27" t="s">
        <v>7</v>
      </c>
      <c r="EM735" s="27" t="s">
        <v>8</v>
      </c>
      <c r="EN735" s="27" t="s">
        <v>7</v>
      </c>
      <c r="EO735" s="27" t="s">
        <v>8</v>
      </c>
      <c r="FN735" s="27" t="s">
        <v>7</v>
      </c>
      <c r="FO735" s="27" t="s">
        <v>8</v>
      </c>
      <c r="FX735" s="27" t="s">
        <v>7</v>
      </c>
      <c r="FY735" s="27" t="s">
        <v>8</v>
      </c>
      <c r="FZ735" s="27" t="s">
        <v>7</v>
      </c>
      <c r="GA735" s="27" t="s">
        <v>8</v>
      </c>
      <c r="GB735" s="27" t="s">
        <v>7</v>
      </c>
      <c r="HY735" s="27" t="s">
        <v>8</v>
      </c>
      <c r="HZ735" s="27" t="s">
        <v>7</v>
      </c>
      <c r="IW735" s="27" t="s">
        <v>8</v>
      </c>
      <c r="IX735" s="27" t="s">
        <v>7</v>
      </c>
      <c r="JC735" s="27" t="s">
        <v>8</v>
      </c>
      <c r="JD735" s="27" t="s">
        <v>7</v>
      </c>
      <c r="JO735" s="27" t="s">
        <v>8</v>
      </c>
      <c r="JP735" s="27" t="s">
        <v>7</v>
      </c>
      <c r="JQ735" s="27" t="s">
        <v>8</v>
      </c>
      <c r="JU735" s="27" t="s">
        <v>8</v>
      </c>
      <c r="JW735" s="27" t="s">
        <v>8</v>
      </c>
      <c r="JX735" s="27" t="s">
        <v>7</v>
      </c>
      <c r="JY735" s="27" t="s">
        <v>8</v>
      </c>
      <c r="KB735" s="27" t="s">
        <v>7</v>
      </c>
      <c r="KC735" s="27" t="s">
        <v>8</v>
      </c>
      <c r="KH735" s="27" t="s">
        <v>7</v>
      </c>
      <c r="LH735" s="27" t="s">
        <v>7</v>
      </c>
      <c r="LI735" s="27" t="s">
        <v>8</v>
      </c>
    </row>
    <row r="736" spans="1:324" x14ac:dyDescent="0.25">
      <c r="A736" s="7">
        <v>5.2308757886012455E-2</v>
      </c>
      <c r="B736"/>
      <c r="C736"/>
      <c r="D736"/>
      <c r="E736"/>
      <c r="F736" s="27" t="s">
        <v>7</v>
      </c>
      <c r="DW736" s="27" t="s">
        <v>8</v>
      </c>
      <c r="DX736" s="27" t="s">
        <v>7</v>
      </c>
      <c r="DY736" s="27" t="s">
        <v>8</v>
      </c>
      <c r="DZ736" s="27" t="s">
        <v>7</v>
      </c>
      <c r="EC736" s="27" t="s">
        <v>8</v>
      </c>
      <c r="ED736" s="27" t="s">
        <v>7</v>
      </c>
      <c r="EK736" s="27" t="s">
        <v>8</v>
      </c>
      <c r="EL736" s="27" t="s">
        <v>7</v>
      </c>
      <c r="EM736" s="27" t="s">
        <v>8</v>
      </c>
      <c r="EN736" s="27" t="s">
        <v>7</v>
      </c>
      <c r="EO736" s="27" t="s">
        <v>8</v>
      </c>
      <c r="FN736" s="27" t="s">
        <v>7</v>
      </c>
      <c r="FO736" s="27" t="s">
        <v>8</v>
      </c>
      <c r="FX736" s="27" t="s">
        <v>7</v>
      </c>
      <c r="FZ736" s="27" t="s">
        <v>7</v>
      </c>
      <c r="GA736" s="27" t="s">
        <v>8</v>
      </c>
      <c r="GB736" s="27" t="s">
        <v>7</v>
      </c>
      <c r="GC736" s="27" t="s">
        <v>8</v>
      </c>
      <c r="HY736" s="27" t="s">
        <v>8</v>
      </c>
      <c r="HZ736" s="27" t="s">
        <v>7</v>
      </c>
      <c r="IC736" s="27" t="s">
        <v>8</v>
      </c>
      <c r="IW736" s="27" t="s">
        <v>8</v>
      </c>
      <c r="IX736" s="27" t="s">
        <v>7</v>
      </c>
      <c r="JC736" s="27" t="s">
        <v>8</v>
      </c>
      <c r="JD736" s="27" t="s">
        <v>7</v>
      </c>
      <c r="JO736" s="27" t="s">
        <v>8</v>
      </c>
      <c r="JP736" s="27" t="s">
        <v>7</v>
      </c>
      <c r="JQ736" s="27" t="s">
        <v>8</v>
      </c>
      <c r="JR736" s="27" t="s">
        <v>7</v>
      </c>
      <c r="JU736" s="27" t="s">
        <v>8</v>
      </c>
      <c r="JV736" s="27" t="s">
        <v>7</v>
      </c>
      <c r="JW736" s="27" t="s">
        <v>8</v>
      </c>
      <c r="JX736" s="27" t="s">
        <v>7</v>
      </c>
      <c r="JY736" s="27" t="s">
        <v>8</v>
      </c>
      <c r="KB736" s="27" t="s">
        <v>7</v>
      </c>
      <c r="LH736" s="27" t="s">
        <v>7</v>
      </c>
      <c r="LI736" s="27" t="s">
        <v>8</v>
      </c>
    </row>
    <row r="737" spans="1:321" x14ac:dyDescent="0.25">
      <c r="A737" s="7">
        <v>5.1283095966678877E-2</v>
      </c>
      <c r="B737"/>
      <c r="C737"/>
      <c r="D737"/>
      <c r="E737"/>
      <c r="F737" s="27" t="s">
        <v>7</v>
      </c>
      <c r="DW737" s="27" t="s">
        <v>8</v>
      </c>
      <c r="DX737" s="27" t="s">
        <v>7</v>
      </c>
      <c r="DY737" s="27" t="s">
        <v>8</v>
      </c>
      <c r="DZ737" s="27" t="s">
        <v>7</v>
      </c>
      <c r="EC737" s="27" t="s">
        <v>8</v>
      </c>
      <c r="ED737" s="27" t="s">
        <v>7</v>
      </c>
      <c r="EK737" s="27" t="s">
        <v>8</v>
      </c>
      <c r="EL737" s="27" t="s">
        <v>7</v>
      </c>
      <c r="EM737" s="27" t="s">
        <v>8</v>
      </c>
      <c r="EN737" s="27" t="s">
        <v>7</v>
      </c>
      <c r="EO737" s="27" t="s">
        <v>8</v>
      </c>
      <c r="FN737" s="27" t="s">
        <v>7</v>
      </c>
      <c r="FO737" s="27" t="s">
        <v>8</v>
      </c>
      <c r="FZ737" s="27" t="s">
        <v>7</v>
      </c>
      <c r="GA737" s="27" t="s">
        <v>8</v>
      </c>
      <c r="GB737" s="27" t="s">
        <v>7</v>
      </c>
      <c r="GC737" s="27" t="s">
        <v>8</v>
      </c>
      <c r="GD737" s="27" t="s">
        <v>7</v>
      </c>
      <c r="HY737" s="27" t="s">
        <v>8</v>
      </c>
      <c r="HZ737" s="27" t="s">
        <v>7</v>
      </c>
      <c r="IC737" s="27" t="s">
        <v>8</v>
      </c>
      <c r="ID737" s="27" t="s">
        <v>7</v>
      </c>
      <c r="IW737" s="27" t="s">
        <v>8</v>
      </c>
      <c r="IX737" s="27" t="s">
        <v>7</v>
      </c>
      <c r="JC737" s="27" t="s">
        <v>8</v>
      </c>
      <c r="JD737" s="27" t="s">
        <v>7</v>
      </c>
      <c r="JE737" s="27" t="s">
        <v>8</v>
      </c>
      <c r="JG737" s="27" t="s">
        <v>8</v>
      </c>
      <c r="JM737" s="27" t="s">
        <v>8</v>
      </c>
      <c r="JO737" s="27" t="s">
        <v>8</v>
      </c>
      <c r="JP737" s="27" t="s">
        <v>7</v>
      </c>
      <c r="JQ737" s="27" t="s">
        <v>8</v>
      </c>
      <c r="JR737" s="27" t="s">
        <v>7</v>
      </c>
      <c r="JU737" s="27" t="s">
        <v>8</v>
      </c>
      <c r="JV737" s="27" t="s">
        <v>7</v>
      </c>
      <c r="JW737" s="27" t="s">
        <v>8</v>
      </c>
      <c r="JX737" s="27" t="s">
        <v>7</v>
      </c>
      <c r="JY737" s="27" t="s">
        <v>8</v>
      </c>
      <c r="LH737" s="27" t="s">
        <v>7</v>
      </c>
      <c r="LI737" s="27" t="s">
        <v>8</v>
      </c>
    </row>
    <row r="738" spans="1:321" x14ac:dyDescent="0.25">
      <c r="A738" s="7">
        <v>5.0277545065371444E-2</v>
      </c>
      <c r="B738"/>
      <c r="C738"/>
      <c r="D738"/>
      <c r="E738"/>
      <c r="F738" s="27" t="s">
        <v>7</v>
      </c>
      <c r="DW738" s="27" t="s">
        <v>8</v>
      </c>
      <c r="DX738" s="27" t="s">
        <v>7</v>
      </c>
      <c r="DZ738" s="27" t="s">
        <v>7</v>
      </c>
      <c r="EA738" s="27" t="s">
        <v>8</v>
      </c>
      <c r="EC738" s="27" t="s">
        <v>8</v>
      </c>
      <c r="ED738" s="27" t="s">
        <v>7</v>
      </c>
      <c r="EK738" s="27" t="s">
        <v>8</v>
      </c>
      <c r="EL738" s="27" t="s">
        <v>7</v>
      </c>
      <c r="EM738" s="27" t="s">
        <v>8</v>
      </c>
      <c r="EN738" s="27" t="s">
        <v>7</v>
      </c>
      <c r="EO738" s="27" t="s">
        <v>8</v>
      </c>
      <c r="FN738" s="27" t="s">
        <v>7</v>
      </c>
      <c r="FO738" s="27" t="s">
        <v>8</v>
      </c>
      <c r="FZ738" s="27" t="s">
        <v>7</v>
      </c>
      <c r="GA738" s="27" t="s">
        <v>8</v>
      </c>
      <c r="GB738" s="27" t="s">
        <v>7</v>
      </c>
      <c r="GC738" s="27" t="s">
        <v>8</v>
      </c>
      <c r="GD738" s="27" t="s">
        <v>7</v>
      </c>
      <c r="HY738" s="27" t="s">
        <v>8</v>
      </c>
      <c r="HZ738" s="27" t="s">
        <v>7</v>
      </c>
      <c r="IC738" s="27" t="s">
        <v>8</v>
      </c>
      <c r="ID738" s="27" t="s">
        <v>7</v>
      </c>
      <c r="IW738" s="27" t="s">
        <v>8</v>
      </c>
      <c r="IX738" s="27" t="s">
        <v>7</v>
      </c>
      <c r="JC738" s="27" t="s">
        <v>8</v>
      </c>
      <c r="JD738" s="27" t="s">
        <v>7</v>
      </c>
      <c r="JE738" s="27" t="s">
        <v>8</v>
      </c>
      <c r="JF738" s="27" t="s">
        <v>7</v>
      </c>
      <c r="JG738" s="27" t="s">
        <v>8</v>
      </c>
      <c r="JH738" s="27" t="s">
        <v>7</v>
      </c>
      <c r="JM738" s="27" t="s">
        <v>8</v>
      </c>
      <c r="JN738" s="27" t="s">
        <v>7</v>
      </c>
      <c r="JO738" s="27" t="s">
        <v>8</v>
      </c>
      <c r="JP738" s="27" t="s">
        <v>7</v>
      </c>
      <c r="JQ738" s="27" t="s">
        <v>8</v>
      </c>
      <c r="JR738" s="27" t="s">
        <v>7</v>
      </c>
      <c r="JU738" s="27" t="s">
        <v>8</v>
      </c>
      <c r="JV738" s="27" t="s">
        <v>7</v>
      </c>
      <c r="JW738" s="27" t="s">
        <v>8</v>
      </c>
      <c r="JX738" s="27" t="s">
        <v>7</v>
      </c>
      <c r="JY738" s="27" t="s">
        <v>8</v>
      </c>
      <c r="LH738" s="27" t="s">
        <v>7</v>
      </c>
      <c r="LI738" s="27" t="s">
        <v>8</v>
      </c>
    </row>
    <row r="739" spans="1:321" x14ac:dyDescent="0.25">
      <c r="A739" s="7">
        <v>4.9291710848403378E-2</v>
      </c>
      <c r="B739"/>
      <c r="C739"/>
      <c r="D739"/>
      <c r="E739"/>
      <c r="F739" s="27" t="s">
        <v>7</v>
      </c>
      <c r="DW739" s="27" t="s">
        <v>8</v>
      </c>
      <c r="DZ739" s="27" t="s">
        <v>7</v>
      </c>
      <c r="EA739" s="27" t="s">
        <v>8</v>
      </c>
      <c r="EB739" s="27" t="s">
        <v>7</v>
      </c>
      <c r="EC739" s="27" t="s">
        <v>8</v>
      </c>
      <c r="ED739" s="27" t="s">
        <v>7</v>
      </c>
      <c r="EK739" s="27" t="s">
        <v>8</v>
      </c>
      <c r="EL739" s="27" t="s">
        <v>7</v>
      </c>
      <c r="EM739" s="27" t="s">
        <v>8</v>
      </c>
      <c r="EN739" s="27" t="s">
        <v>7</v>
      </c>
      <c r="FN739" s="27" t="s">
        <v>7</v>
      </c>
      <c r="FO739" s="27" t="s">
        <v>8</v>
      </c>
      <c r="FZ739" s="27" t="s">
        <v>7</v>
      </c>
      <c r="GA739" s="27" t="s">
        <v>8</v>
      </c>
      <c r="GB739" s="27" t="s">
        <v>7</v>
      </c>
      <c r="GC739" s="27" t="s">
        <v>8</v>
      </c>
      <c r="GD739" s="27" t="s">
        <v>7</v>
      </c>
      <c r="HY739" s="27" t="s">
        <v>8</v>
      </c>
      <c r="HZ739" s="27" t="s">
        <v>7</v>
      </c>
      <c r="IC739" s="27" t="s">
        <v>8</v>
      </c>
      <c r="ID739" s="27" t="s">
        <v>7</v>
      </c>
      <c r="IW739" s="27" t="s">
        <v>8</v>
      </c>
      <c r="IX739" s="27" t="s">
        <v>7</v>
      </c>
      <c r="JC739" s="27" t="s">
        <v>8</v>
      </c>
      <c r="JD739" s="27" t="s">
        <v>7</v>
      </c>
      <c r="JE739" s="27" t="s">
        <v>8</v>
      </c>
      <c r="JF739" s="27" t="s">
        <v>7</v>
      </c>
      <c r="JG739" s="27" t="s">
        <v>8</v>
      </c>
      <c r="JH739" s="27" t="s">
        <v>7</v>
      </c>
      <c r="JM739" s="27" t="s">
        <v>8</v>
      </c>
      <c r="JN739" s="27" t="s">
        <v>7</v>
      </c>
      <c r="JO739" s="27" t="s">
        <v>8</v>
      </c>
      <c r="JP739" s="27" t="s">
        <v>7</v>
      </c>
      <c r="JQ739" s="27" t="s">
        <v>8</v>
      </c>
      <c r="JR739" s="27" t="s">
        <v>7</v>
      </c>
      <c r="JS739" s="27" t="s">
        <v>8</v>
      </c>
      <c r="JU739" s="27" t="s">
        <v>8</v>
      </c>
      <c r="JV739" s="27" t="s">
        <v>7</v>
      </c>
      <c r="JW739" s="27" t="s">
        <v>8</v>
      </c>
      <c r="JX739" s="27" t="s">
        <v>7</v>
      </c>
      <c r="LH739" s="27" t="s">
        <v>7</v>
      </c>
      <c r="LI739" s="27" t="s">
        <v>8</v>
      </c>
    </row>
    <row r="740" spans="1:321" x14ac:dyDescent="0.25">
      <c r="A740" s="7">
        <v>4.8325206714120959E-2</v>
      </c>
      <c r="B740"/>
      <c r="C740"/>
      <c r="D740"/>
      <c r="E740"/>
      <c r="F740" s="27" t="s">
        <v>7</v>
      </c>
      <c r="DW740" s="27" t="s">
        <v>8</v>
      </c>
      <c r="DZ740" s="27" t="s">
        <v>7</v>
      </c>
      <c r="EA740" s="27" t="s">
        <v>8</v>
      </c>
      <c r="EB740" s="27" t="s">
        <v>7</v>
      </c>
      <c r="EC740" s="27" t="s">
        <v>8</v>
      </c>
      <c r="ED740" s="27" t="s">
        <v>7</v>
      </c>
      <c r="EE740" s="27" t="s">
        <v>8</v>
      </c>
      <c r="EK740" s="27" t="s">
        <v>8</v>
      </c>
      <c r="EL740" s="27" t="s">
        <v>7</v>
      </c>
      <c r="EM740" s="27" t="s">
        <v>8</v>
      </c>
      <c r="FN740" s="27" t="s">
        <v>7</v>
      </c>
      <c r="FO740" s="27" t="s">
        <v>8</v>
      </c>
      <c r="FZ740" s="27" t="s">
        <v>7</v>
      </c>
      <c r="GA740" s="27" t="s">
        <v>8</v>
      </c>
      <c r="GB740" s="27" t="s">
        <v>7</v>
      </c>
      <c r="GC740" s="27" t="s">
        <v>8</v>
      </c>
      <c r="GD740" s="27" t="s">
        <v>7</v>
      </c>
      <c r="HS740" s="27" t="s">
        <v>8</v>
      </c>
      <c r="HY740" s="27" t="s">
        <v>8</v>
      </c>
      <c r="HZ740" s="27" t="s">
        <v>7</v>
      </c>
      <c r="IC740" s="27" t="s">
        <v>8</v>
      </c>
      <c r="ID740" s="27" t="s">
        <v>7</v>
      </c>
      <c r="IW740" s="27" t="s">
        <v>8</v>
      </c>
      <c r="IX740" s="27" t="s">
        <v>7</v>
      </c>
      <c r="JC740" s="27" t="s">
        <v>8</v>
      </c>
      <c r="JD740" s="27" t="s">
        <v>7</v>
      </c>
      <c r="JE740" s="27" t="s">
        <v>8</v>
      </c>
      <c r="JF740" s="27" t="s">
        <v>7</v>
      </c>
      <c r="JG740" s="27" t="s">
        <v>8</v>
      </c>
      <c r="JH740" s="27" t="s">
        <v>7</v>
      </c>
      <c r="JM740" s="27" t="s">
        <v>8</v>
      </c>
      <c r="JN740" s="27" t="s">
        <v>7</v>
      </c>
      <c r="JO740" s="27" t="s">
        <v>8</v>
      </c>
      <c r="JP740" s="27" t="s">
        <v>7</v>
      </c>
      <c r="JQ740" s="27" t="s">
        <v>8</v>
      </c>
      <c r="JR740" s="27" t="s">
        <v>7</v>
      </c>
      <c r="JS740" s="27" t="s">
        <v>8</v>
      </c>
      <c r="JT740" s="27" t="s">
        <v>7</v>
      </c>
      <c r="JU740" s="27" t="s">
        <v>8</v>
      </c>
      <c r="JV740" s="27" t="s">
        <v>7</v>
      </c>
      <c r="JW740" s="27" t="s">
        <v>8</v>
      </c>
      <c r="LH740" s="27" t="s">
        <v>7</v>
      </c>
    </row>
    <row r="741" spans="1:321" x14ac:dyDescent="0.25">
      <c r="A741" s="7">
        <v>4.7377653641295057E-2</v>
      </c>
      <c r="B741"/>
      <c r="C741"/>
      <c r="D741"/>
      <c r="E741"/>
      <c r="F741" s="27" t="s">
        <v>7</v>
      </c>
      <c r="DW741" s="27" t="s">
        <v>8</v>
      </c>
      <c r="DZ741" s="27" t="s">
        <v>7</v>
      </c>
      <c r="EA741" s="27" t="s">
        <v>8</v>
      </c>
      <c r="EB741" s="27" t="s">
        <v>7</v>
      </c>
      <c r="EC741" s="27" t="s">
        <v>8</v>
      </c>
      <c r="ED741" s="27" t="s">
        <v>7</v>
      </c>
      <c r="EE741" s="27" t="s">
        <v>8</v>
      </c>
      <c r="EF741" s="27" t="s">
        <v>7</v>
      </c>
      <c r="EK741" s="27" t="s">
        <v>8</v>
      </c>
      <c r="EL741" s="27" t="s">
        <v>7</v>
      </c>
      <c r="EM741" s="27" t="s">
        <v>8</v>
      </c>
      <c r="FN741" s="27" t="s">
        <v>7</v>
      </c>
      <c r="FZ741" s="27" t="s">
        <v>7</v>
      </c>
      <c r="GB741" s="27" t="s">
        <v>7</v>
      </c>
      <c r="GC741" s="27" t="s">
        <v>8</v>
      </c>
      <c r="GD741" s="27" t="s">
        <v>7</v>
      </c>
      <c r="HS741" s="27" t="s">
        <v>8</v>
      </c>
      <c r="HT741" s="27" t="s">
        <v>7</v>
      </c>
      <c r="HW741" s="27" t="s">
        <v>8</v>
      </c>
      <c r="HY741" s="27" t="s">
        <v>8</v>
      </c>
      <c r="HZ741" s="27" t="s">
        <v>7</v>
      </c>
      <c r="IA741" s="27" t="s">
        <v>8</v>
      </c>
      <c r="IC741" s="27" t="s">
        <v>8</v>
      </c>
      <c r="ID741" s="27" t="s">
        <v>7</v>
      </c>
      <c r="IW741" s="27" t="s">
        <v>8</v>
      </c>
      <c r="IX741" s="27" t="s">
        <v>7</v>
      </c>
      <c r="IY741" s="27" t="s">
        <v>8</v>
      </c>
      <c r="JA741" s="27" t="s">
        <v>8</v>
      </c>
      <c r="JC741" s="27" t="s">
        <v>8</v>
      </c>
      <c r="JD741" s="27" t="s">
        <v>7</v>
      </c>
      <c r="JE741" s="27" t="s">
        <v>8</v>
      </c>
      <c r="JF741" s="27" t="s">
        <v>7</v>
      </c>
      <c r="JG741" s="27" t="s">
        <v>8</v>
      </c>
      <c r="JH741" s="27" t="s">
        <v>7</v>
      </c>
      <c r="JM741" s="27" t="s">
        <v>8</v>
      </c>
      <c r="JN741" s="27" t="s">
        <v>7</v>
      </c>
      <c r="JO741" s="27" t="s">
        <v>8</v>
      </c>
      <c r="JP741" s="27" t="s">
        <v>7</v>
      </c>
      <c r="JR741" s="27" t="s">
        <v>7</v>
      </c>
      <c r="JS741" s="27" t="s">
        <v>8</v>
      </c>
      <c r="JT741" s="27" t="s">
        <v>7</v>
      </c>
      <c r="JU741" s="27" t="s">
        <v>8</v>
      </c>
      <c r="JV741" s="27" t="s">
        <v>7</v>
      </c>
    </row>
    <row r="742" spans="1:321" x14ac:dyDescent="0.25">
      <c r="A742" s="7">
        <v>4.644868004048535E-2</v>
      </c>
      <c r="B742"/>
      <c r="C742"/>
      <c r="D742"/>
      <c r="E742"/>
      <c r="F742" s="27" t="s">
        <v>7</v>
      </c>
      <c r="DW742" s="27" t="s">
        <v>8</v>
      </c>
      <c r="DZ742" s="27" t="s">
        <v>7</v>
      </c>
      <c r="EA742" s="27" t="s">
        <v>8</v>
      </c>
      <c r="EB742" s="27" t="s">
        <v>7</v>
      </c>
      <c r="EC742" s="27" t="s">
        <v>8</v>
      </c>
      <c r="ED742" s="27" t="s">
        <v>7</v>
      </c>
      <c r="EE742" s="27" t="s">
        <v>8</v>
      </c>
      <c r="EF742" s="27" t="s">
        <v>7</v>
      </c>
      <c r="EK742" s="27" t="s">
        <v>8</v>
      </c>
      <c r="EL742" s="27" t="s">
        <v>7</v>
      </c>
      <c r="EM742" s="27" t="s">
        <v>8</v>
      </c>
      <c r="GB742" s="27" t="s">
        <v>7</v>
      </c>
      <c r="GC742" s="27" t="s">
        <v>8</v>
      </c>
      <c r="GD742" s="27" t="s">
        <v>7</v>
      </c>
      <c r="HS742" s="27" t="s">
        <v>8</v>
      </c>
      <c r="HT742" s="27" t="s">
        <v>7</v>
      </c>
      <c r="HW742" s="27" t="s">
        <v>8</v>
      </c>
      <c r="HX742" s="27" t="s">
        <v>7</v>
      </c>
      <c r="HY742" s="27" t="s">
        <v>8</v>
      </c>
      <c r="HZ742" s="27" t="s">
        <v>7</v>
      </c>
      <c r="IA742" s="27" t="s">
        <v>8</v>
      </c>
      <c r="IB742" s="27" t="s">
        <v>7</v>
      </c>
      <c r="IC742" s="27" t="s">
        <v>8</v>
      </c>
      <c r="ID742" s="27" t="s">
        <v>7</v>
      </c>
      <c r="IW742" s="27" t="s">
        <v>8</v>
      </c>
      <c r="IX742" s="27" t="s">
        <v>7</v>
      </c>
      <c r="IY742" s="27" t="s">
        <v>8</v>
      </c>
      <c r="IZ742" s="27" t="s">
        <v>7</v>
      </c>
      <c r="JA742" s="27" t="s">
        <v>8</v>
      </c>
      <c r="JB742" s="27" t="s">
        <v>7</v>
      </c>
      <c r="JC742" s="27" t="s">
        <v>8</v>
      </c>
      <c r="JD742" s="27" t="s">
        <v>7</v>
      </c>
      <c r="JE742" s="27" t="s">
        <v>8</v>
      </c>
      <c r="JF742" s="27" t="s">
        <v>7</v>
      </c>
      <c r="JG742" s="27" t="s">
        <v>8</v>
      </c>
      <c r="JH742" s="27" t="s">
        <v>7</v>
      </c>
      <c r="JM742" s="27" t="s">
        <v>8</v>
      </c>
      <c r="JN742" s="27" t="s">
        <v>7</v>
      </c>
      <c r="JR742" s="27" t="s">
        <v>7</v>
      </c>
      <c r="JS742" s="27" t="s">
        <v>8</v>
      </c>
      <c r="JT742" s="27" t="s">
        <v>7</v>
      </c>
    </row>
    <row r="743" spans="1:321" x14ac:dyDescent="0.25">
      <c r="A743" s="7">
        <v>4.5537921608318974E-2</v>
      </c>
      <c r="B743"/>
      <c r="C743"/>
      <c r="D743"/>
      <c r="E743"/>
      <c r="F743" s="27" t="s">
        <v>7</v>
      </c>
      <c r="DW743" s="27" t="s">
        <v>8</v>
      </c>
      <c r="DZ743" s="27" t="s">
        <v>7</v>
      </c>
      <c r="EA743" s="27" t="s">
        <v>8</v>
      </c>
      <c r="EB743" s="27" t="s">
        <v>7</v>
      </c>
      <c r="EC743" s="27" t="s">
        <v>8</v>
      </c>
      <c r="ED743" s="27" t="s">
        <v>7</v>
      </c>
      <c r="EE743" s="27" t="s">
        <v>8</v>
      </c>
      <c r="EF743" s="27" t="s">
        <v>7</v>
      </c>
      <c r="EG743" s="27" t="s">
        <v>8</v>
      </c>
      <c r="EK743" s="27" t="s">
        <v>8</v>
      </c>
      <c r="EL743" s="27" t="s">
        <v>7</v>
      </c>
      <c r="EM743" s="27" t="s">
        <v>8</v>
      </c>
      <c r="GB743" s="27" t="s">
        <v>7</v>
      </c>
      <c r="GC743" s="27" t="s">
        <v>8</v>
      </c>
      <c r="GD743" s="27" t="s">
        <v>7</v>
      </c>
      <c r="HS743" s="27" t="s">
        <v>8</v>
      </c>
      <c r="HT743" s="27" t="s">
        <v>7</v>
      </c>
      <c r="HU743" s="27" t="s">
        <v>8</v>
      </c>
      <c r="HW743" s="27" t="s">
        <v>8</v>
      </c>
      <c r="HX743" s="27" t="s">
        <v>7</v>
      </c>
      <c r="HY743" s="27" t="s">
        <v>8</v>
      </c>
      <c r="HZ743" s="27" t="s">
        <v>7</v>
      </c>
      <c r="IA743" s="27" t="s">
        <v>8</v>
      </c>
      <c r="IB743" s="27" t="s">
        <v>7</v>
      </c>
      <c r="IC743" s="27" t="s">
        <v>8</v>
      </c>
      <c r="ID743" s="27" t="s">
        <v>7</v>
      </c>
      <c r="IW743" s="27" t="s">
        <v>8</v>
      </c>
      <c r="IX743" s="27" t="s">
        <v>7</v>
      </c>
      <c r="IY743" s="27" t="s">
        <v>8</v>
      </c>
      <c r="IZ743" s="27" t="s">
        <v>7</v>
      </c>
      <c r="JA743" s="27" t="s">
        <v>8</v>
      </c>
      <c r="JB743" s="27" t="s">
        <v>7</v>
      </c>
      <c r="JC743" s="27" t="s">
        <v>8</v>
      </c>
      <c r="JD743" s="27" t="s">
        <v>7</v>
      </c>
      <c r="JE743" s="27" t="s">
        <v>8</v>
      </c>
      <c r="JF743" s="27" t="s">
        <v>7</v>
      </c>
      <c r="JG743" s="27" t="s">
        <v>8</v>
      </c>
      <c r="JH743" s="27" t="s">
        <v>7</v>
      </c>
      <c r="JI743" s="27" t="s">
        <v>8</v>
      </c>
      <c r="JM743" s="27" t="s">
        <v>8</v>
      </c>
      <c r="JR743" s="27" t="s">
        <v>7</v>
      </c>
      <c r="JS743" s="27" t="s">
        <v>8</v>
      </c>
    </row>
    <row r="744" spans="1:321" x14ac:dyDescent="0.25">
      <c r="A744" s="7">
        <v>4.4645021184626446E-2</v>
      </c>
      <c r="B744"/>
      <c r="C744"/>
      <c r="D744"/>
      <c r="E744"/>
      <c r="F744" s="27" t="s">
        <v>7</v>
      </c>
      <c r="DW744" s="27" t="s">
        <v>8</v>
      </c>
      <c r="DZ744" s="27" t="s">
        <v>7</v>
      </c>
      <c r="EA744" s="27" t="s">
        <v>8</v>
      </c>
      <c r="EB744" s="27" t="s">
        <v>7</v>
      </c>
      <c r="EC744" s="27" t="s">
        <v>8</v>
      </c>
      <c r="ED744" s="27" t="s">
        <v>7</v>
      </c>
      <c r="EE744" s="27" t="s">
        <v>8</v>
      </c>
      <c r="EF744" s="27" t="s">
        <v>7</v>
      </c>
      <c r="EG744" s="27" t="s">
        <v>8</v>
      </c>
      <c r="EH744" s="27" t="s">
        <v>7</v>
      </c>
      <c r="EI744" s="27" t="s">
        <v>8</v>
      </c>
      <c r="EK744" s="27" t="s">
        <v>8</v>
      </c>
      <c r="EL744" s="27" t="s">
        <v>7</v>
      </c>
      <c r="EM744" s="27" t="s">
        <v>8</v>
      </c>
      <c r="GB744" s="27" t="s">
        <v>7</v>
      </c>
      <c r="GC744" s="27" t="s">
        <v>8</v>
      </c>
      <c r="GD744" s="27" t="s">
        <v>7</v>
      </c>
      <c r="GS744" s="27" t="s">
        <v>8</v>
      </c>
      <c r="HS744" s="27" t="s">
        <v>8</v>
      </c>
      <c r="HT744" s="27" t="s">
        <v>7</v>
      </c>
      <c r="HU744" s="27" t="s">
        <v>8</v>
      </c>
      <c r="HV744" s="27" t="s">
        <v>7</v>
      </c>
      <c r="HW744" s="27" t="s">
        <v>8</v>
      </c>
      <c r="HX744" s="27" t="s">
        <v>7</v>
      </c>
      <c r="HY744" s="27" t="s">
        <v>8</v>
      </c>
      <c r="HZ744" s="27" t="s">
        <v>7</v>
      </c>
      <c r="IA744" s="27" t="s">
        <v>8</v>
      </c>
      <c r="IB744" s="27" t="s">
        <v>7</v>
      </c>
      <c r="ID744" s="27" t="s">
        <v>7</v>
      </c>
      <c r="IW744" s="27" t="s">
        <v>8</v>
      </c>
      <c r="IX744" s="27" t="s">
        <v>7</v>
      </c>
      <c r="IY744" s="27" t="s">
        <v>8</v>
      </c>
      <c r="IZ744" s="27" t="s">
        <v>7</v>
      </c>
      <c r="JA744" s="27" t="s">
        <v>8</v>
      </c>
      <c r="JB744" s="27" t="s">
        <v>7</v>
      </c>
      <c r="JC744" s="27" t="s">
        <v>8</v>
      </c>
      <c r="JD744" s="27" t="s">
        <v>7</v>
      </c>
      <c r="JE744" s="27" t="s">
        <v>8</v>
      </c>
      <c r="JF744" s="27" t="s">
        <v>7</v>
      </c>
      <c r="JG744" s="27" t="s">
        <v>8</v>
      </c>
      <c r="JH744" s="27" t="s">
        <v>7</v>
      </c>
      <c r="JI744" s="27" t="s">
        <v>8</v>
      </c>
      <c r="JJ744" s="27" t="s">
        <v>7</v>
      </c>
      <c r="JK744" s="27" t="s">
        <v>8</v>
      </c>
      <c r="JM744" s="27" t="s">
        <v>8</v>
      </c>
      <c r="JR744" s="27" t="s">
        <v>7</v>
      </c>
      <c r="JS744" s="27" t="s">
        <v>8</v>
      </c>
    </row>
    <row r="745" spans="1:321" x14ac:dyDescent="0.25">
      <c r="A745" s="7">
        <v>4.3769628612378868E-2</v>
      </c>
      <c r="B745"/>
      <c r="C745"/>
      <c r="D745"/>
      <c r="E745"/>
      <c r="F745" s="27" t="s">
        <v>7</v>
      </c>
      <c r="DW745" s="27" t="s">
        <v>8</v>
      </c>
      <c r="DZ745" s="27" t="s">
        <v>7</v>
      </c>
      <c r="EA745" s="27" t="s">
        <v>8</v>
      </c>
      <c r="EB745" s="27" t="s">
        <v>7</v>
      </c>
      <c r="EC745" s="27" t="s">
        <v>8</v>
      </c>
      <c r="ED745" s="27" t="s">
        <v>7</v>
      </c>
      <c r="EE745" s="27" t="s">
        <v>8</v>
      </c>
      <c r="EF745" s="27" t="s">
        <v>7</v>
      </c>
      <c r="EG745" s="27" t="s">
        <v>8</v>
      </c>
      <c r="EH745" s="27" t="s">
        <v>7</v>
      </c>
      <c r="EI745" s="27" t="s">
        <v>8</v>
      </c>
      <c r="EJ745" s="27" t="s">
        <v>7</v>
      </c>
      <c r="EK745" s="27" t="s">
        <v>8</v>
      </c>
      <c r="EL745" s="27" t="s">
        <v>7</v>
      </c>
      <c r="EM745" s="27" t="s">
        <v>8</v>
      </c>
      <c r="GB745" s="27" t="s">
        <v>7</v>
      </c>
      <c r="GC745" s="27" t="s">
        <v>8</v>
      </c>
      <c r="GD745" s="27" t="s">
        <v>7</v>
      </c>
      <c r="GS745" s="27" t="s">
        <v>8</v>
      </c>
      <c r="GT745" s="27" t="s">
        <v>7</v>
      </c>
      <c r="HS745" s="27" t="s">
        <v>8</v>
      </c>
      <c r="HT745" s="27" t="s">
        <v>7</v>
      </c>
      <c r="HU745" s="27" t="s">
        <v>8</v>
      </c>
      <c r="HV745" s="27" t="s">
        <v>7</v>
      </c>
      <c r="HW745" s="27" t="s">
        <v>8</v>
      </c>
      <c r="HX745" s="27" t="s">
        <v>7</v>
      </c>
      <c r="HY745" s="27" t="s">
        <v>8</v>
      </c>
      <c r="HZ745" s="27" t="s">
        <v>7</v>
      </c>
      <c r="ID745" s="27" t="s">
        <v>7</v>
      </c>
      <c r="IK745" s="27" t="s">
        <v>8</v>
      </c>
      <c r="IW745" s="27" t="s">
        <v>8</v>
      </c>
      <c r="IX745" s="27" t="s">
        <v>7</v>
      </c>
      <c r="IZ745" s="27" t="s">
        <v>7</v>
      </c>
      <c r="JA745" s="27" t="s">
        <v>8</v>
      </c>
      <c r="JB745" s="27" t="s">
        <v>7</v>
      </c>
      <c r="JC745" s="27" t="s">
        <v>8</v>
      </c>
      <c r="JD745" s="27" t="s">
        <v>7</v>
      </c>
      <c r="JF745" s="27" t="s">
        <v>7</v>
      </c>
      <c r="JH745" s="27" t="s">
        <v>7</v>
      </c>
      <c r="JI745" s="27" t="s">
        <v>8</v>
      </c>
      <c r="JJ745" s="27" t="s">
        <v>7</v>
      </c>
      <c r="JK745" s="27" t="s">
        <v>8</v>
      </c>
      <c r="JL745" s="27" t="s">
        <v>7</v>
      </c>
      <c r="JM745" s="27" t="s">
        <v>8</v>
      </c>
      <c r="JR745" s="27" t="s">
        <v>7</v>
      </c>
    </row>
    <row r="746" spans="1:321" x14ac:dyDescent="0.25">
      <c r="A746" s="7">
        <v>4.2911400600371442E-2</v>
      </c>
      <c r="B746"/>
      <c r="C746"/>
      <c r="D746"/>
      <c r="E746"/>
      <c r="F746" s="27" t="s">
        <v>7</v>
      </c>
      <c r="DW746" s="27" t="s">
        <v>8</v>
      </c>
      <c r="DZ746" s="27" t="s">
        <v>7</v>
      </c>
      <c r="EB746" s="27" t="s">
        <v>7</v>
      </c>
      <c r="EC746" s="27" t="s">
        <v>8</v>
      </c>
      <c r="ED746" s="27" t="s">
        <v>7</v>
      </c>
      <c r="EE746" s="27" t="s">
        <v>8</v>
      </c>
      <c r="EF746" s="27" t="s">
        <v>7</v>
      </c>
      <c r="EG746" s="27" t="s">
        <v>8</v>
      </c>
      <c r="EH746" s="27" t="s">
        <v>7</v>
      </c>
      <c r="EI746" s="27" t="s">
        <v>8</v>
      </c>
      <c r="EJ746" s="27" t="s">
        <v>7</v>
      </c>
      <c r="EK746" s="27" t="s">
        <v>8</v>
      </c>
      <c r="EL746" s="27" t="s">
        <v>7</v>
      </c>
      <c r="EM746" s="27" t="s">
        <v>8</v>
      </c>
      <c r="GB746" s="27" t="s">
        <v>7</v>
      </c>
      <c r="GC746" s="27" t="s">
        <v>8</v>
      </c>
      <c r="GD746" s="27" t="s">
        <v>7</v>
      </c>
      <c r="GS746" s="27" t="s">
        <v>8</v>
      </c>
      <c r="GT746" s="27" t="s">
        <v>7</v>
      </c>
      <c r="HS746" s="27" t="s">
        <v>8</v>
      </c>
      <c r="HT746" s="27" t="s">
        <v>7</v>
      </c>
      <c r="HU746" s="27" t="s">
        <v>8</v>
      </c>
      <c r="HV746" s="27" t="s">
        <v>7</v>
      </c>
      <c r="HW746" s="27" t="s">
        <v>8</v>
      </c>
      <c r="HX746" s="27" t="s">
        <v>7</v>
      </c>
      <c r="HY746" s="27" t="s">
        <v>8</v>
      </c>
      <c r="ID746" s="27" t="s">
        <v>7</v>
      </c>
      <c r="IG746" s="27" t="s">
        <v>8</v>
      </c>
      <c r="II746" s="27" t="s">
        <v>8</v>
      </c>
      <c r="IK746" s="27" t="s">
        <v>8</v>
      </c>
      <c r="IL746" s="27" t="s">
        <v>7</v>
      </c>
      <c r="IS746" s="27" t="s">
        <v>8</v>
      </c>
      <c r="IW746" s="27" t="s">
        <v>8</v>
      </c>
      <c r="IZ746" s="27" t="s">
        <v>7</v>
      </c>
      <c r="JB746" s="27" t="s">
        <v>7</v>
      </c>
      <c r="JC746" s="27" t="s">
        <v>8</v>
      </c>
      <c r="JH746" s="27" t="s">
        <v>7</v>
      </c>
      <c r="JI746" s="27" t="s">
        <v>8</v>
      </c>
      <c r="JJ746" s="27" t="s">
        <v>7</v>
      </c>
      <c r="JK746" s="27" t="s">
        <v>8</v>
      </c>
      <c r="JL746" s="27" t="s">
        <v>7</v>
      </c>
      <c r="JM746" s="27" t="s">
        <v>8</v>
      </c>
    </row>
    <row r="747" spans="1:321" x14ac:dyDescent="0.25">
      <c r="A747" s="7">
        <v>4.2070000588599457E-2</v>
      </c>
      <c r="B747"/>
      <c r="C747"/>
      <c r="D747"/>
      <c r="E747"/>
      <c r="F747" s="27" t="s">
        <v>7</v>
      </c>
      <c r="DW747" s="27" t="s">
        <v>8</v>
      </c>
      <c r="EB747" s="27" t="s">
        <v>7</v>
      </c>
      <c r="ED747" s="27" t="s">
        <v>7</v>
      </c>
      <c r="EE747" s="27" t="s">
        <v>8</v>
      </c>
      <c r="EF747" s="27" t="s">
        <v>7</v>
      </c>
      <c r="EG747" s="27" t="s">
        <v>8</v>
      </c>
      <c r="EH747" s="27" t="s">
        <v>7</v>
      </c>
      <c r="EI747" s="27" t="s">
        <v>8</v>
      </c>
      <c r="EJ747" s="27" t="s">
        <v>7</v>
      </c>
      <c r="EK747" s="27" t="s">
        <v>8</v>
      </c>
      <c r="EL747" s="27" t="s">
        <v>7</v>
      </c>
      <c r="EM747" s="27" t="s">
        <v>8</v>
      </c>
      <c r="GB747" s="27" t="s">
        <v>7</v>
      </c>
      <c r="GC747" s="27" t="s">
        <v>8</v>
      </c>
      <c r="GD747" s="27" t="s">
        <v>7</v>
      </c>
      <c r="GM747" s="27" t="s">
        <v>8</v>
      </c>
      <c r="GO747" s="27" t="s">
        <v>8</v>
      </c>
      <c r="GS747" s="27" t="s">
        <v>8</v>
      </c>
      <c r="GT747" s="27" t="s">
        <v>7</v>
      </c>
      <c r="HS747" s="27" t="s">
        <v>8</v>
      </c>
      <c r="HT747" s="27" t="s">
        <v>7</v>
      </c>
      <c r="HU747" s="27" t="s">
        <v>8</v>
      </c>
      <c r="HV747" s="27" t="s">
        <v>7</v>
      </c>
      <c r="HW747" s="27" t="s">
        <v>8</v>
      </c>
      <c r="HX747" s="27" t="s">
        <v>7</v>
      </c>
      <c r="HY747" s="27" t="s">
        <v>8</v>
      </c>
      <c r="ID747" s="27" t="s">
        <v>7</v>
      </c>
      <c r="IE747" s="27" t="s">
        <v>8</v>
      </c>
      <c r="IG747" s="27" t="s">
        <v>8</v>
      </c>
      <c r="IH747" s="27" t="s">
        <v>7</v>
      </c>
      <c r="II747" s="27" t="s">
        <v>8</v>
      </c>
      <c r="IJ747" s="27" t="s">
        <v>7</v>
      </c>
      <c r="IK747" s="27" t="s">
        <v>8</v>
      </c>
      <c r="IL747" s="27" t="s">
        <v>7</v>
      </c>
      <c r="IS747" s="27" t="s">
        <v>8</v>
      </c>
      <c r="IT747" s="27" t="s">
        <v>7</v>
      </c>
      <c r="IW747" s="27" t="s">
        <v>8</v>
      </c>
      <c r="JB747" s="27" t="s">
        <v>7</v>
      </c>
      <c r="JC747" s="27" t="s">
        <v>8</v>
      </c>
      <c r="JH747" s="27" t="s">
        <v>7</v>
      </c>
      <c r="JJ747" s="27" t="s">
        <v>7</v>
      </c>
      <c r="JK747" s="27" t="s">
        <v>8</v>
      </c>
      <c r="JL747" s="27" t="s">
        <v>7</v>
      </c>
    </row>
    <row r="748" spans="1:321" x14ac:dyDescent="0.25">
      <c r="A748" s="7">
        <v>4.1245098616273977E-2</v>
      </c>
      <c r="B748"/>
      <c r="C748"/>
      <c r="D748"/>
      <c r="E748"/>
      <c r="F748" s="27" t="s">
        <v>7</v>
      </c>
      <c r="DW748" s="27" t="s">
        <v>8</v>
      </c>
      <c r="ED748" s="27" t="s">
        <v>7</v>
      </c>
      <c r="EE748" s="27" t="s">
        <v>8</v>
      </c>
      <c r="EF748" s="27" t="s">
        <v>7</v>
      </c>
      <c r="EG748" s="27" t="s">
        <v>8</v>
      </c>
      <c r="EH748" s="27" t="s">
        <v>7</v>
      </c>
      <c r="EJ748" s="27" t="s">
        <v>7</v>
      </c>
      <c r="EK748" s="27" t="s">
        <v>8</v>
      </c>
      <c r="EL748" s="27" t="s">
        <v>7</v>
      </c>
      <c r="EM748" s="27" t="s">
        <v>8</v>
      </c>
      <c r="GB748" s="27" t="s">
        <v>7</v>
      </c>
      <c r="GC748" s="27" t="s">
        <v>8</v>
      </c>
      <c r="GD748" s="27" t="s">
        <v>7</v>
      </c>
      <c r="GM748" s="27" t="s">
        <v>8</v>
      </c>
      <c r="GN748" s="27" t="s">
        <v>7</v>
      </c>
      <c r="GO748" s="27" t="s">
        <v>8</v>
      </c>
      <c r="GP748" s="27" t="s">
        <v>7</v>
      </c>
      <c r="GS748" s="27" t="s">
        <v>8</v>
      </c>
      <c r="GT748" s="27" t="s">
        <v>7</v>
      </c>
      <c r="HS748" s="27" t="s">
        <v>8</v>
      </c>
      <c r="HT748" s="27" t="s">
        <v>7</v>
      </c>
      <c r="HU748" s="27" t="s">
        <v>8</v>
      </c>
      <c r="HV748" s="27" t="s">
        <v>7</v>
      </c>
      <c r="HW748" s="27" t="s">
        <v>8</v>
      </c>
      <c r="HX748" s="27" t="s">
        <v>7</v>
      </c>
      <c r="HY748" s="27" t="s">
        <v>8</v>
      </c>
      <c r="ID748" s="27" t="s">
        <v>7</v>
      </c>
      <c r="IE748" s="27" t="s">
        <v>8</v>
      </c>
      <c r="IF748" s="27" t="s">
        <v>7</v>
      </c>
      <c r="IG748" s="27" t="s">
        <v>8</v>
      </c>
      <c r="IH748" s="27" t="s">
        <v>7</v>
      </c>
      <c r="II748" s="27" t="s">
        <v>8</v>
      </c>
      <c r="IJ748" s="27" t="s">
        <v>7</v>
      </c>
      <c r="IK748" s="27" t="s">
        <v>8</v>
      </c>
      <c r="IL748" s="27" t="s">
        <v>7</v>
      </c>
      <c r="IS748" s="27" t="s">
        <v>8</v>
      </c>
      <c r="IT748" s="27" t="s">
        <v>7</v>
      </c>
      <c r="IU748" s="27" t="s">
        <v>8</v>
      </c>
      <c r="IW748" s="27" t="s">
        <v>8</v>
      </c>
      <c r="JB748" s="27" t="s">
        <v>7</v>
      </c>
      <c r="JC748" s="27" t="s">
        <v>8</v>
      </c>
      <c r="JJ748" s="27" t="s">
        <v>7</v>
      </c>
      <c r="JK748" s="27" t="s">
        <v>8</v>
      </c>
    </row>
    <row r="749" spans="1:321" x14ac:dyDescent="0.25">
      <c r="A749" s="7">
        <v>4.043637119242547E-2</v>
      </c>
      <c r="B749"/>
      <c r="C749"/>
      <c r="D749"/>
      <c r="E749"/>
      <c r="F749" s="27" t="s">
        <v>7</v>
      </c>
      <c r="DW749" s="27" t="s">
        <v>8</v>
      </c>
      <c r="ED749" s="27" t="s">
        <v>7</v>
      </c>
      <c r="EE749" s="27" t="s">
        <v>8</v>
      </c>
      <c r="EF749" s="27" t="s">
        <v>7</v>
      </c>
      <c r="EG749" s="27" t="s">
        <v>8</v>
      </c>
      <c r="EJ749" s="27" t="s">
        <v>7</v>
      </c>
      <c r="EL749" s="27" t="s">
        <v>7</v>
      </c>
      <c r="GB749" s="27" t="s">
        <v>7</v>
      </c>
      <c r="GC749" s="27" t="s">
        <v>8</v>
      </c>
      <c r="GD749" s="27" t="s">
        <v>7</v>
      </c>
      <c r="GM749" s="27" t="s">
        <v>8</v>
      </c>
      <c r="GN749" s="27" t="s">
        <v>7</v>
      </c>
      <c r="GO749" s="27" t="s">
        <v>8</v>
      </c>
      <c r="GP749" s="27" t="s">
        <v>7</v>
      </c>
      <c r="GS749" s="27" t="s">
        <v>8</v>
      </c>
      <c r="GT749" s="27" t="s">
        <v>7</v>
      </c>
      <c r="HS749" s="27" t="s">
        <v>8</v>
      </c>
      <c r="HT749" s="27" t="s">
        <v>7</v>
      </c>
      <c r="HU749" s="27" t="s">
        <v>8</v>
      </c>
      <c r="HV749" s="27" t="s">
        <v>7</v>
      </c>
      <c r="HW749" s="27" t="s">
        <v>8</v>
      </c>
      <c r="HX749" s="27" t="s">
        <v>7</v>
      </c>
      <c r="ID749" s="27" t="s">
        <v>7</v>
      </c>
      <c r="IE749" s="27" t="s">
        <v>8</v>
      </c>
      <c r="IF749" s="27" t="s">
        <v>7</v>
      </c>
      <c r="IG749" s="27" t="s">
        <v>8</v>
      </c>
      <c r="IH749" s="27" t="s">
        <v>7</v>
      </c>
      <c r="II749" s="27" t="s">
        <v>8</v>
      </c>
      <c r="IJ749" s="27" t="s">
        <v>7</v>
      </c>
      <c r="IK749" s="27" t="s">
        <v>8</v>
      </c>
      <c r="IL749" s="27" t="s">
        <v>7</v>
      </c>
      <c r="IS749" s="27" t="s">
        <v>8</v>
      </c>
      <c r="IT749" s="27" t="s">
        <v>7</v>
      </c>
      <c r="IU749" s="27" t="s">
        <v>8</v>
      </c>
      <c r="IV749" s="27" t="s">
        <v>7</v>
      </c>
      <c r="IW749" s="27" t="s">
        <v>8</v>
      </c>
      <c r="JB749" s="27" t="s">
        <v>7</v>
      </c>
      <c r="JC749" s="27" t="s">
        <v>8</v>
      </c>
      <c r="JJ749" s="27" t="s">
        <v>7</v>
      </c>
      <c r="JK749" s="27" t="s">
        <v>8</v>
      </c>
    </row>
    <row r="750" spans="1:321" x14ac:dyDescent="0.25">
      <c r="A750" s="7">
        <v>3.9643501169044582E-2</v>
      </c>
      <c r="B750"/>
      <c r="C750"/>
      <c r="D750"/>
      <c r="E750"/>
      <c r="F750" s="27" t="s">
        <v>7</v>
      </c>
      <c r="DW750" s="27" t="s">
        <v>8</v>
      </c>
      <c r="ED750" s="27" t="s">
        <v>7</v>
      </c>
      <c r="EE750" s="27" t="s">
        <v>8</v>
      </c>
      <c r="EF750" s="27" t="s">
        <v>7</v>
      </c>
      <c r="EG750" s="27" t="s">
        <v>8</v>
      </c>
      <c r="GB750" s="27" t="s">
        <v>7</v>
      </c>
      <c r="GC750" s="27" t="s">
        <v>8</v>
      </c>
      <c r="GD750" s="27" t="s">
        <v>7</v>
      </c>
      <c r="GM750" s="27" t="s">
        <v>8</v>
      </c>
      <c r="GN750" s="27" t="s">
        <v>7</v>
      </c>
      <c r="GO750" s="27" t="s">
        <v>8</v>
      </c>
      <c r="GP750" s="27" t="s">
        <v>7</v>
      </c>
      <c r="GQ750" s="27" t="s">
        <v>8</v>
      </c>
      <c r="GS750" s="27" t="s">
        <v>8</v>
      </c>
      <c r="GT750" s="27" t="s">
        <v>7</v>
      </c>
      <c r="HS750" s="27" t="s">
        <v>8</v>
      </c>
      <c r="HT750" s="27" t="s">
        <v>7</v>
      </c>
      <c r="HU750" s="27" t="s">
        <v>8</v>
      </c>
      <c r="HV750" s="27" t="s">
        <v>7</v>
      </c>
      <c r="HW750" s="27" t="s">
        <v>8</v>
      </c>
      <c r="ID750" s="27" t="s">
        <v>7</v>
      </c>
      <c r="IE750" s="27" t="s">
        <v>8</v>
      </c>
      <c r="IF750" s="27" t="s">
        <v>7</v>
      </c>
      <c r="IG750" s="27" t="s">
        <v>8</v>
      </c>
      <c r="IH750" s="27" t="s">
        <v>7</v>
      </c>
      <c r="II750" s="27" t="s">
        <v>8</v>
      </c>
      <c r="IJ750" s="27" t="s">
        <v>7</v>
      </c>
      <c r="IK750" s="27" t="s">
        <v>8</v>
      </c>
      <c r="IL750" s="27" t="s">
        <v>7</v>
      </c>
      <c r="IS750" s="27" t="s">
        <v>8</v>
      </c>
      <c r="IT750" s="27" t="s">
        <v>7</v>
      </c>
      <c r="IU750" s="27" t="s">
        <v>8</v>
      </c>
      <c r="IV750" s="27" t="s">
        <v>7</v>
      </c>
      <c r="IW750" s="27" t="s">
        <v>8</v>
      </c>
      <c r="JB750" s="27" t="s">
        <v>7</v>
      </c>
      <c r="JC750" s="27" t="s">
        <v>8</v>
      </c>
      <c r="JJ750" s="27" t="s">
        <v>7</v>
      </c>
      <c r="JK750" s="27" t="s">
        <v>8</v>
      </c>
    </row>
    <row r="751" spans="1:321" x14ac:dyDescent="0.25">
      <c r="A751" s="7">
        <v>3.8866177616710372E-2</v>
      </c>
      <c r="B751"/>
      <c r="C751"/>
      <c r="D751"/>
      <c r="E751"/>
      <c r="F751" s="27" t="s">
        <v>7</v>
      </c>
      <c r="DW751" s="27" t="s">
        <v>8</v>
      </c>
      <c r="ED751" s="27" t="s">
        <v>7</v>
      </c>
      <c r="EE751" s="27" t="s">
        <v>8</v>
      </c>
      <c r="EF751" s="27" t="s">
        <v>7</v>
      </c>
      <c r="EG751" s="27" t="s">
        <v>8</v>
      </c>
      <c r="GB751" s="27" t="s">
        <v>7</v>
      </c>
      <c r="GC751" s="27" t="s">
        <v>8</v>
      </c>
      <c r="GD751" s="27" t="s">
        <v>7</v>
      </c>
      <c r="GG751" s="27" t="s">
        <v>8</v>
      </c>
      <c r="GM751" s="27" t="s">
        <v>8</v>
      </c>
      <c r="GN751" s="27" t="s">
        <v>7</v>
      </c>
      <c r="GO751" s="27" t="s">
        <v>8</v>
      </c>
      <c r="GP751" s="27" t="s">
        <v>7</v>
      </c>
      <c r="GQ751" s="27" t="s">
        <v>8</v>
      </c>
      <c r="GR751" s="27" t="s">
        <v>7</v>
      </c>
      <c r="GS751" s="27" t="s">
        <v>8</v>
      </c>
      <c r="GT751" s="27" t="s">
        <v>7</v>
      </c>
      <c r="HS751" s="27" t="s">
        <v>8</v>
      </c>
      <c r="HT751" s="27" t="s">
        <v>7</v>
      </c>
      <c r="HV751" s="27" t="s">
        <v>7</v>
      </c>
      <c r="ID751" s="27" t="s">
        <v>7</v>
      </c>
      <c r="IE751" s="27" t="s">
        <v>8</v>
      </c>
      <c r="IF751" s="27" t="s">
        <v>7</v>
      </c>
      <c r="IG751" s="27" t="s">
        <v>8</v>
      </c>
      <c r="IH751" s="27" t="s">
        <v>7</v>
      </c>
      <c r="II751" s="27" t="s">
        <v>8</v>
      </c>
      <c r="IJ751" s="27" t="s">
        <v>7</v>
      </c>
      <c r="IK751" s="27" t="s">
        <v>8</v>
      </c>
      <c r="IL751" s="27" t="s">
        <v>7</v>
      </c>
      <c r="IS751" s="27" t="s">
        <v>8</v>
      </c>
      <c r="IT751" s="27" t="s">
        <v>7</v>
      </c>
      <c r="IU751" s="27" t="s">
        <v>8</v>
      </c>
      <c r="IV751" s="27" t="s">
        <v>7</v>
      </c>
      <c r="IW751" s="27" t="s">
        <v>8</v>
      </c>
      <c r="JB751" s="27" t="s">
        <v>7</v>
      </c>
      <c r="JJ751" s="27" t="s">
        <v>7</v>
      </c>
      <c r="JK751" s="27" t="s">
        <v>8</v>
      </c>
    </row>
    <row r="752" spans="1:321" x14ac:dyDescent="0.25">
      <c r="A752" s="7">
        <v>3.8104095702657229E-2</v>
      </c>
      <c r="B752"/>
      <c r="C752"/>
      <c r="D752"/>
      <c r="E752"/>
      <c r="F752" s="27" t="s">
        <v>7</v>
      </c>
      <c r="DW752" s="27" t="s">
        <v>8</v>
      </c>
      <c r="ED752" s="27" t="s">
        <v>7</v>
      </c>
      <c r="EE752" s="27" t="s">
        <v>8</v>
      </c>
      <c r="EF752" s="27" t="s">
        <v>7</v>
      </c>
      <c r="GB752" s="27" t="s">
        <v>7</v>
      </c>
      <c r="GC752" s="27" t="s">
        <v>8</v>
      </c>
      <c r="GD752" s="27" t="s">
        <v>7</v>
      </c>
      <c r="GG752" s="27" t="s">
        <v>8</v>
      </c>
      <c r="GH752" s="27" t="s">
        <v>7</v>
      </c>
      <c r="GM752" s="27" t="s">
        <v>8</v>
      </c>
      <c r="GN752" s="27" t="s">
        <v>7</v>
      </c>
      <c r="GO752" s="27" t="s">
        <v>8</v>
      </c>
      <c r="GP752" s="27" t="s">
        <v>7</v>
      </c>
      <c r="GQ752" s="27" t="s">
        <v>8</v>
      </c>
      <c r="GR752" s="27" t="s">
        <v>7</v>
      </c>
      <c r="GS752" s="27" t="s">
        <v>8</v>
      </c>
      <c r="GT752" s="27" t="s">
        <v>7</v>
      </c>
      <c r="HS752" s="27" t="s">
        <v>8</v>
      </c>
      <c r="ID752" s="27" t="s">
        <v>7</v>
      </c>
      <c r="IE752" s="27" t="s">
        <v>8</v>
      </c>
      <c r="IF752" s="27" t="s">
        <v>7</v>
      </c>
      <c r="IG752" s="27" t="s">
        <v>8</v>
      </c>
      <c r="IH752" s="27" t="s">
        <v>7</v>
      </c>
      <c r="II752" s="27" t="s">
        <v>8</v>
      </c>
      <c r="IJ752" s="27" t="s">
        <v>7</v>
      </c>
      <c r="IL752" s="27" t="s">
        <v>7</v>
      </c>
      <c r="IM752" s="27" t="s">
        <v>8</v>
      </c>
      <c r="IQ752" s="27" t="s">
        <v>8</v>
      </c>
      <c r="IS752" s="27" t="s">
        <v>8</v>
      </c>
      <c r="IT752" s="27" t="s">
        <v>7</v>
      </c>
      <c r="IU752" s="27" t="s">
        <v>8</v>
      </c>
      <c r="IV752" s="27" t="s">
        <v>7</v>
      </c>
      <c r="IW752" s="27" t="s">
        <v>8</v>
      </c>
      <c r="JJ752" s="27" t="s">
        <v>7</v>
      </c>
    </row>
    <row r="753" spans="1:256" x14ac:dyDescent="0.25">
      <c r="A753" s="7">
        <v>3.7356956571232579E-2</v>
      </c>
      <c r="B753"/>
      <c r="C753"/>
      <c r="D753"/>
      <c r="E753"/>
      <c r="F753" s="27" t="s">
        <v>7</v>
      </c>
      <c r="DW753" s="27" t="s">
        <v>8</v>
      </c>
      <c r="ED753" s="27" t="s">
        <v>7</v>
      </c>
      <c r="EE753" s="27" t="s">
        <v>8</v>
      </c>
      <c r="GB753" s="27" t="s">
        <v>7</v>
      </c>
      <c r="GC753" s="27" t="s">
        <v>8</v>
      </c>
      <c r="GD753" s="27" t="s">
        <v>7</v>
      </c>
      <c r="GE753" s="27" t="s">
        <v>8</v>
      </c>
      <c r="GG753" s="27" t="s">
        <v>8</v>
      </c>
      <c r="GH753" s="27" t="s">
        <v>7</v>
      </c>
      <c r="GM753" s="27" t="s">
        <v>8</v>
      </c>
      <c r="GN753" s="27" t="s">
        <v>7</v>
      </c>
      <c r="GO753" s="27" t="s">
        <v>8</v>
      </c>
      <c r="GP753" s="27" t="s">
        <v>7</v>
      </c>
      <c r="GQ753" s="27" t="s">
        <v>8</v>
      </c>
      <c r="GR753" s="27" t="s">
        <v>7</v>
      </c>
      <c r="GS753" s="27" t="s">
        <v>8</v>
      </c>
      <c r="GT753" s="27" t="s">
        <v>7</v>
      </c>
      <c r="HS753" s="27" t="s">
        <v>8</v>
      </c>
      <c r="ID753" s="27" t="s">
        <v>7</v>
      </c>
      <c r="IE753" s="27" t="s">
        <v>8</v>
      </c>
      <c r="IF753" s="27" t="s">
        <v>7</v>
      </c>
      <c r="IG753" s="27" t="s">
        <v>8</v>
      </c>
      <c r="IH753" s="27" t="s">
        <v>7</v>
      </c>
      <c r="II753" s="27" t="s">
        <v>8</v>
      </c>
      <c r="IL753" s="27" t="s">
        <v>7</v>
      </c>
      <c r="IM753" s="27" t="s">
        <v>8</v>
      </c>
      <c r="IN753" s="27" t="s">
        <v>7</v>
      </c>
      <c r="IO753" s="27" t="s">
        <v>8</v>
      </c>
      <c r="IQ753" s="27" t="s">
        <v>8</v>
      </c>
      <c r="IR753" s="27" t="s">
        <v>7</v>
      </c>
      <c r="IS753" s="27" t="s">
        <v>8</v>
      </c>
      <c r="IT753" s="27" t="s">
        <v>7</v>
      </c>
      <c r="IV753" s="27" t="s">
        <v>7</v>
      </c>
    </row>
    <row r="754" spans="1:256" x14ac:dyDescent="0.25">
      <c r="A754" s="7">
        <v>3.6624467226698605E-2</v>
      </c>
      <c r="B754"/>
      <c r="C754"/>
      <c r="D754"/>
      <c r="E754"/>
      <c r="F754" s="27" t="s">
        <v>7</v>
      </c>
      <c r="DW754" s="27" t="s">
        <v>8</v>
      </c>
      <c r="ED754" s="27" t="s">
        <v>7</v>
      </c>
      <c r="GB754" s="27" t="s">
        <v>7</v>
      </c>
      <c r="GC754" s="27" t="s">
        <v>8</v>
      </c>
      <c r="GD754" s="27" t="s">
        <v>7</v>
      </c>
      <c r="GE754" s="27" t="s">
        <v>8</v>
      </c>
      <c r="GF754" s="27" t="s">
        <v>7</v>
      </c>
      <c r="GG754" s="27" t="s">
        <v>8</v>
      </c>
      <c r="GH754" s="27" t="s">
        <v>7</v>
      </c>
      <c r="GK754" s="27" t="s">
        <v>8</v>
      </c>
      <c r="GM754" s="27" t="s">
        <v>8</v>
      </c>
      <c r="GN754" s="27" t="s">
        <v>7</v>
      </c>
      <c r="GO754" s="27" t="s">
        <v>8</v>
      </c>
      <c r="GP754" s="27" t="s">
        <v>7</v>
      </c>
      <c r="GQ754" s="27" t="s">
        <v>8</v>
      </c>
      <c r="GR754" s="27" t="s">
        <v>7</v>
      </c>
      <c r="GS754" s="27" t="s">
        <v>8</v>
      </c>
      <c r="GT754" s="27" t="s">
        <v>7</v>
      </c>
      <c r="HS754" s="27" t="s">
        <v>8</v>
      </c>
      <c r="ID754" s="27" t="s">
        <v>7</v>
      </c>
      <c r="IE754" s="27" t="s">
        <v>8</v>
      </c>
      <c r="IF754" s="27" t="s">
        <v>7</v>
      </c>
      <c r="IH754" s="27" t="s">
        <v>7</v>
      </c>
      <c r="II754" s="27" t="s">
        <v>8</v>
      </c>
      <c r="IL754" s="27" t="s">
        <v>7</v>
      </c>
      <c r="IM754" s="27" t="s">
        <v>8</v>
      </c>
      <c r="IN754" s="27" t="s">
        <v>7</v>
      </c>
      <c r="IO754" s="27" t="s">
        <v>8</v>
      </c>
      <c r="IP754" s="27" t="s">
        <v>7</v>
      </c>
      <c r="IQ754" s="27" t="s">
        <v>8</v>
      </c>
      <c r="IR754" s="27" t="s">
        <v>7</v>
      </c>
      <c r="IS754" s="27" t="s">
        <v>8</v>
      </c>
    </row>
    <row r="755" spans="1:256" x14ac:dyDescent="0.25">
      <c r="A755" s="7">
        <v>3.5906340418331961E-2</v>
      </c>
      <c r="B755"/>
      <c r="C755"/>
      <c r="D755"/>
      <c r="E755"/>
      <c r="F755" s="27" t="s">
        <v>7</v>
      </c>
      <c r="DW755" s="27" t="s">
        <v>8</v>
      </c>
      <c r="GB755" s="27" t="s">
        <v>7</v>
      </c>
      <c r="GC755" s="27" t="s">
        <v>8</v>
      </c>
      <c r="GD755" s="27" t="s">
        <v>7</v>
      </c>
      <c r="GE755" s="27" t="s">
        <v>8</v>
      </c>
      <c r="GF755" s="27" t="s">
        <v>7</v>
      </c>
      <c r="GG755" s="27" t="s">
        <v>8</v>
      </c>
      <c r="GH755" s="27" t="s">
        <v>7</v>
      </c>
      <c r="GK755" s="27" t="s">
        <v>8</v>
      </c>
      <c r="GL755" s="27" t="s">
        <v>7</v>
      </c>
      <c r="GM755" s="27" t="s">
        <v>8</v>
      </c>
      <c r="GN755" s="27" t="s">
        <v>7</v>
      </c>
      <c r="GO755" s="27" t="s">
        <v>8</v>
      </c>
      <c r="GP755" s="27" t="s">
        <v>7</v>
      </c>
      <c r="GQ755" s="27" t="s">
        <v>8</v>
      </c>
      <c r="GR755" s="27" t="s">
        <v>7</v>
      </c>
      <c r="GS755" s="27" t="s">
        <v>8</v>
      </c>
      <c r="GT755" s="27" t="s">
        <v>7</v>
      </c>
      <c r="HS755" s="27" t="s">
        <v>8</v>
      </c>
      <c r="ID755" s="27" t="s">
        <v>7</v>
      </c>
      <c r="IE755" s="27" t="s">
        <v>8</v>
      </c>
      <c r="IH755" s="27" t="s">
        <v>7</v>
      </c>
      <c r="IL755" s="27" t="s">
        <v>7</v>
      </c>
      <c r="IM755" s="27" t="s">
        <v>8</v>
      </c>
      <c r="IN755" s="27" t="s">
        <v>7</v>
      </c>
      <c r="IO755" s="27" t="s">
        <v>8</v>
      </c>
      <c r="IP755" s="27" t="s">
        <v>7</v>
      </c>
      <c r="IQ755" s="27" t="s">
        <v>8</v>
      </c>
      <c r="IR755" s="27" t="s">
        <v>7</v>
      </c>
      <c r="IS755" s="27" t="s">
        <v>8</v>
      </c>
    </row>
    <row r="756" spans="1:256" x14ac:dyDescent="0.25">
      <c r="A756" s="7">
        <v>3.5202294527776436E-2</v>
      </c>
      <c r="B756"/>
      <c r="C756"/>
      <c r="D756"/>
      <c r="E756"/>
      <c r="F756" s="27" t="s">
        <v>7</v>
      </c>
      <c r="DW756" s="27" t="s">
        <v>8</v>
      </c>
      <c r="GB756" s="27" t="s">
        <v>7</v>
      </c>
      <c r="GC756" s="27" t="s">
        <v>8</v>
      </c>
      <c r="GD756" s="27" t="s">
        <v>7</v>
      </c>
      <c r="GE756" s="27" t="s">
        <v>8</v>
      </c>
      <c r="GF756" s="27" t="s">
        <v>7</v>
      </c>
      <c r="GG756" s="27" t="s">
        <v>8</v>
      </c>
      <c r="GH756" s="27" t="s">
        <v>7</v>
      </c>
      <c r="GK756" s="27" t="s">
        <v>8</v>
      </c>
      <c r="GL756" s="27" t="s">
        <v>7</v>
      </c>
      <c r="GM756" s="27" t="s">
        <v>8</v>
      </c>
      <c r="GN756" s="27" t="s">
        <v>7</v>
      </c>
      <c r="GO756" s="27" t="s">
        <v>8</v>
      </c>
      <c r="GP756" s="27" t="s">
        <v>7</v>
      </c>
      <c r="GQ756" s="27" t="s">
        <v>8</v>
      </c>
      <c r="GR756" s="27" t="s">
        <v>7</v>
      </c>
      <c r="GS756" s="27" t="s">
        <v>8</v>
      </c>
      <c r="GT756" s="27" t="s">
        <v>7</v>
      </c>
      <c r="HS756" s="27" t="s">
        <v>8</v>
      </c>
      <c r="ID756" s="27" t="s">
        <v>7</v>
      </c>
      <c r="IL756" s="27" t="s">
        <v>7</v>
      </c>
      <c r="IM756" s="27" t="s">
        <v>8</v>
      </c>
      <c r="IN756" s="27" t="s">
        <v>7</v>
      </c>
      <c r="IO756" s="27" t="s">
        <v>8</v>
      </c>
      <c r="IP756" s="27" t="s">
        <v>7</v>
      </c>
      <c r="IQ756" s="27" t="s">
        <v>8</v>
      </c>
      <c r="IR756" s="27" t="s">
        <v>7</v>
      </c>
      <c r="IS756" s="27" t="s">
        <v>8</v>
      </c>
    </row>
    <row r="757" spans="1:256" x14ac:dyDescent="0.25">
      <c r="A757" s="7">
        <v>3.451205345860435E-2</v>
      </c>
      <c r="B757"/>
      <c r="C757"/>
      <c r="D757"/>
      <c r="E757"/>
      <c r="F757" s="27" t="s">
        <v>7</v>
      </c>
      <c r="DU757" s="27" t="s">
        <v>8</v>
      </c>
      <c r="DW757" s="27" t="s">
        <v>8</v>
      </c>
      <c r="GB757" s="27" t="s">
        <v>7</v>
      </c>
      <c r="GC757" s="27" t="s">
        <v>8</v>
      </c>
      <c r="GD757" s="27" t="s">
        <v>7</v>
      </c>
      <c r="GE757" s="27" t="s">
        <v>8</v>
      </c>
      <c r="GF757" s="27" t="s">
        <v>7</v>
      </c>
      <c r="GG757" s="27" t="s">
        <v>8</v>
      </c>
      <c r="GH757" s="27" t="s">
        <v>7</v>
      </c>
      <c r="GI757" s="27" t="s">
        <v>8</v>
      </c>
      <c r="GK757" s="27" t="s">
        <v>8</v>
      </c>
      <c r="GL757" s="27" t="s">
        <v>7</v>
      </c>
      <c r="GM757" s="27" t="s">
        <v>8</v>
      </c>
      <c r="GN757" s="27" t="s">
        <v>7</v>
      </c>
      <c r="GO757" s="27" t="s">
        <v>8</v>
      </c>
      <c r="GP757" s="27" t="s">
        <v>7</v>
      </c>
      <c r="GQ757" s="27" t="s">
        <v>8</v>
      </c>
      <c r="GR757" s="27" t="s">
        <v>7</v>
      </c>
      <c r="GS757" s="27" t="s">
        <v>8</v>
      </c>
      <c r="GT757" s="27" t="s">
        <v>7</v>
      </c>
      <c r="HS757" s="27" t="s">
        <v>8</v>
      </c>
      <c r="IL757" s="27" t="s">
        <v>7</v>
      </c>
      <c r="IM757" s="27" t="s">
        <v>8</v>
      </c>
      <c r="IN757" s="27" t="s">
        <v>7</v>
      </c>
      <c r="IO757" s="27" t="s">
        <v>8</v>
      </c>
      <c r="IP757" s="27" t="s">
        <v>7</v>
      </c>
      <c r="IQ757" s="27" t="s">
        <v>8</v>
      </c>
      <c r="IR757" s="27" t="s">
        <v>7</v>
      </c>
      <c r="IS757" s="27" t="s">
        <v>8</v>
      </c>
    </row>
    <row r="758" spans="1:256" x14ac:dyDescent="0.25">
      <c r="A758" s="7">
        <v>3.3835346528043479E-2</v>
      </c>
      <c r="B758"/>
      <c r="C758"/>
      <c r="D758"/>
      <c r="E758"/>
      <c r="F758" s="27" t="s">
        <v>7</v>
      </c>
      <c r="DS758" s="27" t="s">
        <v>8</v>
      </c>
      <c r="DU758" s="27" t="s">
        <v>8</v>
      </c>
      <c r="DV758" s="27" t="s">
        <v>7</v>
      </c>
      <c r="DW758" s="27" t="s">
        <v>8</v>
      </c>
      <c r="GB758" s="27" t="s">
        <v>7</v>
      </c>
      <c r="GC758" s="27" t="s">
        <v>8</v>
      </c>
      <c r="GD758" s="27" t="s">
        <v>7</v>
      </c>
      <c r="GE758" s="27" t="s">
        <v>8</v>
      </c>
      <c r="GF758" s="27" t="s">
        <v>7</v>
      </c>
      <c r="GG758" s="27" t="s">
        <v>8</v>
      </c>
      <c r="GH758" s="27" t="s">
        <v>7</v>
      </c>
      <c r="GI758" s="27" t="s">
        <v>8</v>
      </c>
      <c r="GJ758" s="27" t="s">
        <v>7</v>
      </c>
      <c r="GK758" s="27" t="s">
        <v>8</v>
      </c>
      <c r="GL758" s="27" t="s">
        <v>7</v>
      </c>
      <c r="GM758" s="27" t="s">
        <v>8</v>
      </c>
      <c r="GN758" s="27" t="s">
        <v>7</v>
      </c>
      <c r="GO758" s="27" t="s">
        <v>8</v>
      </c>
      <c r="GP758" s="27" t="s">
        <v>7</v>
      </c>
      <c r="GQ758" s="27" t="s">
        <v>8</v>
      </c>
      <c r="GR758" s="27" t="s">
        <v>7</v>
      </c>
      <c r="GS758" s="27" t="s">
        <v>8</v>
      </c>
      <c r="GT758" s="27" t="s">
        <v>7</v>
      </c>
      <c r="HQ758" s="27" t="s">
        <v>8</v>
      </c>
      <c r="HS758" s="27" t="s">
        <v>8</v>
      </c>
      <c r="IL758" s="27" t="s">
        <v>7</v>
      </c>
      <c r="IM758" s="27" t="s">
        <v>8</v>
      </c>
      <c r="IN758" s="27" t="s">
        <v>7</v>
      </c>
      <c r="IO758" s="27" t="s">
        <v>8</v>
      </c>
      <c r="IP758" s="27" t="s">
        <v>7</v>
      </c>
      <c r="IQ758" s="27" t="s">
        <v>8</v>
      </c>
      <c r="IR758" s="27" t="s">
        <v>7</v>
      </c>
    </row>
    <row r="759" spans="1:256" x14ac:dyDescent="0.25">
      <c r="A759" s="7">
        <v>3.3171908360826938E-2</v>
      </c>
      <c r="B759"/>
      <c r="C759"/>
      <c r="D759"/>
      <c r="E759"/>
      <c r="F759" s="27" t="s">
        <v>7</v>
      </c>
      <c r="DS759" s="27" t="s">
        <v>8</v>
      </c>
      <c r="DT759" s="27" t="s">
        <v>7</v>
      </c>
      <c r="DU759" s="27" t="s">
        <v>8</v>
      </c>
      <c r="DV759" s="27" t="s">
        <v>7</v>
      </c>
      <c r="DW759" s="27" t="s">
        <v>8</v>
      </c>
      <c r="GB759" s="27" t="s">
        <v>7</v>
      </c>
      <c r="GC759" s="27" t="s">
        <v>8</v>
      </c>
      <c r="GD759" s="27" t="s">
        <v>7</v>
      </c>
      <c r="GE759" s="27" t="s">
        <v>8</v>
      </c>
      <c r="GF759" s="27" t="s">
        <v>7</v>
      </c>
      <c r="GG759" s="27" t="s">
        <v>8</v>
      </c>
      <c r="GH759" s="27" t="s">
        <v>7</v>
      </c>
      <c r="GI759" s="27" t="s">
        <v>8</v>
      </c>
      <c r="GJ759" s="27" t="s">
        <v>7</v>
      </c>
      <c r="GK759" s="27" t="s">
        <v>8</v>
      </c>
      <c r="GL759" s="27" t="s">
        <v>7</v>
      </c>
      <c r="GM759" s="27" t="s">
        <v>8</v>
      </c>
      <c r="GN759" s="27" t="s">
        <v>7</v>
      </c>
      <c r="GO759" s="27" t="s">
        <v>8</v>
      </c>
      <c r="GP759" s="27" t="s">
        <v>7</v>
      </c>
      <c r="GQ759" s="27" t="s">
        <v>8</v>
      </c>
      <c r="GR759" s="27" t="s">
        <v>7</v>
      </c>
      <c r="GS759" s="27" t="s">
        <v>8</v>
      </c>
      <c r="GT759" s="27" t="s">
        <v>7</v>
      </c>
      <c r="HQ759" s="27" t="s">
        <v>8</v>
      </c>
      <c r="HR759" s="27" t="s">
        <v>7</v>
      </c>
      <c r="HS759" s="27" t="s">
        <v>8</v>
      </c>
      <c r="IL759" s="27" t="s">
        <v>7</v>
      </c>
      <c r="IM759" s="27" t="s">
        <v>8</v>
      </c>
      <c r="IN759" s="27" t="s">
        <v>7</v>
      </c>
      <c r="IO759" s="27" t="s">
        <v>8</v>
      </c>
      <c r="IP759" s="27" t="s">
        <v>7</v>
      </c>
      <c r="IQ759" s="27" t="s">
        <v>8</v>
      </c>
    </row>
    <row r="760" spans="1:256" x14ac:dyDescent="0.25">
      <c r="A760" s="7">
        <v>3.2521478785124451E-2</v>
      </c>
      <c r="B760"/>
      <c r="C760"/>
      <c r="D760"/>
      <c r="E760"/>
      <c r="F760" s="27" t="s">
        <v>7</v>
      </c>
      <c r="DS760" s="27" t="s">
        <v>8</v>
      </c>
      <c r="DT760" s="27" t="s">
        <v>7</v>
      </c>
      <c r="DU760" s="27" t="s">
        <v>8</v>
      </c>
      <c r="DV760" s="27" t="s">
        <v>7</v>
      </c>
      <c r="DW760" s="27" t="s">
        <v>8</v>
      </c>
      <c r="GB760" s="27" t="s">
        <v>7</v>
      </c>
      <c r="GC760" s="27" t="s">
        <v>8</v>
      </c>
      <c r="GD760" s="27" t="s">
        <v>7</v>
      </c>
      <c r="GE760" s="27" t="s">
        <v>8</v>
      </c>
      <c r="GF760" s="27" t="s">
        <v>7</v>
      </c>
      <c r="GG760" s="27" t="s">
        <v>8</v>
      </c>
      <c r="GH760" s="27" t="s">
        <v>7</v>
      </c>
      <c r="GI760" s="27" t="s">
        <v>8</v>
      </c>
      <c r="GJ760" s="27" t="s">
        <v>7</v>
      </c>
      <c r="GL760" s="27" t="s">
        <v>7</v>
      </c>
      <c r="GM760" s="27" t="s">
        <v>8</v>
      </c>
      <c r="GN760" s="27" t="s">
        <v>7</v>
      </c>
      <c r="GO760" s="27" t="s">
        <v>8</v>
      </c>
      <c r="GP760" s="27" t="s">
        <v>7</v>
      </c>
      <c r="GQ760" s="27" t="s">
        <v>8</v>
      </c>
      <c r="GR760" s="27" t="s">
        <v>7</v>
      </c>
      <c r="GT760" s="27" t="s">
        <v>7</v>
      </c>
      <c r="HQ760" s="27" t="s">
        <v>8</v>
      </c>
      <c r="HR760" s="27" t="s">
        <v>7</v>
      </c>
      <c r="HS760" s="27" t="s">
        <v>8</v>
      </c>
      <c r="IL760" s="27" t="s">
        <v>7</v>
      </c>
      <c r="IM760" s="27" t="s">
        <v>8</v>
      </c>
      <c r="IN760" s="27" t="s">
        <v>7</v>
      </c>
      <c r="IO760" s="27" t="s">
        <v>8</v>
      </c>
      <c r="IP760" s="27" t="s">
        <v>7</v>
      </c>
      <c r="IQ760" s="27" t="s">
        <v>8</v>
      </c>
    </row>
    <row r="761" spans="1:256" x14ac:dyDescent="0.25">
      <c r="A761" s="7">
        <v>3.1883802730514173E-2</v>
      </c>
      <c r="B761"/>
      <c r="C761"/>
      <c r="D761"/>
      <c r="E761"/>
      <c r="F761" s="27" t="s">
        <v>7</v>
      </c>
      <c r="DS761" s="27" t="s">
        <v>8</v>
      </c>
      <c r="DT761" s="27" t="s">
        <v>7</v>
      </c>
      <c r="DU761" s="27" t="s">
        <v>8</v>
      </c>
      <c r="DV761" s="27" t="s">
        <v>7</v>
      </c>
      <c r="DW761" s="27" t="s">
        <v>8</v>
      </c>
      <c r="GB761" s="27" t="s">
        <v>7</v>
      </c>
      <c r="GC761" s="27" t="s">
        <v>8</v>
      </c>
      <c r="GD761" s="27" t="s">
        <v>7</v>
      </c>
      <c r="GE761" s="27" t="s">
        <v>8</v>
      </c>
      <c r="GF761" s="27" t="s">
        <v>7</v>
      </c>
      <c r="GG761" s="27" t="s">
        <v>8</v>
      </c>
      <c r="GH761" s="27" t="s">
        <v>7</v>
      </c>
      <c r="GI761" s="27" t="s">
        <v>8</v>
      </c>
      <c r="GL761" s="27" t="s">
        <v>7</v>
      </c>
      <c r="GM761" s="27" t="s">
        <v>8</v>
      </c>
      <c r="GN761" s="27" t="s">
        <v>7</v>
      </c>
      <c r="GO761" s="27" t="s">
        <v>8</v>
      </c>
      <c r="GP761" s="27" t="s">
        <v>7</v>
      </c>
      <c r="GQ761" s="27" t="s">
        <v>8</v>
      </c>
      <c r="GT761" s="27" t="s">
        <v>7</v>
      </c>
      <c r="HQ761" s="27" t="s">
        <v>8</v>
      </c>
      <c r="HR761" s="27" t="s">
        <v>7</v>
      </c>
      <c r="HS761" s="27" t="s">
        <v>8</v>
      </c>
      <c r="IL761" s="27" t="s">
        <v>7</v>
      </c>
      <c r="IM761" s="27" t="s">
        <v>8</v>
      </c>
      <c r="IN761" s="27" t="s">
        <v>7</v>
      </c>
      <c r="IO761" s="27" t="s">
        <v>8</v>
      </c>
      <c r="IP761" s="27" t="s">
        <v>7</v>
      </c>
    </row>
    <row r="762" spans="1:256" x14ac:dyDescent="0.25">
      <c r="A762" s="7">
        <v>3.1258630127955073E-2</v>
      </c>
      <c r="B762"/>
      <c r="C762"/>
      <c r="D762"/>
      <c r="E762"/>
      <c r="F762" s="27" t="s">
        <v>7</v>
      </c>
      <c r="DS762" s="27" t="s">
        <v>8</v>
      </c>
      <c r="DT762" s="27" t="s">
        <v>7</v>
      </c>
      <c r="DU762" s="27" t="s">
        <v>8</v>
      </c>
      <c r="DV762" s="27" t="s">
        <v>7</v>
      </c>
      <c r="DW762" s="27" t="s">
        <v>8</v>
      </c>
      <c r="GB762" s="27" t="s">
        <v>7</v>
      </c>
      <c r="GC762" s="27" t="s">
        <v>8</v>
      </c>
      <c r="GD762" s="27" t="s">
        <v>7</v>
      </c>
      <c r="GE762" s="27" t="s">
        <v>8</v>
      </c>
      <c r="GF762" s="27" t="s">
        <v>7</v>
      </c>
      <c r="GG762" s="27" t="s">
        <v>8</v>
      </c>
      <c r="GH762" s="27" t="s">
        <v>7</v>
      </c>
      <c r="GI762" s="27" t="s">
        <v>8</v>
      </c>
      <c r="GL762" s="27" t="s">
        <v>7</v>
      </c>
      <c r="GM762" s="27" t="s">
        <v>8</v>
      </c>
      <c r="GN762" s="27" t="s">
        <v>7</v>
      </c>
      <c r="GO762" s="27" t="s">
        <v>8</v>
      </c>
      <c r="GP762" s="27" t="s">
        <v>7</v>
      </c>
      <c r="GQ762" s="27" t="s">
        <v>8</v>
      </c>
      <c r="GT762" s="27" t="s">
        <v>7</v>
      </c>
      <c r="HO762" s="27" t="s">
        <v>8</v>
      </c>
      <c r="HQ762" s="27" t="s">
        <v>8</v>
      </c>
      <c r="HR762" s="27" t="s">
        <v>7</v>
      </c>
      <c r="HS762" s="27" t="s">
        <v>8</v>
      </c>
      <c r="IL762" s="27" t="s">
        <v>7</v>
      </c>
      <c r="IM762" s="27" t="s">
        <v>8</v>
      </c>
      <c r="IN762" s="27" t="s">
        <v>7</v>
      </c>
    </row>
    <row r="763" spans="1:256" x14ac:dyDescent="0.25">
      <c r="A763" s="7">
        <v>3.064571581172066E-2</v>
      </c>
      <c r="B763"/>
      <c r="C763"/>
      <c r="D763"/>
      <c r="E763"/>
      <c r="F763" s="27" t="s">
        <v>7</v>
      </c>
      <c r="DS763" s="27" t="s">
        <v>8</v>
      </c>
      <c r="DT763" s="27" t="s">
        <v>7</v>
      </c>
      <c r="DU763" s="27" t="s">
        <v>8</v>
      </c>
      <c r="DV763" s="27" t="s">
        <v>7</v>
      </c>
      <c r="DW763" s="27" t="s">
        <v>8</v>
      </c>
      <c r="GB763" s="27" t="s">
        <v>7</v>
      </c>
      <c r="GC763" s="27" t="s">
        <v>8</v>
      </c>
      <c r="GD763" s="27" t="s">
        <v>7</v>
      </c>
      <c r="GE763" s="27" t="s">
        <v>8</v>
      </c>
      <c r="GF763" s="27" t="s">
        <v>7</v>
      </c>
      <c r="GH763" s="27" t="s">
        <v>7</v>
      </c>
      <c r="GI763" s="27" t="s">
        <v>8</v>
      </c>
      <c r="GL763" s="27" t="s">
        <v>7</v>
      </c>
      <c r="GM763" s="27" t="s">
        <v>8</v>
      </c>
      <c r="GN763" s="27" t="s">
        <v>7</v>
      </c>
      <c r="GO763" s="27" t="s">
        <v>8</v>
      </c>
      <c r="GP763" s="27" t="s">
        <v>7</v>
      </c>
      <c r="GQ763" s="27" t="s">
        <v>8</v>
      </c>
      <c r="GT763" s="27" t="s">
        <v>7</v>
      </c>
      <c r="HO763" s="27" t="s">
        <v>8</v>
      </c>
      <c r="HP763" s="27" t="s">
        <v>7</v>
      </c>
      <c r="HQ763" s="27" t="s">
        <v>8</v>
      </c>
      <c r="HR763" s="27" t="s">
        <v>7</v>
      </c>
      <c r="HS763" s="27" t="s">
        <v>8</v>
      </c>
      <c r="IL763" s="27" t="s">
        <v>7</v>
      </c>
    </row>
    <row r="764" spans="1:256" x14ac:dyDescent="0.25">
      <c r="A764" s="7">
        <v>3.0044819423255549E-2</v>
      </c>
      <c r="B764"/>
      <c r="C764"/>
      <c r="D764"/>
      <c r="E764"/>
      <c r="F764" s="27" t="s">
        <v>7</v>
      </c>
      <c r="DS764" s="27" t="s">
        <v>8</v>
      </c>
      <c r="DT764" s="27" t="s">
        <v>7</v>
      </c>
      <c r="DU764" s="27" t="s">
        <v>8</v>
      </c>
      <c r="DV764" s="27" t="s">
        <v>7</v>
      </c>
      <c r="DW764" s="27" t="s">
        <v>8</v>
      </c>
      <c r="GB764" s="27" t="s">
        <v>7</v>
      </c>
      <c r="GC764" s="27" t="s">
        <v>8</v>
      </c>
      <c r="GD764" s="27" t="s">
        <v>7</v>
      </c>
      <c r="GE764" s="27" t="s">
        <v>8</v>
      </c>
      <c r="GH764" s="27" t="s">
        <v>7</v>
      </c>
      <c r="GI764" s="27" t="s">
        <v>8</v>
      </c>
      <c r="GL764" s="27" t="s">
        <v>7</v>
      </c>
      <c r="GN764" s="27" t="s">
        <v>7</v>
      </c>
      <c r="GO764" s="27" t="s">
        <v>8</v>
      </c>
      <c r="GP764" s="27" t="s">
        <v>7</v>
      </c>
      <c r="GQ764" s="27" t="s">
        <v>8</v>
      </c>
      <c r="GT764" s="27" t="s">
        <v>7</v>
      </c>
      <c r="HO764" s="27" t="s">
        <v>8</v>
      </c>
      <c r="HP764" s="27" t="s">
        <v>7</v>
      </c>
      <c r="HQ764" s="27" t="s">
        <v>8</v>
      </c>
      <c r="HR764" s="27" t="s">
        <v>7</v>
      </c>
      <c r="HS764" s="27" t="s">
        <v>8</v>
      </c>
    </row>
    <row r="765" spans="1:256" x14ac:dyDescent="0.25">
      <c r="A765" s="7">
        <v>2.9455705316917203E-2</v>
      </c>
      <c r="B765"/>
      <c r="C765"/>
      <c r="D765"/>
      <c r="E765"/>
      <c r="F765" s="27" t="s">
        <v>7</v>
      </c>
      <c r="DS765" s="27" t="s">
        <v>8</v>
      </c>
      <c r="DT765" s="27" t="s">
        <v>7</v>
      </c>
      <c r="DU765" s="27" t="s">
        <v>8</v>
      </c>
      <c r="DV765" s="27" t="s">
        <v>7</v>
      </c>
      <c r="GB765" s="27" t="s">
        <v>7</v>
      </c>
      <c r="GC765" s="27" t="s">
        <v>8</v>
      </c>
      <c r="GD765" s="27" t="s">
        <v>7</v>
      </c>
      <c r="GE765" s="27" t="s">
        <v>8</v>
      </c>
      <c r="GH765" s="27" t="s">
        <v>7</v>
      </c>
      <c r="GI765" s="27" t="s">
        <v>8</v>
      </c>
      <c r="GN765" s="27" t="s">
        <v>7</v>
      </c>
      <c r="GO765" s="27" t="s">
        <v>8</v>
      </c>
      <c r="GP765" s="27" t="s">
        <v>7</v>
      </c>
      <c r="GQ765" s="27" t="s">
        <v>8</v>
      </c>
      <c r="GT765" s="27" t="s">
        <v>7</v>
      </c>
      <c r="HO765" s="27" t="s">
        <v>8</v>
      </c>
      <c r="HP765" s="27" t="s">
        <v>7</v>
      </c>
      <c r="HQ765" s="27" t="s">
        <v>8</v>
      </c>
      <c r="HR765" s="27" t="s">
        <v>7</v>
      </c>
    </row>
    <row r="766" spans="1:256" x14ac:dyDescent="0.25">
      <c r="A766" s="7">
        <v>2.8878142467565884E-2</v>
      </c>
      <c r="B766"/>
      <c r="C766"/>
      <c r="D766"/>
      <c r="E766"/>
      <c r="F766" s="27" t="s">
        <v>7</v>
      </c>
      <c r="DS766" s="27" t="s">
        <v>8</v>
      </c>
      <c r="DT766" s="27" t="s">
        <v>7</v>
      </c>
      <c r="DU766" s="27" t="s">
        <v>8</v>
      </c>
      <c r="GB766" s="27" t="s">
        <v>7</v>
      </c>
      <c r="GC766" s="27" t="s">
        <v>8</v>
      </c>
      <c r="GD766" s="27" t="s">
        <v>7</v>
      </c>
      <c r="GE766" s="27" t="s">
        <v>8</v>
      </c>
      <c r="GH766" s="27" t="s">
        <v>7</v>
      </c>
      <c r="GN766" s="27" t="s">
        <v>7</v>
      </c>
      <c r="GO766" s="27" t="s">
        <v>8</v>
      </c>
      <c r="GP766" s="27" t="s">
        <v>7</v>
      </c>
      <c r="GT766" s="27" t="s">
        <v>7</v>
      </c>
      <c r="HO766" s="27" t="s">
        <v>8</v>
      </c>
      <c r="HP766" s="27" t="s">
        <v>7</v>
      </c>
      <c r="HQ766" s="27" t="s">
        <v>8</v>
      </c>
    </row>
    <row r="767" spans="1:256" x14ac:dyDescent="0.25">
      <c r="A767" s="7">
        <v>2.8311904379966554E-2</v>
      </c>
      <c r="B767"/>
      <c r="C767"/>
      <c r="D767"/>
      <c r="E767"/>
      <c r="F767" s="27" t="s">
        <v>7</v>
      </c>
      <c r="DG767" s="27" t="s">
        <v>8</v>
      </c>
      <c r="DS767" s="27" t="s">
        <v>8</v>
      </c>
      <c r="DT767" s="27" t="s">
        <v>7</v>
      </c>
      <c r="DU767" s="27" t="s">
        <v>8</v>
      </c>
      <c r="GB767" s="27" t="s">
        <v>7</v>
      </c>
      <c r="GD767" s="27" t="s">
        <v>7</v>
      </c>
      <c r="GE767" s="27" t="s">
        <v>8</v>
      </c>
      <c r="GN767" s="27" t="s">
        <v>7</v>
      </c>
      <c r="GO767" s="27" t="s">
        <v>8</v>
      </c>
      <c r="GT767" s="27" t="s">
        <v>7</v>
      </c>
      <c r="HM767" s="27" t="s">
        <v>8</v>
      </c>
      <c r="HO767" s="27" t="s">
        <v>8</v>
      </c>
      <c r="HP767" s="27" t="s">
        <v>7</v>
      </c>
      <c r="HQ767" s="27" t="s">
        <v>8</v>
      </c>
    </row>
    <row r="768" spans="1:256" x14ac:dyDescent="0.25">
      <c r="A768" s="7">
        <v>2.7756768999967207E-2</v>
      </c>
      <c r="B768"/>
      <c r="C768"/>
      <c r="D768"/>
      <c r="E768"/>
      <c r="F768" s="27" t="s">
        <v>7</v>
      </c>
      <c r="DG768" s="27" t="s">
        <v>8</v>
      </c>
      <c r="DH768" s="27" t="s">
        <v>7</v>
      </c>
      <c r="DS768" s="27" t="s">
        <v>8</v>
      </c>
      <c r="DT768" s="27" t="s">
        <v>7</v>
      </c>
      <c r="DU768" s="27" t="s">
        <v>8</v>
      </c>
      <c r="GD768" s="27" t="s">
        <v>7</v>
      </c>
      <c r="GE768" s="27" t="s">
        <v>8</v>
      </c>
      <c r="GN768" s="27" t="s">
        <v>7</v>
      </c>
      <c r="GO768" s="27" t="s">
        <v>8</v>
      </c>
      <c r="GT768" s="27" t="s">
        <v>7</v>
      </c>
      <c r="HM768" s="27" t="s">
        <v>8</v>
      </c>
      <c r="HN768" s="27" t="s">
        <v>7</v>
      </c>
      <c r="HO768" s="27" t="s">
        <v>8</v>
      </c>
      <c r="HP768" s="27" t="s">
        <v>7</v>
      </c>
      <c r="HQ768" s="27" t="s">
        <v>8</v>
      </c>
    </row>
    <row r="769" spans="1:224" x14ac:dyDescent="0.25">
      <c r="A769" s="7">
        <v>2.7212518627418834E-2</v>
      </c>
      <c r="B769"/>
      <c r="C769"/>
      <c r="D769"/>
      <c r="E769"/>
      <c r="F769" s="27" t="s">
        <v>7</v>
      </c>
      <c r="DA769" s="27" t="s">
        <v>8</v>
      </c>
      <c r="DG769" s="27" t="s">
        <v>8</v>
      </c>
      <c r="DH769" s="27" t="s">
        <v>7</v>
      </c>
      <c r="DS769" s="27" t="s">
        <v>8</v>
      </c>
      <c r="DT769" s="27" t="s">
        <v>7</v>
      </c>
      <c r="DU769" s="27" t="s">
        <v>8</v>
      </c>
      <c r="GD769" s="27" t="s">
        <v>7</v>
      </c>
      <c r="GE769" s="27" t="s">
        <v>8</v>
      </c>
      <c r="GN769" s="27" t="s">
        <v>7</v>
      </c>
      <c r="GT769" s="27" t="s">
        <v>7</v>
      </c>
      <c r="GU769" s="27" t="s">
        <v>8</v>
      </c>
      <c r="HA769" s="27" t="s">
        <v>8</v>
      </c>
      <c r="HM769" s="27" t="s">
        <v>8</v>
      </c>
      <c r="HN769" s="27" t="s">
        <v>7</v>
      </c>
      <c r="HO769" s="27" t="s">
        <v>8</v>
      </c>
      <c r="HP769" s="27" t="s">
        <v>7</v>
      </c>
    </row>
    <row r="770" spans="1:224" x14ac:dyDescent="0.25">
      <c r="A770" s="7">
        <v>2.6678939830802779E-2</v>
      </c>
      <c r="B770"/>
      <c r="C770"/>
      <c r="D770"/>
      <c r="E770"/>
      <c r="F770" s="27" t="s">
        <v>7</v>
      </c>
      <c r="DA770" s="27" t="s">
        <v>8</v>
      </c>
      <c r="DB770" s="27" t="s">
        <v>7</v>
      </c>
      <c r="DG770" s="27" t="s">
        <v>8</v>
      </c>
      <c r="DH770" s="27" t="s">
        <v>7</v>
      </c>
      <c r="DS770" s="27" t="s">
        <v>8</v>
      </c>
      <c r="DT770" s="27" t="s">
        <v>7</v>
      </c>
      <c r="DU770" s="27" t="s">
        <v>8</v>
      </c>
      <c r="GD770" s="27" t="s">
        <v>7</v>
      </c>
      <c r="GE770" s="27" t="s">
        <v>8</v>
      </c>
      <c r="GT770" s="27" t="s">
        <v>7</v>
      </c>
      <c r="GU770" s="27" t="s">
        <v>8</v>
      </c>
      <c r="GV770" s="27" t="s">
        <v>7</v>
      </c>
      <c r="GW770" s="27" t="s">
        <v>8</v>
      </c>
      <c r="HA770" s="27" t="s">
        <v>8</v>
      </c>
      <c r="HB770" s="27" t="s">
        <v>7</v>
      </c>
      <c r="HK770" s="27" t="s">
        <v>8</v>
      </c>
      <c r="HM770" s="27" t="s">
        <v>8</v>
      </c>
      <c r="HN770" s="27" t="s">
        <v>7</v>
      </c>
      <c r="HO770" s="27" t="s">
        <v>8</v>
      </c>
    </row>
    <row r="771" spans="1:224" x14ac:dyDescent="0.25">
      <c r="A771" s="7">
        <v>2.615582336353214E-2</v>
      </c>
      <c r="B771"/>
      <c r="C771"/>
      <c r="D771"/>
      <c r="E771"/>
      <c r="F771" s="27" t="s">
        <v>7</v>
      </c>
      <c r="DA771" s="27" t="s">
        <v>8</v>
      </c>
      <c r="DB771" s="27" t="s">
        <v>7</v>
      </c>
      <c r="DG771" s="27" t="s">
        <v>8</v>
      </c>
      <c r="DH771" s="27" t="s">
        <v>7</v>
      </c>
      <c r="DS771" s="27" t="s">
        <v>8</v>
      </c>
      <c r="DT771" s="27" t="s">
        <v>7</v>
      </c>
      <c r="DU771" s="27" t="s">
        <v>8</v>
      </c>
      <c r="GD771" s="27" t="s">
        <v>7</v>
      </c>
      <c r="GE771" s="27" t="s">
        <v>8</v>
      </c>
      <c r="GT771" s="27" t="s">
        <v>7</v>
      </c>
      <c r="GU771" s="27" t="s">
        <v>8</v>
      </c>
      <c r="GV771" s="27" t="s">
        <v>7</v>
      </c>
      <c r="GW771" s="27" t="s">
        <v>8</v>
      </c>
      <c r="GX771" s="27" t="s">
        <v>7</v>
      </c>
      <c r="GY771" s="27" t="s">
        <v>8</v>
      </c>
      <c r="HA771" s="27" t="s">
        <v>8</v>
      </c>
      <c r="HB771" s="27" t="s">
        <v>7</v>
      </c>
      <c r="HK771" s="27" t="s">
        <v>8</v>
      </c>
      <c r="HL771" s="27" t="s">
        <v>7</v>
      </c>
      <c r="HM771" s="27" t="s">
        <v>8</v>
      </c>
      <c r="HN771" s="27" t="s">
        <v>7</v>
      </c>
      <c r="HO771" s="27" t="s">
        <v>8</v>
      </c>
    </row>
    <row r="772" spans="1:224" x14ac:dyDescent="0.25">
      <c r="A772" s="7">
        <v>2.5642964081894253E-2</v>
      </c>
      <c r="B772"/>
      <c r="C772"/>
      <c r="D772"/>
      <c r="E772"/>
      <c r="F772" s="27" t="s">
        <v>7</v>
      </c>
      <c r="DA772" s="27" t="s">
        <v>8</v>
      </c>
      <c r="DB772" s="27" t="s">
        <v>7</v>
      </c>
      <c r="DG772" s="27" t="s">
        <v>8</v>
      </c>
      <c r="DH772" s="27" t="s">
        <v>7</v>
      </c>
      <c r="DI772" s="27" t="s">
        <v>8</v>
      </c>
      <c r="DS772" s="27" t="s">
        <v>8</v>
      </c>
      <c r="DT772" s="27" t="s">
        <v>7</v>
      </c>
      <c r="DU772" s="27" t="s">
        <v>8</v>
      </c>
      <c r="GD772" s="27" t="s">
        <v>7</v>
      </c>
      <c r="GE772" s="27" t="s">
        <v>8</v>
      </c>
      <c r="GT772" s="27" t="s">
        <v>7</v>
      </c>
      <c r="GU772" s="27" t="s">
        <v>8</v>
      </c>
      <c r="GV772" s="27" t="s">
        <v>7</v>
      </c>
      <c r="GW772" s="27" t="s">
        <v>8</v>
      </c>
      <c r="GX772" s="27" t="s">
        <v>7</v>
      </c>
      <c r="GY772" s="27" t="s">
        <v>8</v>
      </c>
      <c r="GZ772" s="27" t="s">
        <v>7</v>
      </c>
      <c r="HA772" s="27" t="s">
        <v>8</v>
      </c>
      <c r="HB772" s="27" t="s">
        <v>7</v>
      </c>
      <c r="HE772" s="27" t="s">
        <v>8</v>
      </c>
      <c r="HK772" s="27" t="s">
        <v>8</v>
      </c>
      <c r="HL772" s="27" t="s">
        <v>7</v>
      </c>
      <c r="HM772" s="27" t="s">
        <v>8</v>
      </c>
      <c r="HN772" s="27" t="s">
        <v>7</v>
      </c>
      <c r="HO772" s="27" t="s">
        <v>8</v>
      </c>
    </row>
    <row r="773" spans="1:224" x14ac:dyDescent="0.25">
      <c r="A773" s="7">
        <v>2.5140160864602207E-2</v>
      </c>
      <c r="B773"/>
      <c r="C773"/>
      <c r="D773"/>
      <c r="E773"/>
      <c r="F773" s="27" t="s">
        <v>7</v>
      </c>
      <c r="DA773" s="27" t="s">
        <v>8</v>
      </c>
      <c r="DB773" s="27" t="s">
        <v>7</v>
      </c>
      <c r="DE773" s="27" t="s">
        <v>8</v>
      </c>
      <c r="DG773" s="27" t="s">
        <v>8</v>
      </c>
      <c r="DH773" s="27" t="s">
        <v>7</v>
      </c>
      <c r="DI773" s="27" t="s">
        <v>8</v>
      </c>
      <c r="DJ773" s="27" t="s">
        <v>7</v>
      </c>
      <c r="DS773" s="27" t="s">
        <v>8</v>
      </c>
      <c r="DT773" s="27" t="s">
        <v>7</v>
      </c>
      <c r="GD773" s="27" t="s">
        <v>7</v>
      </c>
      <c r="GE773" s="27" t="s">
        <v>8</v>
      </c>
      <c r="GT773" s="27" t="s">
        <v>7</v>
      </c>
      <c r="GU773" s="27" t="s">
        <v>8</v>
      </c>
      <c r="GV773" s="27" t="s">
        <v>7</v>
      </c>
      <c r="GW773" s="27" t="s">
        <v>8</v>
      </c>
      <c r="GX773" s="27" t="s">
        <v>7</v>
      </c>
      <c r="GY773" s="27" t="s">
        <v>8</v>
      </c>
      <c r="GZ773" s="27" t="s">
        <v>7</v>
      </c>
      <c r="HA773" s="27" t="s">
        <v>8</v>
      </c>
      <c r="HB773" s="27" t="s">
        <v>7</v>
      </c>
      <c r="HE773" s="27" t="s">
        <v>8</v>
      </c>
      <c r="HF773" s="27" t="s">
        <v>7</v>
      </c>
      <c r="HI773" s="27" t="s">
        <v>8</v>
      </c>
      <c r="HK773" s="27" t="s">
        <v>8</v>
      </c>
      <c r="HL773" s="27" t="s">
        <v>7</v>
      </c>
      <c r="HM773" s="27" t="s">
        <v>8</v>
      </c>
      <c r="HN773" s="27" t="s">
        <v>7</v>
      </c>
      <c r="HO773" s="27" t="s">
        <v>8</v>
      </c>
    </row>
    <row r="774" spans="1:224" x14ac:dyDescent="0.25">
      <c r="A774" s="7">
        <v>2.4647216533923735E-2</v>
      </c>
      <c r="B774"/>
      <c r="C774"/>
      <c r="D774"/>
      <c r="E774"/>
      <c r="F774" s="27" t="s">
        <v>7</v>
      </c>
      <c r="CI774" s="27" t="s">
        <v>8</v>
      </c>
      <c r="CW774" s="27" t="s">
        <v>8</v>
      </c>
      <c r="DA774" s="27" t="s">
        <v>8</v>
      </c>
      <c r="DB774" s="27" t="s">
        <v>7</v>
      </c>
      <c r="DE774" s="27" t="s">
        <v>8</v>
      </c>
      <c r="DF774" s="27" t="s">
        <v>7</v>
      </c>
      <c r="DG774" s="27" t="s">
        <v>8</v>
      </c>
      <c r="DH774" s="27" t="s">
        <v>7</v>
      </c>
      <c r="DI774" s="27" t="s">
        <v>8</v>
      </c>
      <c r="DJ774" s="27" t="s">
        <v>7</v>
      </c>
      <c r="DK774" s="27" t="s">
        <v>8</v>
      </c>
      <c r="DQ774" s="27" t="s">
        <v>8</v>
      </c>
      <c r="DS774" s="27" t="s">
        <v>8</v>
      </c>
      <c r="GD774" s="27" t="s">
        <v>7</v>
      </c>
      <c r="GE774" s="27" t="s">
        <v>8</v>
      </c>
      <c r="GT774" s="27" t="s">
        <v>7</v>
      </c>
      <c r="GU774" s="27" t="s">
        <v>8</v>
      </c>
      <c r="GV774" s="27" t="s">
        <v>7</v>
      </c>
      <c r="GW774" s="27" t="s">
        <v>8</v>
      </c>
      <c r="GX774" s="27" t="s">
        <v>7</v>
      </c>
      <c r="GY774" s="27" t="s">
        <v>8</v>
      </c>
      <c r="GZ774" s="27" t="s">
        <v>7</v>
      </c>
      <c r="HA774" s="27" t="s">
        <v>8</v>
      </c>
      <c r="HB774" s="27" t="s">
        <v>7</v>
      </c>
      <c r="HE774" s="27" t="s">
        <v>8</v>
      </c>
      <c r="HF774" s="27" t="s">
        <v>7</v>
      </c>
      <c r="HI774" s="27" t="s">
        <v>8</v>
      </c>
      <c r="HJ774" s="27" t="s">
        <v>7</v>
      </c>
      <c r="HK774" s="27" t="s">
        <v>8</v>
      </c>
      <c r="HL774" s="27" t="s">
        <v>7</v>
      </c>
      <c r="HM774" s="27" t="s">
        <v>8</v>
      </c>
      <c r="HN774" s="27" t="s">
        <v>7</v>
      </c>
    </row>
    <row r="775" spans="1:224" x14ac:dyDescent="0.25">
      <c r="A775" s="7">
        <v>2.4163937778356601E-2</v>
      </c>
      <c r="B775"/>
      <c r="C775"/>
      <c r="D775"/>
      <c r="E775"/>
      <c r="F775" s="27" t="s">
        <v>7</v>
      </c>
      <c r="CI775" s="27" t="s">
        <v>8</v>
      </c>
      <c r="CJ775" s="27" t="s">
        <v>7</v>
      </c>
      <c r="CU775" s="27" t="s">
        <v>8</v>
      </c>
      <c r="CW775" s="27" t="s">
        <v>8</v>
      </c>
      <c r="CX775" s="27" t="s">
        <v>7</v>
      </c>
      <c r="CY775" s="27" t="s">
        <v>8</v>
      </c>
      <c r="DA775" s="27" t="s">
        <v>8</v>
      </c>
      <c r="DB775" s="27" t="s">
        <v>7</v>
      </c>
      <c r="DE775" s="27" t="s">
        <v>8</v>
      </c>
      <c r="DF775" s="27" t="s">
        <v>7</v>
      </c>
      <c r="DG775" s="27" t="s">
        <v>8</v>
      </c>
      <c r="DH775" s="27" t="s">
        <v>7</v>
      </c>
      <c r="DI775" s="27" t="s">
        <v>8</v>
      </c>
      <c r="DJ775" s="27" t="s">
        <v>7</v>
      </c>
      <c r="DK775" s="27" t="s">
        <v>8</v>
      </c>
      <c r="DL775" s="27" t="s">
        <v>7</v>
      </c>
      <c r="DQ775" s="27" t="s">
        <v>8</v>
      </c>
      <c r="DR775" s="27" t="s">
        <v>7</v>
      </c>
      <c r="DS775" s="27" t="s">
        <v>8</v>
      </c>
      <c r="GD775" s="27" t="s">
        <v>7</v>
      </c>
      <c r="GE775" s="27" t="s">
        <v>8</v>
      </c>
      <c r="GT775" s="27" t="s">
        <v>7</v>
      </c>
      <c r="GU775" s="27" t="s">
        <v>8</v>
      </c>
      <c r="GV775" s="27" t="s">
        <v>7</v>
      </c>
      <c r="GW775" s="27" t="s">
        <v>8</v>
      </c>
      <c r="GX775" s="27" t="s">
        <v>7</v>
      </c>
      <c r="GY775" s="27" t="s">
        <v>8</v>
      </c>
      <c r="GZ775" s="27" t="s">
        <v>7</v>
      </c>
      <c r="HA775" s="27" t="s">
        <v>8</v>
      </c>
      <c r="HB775" s="27" t="s">
        <v>7</v>
      </c>
      <c r="HC775" s="27" t="s">
        <v>8</v>
      </c>
      <c r="HE775" s="27" t="s">
        <v>8</v>
      </c>
      <c r="HF775" s="27" t="s">
        <v>7</v>
      </c>
      <c r="HI775" s="27" t="s">
        <v>8</v>
      </c>
      <c r="HJ775" s="27" t="s">
        <v>7</v>
      </c>
      <c r="HK775" s="27" t="s">
        <v>8</v>
      </c>
      <c r="HL775" s="27" t="s">
        <v>7</v>
      </c>
    </row>
    <row r="776" spans="1:224" x14ac:dyDescent="0.25">
      <c r="A776" s="7">
        <v>2.3690135076820197E-2</v>
      </c>
      <c r="B776"/>
      <c r="C776"/>
      <c r="D776"/>
      <c r="E776"/>
      <c r="F776" s="27" t="s">
        <v>7</v>
      </c>
      <c r="CI776" s="27" t="s">
        <v>8</v>
      </c>
      <c r="CJ776" s="27" t="s">
        <v>7</v>
      </c>
      <c r="CQ776" s="27" t="s">
        <v>8</v>
      </c>
      <c r="CU776" s="27" t="s">
        <v>8</v>
      </c>
      <c r="CV776" s="27" t="s">
        <v>7</v>
      </c>
      <c r="CW776" s="27" t="s">
        <v>8</v>
      </c>
      <c r="CX776" s="27" t="s">
        <v>7</v>
      </c>
      <c r="CY776" s="27" t="s">
        <v>8</v>
      </c>
      <c r="CZ776" s="27" t="s">
        <v>7</v>
      </c>
      <c r="DA776" s="27" t="s">
        <v>8</v>
      </c>
      <c r="DB776" s="27" t="s">
        <v>7</v>
      </c>
      <c r="DE776" s="27" t="s">
        <v>8</v>
      </c>
      <c r="DF776" s="27" t="s">
        <v>7</v>
      </c>
      <c r="DG776" s="27" t="s">
        <v>8</v>
      </c>
      <c r="DH776" s="27" t="s">
        <v>7</v>
      </c>
      <c r="DI776" s="27" t="s">
        <v>8</v>
      </c>
      <c r="DJ776" s="27" t="s">
        <v>7</v>
      </c>
      <c r="DK776" s="27" t="s">
        <v>8</v>
      </c>
      <c r="DL776" s="27" t="s">
        <v>7</v>
      </c>
      <c r="DM776" s="27" t="s">
        <v>8</v>
      </c>
      <c r="DQ776" s="27" t="s">
        <v>8</v>
      </c>
      <c r="DR776" s="27" t="s">
        <v>7</v>
      </c>
      <c r="DS776" s="27" t="s">
        <v>8</v>
      </c>
      <c r="GD776" s="27" t="s">
        <v>7</v>
      </c>
      <c r="GE776" s="27" t="s">
        <v>8</v>
      </c>
      <c r="GT776" s="27" t="s">
        <v>7</v>
      </c>
      <c r="GU776" s="27" t="s">
        <v>8</v>
      </c>
      <c r="GV776" s="27" t="s">
        <v>7</v>
      </c>
      <c r="GW776" s="27" t="s">
        <v>8</v>
      </c>
      <c r="GX776" s="27" t="s">
        <v>7</v>
      </c>
      <c r="GY776" s="27" t="s">
        <v>8</v>
      </c>
      <c r="GZ776" s="27" t="s">
        <v>7</v>
      </c>
      <c r="HB776" s="27" t="s">
        <v>7</v>
      </c>
      <c r="HC776" s="27" t="s">
        <v>8</v>
      </c>
      <c r="HD776" s="27" t="s">
        <v>7</v>
      </c>
      <c r="HE776" s="27" t="s">
        <v>8</v>
      </c>
      <c r="HF776" s="27" t="s">
        <v>7</v>
      </c>
      <c r="HI776" s="27" t="s">
        <v>8</v>
      </c>
      <c r="HJ776" s="27" t="s">
        <v>7</v>
      </c>
      <c r="HK776" s="27" t="s">
        <v>8</v>
      </c>
    </row>
    <row r="777" spans="1:224" x14ac:dyDescent="0.25">
      <c r="A777" s="7">
        <v>2.3225622624333527E-2</v>
      </c>
      <c r="B777"/>
      <c r="C777"/>
      <c r="D777"/>
      <c r="E777"/>
      <c r="F777" s="27" t="s">
        <v>7</v>
      </c>
      <c r="CI777" s="27" t="s">
        <v>8</v>
      </c>
      <c r="CJ777" s="27" t="s">
        <v>7</v>
      </c>
      <c r="CQ777" s="27" t="s">
        <v>8</v>
      </c>
      <c r="CR777" s="27" t="s">
        <v>7</v>
      </c>
      <c r="CU777" s="27" t="s">
        <v>8</v>
      </c>
      <c r="CV777" s="27" t="s">
        <v>7</v>
      </c>
      <c r="CW777" s="27" t="s">
        <v>8</v>
      </c>
      <c r="CX777" s="27" t="s">
        <v>7</v>
      </c>
      <c r="CY777" s="27" t="s">
        <v>8</v>
      </c>
      <c r="CZ777" s="27" t="s">
        <v>7</v>
      </c>
      <c r="DA777" s="27" t="s">
        <v>8</v>
      </c>
      <c r="DB777" s="27" t="s">
        <v>7</v>
      </c>
      <c r="DC777" s="27" t="s">
        <v>8</v>
      </c>
      <c r="DE777" s="27" t="s">
        <v>8</v>
      </c>
      <c r="DF777" s="27" t="s">
        <v>7</v>
      </c>
      <c r="DG777" s="27" t="s">
        <v>8</v>
      </c>
      <c r="DH777" s="27" t="s">
        <v>7</v>
      </c>
      <c r="DI777" s="27" t="s">
        <v>8</v>
      </c>
      <c r="DJ777" s="27" t="s">
        <v>7</v>
      </c>
      <c r="DK777" s="27" t="s">
        <v>8</v>
      </c>
      <c r="DL777" s="27" t="s">
        <v>7</v>
      </c>
      <c r="DM777" s="27" t="s">
        <v>8</v>
      </c>
      <c r="DN777" s="27" t="s">
        <v>7</v>
      </c>
      <c r="DQ777" s="27" t="s">
        <v>8</v>
      </c>
      <c r="DR777" s="27" t="s">
        <v>7</v>
      </c>
      <c r="DS777" s="27" t="s">
        <v>8</v>
      </c>
      <c r="GD777" s="27" t="s">
        <v>7</v>
      </c>
      <c r="GE777" s="27" t="s">
        <v>8</v>
      </c>
      <c r="GT777" s="27" t="s">
        <v>7</v>
      </c>
      <c r="GU777" s="27" t="s">
        <v>8</v>
      </c>
      <c r="GV777" s="27" t="s">
        <v>7</v>
      </c>
      <c r="GW777" s="27" t="s">
        <v>8</v>
      </c>
      <c r="GX777" s="27" t="s">
        <v>7</v>
      </c>
      <c r="GY777" s="27" t="s">
        <v>8</v>
      </c>
      <c r="HB777" s="27" t="s">
        <v>7</v>
      </c>
      <c r="HC777" s="27" t="s">
        <v>8</v>
      </c>
      <c r="HD777" s="27" t="s">
        <v>7</v>
      </c>
      <c r="HE777" s="27" t="s">
        <v>8</v>
      </c>
      <c r="HF777" s="27" t="s">
        <v>7</v>
      </c>
      <c r="HI777" s="27" t="s">
        <v>8</v>
      </c>
      <c r="HJ777" s="27" t="s">
        <v>7</v>
      </c>
      <c r="HK777" s="27" t="s">
        <v>8</v>
      </c>
    </row>
    <row r="778" spans="1:224" x14ac:dyDescent="0.25">
      <c r="A778" s="7">
        <v>2.2770218259150519E-2</v>
      </c>
      <c r="B778"/>
      <c r="C778"/>
      <c r="D778"/>
      <c r="E778"/>
      <c r="F778" s="27" t="s">
        <v>7</v>
      </c>
      <c r="CI778" s="27" t="s">
        <v>8</v>
      </c>
      <c r="CJ778" s="27" t="s">
        <v>7</v>
      </c>
      <c r="CQ778" s="27" t="s">
        <v>8</v>
      </c>
      <c r="CR778" s="27" t="s">
        <v>7</v>
      </c>
      <c r="CU778" s="27" t="s">
        <v>8</v>
      </c>
      <c r="CV778" s="27" t="s">
        <v>7</v>
      </c>
      <c r="CW778" s="27" t="s">
        <v>8</v>
      </c>
      <c r="CX778" s="27" t="s">
        <v>7</v>
      </c>
      <c r="CY778" s="27" t="s">
        <v>8</v>
      </c>
      <c r="CZ778" s="27" t="s">
        <v>7</v>
      </c>
      <c r="DA778" s="27" t="s">
        <v>8</v>
      </c>
      <c r="DB778" s="27" t="s">
        <v>7</v>
      </c>
      <c r="DC778" s="27" t="s">
        <v>8</v>
      </c>
      <c r="DD778" s="27" t="s">
        <v>7</v>
      </c>
      <c r="DE778" s="27" t="s">
        <v>8</v>
      </c>
      <c r="DF778" s="27" t="s">
        <v>7</v>
      </c>
      <c r="DG778" s="27" t="s">
        <v>8</v>
      </c>
      <c r="DH778" s="27" t="s">
        <v>7</v>
      </c>
      <c r="DI778" s="27" t="s">
        <v>8</v>
      </c>
      <c r="DJ778" s="27" t="s">
        <v>7</v>
      </c>
      <c r="DK778" s="27" t="s">
        <v>8</v>
      </c>
      <c r="DL778" s="27" t="s">
        <v>7</v>
      </c>
      <c r="DM778" s="27" t="s">
        <v>8</v>
      </c>
      <c r="DN778" s="27" t="s">
        <v>7</v>
      </c>
      <c r="DQ778" s="27" t="s">
        <v>8</v>
      </c>
      <c r="DR778" s="27" t="s">
        <v>7</v>
      </c>
      <c r="DS778" s="27" t="s">
        <v>8</v>
      </c>
      <c r="GD778" s="27" t="s">
        <v>7</v>
      </c>
      <c r="GT778" s="27" t="s">
        <v>7</v>
      </c>
      <c r="GU778" s="27" t="s">
        <v>8</v>
      </c>
      <c r="GV778" s="27" t="s">
        <v>7</v>
      </c>
      <c r="GW778" s="27" t="s">
        <v>8</v>
      </c>
      <c r="GX778" s="27" t="s">
        <v>7</v>
      </c>
      <c r="GY778" s="27" t="s">
        <v>8</v>
      </c>
      <c r="HB778" s="27" t="s">
        <v>7</v>
      </c>
      <c r="HD778" s="27" t="s">
        <v>7</v>
      </c>
      <c r="HE778" s="27" t="s">
        <v>8</v>
      </c>
      <c r="HF778" s="27" t="s">
        <v>7</v>
      </c>
      <c r="HI778" s="27" t="s">
        <v>8</v>
      </c>
      <c r="HJ778" s="27" t="s">
        <v>7</v>
      </c>
    </row>
    <row r="779" spans="1:224" x14ac:dyDescent="0.25">
      <c r="A779" s="7">
        <v>2.2323743391324039E-2</v>
      </c>
      <c r="B779"/>
      <c r="C779"/>
      <c r="D779"/>
      <c r="E779"/>
      <c r="F779" s="27" t="s">
        <v>7</v>
      </c>
      <c r="CI779" s="27" t="s">
        <v>8</v>
      </c>
      <c r="CJ779" s="27" t="s">
        <v>7</v>
      </c>
      <c r="CK779" s="27" t="s">
        <v>8</v>
      </c>
      <c r="CQ779" s="27" t="s">
        <v>8</v>
      </c>
      <c r="CR779" s="27" t="s">
        <v>7</v>
      </c>
      <c r="CU779" s="27" t="s">
        <v>8</v>
      </c>
      <c r="CV779" s="27" t="s">
        <v>7</v>
      </c>
      <c r="CW779" s="27" t="s">
        <v>8</v>
      </c>
      <c r="CX779" s="27" t="s">
        <v>7</v>
      </c>
      <c r="CY779" s="27" t="s">
        <v>8</v>
      </c>
      <c r="CZ779" s="27" t="s">
        <v>7</v>
      </c>
      <c r="DA779" s="27" t="s">
        <v>8</v>
      </c>
      <c r="DB779" s="27" t="s">
        <v>7</v>
      </c>
      <c r="DC779" s="27" t="s">
        <v>8</v>
      </c>
      <c r="DD779" s="27" t="s">
        <v>7</v>
      </c>
      <c r="DE779" s="27" t="s">
        <v>8</v>
      </c>
      <c r="DF779" s="27" t="s">
        <v>7</v>
      </c>
      <c r="DG779" s="27" t="s">
        <v>8</v>
      </c>
      <c r="DH779" s="27" t="s">
        <v>7</v>
      </c>
      <c r="DI779" s="27" t="s">
        <v>8</v>
      </c>
      <c r="DJ779" s="27" t="s">
        <v>7</v>
      </c>
      <c r="DK779" s="27" t="s">
        <v>8</v>
      </c>
      <c r="DL779" s="27" t="s">
        <v>7</v>
      </c>
      <c r="DM779" s="27" t="s">
        <v>8</v>
      </c>
      <c r="DN779" s="27" t="s">
        <v>7</v>
      </c>
      <c r="DO779" s="27" t="s">
        <v>8</v>
      </c>
      <c r="DQ779" s="27" t="s">
        <v>8</v>
      </c>
      <c r="DR779" s="27" t="s">
        <v>7</v>
      </c>
      <c r="GT779" s="27" t="s">
        <v>7</v>
      </c>
      <c r="GU779" s="27" t="s">
        <v>8</v>
      </c>
      <c r="GV779" s="27" t="s">
        <v>7</v>
      </c>
      <c r="GW779" s="27" t="s">
        <v>8</v>
      </c>
      <c r="GX779" s="27" t="s">
        <v>7</v>
      </c>
      <c r="HD779" s="27" t="s">
        <v>7</v>
      </c>
      <c r="HE779" s="27" t="s">
        <v>8</v>
      </c>
      <c r="HF779" s="27" t="s">
        <v>7</v>
      </c>
      <c r="HG779" s="27" t="s">
        <v>8</v>
      </c>
      <c r="HI779" s="27" t="s">
        <v>8</v>
      </c>
    </row>
    <row r="780" spans="1:224" x14ac:dyDescent="0.25">
      <c r="A780" s="7">
        <v>2.188602293267063E-2</v>
      </c>
      <c r="B780"/>
      <c r="C780"/>
      <c r="D780"/>
      <c r="E780"/>
      <c r="F780" s="27" t="s">
        <v>7</v>
      </c>
      <c r="CI780" s="27" t="s">
        <v>8</v>
      </c>
      <c r="CJ780" s="27" t="s">
        <v>7</v>
      </c>
      <c r="CK780" s="27" t="s">
        <v>8</v>
      </c>
      <c r="CL780" s="27" t="s">
        <v>7</v>
      </c>
      <c r="CQ780" s="27" t="s">
        <v>8</v>
      </c>
      <c r="CR780" s="27" t="s">
        <v>7</v>
      </c>
      <c r="CS780" s="27" t="s">
        <v>8</v>
      </c>
      <c r="CU780" s="27" t="s">
        <v>8</v>
      </c>
      <c r="CV780" s="27" t="s">
        <v>7</v>
      </c>
      <c r="CW780" s="27" t="s">
        <v>8</v>
      </c>
      <c r="CX780" s="27" t="s">
        <v>7</v>
      </c>
      <c r="CY780" s="27" t="s">
        <v>8</v>
      </c>
      <c r="CZ780" s="27" t="s">
        <v>7</v>
      </c>
      <c r="DA780" s="27" t="s">
        <v>8</v>
      </c>
      <c r="DB780" s="27" t="s">
        <v>7</v>
      </c>
      <c r="DC780" s="27" t="s">
        <v>8</v>
      </c>
      <c r="DD780" s="27" t="s">
        <v>7</v>
      </c>
      <c r="DE780" s="27" t="s">
        <v>8</v>
      </c>
      <c r="DF780" s="27" t="s">
        <v>7</v>
      </c>
      <c r="DG780" s="27" t="s">
        <v>8</v>
      </c>
      <c r="DH780" s="27" t="s">
        <v>7</v>
      </c>
      <c r="DI780" s="27" t="s">
        <v>8</v>
      </c>
      <c r="DJ780" s="27" t="s">
        <v>7</v>
      </c>
      <c r="DK780" s="27" t="s">
        <v>8</v>
      </c>
      <c r="DL780" s="27" t="s">
        <v>7</v>
      </c>
      <c r="DM780" s="27" t="s">
        <v>8</v>
      </c>
      <c r="DN780" s="27" t="s">
        <v>7</v>
      </c>
      <c r="DO780" s="27" t="s">
        <v>8</v>
      </c>
      <c r="DP780" s="27" t="s">
        <v>7</v>
      </c>
      <c r="DQ780" s="27" t="s">
        <v>8</v>
      </c>
      <c r="GT780" s="27" t="s">
        <v>7</v>
      </c>
      <c r="GU780" s="27" t="s">
        <v>8</v>
      </c>
      <c r="GV780" s="27" t="s">
        <v>7</v>
      </c>
      <c r="GW780" s="27" t="s">
        <v>8</v>
      </c>
      <c r="HD780" s="27" t="s">
        <v>7</v>
      </c>
      <c r="HE780" s="27" t="s">
        <v>8</v>
      </c>
      <c r="HF780" s="27" t="s">
        <v>7</v>
      </c>
      <c r="HG780" s="27" t="s">
        <v>8</v>
      </c>
      <c r="HH780" s="27" t="s">
        <v>7</v>
      </c>
      <c r="HI780" s="27" t="s">
        <v>8</v>
      </c>
    </row>
    <row r="781" spans="1:224" x14ac:dyDescent="0.25">
      <c r="A781" s="7">
        <v>2.1456885228108461E-2</v>
      </c>
      <c r="B781"/>
      <c r="C781"/>
      <c r="D781"/>
      <c r="E781"/>
      <c r="F781" s="27" t="s">
        <v>7</v>
      </c>
      <c r="BA781" s="27" t="s">
        <v>8</v>
      </c>
      <c r="CI781" s="27" t="s">
        <v>8</v>
      </c>
      <c r="CJ781" s="27" t="s">
        <v>7</v>
      </c>
      <c r="CK781" s="27" t="s">
        <v>8</v>
      </c>
      <c r="CL781" s="27" t="s">
        <v>7</v>
      </c>
      <c r="CQ781" s="27" t="s">
        <v>8</v>
      </c>
      <c r="CR781" s="27" t="s">
        <v>7</v>
      </c>
      <c r="CS781" s="27" t="s">
        <v>8</v>
      </c>
      <c r="CT781" s="27" t="s">
        <v>7</v>
      </c>
      <c r="CU781" s="27" t="s">
        <v>8</v>
      </c>
      <c r="CV781" s="27" t="s">
        <v>7</v>
      </c>
      <c r="CX781" s="27" t="s">
        <v>7</v>
      </c>
      <c r="CY781" s="27" t="s">
        <v>8</v>
      </c>
      <c r="CZ781" s="27" t="s">
        <v>7</v>
      </c>
      <c r="DA781" s="27" t="s">
        <v>8</v>
      </c>
      <c r="DB781" s="27" t="s">
        <v>7</v>
      </c>
      <c r="DC781" s="27" t="s">
        <v>8</v>
      </c>
      <c r="DD781" s="27" t="s">
        <v>7</v>
      </c>
      <c r="DF781" s="27" t="s">
        <v>7</v>
      </c>
      <c r="DG781" s="27" t="s">
        <v>8</v>
      </c>
      <c r="DH781" s="27" t="s">
        <v>7</v>
      </c>
      <c r="DI781" s="27" t="s">
        <v>8</v>
      </c>
      <c r="DJ781" s="27" t="s">
        <v>7</v>
      </c>
      <c r="DK781" s="27" t="s">
        <v>8</v>
      </c>
      <c r="DL781" s="27" t="s">
        <v>7</v>
      </c>
      <c r="DM781" s="27" t="s">
        <v>8</v>
      </c>
      <c r="DN781" s="27" t="s">
        <v>7</v>
      </c>
      <c r="DO781" s="27" t="s">
        <v>8</v>
      </c>
      <c r="DP781" s="27" t="s">
        <v>7</v>
      </c>
      <c r="DQ781" s="27" t="s">
        <v>8</v>
      </c>
      <c r="GT781" s="27" t="s">
        <v>7</v>
      </c>
      <c r="GU781" s="27" t="s">
        <v>8</v>
      </c>
      <c r="GV781" s="27" t="s">
        <v>7</v>
      </c>
      <c r="GW781" s="27" t="s">
        <v>8</v>
      </c>
      <c r="HD781" s="27" t="s">
        <v>7</v>
      </c>
      <c r="HE781" s="27" t="s">
        <v>8</v>
      </c>
      <c r="HF781" s="27" t="s">
        <v>7</v>
      </c>
      <c r="HG781" s="27" t="s">
        <v>8</v>
      </c>
      <c r="HH781" s="27" t="s">
        <v>7</v>
      </c>
      <c r="HI781" s="27" t="s">
        <v>8</v>
      </c>
    </row>
    <row r="782" spans="1:224" x14ac:dyDescent="0.25">
      <c r="A782" s="7">
        <v>2.1036161988341632E-2</v>
      </c>
      <c r="B782"/>
      <c r="C782"/>
      <c r="D782"/>
      <c r="E782"/>
      <c r="F782" s="27" t="s">
        <v>7</v>
      </c>
      <c r="BA782" s="27" t="s">
        <v>8</v>
      </c>
      <c r="BB782" s="27" t="s">
        <v>7</v>
      </c>
      <c r="CI782" s="27" t="s">
        <v>8</v>
      </c>
      <c r="CJ782" s="27" t="s">
        <v>7</v>
      </c>
      <c r="CK782" s="27" t="s">
        <v>8</v>
      </c>
      <c r="CL782" s="27" t="s">
        <v>7</v>
      </c>
      <c r="CQ782" s="27" t="s">
        <v>8</v>
      </c>
      <c r="CR782" s="27" t="s">
        <v>7</v>
      </c>
      <c r="CS782" s="27" t="s">
        <v>8</v>
      </c>
      <c r="CT782" s="27" t="s">
        <v>7</v>
      </c>
      <c r="CU782" s="27" t="s">
        <v>8</v>
      </c>
      <c r="CX782" s="27" t="s">
        <v>7</v>
      </c>
      <c r="CY782" s="27" t="s">
        <v>8</v>
      </c>
      <c r="CZ782" s="27" t="s">
        <v>7</v>
      </c>
      <c r="DA782" s="27" t="s">
        <v>8</v>
      </c>
      <c r="DB782" s="27" t="s">
        <v>7</v>
      </c>
      <c r="DC782" s="27" t="s">
        <v>8</v>
      </c>
      <c r="DF782" s="27" t="s">
        <v>7</v>
      </c>
      <c r="DG782" s="27" t="s">
        <v>8</v>
      </c>
      <c r="DH782" s="27" t="s">
        <v>7</v>
      </c>
      <c r="DJ782" s="27" t="s">
        <v>7</v>
      </c>
      <c r="DK782" s="27" t="s">
        <v>8</v>
      </c>
      <c r="DL782" s="27" t="s">
        <v>7</v>
      </c>
      <c r="DN782" s="27" t="s">
        <v>7</v>
      </c>
      <c r="DO782" s="27" t="s">
        <v>8</v>
      </c>
      <c r="DP782" s="27" t="s">
        <v>7</v>
      </c>
      <c r="DQ782" s="27" t="s">
        <v>8</v>
      </c>
      <c r="GT782" s="27" t="s">
        <v>7</v>
      </c>
      <c r="GU782" s="27" t="s">
        <v>8</v>
      </c>
      <c r="GV782" s="27" t="s">
        <v>7</v>
      </c>
      <c r="GW782" s="27" t="s">
        <v>8</v>
      </c>
      <c r="HD782" s="27" t="s">
        <v>7</v>
      </c>
      <c r="HF782" s="27" t="s">
        <v>7</v>
      </c>
      <c r="HH782" s="27" t="s">
        <v>7</v>
      </c>
      <c r="HI782" s="27" t="s">
        <v>8</v>
      </c>
    </row>
    <row r="783" spans="1:224" x14ac:dyDescent="0.25">
      <c r="A783" s="7">
        <v>2.0623688223864345E-2</v>
      </c>
      <c r="B783"/>
      <c r="C783"/>
      <c r="D783"/>
      <c r="E783"/>
      <c r="F783" s="27" t="s">
        <v>7</v>
      </c>
      <c r="BA783" s="27" t="s">
        <v>8</v>
      </c>
      <c r="BB783" s="27" t="s">
        <v>7</v>
      </c>
      <c r="CI783" s="27" t="s">
        <v>8</v>
      </c>
      <c r="CJ783" s="27" t="s">
        <v>7</v>
      </c>
      <c r="CK783" s="27" t="s">
        <v>8</v>
      </c>
      <c r="CL783" s="27" t="s">
        <v>7</v>
      </c>
      <c r="CQ783" s="27" t="s">
        <v>8</v>
      </c>
      <c r="CR783" s="27" t="s">
        <v>7</v>
      </c>
      <c r="CS783" s="27" t="s">
        <v>8</v>
      </c>
      <c r="CT783" s="27" t="s">
        <v>7</v>
      </c>
      <c r="CU783" s="27" t="s">
        <v>8</v>
      </c>
      <c r="CX783" s="27" t="s">
        <v>7</v>
      </c>
      <c r="CY783" s="27" t="s">
        <v>8</v>
      </c>
      <c r="CZ783" s="27" t="s">
        <v>7</v>
      </c>
      <c r="DB783" s="27" t="s">
        <v>7</v>
      </c>
      <c r="DC783" s="27" t="s">
        <v>8</v>
      </c>
      <c r="DF783" s="27" t="s">
        <v>7</v>
      </c>
      <c r="DG783" s="27" t="s">
        <v>8</v>
      </c>
      <c r="DJ783" s="27" t="s">
        <v>7</v>
      </c>
      <c r="DK783" s="27" t="s">
        <v>8</v>
      </c>
      <c r="DN783" s="27" t="s">
        <v>7</v>
      </c>
      <c r="DO783" s="27" t="s">
        <v>8</v>
      </c>
      <c r="DP783" s="27" t="s">
        <v>7</v>
      </c>
      <c r="DQ783" s="27" t="s">
        <v>8</v>
      </c>
      <c r="GT783" s="27" t="s">
        <v>7</v>
      </c>
      <c r="GU783" s="27" t="s">
        <v>8</v>
      </c>
      <c r="GV783" s="27" t="s">
        <v>7</v>
      </c>
      <c r="GW783" s="27" t="s">
        <v>8</v>
      </c>
      <c r="HH783" s="27" t="s">
        <v>7</v>
      </c>
      <c r="HI783" s="27" t="s">
        <v>8</v>
      </c>
    </row>
    <row r="784" spans="1:224" x14ac:dyDescent="0.25">
      <c r="A784" s="7">
        <v>2.021930218025916E-2</v>
      </c>
      <c r="B784"/>
      <c r="C784"/>
      <c r="D784"/>
      <c r="E784"/>
      <c r="F784" s="27" t="s">
        <v>7</v>
      </c>
      <c r="BA784" s="27" t="s">
        <v>8</v>
      </c>
      <c r="BB784" s="27" t="s">
        <v>7</v>
      </c>
      <c r="CI784" s="27" t="s">
        <v>8</v>
      </c>
      <c r="CJ784" s="27" t="s">
        <v>7</v>
      </c>
      <c r="CK784" s="27" t="s">
        <v>8</v>
      </c>
      <c r="CL784" s="27" t="s">
        <v>7</v>
      </c>
      <c r="CQ784" s="27" t="s">
        <v>8</v>
      </c>
      <c r="CR784" s="27" t="s">
        <v>7</v>
      </c>
      <c r="CS784" s="27" t="s">
        <v>8</v>
      </c>
      <c r="CT784" s="27" t="s">
        <v>7</v>
      </c>
      <c r="CU784" s="27" t="s">
        <v>8</v>
      </c>
      <c r="CX784" s="27" t="s">
        <v>7</v>
      </c>
      <c r="CY784" s="27" t="s">
        <v>8</v>
      </c>
      <c r="DB784" s="27" t="s">
        <v>7</v>
      </c>
      <c r="DC784" s="27" t="s">
        <v>8</v>
      </c>
      <c r="DF784" s="27" t="s">
        <v>7</v>
      </c>
      <c r="DJ784" s="27" t="s">
        <v>7</v>
      </c>
      <c r="DK784" s="27" t="s">
        <v>8</v>
      </c>
      <c r="DN784" s="27" t="s">
        <v>7</v>
      </c>
      <c r="DO784" s="27" t="s">
        <v>8</v>
      </c>
      <c r="DP784" s="27" t="s">
        <v>7</v>
      </c>
      <c r="DQ784" s="27" t="s">
        <v>8</v>
      </c>
      <c r="GT784" s="27" t="s">
        <v>7</v>
      </c>
      <c r="GU784" s="27" t="s">
        <v>8</v>
      </c>
      <c r="GV784" s="27" t="s">
        <v>7</v>
      </c>
      <c r="GW784" s="27" t="s">
        <v>8</v>
      </c>
      <c r="HH784" s="27" t="s">
        <v>7</v>
      </c>
      <c r="HI784" s="27" t="s">
        <v>8</v>
      </c>
    </row>
    <row r="785" spans="1:217" x14ac:dyDescent="0.25">
      <c r="A785" s="7">
        <v>1.9822845274763884E-2</v>
      </c>
      <c r="B785"/>
      <c r="C785"/>
      <c r="D785"/>
      <c r="E785"/>
      <c r="F785" s="27" t="s">
        <v>7</v>
      </c>
      <c r="BA785" s="27" t="s">
        <v>8</v>
      </c>
      <c r="BB785" s="27" t="s">
        <v>7</v>
      </c>
      <c r="CI785" s="27" t="s">
        <v>8</v>
      </c>
      <c r="CJ785" s="27" t="s">
        <v>7</v>
      </c>
      <c r="CK785" s="27" t="s">
        <v>8</v>
      </c>
      <c r="CL785" s="27" t="s">
        <v>7</v>
      </c>
      <c r="CQ785" s="27" t="s">
        <v>8</v>
      </c>
      <c r="CR785" s="27" t="s">
        <v>7</v>
      </c>
      <c r="CS785" s="27" t="s">
        <v>8</v>
      </c>
      <c r="CT785" s="27" t="s">
        <v>7</v>
      </c>
      <c r="CU785" s="27" t="s">
        <v>8</v>
      </c>
      <c r="CX785" s="27" t="s">
        <v>7</v>
      </c>
      <c r="CY785" s="27" t="s">
        <v>8</v>
      </c>
      <c r="DB785" s="27" t="s">
        <v>7</v>
      </c>
      <c r="DJ785" s="27" t="s">
        <v>7</v>
      </c>
      <c r="DK785" s="27" t="s">
        <v>8</v>
      </c>
      <c r="DN785" s="27" t="s">
        <v>7</v>
      </c>
      <c r="DO785" s="27" t="s">
        <v>8</v>
      </c>
      <c r="DP785" s="27" t="s">
        <v>7</v>
      </c>
      <c r="DQ785" s="27" t="s">
        <v>8</v>
      </c>
      <c r="GT785" s="27" t="s">
        <v>7</v>
      </c>
      <c r="GU785" s="27" t="s">
        <v>8</v>
      </c>
      <c r="GV785" s="27" t="s">
        <v>7</v>
      </c>
      <c r="HH785" s="27" t="s">
        <v>7</v>
      </c>
      <c r="HI785" s="27" t="s">
        <v>8</v>
      </c>
    </row>
    <row r="786" spans="1:217" x14ac:dyDescent="0.25">
      <c r="A786" s="7">
        <v>1.9434162034082238E-2</v>
      </c>
      <c r="B786"/>
      <c r="C786"/>
      <c r="D786"/>
      <c r="E786"/>
      <c r="F786" s="27" t="s">
        <v>7</v>
      </c>
      <c r="BA786" s="27" t="s">
        <v>8</v>
      </c>
      <c r="BB786" s="27" t="s">
        <v>7</v>
      </c>
      <c r="CI786" s="27" t="s">
        <v>8</v>
      </c>
      <c r="CJ786" s="27" t="s">
        <v>7</v>
      </c>
      <c r="CK786" s="27" t="s">
        <v>8</v>
      </c>
      <c r="CL786" s="27" t="s">
        <v>7</v>
      </c>
      <c r="CO786" s="27" t="s">
        <v>8</v>
      </c>
      <c r="CQ786" s="27" t="s">
        <v>8</v>
      </c>
      <c r="CR786" s="27" t="s">
        <v>7</v>
      </c>
      <c r="CS786" s="27" t="s">
        <v>8</v>
      </c>
      <c r="CT786" s="27" t="s">
        <v>7</v>
      </c>
      <c r="CX786" s="27" t="s">
        <v>7</v>
      </c>
      <c r="CY786" s="27" t="s">
        <v>8</v>
      </c>
      <c r="DJ786" s="27" t="s">
        <v>7</v>
      </c>
      <c r="DK786" s="27" t="s">
        <v>8</v>
      </c>
      <c r="DN786" s="27" t="s">
        <v>7</v>
      </c>
      <c r="DO786" s="27" t="s">
        <v>8</v>
      </c>
      <c r="DP786" s="27" t="s">
        <v>7</v>
      </c>
      <c r="DQ786" s="27" t="s">
        <v>8</v>
      </c>
      <c r="GT786" s="27" t="s">
        <v>7</v>
      </c>
      <c r="GU786" s="27" t="s">
        <v>8</v>
      </c>
      <c r="HH786" s="18" t="s">
        <v>7</v>
      </c>
      <c r="HI786" s="27" t="s">
        <v>8</v>
      </c>
    </row>
    <row r="787" spans="1:217" x14ac:dyDescent="0.25">
      <c r="A787" s="7">
        <v>1.9053100033413959E-2</v>
      </c>
      <c r="B787"/>
      <c r="C787"/>
      <c r="D787"/>
      <c r="E787"/>
      <c r="F787" s="27" t="s">
        <v>7</v>
      </c>
      <c r="BA787" s="27" t="s">
        <v>8</v>
      </c>
      <c r="BB787" s="27" t="s">
        <v>7</v>
      </c>
      <c r="CG787" s="27" t="s">
        <v>8</v>
      </c>
      <c r="CI787" s="27" t="s">
        <v>8</v>
      </c>
      <c r="CJ787" s="27" t="s">
        <v>7</v>
      </c>
      <c r="CL787" s="27" t="s">
        <v>7</v>
      </c>
      <c r="CO787" s="27" t="s">
        <v>8</v>
      </c>
      <c r="CP787" s="27" t="s">
        <v>7</v>
      </c>
      <c r="CQ787" s="27" t="s">
        <v>8</v>
      </c>
      <c r="CR787" s="27" t="s">
        <v>7</v>
      </c>
      <c r="CS787" s="27" t="s">
        <v>8</v>
      </c>
      <c r="CX787" s="27" t="s">
        <v>7</v>
      </c>
      <c r="CY787" s="27" t="s">
        <v>8</v>
      </c>
      <c r="DJ787" s="27" t="s">
        <v>7</v>
      </c>
      <c r="DK787" s="27" t="s">
        <v>8</v>
      </c>
      <c r="DN787" s="27" t="s">
        <v>7</v>
      </c>
      <c r="DO787" s="27" t="s">
        <v>8</v>
      </c>
      <c r="DP787" s="27" t="s">
        <v>7</v>
      </c>
      <c r="DQ787" s="27" t="s">
        <v>8</v>
      </c>
      <c r="GT787" s="27" t="s">
        <v>7</v>
      </c>
      <c r="GU787" s="27" t="s">
        <v>8</v>
      </c>
      <c r="HH787" s="27" t="s">
        <v>7</v>
      </c>
      <c r="HI787" s="27" t="s">
        <v>8</v>
      </c>
    </row>
    <row r="788" spans="1:217" x14ac:dyDescent="0.25">
      <c r="A788" s="7">
        <v>1.867950983668035E-2</v>
      </c>
      <c r="B788"/>
      <c r="C788"/>
      <c r="D788"/>
      <c r="E788"/>
      <c r="F788" s="27" t="s">
        <v>7</v>
      </c>
      <c r="BA788" s="27" t="s">
        <v>8</v>
      </c>
      <c r="BB788" s="27" t="s">
        <v>7</v>
      </c>
      <c r="CG788" s="27" t="s">
        <v>8</v>
      </c>
      <c r="CH788" s="27" t="s">
        <v>7</v>
      </c>
      <c r="CI788" s="27" t="s">
        <v>8</v>
      </c>
      <c r="CL788" s="27" t="s">
        <v>7</v>
      </c>
      <c r="CO788" s="27" t="s">
        <v>8</v>
      </c>
      <c r="CP788" s="27" t="s">
        <v>7</v>
      </c>
      <c r="CQ788" s="27" t="s">
        <v>8</v>
      </c>
      <c r="CR788" s="27" t="s">
        <v>7</v>
      </c>
      <c r="CX788" s="27" t="s">
        <v>7</v>
      </c>
      <c r="DJ788" s="27" t="s">
        <v>7</v>
      </c>
      <c r="DK788" s="27" t="s">
        <v>8</v>
      </c>
      <c r="DN788" s="27" t="s">
        <v>7</v>
      </c>
      <c r="DO788" s="27" t="s">
        <v>8</v>
      </c>
      <c r="DP788" s="27" t="s">
        <v>7</v>
      </c>
      <c r="GT788" s="27" t="s">
        <v>7</v>
      </c>
      <c r="GU788" s="27" t="s">
        <v>8</v>
      </c>
      <c r="HH788" s="27" t="s">
        <v>7</v>
      </c>
      <c r="HI788" s="27" t="s">
        <v>8</v>
      </c>
    </row>
    <row r="789" spans="1:217" x14ac:dyDescent="0.25">
      <c r="A789" s="7">
        <v>1.8313244937921913E-2</v>
      </c>
      <c r="B789"/>
      <c r="C789"/>
      <c r="D789"/>
      <c r="E789"/>
      <c r="F789" s="27" t="s">
        <v>7</v>
      </c>
      <c r="AQ789" s="27" t="s">
        <v>8</v>
      </c>
      <c r="BA789" s="27" t="s">
        <v>8</v>
      </c>
      <c r="BB789" s="27" t="s">
        <v>7</v>
      </c>
      <c r="CG789" s="27" t="s">
        <v>8</v>
      </c>
      <c r="CH789" s="27" t="s">
        <v>7</v>
      </c>
      <c r="CI789" s="27" t="s">
        <v>8</v>
      </c>
      <c r="CL789" s="27" t="s">
        <v>7</v>
      </c>
      <c r="CM789" s="27" t="s">
        <v>8</v>
      </c>
      <c r="CO789" s="27" t="s">
        <v>8</v>
      </c>
      <c r="CP789" s="27" t="s">
        <v>7</v>
      </c>
      <c r="CQ789" s="27" t="s">
        <v>8</v>
      </c>
      <c r="DJ789" s="27" t="s">
        <v>7</v>
      </c>
      <c r="DK789" s="27" t="s">
        <v>8</v>
      </c>
      <c r="DN789" s="27" t="s">
        <v>7</v>
      </c>
      <c r="GT789" s="27" t="s">
        <v>7</v>
      </c>
      <c r="HH789" s="27" t="s">
        <v>7</v>
      </c>
      <c r="HI789" s="27" t="s">
        <v>8</v>
      </c>
    </row>
    <row r="790" spans="1:217" x14ac:dyDescent="0.25">
      <c r="A790" s="7">
        <v>1.7954161703845013E-2</v>
      </c>
      <c r="B790"/>
      <c r="C790"/>
      <c r="D790"/>
      <c r="E790"/>
      <c r="F790" s="27" t="s">
        <v>7</v>
      </c>
      <c r="AQ790" s="27" t="s">
        <v>8</v>
      </c>
      <c r="AR790" s="27" t="s">
        <v>7</v>
      </c>
      <c r="AS790" s="27" t="s">
        <v>8</v>
      </c>
      <c r="AU790" s="27" t="s">
        <v>8</v>
      </c>
      <c r="BA790" s="27" t="s">
        <v>8</v>
      </c>
      <c r="BB790" s="27" t="s">
        <v>7</v>
      </c>
      <c r="CG790" s="27" t="s">
        <v>8</v>
      </c>
      <c r="CH790" s="27" t="s">
        <v>7</v>
      </c>
      <c r="CI790" s="27" t="s">
        <v>8</v>
      </c>
      <c r="CL790" s="27" t="s">
        <v>7</v>
      </c>
      <c r="CM790" s="27" t="s">
        <v>8</v>
      </c>
      <c r="CN790" s="27" t="s">
        <v>7</v>
      </c>
      <c r="CO790" s="27" t="s">
        <v>8</v>
      </c>
      <c r="CP790" s="27" t="s">
        <v>7</v>
      </c>
      <c r="CQ790" s="27" t="s">
        <v>8</v>
      </c>
      <c r="DJ790" s="27" t="s">
        <v>7</v>
      </c>
      <c r="DK790" s="27" t="s">
        <v>8</v>
      </c>
      <c r="HH790" s="27" t="s">
        <v>7</v>
      </c>
    </row>
    <row r="791" spans="1:217" x14ac:dyDescent="0.25">
      <c r="A791" s="7">
        <v>1.7602119317495109E-2</v>
      </c>
      <c r="B791"/>
      <c r="C791"/>
      <c r="D791"/>
      <c r="E791"/>
      <c r="F791" s="27" t="s">
        <v>7</v>
      </c>
      <c r="AQ791" s="27" t="s">
        <v>8</v>
      </c>
      <c r="AR791" s="27" t="s">
        <v>7</v>
      </c>
      <c r="AS791" s="27" t="s">
        <v>8</v>
      </c>
      <c r="AT791" s="27" t="s">
        <v>7</v>
      </c>
      <c r="AU791" s="27" t="s">
        <v>8</v>
      </c>
      <c r="AV791" s="27" t="s">
        <v>7</v>
      </c>
      <c r="BA791" s="27" t="s">
        <v>8</v>
      </c>
      <c r="BB791" s="27" t="s">
        <v>7</v>
      </c>
      <c r="CG791" s="27" t="s">
        <v>8</v>
      </c>
      <c r="CH791" s="27" t="s">
        <v>7</v>
      </c>
      <c r="CI791" s="27" t="s">
        <v>8</v>
      </c>
      <c r="CL791" s="27" t="s">
        <v>7</v>
      </c>
      <c r="CM791" s="27" t="s">
        <v>8</v>
      </c>
      <c r="CN791" s="27" t="s">
        <v>7</v>
      </c>
      <c r="CO791" s="27" t="s">
        <v>8</v>
      </c>
      <c r="CP791" s="27" t="s">
        <v>7</v>
      </c>
      <c r="CQ791" s="27" t="s">
        <v>8</v>
      </c>
      <c r="DJ791" s="27" t="s">
        <v>7</v>
      </c>
      <c r="DK791" s="27" t="s">
        <v>8</v>
      </c>
    </row>
    <row r="792" spans="1:217" x14ac:dyDescent="0.25">
      <c r="A792" s="7">
        <v>1.7256979723034419E-2</v>
      </c>
      <c r="B792"/>
      <c r="C792"/>
      <c r="D792"/>
      <c r="E792"/>
      <c r="F792" s="27" t="s">
        <v>7</v>
      </c>
      <c r="AQ792" s="27" t="s">
        <v>8</v>
      </c>
      <c r="AR792" s="27" t="s">
        <v>7</v>
      </c>
      <c r="AS792" s="27" t="s">
        <v>8</v>
      </c>
      <c r="AT792" s="27" t="s">
        <v>7</v>
      </c>
      <c r="AU792" s="27" t="s">
        <v>8</v>
      </c>
      <c r="AV792" s="27" t="s">
        <v>7</v>
      </c>
      <c r="BA792" s="27" t="s">
        <v>8</v>
      </c>
      <c r="BB792" s="27" t="s">
        <v>7</v>
      </c>
      <c r="CG792" s="27" t="s">
        <v>8</v>
      </c>
      <c r="CH792" s="27" t="s">
        <v>7</v>
      </c>
      <c r="CL792" s="27" t="s">
        <v>7</v>
      </c>
      <c r="CM792" s="27" t="s">
        <v>8</v>
      </c>
      <c r="CN792" s="27" t="s">
        <v>7</v>
      </c>
      <c r="CO792" s="27" t="s">
        <v>8</v>
      </c>
      <c r="CP792" s="27" t="s">
        <v>7</v>
      </c>
      <c r="CQ792" s="27" t="s">
        <v>8</v>
      </c>
      <c r="DJ792" s="27" t="s">
        <v>7</v>
      </c>
      <c r="DK792" s="27" t="s">
        <v>8</v>
      </c>
    </row>
    <row r="793" spans="1:217" x14ac:dyDescent="0.25">
      <c r="A793" s="7">
        <v>1.6918607571602372E-2</v>
      </c>
      <c r="B793"/>
      <c r="C793"/>
      <c r="D793"/>
      <c r="E793"/>
      <c r="F793" s="27" t="s">
        <v>7</v>
      </c>
      <c r="AQ793" s="27" t="s">
        <v>8</v>
      </c>
      <c r="AR793" s="27" t="s">
        <v>7</v>
      </c>
      <c r="AS793" s="27" t="s">
        <v>8</v>
      </c>
      <c r="AT793" s="27" t="s">
        <v>7</v>
      </c>
      <c r="AU793" s="27" t="s">
        <v>8</v>
      </c>
      <c r="AV793" s="27" t="s">
        <v>7</v>
      </c>
      <c r="AW793" s="27" t="s">
        <v>8</v>
      </c>
      <c r="AY793" s="27" t="s">
        <v>8</v>
      </c>
      <c r="BA793" s="27" t="s">
        <v>8</v>
      </c>
      <c r="BB793" s="27" t="s">
        <v>7</v>
      </c>
      <c r="CG793" s="27" t="s">
        <v>8</v>
      </c>
      <c r="CL793" s="27" t="s">
        <v>7</v>
      </c>
      <c r="CM793" s="27" t="s">
        <v>8</v>
      </c>
      <c r="CN793" s="27" t="s">
        <v>7</v>
      </c>
      <c r="CO793" s="27" t="s">
        <v>8</v>
      </c>
      <c r="CP793" s="27" t="s">
        <v>7</v>
      </c>
      <c r="CQ793" s="27" t="s">
        <v>8</v>
      </c>
      <c r="DJ793" s="27" t="s">
        <v>7</v>
      </c>
      <c r="DK793" s="27" t="s">
        <v>8</v>
      </c>
    </row>
    <row r="794" spans="1:217" x14ac:dyDescent="0.25">
      <c r="A794" s="7">
        <v>1.6586870168237622E-2</v>
      </c>
      <c r="B794"/>
      <c r="C794"/>
      <c r="D794"/>
      <c r="E794"/>
      <c r="F794" s="27" t="s">
        <v>7</v>
      </c>
      <c r="AQ794" s="27" t="s">
        <v>8</v>
      </c>
      <c r="AR794" s="27" t="s">
        <v>7</v>
      </c>
      <c r="AS794" s="27" t="s">
        <v>8</v>
      </c>
      <c r="AT794" s="27" t="s">
        <v>7</v>
      </c>
      <c r="AU794" s="27" t="s">
        <v>8</v>
      </c>
      <c r="AV794" s="27" t="s">
        <v>7</v>
      </c>
      <c r="AW794" s="27" t="s">
        <v>8</v>
      </c>
      <c r="AX794" s="27" t="s">
        <v>7</v>
      </c>
      <c r="AY794" s="27" t="s">
        <v>8</v>
      </c>
      <c r="AZ794" s="27" t="s">
        <v>7</v>
      </c>
      <c r="BA794" s="27" t="s">
        <v>8</v>
      </c>
      <c r="BB794" s="27" t="s">
        <v>7</v>
      </c>
      <c r="CG794" s="27" t="s">
        <v>8</v>
      </c>
      <c r="CL794" s="27" t="s">
        <v>7</v>
      </c>
      <c r="CM794" s="27" t="s">
        <v>8</v>
      </c>
      <c r="CN794" s="27" t="s">
        <v>7</v>
      </c>
      <c r="CO794" s="27" t="s">
        <v>8</v>
      </c>
      <c r="CP794" s="27" t="s">
        <v>7</v>
      </c>
      <c r="CQ794" s="27" t="s">
        <v>8</v>
      </c>
      <c r="DJ794" s="27" t="s">
        <v>7</v>
      </c>
    </row>
    <row r="795" spans="1:217" x14ac:dyDescent="0.25">
      <c r="A795" s="7">
        <v>1.6261637419840807E-2</v>
      </c>
      <c r="B795"/>
      <c r="C795"/>
      <c r="D795"/>
      <c r="E795"/>
      <c r="F795" s="27" t="s">
        <v>7</v>
      </c>
      <c r="AQ795" s="27" t="s">
        <v>8</v>
      </c>
      <c r="AR795" s="27" t="s">
        <v>7</v>
      </c>
      <c r="AT795" s="27" t="s">
        <v>7</v>
      </c>
      <c r="AU795" s="27" t="s">
        <v>8</v>
      </c>
      <c r="AV795" s="27" t="s">
        <v>7</v>
      </c>
      <c r="AW795" s="27" t="s">
        <v>8</v>
      </c>
      <c r="AX795" s="27" t="s">
        <v>7</v>
      </c>
      <c r="AY795" s="27" t="s">
        <v>8</v>
      </c>
      <c r="AZ795" s="27" t="s">
        <v>7</v>
      </c>
      <c r="BA795" s="27" t="s">
        <v>8</v>
      </c>
      <c r="BB795" s="27" t="s">
        <v>7</v>
      </c>
      <c r="CG795" s="27" t="s">
        <v>8</v>
      </c>
      <c r="CL795" s="27" t="s">
        <v>7</v>
      </c>
      <c r="CM795" s="27" t="s">
        <v>8</v>
      </c>
      <c r="CN795" s="27" t="s">
        <v>7</v>
      </c>
      <c r="CO795" s="27" t="s">
        <v>8</v>
      </c>
      <c r="CP795" s="27" t="s">
        <v>7</v>
      </c>
      <c r="CQ795" s="27" t="s">
        <v>8</v>
      </c>
    </row>
    <row r="796" spans="1:217" x14ac:dyDescent="0.25">
      <c r="A796" s="7">
        <v>1.5942781784157655E-2</v>
      </c>
      <c r="B796"/>
      <c r="C796"/>
      <c r="D796"/>
      <c r="E796"/>
      <c r="F796" s="27" t="s">
        <v>7</v>
      </c>
      <c r="AQ796" s="27" t="s">
        <v>8</v>
      </c>
      <c r="AT796" s="27" t="s">
        <v>7</v>
      </c>
      <c r="AU796" s="27" t="s">
        <v>8</v>
      </c>
      <c r="AV796" s="27" t="s">
        <v>7</v>
      </c>
      <c r="AW796" s="27" t="s">
        <v>8</v>
      </c>
      <c r="AX796" s="27" t="s">
        <v>7</v>
      </c>
      <c r="AY796" s="27" t="s">
        <v>8</v>
      </c>
      <c r="AZ796" s="27" t="s">
        <v>7</v>
      </c>
      <c r="BA796" s="27" t="s">
        <v>8</v>
      </c>
      <c r="BB796" s="27" t="s">
        <v>7</v>
      </c>
      <c r="CC796" s="27" t="s">
        <v>8</v>
      </c>
      <c r="CG796" s="27" t="s">
        <v>8</v>
      </c>
      <c r="CL796" s="27" t="s">
        <v>7</v>
      </c>
      <c r="CM796" s="27" t="s">
        <v>8</v>
      </c>
      <c r="CN796" s="27" t="s">
        <v>7</v>
      </c>
      <c r="CP796" s="27" t="s">
        <v>7</v>
      </c>
      <c r="CQ796" s="27" t="s">
        <v>8</v>
      </c>
    </row>
    <row r="797" spans="1:217" x14ac:dyDescent="0.25">
      <c r="A797" s="7">
        <v>1.5630178219762408E-2</v>
      </c>
      <c r="B797"/>
      <c r="C797"/>
      <c r="D797"/>
      <c r="E797"/>
      <c r="F797" s="27" t="s">
        <v>7</v>
      </c>
      <c r="W797" s="27" t="s">
        <v>8</v>
      </c>
      <c r="AQ797" s="27" t="s">
        <v>8</v>
      </c>
      <c r="AT797" s="27" t="s">
        <v>7</v>
      </c>
      <c r="AV797" s="27" t="s">
        <v>7</v>
      </c>
      <c r="AW797" s="27" t="s">
        <v>8</v>
      </c>
      <c r="AX797" s="27" t="s">
        <v>7</v>
      </c>
      <c r="AY797" s="27" t="s">
        <v>8</v>
      </c>
      <c r="AZ797" s="27" t="s">
        <v>7</v>
      </c>
      <c r="BA797" s="27" t="s">
        <v>8</v>
      </c>
      <c r="BB797" s="27" t="s">
        <v>7</v>
      </c>
      <c r="CC797" s="27" t="s">
        <v>8</v>
      </c>
      <c r="CD797" s="27" t="s">
        <v>7</v>
      </c>
      <c r="CG797" s="27" t="s">
        <v>8</v>
      </c>
      <c r="CL797" s="27" t="s">
        <v>7</v>
      </c>
      <c r="CP797" s="27" t="s">
        <v>7</v>
      </c>
    </row>
    <row r="798" spans="1:217" x14ac:dyDescent="0.25">
      <c r="A798" s="7">
        <v>1.5323704137021967E-2</v>
      </c>
      <c r="B798"/>
      <c r="C798"/>
      <c r="D798"/>
      <c r="E798"/>
      <c r="F798" s="27" t="s">
        <v>7</v>
      </c>
      <c r="W798" s="27" t="s">
        <v>8</v>
      </c>
      <c r="X798" s="27" t="s">
        <v>7</v>
      </c>
      <c r="AO798" s="27" t="s">
        <v>8</v>
      </c>
      <c r="AQ798" s="27" t="s">
        <v>8</v>
      </c>
      <c r="AV798" s="27" t="s">
        <v>7</v>
      </c>
      <c r="AW798" s="27" t="s">
        <v>8</v>
      </c>
      <c r="AX798" s="27" t="s">
        <v>7</v>
      </c>
      <c r="AY798" s="27" t="s">
        <v>8</v>
      </c>
      <c r="AZ798" s="27" t="s">
        <v>7</v>
      </c>
      <c r="BA798" s="27" t="s">
        <v>8</v>
      </c>
      <c r="BB798" s="27" t="s">
        <v>7</v>
      </c>
      <c r="CC798" s="27" t="s">
        <v>8</v>
      </c>
      <c r="CD798" s="27" t="s">
        <v>7</v>
      </c>
      <c r="CG798" s="27" t="s">
        <v>8</v>
      </c>
    </row>
    <row r="799" spans="1:217" x14ac:dyDescent="0.25">
      <c r="A799" s="7">
        <v>1.5023239350021535E-2</v>
      </c>
      <c r="B799"/>
      <c r="C799"/>
      <c r="D799"/>
      <c r="E799"/>
      <c r="F799" s="27" t="s">
        <v>7</v>
      </c>
      <c r="W799" s="27" t="s">
        <v>8</v>
      </c>
      <c r="X799" s="27" t="s">
        <v>7</v>
      </c>
      <c r="AO799" s="27" t="s">
        <v>8</v>
      </c>
      <c r="AP799" s="27" t="s">
        <v>7</v>
      </c>
      <c r="AQ799" s="27" t="s">
        <v>8</v>
      </c>
      <c r="AV799" s="27" t="s">
        <v>7</v>
      </c>
      <c r="AW799" s="27" t="s">
        <v>8</v>
      </c>
      <c r="AX799" s="27" t="s">
        <v>7</v>
      </c>
      <c r="AY799" s="27" t="s">
        <v>8</v>
      </c>
      <c r="AZ799" s="27" t="s">
        <v>7</v>
      </c>
      <c r="BA799" s="27" t="s">
        <v>8</v>
      </c>
      <c r="BB799" s="27" t="s">
        <v>7</v>
      </c>
      <c r="BI799" s="27" t="s">
        <v>8</v>
      </c>
      <c r="CC799" s="27" t="s">
        <v>8</v>
      </c>
      <c r="CD799" s="27" t="s">
        <v>7</v>
      </c>
      <c r="CE799" s="27" t="s">
        <v>8</v>
      </c>
      <c r="CG799" s="27" t="s">
        <v>8</v>
      </c>
    </row>
    <row r="800" spans="1:217" x14ac:dyDescent="0.25">
      <c r="A800" s="7">
        <v>1.4728666029432878E-2</v>
      </c>
      <c r="B800"/>
      <c r="C800"/>
      <c r="D800"/>
      <c r="E800"/>
      <c r="F800" s="27" t="s">
        <v>7</v>
      </c>
      <c r="W800" s="27" t="s">
        <v>8</v>
      </c>
      <c r="X800" s="27" t="s">
        <v>7</v>
      </c>
      <c r="AO800" s="27" t="s">
        <v>8</v>
      </c>
      <c r="AP800" s="27" t="s">
        <v>7</v>
      </c>
      <c r="AQ800" s="27" t="s">
        <v>8</v>
      </c>
      <c r="AV800" s="27" t="s">
        <v>7</v>
      </c>
      <c r="AW800" s="27" t="s">
        <v>8</v>
      </c>
      <c r="AX800" s="27" t="s">
        <v>7</v>
      </c>
      <c r="AZ800" s="27" t="s">
        <v>7</v>
      </c>
      <c r="BB800" s="27" t="s">
        <v>7</v>
      </c>
      <c r="BE800" s="27" t="s">
        <v>8</v>
      </c>
      <c r="BG800" s="27" t="s">
        <v>8</v>
      </c>
      <c r="BI800" s="27" t="s">
        <v>8</v>
      </c>
      <c r="BJ800" s="27" t="s">
        <v>7</v>
      </c>
      <c r="BM800" s="27" t="s">
        <v>8</v>
      </c>
      <c r="CC800" s="27" t="s">
        <v>8</v>
      </c>
      <c r="CD800" s="27" t="s">
        <v>7</v>
      </c>
      <c r="CE800" s="27" t="s">
        <v>8</v>
      </c>
      <c r="CF800" s="27" t="s">
        <v>7</v>
      </c>
      <c r="CG800" s="27" t="s">
        <v>8</v>
      </c>
    </row>
    <row r="801" spans="1:85" x14ac:dyDescent="0.25">
      <c r="A801" s="7">
        <v>1.4439868656306743E-2</v>
      </c>
      <c r="B801"/>
      <c r="C801"/>
      <c r="D801"/>
      <c r="E801"/>
      <c r="F801" s="27" t="s">
        <v>7</v>
      </c>
      <c r="W801" s="27" t="s">
        <v>8</v>
      </c>
      <c r="X801" s="27" t="s">
        <v>7</v>
      </c>
      <c r="AO801" s="27" t="s">
        <v>8</v>
      </c>
      <c r="AP801" s="27" t="s">
        <v>7</v>
      </c>
      <c r="AQ801" s="27" t="s">
        <v>8</v>
      </c>
      <c r="AV801" s="27" t="s">
        <v>7</v>
      </c>
      <c r="AW801" s="27" t="s">
        <v>8</v>
      </c>
      <c r="BB801" s="27" t="s">
        <v>7</v>
      </c>
      <c r="BE801" s="27" t="s">
        <v>8</v>
      </c>
      <c r="BF801" s="27" t="s">
        <v>7</v>
      </c>
      <c r="BG801" s="27" t="s">
        <v>8</v>
      </c>
      <c r="BH801" s="27" t="s">
        <v>7</v>
      </c>
      <c r="BI801" s="27" t="s">
        <v>8</v>
      </c>
      <c r="BJ801" s="27" t="s">
        <v>7</v>
      </c>
      <c r="BK801" s="27" t="s">
        <v>8</v>
      </c>
      <c r="BM801" s="27" t="s">
        <v>8</v>
      </c>
      <c r="BN801" s="27" t="s">
        <v>7</v>
      </c>
      <c r="BO801" s="27" t="s">
        <v>8</v>
      </c>
      <c r="CA801" s="27" t="s">
        <v>8</v>
      </c>
      <c r="CC801" s="27" t="s">
        <v>8</v>
      </c>
      <c r="CD801" s="27" t="s">
        <v>7</v>
      </c>
      <c r="CE801" s="27" t="s">
        <v>8</v>
      </c>
      <c r="CF801" s="27" t="s">
        <v>7</v>
      </c>
      <c r="CG801" s="27" t="s">
        <v>8</v>
      </c>
    </row>
    <row r="802" spans="1:85" x14ac:dyDescent="0.25">
      <c r="A802" s="7">
        <v>1.4156733976771318E-2</v>
      </c>
      <c r="B802"/>
      <c r="C802"/>
      <c r="D802"/>
      <c r="E802"/>
      <c r="F802" s="27" t="s">
        <v>7</v>
      </c>
      <c r="W802" s="27" t="s">
        <v>8</v>
      </c>
      <c r="X802" s="27" t="s">
        <v>7</v>
      </c>
      <c r="AC802" s="27" t="s">
        <v>8</v>
      </c>
      <c r="AO802" s="27" t="s">
        <v>8</v>
      </c>
      <c r="AP802" s="27" t="s">
        <v>7</v>
      </c>
      <c r="AQ802" s="27" t="s">
        <v>8</v>
      </c>
      <c r="AV802" s="27" t="s">
        <v>7</v>
      </c>
      <c r="AW802" s="27" t="s">
        <v>8</v>
      </c>
      <c r="BB802" s="27" t="s">
        <v>7</v>
      </c>
      <c r="BE802" s="27" t="s">
        <v>8</v>
      </c>
      <c r="BF802" s="27" t="s">
        <v>7</v>
      </c>
      <c r="BG802" s="27" t="s">
        <v>8</v>
      </c>
      <c r="BH802" s="27" t="s">
        <v>7</v>
      </c>
      <c r="BI802" s="27" t="s">
        <v>8</v>
      </c>
      <c r="BJ802" s="27" t="s">
        <v>7</v>
      </c>
      <c r="BK802" s="27" t="s">
        <v>8</v>
      </c>
      <c r="BL802" s="27" t="s">
        <v>7</v>
      </c>
      <c r="BM802" s="27" t="s">
        <v>8</v>
      </c>
      <c r="BN802" s="27" t="s">
        <v>7</v>
      </c>
      <c r="BO802" s="27" t="s">
        <v>8</v>
      </c>
      <c r="BP802" s="27" t="s">
        <v>7</v>
      </c>
      <c r="CA802" s="27" t="s">
        <v>8</v>
      </c>
      <c r="CB802" s="27" t="s">
        <v>7</v>
      </c>
      <c r="CC802" s="27" t="s">
        <v>8</v>
      </c>
      <c r="CD802" s="27" t="s">
        <v>7</v>
      </c>
      <c r="CE802" s="27" t="s">
        <v>8</v>
      </c>
      <c r="CF802" s="27" t="s">
        <v>7</v>
      </c>
      <c r="CG802" s="27" t="s">
        <v>8</v>
      </c>
    </row>
    <row r="803" spans="1:85" x14ac:dyDescent="0.25">
      <c r="A803" s="7">
        <v>1.3879150957618939E-2</v>
      </c>
      <c r="B803"/>
      <c r="C803"/>
      <c r="D803"/>
      <c r="E803"/>
      <c r="F803" s="27" t="s">
        <v>7</v>
      </c>
      <c r="W803" s="27" t="s">
        <v>8</v>
      </c>
      <c r="X803" s="27" t="s">
        <v>7</v>
      </c>
      <c r="AC803" s="27" t="s">
        <v>8</v>
      </c>
      <c r="AD803" s="27" t="s">
        <v>7</v>
      </c>
      <c r="AO803" s="27" t="s">
        <v>8</v>
      </c>
      <c r="AP803" s="27" t="s">
        <v>7</v>
      </c>
      <c r="AQ803" s="27" t="s">
        <v>8</v>
      </c>
      <c r="AV803" s="27" t="s">
        <v>7</v>
      </c>
      <c r="BB803" s="27" t="s">
        <v>7</v>
      </c>
      <c r="BE803" s="27" t="s">
        <v>8</v>
      </c>
      <c r="BF803" s="27" t="s">
        <v>7</v>
      </c>
      <c r="BG803" s="27" t="s">
        <v>8</v>
      </c>
      <c r="BH803" s="27" t="s">
        <v>7</v>
      </c>
      <c r="BI803" s="27" t="s">
        <v>8</v>
      </c>
      <c r="BJ803" s="27" t="s">
        <v>7</v>
      </c>
      <c r="BK803" s="27" t="s">
        <v>8</v>
      </c>
      <c r="BL803" s="27" t="s">
        <v>7</v>
      </c>
      <c r="BM803" s="27" t="s">
        <v>8</v>
      </c>
      <c r="BN803" s="27" t="s">
        <v>7</v>
      </c>
      <c r="BO803" s="27" t="s">
        <v>8</v>
      </c>
      <c r="BP803" s="27" t="s">
        <v>7</v>
      </c>
      <c r="BQ803" s="27" t="s">
        <v>8</v>
      </c>
      <c r="BS803" s="27" t="s">
        <v>8</v>
      </c>
      <c r="CA803" s="27" t="s">
        <v>8</v>
      </c>
      <c r="CB803" s="27" t="s">
        <v>7</v>
      </c>
      <c r="CC803" s="27" t="s">
        <v>8</v>
      </c>
      <c r="CD803" s="27" t="s">
        <v>7</v>
      </c>
      <c r="CE803" s="27" t="s">
        <v>8</v>
      </c>
      <c r="CF803" s="27" t="s">
        <v>7</v>
      </c>
      <c r="CG803" s="27" t="s">
        <v>8</v>
      </c>
    </row>
    <row r="804" spans="1:85" x14ac:dyDescent="0.25">
      <c r="A804" s="7">
        <v>1.3607010742763666E-2</v>
      </c>
      <c r="B804"/>
      <c r="C804"/>
      <c r="D804"/>
      <c r="E804"/>
      <c r="F804" s="27" t="s">
        <v>7</v>
      </c>
      <c r="W804" s="27" t="s">
        <v>8</v>
      </c>
      <c r="X804" s="27" t="s">
        <v>7</v>
      </c>
      <c r="AC804" s="27" t="s">
        <v>8</v>
      </c>
      <c r="AD804" s="27" t="s">
        <v>7</v>
      </c>
      <c r="AO804" s="27" t="s">
        <v>8</v>
      </c>
      <c r="AP804" s="27" t="s">
        <v>7</v>
      </c>
      <c r="AQ804" s="27" t="s">
        <v>8</v>
      </c>
      <c r="BB804" s="27" t="s">
        <v>7</v>
      </c>
      <c r="BE804" s="27" t="s">
        <v>8</v>
      </c>
      <c r="BF804" s="27" t="s">
        <v>7</v>
      </c>
      <c r="BG804" s="27" t="s">
        <v>8</v>
      </c>
      <c r="BH804" s="27" t="s">
        <v>7</v>
      </c>
      <c r="BI804" s="27" t="s">
        <v>8</v>
      </c>
      <c r="BJ804" s="27" t="s">
        <v>7</v>
      </c>
      <c r="BK804" s="27" t="s">
        <v>8</v>
      </c>
      <c r="BL804" s="27" t="s">
        <v>7</v>
      </c>
      <c r="BM804" s="27" t="s">
        <v>8</v>
      </c>
      <c r="BN804" s="27" t="s">
        <v>7</v>
      </c>
      <c r="BP804" s="27" t="s">
        <v>7</v>
      </c>
      <c r="BQ804" s="27" t="s">
        <v>8</v>
      </c>
      <c r="BR804" s="27" t="s">
        <v>7</v>
      </c>
      <c r="BS804" s="27" t="s">
        <v>8</v>
      </c>
      <c r="BT804" s="27" t="s">
        <v>7</v>
      </c>
      <c r="CA804" s="27" t="s">
        <v>8</v>
      </c>
      <c r="CB804" s="27" t="s">
        <v>7</v>
      </c>
      <c r="CC804" s="27" t="s">
        <v>8</v>
      </c>
      <c r="CD804" s="27" t="s">
        <v>7</v>
      </c>
      <c r="CE804" s="27" t="s">
        <v>8</v>
      </c>
      <c r="CF804" s="27" t="s">
        <v>7</v>
      </c>
    </row>
    <row r="805" spans="1:85" x14ac:dyDescent="0.25">
      <c r="A805" s="7">
        <v>1.3340206610552614E-2</v>
      </c>
      <c r="B805"/>
      <c r="C805"/>
      <c r="D805"/>
      <c r="E805"/>
      <c r="F805" s="27" t="s">
        <v>7</v>
      </c>
      <c r="W805" s="27" t="s">
        <v>8</v>
      </c>
      <c r="X805" s="27" t="s">
        <v>7</v>
      </c>
      <c r="AC805" s="27" t="s">
        <v>8</v>
      </c>
      <c r="AD805" s="27" t="s">
        <v>7</v>
      </c>
      <c r="AE805" s="27" t="s">
        <v>8</v>
      </c>
      <c r="AO805" s="27" t="s">
        <v>8</v>
      </c>
      <c r="AP805" s="27" t="s">
        <v>7</v>
      </c>
      <c r="AQ805" s="27" t="s">
        <v>8</v>
      </c>
      <c r="BB805" s="27" t="s">
        <v>7</v>
      </c>
      <c r="BC805" s="27" t="s">
        <v>8</v>
      </c>
      <c r="BE805" s="27" t="s">
        <v>8</v>
      </c>
      <c r="BF805" s="27" t="s">
        <v>7</v>
      </c>
      <c r="BG805" s="27" t="s">
        <v>8</v>
      </c>
      <c r="BH805" s="27" t="s">
        <v>7</v>
      </c>
      <c r="BI805" s="27" t="s">
        <v>8</v>
      </c>
      <c r="BJ805" s="27" t="s">
        <v>7</v>
      </c>
      <c r="BK805" s="27" t="s">
        <v>8</v>
      </c>
      <c r="BL805" s="27" t="s">
        <v>7</v>
      </c>
      <c r="BM805" s="27" t="s">
        <v>8</v>
      </c>
      <c r="BP805" s="27" t="s">
        <v>7</v>
      </c>
      <c r="BQ805" s="27" t="s">
        <v>8</v>
      </c>
      <c r="BR805" s="27" t="s">
        <v>7</v>
      </c>
      <c r="BS805" s="27" t="s">
        <v>8</v>
      </c>
      <c r="BT805" s="27" t="s">
        <v>7</v>
      </c>
      <c r="CA805" s="27" t="s">
        <v>8</v>
      </c>
      <c r="CB805" s="27" t="s">
        <v>7</v>
      </c>
      <c r="CC805" s="27" t="s">
        <v>8</v>
      </c>
      <c r="CD805" s="27" t="s">
        <v>7</v>
      </c>
      <c r="CE805" s="27" t="s">
        <v>8</v>
      </c>
    </row>
    <row r="806" spans="1:85" x14ac:dyDescent="0.25">
      <c r="A806" s="7">
        <v>1.3078633931914328E-2</v>
      </c>
      <c r="B806"/>
      <c r="C806"/>
      <c r="D806"/>
      <c r="E806"/>
      <c r="F806" s="27" t="s">
        <v>7</v>
      </c>
      <c r="W806" s="27" t="s">
        <v>8</v>
      </c>
      <c r="X806" s="27" t="s">
        <v>7</v>
      </c>
      <c r="Y806" s="27" t="s">
        <v>8</v>
      </c>
      <c r="AC806" s="27" t="s">
        <v>8</v>
      </c>
      <c r="AD806" s="27" t="s">
        <v>7</v>
      </c>
      <c r="AE806" s="27" t="s">
        <v>8</v>
      </c>
      <c r="AF806" s="27" t="s">
        <v>7</v>
      </c>
      <c r="AO806" s="27" t="s">
        <v>8</v>
      </c>
      <c r="AP806" s="27" t="s">
        <v>7</v>
      </c>
      <c r="BB806" s="27" t="s">
        <v>7</v>
      </c>
      <c r="BC806" s="27" t="s">
        <v>8</v>
      </c>
      <c r="BD806" s="27" t="s">
        <v>7</v>
      </c>
      <c r="BE806" s="27" t="s">
        <v>8</v>
      </c>
      <c r="BF806" s="27" t="s">
        <v>7</v>
      </c>
      <c r="BG806" s="27" t="s">
        <v>8</v>
      </c>
      <c r="BH806" s="27" t="s">
        <v>7</v>
      </c>
      <c r="BI806" s="27" t="s">
        <v>8</v>
      </c>
      <c r="BJ806" s="27" t="s">
        <v>7</v>
      </c>
      <c r="BK806" s="27" t="s">
        <v>8</v>
      </c>
      <c r="BL806" s="27" t="s">
        <v>7</v>
      </c>
      <c r="BM806" s="27" t="s">
        <v>8</v>
      </c>
      <c r="BP806" s="27" t="s">
        <v>7</v>
      </c>
      <c r="BQ806" s="27" t="s">
        <v>8</v>
      </c>
      <c r="BR806" s="27" t="s">
        <v>7</v>
      </c>
      <c r="BS806" s="27" t="s">
        <v>8</v>
      </c>
      <c r="BT806" s="27" t="s">
        <v>7</v>
      </c>
      <c r="CA806" s="27" t="s">
        <v>8</v>
      </c>
      <c r="CB806" s="27" t="s">
        <v>7</v>
      </c>
      <c r="CC806" s="27" t="s">
        <v>8</v>
      </c>
      <c r="CD806" s="27" t="s">
        <v>7</v>
      </c>
    </row>
    <row r="807" spans="1:85" x14ac:dyDescent="0.25">
      <c r="A807" s="7">
        <v>1.2822190129327771E-2</v>
      </c>
      <c r="B807"/>
      <c r="C807"/>
      <c r="D807"/>
      <c r="E807"/>
      <c r="F807" s="27" t="s">
        <v>7</v>
      </c>
      <c r="W807" s="27" t="s">
        <v>8</v>
      </c>
      <c r="X807" s="27" t="s">
        <v>7</v>
      </c>
      <c r="Y807" s="27" t="s">
        <v>8</v>
      </c>
      <c r="Z807" s="27" t="s">
        <v>7</v>
      </c>
      <c r="AA807" s="27" t="s">
        <v>8</v>
      </c>
      <c r="AC807" s="27" t="s">
        <v>8</v>
      </c>
      <c r="AD807" s="27" t="s">
        <v>7</v>
      </c>
      <c r="AE807" s="27" t="s">
        <v>8</v>
      </c>
      <c r="AF807" s="27" t="s">
        <v>7</v>
      </c>
      <c r="AO807" s="27" t="s">
        <v>8</v>
      </c>
      <c r="BB807" s="27" t="s">
        <v>7</v>
      </c>
      <c r="BC807" s="27" t="s">
        <v>8</v>
      </c>
      <c r="BD807" s="27" t="s">
        <v>7</v>
      </c>
      <c r="BE807" s="27" t="s">
        <v>8</v>
      </c>
      <c r="BF807" s="27" t="s">
        <v>7</v>
      </c>
      <c r="BG807" s="27" t="s">
        <v>8</v>
      </c>
      <c r="BH807" s="27" t="s">
        <v>7</v>
      </c>
      <c r="BJ807" s="27" t="s">
        <v>7</v>
      </c>
      <c r="BK807" s="27" t="s">
        <v>8</v>
      </c>
      <c r="BL807" s="27" t="s">
        <v>7</v>
      </c>
      <c r="BM807" s="27" t="s">
        <v>8</v>
      </c>
      <c r="BP807" s="27" t="s">
        <v>7</v>
      </c>
      <c r="BQ807" s="27" t="s">
        <v>8</v>
      </c>
      <c r="BR807" s="27" t="s">
        <v>7</v>
      </c>
      <c r="BS807" s="27" t="s">
        <v>8</v>
      </c>
      <c r="BT807" s="27" t="s">
        <v>7</v>
      </c>
      <c r="BU807" s="27" t="s">
        <v>8</v>
      </c>
      <c r="CA807" s="27" t="s">
        <v>8</v>
      </c>
      <c r="CB807" s="27" t="s">
        <v>7</v>
      </c>
      <c r="CC807" s="27" t="s">
        <v>8</v>
      </c>
    </row>
    <row r="808" spans="1:85" x14ac:dyDescent="0.25">
      <c r="A808" s="7">
        <v>1.2570774636595854E-2</v>
      </c>
      <c r="B808"/>
      <c r="C808"/>
      <c r="D808"/>
      <c r="E808"/>
      <c r="F808" s="27" t="s">
        <v>7</v>
      </c>
      <c r="W808" s="27" t="s">
        <v>8</v>
      </c>
      <c r="X808" s="27" t="s">
        <v>7</v>
      </c>
      <c r="Y808" s="27" t="s">
        <v>8</v>
      </c>
      <c r="Z808" s="27" t="s">
        <v>7</v>
      </c>
      <c r="AA808" s="27" t="s">
        <v>8</v>
      </c>
      <c r="AB808" s="27" t="s">
        <v>7</v>
      </c>
      <c r="AC808" s="27" t="s">
        <v>8</v>
      </c>
      <c r="AD808" s="27" t="s">
        <v>7</v>
      </c>
      <c r="AE808" s="27" t="s">
        <v>8</v>
      </c>
      <c r="AF808" s="27" t="s">
        <v>7</v>
      </c>
      <c r="AM808" s="27" t="s">
        <v>8</v>
      </c>
      <c r="AO808" s="27" t="s">
        <v>8</v>
      </c>
      <c r="BB808" s="27" t="s">
        <v>7</v>
      </c>
      <c r="BC808" s="27" t="s">
        <v>8</v>
      </c>
      <c r="BD808" s="27" t="s">
        <v>7</v>
      </c>
      <c r="BE808" s="27" t="s">
        <v>8</v>
      </c>
      <c r="BF808" s="27" t="s">
        <v>7</v>
      </c>
      <c r="BJ808" s="27" t="s">
        <v>7</v>
      </c>
      <c r="BK808" s="27" t="s">
        <v>8</v>
      </c>
      <c r="BL808" s="27" t="s">
        <v>7</v>
      </c>
      <c r="BP808" s="27" t="s">
        <v>7</v>
      </c>
      <c r="BR808" s="27" t="s">
        <v>7</v>
      </c>
      <c r="BS808" s="27" t="s">
        <v>8</v>
      </c>
      <c r="BT808" s="27" t="s">
        <v>7</v>
      </c>
      <c r="BU808" s="27" t="s">
        <v>8</v>
      </c>
      <c r="BV808" s="27" t="s">
        <v>7</v>
      </c>
      <c r="CA808" s="27" t="s">
        <v>8</v>
      </c>
      <c r="CB808" s="27" t="s">
        <v>7</v>
      </c>
      <c r="CC808" s="27" t="s">
        <v>8</v>
      </c>
    </row>
    <row r="809" spans="1:85" x14ac:dyDescent="0.25">
      <c r="A809" s="7">
        <v>1.23242888594077E-2</v>
      </c>
      <c r="B809"/>
      <c r="C809"/>
      <c r="D809"/>
      <c r="E809"/>
      <c r="F809" s="27" t="s">
        <v>7</v>
      </c>
      <c r="W809" s="27" t="s">
        <v>8</v>
      </c>
      <c r="X809" s="27" t="s">
        <v>7</v>
      </c>
      <c r="Y809" s="27" t="s">
        <v>8</v>
      </c>
      <c r="Z809" s="27" t="s">
        <v>7</v>
      </c>
      <c r="AA809" s="27" t="s">
        <v>8</v>
      </c>
      <c r="AB809" s="27" t="s">
        <v>7</v>
      </c>
      <c r="AC809" s="27" t="s">
        <v>8</v>
      </c>
      <c r="AD809" s="27" t="s">
        <v>7</v>
      </c>
      <c r="AF809" s="27" t="s">
        <v>7</v>
      </c>
      <c r="AG809" s="27" t="s">
        <v>8</v>
      </c>
      <c r="AI809" s="27" t="s">
        <v>8</v>
      </c>
      <c r="AM809" s="27" t="s">
        <v>8</v>
      </c>
      <c r="AN809" s="27" t="s">
        <v>7</v>
      </c>
      <c r="AO809" s="27" t="s">
        <v>8</v>
      </c>
      <c r="BB809" s="27" t="s">
        <v>7</v>
      </c>
      <c r="BC809" s="27" t="s">
        <v>8</v>
      </c>
      <c r="BD809" s="27" t="s">
        <v>7</v>
      </c>
      <c r="BE809" s="27" t="s">
        <v>8</v>
      </c>
      <c r="BJ809" s="27" t="s">
        <v>7</v>
      </c>
      <c r="BK809" s="27" t="s">
        <v>8</v>
      </c>
      <c r="BR809" s="27" t="s">
        <v>7</v>
      </c>
      <c r="BS809" s="27" t="s">
        <v>8</v>
      </c>
      <c r="BT809" s="27" t="s">
        <v>7</v>
      </c>
      <c r="BU809" s="27" t="s">
        <v>8</v>
      </c>
      <c r="BV809" s="27" t="s">
        <v>7</v>
      </c>
      <c r="CA809" s="27" t="s">
        <v>8</v>
      </c>
      <c r="CB809" s="27" t="s">
        <v>7</v>
      </c>
      <c r="CC809" s="27" t="s">
        <v>8</v>
      </c>
    </row>
    <row r="810" spans="1:85" x14ac:dyDescent="0.25">
      <c r="A810" s="7">
        <v>1.2082636136674216E-2</v>
      </c>
      <c r="B810"/>
      <c r="C810"/>
      <c r="D810"/>
      <c r="E810"/>
      <c r="F810" s="27" t="s">
        <v>7</v>
      </c>
      <c r="W810" s="27" t="s">
        <v>8</v>
      </c>
      <c r="X810" s="27" t="s">
        <v>7</v>
      </c>
      <c r="Y810" s="27" t="s">
        <v>8</v>
      </c>
      <c r="Z810" s="27" t="s">
        <v>7</v>
      </c>
      <c r="AA810" s="27" t="s">
        <v>8</v>
      </c>
      <c r="AB810" s="27" t="s">
        <v>7</v>
      </c>
      <c r="AC810" s="27" t="s">
        <v>8</v>
      </c>
      <c r="AF810" s="27" t="s">
        <v>7</v>
      </c>
      <c r="AG810" s="27" t="s">
        <v>8</v>
      </c>
      <c r="AH810" s="27" t="s">
        <v>7</v>
      </c>
      <c r="AI810" s="27" t="s">
        <v>8</v>
      </c>
      <c r="AJ810" s="27" t="s">
        <v>7</v>
      </c>
      <c r="AM810" s="27" t="s">
        <v>8</v>
      </c>
      <c r="AN810" s="27" t="s">
        <v>7</v>
      </c>
      <c r="AO810" s="27" t="s">
        <v>8</v>
      </c>
      <c r="BB810" s="27" t="s">
        <v>7</v>
      </c>
      <c r="BC810" s="27" t="s">
        <v>8</v>
      </c>
      <c r="BD810" s="27" t="s">
        <v>7</v>
      </c>
      <c r="BE810" s="27" t="s">
        <v>8</v>
      </c>
      <c r="BJ810" s="27" t="s">
        <v>7</v>
      </c>
      <c r="BK810" s="27" t="s">
        <v>8</v>
      </c>
      <c r="BR810" s="27" t="s">
        <v>7</v>
      </c>
      <c r="BT810" s="27" t="s">
        <v>7</v>
      </c>
      <c r="BU810" s="27" t="s">
        <v>8</v>
      </c>
      <c r="BV810" s="27" t="s">
        <v>7</v>
      </c>
      <c r="BW810" s="27" t="s">
        <v>8</v>
      </c>
      <c r="CA810" s="27" t="s">
        <v>8</v>
      </c>
      <c r="CB810" s="27" t="s">
        <v>7</v>
      </c>
    </row>
    <row r="811" spans="1:85" x14ac:dyDescent="0.25">
      <c r="A811" s="7">
        <v>1.184572170262178E-2</v>
      </c>
      <c r="B811"/>
      <c r="C811"/>
      <c r="D811"/>
      <c r="E811"/>
      <c r="F811" s="27" t="s">
        <v>7</v>
      </c>
      <c r="W811" s="27" t="s">
        <v>8</v>
      </c>
      <c r="X811" s="27" t="s">
        <v>7</v>
      </c>
      <c r="Y811" s="27" t="s">
        <v>8</v>
      </c>
      <c r="Z811" s="27" t="s">
        <v>7</v>
      </c>
      <c r="AA811" s="27" t="s">
        <v>8</v>
      </c>
      <c r="AB811" s="27" t="s">
        <v>7</v>
      </c>
      <c r="AF811" s="27" t="s">
        <v>7</v>
      </c>
      <c r="AG811" s="27" t="s">
        <v>8</v>
      </c>
      <c r="AH811" s="27" t="s">
        <v>7</v>
      </c>
      <c r="AI811" s="27" t="s">
        <v>8</v>
      </c>
      <c r="AJ811" s="27" t="s">
        <v>7</v>
      </c>
      <c r="AK811" s="27" t="s">
        <v>8</v>
      </c>
      <c r="AM811" s="27" t="s">
        <v>8</v>
      </c>
      <c r="AN811" s="27" t="s">
        <v>7</v>
      </c>
      <c r="AO811" s="27" t="s">
        <v>8</v>
      </c>
      <c r="BB811" s="27" t="s">
        <v>7</v>
      </c>
      <c r="BC811" s="27" t="s">
        <v>8</v>
      </c>
      <c r="BD811" s="27" t="s">
        <v>7</v>
      </c>
      <c r="BE811" s="27" t="s">
        <v>8</v>
      </c>
      <c r="BJ811" s="27" t="s">
        <v>7</v>
      </c>
      <c r="BK811" s="27" t="s">
        <v>8</v>
      </c>
      <c r="BT811" s="27" t="s">
        <v>7</v>
      </c>
      <c r="BU811" s="27" t="s">
        <v>8</v>
      </c>
      <c r="BV811" s="27" t="s">
        <v>7</v>
      </c>
      <c r="BW811" s="27" t="s">
        <v>8</v>
      </c>
      <c r="BX811" s="27" t="s">
        <v>7</v>
      </c>
      <c r="BY811" s="27" t="s">
        <v>8</v>
      </c>
      <c r="CA811" s="27" t="s">
        <v>8</v>
      </c>
    </row>
    <row r="812" spans="1:85" x14ac:dyDescent="0.25">
      <c r="A812" s="7">
        <v>1.1613452649629196E-2</v>
      </c>
      <c r="B812"/>
      <c r="C812"/>
      <c r="D812"/>
      <c r="E812"/>
      <c r="F812" s="27" t="s">
        <v>7</v>
      </c>
      <c r="W812" s="27" t="s">
        <v>8</v>
      </c>
      <c r="X812" s="27" t="s">
        <v>7</v>
      </c>
      <c r="Y812" s="27" t="s">
        <v>8</v>
      </c>
      <c r="Z812" s="27" t="s">
        <v>7</v>
      </c>
      <c r="AA812" s="27" t="s">
        <v>8</v>
      </c>
      <c r="AF812" s="27" t="s">
        <v>7</v>
      </c>
      <c r="AG812" s="27" t="s">
        <v>8</v>
      </c>
      <c r="AH812" s="27" t="s">
        <v>7</v>
      </c>
      <c r="AI812" s="27" t="s">
        <v>8</v>
      </c>
      <c r="AJ812" s="27" t="s">
        <v>7</v>
      </c>
      <c r="AK812" s="27" t="s">
        <v>8</v>
      </c>
      <c r="AL812" s="27" t="s">
        <v>7</v>
      </c>
      <c r="AM812" s="27" t="s">
        <v>8</v>
      </c>
      <c r="AN812" s="27" t="s">
        <v>7</v>
      </c>
      <c r="BB812" s="27" t="s">
        <v>7</v>
      </c>
      <c r="BC812" s="27" t="s">
        <v>8</v>
      </c>
      <c r="BD812" s="27" t="s">
        <v>7</v>
      </c>
      <c r="BJ812" s="27" t="s">
        <v>7</v>
      </c>
      <c r="BT812" s="27" t="s">
        <v>7</v>
      </c>
      <c r="BU812" s="27" t="s">
        <v>8</v>
      </c>
      <c r="BV812" s="27" t="s">
        <v>7</v>
      </c>
      <c r="BW812" s="27" t="s">
        <v>8</v>
      </c>
      <c r="BX812" s="27" t="s">
        <v>7</v>
      </c>
      <c r="BY812" s="27" t="s">
        <v>8</v>
      </c>
      <c r="BZ812" s="27" t="s">
        <v>7</v>
      </c>
      <c r="CA812" s="27" t="s">
        <v>8</v>
      </c>
    </row>
    <row r="813" spans="1:85" x14ac:dyDescent="0.25">
      <c r="A813" s="7">
        <v>1.138573789179333E-2</v>
      </c>
      <c r="B813"/>
      <c r="C813"/>
      <c r="D813"/>
      <c r="E813"/>
      <c r="F813" s="27" t="s">
        <v>7</v>
      </c>
      <c r="W813" s="27" t="s">
        <v>8</v>
      </c>
      <c r="X813" s="27" t="s">
        <v>7</v>
      </c>
      <c r="Y813" s="27" t="s">
        <v>8</v>
      </c>
      <c r="Z813" s="27" t="s">
        <v>7</v>
      </c>
      <c r="AA813" s="27" t="s">
        <v>8</v>
      </c>
      <c r="AF813" s="27" t="s">
        <v>7</v>
      </c>
      <c r="AG813" s="27" t="s">
        <v>8</v>
      </c>
      <c r="AH813" s="27" t="s">
        <v>7</v>
      </c>
      <c r="AJ813" s="27" t="s">
        <v>7</v>
      </c>
      <c r="AK813" s="27" t="s">
        <v>8</v>
      </c>
      <c r="AL813" s="27" t="s">
        <v>7</v>
      </c>
      <c r="AM813" s="27" t="s">
        <v>8</v>
      </c>
      <c r="BB813" s="27" t="s">
        <v>7</v>
      </c>
      <c r="BT813" s="27" t="s">
        <v>7</v>
      </c>
      <c r="BU813" s="27" t="s">
        <v>8</v>
      </c>
      <c r="BV813" s="27" t="s">
        <v>7</v>
      </c>
      <c r="BX813" s="27" t="s">
        <v>7</v>
      </c>
      <c r="BY813" s="27" t="s">
        <v>8</v>
      </c>
      <c r="BZ813" s="27" t="s">
        <v>7</v>
      </c>
      <c r="CA813" s="27" t="s">
        <v>8</v>
      </c>
    </row>
    <row r="814" spans="1:85" x14ac:dyDescent="0.25">
      <c r="A814" s="7">
        <v>1.1162488129209149E-2</v>
      </c>
      <c r="B814"/>
      <c r="C814"/>
      <c r="D814"/>
      <c r="E814"/>
      <c r="F814" s="27" t="s">
        <v>7</v>
      </c>
      <c r="W814" s="27" t="s">
        <v>8</v>
      </c>
      <c r="X814" s="27" t="s">
        <v>7</v>
      </c>
      <c r="Z814" s="27" t="s">
        <v>7</v>
      </c>
      <c r="AA814" s="27" t="s">
        <v>8</v>
      </c>
      <c r="AF814" s="27" t="s">
        <v>7</v>
      </c>
      <c r="AG814" s="27" t="s">
        <v>8</v>
      </c>
      <c r="AJ814" s="27" t="s">
        <v>7</v>
      </c>
      <c r="AL814" s="27" t="s">
        <v>7</v>
      </c>
      <c r="AM814" s="27" t="s">
        <v>8</v>
      </c>
      <c r="BT814" s="27" t="s">
        <v>7</v>
      </c>
      <c r="BU814" s="27" t="s">
        <v>8</v>
      </c>
      <c r="BX814" s="27" t="s">
        <v>7</v>
      </c>
      <c r="BY814" s="27" t="s">
        <v>8</v>
      </c>
      <c r="BZ814" s="27" t="s">
        <v>7</v>
      </c>
      <c r="CA814" s="27" t="s">
        <v>8</v>
      </c>
    </row>
    <row r="815" spans="1:85" x14ac:dyDescent="0.25">
      <c r="A815" s="7">
        <v>1.0943615812950145E-2</v>
      </c>
      <c r="B815"/>
      <c r="C815"/>
      <c r="D815"/>
      <c r="E815"/>
      <c r="F815" s="27" t="s">
        <v>7</v>
      </c>
      <c r="W815" s="27" t="s">
        <v>8</v>
      </c>
      <c r="Z815" s="27" t="s">
        <v>7</v>
      </c>
      <c r="AA815" s="27" t="s">
        <v>8</v>
      </c>
      <c r="AF815" s="27" t="s">
        <v>7</v>
      </c>
      <c r="AG815" s="27" t="s">
        <v>8</v>
      </c>
      <c r="AL815" s="27" t="s">
        <v>7</v>
      </c>
      <c r="AM815" s="27" t="s">
        <v>8</v>
      </c>
      <c r="BT815" s="27" t="s">
        <v>7</v>
      </c>
      <c r="BU815" s="27" t="s">
        <v>8</v>
      </c>
      <c r="BX815" s="27" t="s">
        <v>7</v>
      </c>
      <c r="BY815" s="27" t="s">
        <v>8</v>
      </c>
      <c r="BZ815" s="27" t="s">
        <v>7</v>
      </c>
      <c r="CA815" s="27" t="s">
        <v>8</v>
      </c>
    </row>
    <row r="816" spans="1:85" x14ac:dyDescent="0.25">
      <c r="A816" s="7">
        <v>1.0729035110735436E-2</v>
      </c>
      <c r="B816"/>
      <c r="C816"/>
      <c r="D816"/>
      <c r="E816"/>
      <c r="F816" s="27" t="s">
        <v>7</v>
      </c>
      <c r="W816" s="27" t="s">
        <v>8</v>
      </c>
      <c r="Z816" s="27" t="s">
        <v>7</v>
      </c>
      <c r="AF816" s="27" t="s">
        <v>7</v>
      </c>
      <c r="AL816" s="27" t="s">
        <v>7</v>
      </c>
      <c r="AM816" s="27" t="s">
        <v>8</v>
      </c>
      <c r="BT816" s="27" t="s">
        <v>7</v>
      </c>
      <c r="BX816" s="27" t="s">
        <v>7</v>
      </c>
      <c r="BY816" s="27" t="s">
        <v>8</v>
      </c>
      <c r="BZ816" s="27" t="s">
        <v>7</v>
      </c>
    </row>
    <row r="817" spans="1:77" x14ac:dyDescent="0.25">
      <c r="A817" s="7">
        <v>1.0518661873270036E-2</v>
      </c>
      <c r="B817"/>
      <c r="C817"/>
      <c r="D817"/>
      <c r="E817"/>
      <c r="F817" s="27" t="s">
        <v>7</v>
      </c>
      <c r="W817" s="27" t="s">
        <v>8</v>
      </c>
      <c r="AL817" s="27" t="s">
        <v>7</v>
      </c>
      <c r="BX817" s="27" t="s">
        <v>7</v>
      </c>
      <c r="BY817" s="27" t="s">
        <v>8</v>
      </c>
    </row>
    <row r="818" spans="1:77" x14ac:dyDescent="0.25">
      <c r="A818" s="7">
        <v>1.0312413601245135E-2</v>
      </c>
      <c r="B818"/>
      <c r="C818"/>
      <c r="D818"/>
      <c r="E818"/>
      <c r="F818" s="27" t="s">
        <v>7</v>
      </c>
      <c r="O818" s="27" t="s">
        <v>8</v>
      </c>
      <c r="W818" s="27" t="s">
        <v>8</v>
      </c>
      <c r="BX818" s="27" t="s">
        <v>7</v>
      </c>
      <c r="BY818" s="27" t="s">
        <v>8</v>
      </c>
    </row>
    <row r="819" spans="1:77" x14ac:dyDescent="0.25">
      <c r="A819" s="7">
        <v>1.0110209412985426E-2</v>
      </c>
      <c r="B819"/>
      <c r="C819"/>
      <c r="D819"/>
      <c r="E819"/>
      <c r="F819" s="27" t="s">
        <v>7</v>
      </c>
      <c r="O819" s="27" t="s">
        <v>8</v>
      </c>
      <c r="P819" s="27" t="s">
        <v>7</v>
      </c>
      <c r="Q819" s="27" t="s">
        <v>8</v>
      </c>
      <c r="U819" s="27" t="s">
        <v>8</v>
      </c>
      <c r="W819" s="27" t="s">
        <v>8</v>
      </c>
      <c r="BX819" s="27" t="s">
        <v>7</v>
      </c>
      <c r="BY819" s="27" t="s">
        <v>8</v>
      </c>
    </row>
    <row r="820" spans="1:77" x14ac:dyDescent="0.25">
      <c r="A820" s="7">
        <v>9.9119700127308103E-3</v>
      </c>
      <c r="B820"/>
      <c r="C820"/>
      <c r="D820"/>
      <c r="E820"/>
      <c r="F820" s="27" t="s">
        <v>7</v>
      </c>
      <c r="O820" s="27" t="s">
        <v>8</v>
      </c>
      <c r="P820" s="27" t="s">
        <v>7</v>
      </c>
      <c r="Q820" s="27" t="s">
        <v>8</v>
      </c>
      <c r="R820" s="27" t="s">
        <v>7</v>
      </c>
      <c r="U820" s="27" t="s">
        <v>8</v>
      </c>
      <c r="V820" s="27" t="s">
        <v>7</v>
      </c>
      <c r="W820" s="27" t="s">
        <v>8</v>
      </c>
      <c r="BX820" s="27" t="s">
        <v>7</v>
      </c>
    </row>
    <row r="821" spans="1:77" x14ac:dyDescent="0.25">
      <c r="A821" s="7">
        <v>9.717617659540009E-3</v>
      </c>
      <c r="B821"/>
      <c r="C821"/>
      <c r="D821"/>
      <c r="E821"/>
      <c r="F821" s="27" t="s">
        <v>7</v>
      </c>
      <c r="I821" s="27" t="s">
        <v>8</v>
      </c>
      <c r="K821" s="27" t="s">
        <v>8</v>
      </c>
      <c r="O821" s="27" t="s">
        <v>8</v>
      </c>
      <c r="P821" s="27" t="s">
        <v>7</v>
      </c>
      <c r="Q821" s="27" t="s">
        <v>8</v>
      </c>
      <c r="R821" s="27" t="s">
        <v>7</v>
      </c>
      <c r="U821" s="27" t="s">
        <v>8</v>
      </c>
      <c r="V821" s="27" t="s">
        <v>7</v>
      </c>
      <c r="W821" s="27" t="s">
        <v>8</v>
      </c>
    </row>
    <row r="822" spans="1:77" x14ac:dyDescent="0.25">
      <c r="A822" s="7">
        <v>9.5270761368039299E-3</v>
      </c>
      <c r="B822"/>
      <c r="C822"/>
      <c r="D822"/>
      <c r="E822"/>
      <c r="F822" s="27" t="s">
        <v>7</v>
      </c>
      <c r="G822" s="27" t="s">
        <v>8</v>
      </c>
      <c r="I822" s="27" t="s">
        <v>8</v>
      </c>
      <c r="J822" s="27" t="s">
        <v>7</v>
      </c>
      <c r="K822" s="27" t="s">
        <v>8</v>
      </c>
      <c r="L822" s="27" t="s">
        <v>7</v>
      </c>
      <c r="M822" s="27" t="s">
        <v>8</v>
      </c>
      <c r="O822" s="27" t="s">
        <v>8</v>
      </c>
      <c r="P822" s="27" t="s">
        <v>7</v>
      </c>
      <c r="Q822" s="27" t="s">
        <v>8</v>
      </c>
      <c r="R822" s="27" t="s">
        <v>7</v>
      </c>
      <c r="U822" s="27" t="s">
        <v>8</v>
      </c>
      <c r="V822" s="27" t="s">
        <v>7</v>
      </c>
    </row>
    <row r="823" spans="1:77" x14ac:dyDescent="0.25">
      <c r="A823" s="7">
        <v>9.3402707223567936E-3</v>
      </c>
      <c r="B823"/>
      <c r="C823"/>
      <c r="D823"/>
      <c r="E823"/>
      <c r="F823" s="27" t="s">
        <v>7</v>
      </c>
      <c r="G823" s="27" t="s">
        <v>8</v>
      </c>
      <c r="H823" s="27" t="s">
        <v>7</v>
      </c>
      <c r="I823" s="27" t="s">
        <v>8</v>
      </c>
      <c r="J823" s="27" t="s">
        <v>7</v>
      </c>
      <c r="K823" s="27" t="s">
        <v>8</v>
      </c>
      <c r="L823" s="27" t="s">
        <v>7</v>
      </c>
      <c r="M823" s="27" t="s">
        <v>8</v>
      </c>
      <c r="N823" s="27" t="s">
        <v>7</v>
      </c>
      <c r="O823" s="27" t="s">
        <v>8</v>
      </c>
      <c r="P823" s="27" t="s">
        <v>7</v>
      </c>
      <c r="R823" s="27" t="s">
        <v>7</v>
      </c>
      <c r="S823" s="27" t="s">
        <v>8</v>
      </c>
      <c r="U823" s="27" t="s">
        <v>8</v>
      </c>
    </row>
    <row r="824" spans="1:77" x14ac:dyDescent="0.25">
      <c r="A824" s="7">
        <v>9.1571281591733261E-3</v>
      </c>
      <c r="B824"/>
      <c r="C824"/>
      <c r="D824"/>
      <c r="E824"/>
      <c r="F824" s="27" t="s">
        <v>7</v>
      </c>
      <c r="G824" s="27" t="s">
        <v>8</v>
      </c>
      <c r="H824" s="27" t="s">
        <v>7</v>
      </c>
      <c r="I824" s="27" t="s">
        <v>8</v>
      </c>
      <c r="J824" s="27" t="s">
        <v>7</v>
      </c>
      <c r="K824" s="27" t="s">
        <v>8</v>
      </c>
      <c r="L824" s="27" t="s">
        <v>7</v>
      </c>
      <c r="M824" s="27" t="s">
        <v>8</v>
      </c>
      <c r="N824" s="27" t="s">
        <v>7</v>
      </c>
      <c r="O824" s="27" t="s">
        <v>8</v>
      </c>
      <c r="R824" s="27" t="s">
        <v>7</v>
      </c>
      <c r="S824" s="27" t="s">
        <v>8</v>
      </c>
      <c r="T824" s="27" t="s">
        <v>7</v>
      </c>
      <c r="U824" s="27" t="s">
        <v>8</v>
      </c>
    </row>
    <row r="825" spans="1:77" x14ac:dyDescent="0.25">
      <c r="A825" s="7">
        <v>8.9775766266405148E-3</v>
      </c>
      <c r="B825"/>
      <c r="C825"/>
      <c r="D825"/>
      <c r="E825"/>
      <c r="F825" s="27" t="s">
        <v>7</v>
      </c>
      <c r="G825" s="27" t="s">
        <v>8</v>
      </c>
      <c r="H825" s="27" t="s">
        <v>7</v>
      </c>
      <c r="I825" s="27" t="s">
        <v>8</v>
      </c>
      <c r="J825" s="27" t="s">
        <v>7</v>
      </c>
      <c r="L825" s="27" t="s">
        <v>7</v>
      </c>
      <c r="N825" s="27" t="s">
        <v>7</v>
      </c>
      <c r="O825" s="27" t="s">
        <v>8</v>
      </c>
      <c r="R825" s="27" t="s">
        <v>7</v>
      </c>
      <c r="S825" s="27" t="s">
        <v>8</v>
      </c>
      <c r="T825" s="27" t="s">
        <v>7</v>
      </c>
      <c r="U825" s="27" t="s">
        <v>8</v>
      </c>
    </row>
    <row r="826" spans="1:77" x14ac:dyDescent="0.25">
      <c r="A826" s="7">
        <v>8.8015457123926614E-3</v>
      </c>
      <c r="B826"/>
      <c r="C826"/>
      <c r="D826"/>
      <c r="E826"/>
      <c r="F826" s="27" t="s">
        <v>7</v>
      </c>
      <c r="H826" s="27" t="s">
        <v>7</v>
      </c>
      <c r="I826" s="27" t="s">
        <v>8</v>
      </c>
      <c r="N826" s="27" t="s">
        <v>7</v>
      </c>
      <c r="R826" s="27" t="s">
        <v>7</v>
      </c>
      <c r="S826" s="27" t="s">
        <v>8</v>
      </c>
      <c r="T826" s="27" t="s">
        <v>7</v>
      </c>
      <c r="U826" s="27" t="s">
        <v>8</v>
      </c>
    </row>
    <row r="827" spans="1:77" x14ac:dyDescent="0.25">
      <c r="A827" s="7">
        <v>8.6289663846986879E-3</v>
      </c>
      <c r="B827"/>
      <c r="C827"/>
      <c r="D827"/>
      <c r="E827"/>
      <c r="H827" s="27" t="s">
        <v>7</v>
      </c>
      <c r="I827" s="27" t="s">
        <v>8</v>
      </c>
      <c r="R827" s="27" t="s">
        <v>7</v>
      </c>
      <c r="S827" s="27" t="s">
        <v>8</v>
      </c>
      <c r="T827" s="27" t="s">
        <v>7</v>
      </c>
    </row>
    <row r="828" spans="1:77" x14ac:dyDescent="0.25">
      <c r="A828" s="7">
        <v>8.4597709653908715E-3</v>
      </c>
      <c r="B828"/>
      <c r="C828"/>
      <c r="D828"/>
      <c r="E828"/>
      <c r="H828" s="27" t="s">
        <v>7</v>
      </c>
      <c r="I828" s="27" t="s">
        <v>8</v>
      </c>
      <c r="R828" s="27" t="s">
        <v>7</v>
      </c>
    </row>
    <row r="829" spans="1:77" x14ac:dyDescent="0.25">
      <c r="A829" s="7">
        <v>8.2938931033243839E-3</v>
      </c>
      <c r="B829"/>
      <c r="C829"/>
      <c r="D829"/>
      <c r="E829"/>
      <c r="H829" s="27" t="s">
        <v>7</v>
      </c>
      <c r="I829" s="27" t="s">
        <v>8</v>
      </c>
    </row>
    <row r="830" spans="1:77" x14ac:dyDescent="0.25">
      <c r="A830" s="7">
        <v>8.1312677483572383E-3</v>
      </c>
      <c r="B830"/>
      <c r="C830"/>
      <c r="D830"/>
      <c r="E830"/>
      <c r="H830" s="27" t="s">
        <v>7</v>
      </c>
      <c r="I830" s="27" t="s">
        <v>8</v>
      </c>
    </row>
    <row r="831" spans="1:77" x14ac:dyDescent="0.25">
      <c r="A831" s="7">
        <v>7.9718311258404305E-3</v>
      </c>
      <c r="B831"/>
      <c r="C831"/>
      <c r="D831"/>
      <c r="E831"/>
      <c r="H831" s="27" t="s">
        <v>7</v>
      </c>
    </row>
    <row r="832" spans="1:77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07" operator="equal">
      <formula>$U$1</formula>
    </cfRule>
    <cfRule type="cellIs" dxfId="89" priority="1008" operator="equal">
      <formula>$S$1</formula>
    </cfRule>
  </conditionalFormatting>
  <conditionalFormatting sqref="D27">
    <cfRule type="cellIs" dxfId="88" priority="1005" operator="equal">
      <formula>$S$1</formula>
    </cfRule>
    <cfRule type="cellIs" dxfId="87" priority="1006" operator="equal">
      <formula>$U$1</formula>
    </cfRule>
  </conditionalFormatting>
  <conditionalFormatting sqref="C164">
    <cfRule type="cellIs" dxfId="86" priority="1003" operator="equal">
      <formula>$U$1</formula>
    </cfRule>
    <cfRule type="cellIs" dxfId="85" priority="1004" operator="equal">
      <formula>$S$1</formula>
    </cfRule>
  </conditionalFormatting>
  <conditionalFormatting sqref="D164">
    <cfRule type="cellIs" dxfId="84" priority="1001" operator="equal">
      <formula>$S$1</formula>
    </cfRule>
    <cfRule type="cellIs" dxfId="83" priority="1002" operator="equal">
      <formula>$U$1</formula>
    </cfRule>
  </conditionalFormatting>
  <conditionalFormatting sqref="C55">
    <cfRule type="cellIs" dxfId="82" priority="999" operator="equal">
      <formula>$U$1</formula>
    </cfRule>
    <cfRule type="cellIs" dxfId="81" priority="1000" operator="equal">
      <formula>$S$1</formula>
    </cfRule>
  </conditionalFormatting>
  <conditionalFormatting sqref="D55">
    <cfRule type="cellIs" dxfId="80" priority="997" operator="equal">
      <formula>$S$1</formula>
    </cfRule>
    <cfRule type="cellIs" dxfId="79" priority="998" operator="equal">
      <formula>$U$1</formula>
    </cfRule>
  </conditionalFormatting>
  <conditionalFormatting sqref="C89">
    <cfRule type="cellIs" dxfId="78" priority="995" operator="equal">
      <formula>$U$1</formula>
    </cfRule>
    <cfRule type="cellIs" dxfId="77" priority="996" operator="equal">
      <formula>$S$1</formula>
    </cfRule>
  </conditionalFormatting>
  <conditionalFormatting sqref="D89">
    <cfRule type="cellIs" dxfId="76" priority="993" operator="equal">
      <formula>$S$1</formula>
    </cfRule>
    <cfRule type="cellIs" dxfId="75" priority="994" operator="equal">
      <formula>$U$1</formula>
    </cfRule>
  </conditionalFormatting>
  <conditionalFormatting sqref="C136">
    <cfRule type="cellIs" dxfId="74" priority="991" operator="equal">
      <formula>$U$1</formula>
    </cfRule>
    <cfRule type="cellIs" dxfId="73" priority="992" operator="equal">
      <formula>$S$1</formula>
    </cfRule>
  </conditionalFormatting>
  <conditionalFormatting sqref="D136">
    <cfRule type="cellIs" dxfId="72" priority="989" operator="equal">
      <formula>$S$1</formula>
    </cfRule>
    <cfRule type="cellIs" dxfId="71" priority="990" operator="equal">
      <formula>$U$1</formula>
    </cfRule>
  </conditionalFormatting>
  <conditionalFormatting sqref="C1">
    <cfRule type="cellIs" dxfId="70" priority="98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X298" sqref="FX29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$A$297</v>
      </c>
      <c r="D111" s="1" t="str">
        <f>ADDRESS(C121-1,D121,1,1)</f>
        <v>$FX$297</v>
      </c>
      <c r="E111"/>
    </row>
    <row r="112" spans="1:5" x14ac:dyDescent="0.25">
      <c r="A112" s="30">
        <v>515.50191262726139</v>
      </c>
      <c r="C112" s="1" t="str">
        <f>ADDRESS(C121,1,1,1)</f>
        <v>$A$298</v>
      </c>
      <c r="D112" s="1" t="str">
        <f>ADDRESS(C121,D121-1,1,1)</f>
        <v>$FW$298</v>
      </c>
      <c r="E112"/>
    </row>
    <row r="113" spans="1:5" x14ac:dyDescent="0.25">
      <c r="A113" s="30">
        <v>490.95420250215363</v>
      </c>
      <c r="C113" s="1" t="str">
        <f>ADDRESS(C121+1,1,1,1)</f>
        <v>$A$299</v>
      </c>
      <c r="D113" s="1" t="str">
        <f>ADDRESS(C121-1,D121+1,1,1)</f>
        <v>$FY$297</v>
      </c>
    </row>
    <row r="114" spans="1:5" x14ac:dyDescent="0.25">
      <c r="A114" s="30">
        <v>467.57543095443202</v>
      </c>
      <c r="C114" s="1" t="str">
        <f>ADDRESS(C121,D121,1,1)</f>
        <v>$FX$298</v>
      </c>
      <c r="D114" s="1" t="str">
        <f>ADDRESS(C121+1,D121+1,1,1)</f>
        <v>$FY$299</v>
      </c>
    </row>
    <row r="115" spans="1:5" x14ac:dyDescent="0.25">
      <c r="A115" s="30">
        <v>445.30993424231622</v>
      </c>
      <c r="C115" s="1" t="str">
        <f>ADDRESS(C121+1,D121,1,1)</f>
        <v>$FX$299</v>
      </c>
    </row>
    <row r="116" spans="1:5" x14ac:dyDescent="0.25">
      <c r="A116" s="30">
        <v>424.10469927839637</v>
      </c>
      <c r="C116" s="1">
        <f>C117-1</f>
        <v>297</v>
      </c>
    </row>
    <row r="117" spans="1:5" x14ac:dyDescent="0.25">
      <c r="A117" s="30">
        <v>403.9092374079965</v>
      </c>
      <c r="C117" s="1">
        <f>C121</f>
        <v>298</v>
      </c>
      <c r="D117" s="1">
        <f>D121</f>
        <v>180</v>
      </c>
    </row>
    <row r="118" spans="1:5" x14ac:dyDescent="0.25">
      <c r="A118" s="30">
        <v>384.6754641980919</v>
      </c>
      <c r="C118" s="1">
        <f>C117+1</f>
        <v>299</v>
      </c>
      <c r="D118" s="1">
        <f>D117+1</f>
        <v>181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298</v>
      </c>
      <c r="D121" s="19">
        <v>180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R298</v>
      </c>
      <c r="D123" s="1" t="str">
        <f>"C"&amp;D121</f>
        <v>C180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5.9022914930508576E-2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178" x14ac:dyDescent="0.25">
      <c r="A273" s="30">
        <v>0.19987253960121379</v>
      </c>
      <c r="B273"/>
      <c r="C273"/>
      <c r="D273"/>
      <c r="E273"/>
      <c r="F273" s="27" t="s">
        <v>7</v>
      </c>
    </row>
    <row r="274" spans="1:178" x14ac:dyDescent="0.25">
      <c r="A274" s="30">
        <v>0.19035479962020352</v>
      </c>
      <c r="B274"/>
      <c r="C274"/>
      <c r="D274"/>
      <c r="E274"/>
      <c r="F274" s="27" t="s">
        <v>7</v>
      </c>
    </row>
    <row r="275" spans="1:178" x14ac:dyDescent="0.25">
      <c r="A275" s="30">
        <v>0.18129028535257471</v>
      </c>
      <c r="B275"/>
      <c r="C275"/>
      <c r="D275"/>
      <c r="E275"/>
      <c r="F275" s="27" t="s">
        <v>7</v>
      </c>
    </row>
    <row r="276" spans="1:178" x14ac:dyDescent="0.25">
      <c r="A276" s="30">
        <v>0.17265741462149967</v>
      </c>
      <c r="B276"/>
      <c r="C276"/>
      <c r="D276"/>
      <c r="E276"/>
      <c r="F276" s="27" t="s">
        <v>7</v>
      </c>
      <c r="FQ276" s="27" t="s">
        <v>8</v>
      </c>
    </row>
    <row r="277" spans="1:178" x14ac:dyDescent="0.25">
      <c r="A277" s="30">
        <v>0.16443563297285677</v>
      </c>
      <c r="B277"/>
      <c r="C277"/>
      <c r="D277"/>
      <c r="E277"/>
      <c r="F277" s="27" t="s">
        <v>7</v>
      </c>
      <c r="FQ277" s="27" t="s">
        <v>8</v>
      </c>
      <c r="FR277" s="27" t="s">
        <v>7</v>
      </c>
    </row>
    <row r="278" spans="1:178" x14ac:dyDescent="0.25">
      <c r="A278" s="30">
        <v>0.15660536473605399</v>
      </c>
      <c r="B278"/>
      <c r="C278"/>
      <c r="D278"/>
      <c r="E278"/>
      <c r="F278" s="27" t="s">
        <v>7</v>
      </c>
      <c r="FQ278" s="27" t="s">
        <v>8</v>
      </c>
      <c r="FR278" s="27" t="s">
        <v>7</v>
      </c>
    </row>
    <row r="279" spans="1:178" x14ac:dyDescent="0.25">
      <c r="A279" s="30">
        <v>0.14914796641528946</v>
      </c>
      <c r="B279"/>
      <c r="C279"/>
      <c r="D279"/>
      <c r="E279"/>
      <c r="F279" s="27" t="s">
        <v>7</v>
      </c>
      <c r="FQ279" s="27" t="s">
        <v>8</v>
      </c>
      <c r="FR279" s="27" t="s">
        <v>7</v>
      </c>
    </row>
    <row r="280" spans="1:178" x14ac:dyDescent="0.25">
      <c r="A280" s="30">
        <v>0.14204568230027562</v>
      </c>
      <c r="B280"/>
      <c r="C280"/>
      <c r="D280"/>
      <c r="E280"/>
      <c r="F280" s="27" t="s">
        <v>7</v>
      </c>
      <c r="CI280" s="27" t="s">
        <v>8</v>
      </c>
      <c r="FQ280" s="27" t="s">
        <v>8</v>
      </c>
      <c r="FR280" s="27" t="s">
        <v>7</v>
      </c>
    </row>
    <row r="281" spans="1:178" x14ac:dyDescent="0.25">
      <c r="A281" s="30">
        <v>0.13528160219073862</v>
      </c>
      <c r="B281"/>
      <c r="C281"/>
      <c r="D281"/>
      <c r="E281"/>
      <c r="F281" s="27" t="s">
        <v>7</v>
      </c>
      <c r="CI281" s="27" t="s">
        <v>8</v>
      </c>
      <c r="CJ281" s="27" t="s">
        <v>7</v>
      </c>
      <c r="FQ281" s="27" t="s">
        <v>8</v>
      </c>
      <c r="FR281" s="27" t="s">
        <v>7</v>
      </c>
      <c r="FS281" s="27" t="s">
        <v>8</v>
      </c>
    </row>
    <row r="282" spans="1:178" x14ac:dyDescent="0.25">
      <c r="A282" s="30">
        <v>0.12883962113403674</v>
      </c>
      <c r="B282"/>
      <c r="C282"/>
      <c r="D282"/>
      <c r="E282"/>
      <c r="F282" s="27" t="s">
        <v>7</v>
      </c>
      <c r="CI282" s="27" t="s">
        <v>8</v>
      </c>
      <c r="CJ282" s="27" t="s">
        <v>7</v>
      </c>
      <c r="FQ282" s="27" t="s">
        <v>8</v>
      </c>
      <c r="FR282" s="27" t="s">
        <v>7</v>
      </c>
      <c r="FS282" s="27" t="s">
        <v>8</v>
      </c>
      <c r="FT282" s="27" t="s">
        <v>7</v>
      </c>
    </row>
    <row r="283" spans="1:178" x14ac:dyDescent="0.25">
      <c r="A283" s="30">
        <v>0.12270440108003494</v>
      </c>
      <c r="B283"/>
      <c r="C283"/>
      <c r="D283"/>
      <c r="E283"/>
      <c r="F283" s="27" t="s">
        <v>7</v>
      </c>
      <c r="BY283" s="27" t="s">
        <v>8</v>
      </c>
      <c r="CI283" s="27" t="s">
        <v>8</v>
      </c>
      <c r="CJ283" s="27" t="s">
        <v>7</v>
      </c>
      <c r="FQ283" s="27" t="s">
        <v>8</v>
      </c>
      <c r="FR283" s="27" t="s">
        <v>7</v>
      </c>
      <c r="FS283" s="27" t="s">
        <v>8</v>
      </c>
      <c r="FT283" s="27" t="s">
        <v>7</v>
      </c>
    </row>
    <row r="284" spans="1:178" x14ac:dyDescent="0.25">
      <c r="A284" s="30">
        <v>0.11686133436193799</v>
      </c>
      <c r="B284"/>
      <c r="C284"/>
      <c r="D284"/>
      <c r="E284"/>
      <c r="F284" s="27" t="s">
        <v>7</v>
      </c>
      <c r="BY284" s="27" t="s">
        <v>8</v>
      </c>
      <c r="BZ284" s="27" t="s">
        <v>7</v>
      </c>
      <c r="CI284" s="27" t="s">
        <v>8</v>
      </c>
      <c r="CJ284" s="27" t="s">
        <v>7</v>
      </c>
      <c r="FK284" s="27" t="s">
        <v>8</v>
      </c>
      <c r="FQ284" s="27" t="s">
        <v>8</v>
      </c>
      <c r="FR284" s="27" t="s">
        <v>7</v>
      </c>
      <c r="FT284" s="27" t="s">
        <v>7</v>
      </c>
    </row>
    <row r="285" spans="1:178" x14ac:dyDescent="0.25">
      <c r="A285" s="30">
        <v>0.11129650891613138</v>
      </c>
      <c r="B285"/>
      <c r="C285"/>
      <c r="D285"/>
      <c r="E285"/>
      <c r="F285" s="27" t="s">
        <v>7</v>
      </c>
      <c r="BY285" s="27" t="s">
        <v>8</v>
      </c>
      <c r="BZ285" s="27" t="s">
        <v>7</v>
      </c>
      <c r="CA285" s="27" t="s">
        <v>8</v>
      </c>
      <c r="CI285" s="27" t="s">
        <v>8</v>
      </c>
      <c r="CJ285" s="27" t="s">
        <v>7</v>
      </c>
      <c r="FI285" s="27" t="s">
        <v>8</v>
      </c>
      <c r="FK285" s="27" t="s">
        <v>8</v>
      </c>
      <c r="FL285" s="27" t="s">
        <v>7</v>
      </c>
      <c r="FM285" s="27" t="s">
        <v>8</v>
      </c>
      <c r="FO285" s="27" t="s">
        <v>8</v>
      </c>
      <c r="FQ285" s="27" t="s">
        <v>8</v>
      </c>
      <c r="FT285" s="27" t="s">
        <v>7</v>
      </c>
    </row>
    <row r="286" spans="1:178" x14ac:dyDescent="0.25">
      <c r="A286" s="30">
        <v>0.10599667515822032</v>
      </c>
      <c r="B286"/>
      <c r="C286"/>
      <c r="D286"/>
      <c r="E286"/>
      <c r="F286" s="27" t="s">
        <v>7</v>
      </c>
      <c r="BY286" s="27" t="s">
        <v>8</v>
      </c>
      <c r="BZ286" s="27" t="s">
        <v>7</v>
      </c>
      <c r="CA286" s="27" t="s">
        <v>8</v>
      </c>
      <c r="CB286" s="27" t="s">
        <v>7</v>
      </c>
      <c r="CG286" s="27" t="s">
        <v>8</v>
      </c>
      <c r="CI286" s="27" t="s">
        <v>8</v>
      </c>
      <c r="CJ286" s="27" t="s">
        <v>7</v>
      </c>
      <c r="CK286" s="27" t="s">
        <v>8</v>
      </c>
      <c r="FI286" s="27" t="s">
        <v>8</v>
      </c>
      <c r="FJ286" s="27" t="s">
        <v>7</v>
      </c>
      <c r="FK286" s="27" t="s">
        <v>8</v>
      </c>
      <c r="FL286" s="27" t="s">
        <v>7</v>
      </c>
      <c r="FM286" s="27" t="s">
        <v>8</v>
      </c>
      <c r="FN286" s="27" t="s">
        <v>7</v>
      </c>
      <c r="FO286" s="27" t="s">
        <v>8</v>
      </c>
      <c r="FP286" s="27" t="s">
        <v>7</v>
      </c>
      <c r="FQ286" s="27" t="s">
        <v>8</v>
      </c>
      <c r="FT286" s="27" t="s">
        <v>7</v>
      </c>
      <c r="FU286" s="27" t="s">
        <v>8</v>
      </c>
    </row>
    <row r="287" spans="1:178" x14ac:dyDescent="0.25">
      <c r="A287" s="30">
        <v>0.10094921443640027</v>
      </c>
      <c r="B287"/>
      <c r="C287"/>
      <c r="D287"/>
      <c r="E287"/>
      <c r="F287" s="27" t="s">
        <v>7</v>
      </c>
      <c r="BY287" s="27" t="s">
        <v>8</v>
      </c>
      <c r="BZ287" s="27" t="s">
        <v>7</v>
      </c>
      <c r="CA287" s="27" t="s">
        <v>8</v>
      </c>
      <c r="CB287" s="27" t="s">
        <v>7</v>
      </c>
      <c r="CG287" s="27" t="s">
        <v>8</v>
      </c>
      <c r="CH287" s="27" t="s">
        <v>7</v>
      </c>
      <c r="CI287" s="27" t="s">
        <v>8</v>
      </c>
      <c r="CJ287" s="27" t="s">
        <v>7</v>
      </c>
      <c r="CK287" s="27" t="s">
        <v>8</v>
      </c>
      <c r="CL287" s="27" t="s">
        <v>7</v>
      </c>
      <c r="FI287" s="27" t="s">
        <v>8</v>
      </c>
      <c r="FJ287" s="27" t="s">
        <v>7</v>
      </c>
      <c r="FK287" s="27" t="s">
        <v>8</v>
      </c>
      <c r="FL287" s="27" t="s">
        <v>7</v>
      </c>
      <c r="FM287" s="27" t="s">
        <v>8</v>
      </c>
      <c r="FN287" s="27" t="s">
        <v>7</v>
      </c>
      <c r="FO287" s="27" t="s">
        <v>8</v>
      </c>
      <c r="FP287" s="27" t="s">
        <v>7</v>
      </c>
      <c r="FQ287" s="27" t="s">
        <v>8</v>
      </c>
      <c r="FT287" s="27" t="s">
        <v>7</v>
      </c>
      <c r="FU287" s="27" t="s">
        <v>8</v>
      </c>
      <c r="FV287" s="27" t="s">
        <v>7</v>
      </c>
    </row>
    <row r="288" spans="1:178" x14ac:dyDescent="0.25">
      <c r="A288" s="30">
        <v>9.6142108987047836E-2</v>
      </c>
      <c r="B288"/>
      <c r="C288"/>
      <c r="D288"/>
      <c r="E288"/>
      <c r="F288" s="27" t="s">
        <v>7</v>
      </c>
      <c r="BY288" s="27" t="s">
        <v>8</v>
      </c>
      <c r="BZ288" s="27" t="s">
        <v>7</v>
      </c>
      <c r="CA288" s="27" t="s">
        <v>8</v>
      </c>
      <c r="CB288" s="27" t="s">
        <v>7</v>
      </c>
      <c r="CC288" s="27" t="s">
        <v>8</v>
      </c>
      <c r="CG288" s="27" t="s">
        <v>8</v>
      </c>
      <c r="CH288" s="27" t="s">
        <v>7</v>
      </c>
      <c r="CI288" s="27" t="s">
        <v>8</v>
      </c>
      <c r="CJ288" s="27" t="s">
        <v>7</v>
      </c>
      <c r="CK288" s="27" t="s">
        <v>8</v>
      </c>
      <c r="CL288" s="27" t="s">
        <v>7</v>
      </c>
      <c r="CU288" s="27" t="s">
        <v>8</v>
      </c>
      <c r="FI288" s="27" t="s">
        <v>8</v>
      </c>
      <c r="FJ288" s="27" t="s">
        <v>7</v>
      </c>
      <c r="FK288" s="27" t="s">
        <v>8</v>
      </c>
      <c r="FL288" s="27" t="s">
        <v>7</v>
      </c>
      <c r="FM288" s="27" t="s">
        <v>8</v>
      </c>
      <c r="FN288" s="27" t="s">
        <v>7</v>
      </c>
      <c r="FO288" s="27" t="s">
        <v>8</v>
      </c>
      <c r="FP288" s="27" t="s">
        <v>7</v>
      </c>
      <c r="FQ288" s="27" t="s">
        <v>8</v>
      </c>
      <c r="FT288" s="27" t="s">
        <v>7</v>
      </c>
      <c r="FU288" s="27" t="s">
        <v>8</v>
      </c>
      <c r="FV288" s="27" t="s">
        <v>7</v>
      </c>
    </row>
    <row r="289" spans="1:180" x14ac:dyDescent="0.25">
      <c r="A289" s="30">
        <v>9.1563913320997906E-2</v>
      </c>
      <c r="B289"/>
      <c r="C289"/>
      <c r="D289"/>
      <c r="E289"/>
      <c r="F289" s="27" t="s">
        <v>7</v>
      </c>
      <c r="BU289" s="27" t="s">
        <v>8</v>
      </c>
      <c r="BW289" s="27" t="s">
        <v>8</v>
      </c>
      <c r="BY289" s="27" t="s">
        <v>8</v>
      </c>
      <c r="BZ289" s="27" t="s">
        <v>7</v>
      </c>
      <c r="CA289" s="27" t="s">
        <v>8</v>
      </c>
      <c r="CB289" s="27" t="s">
        <v>7</v>
      </c>
      <c r="CC289" s="27" t="s">
        <v>8</v>
      </c>
      <c r="CD289" s="27" t="s">
        <v>7</v>
      </c>
      <c r="CE289" s="27" t="s">
        <v>8</v>
      </c>
      <c r="CG289" s="27" t="s">
        <v>8</v>
      </c>
      <c r="CH289" s="27" t="s">
        <v>7</v>
      </c>
      <c r="CI289" s="27" t="s">
        <v>8</v>
      </c>
      <c r="CJ289" s="27" t="s">
        <v>7</v>
      </c>
      <c r="CK289" s="27" t="s">
        <v>8</v>
      </c>
      <c r="CL289" s="27" t="s">
        <v>7</v>
      </c>
      <c r="CU289" s="27" t="s">
        <v>8</v>
      </c>
      <c r="CV289" s="27" t="s">
        <v>7</v>
      </c>
      <c r="FG289" s="27" t="s">
        <v>8</v>
      </c>
      <c r="FI289" s="27" t="s">
        <v>8</v>
      </c>
      <c r="FJ289" s="27" t="s">
        <v>7</v>
      </c>
      <c r="FK289" s="27" t="s">
        <v>8</v>
      </c>
      <c r="FL289" s="27" t="s">
        <v>7</v>
      </c>
      <c r="FM289" s="27" t="s">
        <v>8</v>
      </c>
      <c r="FN289" s="27" t="s">
        <v>7</v>
      </c>
      <c r="FO289" s="27" t="s">
        <v>8</v>
      </c>
      <c r="FP289" s="27" t="s">
        <v>7</v>
      </c>
      <c r="FT289" s="27" t="s">
        <v>7</v>
      </c>
      <c r="FV289" s="27" t="s">
        <v>7</v>
      </c>
    </row>
    <row r="290" spans="1:180" x14ac:dyDescent="0.25">
      <c r="A290" s="30">
        <v>8.7203726972378923E-2</v>
      </c>
      <c r="B290"/>
      <c r="C290"/>
      <c r="D290"/>
      <c r="E290"/>
      <c r="F290" s="27" t="s">
        <v>7</v>
      </c>
      <c r="BU290" s="27" t="s">
        <v>8</v>
      </c>
      <c r="BV290" s="27" t="s">
        <v>7</v>
      </c>
      <c r="BW290" s="27" t="s">
        <v>8</v>
      </c>
      <c r="BX290" s="27" t="s">
        <v>7</v>
      </c>
      <c r="BY290" s="27" t="s">
        <v>8</v>
      </c>
      <c r="BZ290" s="27" t="s">
        <v>7</v>
      </c>
      <c r="CB290" s="27" t="s">
        <v>7</v>
      </c>
      <c r="CC290" s="27" t="s">
        <v>8</v>
      </c>
      <c r="CD290" s="27" t="s">
        <v>7</v>
      </c>
      <c r="CE290" s="27" t="s">
        <v>8</v>
      </c>
      <c r="CF290" s="27" t="s">
        <v>7</v>
      </c>
      <c r="CG290" s="27" t="s">
        <v>8</v>
      </c>
      <c r="CH290" s="27" t="s">
        <v>7</v>
      </c>
      <c r="CI290" s="27" t="s">
        <v>8</v>
      </c>
      <c r="CJ290" s="27" t="s">
        <v>7</v>
      </c>
      <c r="CL290" s="27" t="s">
        <v>7</v>
      </c>
      <c r="CU290" s="27" t="s">
        <v>8</v>
      </c>
      <c r="CV290" s="27" t="s">
        <v>7</v>
      </c>
      <c r="FE290" s="27" t="s">
        <v>8</v>
      </c>
      <c r="FG290" s="27" t="s">
        <v>8</v>
      </c>
      <c r="FH290" s="27" t="s">
        <v>7</v>
      </c>
      <c r="FI290" s="27" t="s">
        <v>8</v>
      </c>
      <c r="FJ290" s="27" t="s">
        <v>7</v>
      </c>
      <c r="FK290" s="27" t="s">
        <v>8</v>
      </c>
      <c r="FL290" s="27" t="s">
        <v>7</v>
      </c>
      <c r="FM290" s="27" t="s">
        <v>8</v>
      </c>
      <c r="FN290" s="27" t="s">
        <v>7</v>
      </c>
      <c r="FV290" s="27" t="s">
        <v>7</v>
      </c>
    </row>
    <row r="291" spans="1:180" x14ac:dyDescent="0.25">
      <c r="A291" s="30">
        <v>8.3051168545122747E-2</v>
      </c>
      <c r="B291"/>
      <c r="C291"/>
      <c r="D291"/>
      <c r="E291"/>
      <c r="F291" s="27" t="s">
        <v>7</v>
      </c>
      <c r="BU291" s="27" t="s">
        <v>8</v>
      </c>
      <c r="BV291" s="27" t="s">
        <v>7</v>
      </c>
      <c r="BW291" s="27" t="s">
        <v>8</v>
      </c>
      <c r="BX291" s="27" t="s">
        <v>7</v>
      </c>
      <c r="BY291" s="27" t="s">
        <v>8</v>
      </c>
      <c r="CB291" s="27" t="s">
        <v>7</v>
      </c>
      <c r="CC291" s="27" t="s">
        <v>8</v>
      </c>
      <c r="CD291" s="27" t="s">
        <v>7</v>
      </c>
      <c r="CE291" s="27" t="s">
        <v>8</v>
      </c>
      <c r="CF291" s="27" t="s">
        <v>7</v>
      </c>
      <c r="CG291" s="27" t="s">
        <v>8</v>
      </c>
      <c r="CH291" s="27" t="s">
        <v>7</v>
      </c>
      <c r="CI291" s="27" t="s">
        <v>8</v>
      </c>
      <c r="CL291" s="27" t="s">
        <v>7</v>
      </c>
      <c r="CM291" s="27" t="s">
        <v>8</v>
      </c>
      <c r="CS291" s="27" t="s">
        <v>8</v>
      </c>
      <c r="CU291" s="27" t="s">
        <v>8</v>
      </c>
      <c r="CV291" s="27" t="s">
        <v>7</v>
      </c>
      <c r="FE291" s="27" t="s">
        <v>8</v>
      </c>
      <c r="FF291" s="27" t="s">
        <v>7</v>
      </c>
      <c r="FG291" s="27" t="s">
        <v>8</v>
      </c>
      <c r="FH291" s="27" t="s">
        <v>7</v>
      </c>
      <c r="FI291" s="27" t="s">
        <v>8</v>
      </c>
      <c r="FJ291" s="27" t="s">
        <v>7</v>
      </c>
      <c r="FK291" s="27" t="s">
        <v>8</v>
      </c>
      <c r="FL291" s="27" t="s">
        <v>7</v>
      </c>
      <c r="FM291" s="27" t="s">
        <v>8</v>
      </c>
      <c r="FV291" s="27" t="s">
        <v>7</v>
      </c>
    </row>
    <row r="292" spans="1:180" x14ac:dyDescent="0.25">
      <c r="A292" s="30">
        <v>7.9096350995354961E-2</v>
      </c>
      <c r="B292"/>
      <c r="C292"/>
      <c r="D292"/>
      <c r="E292"/>
      <c r="F292" s="27" t="s">
        <v>7</v>
      </c>
      <c r="BU292" s="27" t="s">
        <v>8</v>
      </c>
      <c r="BV292" s="27" t="s">
        <v>7</v>
      </c>
      <c r="BW292" s="27" t="s">
        <v>8</v>
      </c>
      <c r="BX292" s="27" t="s">
        <v>7</v>
      </c>
      <c r="BY292" s="27" t="s">
        <v>8</v>
      </c>
      <c r="CB292" s="27" t="s">
        <v>7</v>
      </c>
      <c r="CC292" s="27" t="s">
        <v>8</v>
      </c>
      <c r="CD292" s="27" t="s">
        <v>7</v>
      </c>
      <c r="CE292" s="27" t="s">
        <v>8</v>
      </c>
      <c r="CF292" s="27" t="s">
        <v>7</v>
      </c>
      <c r="CG292" s="27" t="s">
        <v>8</v>
      </c>
      <c r="CH292" s="27" t="s">
        <v>7</v>
      </c>
      <c r="CI292" s="27" t="s">
        <v>8</v>
      </c>
      <c r="CL292" s="27" t="s">
        <v>7</v>
      </c>
      <c r="CM292" s="27" t="s">
        <v>8</v>
      </c>
      <c r="CN292" s="27" t="s">
        <v>7</v>
      </c>
      <c r="CS292" s="27" t="s">
        <v>8</v>
      </c>
      <c r="CT292" s="27" t="s">
        <v>7</v>
      </c>
      <c r="CU292" s="27" t="s">
        <v>8</v>
      </c>
      <c r="CV292" s="27" t="s">
        <v>7</v>
      </c>
      <c r="FE292" s="27" t="s">
        <v>8</v>
      </c>
      <c r="FF292" s="27" t="s">
        <v>7</v>
      </c>
      <c r="FG292" s="27" t="s">
        <v>8</v>
      </c>
      <c r="FH292" s="27" t="s">
        <v>7</v>
      </c>
      <c r="FI292" s="27" t="s">
        <v>8</v>
      </c>
      <c r="FJ292" s="27" t="s">
        <v>7</v>
      </c>
      <c r="FL292" s="27" t="s">
        <v>7</v>
      </c>
      <c r="FM292" s="27" t="s">
        <v>8</v>
      </c>
      <c r="FV292" s="27" t="s">
        <v>7</v>
      </c>
    </row>
    <row r="293" spans="1:180" x14ac:dyDescent="0.25">
      <c r="A293" s="30">
        <v>7.5329858090814217E-2</v>
      </c>
      <c r="B293"/>
      <c r="C293"/>
      <c r="D293"/>
      <c r="E293"/>
      <c r="F293" s="27" t="s">
        <v>7</v>
      </c>
      <c r="BU293" s="27" t="s">
        <v>8</v>
      </c>
      <c r="BV293" s="27" t="s">
        <v>7</v>
      </c>
      <c r="BW293" s="27" t="s">
        <v>8</v>
      </c>
      <c r="BX293" s="27" t="s">
        <v>7</v>
      </c>
      <c r="BY293" s="27" t="s">
        <v>8</v>
      </c>
      <c r="CB293" s="27" t="s">
        <v>7</v>
      </c>
      <c r="CD293" s="27" t="s">
        <v>7</v>
      </c>
      <c r="CF293" s="27" t="s">
        <v>7</v>
      </c>
      <c r="CH293" s="27" t="s">
        <v>7</v>
      </c>
      <c r="CL293" s="27" t="s">
        <v>7</v>
      </c>
      <c r="CM293" s="27" t="s">
        <v>8</v>
      </c>
      <c r="CN293" s="27" t="s">
        <v>7</v>
      </c>
      <c r="CO293" s="27" t="s">
        <v>8</v>
      </c>
      <c r="CS293" s="27" t="s">
        <v>8</v>
      </c>
      <c r="CT293" s="27" t="s">
        <v>7</v>
      </c>
      <c r="CU293" s="27" t="s">
        <v>8</v>
      </c>
      <c r="CV293" s="27" t="s">
        <v>7</v>
      </c>
      <c r="EY293" s="27" t="s">
        <v>8</v>
      </c>
      <c r="FE293" s="27" t="s">
        <v>8</v>
      </c>
      <c r="FF293" s="27" t="s">
        <v>7</v>
      </c>
      <c r="FG293" s="27" t="s">
        <v>8</v>
      </c>
      <c r="FH293" s="27" t="s">
        <v>7</v>
      </c>
      <c r="FI293" s="27" t="s">
        <v>8</v>
      </c>
      <c r="FL293" s="27" t="s">
        <v>7</v>
      </c>
      <c r="FM293" s="27" t="s">
        <v>8</v>
      </c>
      <c r="FV293" s="27" t="s">
        <v>7</v>
      </c>
      <c r="FW293" s="27" t="s">
        <v>8</v>
      </c>
    </row>
    <row r="294" spans="1:180" x14ac:dyDescent="0.25">
      <c r="A294" s="30">
        <v>7.1742721991251604E-2</v>
      </c>
      <c r="B294"/>
      <c r="C294"/>
      <c r="D294"/>
      <c r="E294"/>
      <c r="F294" s="27" t="s">
        <v>7</v>
      </c>
      <c r="BU294" s="27" t="s">
        <v>8</v>
      </c>
      <c r="BV294" s="27" t="s">
        <v>7</v>
      </c>
      <c r="BW294" s="27" t="s">
        <v>8</v>
      </c>
      <c r="BX294" s="27" t="s">
        <v>7</v>
      </c>
      <c r="CL294" s="27" t="s">
        <v>7</v>
      </c>
      <c r="CM294" s="27" t="s">
        <v>8</v>
      </c>
      <c r="CN294" s="27" t="s">
        <v>7</v>
      </c>
      <c r="CO294" s="27" t="s">
        <v>8</v>
      </c>
      <c r="CP294" s="27" t="s">
        <v>7</v>
      </c>
      <c r="CS294" s="27" t="s">
        <v>8</v>
      </c>
      <c r="CT294" s="27" t="s">
        <v>7</v>
      </c>
      <c r="CU294" s="27" t="s">
        <v>8</v>
      </c>
      <c r="CV294" s="27" t="s">
        <v>7</v>
      </c>
      <c r="EY294" s="27" t="s">
        <v>8</v>
      </c>
      <c r="EZ294" s="27" t="s">
        <v>7</v>
      </c>
      <c r="FC294" s="27" t="s">
        <v>8</v>
      </c>
      <c r="FE294" s="27" t="s">
        <v>8</v>
      </c>
      <c r="FF294" s="27" t="s">
        <v>7</v>
      </c>
      <c r="FG294" s="27" t="s">
        <v>8</v>
      </c>
      <c r="FH294" s="27" t="s">
        <v>7</v>
      </c>
      <c r="FI294" s="27" t="s">
        <v>8</v>
      </c>
      <c r="FL294" s="27" t="s">
        <v>7</v>
      </c>
      <c r="FM294" s="27" t="s">
        <v>8</v>
      </c>
      <c r="FV294" s="27" t="s">
        <v>7</v>
      </c>
      <c r="FW294" s="27" t="s">
        <v>8</v>
      </c>
      <c r="FX294" s="27" t="s">
        <v>7</v>
      </c>
    </row>
    <row r="295" spans="1:180" x14ac:dyDescent="0.25">
      <c r="A295" s="30">
        <v>6.8326401896430078E-2</v>
      </c>
      <c r="B295"/>
      <c r="C295"/>
      <c r="D295"/>
      <c r="E295"/>
      <c r="F295" s="27" t="s">
        <v>7</v>
      </c>
      <c r="BU295" s="27" t="s">
        <v>8</v>
      </c>
      <c r="BV295" s="27" t="s">
        <v>7</v>
      </c>
      <c r="CL295" s="27" t="s">
        <v>7</v>
      </c>
      <c r="CN295" s="27" t="s">
        <v>7</v>
      </c>
      <c r="CO295" s="27" t="s">
        <v>8</v>
      </c>
      <c r="CP295" s="27" t="s">
        <v>7</v>
      </c>
      <c r="CQ295" s="27" t="s">
        <v>8</v>
      </c>
      <c r="CS295" s="27" t="s">
        <v>8</v>
      </c>
      <c r="CT295" s="27" t="s">
        <v>7</v>
      </c>
      <c r="CU295" s="27" t="s">
        <v>8</v>
      </c>
      <c r="CV295" s="27" t="s">
        <v>7</v>
      </c>
      <c r="EY295" s="27" t="s">
        <v>8</v>
      </c>
      <c r="EZ295" s="27" t="s">
        <v>7</v>
      </c>
      <c r="FA295" s="27" t="s">
        <v>8</v>
      </c>
      <c r="FC295" s="27" t="s">
        <v>8</v>
      </c>
      <c r="FD295" s="27" t="s">
        <v>7</v>
      </c>
      <c r="FE295" s="27" t="s">
        <v>8</v>
      </c>
      <c r="FF295" s="27" t="s">
        <v>7</v>
      </c>
      <c r="FG295" s="27" t="s">
        <v>8</v>
      </c>
      <c r="FH295" s="27" t="s">
        <v>7</v>
      </c>
      <c r="FI295" s="27" t="s">
        <v>8</v>
      </c>
      <c r="FL295" s="27" t="s">
        <v>7</v>
      </c>
      <c r="FV295" s="27" t="s">
        <v>7</v>
      </c>
      <c r="FW295" s="27" t="s">
        <v>8</v>
      </c>
      <c r="FX295" s="27" t="s">
        <v>7</v>
      </c>
    </row>
    <row r="296" spans="1:180" x14ac:dyDescent="0.25">
      <c r="A296" s="30">
        <v>6.5072763710885759E-2</v>
      </c>
      <c r="B296"/>
      <c r="C296"/>
      <c r="D296"/>
      <c r="E296"/>
      <c r="F296" s="27" t="s">
        <v>7</v>
      </c>
      <c r="BU296" s="27" t="s">
        <v>8</v>
      </c>
      <c r="CN296" s="27" t="s">
        <v>7</v>
      </c>
      <c r="CO296" s="27" t="s">
        <v>8</v>
      </c>
      <c r="CP296" s="27" t="s">
        <v>7</v>
      </c>
      <c r="CQ296" s="27" t="s">
        <v>8</v>
      </c>
      <c r="CR296" s="27" t="s">
        <v>7</v>
      </c>
      <c r="CS296" s="27" t="s">
        <v>8</v>
      </c>
      <c r="CT296" s="27" t="s">
        <v>7</v>
      </c>
      <c r="CV296" s="27" t="s">
        <v>7</v>
      </c>
      <c r="EY296" s="27" t="s">
        <v>8</v>
      </c>
      <c r="EZ296" s="27" t="s">
        <v>7</v>
      </c>
      <c r="FA296" s="27" t="s">
        <v>8</v>
      </c>
      <c r="FB296" s="27" t="s">
        <v>7</v>
      </c>
      <c r="FC296" s="27" t="s">
        <v>8</v>
      </c>
      <c r="FD296" s="27" t="s">
        <v>7</v>
      </c>
      <c r="FE296" s="27" t="s">
        <v>8</v>
      </c>
      <c r="FF296" s="27" t="s">
        <v>7</v>
      </c>
      <c r="FG296" s="27" t="s">
        <v>8</v>
      </c>
      <c r="FH296" s="27" t="s">
        <v>7</v>
      </c>
      <c r="FI296" s="27" t="s">
        <v>8</v>
      </c>
      <c r="FV296" s="27" t="s">
        <v>7</v>
      </c>
      <c r="FW296" s="27" t="s">
        <v>8</v>
      </c>
      <c r="FX296" s="27" t="s">
        <v>7</v>
      </c>
    </row>
    <row r="297" spans="1:180" x14ac:dyDescent="0.25">
      <c r="A297" s="30">
        <v>6.197406067703403E-2</v>
      </c>
      <c r="B297"/>
      <c r="C297"/>
      <c r="D297"/>
      <c r="E297"/>
      <c r="F297" s="27" t="s">
        <v>7</v>
      </c>
      <c r="BK297" s="27" t="s">
        <v>8</v>
      </c>
      <c r="BO297" s="27" t="s">
        <v>8</v>
      </c>
      <c r="BU297" s="27" t="s">
        <v>8</v>
      </c>
      <c r="CN297" s="27" t="s">
        <v>7</v>
      </c>
      <c r="CP297" s="27" t="s">
        <v>7</v>
      </c>
      <c r="CQ297" s="27" t="s">
        <v>8</v>
      </c>
      <c r="CR297" s="27" t="s">
        <v>7</v>
      </c>
      <c r="CS297" s="27" t="s">
        <v>8</v>
      </c>
      <c r="CV297" s="27" t="s">
        <v>7</v>
      </c>
      <c r="CW297" s="27" t="s">
        <v>8</v>
      </c>
      <c r="EY297" s="27" t="s">
        <v>8</v>
      </c>
      <c r="EZ297" s="27" t="s">
        <v>7</v>
      </c>
      <c r="FA297" s="27" t="s">
        <v>8</v>
      </c>
      <c r="FB297" s="27" t="s">
        <v>7</v>
      </c>
      <c r="FC297" s="27" t="s">
        <v>8</v>
      </c>
      <c r="FD297" s="27" t="s">
        <v>7</v>
      </c>
      <c r="FF297" s="27" t="s">
        <v>7</v>
      </c>
      <c r="FG297" s="27" t="s">
        <v>8</v>
      </c>
      <c r="FH297" s="27" t="s">
        <v>7</v>
      </c>
      <c r="FI297" s="27" t="s">
        <v>8</v>
      </c>
      <c r="FV297" s="27" t="s">
        <v>7</v>
      </c>
      <c r="FW297" s="27" t="s">
        <v>8</v>
      </c>
      <c r="FX297" s="27" t="s">
        <v>7</v>
      </c>
    </row>
    <row r="298" spans="1:180" x14ac:dyDescent="0.25">
      <c r="A298" s="30">
        <v>5.9022914930508576E-2</v>
      </c>
      <c r="B298"/>
      <c r="C298"/>
      <c r="D298"/>
      <c r="E298"/>
      <c r="F298" s="27" t="s">
        <v>7</v>
      </c>
      <c r="BK298" s="27" t="s">
        <v>8</v>
      </c>
      <c r="BL298" s="27" t="s">
        <v>7</v>
      </c>
      <c r="BO298" s="27" t="s">
        <v>8</v>
      </c>
      <c r="BP298" s="27" t="s">
        <v>7</v>
      </c>
      <c r="BU298" s="27" t="s">
        <v>8</v>
      </c>
      <c r="CP298" s="27" t="s">
        <v>7</v>
      </c>
      <c r="CQ298" s="27" t="s">
        <v>8</v>
      </c>
      <c r="CR298" s="27" t="s">
        <v>7</v>
      </c>
      <c r="CV298" s="27" t="s">
        <v>7</v>
      </c>
      <c r="CW298" s="27" t="s">
        <v>8</v>
      </c>
      <c r="CX298" s="27" t="s">
        <v>7</v>
      </c>
      <c r="EO298" s="27" t="s">
        <v>8</v>
      </c>
      <c r="EY298" s="27" t="s">
        <v>8</v>
      </c>
      <c r="EZ298" s="27" t="s">
        <v>7</v>
      </c>
      <c r="FA298" s="27" t="s">
        <v>8</v>
      </c>
      <c r="FB298" s="27" t="s">
        <v>7</v>
      </c>
      <c r="FC298" s="27" t="s">
        <v>8</v>
      </c>
      <c r="FF298" s="27" t="s">
        <v>7</v>
      </c>
      <c r="FG298" s="27" t="s">
        <v>8</v>
      </c>
      <c r="FH298" s="27" t="s">
        <v>7</v>
      </c>
      <c r="FI298" s="27" t="s">
        <v>8</v>
      </c>
      <c r="FV298" s="27" t="s">
        <v>7</v>
      </c>
      <c r="FW298" s="27" t="s">
        <v>8</v>
      </c>
      <c r="FX298" s="27" t="s">
        <v>7</v>
      </c>
    </row>
    <row r="299" spans="1:180" x14ac:dyDescent="0.25">
      <c r="A299" s="30">
        <v>5.6212299933817669E-2</v>
      </c>
      <c r="B299"/>
      <c r="C299"/>
      <c r="D299"/>
      <c r="E299"/>
      <c r="F299" s="27" t="s">
        <v>7</v>
      </c>
      <c r="BK299" s="27" t="s">
        <v>8</v>
      </c>
      <c r="BL299" s="27" t="s">
        <v>7</v>
      </c>
      <c r="BO299" s="27" t="s">
        <v>8</v>
      </c>
      <c r="BP299" s="27" t="s">
        <v>7</v>
      </c>
      <c r="BU299" s="27" t="s">
        <v>8</v>
      </c>
      <c r="CP299" s="27" t="s">
        <v>7</v>
      </c>
      <c r="CQ299" s="27" t="s">
        <v>8</v>
      </c>
      <c r="CV299" s="27" t="s">
        <v>7</v>
      </c>
      <c r="CW299" s="27" t="s">
        <v>8</v>
      </c>
      <c r="CX299" s="27" t="s">
        <v>7</v>
      </c>
      <c r="EE299" s="27" t="s">
        <v>8</v>
      </c>
      <c r="EO299" s="27" t="s">
        <v>8</v>
      </c>
      <c r="EP299" s="27" t="s">
        <v>7</v>
      </c>
      <c r="EW299" s="27" t="s">
        <v>8</v>
      </c>
      <c r="EY299" s="27" t="s">
        <v>8</v>
      </c>
      <c r="EZ299" s="27" t="s">
        <v>7</v>
      </c>
      <c r="FB299" s="27" t="s">
        <v>7</v>
      </c>
      <c r="FC299" s="27" t="s">
        <v>8</v>
      </c>
      <c r="FF299" s="27" t="s">
        <v>7</v>
      </c>
      <c r="FG299" s="27" t="s">
        <v>8</v>
      </c>
      <c r="FH299" s="27" t="s">
        <v>7</v>
      </c>
      <c r="FV299" s="27" t="s">
        <v>7</v>
      </c>
      <c r="FW299" s="27" t="s">
        <v>8</v>
      </c>
    </row>
    <row r="300" spans="1:180" x14ac:dyDescent="0.25">
      <c r="A300" s="30">
        <v>5.3535523746492994E-2</v>
      </c>
      <c r="B300"/>
      <c r="C300"/>
      <c r="D300"/>
      <c r="E300"/>
      <c r="F300" s="27" t="s">
        <v>7</v>
      </c>
      <c r="BK300" s="27" t="s">
        <v>8</v>
      </c>
      <c r="BL300" s="27" t="s">
        <v>7</v>
      </c>
      <c r="BO300" s="27" t="s">
        <v>8</v>
      </c>
      <c r="BP300" s="27" t="s">
        <v>7</v>
      </c>
      <c r="BS300" s="27" t="s">
        <v>8</v>
      </c>
      <c r="BU300" s="27" t="s">
        <v>8</v>
      </c>
      <c r="CP300" s="27" t="s">
        <v>7</v>
      </c>
      <c r="CQ300" s="27" t="s">
        <v>8</v>
      </c>
      <c r="CV300" s="27" t="s">
        <v>7</v>
      </c>
      <c r="CX300" s="27" t="s">
        <v>7</v>
      </c>
      <c r="EE300" s="27" t="s">
        <v>8</v>
      </c>
      <c r="EF300" s="27" t="s">
        <v>7</v>
      </c>
      <c r="EO300" s="27" t="s">
        <v>8</v>
      </c>
      <c r="EP300" s="27" t="s">
        <v>7</v>
      </c>
      <c r="EQ300" s="27" t="s">
        <v>8</v>
      </c>
      <c r="EW300" s="27" t="s">
        <v>8</v>
      </c>
      <c r="EX300" s="27" t="s">
        <v>7</v>
      </c>
      <c r="EY300" s="27" t="s">
        <v>8</v>
      </c>
      <c r="FB300" s="27" t="s">
        <v>7</v>
      </c>
      <c r="FF300" s="27" t="s">
        <v>7</v>
      </c>
      <c r="FV300" s="27" t="s">
        <v>7</v>
      </c>
      <c r="FW300" s="27" t="s">
        <v>8</v>
      </c>
    </row>
    <row r="301" spans="1:180" x14ac:dyDescent="0.25">
      <c r="A301" s="30">
        <v>5.0986213091898068E-2</v>
      </c>
      <c r="B301"/>
      <c r="C301"/>
      <c r="D301"/>
      <c r="E301"/>
      <c r="F301" s="27" t="s">
        <v>7</v>
      </c>
      <c r="BK301" s="27" t="s">
        <v>8</v>
      </c>
      <c r="BL301" s="27" t="s">
        <v>7</v>
      </c>
      <c r="BM301" s="27" t="s">
        <v>8</v>
      </c>
      <c r="BO301" s="27" t="s">
        <v>8</v>
      </c>
      <c r="BP301" s="27" t="s">
        <v>7</v>
      </c>
      <c r="BS301" s="27" t="s">
        <v>8</v>
      </c>
      <c r="BT301" s="27" t="s">
        <v>7</v>
      </c>
      <c r="BU301" s="27" t="s">
        <v>8</v>
      </c>
      <c r="CP301" s="27" t="s">
        <v>7</v>
      </c>
      <c r="CQ301" s="27" t="s">
        <v>8</v>
      </c>
      <c r="CX301" s="27" t="s">
        <v>7</v>
      </c>
      <c r="CY301" s="27" t="s">
        <v>8</v>
      </c>
      <c r="EE301" s="27" t="s">
        <v>8</v>
      </c>
      <c r="EF301" s="27" t="s">
        <v>7</v>
      </c>
      <c r="EG301" s="27" t="s">
        <v>8</v>
      </c>
      <c r="EO301" s="27" t="s">
        <v>8</v>
      </c>
      <c r="EP301" s="27" t="s">
        <v>7</v>
      </c>
      <c r="EQ301" s="27" t="s">
        <v>8</v>
      </c>
      <c r="ER301" s="27" t="s">
        <v>7</v>
      </c>
      <c r="ES301" s="27" t="s">
        <v>8</v>
      </c>
      <c r="EU301" s="27" t="s">
        <v>8</v>
      </c>
      <c r="EW301" s="27" t="s">
        <v>8</v>
      </c>
      <c r="EX301" s="27" t="s">
        <v>7</v>
      </c>
      <c r="EY301" s="27" t="s">
        <v>8</v>
      </c>
      <c r="FV301" s="27" t="s">
        <v>7</v>
      </c>
      <c r="FW301" s="27" t="s">
        <v>8</v>
      </c>
    </row>
    <row r="302" spans="1:180" x14ac:dyDescent="0.25">
      <c r="A302" s="30">
        <v>4.8558298182760043E-2</v>
      </c>
      <c r="B302"/>
      <c r="C302"/>
      <c r="D302"/>
      <c r="E302"/>
      <c r="F302" s="27" t="s">
        <v>7</v>
      </c>
      <c r="BK302" s="27" t="s">
        <v>8</v>
      </c>
      <c r="BL302" s="27" t="s">
        <v>7</v>
      </c>
      <c r="BM302" s="27" t="s">
        <v>8</v>
      </c>
      <c r="BN302" s="27" t="s">
        <v>7</v>
      </c>
      <c r="BO302" s="27" t="s">
        <v>8</v>
      </c>
      <c r="BP302" s="27" t="s">
        <v>7</v>
      </c>
      <c r="BQ302" s="27" t="s">
        <v>8</v>
      </c>
      <c r="BS302" s="27" t="s">
        <v>8</v>
      </c>
      <c r="BT302" s="27" t="s">
        <v>7</v>
      </c>
      <c r="BU302" s="27" t="s">
        <v>8</v>
      </c>
      <c r="CP302" s="27" t="s">
        <v>7</v>
      </c>
      <c r="CX302" s="27" t="s">
        <v>7</v>
      </c>
      <c r="CY302" s="27" t="s">
        <v>8</v>
      </c>
      <c r="CZ302" s="27" t="s">
        <v>7</v>
      </c>
      <c r="EE302" s="27" t="s">
        <v>8</v>
      </c>
      <c r="EF302" s="27" t="s">
        <v>7</v>
      </c>
      <c r="EG302" s="27" t="s">
        <v>8</v>
      </c>
      <c r="EH302" s="27" t="s">
        <v>7</v>
      </c>
      <c r="EO302" s="27" t="s">
        <v>8</v>
      </c>
      <c r="EP302" s="27" t="s">
        <v>7</v>
      </c>
      <c r="EQ302" s="27" t="s">
        <v>8</v>
      </c>
      <c r="ER302" s="27" t="s">
        <v>7</v>
      </c>
      <c r="ES302" s="27" t="s">
        <v>8</v>
      </c>
      <c r="ET302" s="27" t="s">
        <v>7</v>
      </c>
      <c r="EU302" s="27" t="s">
        <v>8</v>
      </c>
      <c r="EV302" s="27" t="s">
        <v>7</v>
      </c>
      <c r="EW302" s="27" t="s">
        <v>8</v>
      </c>
      <c r="EX302" s="27" t="s">
        <v>7</v>
      </c>
      <c r="EY302" s="27" t="s">
        <v>8</v>
      </c>
      <c r="FV302" s="27" t="s">
        <v>7</v>
      </c>
    </row>
    <row r="303" spans="1:180" x14ac:dyDescent="0.25">
      <c r="A303" s="30">
        <v>4.6245998269295263E-2</v>
      </c>
      <c r="B303"/>
      <c r="C303"/>
      <c r="D303"/>
      <c r="E303"/>
      <c r="F303" s="27" t="s">
        <v>7</v>
      </c>
      <c r="BK303" s="27" t="s">
        <v>8</v>
      </c>
      <c r="BL303" s="27" t="s">
        <v>7</v>
      </c>
      <c r="BM303" s="27" t="s">
        <v>8</v>
      </c>
      <c r="BN303" s="27" t="s">
        <v>7</v>
      </c>
      <c r="BO303" s="27" t="s">
        <v>8</v>
      </c>
      <c r="BP303" s="27" t="s">
        <v>7</v>
      </c>
      <c r="BQ303" s="27" t="s">
        <v>8</v>
      </c>
      <c r="BR303" s="27" t="s">
        <v>7</v>
      </c>
      <c r="BS303" s="27" t="s">
        <v>8</v>
      </c>
      <c r="BT303" s="27" t="s">
        <v>7</v>
      </c>
      <c r="BU303" s="27" t="s">
        <v>8</v>
      </c>
      <c r="CX303" s="27" t="s">
        <v>7</v>
      </c>
      <c r="CY303" s="27" t="s">
        <v>8</v>
      </c>
      <c r="CZ303" s="27" t="s">
        <v>7</v>
      </c>
      <c r="DY303" s="27" t="s">
        <v>8</v>
      </c>
      <c r="EA303" s="27" t="s">
        <v>8</v>
      </c>
      <c r="EC303" s="27" t="s">
        <v>8</v>
      </c>
      <c r="EE303" s="27" t="s">
        <v>8</v>
      </c>
      <c r="EF303" s="27" t="s">
        <v>7</v>
      </c>
      <c r="EG303" s="27" t="s">
        <v>8</v>
      </c>
      <c r="EH303" s="27" t="s">
        <v>7</v>
      </c>
      <c r="EO303" s="27" t="s">
        <v>8</v>
      </c>
      <c r="EP303" s="27" t="s">
        <v>7</v>
      </c>
      <c r="EQ303" s="27" t="s">
        <v>8</v>
      </c>
      <c r="ER303" s="27" t="s">
        <v>7</v>
      </c>
      <c r="ES303" s="27" t="s">
        <v>8</v>
      </c>
      <c r="ET303" s="27" t="s">
        <v>7</v>
      </c>
      <c r="EU303" s="27" t="s">
        <v>8</v>
      </c>
      <c r="EV303" s="27" t="s">
        <v>7</v>
      </c>
      <c r="EW303" s="27" t="s">
        <v>8</v>
      </c>
      <c r="EX303" s="27" t="s">
        <v>7</v>
      </c>
      <c r="EY303" s="27" t="s">
        <v>8</v>
      </c>
    </row>
    <row r="304" spans="1:180" x14ac:dyDescent="0.25">
      <c r="A304" s="30">
        <v>4.4043807875519279E-2</v>
      </c>
      <c r="B304"/>
      <c r="C304"/>
      <c r="D304"/>
      <c r="E304"/>
      <c r="F304" s="27" t="s">
        <v>7</v>
      </c>
      <c r="BK304" s="27" t="s">
        <v>8</v>
      </c>
      <c r="BL304" s="27" t="s">
        <v>7</v>
      </c>
      <c r="BN304" s="27" t="s">
        <v>7</v>
      </c>
      <c r="BO304" s="27" t="s">
        <v>8</v>
      </c>
      <c r="BP304" s="27" t="s">
        <v>7</v>
      </c>
      <c r="BQ304" s="27" t="s">
        <v>8</v>
      </c>
      <c r="BR304" s="27" t="s">
        <v>7</v>
      </c>
      <c r="BS304" s="27" t="s">
        <v>8</v>
      </c>
      <c r="BT304" s="27" t="s">
        <v>7</v>
      </c>
      <c r="BU304" s="27" t="s">
        <v>8</v>
      </c>
      <c r="CX304" s="27" t="s">
        <v>7</v>
      </c>
      <c r="CY304" s="27" t="s">
        <v>8</v>
      </c>
      <c r="CZ304" s="27" t="s">
        <v>7</v>
      </c>
      <c r="DM304" s="27" t="s">
        <v>8</v>
      </c>
      <c r="DY304" s="27" t="s">
        <v>8</v>
      </c>
      <c r="DZ304" s="27" t="s">
        <v>7</v>
      </c>
      <c r="EA304" s="27" t="s">
        <v>8</v>
      </c>
      <c r="EB304" s="27" t="s">
        <v>7</v>
      </c>
      <c r="EC304" s="27" t="s">
        <v>8</v>
      </c>
      <c r="ED304" s="27" t="s">
        <v>7</v>
      </c>
      <c r="EE304" s="27" t="s">
        <v>8</v>
      </c>
      <c r="EF304" s="27" t="s">
        <v>7</v>
      </c>
      <c r="EH304" s="27" t="s">
        <v>7</v>
      </c>
      <c r="EI304" s="27" t="s">
        <v>8</v>
      </c>
      <c r="EK304" s="27" t="s">
        <v>8</v>
      </c>
      <c r="EO304" s="27" t="s">
        <v>8</v>
      </c>
      <c r="EP304" s="27" t="s">
        <v>7</v>
      </c>
      <c r="EQ304" s="27" t="s">
        <v>8</v>
      </c>
      <c r="ER304" s="27" t="s">
        <v>7</v>
      </c>
      <c r="ET304" s="27" t="s">
        <v>7</v>
      </c>
      <c r="EV304" s="27" t="s">
        <v>7</v>
      </c>
      <c r="EW304" s="27" t="s">
        <v>8</v>
      </c>
      <c r="EX304" s="27" t="s">
        <v>7</v>
      </c>
    </row>
    <row r="305" spans="1:153" x14ac:dyDescent="0.25">
      <c r="A305" s="30">
        <v>4.1946483690970725E-2</v>
      </c>
      <c r="B305"/>
      <c r="C305"/>
      <c r="D305"/>
      <c r="E305"/>
      <c r="F305" s="27" t="s">
        <v>7</v>
      </c>
      <c r="BK305" s="27" t="s">
        <v>8</v>
      </c>
      <c r="BN305" s="27" t="s">
        <v>7</v>
      </c>
      <c r="BP305" s="27" t="s">
        <v>7</v>
      </c>
      <c r="BQ305" s="27" t="s">
        <v>8</v>
      </c>
      <c r="BR305" s="27" t="s">
        <v>7</v>
      </c>
      <c r="BS305" s="27" t="s">
        <v>8</v>
      </c>
      <c r="BT305" s="27" t="s">
        <v>7</v>
      </c>
      <c r="CX305" s="27" t="s">
        <v>7</v>
      </c>
      <c r="CY305" s="27" t="s">
        <v>8</v>
      </c>
      <c r="CZ305" s="27" t="s">
        <v>7</v>
      </c>
      <c r="DG305" s="27" t="s">
        <v>8</v>
      </c>
      <c r="DI305" s="27" t="s">
        <v>8</v>
      </c>
      <c r="DM305" s="27" t="s">
        <v>8</v>
      </c>
      <c r="DN305" s="27" t="s">
        <v>7</v>
      </c>
      <c r="DY305" s="27" t="s">
        <v>8</v>
      </c>
      <c r="DZ305" s="27" t="s">
        <v>7</v>
      </c>
      <c r="EA305" s="27" t="s">
        <v>8</v>
      </c>
      <c r="EB305" s="27" t="s">
        <v>7</v>
      </c>
      <c r="EC305" s="27" t="s">
        <v>8</v>
      </c>
      <c r="ED305" s="27" t="s">
        <v>7</v>
      </c>
      <c r="EE305" s="27" t="s">
        <v>8</v>
      </c>
      <c r="EH305" s="27" t="s">
        <v>7</v>
      </c>
      <c r="EI305" s="27" t="s">
        <v>8</v>
      </c>
      <c r="EJ305" s="27" t="s">
        <v>7</v>
      </c>
      <c r="EK305" s="27" t="s">
        <v>8</v>
      </c>
      <c r="EL305" s="27" t="s">
        <v>7</v>
      </c>
      <c r="EO305" s="27" t="s">
        <v>8</v>
      </c>
      <c r="EP305" s="27" t="s">
        <v>7</v>
      </c>
      <c r="EQ305" s="27" t="s">
        <v>8</v>
      </c>
      <c r="EV305" s="27" t="s">
        <v>7</v>
      </c>
      <c r="EW305" s="27" t="s">
        <v>8</v>
      </c>
    </row>
    <row r="306" spans="1:153" x14ac:dyDescent="0.25">
      <c r="A306" s="30">
        <v>3.9949032086638768E-2</v>
      </c>
      <c r="B306"/>
      <c r="C306"/>
      <c r="D306"/>
      <c r="E306"/>
      <c r="F306" s="27" t="s">
        <v>7</v>
      </c>
      <c r="BK306" s="27" t="s">
        <v>8</v>
      </c>
      <c r="BP306" s="27" t="s">
        <v>7</v>
      </c>
      <c r="BQ306" s="27" t="s">
        <v>8</v>
      </c>
      <c r="BR306" s="27" t="s">
        <v>7</v>
      </c>
      <c r="BS306" s="27" t="s">
        <v>8</v>
      </c>
      <c r="CX306" s="27" t="s">
        <v>7</v>
      </c>
      <c r="CY306" s="27" t="s">
        <v>8</v>
      </c>
      <c r="CZ306" s="27" t="s">
        <v>7</v>
      </c>
      <c r="DG306" s="27" t="s">
        <v>8</v>
      </c>
      <c r="DH306" s="27" t="s">
        <v>7</v>
      </c>
      <c r="DI306" s="27" t="s">
        <v>8</v>
      </c>
      <c r="DJ306" s="27" t="s">
        <v>7</v>
      </c>
      <c r="DK306" s="27" t="s">
        <v>8</v>
      </c>
      <c r="DM306" s="27" t="s">
        <v>8</v>
      </c>
      <c r="DN306" s="27" t="s">
        <v>7</v>
      </c>
      <c r="DY306" s="27" t="s">
        <v>8</v>
      </c>
      <c r="DZ306" s="27" t="s">
        <v>7</v>
      </c>
      <c r="EB306" s="27" t="s">
        <v>7</v>
      </c>
      <c r="ED306" s="27" t="s">
        <v>7</v>
      </c>
      <c r="EH306" s="27" t="s">
        <v>7</v>
      </c>
      <c r="EI306" s="27" t="s">
        <v>8</v>
      </c>
      <c r="EJ306" s="27" t="s">
        <v>7</v>
      </c>
      <c r="EK306" s="27" t="s">
        <v>8</v>
      </c>
      <c r="EL306" s="27" t="s">
        <v>7</v>
      </c>
      <c r="EO306" s="27" t="s">
        <v>8</v>
      </c>
      <c r="EP306" s="27" t="s">
        <v>7</v>
      </c>
      <c r="EV306" s="27" t="s">
        <v>7</v>
      </c>
      <c r="EW306" s="27" t="s">
        <v>8</v>
      </c>
    </row>
    <row r="307" spans="1:153" x14ac:dyDescent="0.25">
      <c r="A307" s="30">
        <v>3.8046697225370241E-2</v>
      </c>
      <c r="B307"/>
      <c r="C307"/>
      <c r="D307"/>
      <c r="E307"/>
      <c r="F307" s="27" t="s">
        <v>7</v>
      </c>
      <c r="BK307" s="27" t="s">
        <v>8</v>
      </c>
      <c r="BP307" s="27" t="s">
        <v>7</v>
      </c>
      <c r="BQ307" s="27" t="s">
        <v>8</v>
      </c>
      <c r="BR307" s="27" t="s">
        <v>7</v>
      </c>
      <c r="CX307" s="27" t="s">
        <v>7</v>
      </c>
      <c r="CY307" s="27" t="s">
        <v>8</v>
      </c>
      <c r="CZ307" s="27" t="s">
        <v>7</v>
      </c>
      <c r="DC307" s="27" t="s">
        <v>8</v>
      </c>
      <c r="DG307" s="27" t="s">
        <v>8</v>
      </c>
      <c r="DH307" s="27" t="s">
        <v>7</v>
      </c>
      <c r="DI307" s="27" t="s">
        <v>8</v>
      </c>
      <c r="DJ307" s="27" t="s">
        <v>7</v>
      </c>
      <c r="DK307" s="27" t="s">
        <v>8</v>
      </c>
      <c r="DL307" s="27" t="s">
        <v>7</v>
      </c>
      <c r="DM307" s="27" t="s">
        <v>8</v>
      </c>
      <c r="DN307" s="27" t="s">
        <v>7</v>
      </c>
      <c r="DY307" s="27" t="s">
        <v>8</v>
      </c>
      <c r="EH307" s="27" t="s">
        <v>7</v>
      </c>
      <c r="EI307" s="27" t="s">
        <v>8</v>
      </c>
      <c r="EJ307" s="27" t="s">
        <v>7</v>
      </c>
      <c r="EK307" s="27" t="s">
        <v>8</v>
      </c>
      <c r="EL307" s="27" t="s">
        <v>7</v>
      </c>
      <c r="EM307" s="27" t="s">
        <v>8</v>
      </c>
      <c r="EO307" s="27" t="s">
        <v>8</v>
      </c>
      <c r="EV307" s="27" t="s">
        <v>7</v>
      </c>
    </row>
    <row r="308" spans="1:153" x14ac:dyDescent="0.25">
      <c r="A308" s="30">
        <v>3.6234949738447833E-2</v>
      </c>
      <c r="B308"/>
      <c r="C308"/>
      <c r="D308"/>
      <c r="E308"/>
      <c r="F308" s="27" t="s">
        <v>7</v>
      </c>
      <c r="BK308" s="27" t="s">
        <v>8</v>
      </c>
      <c r="BP308" s="27" t="s">
        <v>7</v>
      </c>
      <c r="CX308" s="27" t="s">
        <v>7</v>
      </c>
      <c r="CY308" s="27" t="s">
        <v>8</v>
      </c>
      <c r="CZ308" s="27" t="s">
        <v>7</v>
      </c>
      <c r="DA308" s="27" t="s">
        <v>8</v>
      </c>
      <c r="DC308" s="27" t="s">
        <v>8</v>
      </c>
      <c r="DD308" s="27" t="s">
        <v>7</v>
      </c>
      <c r="DE308" s="27" t="s">
        <v>8</v>
      </c>
      <c r="DG308" s="27" t="s">
        <v>8</v>
      </c>
      <c r="DH308" s="27" t="s">
        <v>7</v>
      </c>
      <c r="DI308" s="27" t="s">
        <v>8</v>
      </c>
      <c r="DJ308" s="27" t="s">
        <v>7</v>
      </c>
      <c r="DK308" s="27" t="s">
        <v>8</v>
      </c>
      <c r="DL308" s="27" t="s">
        <v>7</v>
      </c>
      <c r="DM308" s="27" t="s">
        <v>8</v>
      </c>
      <c r="DN308" s="27" t="s">
        <v>7</v>
      </c>
      <c r="DY308" s="27" t="s">
        <v>8</v>
      </c>
      <c r="EH308" s="27" t="s">
        <v>7</v>
      </c>
      <c r="EJ308" s="27" t="s">
        <v>7</v>
      </c>
      <c r="EL308" s="27" t="s">
        <v>7</v>
      </c>
      <c r="EM308" s="27" t="s">
        <v>8</v>
      </c>
      <c r="EN308" s="27" t="s">
        <v>7</v>
      </c>
      <c r="EO308" s="27" t="s">
        <v>8</v>
      </c>
    </row>
    <row r="309" spans="1:153" x14ac:dyDescent="0.25">
      <c r="A309" s="30">
        <v>3.4509475941378875E-2</v>
      </c>
      <c r="B309"/>
      <c r="C309"/>
      <c r="D309"/>
      <c r="E309"/>
      <c r="F309" s="27" t="s">
        <v>7</v>
      </c>
      <c r="BI309" s="27" t="s">
        <v>8</v>
      </c>
      <c r="BK309" s="27" t="s">
        <v>8</v>
      </c>
      <c r="CX309" s="27" t="s">
        <v>7</v>
      </c>
      <c r="CY309" s="27" t="s">
        <v>8</v>
      </c>
      <c r="CZ309" s="27" t="s">
        <v>7</v>
      </c>
      <c r="DA309" s="27" t="s">
        <v>8</v>
      </c>
      <c r="DB309" s="27" t="s">
        <v>7</v>
      </c>
      <c r="DC309" s="27" t="s">
        <v>8</v>
      </c>
      <c r="DD309" s="27" t="s">
        <v>7</v>
      </c>
      <c r="DE309" s="27" t="s">
        <v>8</v>
      </c>
      <c r="DF309" s="27" t="s">
        <v>7</v>
      </c>
      <c r="DG309" s="27" t="s">
        <v>8</v>
      </c>
      <c r="DH309" s="27" t="s">
        <v>7</v>
      </c>
      <c r="DI309" s="27" t="s">
        <v>8</v>
      </c>
      <c r="DJ309" s="27" t="s">
        <v>7</v>
      </c>
      <c r="DK309" s="27" t="s">
        <v>8</v>
      </c>
      <c r="DL309" s="27" t="s">
        <v>7</v>
      </c>
      <c r="DM309" s="27" t="s">
        <v>8</v>
      </c>
      <c r="DN309" s="27" t="s">
        <v>7</v>
      </c>
      <c r="DY309" s="27" t="s">
        <v>8</v>
      </c>
      <c r="EL309" s="27" t="s">
        <v>7</v>
      </c>
      <c r="EM309" s="27" t="s">
        <v>8</v>
      </c>
      <c r="EN309" s="27" t="s">
        <v>7</v>
      </c>
      <c r="EO309" s="27" t="s">
        <v>8</v>
      </c>
    </row>
    <row r="310" spans="1:153" x14ac:dyDescent="0.25">
      <c r="A310" s="30">
        <v>3.286616756321796E-2</v>
      </c>
      <c r="B310"/>
      <c r="C310"/>
      <c r="D310"/>
      <c r="E310"/>
      <c r="F310" s="27" t="s">
        <v>7</v>
      </c>
      <c r="BG310" s="27" t="s">
        <v>8</v>
      </c>
      <c r="BI310" s="27" t="s">
        <v>8</v>
      </c>
      <c r="BJ310" s="27" t="s">
        <v>7</v>
      </c>
      <c r="BK310" s="27" t="s">
        <v>8</v>
      </c>
      <c r="CX310" s="27" t="s">
        <v>7</v>
      </c>
      <c r="CY310" s="27" t="s">
        <v>8</v>
      </c>
      <c r="CZ310" s="27" t="s">
        <v>7</v>
      </c>
      <c r="DA310" s="27" t="s">
        <v>8</v>
      </c>
      <c r="DB310" s="27" t="s">
        <v>7</v>
      </c>
      <c r="DC310" s="27" t="s">
        <v>8</v>
      </c>
      <c r="DD310" s="27" t="s">
        <v>7</v>
      </c>
      <c r="DE310" s="27" t="s">
        <v>8</v>
      </c>
      <c r="DF310" s="27" t="s">
        <v>7</v>
      </c>
      <c r="DG310" s="27" t="s">
        <v>8</v>
      </c>
      <c r="DH310" s="27" t="s">
        <v>7</v>
      </c>
      <c r="DI310" s="27" t="s">
        <v>8</v>
      </c>
      <c r="DJ310" s="27" t="s">
        <v>7</v>
      </c>
      <c r="DK310" s="27" t="s">
        <v>8</v>
      </c>
      <c r="DL310" s="27" t="s">
        <v>7</v>
      </c>
      <c r="DN310" s="27" t="s">
        <v>7</v>
      </c>
      <c r="DY310" s="27" t="s">
        <v>8</v>
      </c>
      <c r="EL310" s="27" t="s">
        <v>7</v>
      </c>
      <c r="EM310" s="27" t="s">
        <v>8</v>
      </c>
      <c r="EN310" s="27" t="s">
        <v>7</v>
      </c>
      <c r="EO310" s="27" t="s">
        <v>8</v>
      </c>
    </row>
    <row r="311" spans="1:153" x14ac:dyDescent="0.25">
      <c r="A311" s="30">
        <v>3.1301111964969472E-2</v>
      </c>
      <c r="B311"/>
      <c r="C311"/>
      <c r="D311"/>
      <c r="E311"/>
      <c r="F311" s="27" t="s">
        <v>7</v>
      </c>
      <c r="BG311" s="27" t="s">
        <v>8</v>
      </c>
      <c r="BH311" s="27" t="s">
        <v>7</v>
      </c>
      <c r="BI311" s="27" t="s">
        <v>8</v>
      </c>
      <c r="BJ311" s="27" t="s">
        <v>7</v>
      </c>
      <c r="BK311" s="27" t="s">
        <v>8</v>
      </c>
      <c r="CX311" s="27" t="s">
        <v>7</v>
      </c>
      <c r="CY311" s="27" t="s">
        <v>8</v>
      </c>
      <c r="CZ311" s="27" t="s">
        <v>7</v>
      </c>
      <c r="DA311" s="27" t="s">
        <v>8</v>
      </c>
      <c r="DB311" s="27" t="s">
        <v>7</v>
      </c>
      <c r="DD311" s="27" t="s">
        <v>7</v>
      </c>
      <c r="DE311" s="27" t="s">
        <v>8</v>
      </c>
      <c r="DF311" s="27" t="s">
        <v>7</v>
      </c>
      <c r="DH311" s="27" t="s">
        <v>7</v>
      </c>
      <c r="DI311" s="27" t="s">
        <v>8</v>
      </c>
      <c r="DJ311" s="27" t="s">
        <v>7</v>
      </c>
      <c r="DK311" s="27" t="s">
        <v>8</v>
      </c>
      <c r="DN311" s="27" t="s">
        <v>7</v>
      </c>
      <c r="DY311" s="27" t="s">
        <v>8</v>
      </c>
      <c r="EL311" s="27" t="s">
        <v>7</v>
      </c>
      <c r="EN311" s="27" t="s">
        <v>7</v>
      </c>
    </row>
    <row r="312" spans="1:153" x14ac:dyDescent="0.25">
      <c r="A312" s="30">
        <v>2.9810582823780438E-2</v>
      </c>
      <c r="B312"/>
      <c r="C312"/>
      <c r="D312"/>
      <c r="E312"/>
      <c r="F312" s="27" t="s">
        <v>7</v>
      </c>
      <c r="BG312" s="27" t="s">
        <v>8</v>
      </c>
      <c r="BH312" s="27" t="s">
        <v>7</v>
      </c>
      <c r="BI312" s="27" t="s">
        <v>8</v>
      </c>
      <c r="BJ312" s="27" t="s">
        <v>7</v>
      </c>
      <c r="CX312" s="27" t="s">
        <v>7</v>
      </c>
      <c r="CY312" s="27" t="s">
        <v>8</v>
      </c>
      <c r="CZ312" s="27" t="s">
        <v>7</v>
      </c>
      <c r="DA312" s="27" t="s">
        <v>8</v>
      </c>
      <c r="DD312" s="27" t="s">
        <v>7</v>
      </c>
      <c r="DH312" s="27" t="s">
        <v>7</v>
      </c>
      <c r="DI312" s="27" t="s">
        <v>8</v>
      </c>
      <c r="DJ312" s="27" t="s">
        <v>7</v>
      </c>
      <c r="DN312" s="27" t="s">
        <v>7</v>
      </c>
      <c r="DY312" s="27" t="s">
        <v>8</v>
      </c>
    </row>
    <row r="313" spans="1:153" x14ac:dyDescent="0.25">
      <c r="A313" s="30">
        <v>2.8391031260743264E-2</v>
      </c>
      <c r="B313"/>
      <c r="C313"/>
      <c r="D313"/>
      <c r="E313"/>
      <c r="F313" s="27" t="s">
        <v>7</v>
      </c>
      <c r="AY313" s="27" t="s">
        <v>8</v>
      </c>
      <c r="BG313" s="27" t="s">
        <v>8</v>
      </c>
      <c r="BH313" s="27" t="s">
        <v>7</v>
      </c>
      <c r="BI313" s="27" t="s">
        <v>8</v>
      </c>
      <c r="CX313" s="27" t="s">
        <v>7</v>
      </c>
      <c r="CZ313" s="27" t="s">
        <v>7</v>
      </c>
      <c r="DA313" s="27" t="s">
        <v>8</v>
      </c>
      <c r="DH313" s="27" t="s">
        <v>7</v>
      </c>
      <c r="DI313" s="27" t="s">
        <v>8</v>
      </c>
      <c r="DN313" s="27" t="s">
        <v>7</v>
      </c>
      <c r="DW313" s="27" t="s">
        <v>8</v>
      </c>
      <c r="DY313" s="27" t="s">
        <v>8</v>
      </c>
    </row>
    <row r="314" spans="1:153" x14ac:dyDescent="0.25">
      <c r="A314" s="30">
        <v>2.7039077391184052E-2</v>
      </c>
      <c r="B314"/>
      <c r="C314"/>
      <c r="D314"/>
      <c r="E314"/>
      <c r="F314" s="27" t="s">
        <v>7</v>
      </c>
      <c r="AU314" s="27" t="s">
        <v>8</v>
      </c>
      <c r="AY314" s="27" t="s">
        <v>8</v>
      </c>
      <c r="AZ314" s="27" t="s">
        <v>7</v>
      </c>
      <c r="BG314" s="27" t="s">
        <v>8</v>
      </c>
      <c r="BH314" s="27" t="s">
        <v>7</v>
      </c>
      <c r="BI314" s="27" t="s">
        <v>8</v>
      </c>
      <c r="CZ314" s="27" t="s">
        <v>7</v>
      </c>
      <c r="DA314" s="27" t="s">
        <v>8</v>
      </c>
      <c r="DH314" s="27" t="s">
        <v>7</v>
      </c>
      <c r="DN314" s="27" t="s">
        <v>7</v>
      </c>
      <c r="DO314" s="27" t="s">
        <v>8</v>
      </c>
      <c r="DS314" s="27" t="s">
        <v>8</v>
      </c>
      <c r="DW314" s="27" t="s">
        <v>8</v>
      </c>
      <c r="DX314" s="27" t="s">
        <v>7</v>
      </c>
      <c r="DY314" s="27" t="s">
        <v>8</v>
      </c>
    </row>
    <row r="315" spans="1:153" x14ac:dyDescent="0.25">
      <c r="A315" s="30">
        <v>2.5751502277318133E-2</v>
      </c>
      <c r="B315"/>
      <c r="C315"/>
      <c r="D315"/>
      <c r="E315"/>
      <c r="F315" s="27" t="s">
        <v>7</v>
      </c>
      <c r="AU315" s="27" t="s">
        <v>8</v>
      </c>
      <c r="AV315" s="27" t="s">
        <v>7</v>
      </c>
      <c r="AY315" s="27" t="s">
        <v>8</v>
      </c>
      <c r="AZ315" s="27" t="s">
        <v>7</v>
      </c>
      <c r="BA315" s="27" t="s">
        <v>8</v>
      </c>
      <c r="BG315" s="27" t="s">
        <v>8</v>
      </c>
      <c r="BH315" s="27" t="s">
        <v>7</v>
      </c>
      <c r="CZ315" s="27" t="s">
        <v>7</v>
      </c>
      <c r="DA315" s="27" t="s">
        <v>8</v>
      </c>
      <c r="DN315" s="27" t="s">
        <v>7</v>
      </c>
      <c r="DO315" s="27" t="s">
        <v>8</v>
      </c>
      <c r="DP315" s="27" t="s">
        <v>7</v>
      </c>
      <c r="DQ315" s="27" t="s">
        <v>8</v>
      </c>
      <c r="DS315" s="27" t="s">
        <v>8</v>
      </c>
      <c r="DT315" s="27" t="s">
        <v>7</v>
      </c>
      <c r="DW315" s="27" t="s">
        <v>8</v>
      </c>
      <c r="DX315" s="27" t="s">
        <v>7</v>
      </c>
      <c r="DY315" s="27" t="s">
        <v>8</v>
      </c>
    </row>
    <row r="316" spans="1:153" x14ac:dyDescent="0.25">
      <c r="A316" s="30">
        <v>2.4525240264112496E-2</v>
      </c>
      <c r="B316"/>
      <c r="C316"/>
      <c r="D316"/>
      <c r="E316"/>
      <c r="F316" s="27" t="s">
        <v>7</v>
      </c>
      <c r="AI316" s="27" t="s">
        <v>8</v>
      </c>
      <c r="AS316" s="27" t="s">
        <v>8</v>
      </c>
      <c r="AU316" s="27" t="s">
        <v>8</v>
      </c>
      <c r="AV316" s="27" t="s">
        <v>7</v>
      </c>
      <c r="AW316" s="27" t="s">
        <v>8</v>
      </c>
      <c r="AY316" s="27" t="s">
        <v>8</v>
      </c>
      <c r="AZ316" s="27" t="s">
        <v>7</v>
      </c>
      <c r="BA316" s="27" t="s">
        <v>8</v>
      </c>
      <c r="BB316" s="27" t="s">
        <v>7</v>
      </c>
      <c r="BC316" s="27" t="s">
        <v>8</v>
      </c>
      <c r="BG316" s="27" t="s">
        <v>8</v>
      </c>
      <c r="CZ316" s="27" t="s">
        <v>7</v>
      </c>
      <c r="DA316" s="27" t="s">
        <v>8</v>
      </c>
      <c r="DN316" s="27" t="s">
        <v>7</v>
      </c>
      <c r="DO316" s="27" t="s">
        <v>8</v>
      </c>
      <c r="DP316" s="27" t="s">
        <v>7</v>
      </c>
      <c r="DQ316" s="27" t="s">
        <v>8</v>
      </c>
      <c r="DR316" s="27" t="s">
        <v>7</v>
      </c>
      <c r="DS316" s="27" t="s">
        <v>8</v>
      </c>
      <c r="DT316" s="27" t="s">
        <v>7</v>
      </c>
      <c r="DU316" s="27" t="s">
        <v>8</v>
      </c>
      <c r="DW316" s="27" t="s">
        <v>8</v>
      </c>
      <c r="DX316" s="27" t="s">
        <v>7</v>
      </c>
    </row>
    <row r="317" spans="1:153" x14ac:dyDescent="0.25">
      <c r="A317" s="30">
        <v>2.3357371680107129E-2</v>
      </c>
      <c r="B317"/>
      <c r="C317"/>
      <c r="D317"/>
      <c r="E317"/>
      <c r="F317" s="27" t="s">
        <v>7</v>
      </c>
      <c r="AI317" s="27" t="s">
        <v>8</v>
      </c>
      <c r="AJ317" s="27" t="s">
        <v>7</v>
      </c>
      <c r="AQ317" s="27" t="s">
        <v>8</v>
      </c>
      <c r="AS317" s="27" t="s">
        <v>8</v>
      </c>
      <c r="AT317" s="27" t="s">
        <v>7</v>
      </c>
      <c r="AU317" s="27" t="s">
        <v>8</v>
      </c>
      <c r="AV317" s="27" t="s">
        <v>7</v>
      </c>
      <c r="AW317" s="27" t="s">
        <v>8</v>
      </c>
      <c r="AX317" s="27" t="s">
        <v>7</v>
      </c>
      <c r="AY317" s="27" t="s">
        <v>8</v>
      </c>
      <c r="AZ317" s="27" t="s">
        <v>7</v>
      </c>
      <c r="BA317" s="27" t="s">
        <v>8</v>
      </c>
      <c r="BB317" s="27" t="s">
        <v>7</v>
      </c>
      <c r="BC317" s="27" t="s">
        <v>8</v>
      </c>
      <c r="BD317" s="27" t="s">
        <v>7</v>
      </c>
      <c r="BG317" s="27" t="s">
        <v>8</v>
      </c>
      <c r="CZ317" s="27" t="s">
        <v>7</v>
      </c>
      <c r="DN317" s="27" t="s">
        <v>7</v>
      </c>
      <c r="DO317" s="27" t="s">
        <v>8</v>
      </c>
      <c r="DP317" s="27" t="s">
        <v>7</v>
      </c>
      <c r="DQ317" s="27" t="s">
        <v>8</v>
      </c>
      <c r="DR317" s="27" t="s">
        <v>7</v>
      </c>
      <c r="DS317" s="27" t="s">
        <v>8</v>
      </c>
      <c r="DT317" s="27" t="s">
        <v>7</v>
      </c>
      <c r="DU317" s="27" t="s">
        <v>8</v>
      </c>
      <c r="DV317" s="27" t="s">
        <v>7</v>
      </c>
      <c r="DW317" s="27" t="s">
        <v>8</v>
      </c>
    </row>
    <row r="318" spans="1:153" x14ac:dyDescent="0.25">
      <c r="A318" s="30">
        <v>2.2245115885816305E-2</v>
      </c>
      <c r="B318"/>
      <c r="C318"/>
      <c r="D318"/>
      <c r="E318"/>
      <c r="F318" s="27" t="s">
        <v>7</v>
      </c>
      <c r="AI318" s="27" t="s">
        <v>8</v>
      </c>
      <c r="AJ318" s="27" t="s">
        <v>7</v>
      </c>
      <c r="AK318" s="27" t="s">
        <v>8</v>
      </c>
      <c r="AQ318" s="27" t="s">
        <v>8</v>
      </c>
      <c r="AR318" s="27" t="s">
        <v>7</v>
      </c>
      <c r="AS318" s="27" t="s">
        <v>8</v>
      </c>
      <c r="AT318" s="27" t="s">
        <v>7</v>
      </c>
      <c r="AU318" s="27" t="s">
        <v>8</v>
      </c>
      <c r="AV318" s="27" t="s">
        <v>7</v>
      </c>
      <c r="AW318" s="27" t="s">
        <v>8</v>
      </c>
      <c r="AX318" s="27" t="s">
        <v>7</v>
      </c>
      <c r="AY318" s="27" t="s">
        <v>8</v>
      </c>
      <c r="AZ318" s="27" t="s">
        <v>7</v>
      </c>
      <c r="BA318" s="27" t="s">
        <v>8</v>
      </c>
      <c r="BB318" s="27" t="s">
        <v>7</v>
      </c>
      <c r="BC318" s="27" t="s">
        <v>8</v>
      </c>
      <c r="BD318" s="27" t="s">
        <v>7</v>
      </c>
      <c r="BE318" s="27" t="s">
        <v>8</v>
      </c>
      <c r="BG318" s="27" t="s">
        <v>8</v>
      </c>
      <c r="DN318" s="27" t="s">
        <v>7</v>
      </c>
      <c r="DO318" s="27" t="s">
        <v>8</v>
      </c>
      <c r="DP318" s="27" t="s">
        <v>7</v>
      </c>
      <c r="DQ318" s="27" t="s">
        <v>8</v>
      </c>
      <c r="DR318" s="27" t="s">
        <v>7</v>
      </c>
      <c r="DT318" s="27" t="s">
        <v>7</v>
      </c>
      <c r="DU318" s="27" t="s">
        <v>8</v>
      </c>
      <c r="DV318" s="27" t="s">
        <v>7</v>
      </c>
      <c r="DW318" s="27" t="s">
        <v>8</v>
      </c>
    </row>
    <row r="319" spans="1:153" x14ac:dyDescent="0.25">
      <c r="A319" s="30">
        <v>2.1185824653158377E-2</v>
      </c>
      <c r="B319"/>
      <c r="C319"/>
      <c r="D319"/>
      <c r="E319"/>
      <c r="F319" s="27" t="s">
        <v>7</v>
      </c>
      <c r="W319" s="27" t="s">
        <v>8</v>
      </c>
      <c r="AI319" s="27" t="s">
        <v>8</v>
      </c>
      <c r="AJ319" s="27" t="s">
        <v>7</v>
      </c>
      <c r="AK319" s="27" t="s">
        <v>8</v>
      </c>
      <c r="AL319" s="27" t="s">
        <v>7</v>
      </c>
      <c r="AQ319" s="27" t="s">
        <v>8</v>
      </c>
      <c r="AR319" s="27" t="s">
        <v>7</v>
      </c>
      <c r="AS319" s="27" t="s">
        <v>8</v>
      </c>
      <c r="AT319" s="27" t="s">
        <v>7</v>
      </c>
      <c r="AU319" s="27" t="s">
        <v>8</v>
      </c>
      <c r="AV319" s="27" t="s">
        <v>7</v>
      </c>
      <c r="AW319" s="27" t="s">
        <v>8</v>
      </c>
      <c r="AX319" s="27" t="s">
        <v>7</v>
      </c>
      <c r="AZ319" s="27" t="s">
        <v>7</v>
      </c>
      <c r="BB319" s="27" t="s">
        <v>7</v>
      </c>
      <c r="BC319" s="27" t="s">
        <v>8</v>
      </c>
      <c r="BD319" s="27" t="s">
        <v>7</v>
      </c>
      <c r="BE319" s="27" t="s">
        <v>8</v>
      </c>
      <c r="BF319" s="27" t="s">
        <v>7</v>
      </c>
      <c r="BG319" s="27" t="s">
        <v>8</v>
      </c>
      <c r="DN319" s="27" t="s">
        <v>7</v>
      </c>
      <c r="DO319" s="27" t="s">
        <v>8</v>
      </c>
      <c r="DP319" s="27" t="s">
        <v>7</v>
      </c>
      <c r="DQ319" s="27" t="s">
        <v>8</v>
      </c>
      <c r="DT319" s="27" t="s">
        <v>7</v>
      </c>
      <c r="DV319" s="27" t="s">
        <v>7</v>
      </c>
      <c r="DW319" s="27" t="s">
        <v>8</v>
      </c>
    </row>
    <row r="320" spans="1:153" x14ac:dyDescent="0.25">
      <c r="A320" s="30">
        <v>2.0176975860150829E-2</v>
      </c>
      <c r="B320"/>
      <c r="C320"/>
      <c r="D320"/>
      <c r="E320"/>
      <c r="F320" s="27" t="s">
        <v>7</v>
      </c>
      <c r="W320" s="27" t="s">
        <v>8</v>
      </c>
      <c r="X320" s="27" t="s">
        <v>7</v>
      </c>
      <c r="AI320" s="27" t="s">
        <v>8</v>
      </c>
      <c r="AJ320" s="27" t="s">
        <v>7</v>
      </c>
      <c r="AK320" s="27" t="s">
        <v>8</v>
      </c>
      <c r="AL320" s="27" t="s">
        <v>7</v>
      </c>
      <c r="AQ320" s="27" t="s">
        <v>8</v>
      </c>
      <c r="AR320" s="27" t="s">
        <v>7</v>
      </c>
      <c r="AS320" s="27" t="s">
        <v>8</v>
      </c>
      <c r="AT320" s="27" t="s">
        <v>7</v>
      </c>
      <c r="AU320" s="27" t="s">
        <v>8</v>
      </c>
      <c r="AV320" s="27" t="s">
        <v>7</v>
      </c>
      <c r="BB320" s="27" t="s">
        <v>7</v>
      </c>
      <c r="BC320" s="27" t="s">
        <v>8</v>
      </c>
      <c r="BD320" s="27" t="s">
        <v>7</v>
      </c>
      <c r="BE320" s="27" t="s">
        <v>8</v>
      </c>
      <c r="BF320" s="27" t="s">
        <v>7</v>
      </c>
      <c r="BG320" s="27" t="s">
        <v>8</v>
      </c>
      <c r="DN320" s="27" t="s">
        <v>7</v>
      </c>
      <c r="DO320" s="27" t="s">
        <v>8</v>
      </c>
      <c r="DP320" s="27" t="s">
        <v>7</v>
      </c>
      <c r="DV320" s="18" t="s">
        <v>7</v>
      </c>
      <c r="DW320" s="27" t="s">
        <v>8</v>
      </c>
    </row>
    <row r="321" spans="1:127" x14ac:dyDescent="0.25">
      <c r="A321" s="30">
        <v>1.9216167485857926E-2</v>
      </c>
      <c r="B321"/>
      <c r="C321"/>
      <c r="D321"/>
      <c r="E321"/>
      <c r="F321" s="27" t="s">
        <v>7</v>
      </c>
      <c r="W321" s="27" t="s">
        <v>8</v>
      </c>
      <c r="X321" s="27" t="s">
        <v>7</v>
      </c>
      <c r="AI321" s="27" t="s">
        <v>8</v>
      </c>
      <c r="AJ321" s="27" t="s">
        <v>7</v>
      </c>
      <c r="AL321" s="27" t="s">
        <v>7</v>
      </c>
      <c r="AO321" s="27" t="s">
        <v>8</v>
      </c>
      <c r="AQ321" s="27" t="s">
        <v>8</v>
      </c>
      <c r="AR321" s="27" t="s">
        <v>7</v>
      </c>
      <c r="AT321" s="27" t="s">
        <v>7</v>
      </c>
      <c r="BB321" s="27" t="s">
        <v>7</v>
      </c>
      <c r="BC321" s="27" t="s">
        <v>8</v>
      </c>
      <c r="BD321" s="27" t="s">
        <v>7</v>
      </c>
      <c r="BE321" s="27" t="s">
        <v>8</v>
      </c>
      <c r="BF321" s="27" t="s">
        <v>7</v>
      </c>
      <c r="DN321" s="27" t="s">
        <v>7</v>
      </c>
      <c r="DO321" s="27" t="s">
        <v>8</v>
      </c>
      <c r="DV321" s="27" t="s">
        <v>7</v>
      </c>
      <c r="DW321" s="27" t="s">
        <v>8</v>
      </c>
    </row>
    <row r="322" spans="1:127" x14ac:dyDescent="0.25">
      <c r="A322" s="30">
        <v>1.8301111891293256E-2</v>
      </c>
      <c r="B322"/>
      <c r="C322"/>
      <c r="D322"/>
      <c r="E322"/>
      <c r="F322" s="27" t="s">
        <v>7</v>
      </c>
      <c r="U322" s="27" t="s">
        <v>8</v>
      </c>
      <c r="W322" s="27" t="s">
        <v>8</v>
      </c>
      <c r="X322" s="27" t="s">
        <v>7</v>
      </c>
      <c r="AI322" s="27" t="s">
        <v>8</v>
      </c>
      <c r="AL322" s="27" t="s">
        <v>7</v>
      </c>
      <c r="AM322" s="27" t="s">
        <v>8</v>
      </c>
      <c r="AO322" s="27" t="s">
        <v>8</v>
      </c>
      <c r="AP322" s="27" t="s">
        <v>7</v>
      </c>
      <c r="AQ322" s="27" t="s">
        <v>8</v>
      </c>
      <c r="BB322" s="27" t="s">
        <v>7</v>
      </c>
      <c r="BC322" s="27" t="s">
        <v>8</v>
      </c>
      <c r="BD322" s="27" t="s">
        <v>7</v>
      </c>
      <c r="DN322" s="27" t="s">
        <v>7</v>
      </c>
      <c r="DV322" s="27" t="s">
        <v>7</v>
      </c>
    </row>
    <row r="323" spans="1:127" x14ac:dyDescent="0.25">
      <c r="A323" s="30">
        <v>1.7429630372660238E-2</v>
      </c>
      <c r="B323"/>
      <c r="C323"/>
      <c r="D323"/>
      <c r="E323"/>
      <c r="F323" s="27" t="s">
        <v>7</v>
      </c>
      <c r="U323" s="27" t="s">
        <v>8</v>
      </c>
      <c r="V323" s="27" t="s">
        <v>7</v>
      </c>
      <c r="W323" s="27" t="s">
        <v>8</v>
      </c>
      <c r="X323" s="27" t="s">
        <v>7</v>
      </c>
      <c r="AI323" s="27" t="s">
        <v>8</v>
      </c>
      <c r="AL323" s="27" t="s">
        <v>7</v>
      </c>
      <c r="AM323" s="27" t="s">
        <v>8</v>
      </c>
      <c r="AN323" s="27" t="s">
        <v>7</v>
      </c>
      <c r="AO323" s="27" t="s">
        <v>8</v>
      </c>
      <c r="AP323" s="27" t="s">
        <v>7</v>
      </c>
      <c r="AQ323" s="27" t="s">
        <v>8</v>
      </c>
      <c r="BB323" s="27" t="s">
        <v>7</v>
      </c>
      <c r="BC323" s="27" t="s">
        <v>8</v>
      </c>
    </row>
    <row r="324" spans="1:127" x14ac:dyDescent="0.25">
      <c r="A324" s="30">
        <v>1.6599647973962125E-2</v>
      </c>
      <c r="B324"/>
      <c r="C324"/>
      <c r="D324"/>
      <c r="E324"/>
      <c r="F324" s="27" t="s">
        <v>7</v>
      </c>
      <c r="U324" s="27" t="s">
        <v>8</v>
      </c>
      <c r="V324" s="27" t="s">
        <v>7</v>
      </c>
      <c r="W324" s="27" t="s">
        <v>8</v>
      </c>
      <c r="X324" s="27" t="s">
        <v>7</v>
      </c>
      <c r="AI324" s="27" t="s">
        <v>8</v>
      </c>
      <c r="AL324" s="27" t="s">
        <v>7</v>
      </c>
      <c r="AM324" s="27" t="s">
        <v>8</v>
      </c>
      <c r="AN324" s="27" t="s">
        <v>7</v>
      </c>
      <c r="AO324" s="27" t="s">
        <v>8</v>
      </c>
      <c r="AP324" s="27" t="s">
        <v>7</v>
      </c>
      <c r="AQ324" s="27" t="s">
        <v>8</v>
      </c>
      <c r="BB324" s="27" t="s">
        <v>7</v>
      </c>
    </row>
    <row r="325" spans="1:127" x14ac:dyDescent="0.25">
      <c r="A325" s="30">
        <v>1.580918854663059E-2</v>
      </c>
      <c r="B325"/>
      <c r="C325"/>
      <c r="D325"/>
      <c r="E325"/>
      <c r="F325" s="27" t="s">
        <v>7</v>
      </c>
      <c r="K325" s="27" t="s">
        <v>8</v>
      </c>
      <c r="U325" s="27" t="s">
        <v>8</v>
      </c>
      <c r="V325" s="27" t="s">
        <v>7</v>
      </c>
      <c r="W325" s="27" t="s">
        <v>8</v>
      </c>
      <c r="X325" s="27" t="s">
        <v>7</v>
      </c>
      <c r="AG325" s="27" t="s">
        <v>8</v>
      </c>
      <c r="AI325" s="27" t="s">
        <v>8</v>
      </c>
      <c r="AL325" s="27" t="s">
        <v>7</v>
      </c>
      <c r="AN325" s="27" t="s">
        <v>7</v>
      </c>
      <c r="AP325" s="27" t="s">
        <v>7</v>
      </c>
    </row>
    <row r="326" spans="1:127" x14ac:dyDescent="0.25">
      <c r="A326" s="30">
        <v>1.5056370044410079E-2</v>
      </c>
      <c r="B326"/>
      <c r="C326"/>
      <c r="D326"/>
      <c r="E326"/>
      <c r="F326" s="27" t="s">
        <v>7</v>
      </c>
      <c r="K326" s="27" t="s">
        <v>8</v>
      </c>
      <c r="L326" s="27" t="s">
        <v>7</v>
      </c>
      <c r="S326" s="27" t="s">
        <v>8</v>
      </c>
      <c r="U326" s="27" t="s">
        <v>8</v>
      </c>
      <c r="V326" s="27" t="s">
        <v>7</v>
      </c>
      <c r="W326" s="27" t="s">
        <v>8</v>
      </c>
      <c r="X326" s="27" t="s">
        <v>7</v>
      </c>
      <c r="Y326" s="27" t="s">
        <v>8</v>
      </c>
      <c r="AG326" s="27" t="s">
        <v>8</v>
      </c>
      <c r="AH326" s="27" t="s">
        <v>7</v>
      </c>
      <c r="AI326" s="27" t="s">
        <v>8</v>
      </c>
    </row>
    <row r="327" spans="1:127" x14ac:dyDescent="0.25">
      <c r="A327" s="30">
        <v>1.4339400042295308E-2</v>
      </c>
      <c r="B327"/>
      <c r="C327"/>
      <c r="D327"/>
      <c r="E327"/>
      <c r="F327" s="27" t="s">
        <v>7</v>
      </c>
      <c r="K327" s="27" t="s">
        <v>8</v>
      </c>
      <c r="L327" s="27" t="s">
        <v>7</v>
      </c>
      <c r="O327" s="27" t="s">
        <v>8</v>
      </c>
      <c r="S327" s="27" t="s">
        <v>8</v>
      </c>
      <c r="T327" s="27" t="s">
        <v>7</v>
      </c>
      <c r="U327" s="27" t="s">
        <v>8</v>
      </c>
      <c r="V327" s="27" t="s">
        <v>7</v>
      </c>
      <c r="X327" s="27" t="s">
        <v>7</v>
      </c>
      <c r="Y327" s="27" t="s">
        <v>8</v>
      </c>
      <c r="Z327" s="27" t="s">
        <v>7</v>
      </c>
      <c r="AA327" s="27" t="s">
        <v>8</v>
      </c>
      <c r="AE327" s="27" t="s">
        <v>8</v>
      </c>
      <c r="AG327" s="27" t="s">
        <v>8</v>
      </c>
      <c r="AH327" s="27" t="s">
        <v>7</v>
      </c>
      <c r="AI327" s="27" t="s">
        <v>8</v>
      </c>
    </row>
    <row r="328" spans="1:127" x14ac:dyDescent="0.25">
      <c r="A328" s="30">
        <v>1.365657146885267E-2</v>
      </c>
      <c r="B328"/>
      <c r="C328"/>
      <c r="D328"/>
      <c r="E328"/>
      <c r="F328" s="27" t="s">
        <v>7</v>
      </c>
      <c r="K328" s="27" t="s">
        <v>8</v>
      </c>
      <c r="L328" s="27" t="s">
        <v>7</v>
      </c>
      <c r="O328" s="27" t="s">
        <v>8</v>
      </c>
      <c r="P328" s="27" t="s">
        <v>7</v>
      </c>
      <c r="S328" s="27" t="s">
        <v>8</v>
      </c>
      <c r="T328" s="27" t="s">
        <v>7</v>
      </c>
      <c r="U328" s="27" t="s">
        <v>8</v>
      </c>
      <c r="X328" s="27" t="s">
        <v>7</v>
      </c>
      <c r="Y328" s="27" t="s">
        <v>8</v>
      </c>
      <c r="Z328" s="27" t="s">
        <v>7</v>
      </c>
      <c r="AA328" s="27" t="s">
        <v>8</v>
      </c>
      <c r="AB328" s="27" t="s">
        <v>7</v>
      </c>
      <c r="AE328" s="27" t="s">
        <v>8</v>
      </c>
      <c r="AF328" s="27" t="s">
        <v>7</v>
      </c>
      <c r="AG328" s="27" t="s">
        <v>8</v>
      </c>
      <c r="AH328" s="27" t="s">
        <v>7</v>
      </c>
      <c r="AI328" s="27" t="s">
        <v>8</v>
      </c>
    </row>
    <row r="329" spans="1:127" x14ac:dyDescent="0.25">
      <c r="A329" s="30">
        <v>1.3006258541764442E-2</v>
      </c>
      <c r="B329"/>
      <c r="C329"/>
      <c r="D329"/>
      <c r="E329"/>
      <c r="F329" s="27" t="s">
        <v>7</v>
      </c>
      <c r="K329" s="27" t="s">
        <v>8</v>
      </c>
      <c r="L329" s="27" t="s">
        <v>7</v>
      </c>
      <c r="M329" s="27" t="s">
        <v>8</v>
      </c>
      <c r="O329" s="27" t="s">
        <v>8</v>
      </c>
      <c r="P329" s="27" t="s">
        <v>7</v>
      </c>
      <c r="S329" s="27" t="s">
        <v>8</v>
      </c>
      <c r="T329" s="27" t="s">
        <v>7</v>
      </c>
      <c r="X329" s="27" t="s">
        <v>7</v>
      </c>
      <c r="Y329" s="27" t="s">
        <v>8</v>
      </c>
      <c r="Z329" s="27" t="s">
        <v>7</v>
      </c>
      <c r="AA329" s="27" t="s">
        <v>8</v>
      </c>
      <c r="AB329" s="27" t="s">
        <v>7</v>
      </c>
      <c r="AE329" s="27" t="s">
        <v>8</v>
      </c>
      <c r="AF329" s="27" t="s">
        <v>7</v>
      </c>
      <c r="AG329" s="27" t="s">
        <v>8</v>
      </c>
      <c r="AH329" s="27" t="s">
        <v>7</v>
      </c>
    </row>
    <row r="330" spans="1:127" x14ac:dyDescent="0.25">
      <c r="A330" s="30">
        <v>1.2386912896918512E-2</v>
      </c>
      <c r="B330"/>
      <c r="C330"/>
      <c r="D330"/>
      <c r="E330"/>
      <c r="F330" s="27" t="s">
        <v>7</v>
      </c>
      <c r="K330" s="27" t="s">
        <v>8</v>
      </c>
      <c r="L330" s="27" t="s">
        <v>7</v>
      </c>
      <c r="M330" s="27" t="s">
        <v>8</v>
      </c>
      <c r="N330" s="27" t="s">
        <v>7</v>
      </c>
      <c r="O330" s="27" t="s">
        <v>8</v>
      </c>
      <c r="P330" s="27" t="s">
        <v>7</v>
      </c>
      <c r="Q330" s="27" t="s">
        <v>8</v>
      </c>
      <c r="S330" s="27" t="s">
        <v>8</v>
      </c>
      <c r="X330" s="27" t="s">
        <v>7</v>
      </c>
      <c r="Y330" s="27" t="s">
        <v>8</v>
      </c>
      <c r="Z330" s="27" t="s">
        <v>7</v>
      </c>
      <c r="AA330" s="27" t="s">
        <v>8</v>
      </c>
      <c r="AB330" s="27" t="s">
        <v>7</v>
      </c>
      <c r="AC330" s="27" t="s">
        <v>8</v>
      </c>
      <c r="AE330" s="27" t="s">
        <v>8</v>
      </c>
      <c r="AF330" s="27" t="s">
        <v>7</v>
      </c>
    </row>
    <row r="331" spans="1:127" x14ac:dyDescent="0.25">
      <c r="A331" s="30">
        <v>1.179705990182715E-2</v>
      </c>
      <c r="B331"/>
      <c r="C331"/>
      <c r="D331"/>
      <c r="E331"/>
      <c r="F331" s="27" t="s">
        <v>7</v>
      </c>
      <c r="K331" s="27" t="s">
        <v>8</v>
      </c>
      <c r="L331" s="27" t="s">
        <v>7</v>
      </c>
      <c r="M331" s="27" t="s">
        <v>8</v>
      </c>
      <c r="N331" s="27" t="s">
        <v>7</v>
      </c>
      <c r="O331" s="27" t="s">
        <v>8</v>
      </c>
      <c r="P331" s="27" t="s">
        <v>7</v>
      </c>
      <c r="Q331" s="27" t="s">
        <v>8</v>
      </c>
      <c r="R331" s="27" t="s">
        <v>7</v>
      </c>
      <c r="S331" s="27" t="s">
        <v>8</v>
      </c>
      <c r="X331" s="27" t="s">
        <v>7</v>
      </c>
      <c r="Y331" s="27" t="s">
        <v>8</v>
      </c>
      <c r="Z331" s="27" t="s">
        <v>7</v>
      </c>
      <c r="AB331" s="27" t="s">
        <v>7</v>
      </c>
      <c r="AC331" s="27" t="s">
        <v>8</v>
      </c>
      <c r="AD331" s="27" t="s">
        <v>7</v>
      </c>
      <c r="AE331" s="27" t="s">
        <v>8</v>
      </c>
    </row>
    <row r="332" spans="1:127" x14ac:dyDescent="0.25">
      <c r="A332" s="30">
        <v>1.1235295144597281E-2</v>
      </c>
      <c r="B332"/>
      <c r="C332"/>
      <c r="D332"/>
      <c r="E332"/>
      <c r="F332" s="27" t="s">
        <v>7</v>
      </c>
      <c r="K332" s="27" t="s">
        <v>8</v>
      </c>
      <c r="L332" s="27" t="s">
        <v>7</v>
      </c>
      <c r="N332" s="27" t="s">
        <v>7</v>
      </c>
      <c r="O332" s="27" t="s">
        <v>8</v>
      </c>
      <c r="P332" s="27" t="s">
        <v>7</v>
      </c>
      <c r="Q332" s="27" t="s">
        <v>8</v>
      </c>
      <c r="R332" s="27" t="s">
        <v>7</v>
      </c>
      <c r="S332" s="27" t="s">
        <v>8</v>
      </c>
      <c r="X332" s="27" t="s">
        <v>7</v>
      </c>
      <c r="AB332" s="27" t="s">
        <v>7</v>
      </c>
      <c r="AC332" s="27" t="s">
        <v>8</v>
      </c>
      <c r="AD332" s="27" t="s">
        <v>7</v>
      </c>
      <c r="AE332" s="27" t="s">
        <v>8</v>
      </c>
    </row>
    <row r="333" spans="1:127" x14ac:dyDescent="0.25">
      <c r="A333" s="30">
        <v>1.0700281090092644E-2</v>
      </c>
      <c r="B333"/>
      <c r="C333"/>
      <c r="D333"/>
      <c r="E333"/>
      <c r="F333" s="27" t="s">
        <v>7</v>
      </c>
      <c r="K333" s="27" t="s">
        <v>8</v>
      </c>
      <c r="N333" s="27" t="s">
        <v>7</v>
      </c>
      <c r="P333" s="27" t="s">
        <v>7</v>
      </c>
      <c r="R333" s="27" t="s">
        <v>7</v>
      </c>
      <c r="AB333" s="27" t="s">
        <v>7</v>
      </c>
      <c r="AD333" s="27" t="s">
        <v>7</v>
      </c>
      <c r="AE333" s="27" t="s">
        <v>8</v>
      </c>
    </row>
    <row r="334" spans="1:127" x14ac:dyDescent="0.25">
      <c r="A334" s="30">
        <v>1.0190743895326324E-2</v>
      </c>
      <c r="B334"/>
      <c r="C334"/>
      <c r="D334"/>
      <c r="E334"/>
      <c r="F334" s="27" t="s">
        <v>7</v>
      </c>
      <c r="I334" s="27" t="s">
        <v>8</v>
      </c>
      <c r="K334" s="27" t="s">
        <v>8</v>
      </c>
      <c r="AD334" s="27" t="s">
        <v>7</v>
      </c>
    </row>
    <row r="335" spans="1:127" x14ac:dyDescent="0.25">
      <c r="A335" s="30">
        <v>9.7054703765012563E-3</v>
      </c>
      <c r="B335"/>
      <c r="C335"/>
      <c r="D335"/>
      <c r="E335"/>
      <c r="F335" s="27" t="s">
        <v>7</v>
      </c>
      <c r="G335" s="27" t="s">
        <v>8</v>
      </c>
      <c r="I335" s="27" t="s">
        <v>8</v>
      </c>
      <c r="J335" s="27" t="s">
        <v>7</v>
      </c>
      <c r="K335" s="27" t="s">
        <v>8</v>
      </c>
    </row>
    <row r="336" spans="1:127" x14ac:dyDescent="0.25">
      <c r="A336" s="30">
        <v>9.2433051204773835E-3</v>
      </c>
      <c r="B336"/>
      <c r="C336"/>
      <c r="D336"/>
      <c r="E336"/>
      <c r="F336" s="27" t="s">
        <v>7</v>
      </c>
      <c r="G336" s="27" t="s">
        <v>8</v>
      </c>
      <c r="H336" s="27" t="s">
        <v>7</v>
      </c>
      <c r="I336" s="27" t="s">
        <v>8</v>
      </c>
      <c r="J336" s="27" t="s">
        <v>7</v>
      </c>
      <c r="K336" s="27" t="s">
        <v>8</v>
      </c>
    </row>
    <row r="337" spans="1:11" x14ac:dyDescent="0.25">
      <c r="A337" s="30">
        <v>8.8031477337879808E-3</v>
      </c>
      <c r="B337"/>
      <c r="C337"/>
      <c r="D337"/>
      <c r="E337"/>
      <c r="F337" s="27" t="s">
        <v>7</v>
      </c>
      <c r="G337" s="27" t="s">
        <v>8</v>
      </c>
      <c r="H337" s="27" t="s">
        <v>7</v>
      </c>
      <c r="I337" s="27" t="s">
        <v>8</v>
      </c>
      <c r="J337" s="27" t="s">
        <v>7</v>
      </c>
      <c r="K337" s="27" t="s">
        <v>8</v>
      </c>
    </row>
    <row r="338" spans="1:11" x14ac:dyDescent="0.25">
      <c r="A338" s="30">
        <v>8.3839502226552166E-3</v>
      </c>
      <c r="B338"/>
      <c r="C338"/>
      <c r="D338"/>
      <c r="E338"/>
      <c r="F338" s="27" t="s">
        <v>7</v>
      </c>
      <c r="G338" s="27" t="s">
        <v>8</v>
      </c>
      <c r="H338" s="27" t="s">
        <v>7</v>
      </c>
      <c r="J338" s="27" t="s">
        <v>7</v>
      </c>
    </row>
    <row r="339" spans="1:11" x14ac:dyDescent="0.25">
      <c r="A339" s="30">
        <v>7.9847144977668698E-3</v>
      </c>
      <c r="B339"/>
      <c r="C339"/>
      <c r="D339"/>
      <c r="E339"/>
      <c r="F339" s="27" t="s">
        <v>7</v>
      </c>
    </row>
    <row r="340" spans="1:11" x14ac:dyDescent="0.25">
      <c r="A340" s="30">
        <v>7.6044899978732058E-3</v>
      </c>
      <c r="B340"/>
      <c r="C340"/>
      <c r="D340"/>
      <c r="E340"/>
    </row>
    <row r="341" spans="1:11" x14ac:dyDescent="0.25">
      <c r="A341" s="30">
        <v>7.2423714265459072E-3</v>
      </c>
      <c r="B341"/>
      <c r="C341"/>
      <c r="D341"/>
      <c r="E341"/>
    </row>
    <row r="342" spans="1:11" x14ac:dyDescent="0.25">
      <c r="A342" s="30">
        <v>6.8974965967103846E-3</v>
      </c>
      <c r="B342"/>
      <c r="C342"/>
      <c r="D342"/>
      <c r="E342"/>
    </row>
    <row r="343" spans="1:11" x14ac:dyDescent="0.25">
      <c r="A343" s="30">
        <v>6.5690443778194116E-3</v>
      </c>
      <c r="B343"/>
      <c r="C343"/>
      <c r="D343"/>
      <c r="E343"/>
    </row>
    <row r="344" spans="1:11" x14ac:dyDescent="0.25">
      <c r="A344" s="30">
        <v>6.2562327407803897E-3</v>
      </c>
      <c r="B344"/>
      <c r="C344"/>
      <c r="D344"/>
      <c r="E344"/>
    </row>
    <row r="345" spans="1:11" x14ac:dyDescent="0.25">
      <c r="A345" s="30">
        <v>5.9583168959813212E-3</v>
      </c>
      <c r="B345"/>
      <c r="C345"/>
      <c r="D345"/>
      <c r="E345"/>
    </row>
    <row r="346" spans="1:11" x14ac:dyDescent="0.25">
      <c r="A346" s="30">
        <v>5.6745875199822084E-3</v>
      </c>
      <c r="B346"/>
      <c r="C346"/>
      <c r="D346"/>
      <c r="E346"/>
    </row>
    <row r="347" spans="1:11" x14ac:dyDescent="0.25">
      <c r="A347" s="30">
        <v>5.4043690666497205E-3</v>
      </c>
      <c r="B347"/>
      <c r="C347"/>
      <c r="D347"/>
      <c r="E347"/>
    </row>
    <row r="348" spans="1:11" x14ac:dyDescent="0.25">
      <c r="A348" s="30">
        <v>5.1470181587140174E-3</v>
      </c>
      <c r="B348"/>
      <c r="C348"/>
      <c r="D348"/>
      <c r="E348"/>
    </row>
    <row r="349" spans="1:11" x14ac:dyDescent="0.25">
      <c r="A349" s="30">
        <v>4.9019220559181099E-3</v>
      </c>
      <c r="B349"/>
      <c r="C349"/>
      <c r="D349"/>
      <c r="E349"/>
    </row>
    <row r="350" spans="1:11" x14ac:dyDescent="0.25">
      <c r="A350" s="30">
        <v>4.6684971961124836E-3</v>
      </c>
      <c r="B350"/>
      <c r="C350"/>
      <c r="D350"/>
      <c r="E350"/>
    </row>
    <row r="351" spans="1:11" x14ac:dyDescent="0.25">
      <c r="A351" s="30">
        <v>4.4461878058214112E-3</v>
      </c>
      <c r="B351"/>
      <c r="C351"/>
      <c r="D351"/>
      <c r="E351"/>
    </row>
    <row r="352" spans="1:11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22" operator="equal">
      <formula>$U$1</formula>
    </cfRule>
    <cfRule type="cellIs" dxfId="67" priority="1023" operator="equal">
      <formula>$S$1</formula>
    </cfRule>
  </conditionalFormatting>
  <conditionalFormatting sqref="D136">
    <cfRule type="cellIs" dxfId="66" priority="1020" operator="equal">
      <formula>$S$1</formula>
    </cfRule>
    <cfRule type="cellIs" dxfId="65" priority="1021" operator="equal">
      <formula>$U$1</formula>
    </cfRule>
  </conditionalFormatting>
  <conditionalFormatting sqref="C162">
    <cfRule type="cellIs" dxfId="64" priority="1018" operator="equal">
      <formula>$U$1</formula>
    </cfRule>
    <cfRule type="cellIs" dxfId="63" priority="1019" operator="equal">
      <formula>$S$1</formula>
    </cfRule>
  </conditionalFormatting>
  <conditionalFormatting sqref="D162">
    <cfRule type="cellIs" dxfId="62" priority="1016" operator="equal">
      <formula>$S$1</formula>
    </cfRule>
    <cfRule type="cellIs" dxfId="61" priority="1017" operator="equal">
      <formula>$U$1</formula>
    </cfRule>
  </conditionalFormatting>
  <conditionalFormatting sqref="C187">
    <cfRule type="cellIs" dxfId="60" priority="1014" operator="equal">
      <formula>$U$1</formula>
    </cfRule>
    <cfRule type="cellIs" dxfId="59" priority="1015" operator="equal">
      <formula>$S$1</formula>
    </cfRule>
  </conditionalFormatting>
  <conditionalFormatting sqref="D187">
    <cfRule type="cellIs" dxfId="58" priority="1012" operator="equal">
      <formula>$S$1</formula>
    </cfRule>
    <cfRule type="cellIs" dxfId="57" priority="1013" operator="equal">
      <formula>$U$1</formula>
    </cfRule>
  </conditionalFormatting>
  <conditionalFormatting sqref="C212">
    <cfRule type="cellIs" dxfId="56" priority="1010" operator="equal">
      <formula>$U$1</formula>
    </cfRule>
    <cfRule type="cellIs" dxfId="55" priority="1011" operator="equal">
      <formula>$S$1</formula>
    </cfRule>
  </conditionalFormatting>
  <conditionalFormatting sqref="D212">
    <cfRule type="cellIs" dxfId="54" priority="1008" operator="equal">
      <formula>$S$1</formula>
    </cfRule>
    <cfRule type="cellIs" dxfId="53" priority="1009" operator="equal">
      <formula>$U$1</formula>
    </cfRule>
  </conditionalFormatting>
  <conditionalFormatting sqref="C237">
    <cfRule type="cellIs" dxfId="52" priority="1006" operator="equal">
      <formula>$U$1</formula>
    </cfRule>
    <cfRule type="cellIs" dxfId="51" priority="1007" operator="equal">
      <formula>$S$1</formula>
    </cfRule>
  </conditionalFormatting>
  <conditionalFormatting sqref="D237">
    <cfRule type="cellIs" dxfId="50" priority="1004" operator="equal">
      <formula>$S$1</formula>
    </cfRule>
    <cfRule type="cellIs" dxfId="49" priority="1005" operator="equal">
      <formula>$U$1</formula>
    </cfRule>
  </conditionalFormatting>
  <conditionalFormatting sqref="C106">
    <cfRule type="cellIs" dxfId="48" priority="1002" operator="equal">
      <formula>$U$1</formula>
    </cfRule>
    <cfRule type="cellIs" dxfId="47" priority="1003" operator="equal">
      <formula>$S$1</formula>
    </cfRule>
  </conditionalFormatting>
  <conditionalFormatting sqref="D106">
    <cfRule type="cellIs" dxfId="46" priority="1000" operator="equal">
      <formula>$S$1</formula>
    </cfRule>
    <cfRule type="cellIs" dxfId="45" priority="1001" operator="equal">
      <formula>$U$1</formula>
    </cfRule>
  </conditionalFormatting>
  <conditionalFormatting sqref="C81">
    <cfRule type="cellIs" dxfId="44" priority="998" operator="equal">
      <formula>$U$1</formula>
    </cfRule>
    <cfRule type="cellIs" dxfId="43" priority="999" operator="equal">
      <formula>$S$1</formula>
    </cfRule>
  </conditionalFormatting>
  <conditionalFormatting sqref="D81">
    <cfRule type="cellIs" dxfId="42" priority="996" operator="equal">
      <formula>$S$1</formula>
    </cfRule>
    <cfRule type="cellIs" dxfId="41" priority="997" operator="equal">
      <formula>$U$1</formula>
    </cfRule>
  </conditionalFormatting>
  <conditionalFormatting sqref="C56">
    <cfRule type="cellIs" dxfId="40" priority="994" operator="equal">
      <formula>$U$1</formula>
    </cfRule>
    <cfRule type="cellIs" dxfId="39" priority="995" operator="equal">
      <formula>$S$1</formula>
    </cfRule>
  </conditionalFormatting>
  <conditionalFormatting sqref="D56">
    <cfRule type="cellIs" dxfId="38" priority="992" operator="equal">
      <formula>$S$1</formula>
    </cfRule>
    <cfRule type="cellIs" dxfId="37" priority="993" operator="equal">
      <formula>$U$1</formula>
    </cfRule>
  </conditionalFormatting>
  <conditionalFormatting sqref="C31">
    <cfRule type="cellIs" dxfId="36" priority="990" operator="equal">
      <formula>$U$1</formula>
    </cfRule>
    <cfRule type="cellIs" dxfId="35" priority="991" operator="equal">
      <formula>$S$1</formula>
    </cfRule>
  </conditionalFormatting>
  <conditionalFormatting sqref="D31">
    <cfRule type="cellIs" dxfId="34" priority="988" operator="equal">
      <formula>$S$1</formula>
    </cfRule>
    <cfRule type="cellIs" dxfId="33" priority="98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P151" sqref="BP15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$A$150</v>
      </c>
      <c r="D111" s="1" t="str">
        <f>ADDRESS(C121-1,D121,1,1)</f>
        <v>$BP$150</v>
      </c>
      <c r="E111"/>
    </row>
    <row r="112" spans="1:5" x14ac:dyDescent="0.25">
      <c r="A112" s="30">
        <v>2.3579476910000019</v>
      </c>
      <c r="C112" s="1" t="str">
        <f>ADDRESS(C121,1,1,1)</f>
        <v>$A$151</v>
      </c>
      <c r="D112" s="1" t="str">
        <f>ADDRESS(C121,D121-1,1,1)</f>
        <v>$BO$151</v>
      </c>
      <c r="E112"/>
    </row>
    <row r="113" spans="1:6" x14ac:dyDescent="0.25">
      <c r="A113" s="30">
        <v>2.1435888100000016</v>
      </c>
      <c r="C113" s="1" t="str">
        <f>ADDRESS(C121+1,1,1,1)</f>
        <v>$A$152</v>
      </c>
      <c r="D113" s="1" t="str">
        <f>ADDRESS(C121-1,D121+1,1,1)</f>
        <v>$BQ$150</v>
      </c>
    </row>
    <row r="114" spans="1:6" x14ac:dyDescent="0.25">
      <c r="A114" s="30">
        <v>1.9487171000000014</v>
      </c>
      <c r="C114" s="1" t="str">
        <f>ADDRESS(C121,D121,1,1)</f>
        <v>$BP$151</v>
      </c>
      <c r="D114" s="1" t="str">
        <f>ADDRESS(C121+1,D121+1,1,1)</f>
        <v>$BQ$152</v>
      </c>
    </row>
    <row r="115" spans="1:6" x14ac:dyDescent="0.25">
      <c r="A115" s="30">
        <v>1.7715610000000011</v>
      </c>
      <c r="C115" s="1" t="str">
        <f>ADDRESS(C121+1,D121,1,1)</f>
        <v>$BP$152</v>
      </c>
    </row>
    <row r="116" spans="1:6" x14ac:dyDescent="0.25">
      <c r="A116" s="30">
        <v>1.6105100000000008</v>
      </c>
      <c r="C116" s="1">
        <f>C117-1</f>
        <v>150</v>
      </c>
    </row>
    <row r="117" spans="1:6" x14ac:dyDescent="0.25">
      <c r="A117" s="30">
        <v>1.4641000000000006</v>
      </c>
      <c r="C117" s="1">
        <f>C121</f>
        <v>151</v>
      </c>
      <c r="D117" s="1">
        <f>D121</f>
        <v>68</v>
      </c>
    </row>
    <row r="118" spans="1:6" x14ac:dyDescent="0.25">
      <c r="A118" s="30">
        <v>1.3310000000000004</v>
      </c>
      <c r="C118" s="1">
        <f>C117+1</f>
        <v>152</v>
      </c>
      <c r="D118" s="1">
        <f>D117+1</f>
        <v>69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151</v>
      </c>
      <c r="D121" s="19">
        <v>68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R151</v>
      </c>
      <c r="D123" s="1" t="str">
        <f>"C"&amp;D121</f>
        <v>C68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5.7308553301167818E-2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6" x14ac:dyDescent="0.25">
      <c r="A130" s="30">
        <v>0.42409761837248428</v>
      </c>
      <c r="C130" s="6"/>
      <c r="D130" s="6"/>
      <c r="E130"/>
      <c r="F130" s="27" t="s">
        <v>7</v>
      </c>
    </row>
    <row r="131" spans="1:66" x14ac:dyDescent="0.25">
      <c r="A131" s="30">
        <v>0.38554328942953109</v>
      </c>
      <c r="E131"/>
      <c r="F131" s="27" t="s">
        <v>7</v>
      </c>
    </row>
    <row r="132" spans="1:66" x14ac:dyDescent="0.25">
      <c r="A132" s="30">
        <v>0.35049389948139187</v>
      </c>
      <c r="C132" s="1" t="s">
        <v>13</v>
      </c>
      <c r="E132"/>
      <c r="F132" s="27" t="s">
        <v>7</v>
      </c>
    </row>
    <row r="133" spans="1:6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6" x14ac:dyDescent="0.25">
      <c r="A134" s="30">
        <v>0.28966437973668741</v>
      </c>
      <c r="C134"/>
      <c r="D134"/>
      <c r="E134"/>
      <c r="F134" s="27" t="s">
        <v>7</v>
      </c>
    </row>
    <row r="135" spans="1:66" x14ac:dyDescent="0.25">
      <c r="A135" s="30">
        <v>0.2633312543060794</v>
      </c>
      <c r="C135" s="1" t="s">
        <v>14</v>
      </c>
      <c r="E135"/>
      <c r="F135" s="27" t="s">
        <v>7</v>
      </c>
    </row>
    <row r="136" spans="1:6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6" x14ac:dyDescent="0.25">
      <c r="A137" s="30">
        <v>0.2176291357901482</v>
      </c>
      <c r="E137"/>
      <c r="F137" s="27" t="s">
        <v>7</v>
      </c>
    </row>
    <row r="138" spans="1:6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6" x14ac:dyDescent="0.25">
      <c r="A139" s="30">
        <v>0.17985878990921333</v>
      </c>
      <c r="E139"/>
      <c r="F139" s="27" t="s">
        <v>7</v>
      </c>
    </row>
    <row r="140" spans="1:66" x14ac:dyDescent="0.25">
      <c r="A140" s="30">
        <v>0.16350799082655756</v>
      </c>
      <c r="C140" s="1">
        <v>0</v>
      </c>
      <c r="E140"/>
      <c r="F140" s="27" t="s">
        <v>7</v>
      </c>
      <c r="BM140" s="27" t="s">
        <v>8</v>
      </c>
    </row>
    <row r="141" spans="1:66" x14ac:dyDescent="0.25">
      <c r="A141" s="30">
        <v>0.14864362802414322</v>
      </c>
      <c r="C141" s="1">
        <v>1</v>
      </c>
      <c r="E141"/>
      <c r="F141" s="27" t="s">
        <v>7</v>
      </c>
      <c r="BM141" s="27" t="s">
        <v>8</v>
      </c>
      <c r="BN141" s="27" t="s">
        <v>7</v>
      </c>
    </row>
    <row r="142" spans="1:66" x14ac:dyDescent="0.25">
      <c r="A142" s="30">
        <v>0.13513057093103928</v>
      </c>
      <c r="C142" s="1">
        <v>2</v>
      </c>
      <c r="E142"/>
      <c r="F142" s="27" t="s">
        <v>7</v>
      </c>
      <c r="AC142" s="27" t="s">
        <v>8</v>
      </c>
      <c r="BM142" s="27" t="s">
        <v>8</v>
      </c>
      <c r="BN142" s="27" t="s">
        <v>7</v>
      </c>
    </row>
    <row r="143" spans="1:66" x14ac:dyDescent="0.25">
      <c r="A143" s="30">
        <v>0.12284597357367205</v>
      </c>
      <c r="C143" s="1">
        <v>3</v>
      </c>
      <c r="E143"/>
      <c r="F143" s="27" t="s">
        <v>7</v>
      </c>
      <c r="W143" s="27" t="s">
        <v>8</v>
      </c>
      <c r="AC143" s="27" t="s">
        <v>8</v>
      </c>
      <c r="AD143" s="27" t="s">
        <v>7</v>
      </c>
      <c r="BM143" s="27" t="s">
        <v>8</v>
      </c>
      <c r="BN143" s="27" t="s">
        <v>7</v>
      </c>
    </row>
    <row r="144" spans="1:66" x14ac:dyDescent="0.25">
      <c r="A144" s="30">
        <v>0.11167815779424731</v>
      </c>
      <c r="C144" s="1">
        <v>4</v>
      </c>
      <c r="E144"/>
      <c r="F144" s="27" t="s">
        <v>7</v>
      </c>
      <c r="W144" s="27" t="s">
        <v>8</v>
      </c>
      <c r="X144" s="27" t="s">
        <v>7</v>
      </c>
      <c r="Y144" s="27" t="s">
        <v>8</v>
      </c>
      <c r="AC144" s="27" t="s">
        <v>8</v>
      </c>
      <c r="AD144" s="27" t="s">
        <v>7</v>
      </c>
      <c r="BI144" s="27" t="s">
        <v>8</v>
      </c>
      <c r="BK144" s="27" t="s">
        <v>8</v>
      </c>
      <c r="BM144" s="27" t="s">
        <v>8</v>
      </c>
      <c r="BN144" s="27" t="s">
        <v>7</v>
      </c>
    </row>
    <row r="145" spans="1:68" x14ac:dyDescent="0.25">
      <c r="A145" s="30">
        <v>0.10152559799477026</v>
      </c>
      <c r="B145"/>
      <c r="C145"/>
      <c r="D145"/>
      <c r="E145"/>
      <c r="F145" s="27" t="s">
        <v>7</v>
      </c>
      <c r="W145" s="27" t="s">
        <v>8</v>
      </c>
      <c r="X145" s="27" t="s">
        <v>7</v>
      </c>
      <c r="Y145" s="27" t="s">
        <v>8</v>
      </c>
      <c r="Z145" s="27" t="s">
        <v>7</v>
      </c>
      <c r="AA145" s="27" t="s">
        <v>8</v>
      </c>
      <c r="AC145" s="27" t="s">
        <v>8</v>
      </c>
      <c r="AD145" s="27" t="s">
        <v>7</v>
      </c>
      <c r="BI145" s="27" t="s">
        <v>8</v>
      </c>
      <c r="BJ145" s="27" t="s">
        <v>7</v>
      </c>
      <c r="BK145" s="27" t="s">
        <v>8</v>
      </c>
      <c r="BL145" s="27" t="s">
        <v>7</v>
      </c>
      <c r="BM145" s="27" t="s">
        <v>8</v>
      </c>
      <c r="BN145" s="27" t="s">
        <v>7</v>
      </c>
    </row>
    <row r="146" spans="1:68" x14ac:dyDescent="0.25">
      <c r="A146" s="30">
        <v>9.2295998177063854E-2</v>
      </c>
      <c r="B146"/>
      <c r="C146"/>
      <c r="D146"/>
      <c r="E146"/>
      <c r="F146" s="27" t="s">
        <v>7</v>
      </c>
      <c r="W146" s="27" t="s">
        <v>8</v>
      </c>
      <c r="X146" s="27" t="s">
        <v>7</v>
      </c>
      <c r="Y146" s="27" t="s">
        <v>8</v>
      </c>
      <c r="Z146" s="27" t="s">
        <v>7</v>
      </c>
      <c r="AA146" s="27" t="s">
        <v>8</v>
      </c>
      <c r="AB146" s="27" t="s">
        <v>7</v>
      </c>
      <c r="AC146" s="27" t="s">
        <v>8</v>
      </c>
      <c r="AD146" s="27" t="s">
        <v>7</v>
      </c>
      <c r="AE146" s="27" t="s">
        <v>8</v>
      </c>
      <c r="BG146" s="27" t="s">
        <v>8</v>
      </c>
      <c r="BI146" s="27" t="s">
        <v>8</v>
      </c>
      <c r="BJ146" s="27" t="s">
        <v>7</v>
      </c>
      <c r="BK146" s="27" t="s">
        <v>8</v>
      </c>
      <c r="BL146" s="27" t="s">
        <v>7</v>
      </c>
      <c r="BM146" s="27" t="s">
        <v>8</v>
      </c>
      <c r="BN146" s="27" t="s">
        <v>7</v>
      </c>
    </row>
    <row r="147" spans="1:68" x14ac:dyDescent="0.25">
      <c r="A147" s="30">
        <v>8.3905452888239848E-2</v>
      </c>
      <c r="B147"/>
      <c r="C147"/>
      <c r="D147"/>
      <c r="E147"/>
      <c r="F147" s="27" t="s">
        <v>7</v>
      </c>
      <c r="W147" s="27" t="s">
        <v>8</v>
      </c>
      <c r="X147" s="27" t="s">
        <v>7</v>
      </c>
      <c r="Z147" s="27" t="s">
        <v>7</v>
      </c>
      <c r="AA147" s="27" t="s">
        <v>8</v>
      </c>
      <c r="AB147" s="27" t="s">
        <v>7</v>
      </c>
      <c r="AC147" s="27" t="s">
        <v>8</v>
      </c>
      <c r="AD147" s="27" t="s">
        <v>7</v>
      </c>
      <c r="AE147" s="27" t="s">
        <v>8</v>
      </c>
      <c r="AF147" s="27" t="s">
        <v>7</v>
      </c>
      <c r="BE147" s="27" t="s">
        <v>8</v>
      </c>
      <c r="BG147" s="27" t="s">
        <v>8</v>
      </c>
      <c r="BH147" s="27" t="s">
        <v>7</v>
      </c>
      <c r="BI147" s="27" t="s">
        <v>8</v>
      </c>
      <c r="BJ147" s="27" t="s">
        <v>7</v>
      </c>
      <c r="BL147" s="27" t="s">
        <v>7</v>
      </c>
      <c r="BM147" s="27" t="s">
        <v>8</v>
      </c>
      <c r="BN147" s="27" t="s">
        <v>7</v>
      </c>
    </row>
    <row r="148" spans="1:68" x14ac:dyDescent="0.25">
      <c r="A148" s="30">
        <v>7.6277684443854396E-2</v>
      </c>
      <c r="B148"/>
      <c r="C148"/>
      <c r="D148"/>
      <c r="E148"/>
      <c r="F148" s="27" t="s">
        <v>7</v>
      </c>
      <c r="W148" s="27" t="s">
        <v>8</v>
      </c>
      <c r="Z148" s="27" t="s">
        <v>7</v>
      </c>
      <c r="AB148" s="27" t="s">
        <v>7</v>
      </c>
      <c r="AD148" s="27" t="s">
        <v>7</v>
      </c>
      <c r="AE148" s="27" t="s">
        <v>8</v>
      </c>
      <c r="AF148" s="27" t="s">
        <v>7</v>
      </c>
      <c r="BC148" s="27" t="s">
        <v>8</v>
      </c>
      <c r="BE148" s="27" t="s">
        <v>8</v>
      </c>
      <c r="BF148" s="27" t="s">
        <v>7</v>
      </c>
      <c r="BG148" s="27" t="s">
        <v>8</v>
      </c>
      <c r="BH148" s="27" t="s">
        <v>7</v>
      </c>
      <c r="BI148" s="27" t="s">
        <v>8</v>
      </c>
      <c r="BL148" s="27" t="s">
        <v>7</v>
      </c>
      <c r="BM148" s="27" t="s">
        <v>8</v>
      </c>
      <c r="BN148" s="27" t="s">
        <v>7</v>
      </c>
      <c r="BO148" s="27" t="s">
        <v>8</v>
      </c>
    </row>
    <row r="149" spans="1:68" x14ac:dyDescent="0.25">
      <c r="A149" s="30">
        <v>6.9343349494413078E-2</v>
      </c>
      <c r="B149"/>
      <c r="C149"/>
      <c r="D149"/>
      <c r="E149"/>
      <c r="F149" s="27" t="s">
        <v>7</v>
      </c>
      <c r="W149" s="27" t="s">
        <v>8</v>
      </c>
      <c r="AD149" s="27" t="s">
        <v>7</v>
      </c>
      <c r="AE149" s="27" t="s">
        <v>8</v>
      </c>
      <c r="AF149" s="27" t="s">
        <v>7</v>
      </c>
      <c r="BC149" s="27" t="s">
        <v>8</v>
      </c>
      <c r="BD149" s="27" t="s">
        <v>7</v>
      </c>
      <c r="BE149" s="27" t="s">
        <v>8</v>
      </c>
      <c r="BF149" s="27" t="s">
        <v>7</v>
      </c>
      <c r="BG149" s="27" t="s">
        <v>8</v>
      </c>
      <c r="BH149" s="27" t="s">
        <v>7</v>
      </c>
      <c r="BI149" s="27" t="s">
        <v>8</v>
      </c>
      <c r="BL149" s="27" t="s">
        <v>7</v>
      </c>
      <c r="BN149" s="27" t="s">
        <v>7</v>
      </c>
      <c r="BO149" s="27" t="s">
        <v>8</v>
      </c>
      <c r="BP149" s="27" t="s">
        <v>7</v>
      </c>
    </row>
    <row r="150" spans="1:68" x14ac:dyDescent="0.25">
      <c r="A150" s="30">
        <v>6.3039408631284613E-2</v>
      </c>
      <c r="B150"/>
      <c r="C150"/>
      <c r="D150"/>
      <c r="E150"/>
      <c r="F150" s="27" t="s">
        <v>7</v>
      </c>
      <c r="S150" s="27" t="s">
        <v>8</v>
      </c>
      <c r="W150" s="27" t="s">
        <v>8</v>
      </c>
      <c r="AD150" s="27" t="s">
        <v>7</v>
      </c>
      <c r="AE150" s="27" t="s">
        <v>8</v>
      </c>
      <c r="AF150" s="27" t="s">
        <v>7</v>
      </c>
      <c r="BC150" s="27" t="s">
        <v>8</v>
      </c>
      <c r="BD150" s="27" t="s">
        <v>7</v>
      </c>
      <c r="BE150" s="27" t="s">
        <v>8</v>
      </c>
      <c r="BF150" s="27" t="s">
        <v>7</v>
      </c>
      <c r="BG150" s="27" t="s">
        <v>8</v>
      </c>
      <c r="BH150" s="27" t="s">
        <v>7</v>
      </c>
      <c r="BI150" s="27" t="s">
        <v>8</v>
      </c>
      <c r="BN150" s="27" t="s">
        <v>7</v>
      </c>
      <c r="BO150" s="27" t="s">
        <v>8</v>
      </c>
      <c r="BP150" s="27" t="s">
        <v>7</v>
      </c>
    </row>
    <row r="151" spans="1:68" x14ac:dyDescent="0.25">
      <c r="A151" s="30">
        <v>5.7308553301167818E-2</v>
      </c>
      <c r="B151"/>
      <c r="C151"/>
      <c r="D151"/>
      <c r="E151"/>
      <c r="F151" s="27" t="s">
        <v>7</v>
      </c>
      <c r="S151" s="27" t="s">
        <v>8</v>
      </c>
      <c r="T151" s="27" t="s">
        <v>7</v>
      </c>
      <c r="U151" s="27" t="s">
        <v>8</v>
      </c>
      <c r="W151" s="27" t="s">
        <v>8</v>
      </c>
      <c r="AD151" s="27" t="s">
        <v>7</v>
      </c>
      <c r="AE151" s="27" t="s">
        <v>8</v>
      </c>
      <c r="AF151" s="27" t="s">
        <v>7</v>
      </c>
      <c r="AW151" s="27" t="s">
        <v>8</v>
      </c>
      <c r="BA151" s="27" t="s">
        <v>8</v>
      </c>
      <c r="BC151" s="27" t="s">
        <v>8</v>
      </c>
      <c r="BD151" s="27" t="s">
        <v>7</v>
      </c>
      <c r="BE151" s="27" t="s">
        <v>8</v>
      </c>
      <c r="BF151" s="27" t="s">
        <v>7</v>
      </c>
      <c r="BH151" s="27" t="s">
        <v>7</v>
      </c>
      <c r="BN151" s="27" t="s">
        <v>7</v>
      </c>
      <c r="BO151" s="27" t="s">
        <v>8</v>
      </c>
      <c r="BP151" s="27" t="s">
        <v>7</v>
      </c>
    </row>
    <row r="152" spans="1:68" x14ac:dyDescent="0.25">
      <c r="A152" s="30">
        <v>5.2098684819243464E-2</v>
      </c>
      <c r="B152"/>
      <c r="C152"/>
      <c r="D152"/>
      <c r="E152"/>
      <c r="F152" s="27" t="s">
        <v>7</v>
      </c>
      <c r="S152" s="27" t="s">
        <v>8</v>
      </c>
      <c r="T152" s="27" t="s">
        <v>7</v>
      </c>
      <c r="U152" s="27" t="s">
        <v>8</v>
      </c>
      <c r="V152" s="27" t="s">
        <v>7</v>
      </c>
      <c r="W152" s="27" t="s">
        <v>8</v>
      </c>
      <c r="AD152" s="27" t="s">
        <v>7</v>
      </c>
      <c r="AE152" s="27" t="s">
        <v>8</v>
      </c>
      <c r="AF152" s="27" t="s">
        <v>7</v>
      </c>
      <c r="AG152" s="27" t="s">
        <v>8</v>
      </c>
      <c r="AU152" s="27" t="s">
        <v>8</v>
      </c>
      <c r="AW152" s="27" t="s">
        <v>8</v>
      </c>
      <c r="AX152" s="27" t="s">
        <v>7</v>
      </c>
      <c r="AY152" s="27" t="s">
        <v>8</v>
      </c>
      <c r="BA152" s="27" t="s">
        <v>8</v>
      </c>
      <c r="BB152" s="27" t="s">
        <v>7</v>
      </c>
      <c r="BC152" s="27" t="s">
        <v>8</v>
      </c>
      <c r="BD152" s="27" t="s">
        <v>7</v>
      </c>
      <c r="BN152" s="27" t="s">
        <v>7</v>
      </c>
    </row>
    <row r="153" spans="1:68" x14ac:dyDescent="0.25">
      <c r="A153" s="30">
        <v>4.7362440744766775E-2</v>
      </c>
      <c r="B153"/>
      <c r="C153"/>
      <c r="D153"/>
      <c r="E153"/>
      <c r="F153" s="27" t="s">
        <v>7</v>
      </c>
      <c r="S153" s="27" t="s">
        <v>8</v>
      </c>
      <c r="T153" s="27" t="s">
        <v>7</v>
      </c>
      <c r="U153" s="27" t="s">
        <v>8</v>
      </c>
      <c r="V153" s="27" t="s">
        <v>7</v>
      </c>
      <c r="W153" s="27" t="s">
        <v>8</v>
      </c>
      <c r="AD153" s="27" t="s">
        <v>7</v>
      </c>
      <c r="AF153" s="27" t="s">
        <v>7</v>
      </c>
      <c r="AG153" s="27" t="s">
        <v>8</v>
      </c>
      <c r="AH153" s="27" t="s">
        <v>7</v>
      </c>
      <c r="AU153" s="27" t="s">
        <v>8</v>
      </c>
      <c r="AV153" s="27" t="s">
        <v>7</v>
      </c>
      <c r="AW153" s="27" t="s">
        <v>8</v>
      </c>
      <c r="AX153" s="27" t="s">
        <v>7</v>
      </c>
      <c r="AY153" s="27" t="s">
        <v>8</v>
      </c>
      <c r="AZ153" s="27" t="s">
        <v>7</v>
      </c>
      <c r="BA153" s="27" t="s">
        <v>8</v>
      </c>
      <c r="BB153" s="27" t="s">
        <v>7</v>
      </c>
      <c r="BC153" s="27" t="s">
        <v>8</v>
      </c>
    </row>
    <row r="154" spans="1:68" x14ac:dyDescent="0.25">
      <c r="A154" s="30">
        <v>4.3056764313424332E-2</v>
      </c>
      <c r="B154"/>
      <c r="C154"/>
      <c r="D154"/>
      <c r="E154"/>
      <c r="F154" s="27" t="s">
        <v>7</v>
      </c>
      <c r="S154" s="27" t="s">
        <v>8</v>
      </c>
      <c r="T154" s="27" t="s">
        <v>7</v>
      </c>
      <c r="V154" s="27" t="s">
        <v>7</v>
      </c>
      <c r="W154" s="27" t="s">
        <v>8</v>
      </c>
      <c r="AF154" s="27" t="s">
        <v>7</v>
      </c>
      <c r="AG154" s="27" t="s">
        <v>8</v>
      </c>
      <c r="AH154" s="27" t="s">
        <v>7</v>
      </c>
      <c r="AO154" s="27" t="s">
        <v>8</v>
      </c>
      <c r="AU154" s="27" t="s">
        <v>8</v>
      </c>
      <c r="AV154" s="27" t="s">
        <v>7</v>
      </c>
      <c r="AW154" s="27" t="s">
        <v>8</v>
      </c>
      <c r="AX154" s="27" t="s">
        <v>7</v>
      </c>
      <c r="AY154" s="27" t="s">
        <v>8</v>
      </c>
      <c r="AZ154" s="27" t="s">
        <v>7</v>
      </c>
      <c r="BA154" s="27" t="s">
        <v>8</v>
      </c>
      <c r="BB154" s="27" t="s">
        <v>7</v>
      </c>
    </row>
    <row r="155" spans="1:68" x14ac:dyDescent="0.25">
      <c r="A155" s="30">
        <v>3.9142513012203929E-2</v>
      </c>
      <c r="B155"/>
      <c r="C155"/>
      <c r="D155"/>
      <c r="E155"/>
      <c r="F155" s="27" t="s">
        <v>7</v>
      </c>
      <c r="S155" s="27" t="s">
        <v>8</v>
      </c>
      <c r="V155" s="27" t="s">
        <v>7</v>
      </c>
      <c r="AF155" s="27" t="s">
        <v>7</v>
      </c>
      <c r="AG155" s="27" t="s">
        <v>8</v>
      </c>
      <c r="AH155" s="27" t="s">
        <v>7</v>
      </c>
      <c r="AI155" s="27" t="s">
        <v>8</v>
      </c>
      <c r="AK155" s="27" t="s">
        <v>8</v>
      </c>
      <c r="AM155" s="27" t="s">
        <v>8</v>
      </c>
      <c r="AO155" s="27" t="s">
        <v>8</v>
      </c>
      <c r="AP155" s="27" t="s">
        <v>7</v>
      </c>
      <c r="AU155" s="27" t="s">
        <v>8</v>
      </c>
      <c r="AV155" s="27" t="s">
        <v>7</v>
      </c>
      <c r="AW155" s="27" t="s">
        <v>8</v>
      </c>
      <c r="AX155" s="27" t="s">
        <v>7</v>
      </c>
      <c r="AZ155" s="27" t="s">
        <v>7</v>
      </c>
    </row>
    <row r="156" spans="1:68" x14ac:dyDescent="0.25">
      <c r="A156" s="30">
        <v>3.55841027383672E-2</v>
      </c>
      <c r="B156"/>
      <c r="C156"/>
      <c r="D156"/>
      <c r="E156"/>
      <c r="F156" s="27" t="s">
        <v>7</v>
      </c>
      <c r="S156" s="27" t="s">
        <v>8</v>
      </c>
      <c r="AF156" s="27" t="s">
        <v>7</v>
      </c>
      <c r="AG156" s="27" t="s">
        <v>8</v>
      </c>
      <c r="AH156" s="27" t="s">
        <v>7</v>
      </c>
      <c r="AI156" s="27" t="s">
        <v>8</v>
      </c>
      <c r="AJ156" s="27" t="s">
        <v>7</v>
      </c>
      <c r="AK156" s="27" t="s">
        <v>8</v>
      </c>
      <c r="AL156" s="27" t="s">
        <v>7</v>
      </c>
      <c r="AM156" s="27" t="s">
        <v>8</v>
      </c>
      <c r="AN156" s="27" t="s">
        <v>7</v>
      </c>
      <c r="AO156" s="27" t="s">
        <v>8</v>
      </c>
      <c r="AP156" s="27" t="s">
        <v>7</v>
      </c>
      <c r="AU156" s="27" t="s">
        <v>8</v>
      </c>
      <c r="AV156" s="27" t="s">
        <v>7</v>
      </c>
      <c r="AW156" s="27" t="s">
        <v>8</v>
      </c>
    </row>
    <row r="157" spans="1:68" x14ac:dyDescent="0.25">
      <c r="A157" s="30">
        <v>3.2349184307606541E-2</v>
      </c>
      <c r="B157"/>
      <c r="C157"/>
      <c r="D157"/>
      <c r="E157"/>
      <c r="F157" s="27" t="s">
        <v>7</v>
      </c>
      <c r="S157" s="27" t="s">
        <v>8</v>
      </c>
      <c r="AF157" s="27" t="s">
        <v>7</v>
      </c>
      <c r="AG157" s="27" t="s">
        <v>8</v>
      </c>
      <c r="AH157" s="27" t="s">
        <v>7</v>
      </c>
      <c r="AI157" s="27" t="s">
        <v>8</v>
      </c>
      <c r="AJ157" s="27" t="s">
        <v>7</v>
      </c>
      <c r="AK157" s="27" t="s">
        <v>8</v>
      </c>
      <c r="AL157" s="27" t="s">
        <v>7</v>
      </c>
      <c r="AM157" s="27" t="s">
        <v>8</v>
      </c>
      <c r="AN157" s="27" t="s">
        <v>7</v>
      </c>
      <c r="AO157" s="27" t="s">
        <v>8</v>
      </c>
      <c r="AP157" s="27" t="s">
        <v>7</v>
      </c>
      <c r="AU157" s="27" t="s">
        <v>8</v>
      </c>
      <c r="AV157" s="27" t="s">
        <v>7</v>
      </c>
    </row>
    <row r="158" spans="1:68" x14ac:dyDescent="0.25">
      <c r="A158" s="30">
        <v>2.9408349370551395E-2</v>
      </c>
      <c r="B158"/>
      <c r="C158"/>
      <c r="D158"/>
      <c r="E158"/>
      <c r="F158" s="27" t="s">
        <v>7</v>
      </c>
      <c r="S158" s="27" t="s">
        <v>8</v>
      </c>
      <c r="AF158" s="27" t="s">
        <v>7</v>
      </c>
      <c r="AH158" s="27" t="s">
        <v>7</v>
      </c>
      <c r="AI158" s="27" t="s">
        <v>8</v>
      </c>
      <c r="AJ158" s="27" t="s">
        <v>7</v>
      </c>
      <c r="AL158" s="27" t="s">
        <v>7</v>
      </c>
      <c r="AN158" s="27" t="s">
        <v>7</v>
      </c>
      <c r="AP158" s="27" t="s">
        <v>7</v>
      </c>
      <c r="AU158" s="27" t="s">
        <v>8</v>
      </c>
    </row>
    <row r="159" spans="1:68" x14ac:dyDescent="0.25">
      <c r="A159" s="30">
        <v>2.6734863064137627E-2</v>
      </c>
      <c r="B159"/>
      <c r="C159"/>
      <c r="D159"/>
      <c r="E159"/>
      <c r="F159" s="27" t="s">
        <v>7</v>
      </c>
      <c r="O159" s="27" t="s">
        <v>8</v>
      </c>
      <c r="Q159" s="27" t="s">
        <v>8</v>
      </c>
      <c r="S159" s="27" t="s">
        <v>8</v>
      </c>
      <c r="AH159" s="27" t="s">
        <v>7</v>
      </c>
      <c r="AI159" s="27" t="s">
        <v>8</v>
      </c>
      <c r="AP159" s="27" t="s">
        <v>7</v>
      </c>
      <c r="AQ159" s="27" t="s">
        <v>8</v>
      </c>
      <c r="AS159" s="27" t="s">
        <v>8</v>
      </c>
      <c r="AU159" s="27" t="s">
        <v>8</v>
      </c>
    </row>
    <row r="160" spans="1:68" x14ac:dyDescent="0.25">
      <c r="A160" s="30">
        <v>2.4304420967397839E-2</v>
      </c>
      <c r="B160"/>
      <c r="C160"/>
      <c r="D160"/>
      <c r="E160"/>
      <c r="F160" s="27" t="s">
        <v>7</v>
      </c>
      <c r="M160" s="27" t="s">
        <v>8</v>
      </c>
      <c r="O160" s="27" t="s">
        <v>8</v>
      </c>
      <c r="P160" s="27" t="s">
        <v>7</v>
      </c>
      <c r="Q160" s="27" t="s">
        <v>8</v>
      </c>
      <c r="R160" s="27" t="s">
        <v>7</v>
      </c>
      <c r="S160" s="27" t="s">
        <v>8</v>
      </c>
      <c r="AH160" s="27" t="s">
        <v>7</v>
      </c>
      <c r="AP160" s="27" t="s">
        <v>7</v>
      </c>
      <c r="AQ160" s="27" t="s">
        <v>8</v>
      </c>
      <c r="AR160" s="27" t="s">
        <v>7</v>
      </c>
      <c r="AS160" s="27" t="s">
        <v>8</v>
      </c>
      <c r="AT160" s="27" t="s">
        <v>7</v>
      </c>
      <c r="AU160" s="27" t="s">
        <v>8</v>
      </c>
    </row>
    <row r="161" spans="1:47" x14ac:dyDescent="0.25">
      <c r="A161" s="30">
        <v>2.2094928152179852E-2</v>
      </c>
      <c r="B161"/>
      <c r="C161"/>
      <c r="D161"/>
      <c r="E161"/>
      <c r="F161" s="27" t="s">
        <v>7</v>
      </c>
      <c r="M161" s="27" t="s">
        <v>8</v>
      </c>
      <c r="N161" s="27" t="s">
        <v>7</v>
      </c>
      <c r="O161" s="27" t="s">
        <v>8</v>
      </c>
      <c r="P161" s="27" t="s">
        <v>7</v>
      </c>
      <c r="Q161" s="27" t="s">
        <v>8</v>
      </c>
      <c r="R161" s="27" t="s">
        <v>7</v>
      </c>
      <c r="S161" s="27" t="s">
        <v>8</v>
      </c>
      <c r="AP161" s="27" t="s">
        <v>7</v>
      </c>
      <c r="AQ161" s="27" t="s">
        <v>8</v>
      </c>
      <c r="AR161" s="27" t="s">
        <v>7</v>
      </c>
      <c r="AS161" s="27" t="s">
        <v>8</v>
      </c>
      <c r="AT161" s="27" t="s">
        <v>7</v>
      </c>
      <c r="AU161" s="27" t="s">
        <v>8</v>
      </c>
    </row>
    <row r="162" spans="1:47" x14ac:dyDescent="0.25">
      <c r="A162" s="30">
        <v>2.0086298320163499E-2</v>
      </c>
      <c r="B162"/>
      <c r="C162"/>
      <c r="D162"/>
      <c r="E162"/>
      <c r="F162" s="27" t="s">
        <v>7</v>
      </c>
      <c r="I162" s="27" t="s">
        <v>8</v>
      </c>
      <c r="M162" s="27" t="s">
        <v>8</v>
      </c>
      <c r="N162" s="27" t="s">
        <v>7</v>
      </c>
      <c r="O162" s="27" t="s">
        <v>8</v>
      </c>
      <c r="P162" s="27" t="s">
        <v>7</v>
      </c>
      <c r="R162" s="27" t="s">
        <v>7</v>
      </c>
      <c r="S162" s="27" t="s">
        <v>8</v>
      </c>
      <c r="AP162" s="27" t="s">
        <v>7</v>
      </c>
      <c r="AQ162" s="27" t="s">
        <v>8</v>
      </c>
      <c r="AR162" s="27" t="s">
        <v>7</v>
      </c>
      <c r="AT162" s="18" t="s">
        <v>7</v>
      </c>
      <c r="AU162" s="27" t="s">
        <v>8</v>
      </c>
    </row>
    <row r="163" spans="1:47" x14ac:dyDescent="0.25">
      <c r="A163" s="30">
        <v>1.8260271200148632E-2</v>
      </c>
      <c r="B163"/>
      <c r="C163"/>
      <c r="D163"/>
      <c r="E163"/>
      <c r="F163" s="27" t="s">
        <v>7</v>
      </c>
      <c r="I163" s="27" t="s">
        <v>8</v>
      </c>
      <c r="J163" s="27" t="s">
        <v>7</v>
      </c>
      <c r="M163" s="27" t="s">
        <v>8</v>
      </c>
      <c r="N163" s="27" t="s">
        <v>7</v>
      </c>
      <c r="O163" s="27" t="s">
        <v>8</v>
      </c>
      <c r="R163" s="27" t="s">
        <v>7</v>
      </c>
      <c r="S163" s="27" t="s">
        <v>8</v>
      </c>
      <c r="AP163" s="27" t="s">
        <v>7</v>
      </c>
      <c r="AT163" s="27" t="s">
        <v>7</v>
      </c>
    </row>
    <row r="164" spans="1:47" x14ac:dyDescent="0.25">
      <c r="A164" s="30">
        <v>1.6600246545589663E-2</v>
      </c>
      <c r="B164"/>
      <c r="C164"/>
      <c r="D164"/>
      <c r="E164"/>
      <c r="F164" s="27" t="s">
        <v>7</v>
      </c>
      <c r="I164" s="27" t="s">
        <v>8</v>
      </c>
      <c r="J164" s="27" t="s">
        <v>7</v>
      </c>
      <c r="M164" s="27" t="s">
        <v>8</v>
      </c>
      <c r="N164" s="27" t="s">
        <v>7</v>
      </c>
      <c r="R164" s="27" t="s">
        <v>7</v>
      </c>
    </row>
    <row r="165" spans="1:47" x14ac:dyDescent="0.25">
      <c r="A165" s="30">
        <v>1.5091133223263328E-2</v>
      </c>
      <c r="B165"/>
      <c r="C165"/>
      <c r="D165"/>
      <c r="E165"/>
      <c r="F165" s="27" t="s">
        <v>7</v>
      </c>
      <c r="G165" s="27" t="s">
        <v>8</v>
      </c>
      <c r="I165" s="27" t="s">
        <v>8</v>
      </c>
      <c r="J165" s="27" t="s">
        <v>7</v>
      </c>
      <c r="K165" s="27" t="s">
        <v>8</v>
      </c>
      <c r="M165" s="27" t="s">
        <v>8</v>
      </c>
    </row>
    <row r="166" spans="1:47" x14ac:dyDescent="0.25">
      <c r="A166" s="30">
        <v>1.3719212021148477E-2</v>
      </c>
      <c r="B166"/>
      <c r="C166"/>
      <c r="D166"/>
      <c r="E166"/>
      <c r="F166" s="27" t="s">
        <v>7</v>
      </c>
      <c r="G166" s="27" t="s">
        <v>8</v>
      </c>
      <c r="H166" s="27" t="s">
        <v>7</v>
      </c>
      <c r="I166" s="27" t="s">
        <v>8</v>
      </c>
      <c r="J166" s="27" t="s">
        <v>7</v>
      </c>
      <c r="K166" s="27" t="s">
        <v>8</v>
      </c>
      <c r="L166" s="27" t="s">
        <v>7</v>
      </c>
      <c r="M166" s="27" t="s">
        <v>8</v>
      </c>
    </row>
    <row r="167" spans="1:47" x14ac:dyDescent="0.25">
      <c r="A167" s="30">
        <v>1.2472010928316795E-2</v>
      </c>
      <c r="B167"/>
      <c r="C167"/>
      <c r="D167"/>
      <c r="E167"/>
      <c r="F167" s="27" t="s">
        <v>7</v>
      </c>
      <c r="G167" s="27" t="s">
        <v>8</v>
      </c>
      <c r="H167" s="27" t="s">
        <v>7</v>
      </c>
      <c r="I167" s="27" t="s">
        <v>8</v>
      </c>
      <c r="J167" s="27" t="s">
        <v>7</v>
      </c>
      <c r="K167" s="27" t="s">
        <v>8</v>
      </c>
      <c r="L167" s="27" t="s">
        <v>7</v>
      </c>
      <c r="M167" s="27" t="s">
        <v>8</v>
      </c>
    </row>
    <row r="168" spans="1:47" x14ac:dyDescent="0.25">
      <c r="A168" s="30">
        <v>1.1338191753015267E-2</v>
      </c>
      <c r="B168"/>
      <c r="C168"/>
      <c r="D168"/>
      <c r="E168"/>
      <c r="F168" s="27" t="s">
        <v>7</v>
      </c>
      <c r="G168" s="27" t="s">
        <v>8</v>
      </c>
      <c r="H168" s="27" t="s">
        <v>7</v>
      </c>
      <c r="J168" s="27" t="s">
        <v>7</v>
      </c>
      <c r="L168" s="27" t="s">
        <v>7</v>
      </c>
      <c r="M168" s="27" t="s">
        <v>8</v>
      </c>
    </row>
    <row r="169" spans="1:47" x14ac:dyDescent="0.25">
      <c r="A169" s="30">
        <v>1.0307447048195697E-2</v>
      </c>
      <c r="B169"/>
      <c r="C169"/>
      <c r="D169"/>
      <c r="E169"/>
      <c r="F169" s="27" t="s">
        <v>7</v>
      </c>
      <c r="G169" s="27" t="s">
        <v>8</v>
      </c>
      <c r="L169" s="27" t="s">
        <v>7</v>
      </c>
    </row>
    <row r="170" spans="1:47" x14ac:dyDescent="0.25">
      <c r="A170" s="30">
        <v>9.3704064074506318E-3</v>
      </c>
      <c r="B170"/>
      <c r="C170"/>
      <c r="D170"/>
      <c r="E170"/>
      <c r="F170" s="27" t="s">
        <v>7</v>
      </c>
      <c r="G170" s="27" t="s">
        <v>8</v>
      </c>
    </row>
    <row r="171" spans="1:47" x14ac:dyDescent="0.25">
      <c r="A171" s="30">
        <v>8.5185512795005747E-3</v>
      </c>
      <c r="F171" s="27" t="s">
        <v>7</v>
      </c>
    </row>
    <row r="172" spans="1:47" x14ac:dyDescent="0.25">
      <c r="A172" s="30">
        <v>7.744137526818704E-3</v>
      </c>
    </row>
    <row r="173" spans="1:47" x14ac:dyDescent="0.25">
      <c r="A173" s="30">
        <v>7.0401250243806394E-3</v>
      </c>
    </row>
    <row r="174" spans="1:47" x14ac:dyDescent="0.25">
      <c r="A174" s="30">
        <v>6.4001136585278536E-3</v>
      </c>
    </row>
    <row r="175" spans="1:47" x14ac:dyDescent="0.25">
      <c r="A175" s="30">
        <v>5.8182851441162305E-3</v>
      </c>
    </row>
    <row r="176" spans="1:47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006" operator="equal">
      <formula>$U$1</formula>
    </cfRule>
    <cfRule type="cellIs" dxfId="30" priority="1007" operator="equal">
      <formula>$S$1</formula>
    </cfRule>
  </conditionalFormatting>
  <conditionalFormatting sqref="D136">
    <cfRule type="cellIs" dxfId="29" priority="1004" operator="equal">
      <formula>$S$1</formula>
    </cfRule>
    <cfRule type="cellIs" dxfId="28" priority="1005" operator="equal">
      <formula>$U$1</formula>
    </cfRule>
  </conditionalFormatting>
  <conditionalFormatting sqref="C102">
    <cfRule type="cellIs" dxfId="27" priority="1002" operator="equal">
      <formula>$U$1</formula>
    </cfRule>
    <cfRule type="cellIs" dxfId="26" priority="1003" operator="equal">
      <formula>$S$1</formula>
    </cfRule>
  </conditionalFormatting>
  <conditionalFormatting sqref="D102">
    <cfRule type="cellIs" dxfId="25" priority="1000" operator="equal">
      <formula>$S$1</formula>
    </cfRule>
    <cfRule type="cellIs" dxfId="24" priority="1001" operator="equal">
      <formula>$U$1</formula>
    </cfRule>
  </conditionalFormatting>
  <conditionalFormatting sqref="C77">
    <cfRule type="cellIs" dxfId="23" priority="998" operator="equal">
      <formula>$U$1</formula>
    </cfRule>
    <cfRule type="cellIs" dxfId="22" priority="999" operator="equal">
      <formula>$S$1</formula>
    </cfRule>
  </conditionalFormatting>
  <conditionalFormatting sqref="D77">
    <cfRule type="cellIs" dxfId="21" priority="996" operator="equal">
      <formula>$S$1</formula>
    </cfRule>
    <cfRule type="cellIs" dxfId="20" priority="997" operator="equal">
      <formula>$U$1</formula>
    </cfRule>
  </conditionalFormatting>
  <conditionalFormatting sqref="C52">
    <cfRule type="cellIs" dxfId="19" priority="994" operator="equal">
      <formula>$U$1</formula>
    </cfRule>
    <cfRule type="cellIs" dxfId="18" priority="995" operator="equal">
      <formula>$S$1</formula>
    </cfRule>
  </conditionalFormatting>
  <conditionalFormatting sqref="D52">
    <cfRule type="cellIs" dxfId="17" priority="992" operator="equal">
      <formula>$S$1</formula>
    </cfRule>
    <cfRule type="cellIs" dxfId="16" priority="993" operator="equal">
      <formula>$U$1</formula>
    </cfRule>
  </conditionalFormatting>
  <conditionalFormatting sqref="C26">
    <cfRule type="cellIs" dxfId="15" priority="990" operator="equal">
      <formula>$U$1</formula>
    </cfRule>
    <cfRule type="cellIs" dxfId="14" priority="991" operator="equal">
      <formula>$S$1</formula>
    </cfRule>
  </conditionalFormatting>
  <conditionalFormatting sqref="D26">
    <cfRule type="cellIs" dxfId="13" priority="988" operator="equal">
      <formula>$S$1</formula>
    </cfRule>
    <cfRule type="cellIs" dxfId="12" priority="98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2022-01-28T01:18:54Z</dcterms:modified>
</cp:coreProperties>
</file>