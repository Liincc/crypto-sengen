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A55C51D-8568-4721-B113-A12CF46C29F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10" i="1"/>
  <c r="Q810" i="1" s="1"/>
  <c r="R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10" i="1"/>
  <c r="T810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5"/>
  <c r="C122" i="3"/>
  <c r="C133" i="3" s="1"/>
  <c r="C136" i="3" s="1"/>
  <c r="C122" i="4"/>
  <c r="C133" i="4" s="1"/>
  <c r="D136" i="4" s="1"/>
  <c r="C118" i="4"/>
  <c r="R809" i="1"/>
  <c r="S809" i="1" s="1"/>
  <c r="T809" i="1" s="1"/>
  <c r="D136" i="5"/>
  <c r="C136" i="5"/>
  <c r="C116" i="3"/>
  <c r="C118" i="3"/>
  <c r="R808" i="1" l="1"/>
  <c r="D136" i="3"/>
  <c r="C138" i="3" s="1"/>
  <c r="C138" i="5"/>
  <c r="C136" i="4"/>
  <c r="C138" i="4" s="1"/>
  <c r="R807" i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S126" i="1" l="1"/>
  <c r="T126" i="1" s="1"/>
  <c r="R125" i="1"/>
  <c r="S125" i="1" l="1"/>
  <c r="T125" i="1" s="1"/>
  <c r="R124" i="1"/>
  <c r="S124" i="1" l="1"/>
  <c r="T124" i="1" s="1"/>
  <c r="R123" i="1"/>
  <c r="S123" i="1" l="1"/>
  <c r="T123" i="1" s="1"/>
  <c r="R122" i="1"/>
  <c r="S122" i="1" l="1"/>
  <c r="T122" i="1" s="1"/>
  <c r="R121" i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S99" i="1" l="1"/>
  <c r="T99" i="1" s="1"/>
  <c r="R98" i="1"/>
  <c r="S98" i="1" l="1"/>
  <c r="T98" i="1" s="1"/>
  <c r="R97" i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S78" i="1" l="1"/>
  <c r="T78" i="1" s="1"/>
  <c r="R77" i="1"/>
  <c r="S77" i="1" l="1"/>
  <c r="T77" i="1" s="1"/>
  <c r="R76" i="1"/>
  <c r="S76" i="1" l="1"/>
  <c r="T76" i="1" s="1"/>
  <c r="R75" i="1"/>
  <c r="S75" i="1" l="1"/>
  <c r="T75" i="1" s="1"/>
  <c r="R74" i="1"/>
  <c r="S74" i="1" l="1"/>
  <c r="T74" i="1" s="1"/>
  <c r="R73" i="1"/>
  <c r="S73" i="1" l="1"/>
  <c r="T73" i="1" s="1"/>
  <c r="R72" i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<sst xmlns="http://schemas.openxmlformats.org/spreadsheetml/2006/main" count="8847" uniqueCount="34">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</sst>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7.1819999999999995E-2</c:v>
                </c:pt>
                <c:pt idx="1">
                  <c:v>7.3760000000000006E-2</c:v>
                </c:pt>
                <c:pt idx="2">
                  <c:v>7.2069999999999995E-2</c:v>
                </c:pt>
                <c:pt idx="3">
                  <c:v>7.0120000000000002E-2</c:v>
                </c:pt>
                <c:pt idx="4">
                  <c:v>7.5590000000000004E-2</c:v>
                </c:pt>
                <c:pt idx="5">
                  <c:v>7.1989999999999998E-2</c:v>
                </c:pt>
                <c:pt idx="6">
                  <c:v>8.4239999999999995E-2</c:v>
                </c:pt>
                <c:pt idx="7">
                  <c:v>9.9589999999999998E-2</c:v>
                </c:pt>
                <c:pt idx="8">
                  <c:v>0.10661</c:v>
                </c:pt>
                <c:pt idx="9">
                  <c:v>0.11569</c:v>
                </c:pt>
                <c:pt idx="10">
                  <c:v>0.10777</c:v>
                </c:pt>
                <c:pt idx="11">
                  <c:v>0.11176</c:v>
                </c:pt>
                <c:pt idx="12">
                  <c:v>0.11527</c:v>
                </c:pt>
                <c:pt idx="13">
                  <c:v>0.10072</c:v>
                </c:pt>
                <c:pt idx="14">
                  <c:v>0.10018000000000001</c:v>
                </c:pt>
                <c:pt idx="15">
                  <c:v>0.10571999999999999</c:v>
                </c:pt>
                <c:pt idx="16">
                  <c:v>0.10155</c:v>
                </c:pt>
                <c:pt idx="17">
                  <c:v>9.8409999999999997E-2</c:v>
                </c:pt>
                <c:pt idx="18">
                  <c:v>0.10362</c:v>
                </c:pt>
                <c:pt idx="19">
                  <c:v>0.10174999999999999</c:v>
                </c:pt>
                <c:pt idx="20">
                  <c:v>0.10199</c:v>
                </c:pt>
                <c:pt idx="21">
                  <c:v>0.10981</c:v>
                </c:pt>
                <c:pt idx="22">
                  <c:v>0.11015999999999999</c:v>
                </c:pt>
                <c:pt idx="23">
                  <c:v>0.1217</c:v>
                </c:pt>
                <c:pt idx="24">
                  <c:v>0.12279</c:v>
                </c:pt>
                <c:pt idx="25">
                  <c:v>0.12575</c:v>
                </c:pt>
                <c:pt idx="26">
                  <c:v>0.12809999999999999</c:v>
                </c:pt>
                <c:pt idx="27">
                  <c:v>0.12109</c:v>
                </c:pt>
                <c:pt idx="28">
                  <c:v>0.12392</c:v>
                </c:pt>
                <c:pt idx="29">
                  <c:v>0.12167</c:v>
                </c:pt>
                <c:pt idx="30">
                  <c:v>0.12734000000000001</c:v>
                </c:pt>
                <c:pt idx="31">
                  <c:v>0.14735000000000001</c:v>
                </c:pt>
                <c:pt idx="32">
                  <c:v>0.13966999999999999</c:v>
                </c:pt>
                <c:pt idx="33">
                  <c:v>0.13544999999999999</c:v>
                </c:pt>
                <c:pt idx="34">
                  <c:v>0.13877999999999999</c:v>
                </c:pt>
                <c:pt idx="35">
                  <c:v>0.12645999999999999</c:v>
                </c:pt>
                <c:pt idx="36">
                  <c:v>0.12099</c:v>
                </c:pt>
                <c:pt idx="37">
                  <c:v>0.12537999999999999</c:v>
                </c:pt>
                <c:pt idx="38">
                  <c:v>0.12071999999999999</c:v>
                </c:pt>
                <c:pt idx="39">
                  <c:v>0.11234</c:v>
                </c:pt>
                <c:pt idx="40">
                  <c:v>0.11287999999999999</c:v>
                </c:pt>
                <c:pt idx="41">
                  <c:v>0.11393</c:v>
                </c:pt>
                <c:pt idx="42">
                  <c:v>0.11096</c:v>
                </c:pt>
                <c:pt idx="43">
                  <c:v>0.11375</c:v>
                </c:pt>
                <c:pt idx="44">
                  <c:v>0.11230999999999999</c:v>
                </c:pt>
                <c:pt idx="45">
                  <c:v>0.1055</c:v>
                </c:pt>
                <c:pt idx="46">
                  <c:v>0.11962</c:v>
                </c:pt>
                <c:pt idx="47">
                  <c:v>0.13578000000000001</c:v>
                </c:pt>
                <c:pt idx="48">
                  <c:v>0.12808</c:v>
                </c:pt>
                <c:pt idx="49">
                  <c:v>0.11963</c:v>
                </c:pt>
                <c:pt idx="50">
                  <c:v>0.11441999999999999</c:v>
                </c:pt>
                <c:pt idx="51">
                  <c:v>0.11322</c:v>
                </c:pt>
                <c:pt idx="52">
                  <c:v>0.11888</c:v>
                </c:pt>
                <c:pt idx="53">
                  <c:v>0.11422</c:v>
                </c:pt>
                <c:pt idx="54">
                  <c:v>0.12673000000000001</c:v>
                </c:pt>
                <c:pt idx="55">
                  <c:v>0.14238000000000001</c:v>
                </c:pt>
                <c:pt idx="56">
                  <c:v>0.15725</c:v>
                </c:pt>
                <c:pt idx="57">
                  <c:v>0.15298999999999999</c:v>
                </c:pt>
                <c:pt idx="58">
                  <c:v>0.15376000000000001</c:v>
                </c:pt>
                <c:pt idx="59">
                  <c:v>0.15920000000000001</c:v>
                </c:pt>
                <c:pt idx="60">
                  <c:v>0.15426999999999999</c:v>
                </c:pt>
                <c:pt idx="61">
                  <c:v>0.15620999999999999</c:v>
                </c:pt>
                <c:pt idx="62">
                  <c:v>0.15781999999999999</c:v>
                </c:pt>
                <c:pt idx="63">
                  <c:v>0.18129999999999999</c:v>
                </c:pt>
                <c:pt idx="64">
                  <c:v>0.18808</c:v>
                </c:pt>
                <c:pt idx="65">
                  <c:v>0.18836</c:v>
                </c:pt>
                <c:pt idx="66">
                  <c:v>0.18598000000000001</c:v>
                </c:pt>
                <c:pt idx="67">
                  <c:v>0.21809999999999999</c:v>
                </c:pt>
                <c:pt idx="68">
                  <c:v>0.18767</c:v>
                </c:pt>
                <c:pt idx="69">
                  <c:v>0.18107000000000001</c:v>
                </c:pt>
                <c:pt idx="70">
                  <c:v>0.17318</c:v>
                </c:pt>
                <c:pt idx="71">
                  <c:v>0.19797999999999999</c:v>
                </c:pt>
                <c:pt idx="72">
                  <c:v>0.21242</c:v>
                </c:pt>
                <c:pt idx="73">
                  <c:v>0.19838</c:v>
                </c:pt>
                <c:pt idx="74">
                  <c:v>0.23299</c:v>
                </c:pt>
                <c:pt idx="75">
                  <c:v>0.2215</c:v>
                </c:pt>
                <c:pt idx="76">
                  <c:v>0.20996999999999999</c:v>
                </c:pt>
                <c:pt idx="77">
                  <c:v>0.18282000000000001</c:v>
                </c:pt>
                <c:pt idx="78">
                  <c:v>0.23679</c:v>
                </c:pt>
                <c:pt idx="79">
                  <c:v>0.10716000000000001</c:v>
                </c:pt>
                <c:pt idx="80">
                  <c:v>0.10242</c:v>
                </c:pt>
                <c:pt idx="81">
                  <c:v>0.10383000000000001</c:v>
                </c:pt>
                <c:pt idx="82">
                  <c:v>0.10817</c:v>
                </c:pt>
                <c:pt idx="83">
                  <c:v>0.11201999999999999</c:v>
                </c:pt>
                <c:pt idx="84">
                  <c:v>0.12275</c:v>
                </c:pt>
                <c:pt idx="85">
                  <c:v>0.13131000000000001</c:v>
                </c:pt>
                <c:pt idx="86">
                  <c:v>7.7240000000000003E-2</c:v>
                </c:pt>
                <c:pt idx="87">
                  <c:v>7.0330000000000004E-2</c:v>
                </c:pt>
                <c:pt idx="88">
                  <c:v>7.2020000000000001E-2</c:v>
                </c:pt>
                <c:pt idx="89">
                  <c:v>6.6439999999999999E-2</c:v>
                </c:pt>
                <c:pt idx="90">
                  <c:v>6.6809999999999994E-2</c:v>
                </c:pt>
                <c:pt idx="91">
                  <c:v>6.2920000000000004E-2</c:v>
                </c:pt>
                <c:pt idx="92">
                  <c:v>5.8319999999999997E-2</c:v>
                </c:pt>
                <c:pt idx="93">
                  <c:v>6.6549999999999998E-2</c:v>
                </c:pt>
                <c:pt idx="94">
                  <c:v>6.7059999999999995E-2</c:v>
                </c:pt>
                <c:pt idx="95">
                  <c:v>6.5839999999999996E-2</c:v>
                </c:pt>
                <c:pt idx="96">
                  <c:v>6.7349999999999993E-2</c:v>
                </c:pt>
                <c:pt idx="97">
                  <c:v>6.7979999999999999E-2</c:v>
                </c:pt>
                <c:pt idx="98">
                  <c:v>6.7000000000000004E-2</c:v>
                </c:pt>
                <c:pt idx="99">
                  <c:v>7.0110000000000006E-2</c:v>
                </c:pt>
                <c:pt idx="100">
                  <c:v>6.7809999999999995E-2</c:v>
                </c:pt>
                <c:pt idx="101">
                  <c:v>6.6839999999999997E-2</c:v>
                </c:pt>
                <c:pt idx="102">
                  <c:v>6.5949999999999995E-2</c:v>
                </c:pt>
                <c:pt idx="103">
                  <c:v>7.0959999999999995E-2</c:v>
                </c:pt>
                <c:pt idx="104">
                  <c:v>6.8909999999999999E-2</c:v>
                </c:pt>
                <c:pt idx="105">
                  <c:v>6.9690000000000002E-2</c:v>
                </c:pt>
                <c:pt idx="106">
                  <c:v>6.7849999999999994E-2</c:v>
                </c:pt>
                <c:pt idx="107">
                  <c:v>6.8190000000000001E-2</c:v>
                </c:pt>
                <c:pt idx="108">
                  <c:v>7.1499999999999994E-2</c:v>
                </c:pt>
                <c:pt idx="109">
                  <c:v>7.0110000000000006E-2</c:v>
                </c:pt>
                <c:pt idx="110">
                  <c:v>7.2660000000000002E-2</c:v>
                </c:pt>
                <c:pt idx="111">
                  <c:v>6.8049999999999999E-2</c:v>
                </c:pt>
                <c:pt idx="112">
                  <c:v>6.9000000000000006E-2</c:v>
                </c:pt>
                <c:pt idx="113">
                  <c:v>7.3190000000000005E-2</c:v>
                </c:pt>
                <c:pt idx="114">
                  <c:v>6.5180000000000002E-2</c:v>
                </c:pt>
                <c:pt idx="115">
                  <c:v>6.1990000000000003E-2</c:v>
                </c:pt>
                <c:pt idx="116">
                  <c:v>6.368E-2</c:v>
                </c:pt>
                <c:pt idx="117">
                  <c:v>6.3070000000000001E-2</c:v>
                </c:pt>
                <c:pt idx="118">
                  <c:v>6.3899999999999998E-2</c:v>
                </c:pt>
                <c:pt idx="119">
                  <c:v>6.0409999999999998E-2</c:v>
                </c:pt>
                <c:pt idx="120">
                  <c:v>6.0310000000000002E-2</c:v>
                </c:pt>
                <c:pt idx="121">
                  <c:v>5.6309999999999999E-2</c:v>
                </c:pt>
                <c:pt idx="122">
                  <c:v>6.0240000000000002E-2</c:v>
                </c:pt>
                <c:pt idx="123">
                  <c:v>6.5549999999999997E-2</c:v>
                </c:pt>
                <c:pt idx="124">
                  <c:v>6.7000000000000004E-2</c:v>
                </c:pt>
                <c:pt idx="125">
                  <c:v>5.1869999999999999E-2</c:v>
                </c:pt>
                <c:pt idx="126">
                  <c:v>5.7000000000000002E-2</c:v>
                </c:pt>
                <c:pt idx="127">
                  <c:v>5.5419999999999997E-2</c:v>
                </c:pt>
                <c:pt idx="128">
                  <c:v>4.9579999999999999E-2</c:v>
                </c:pt>
                <c:pt idx="129">
                  <c:v>5.527E-2</c:v>
                </c:pt>
                <c:pt idx="130">
                  <c:v>6.2140000000000001E-2</c:v>
                </c:pt>
                <c:pt idx="131">
                  <c:v>6.4310000000000006E-2</c:v>
                </c:pt>
                <c:pt idx="132">
                  <c:v>6.4009999999999997E-2</c:v>
                </c:pt>
                <c:pt idx="133">
                  <c:v>6.5589999999999996E-2</c:v>
                </c:pt>
                <c:pt idx="134">
                  <c:v>6.6199999999999995E-2</c:v>
                </c:pt>
                <c:pt idx="135">
                  <c:v>6.2469999999999998E-2</c:v>
                </c:pt>
                <c:pt idx="136">
                  <c:v>6.089E-2</c:v>
                </c:pt>
                <c:pt idx="137">
                  <c:v>6.5589999999999996E-2</c:v>
                </c:pt>
                <c:pt idx="138">
                  <c:v>6.2309999999999997E-2</c:v>
                </c:pt>
                <c:pt idx="139">
                  <c:v>6.1809999999999997E-2</c:v>
                </c:pt>
                <c:pt idx="140">
                  <c:v>6.6019999999999995E-2</c:v>
                </c:pt>
                <c:pt idx="141">
                  <c:v>6.4869999999999997E-2</c:v>
                </c:pt>
                <c:pt idx="142">
                  <c:v>6.1600000000000002E-2</c:v>
                </c:pt>
                <c:pt idx="143">
                  <c:v>7.9210000000000003E-2</c:v>
                </c:pt>
                <c:pt idx="144">
                  <c:v>8.3510000000000001E-2</c:v>
                </c:pt>
                <c:pt idx="145">
                  <c:v>8.0769999999999995E-2</c:v>
                </c:pt>
                <c:pt idx="146">
                  <c:v>7.4410000000000004E-2</c:v>
                </c:pt>
                <c:pt idx="147">
                  <c:v>7.4990000000000001E-2</c:v>
                </c:pt>
                <c:pt idx="148">
                  <c:v>7.442E-2</c:v>
                </c:pt>
                <c:pt idx="149">
                  <c:v>7.281E-2</c:v>
                </c:pt>
                <c:pt idx="150">
                  <c:v>7.2929999999999995E-2</c:v>
                </c:pt>
                <c:pt idx="151">
                  <c:v>7.8329999999999997E-2</c:v>
                </c:pt>
                <c:pt idx="152">
                  <c:v>8.0780000000000005E-2</c:v>
                </c:pt>
                <c:pt idx="153">
                  <c:v>8.4699999999999998E-2</c:v>
                </c:pt>
                <c:pt idx="154">
                  <c:v>7.263E-2</c:v>
                </c:pt>
                <c:pt idx="155">
                  <c:v>7.4099999999999999E-2</c:v>
                </c:pt>
                <c:pt idx="156">
                  <c:v>7.1785000000000002E-2</c:v>
                </c:pt>
                <c:pt idx="157">
                  <c:v>8.0348000000000003E-2</c:v>
                </c:pt>
                <c:pt idx="158">
                  <c:v>8.0131999999999995E-2</c:v>
                </c:pt>
                <c:pt idx="159">
                  <c:v>7.9380000000000006E-2</c:v>
                </c:pt>
                <c:pt idx="160">
                  <c:v>8.2697999999999994E-2</c:v>
                </c:pt>
                <c:pt idx="161">
                  <c:v>8.1075999999999995E-2</c:v>
                </c:pt>
                <c:pt idx="162">
                  <c:v>7.6428999999999997E-2</c:v>
                </c:pt>
                <c:pt idx="163">
                  <c:v>7.6141E-2</c:v>
                </c:pt>
                <c:pt idx="164">
                  <c:v>8.6889999999999995E-2</c:v>
                </c:pt>
                <c:pt idx="165">
                  <c:v>8.6094000000000004E-2</c:v>
                </c:pt>
                <c:pt idx="166">
                  <c:v>9.1863E-2</c:v>
                </c:pt>
                <c:pt idx="167">
                  <c:v>9.9117999999999998E-2</c:v>
                </c:pt>
                <c:pt idx="168">
                  <c:v>0.111779</c:v>
                </c:pt>
                <c:pt idx="169">
                  <c:v>0.10109600000000001</c:v>
                </c:pt>
                <c:pt idx="170">
                  <c:v>5.2145999999999998E-2</c:v>
                </c:pt>
                <c:pt idx="171">
                  <c:v>2.9406000000000002E-2</c:v>
                </c:pt>
                <c:pt idx="172">
                  <c:v>2.2499999999999999E-2</c:v>
                </c:pt>
                <c:pt idx="173">
                  <c:v>2.4191000000000001E-2</c:v>
                </c:pt>
                <c:pt idx="174">
                  <c:v>2.3858999999999998E-2</c:v>
                </c:pt>
                <c:pt idx="175">
                  <c:v>2.3224999999999999E-2</c:v>
                </c:pt>
                <c:pt idx="176">
                  <c:v>2.2342000000000001E-2</c:v>
                </c:pt>
                <c:pt idx="177">
                  <c:v>2.0081000000000002E-2</c:v>
                </c:pt>
                <c:pt idx="178">
                  <c:v>2.0650999999999999E-2</c:v>
                </c:pt>
                <c:pt idx="179">
                  <c:v>1.9727999999999999E-2</c:v>
                </c:pt>
                <c:pt idx="180">
                  <c:v>2.0263E-2</c:v>
                </c:pt>
                <c:pt idx="181">
                  <c:v>2.0178999999999999E-2</c:v>
                </c:pt>
                <c:pt idx="182">
                  <c:v>1.9306E-2</c:v>
                </c:pt>
                <c:pt idx="183">
                  <c:v>1.9231999999999999E-2</c:v>
                </c:pt>
                <c:pt idx="184">
                  <c:v>1.9199999999999998E-2</c:v>
                </c:pt>
                <c:pt idx="185">
                  <c:v>1.9191E-2</c:v>
                </c:pt>
                <c:pt idx="186">
                  <c:v>1.9838999999999999E-2</c:v>
                </c:pt>
                <c:pt idx="187">
                  <c:v>1.9657000000000001E-2</c:v>
                </c:pt>
                <c:pt idx="188">
                  <c:v>1.9254E-2</c:v>
                </c:pt>
                <c:pt idx="189">
                  <c:v>1.9276999999999999E-2</c:v>
                </c:pt>
                <c:pt idx="190">
                  <c:v>1.9098E-2</c:v>
                </c:pt>
                <c:pt idx="191">
                  <c:v>1.6830999999999999E-2</c:v>
                </c:pt>
                <c:pt idx="192">
                  <c:v>1.7794999999999998E-2</c:v>
                </c:pt>
                <c:pt idx="193">
                  <c:v>1.9193000000000002E-2</c:v>
                </c:pt>
                <c:pt idx="194">
                  <c:v>1.9497E-2</c:v>
                </c:pt>
                <c:pt idx="195">
                  <c:v>1.8807000000000001E-2</c:v>
                </c:pt>
                <c:pt idx="196">
                  <c:v>1.7701999999999999E-2</c:v>
                </c:pt>
                <c:pt idx="197">
                  <c:v>1.8034999999999999E-2</c:v>
                </c:pt>
                <c:pt idx="198">
                  <c:v>1.8009000000000001E-2</c:v>
                </c:pt>
                <c:pt idx="199">
                  <c:v>1.8714999999999999E-2</c:v>
                </c:pt>
                <c:pt idx="200">
                  <c:v>1.9234000000000001E-2</c:v>
                </c:pt>
                <c:pt idx="201">
                  <c:v>1.8265E-2</c:v>
                </c:pt>
                <c:pt idx="202">
                  <c:v>1.8806E-2</c:v>
                </c:pt>
                <c:pt idx="203">
                  <c:v>1.7510000000000001E-2</c:v>
                </c:pt>
                <c:pt idx="204">
                  <c:v>1.9033000000000001E-2</c:v>
                </c:pt>
                <c:pt idx="205">
                  <c:v>1.9604E-2</c:v>
                </c:pt>
                <c:pt idx="206">
                  <c:v>1.9366999999999999E-2</c:v>
                </c:pt>
                <c:pt idx="207">
                  <c:v>2.0913999999999999E-2</c:v>
                </c:pt>
                <c:pt idx="208">
                  <c:v>2.1284999999999998E-2</c:v>
                </c:pt>
                <c:pt idx="209">
                  <c:v>1.9703999999999999E-2</c:v>
                </c:pt>
                <c:pt idx="210">
                  <c:v>1.9179999999999999E-2</c:v>
                </c:pt>
                <c:pt idx="211">
                  <c:v>1.9054999999999999E-2</c:v>
                </c:pt>
                <c:pt idx="212">
                  <c:v>2.0355999999999999E-2</c:v>
                </c:pt>
                <c:pt idx="213">
                  <c:v>2.1055999999999998E-2</c:v>
                </c:pt>
                <c:pt idx="214">
                  <c:v>1.5990000000000001E-2</c:v>
                </c:pt>
                <c:pt idx="215">
                  <c:v>1.5486E-2</c:v>
                </c:pt>
                <c:pt idx="216">
                  <c:v>1.4858E-2</c:v>
                </c:pt>
                <c:pt idx="217">
                  <c:v>1.6528999999999999E-2</c:v>
                </c:pt>
                <c:pt idx="218">
                  <c:v>1.5889E-2</c:v>
                </c:pt>
                <c:pt idx="219">
                  <c:v>1.5011E-2</c:v>
                </c:pt>
                <c:pt idx="220">
                  <c:v>1.5422999999999999E-2</c:v>
                </c:pt>
                <c:pt idx="221">
                  <c:v>2.0275000000000001E-2</c:v>
                </c:pt>
                <c:pt idx="222">
                  <c:v>2.0507999999999998E-2</c:v>
                </c:pt>
                <c:pt idx="223">
                  <c:v>2.0528000000000001E-2</c:v>
                </c:pt>
                <c:pt idx="224">
                  <c:v>2.2346999999999999E-2</c:v>
                </c:pt>
                <c:pt idx="225">
                  <c:v>2.2468999999999999E-2</c:v>
                </c:pt>
                <c:pt idx="226">
                  <c:v>2.4038E-2</c:v>
                </c:pt>
                <c:pt idx="227">
                  <c:v>2.5360000000000001E-2</c:v>
                </c:pt>
                <c:pt idx="228">
                  <c:v>2.3156E-2</c:v>
                </c:pt>
                <c:pt idx="229">
                  <c:v>2.2061999999999998E-2</c:v>
                </c:pt>
                <c:pt idx="230">
                  <c:v>2.3269000000000001E-2</c:v>
                </c:pt>
                <c:pt idx="231">
                  <c:v>2.4864000000000001E-2</c:v>
                </c:pt>
                <c:pt idx="232">
                  <c:v>2.7713000000000002E-2</c:v>
                </c:pt>
                <c:pt idx="233">
                  <c:v>2.3820000000000001E-2</c:v>
                </c:pt>
                <c:pt idx="234">
                  <c:v>2.3477999999999999E-2</c:v>
                </c:pt>
                <c:pt idx="235">
                  <c:v>2.6082000000000001E-2</c:v>
                </c:pt>
                <c:pt idx="236">
                  <c:v>2.5524000000000002E-2</c:v>
                </c:pt>
                <c:pt idx="237">
                  <c:v>2.6081E-2</c:v>
                </c:pt>
                <c:pt idx="238">
                  <c:v>2.8420000000000001E-2</c:v>
                </c:pt>
                <c:pt idx="239">
                  <c:v>2.6994000000000001E-2</c:v>
                </c:pt>
                <c:pt idx="240">
                  <c:v>2.6291999999999999E-2</c:v>
                </c:pt>
                <c:pt idx="241">
                  <c:v>2.7455E-2</c:v>
                </c:pt>
                <c:pt idx="242">
                  <c:v>2.6529E-2</c:v>
                </c:pt>
                <c:pt idx="243">
                  <c:v>2.6256000000000002E-2</c:v>
                </c:pt>
                <c:pt idx="244">
                  <c:v>2.8368999999999998E-2</c:v>
                </c:pt>
                <c:pt idx="245">
                  <c:v>3.2339E-2</c:v>
                </c:pt>
                <c:pt idx="246">
                  <c:v>3.5588000000000002E-2</c:v>
                </c:pt>
                <c:pt idx="247">
                  <c:v>3.3861000000000002E-2</c:v>
                </c:pt>
                <c:pt idx="248">
                  <c:v>3.5136000000000001E-2</c:v>
                </c:pt>
                <c:pt idx="249">
                  <c:v>3.2473000000000002E-2</c:v>
                </c:pt>
                <c:pt idx="250">
                  <c:v>3.1165000000000002E-2</c:v>
                </c:pt>
                <c:pt idx="251">
                  <c:v>3.1461999999999997E-2</c:v>
                </c:pt>
                <c:pt idx="252">
                  <c:v>3.2552999999999999E-2</c:v>
                </c:pt>
                <c:pt idx="253">
                  <c:v>2.8736999999999999E-2</c:v>
                </c:pt>
                <c:pt idx="254">
                  <c:v>4.0658E-2</c:v>
                </c:pt>
                <c:pt idx="255">
                  <c:v>3.9529000000000002E-2</c:v>
                </c:pt>
                <c:pt idx="256">
                  <c:v>4.6981000000000002E-2</c:v>
                </c:pt>
                <c:pt idx="257">
                  <c:v>4.2412999999999999E-2</c:v>
                </c:pt>
                <c:pt idx="258">
                  <c:v>4.5007999999999999E-2</c:v>
                </c:pt>
                <c:pt idx="259">
                  <c:v>4.2263000000000002E-2</c:v>
                </c:pt>
                <c:pt idx="260">
                  <c:v>4.2848999999999998E-2</c:v>
                </c:pt>
                <c:pt idx="261">
                  <c:v>5.0705E-2</c:v>
                </c:pt>
                <c:pt idx="262">
                  <c:v>4.8980000000000003E-2</c:v>
                </c:pt>
                <c:pt idx="263">
                  <c:v>5.2726000000000002E-2</c:v>
                </c:pt>
                <c:pt idx="264">
                  <c:v>5.3322000000000001E-2</c:v>
                </c:pt>
                <c:pt idx="265">
                  <c:v>5.3612E-2</c:v>
                </c:pt>
                <c:pt idx="266">
                  <c:v>5.2699999999999997E-2</c:v>
                </c:pt>
                <c:pt idx="267">
                  <c:v>5.7001000000000003E-2</c:v>
                </c:pt>
                <c:pt idx="268">
                  <c:v>5.3504999999999997E-2</c:v>
                </c:pt>
                <c:pt idx="269">
                  <c:v>6.1461000000000002E-2</c:v>
                </c:pt>
                <c:pt idx="270">
                  <c:v>6.3836000000000004E-2</c:v>
                </c:pt>
                <c:pt idx="271">
                  <c:v>6.5985000000000002E-2</c:v>
                </c:pt>
                <c:pt idx="272">
                  <c:v>7.9000000000000001E-2</c:v>
                </c:pt>
                <c:pt idx="273">
                  <c:v>5.1737999999999999E-2</c:v>
                </c:pt>
                <c:pt idx="274">
                  <c:v>4.8867000000000001E-2</c:v>
                </c:pt>
                <c:pt idx="275">
                  <c:v>5.1499999999999997E-2</c:v>
                </c:pt>
                <c:pt idx="276">
                  <c:v>4.4005000000000002E-2</c:v>
                </c:pt>
                <c:pt idx="277">
                  <c:v>3.3656999999999999E-2</c:v>
                </c:pt>
                <c:pt idx="278">
                  <c:v>3.5229000000000003E-2</c:v>
                </c:pt>
                <c:pt idx="279">
                  <c:v>3.7870000000000001E-2</c:v>
                </c:pt>
                <c:pt idx="280">
                  <c:v>3.8136999999999997E-2</c:v>
                </c:pt>
                <c:pt idx="281">
                  <c:v>4.0776E-2</c:v>
                </c:pt>
                <c:pt idx="282">
                  <c:v>4.3161999999999999E-2</c:v>
                </c:pt>
                <c:pt idx="283">
                  <c:v>4.3552E-2</c:v>
                </c:pt>
                <c:pt idx="284">
                  <c:v>4.2726E-2</c:v>
                </c:pt>
                <c:pt idx="285">
                  <c:v>4.9561000000000001E-2</c:v>
                </c:pt>
                <c:pt idx="286">
                  <c:v>4.9102E-2</c:v>
                </c:pt>
                <c:pt idx="287">
                  <c:v>5.2075999999999997E-2</c:v>
                </c:pt>
                <c:pt idx="288">
                  <c:v>4.7667000000000001E-2</c:v>
                </c:pt>
                <c:pt idx="289">
                  <c:v>4.7101999999999998E-2</c:v>
                </c:pt>
                <c:pt idx="290">
                  <c:v>4.8662999999999998E-2</c:v>
                </c:pt>
                <c:pt idx="291">
                  <c:v>5.0201999999999997E-2</c:v>
                </c:pt>
                <c:pt idx="292">
                  <c:v>0.05</c:v>
                </c:pt>
                <c:pt idx="293">
                  <c:v>5.2657000000000002E-2</c:v>
                </c:pt>
                <c:pt idx="294">
                  <c:v>4.8839E-2</c:v>
                </c:pt>
                <c:pt idx="295">
                  <c:v>4.5990999999999997E-2</c:v>
                </c:pt>
                <c:pt idx="296">
                  <c:v>5.2186999999999997E-2</c:v>
                </c:pt>
                <c:pt idx="297">
                  <c:v>4.9414E-2</c:v>
                </c:pt>
                <c:pt idx="298">
                  <c:v>5.0899E-2</c:v>
                </c:pt>
                <c:pt idx="299">
                  <c:v>5.1683E-2</c:v>
                </c:pt>
                <c:pt idx="300">
                  <c:v>5.0270000000000002E-2</c:v>
                </c:pt>
                <c:pt idx="301">
                  <c:v>4.8175999999999997E-2</c:v>
                </c:pt>
                <c:pt idx="302">
                  <c:v>4.5573000000000002E-2</c:v>
                </c:pt>
                <c:pt idx="303">
                  <c:v>4.8446999999999997E-2</c:v>
                </c:pt>
                <c:pt idx="304">
                  <c:v>4.2387000000000001E-2</c:v>
                </c:pt>
                <c:pt idx="305">
                  <c:v>4.1426999999999999E-2</c:v>
                </c:pt>
                <c:pt idx="306">
                  <c:v>4.1070000000000002E-2</c:v>
                </c:pt>
                <c:pt idx="307">
                  <c:v>4.0510999999999998E-2</c:v>
                </c:pt>
                <c:pt idx="308">
                  <c:v>3.6722999999999999E-2</c:v>
                </c:pt>
                <c:pt idx="309">
                  <c:v>3.7023E-2</c:v>
                </c:pt>
                <c:pt idx="310">
                  <c:v>3.8958E-2</c:v>
                </c:pt>
                <c:pt idx="311">
                  <c:v>3.9961000000000003E-2</c:v>
                </c:pt>
                <c:pt idx="312">
                  <c:v>4.3228999999999997E-2</c:v>
                </c:pt>
                <c:pt idx="313">
                  <c:v>4.4220000000000002E-2</c:v>
                </c:pt>
                <c:pt idx="314">
                  <c:v>4.6351999999999997E-2</c:v>
                </c:pt>
                <c:pt idx="315">
                  <c:v>4.5414999999999997E-2</c:v>
                </c:pt>
                <c:pt idx="316">
                  <c:v>4.4810999999999997E-2</c:v>
                </c:pt>
                <c:pt idx="317">
                  <c:v>4.3011000000000001E-2</c:v>
                </c:pt>
                <c:pt idx="318">
                  <c:v>4.5302000000000002E-2</c:v>
                </c:pt>
                <c:pt idx="319">
                  <c:v>4.9299999999999997E-2</c:v>
                </c:pt>
                <c:pt idx="320">
                  <c:v>4.4518000000000002E-2</c:v>
                </c:pt>
                <c:pt idx="321">
                  <c:v>3.4639999999999997E-2</c:v>
                </c:pt>
                <c:pt idx="322">
                  <c:v>3.7983999999999997E-2</c:v>
                </c:pt>
                <c:pt idx="323">
                  <c:v>3.5614E-2</c:v>
                </c:pt>
                <c:pt idx="324">
                  <c:v>3.4728000000000002E-2</c:v>
                </c:pt>
                <c:pt idx="325">
                  <c:v>2.8086E-2</c:v>
                </c:pt>
                <c:pt idx="326">
                  <c:v>2.6872E-2</c:v>
                </c:pt>
                <c:pt idx="327">
                  <c:v>2.7536000000000001E-2</c:v>
                </c:pt>
                <c:pt idx="328">
                  <c:v>2.7997999999999999E-2</c:v>
                </c:pt>
                <c:pt idx="329">
                  <c:v>2.7290999999999999E-2</c:v>
                </c:pt>
                <c:pt idx="330">
                  <c:v>3.0535E-2</c:v>
                </c:pt>
                <c:pt idx="331">
                  <c:v>2.5075E-2</c:v>
                </c:pt>
                <c:pt idx="332">
                  <c:v>2.5718000000000001E-2</c:v>
                </c:pt>
                <c:pt idx="333">
                  <c:v>2.06E-2</c:v>
                </c:pt>
                <c:pt idx="334">
                  <c:v>2.3272999999999999E-2</c:v>
                </c:pt>
                <c:pt idx="335">
                  <c:v>1.9848000000000001E-2</c:v>
                </c:pt>
                <c:pt idx="336">
                  <c:v>2.1357999999999999E-2</c:v>
                </c:pt>
                <c:pt idx="337">
                  <c:v>2.2346000000000001E-2</c:v>
                </c:pt>
                <c:pt idx="338">
                  <c:v>2.1999999999999999E-2</c:v>
                </c:pt>
                <c:pt idx="339">
                  <c:v>2.6963999999999998E-2</c:v>
                </c:pt>
                <c:pt idx="340">
                  <c:v>2.7976999999999998E-2</c:v>
                </c:pt>
                <c:pt idx="341">
                  <c:v>2.5197000000000001E-2</c:v>
                </c:pt>
                <c:pt idx="342">
                  <c:v>2.47E-2</c:v>
                </c:pt>
                <c:pt idx="343">
                  <c:v>2.6030000000000001E-2</c:v>
                </c:pt>
                <c:pt idx="344">
                  <c:v>2.5579999999999999E-2</c:v>
                </c:pt>
                <c:pt idx="345">
                  <c:v>2.5035999999999999E-2</c:v>
                </c:pt>
                <c:pt idx="346">
                  <c:v>2.2124999999999999E-2</c:v>
                </c:pt>
                <c:pt idx="347">
                  <c:v>2.5322000000000001E-2</c:v>
                </c:pt>
                <c:pt idx="348">
                  <c:v>2.7272000000000001E-2</c:v>
                </c:pt>
                <c:pt idx="349">
                  <c:v>2.9267999999999999E-2</c:v>
                </c:pt>
                <c:pt idx="350">
                  <c:v>2.0454E-2</c:v>
                </c:pt>
                <c:pt idx="351">
                  <c:v>1.6175999999999999E-2</c:v>
                </c:pt>
                <c:pt idx="352">
                  <c:v>1.5778E-2</c:v>
                </c:pt>
                <c:pt idx="353">
                  <c:v>1.4113000000000001E-2</c:v>
                </c:pt>
                <c:pt idx="354">
                  <c:v>1.3308E-2</c:v>
                </c:pt>
                <c:pt idx="355">
                  <c:v>1.3559E-2</c:v>
                </c:pt>
                <c:pt idx="356">
                  <c:v>1.4134000000000001E-2</c:v>
                </c:pt>
                <c:pt idx="357">
                  <c:v>1.18E-2</c:v>
                </c:pt>
                <c:pt idx="358">
                  <c:v>1.2194E-2</c:v>
                </c:pt>
                <c:pt idx="359">
                  <c:v>1.1705999999999999E-2</c:v>
                </c:pt>
                <c:pt idx="360">
                  <c:v>1.1401E-2</c:v>
                </c:pt>
                <c:pt idx="361">
                  <c:v>1.1453E-2</c:v>
                </c:pt>
                <c:pt idx="362">
                  <c:v>1.1199000000000001E-2</c:v>
                </c:pt>
                <c:pt idx="363">
                  <c:v>1.1136E-2</c:v>
                </c:pt>
                <c:pt idx="364">
                  <c:v>1.1002E-2</c:v>
                </c:pt>
                <c:pt idx="365">
                  <c:v>1.1797E-2</c:v>
                </c:pt>
                <c:pt idx="366">
                  <c:v>9.639E-3</c:v>
                </c:pt>
                <c:pt idx="367">
                  <c:v>9.2750000000000003E-3</c:v>
                </c:pt>
                <c:pt idx="368">
                  <c:v>9.4000000000000004E-3</c:v>
                </c:pt>
                <c:pt idx="369">
                  <c:v>9.6830000000000006E-3</c:v>
                </c:pt>
                <c:pt idx="370">
                  <c:v>1.0344000000000001E-2</c:v>
                </c:pt>
                <c:pt idx="371">
                  <c:v>7.7600000000000004E-3</c:v>
                </c:pt>
                <c:pt idx="372">
                  <c:v>8.7889999999999999E-3</c:v>
                </c:pt>
                <c:pt idx="373">
                  <c:v>9.0919999999999994E-3</c:v>
                </c:pt>
                <c:pt idx="374">
                  <c:v>8.5140000000000007E-3</c:v>
                </c:pt>
                <c:pt idx="375">
                  <c:v>8.8909999999999996E-3</c:v>
                </c:pt>
                <c:pt idx="376">
                  <c:v>8.1720000000000004E-3</c:v>
                </c:pt>
                <c:pt idx="377">
                  <c:v>8.0879999999999997E-3</c:v>
                </c:pt>
                <c:pt idx="378">
                  <c:v>7.3020000000000003E-3</c:v>
                </c:pt>
                <c:pt idx="379">
                  <c:v>7.0600000000000003E-3</c:v>
                </c:pt>
                <c:pt idx="380">
                  <c:v>6.8190000000000004E-3</c:v>
                </c:pt>
                <c:pt idx="381">
                  <c:v>6.9350000000000002E-3</c:v>
                </c:pt>
                <c:pt idx="382">
                  <c:v>7.5310000000000004E-3</c:v>
                </c:pt>
                <c:pt idx="383">
                  <c:v>7.9059999999999998E-3</c:v>
                </c:pt>
                <c:pt idx="384">
                  <c:v>7.1510000000000002E-3</c:v>
                </c:pt>
                <c:pt idx="385">
                  <c:v>7.3090000000000004E-3</c:v>
                </c:pt>
                <c:pt idx="386">
                  <c:v>7.3740000000000003E-3</c:v>
                </c:pt>
                <c:pt idx="387">
                  <c:v>6.8599999999999998E-3</c:v>
                </c:pt>
                <c:pt idx="388">
                  <c:v>6.5160000000000001E-3</c:v>
                </c:pt>
                <c:pt idx="389">
                  <c:v>6.7359999999999998E-3</c:v>
                </c:pt>
                <c:pt idx="390">
                  <c:v>6.6420000000000003E-3</c:v>
                </c:pt>
                <c:pt idx="391">
                  <c:v>6.6020000000000002E-3</c:v>
                </c:pt>
                <c:pt idx="392">
                  <c:v>6.3720000000000001E-3</c:v>
                </c:pt>
                <c:pt idx="393">
                  <c:v>6.6629999999999997E-3</c:v>
                </c:pt>
                <c:pt idx="394">
                  <c:v>6.5839999999999996E-3</c:v>
                </c:pt>
                <c:pt idx="395">
                  <c:v>6.5209999999999999E-3</c:v>
                </c:pt>
                <c:pt idx="396">
                  <c:v>6.7489999999999998E-3</c:v>
                </c:pt>
                <c:pt idx="397">
                  <c:v>6.8770000000000003E-3</c:v>
                </c:pt>
                <c:pt idx="398">
                  <c:v>6.5579999999999996E-3</c:v>
                </c:pt>
                <c:pt idx="399">
                  <c:v>6.6639999999999998E-3</c:v>
                </c:pt>
                <c:pt idx="400">
                  <c:v>5.9490000000000003E-3</c:v>
                </c:pt>
                <c:pt idx="401">
                  <c:v>7.0400000000000003E-3</c:v>
                </c:pt>
                <c:pt idx="402">
                  <c:v>7.2090000000000001E-3</c:v>
                </c:pt>
                <c:pt idx="403">
                  <c:v>7.2719999999999998E-3</c:v>
                </c:pt>
                <c:pt idx="404">
                  <c:v>6.9249999999999997E-3</c:v>
                </c:pt>
                <c:pt idx="405">
                  <c:v>7.2899999999999996E-3</c:v>
                </c:pt>
                <c:pt idx="406">
                  <c:v>6.8190000000000004E-3</c:v>
                </c:pt>
                <c:pt idx="407">
                  <c:v>7.0000000000000001E-3</c:v>
                </c:pt>
                <c:pt idx="408">
                  <c:v>7.0299999999999998E-3</c:v>
                </c:pt>
                <c:pt idx="409">
                  <c:v>7.4229999999999999E-3</c:v>
                </c:pt>
                <c:pt idx="410">
                  <c:v>7.1139999999999997E-3</c:v>
                </c:pt>
                <c:pt idx="411">
                  <c:v>7.0720000000000002E-3</c:v>
                </c:pt>
                <c:pt idx="412">
                  <c:v>7.0569999999999999E-3</c:v>
                </c:pt>
                <c:pt idx="413">
                  <c:v>6.7869999999999996E-3</c:v>
                </c:pt>
                <c:pt idx="414">
                  <c:v>7.0140000000000003E-3</c:v>
                </c:pt>
                <c:pt idx="415">
                  <c:v>6.6579999999999999E-3</c:v>
                </c:pt>
                <c:pt idx="416">
                  <c:v>7.1720000000000004E-3</c:v>
                </c:pt>
                <c:pt idx="417">
                  <c:v>7.3489999999999996E-3</c:v>
                </c:pt>
                <c:pt idx="418">
                  <c:v>7.5500000000000003E-3</c:v>
                </c:pt>
                <c:pt idx="419">
                  <c:v>7.0569999999999999E-3</c:v>
                </c:pt>
                <c:pt idx="420">
                  <c:v>7.7770000000000001E-3</c:v>
                </c:pt>
                <c:pt idx="421">
                  <c:v>8.0929999999999995E-3</c:v>
                </c:pt>
                <c:pt idx="422">
                  <c:v>7.6400000000000001E-3</c:v>
                </c:pt>
                <c:pt idx="423">
                  <c:v>7.9660000000000009E-3</c:v>
                </c:pt>
                <c:pt idx="424">
                  <c:v>7.5389999999999997E-3</c:v>
                </c:pt>
                <c:pt idx="425">
                  <c:v>7.5630000000000003E-3</c:v>
                </c:pt>
                <c:pt idx="426">
                  <c:v>7.4700000000000001E-3</c:v>
                </c:pt>
                <c:pt idx="427">
                  <c:v>7.4780000000000003E-3</c:v>
                </c:pt>
                <c:pt idx="428">
                  <c:v>8.5909999999999997E-3</c:v>
                </c:pt>
                <c:pt idx="429">
                  <c:v>8.8999999999999999E-3</c:v>
                </c:pt>
                <c:pt idx="430">
                  <c:v>8.1499999999999993E-3</c:v>
                </c:pt>
                <c:pt idx="431">
                  <c:v>7.7710000000000001E-3</c:v>
                </c:pt>
                <c:pt idx="432">
                  <c:v>7.9450000000000007E-3</c:v>
                </c:pt>
                <c:pt idx="433">
                  <c:v>7.4989999999999996E-3</c:v>
                </c:pt>
                <c:pt idx="434">
                  <c:v>7.3689999999999997E-3</c:v>
                </c:pt>
                <c:pt idx="435">
                  <c:v>7.4660000000000004E-3</c:v>
                </c:pt>
                <c:pt idx="436">
                  <c:v>7.7910000000000002E-3</c:v>
                </c:pt>
                <c:pt idx="437">
                  <c:v>7.8200000000000006E-3</c:v>
                </c:pt>
                <c:pt idx="438">
                  <c:v>7.7520000000000002E-3</c:v>
                </c:pt>
                <c:pt idx="439">
                  <c:v>7.8729999999999998E-3</c:v>
                </c:pt>
                <c:pt idx="440">
                  <c:v>8.0730000000000003E-3</c:v>
                </c:pt>
                <c:pt idx="441">
                  <c:v>8.0579999999999992E-3</c:v>
                </c:pt>
                <c:pt idx="442">
                  <c:v>8.182E-3</c:v>
                </c:pt>
                <c:pt idx="443">
                  <c:v>8.4290000000000007E-3</c:v>
                </c:pt>
                <c:pt idx="444">
                  <c:v>7.6670000000000002E-3</c:v>
                </c:pt>
                <c:pt idx="445">
                  <c:v>7.9279999999999993E-3</c:v>
                </c:pt>
                <c:pt idx="446">
                  <c:v>7.4970000000000002E-3</c:v>
                </c:pt>
                <c:pt idx="447">
                  <c:v>8.0479999999999996E-3</c:v>
                </c:pt>
                <c:pt idx="448">
                  <c:v>7.698E-3</c:v>
                </c:pt>
                <c:pt idx="449">
                  <c:v>7.5820000000000002E-3</c:v>
                </c:pt>
                <c:pt idx="450">
                  <c:v>7.3480000000000004E-3</c:v>
                </c:pt>
                <c:pt idx="451">
                  <c:v>7.208E-3</c:v>
                </c:pt>
                <c:pt idx="452">
                  <c:v>7.4180000000000001E-3</c:v>
                </c:pt>
                <c:pt idx="453">
                  <c:v>7.4149999999999997E-3</c:v>
                </c:pt>
                <c:pt idx="454">
                  <c:v>7.4700000000000001E-3</c:v>
                </c:pt>
                <c:pt idx="455">
                  <c:v>7.2439999999999996E-3</c:v>
                </c:pt>
                <c:pt idx="456">
                  <c:v>7.3540000000000003E-3</c:v>
                </c:pt>
                <c:pt idx="457">
                  <c:v>6.7000000000000002E-3</c:v>
                </c:pt>
                <c:pt idx="458">
                  <c:v>6.8760000000000002E-3</c:v>
                </c:pt>
                <c:pt idx="459">
                  <c:v>7.0270000000000003E-3</c:v>
                </c:pt>
                <c:pt idx="460">
                  <c:v>7.1050000000000002E-3</c:v>
                </c:pt>
                <c:pt idx="461">
                  <c:v>6.3530000000000001E-3</c:v>
                </c:pt>
                <c:pt idx="462">
                  <c:v>6.1139999999999996E-3</c:v>
                </c:pt>
                <c:pt idx="463">
                  <c:v>6.149E-3</c:v>
                </c:pt>
                <c:pt idx="464">
                  <c:v>5.829E-3</c:v>
                </c:pt>
                <c:pt idx="465">
                  <c:v>6.3689999999999997E-3</c:v>
                </c:pt>
                <c:pt idx="466">
                  <c:v>5.7499999999999999E-3</c:v>
                </c:pt>
                <c:pt idx="467">
                  <c:v>5.8640000000000003E-3</c:v>
                </c:pt>
                <c:pt idx="468">
                  <c:v>5.6280000000000002E-3</c:v>
                </c:pt>
                <c:pt idx="469">
                  <c:v>6.2659999999999999E-3</c:v>
                </c:pt>
                <c:pt idx="470">
                  <c:v>6.6020000000000002E-3</c:v>
                </c:pt>
                <c:pt idx="471">
                  <c:v>6.8050000000000003E-3</c:v>
                </c:pt>
                <c:pt idx="472">
                  <c:v>7.1390000000000004E-3</c:v>
                </c:pt>
                <c:pt idx="473">
                  <c:v>6.8180000000000003E-3</c:v>
                </c:pt>
                <c:pt idx="474">
                  <c:v>6.8380000000000003E-3</c:v>
                </c:pt>
                <c:pt idx="475">
                  <c:v>7.3150000000000003E-3</c:v>
                </c:pt>
                <c:pt idx="476">
                  <c:v>6.9699999999999996E-3</c:v>
                </c:pt>
                <c:pt idx="477">
                  <c:v>6.8510000000000003E-3</c:v>
                </c:pt>
                <c:pt idx="478">
                  <c:v>6.7739999999999996E-3</c:v>
                </c:pt>
                <c:pt idx="479">
                  <c:v>7.365E-3</c:v>
                </c:pt>
                <c:pt idx="480">
                  <c:v>7.2680000000000002E-3</c:v>
                </c:pt>
                <c:pt idx="481">
                  <c:v>7.1520000000000004E-3</c:v>
                </c:pt>
                <c:pt idx="482">
                  <c:v>7.1809999999999999E-3</c:v>
                </c:pt>
                <c:pt idx="483">
                  <c:v>7.5269999999999998E-3</c:v>
                </c:pt>
                <c:pt idx="484">
                  <c:v>8.0750000000000006E-3</c:v>
                </c:pt>
                <c:pt idx="485">
                  <c:v>8.3239999999999998E-3</c:v>
                </c:pt>
                <c:pt idx="486">
                  <c:v>7.7530000000000003E-3</c:v>
                </c:pt>
                <c:pt idx="487">
                  <c:v>7.9579999999999998E-3</c:v>
                </c:pt>
                <c:pt idx="488">
                  <c:v>8.1049999999999994E-3</c:v>
                </c:pt>
                <c:pt idx="489">
                  <c:v>8.1329999999999996E-3</c:v>
                </c:pt>
                <c:pt idx="490">
                  <c:v>8.4829999999999992E-3</c:v>
                </c:pt>
                <c:pt idx="491">
                  <c:v>7.4019999999999997E-3</c:v>
                </c:pt>
                <c:pt idx="492">
                  <c:v>8.3770000000000008E-3</c:v>
                </c:pt>
                <c:pt idx="493">
                  <c:v>8.4320000000000003E-3</c:v>
                </c:pt>
                <c:pt idx="494">
                  <c:v>8.4049999999999993E-3</c:v>
                </c:pt>
                <c:pt idx="495">
                  <c:v>9.3609999999999995E-3</c:v>
                </c:pt>
                <c:pt idx="496">
                  <c:v>9.1249999999999994E-3</c:v>
                </c:pt>
                <c:pt idx="497">
                  <c:v>9.0930000000000004E-3</c:v>
                </c:pt>
                <c:pt idx="498">
                  <c:v>9.4990000000000005E-3</c:v>
                </c:pt>
                <c:pt idx="499">
                  <c:v>9.3950000000000006E-3</c:v>
                </c:pt>
                <c:pt idx="500">
                  <c:v>1.0576E-2</c:v>
                </c:pt>
                <c:pt idx="501">
                  <c:v>1.0061E-2</c:v>
                </c:pt>
                <c:pt idx="502">
                  <c:v>1.1885E-2</c:v>
                </c:pt>
                <c:pt idx="503">
                  <c:v>1.0892000000000001E-2</c:v>
                </c:pt>
                <c:pt idx="504">
                  <c:v>1.0944000000000001E-2</c:v>
                </c:pt>
                <c:pt idx="505">
                  <c:v>1.0893E-2</c:v>
                </c:pt>
                <c:pt idx="506">
                  <c:v>1.0515999999999999E-2</c:v>
                </c:pt>
                <c:pt idx="507">
                  <c:v>9.2270000000000008E-3</c:v>
                </c:pt>
                <c:pt idx="508">
                  <c:v>8.7200000000000003E-3</c:v>
                </c:pt>
                <c:pt idx="509">
                  <c:v>8.4119999999999993E-3</c:v>
                </c:pt>
                <c:pt idx="510">
                  <c:v>9.0629999999999999E-3</c:v>
                </c:pt>
                <c:pt idx="511">
                  <c:v>8.1860000000000006E-3</c:v>
                </c:pt>
                <c:pt idx="512">
                  <c:v>9.7040000000000008E-3</c:v>
                </c:pt>
                <c:pt idx="513">
                  <c:v>1.0114E-2</c:v>
                </c:pt>
                <c:pt idx="514">
                  <c:v>1.1449000000000001E-2</c:v>
                </c:pt>
                <c:pt idx="515">
                  <c:v>1.0992999999999999E-2</c:v>
                </c:pt>
                <c:pt idx="516">
                  <c:v>1.1767E-2</c:v>
                </c:pt>
                <c:pt idx="517">
                  <c:v>9.9439999999999997E-3</c:v>
                </c:pt>
                <c:pt idx="518">
                  <c:v>9.3860000000000002E-3</c:v>
                </c:pt>
                <c:pt idx="519">
                  <c:v>8.2880000000000002E-3</c:v>
                </c:pt>
                <c:pt idx="520">
                  <c:v>8.2050000000000005E-3</c:v>
                </c:pt>
                <c:pt idx="521">
                  <c:v>8.6060000000000008E-3</c:v>
                </c:pt>
                <c:pt idx="522">
                  <c:v>8.4239999999999992E-3</c:v>
                </c:pt>
                <c:pt idx="523">
                  <c:v>8.4489999999999999E-3</c:v>
                </c:pt>
                <c:pt idx="524">
                  <c:v>8.1890000000000001E-3</c:v>
                </c:pt>
                <c:pt idx="525">
                  <c:v>8.7089999999999997E-3</c:v>
                </c:pt>
                <c:pt idx="526">
                  <c:v>8.7539999999999996E-3</c:v>
                </c:pt>
                <c:pt idx="527">
                  <c:v>9.1059999999999995E-3</c:v>
                </c:pt>
                <c:pt idx="528">
                  <c:v>9.1310000000000002E-3</c:v>
                </c:pt>
                <c:pt idx="529">
                  <c:v>9.2350000000000002E-3</c:v>
                </c:pt>
                <c:pt idx="530">
                  <c:v>9.1380000000000003E-3</c:v>
                </c:pt>
                <c:pt idx="531">
                  <c:v>9.0880000000000006E-3</c:v>
                </c:pt>
                <c:pt idx="532">
                  <c:v>8.5470000000000008E-3</c:v>
                </c:pt>
                <c:pt idx="533">
                  <c:v>8.9949999999999995E-3</c:v>
                </c:pt>
                <c:pt idx="534">
                  <c:v>8.7749999999999998E-3</c:v>
                </c:pt>
                <c:pt idx="535">
                  <c:v>9.3509999999999999E-3</c:v>
                </c:pt>
                <c:pt idx="536">
                  <c:v>8.482E-3</c:v>
                </c:pt>
                <c:pt idx="537">
                  <c:v>7.9979999999999999E-3</c:v>
                </c:pt>
                <c:pt idx="538">
                  <c:v>7.6779999999999999E-3</c:v>
                </c:pt>
                <c:pt idx="539">
                  <c:v>7.0780000000000001E-3</c:v>
                </c:pt>
                <c:pt idx="540">
                  <c:v>6.8459999999999997E-3</c:v>
                </c:pt>
                <c:pt idx="541">
                  <c:v>6.9389999999999999E-3</c:v>
                </c:pt>
                <c:pt idx="542">
                  <c:v>6.6059999999999999E-3</c:v>
                </c:pt>
                <c:pt idx="543">
                  <c:v>6.6499999999999997E-3</c:v>
                </c:pt>
                <c:pt idx="544">
                  <c:v>7.195E-3</c:v>
                </c:pt>
                <c:pt idx="545">
                  <c:v>7.0489999999999997E-3</c:v>
                </c:pt>
                <c:pt idx="546">
                  <c:v>7.3210000000000003E-3</c:v>
                </c:pt>
                <c:pt idx="547">
                  <c:v>7.3709999999999999E-3</c:v>
                </c:pt>
                <c:pt idx="548">
                  <c:v>6.927E-3</c:v>
                </c:pt>
                <c:pt idx="549">
                  <c:v>6.5120000000000004E-3</c:v>
                </c:pt>
                <c:pt idx="550">
                  <c:v>7.3130000000000001E-3</c:v>
                </c:pt>
                <c:pt idx="551">
                  <c:v>7.7929999999999996E-3</c:v>
                </c:pt>
                <c:pt idx="552">
                  <c:v>8.1980000000000004E-3</c:v>
                </c:pt>
                <c:pt idx="553">
                  <c:v>7.633E-3</c:v>
                </c:pt>
                <c:pt idx="554">
                  <c:v>6.7749999999999998E-3</c:v>
                </c:pt>
                <c:pt idx="555">
                  <c:v>6.437E-3</c:v>
                </c:pt>
                <c:pt idx="556">
                  <c:v>6.3480000000000003E-3</c:v>
                </c:pt>
                <c:pt idx="557">
                  <c:v>6.417E-3</c:v>
                </c:pt>
                <c:pt idx="558">
                  <c:v>6.2639999999999996E-3</c:v>
                </c:pt>
                <c:pt idx="559">
                  <c:v>6.4219999999999998E-3</c:v>
                </c:pt>
                <c:pt idx="560">
                  <c:v>6.1640000000000002E-3</c:v>
                </c:pt>
                <c:pt idx="561">
                  <c:v>6.3400000000000001E-3</c:v>
                </c:pt>
                <c:pt idx="562">
                  <c:v>6.4009999999999996E-3</c:v>
                </c:pt>
                <c:pt idx="563">
                  <c:v>6.3249999999999999E-3</c:v>
                </c:pt>
                <c:pt idx="564">
                  <c:v>6.9589999999999999E-3</c:v>
                </c:pt>
                <c:pt idx="565">
                  <c:v>6.1679999999999999E-3</c:v>
                </c:pt>
                <c:pt idx="566">
                  <c:v>6.2269999999999999E-3</c:v>
                </c:pt>
                <c:pt idx="567">
                  <c:v>5.6610000000000002E-3</c:v>
                </c:pt>
                <c:pt idx="568">
                  <c:v>5.8199999999999997E-3</c:v>
                </c:pt>
                <c:pt idx="569">
                  <c:v>5.8190000000000004E-3</c:v>
                </c:pt>
                <c:pt idx="570">
                  <c:v>6.0889999999999998E-3</c:v>
                </c:pt>
                <c:pt idx="571">
                  <c:v>5.3749999999999996E-3</c:v>
                </c:pt>
                <c:pt idx="572">
                  <c:v>5.8300000000000001E-3</c:v>
                </c:pt>
                <c:pt idx="573">
                  <c:v>5.8100000000000001E-3</c:v>
                </c:pt>
                <c:pt idx="574">
                  <c:v>5.1659999999999996E-3</c:v>
                </c:pt>
                <c:pt idx="575">
                  <c:v>4.8129999999999996E-3</c:v>
                </c:pt>
                <c:pt idx="576">
                  <c:v>4.8560000000000001E-3</c:v>
                </c:pt>
                <c:pt idx="577">
                  <c:v>4.8170000000000001E-3</c:v>
                </c:pt>
                <c:pt idx="578">
                  <c:v>4.5779999999999996E-3</c:v>
                </c:pt>
                <c:pt idx="579">
                  <c:v>4.6420000000000003E-3</c:v>
                </c:pt>
                <c:pt idx="580">
                  <c:v>4.6239999999999996E-3</c:v>
                </c:pt>
                <c:pt idx="581">
                  <c:v>4.7829999999999999E-3</c:v>
                </c:pt>
                <c:pt idx="582">
                  <c:v>5.13E-3</c:v>
                </c:pt>
                <c:pt idx="583">
                  <c:v>5.3439999999999998E-3</c:v>
                </c:pt>
                <c:pt idx="584">
                  <c:v>5.2059999999999997E-3</c:v>
                </c:pt>
                <c:pt idx="585">
                  <c:v>5.1960000000000001E-3</c:v>
                </c:pt>
                <c:pt idx="586">
                  <c:v>5.3150000000000003E-3</c:v>
                </c:pt>
                <c:pt idx="587">
                  <c:v>5.437E-3</c:v>
                </c:pt>
                <c:pt idx="588">
                  <c:v>5.424E-3</c:v>
                </c:pt>
                <c:pt idx="589">
                  <c:v>5.391E-3</c:v>
                </c:pt>
                <c:pt idx="590">
                  <c:v>5.5669999999999999E-3</c:v>
                </c:pt>
                <c:pt idx="591">
                  <c:v>4.9069999999999999E-3</c:v>
                </c:pt>
                <c:pt idx="592">
                  <c:v>4.973E-3</c:v>
                </c:pt>
                <c:pt idx="593">
                  <c:v>5.2639999999999996E-3</c:v>
                </c:pt>
                <c:pt idx="594">
                  <c:v>4.8729999999999997E-3</c:v>
                </c:pt>
                <c:pt idx="595">
                  <c:v>4.5019999999999999E-3</c:v>
                </c:pt>
                <c:pt idx="596">
                  <c:v>5.189E-3</c:v>
                </c:pt>
                <c:pt idx="597">
                  <c:v>5.1479999999999998E-3</c:v>
                </c:pt>
                <c:pt idx="598">
                  <c:v>5.3740000000000003E-3</c:v>
                </c:pt>
                <c:pt idx="599">
                  <c:v>5.6340000000000001E-3</c:v>
                </c:pt>
                <c:pt idx="600">
                  <c:v>5.3220000000000003E-3</c:v>
                </c:pt>
                <c:pt idx="601">
                  <c:v>4.6449999999999998E-3</c:v>
                </c:pt>
                <c:pt idx="602">
                  <c:v>4.6509999999999998E-3</c:v>
                </c:pt>
                <c:pt idx="603">
                  <c:v>4.6189999999999998E-3</c:v>
                </c:pt>
                <c:pt idx="604">
                  <c:v>4.4400000000000004E-3</c:v>
                </c:pt>
                <c:pt idx="605">
                  <c:v>4.8300000000000001E-3</c:v>
                </c:pt>
                <c:pt idx="606">
                  <c:v>4.875E-3</c:v>
                </c:pt>
                <c:pt idx="607">
                  <c:v>5.9199999999999999E-3</c:v>
                </c:pt>
                <c:pt idx="608">
                  <c:v>6.1440000000000002E-3</c:v>
                </c:pt>
                <c:pt idx="609">
                  <c:v>5.9810000000000002E-3</c:v>
                </c:pt>
                <c:pt idx="610">
                  <c:v>4.9069999999999999E-3</c:v>
                </c:pt>
                <c:pt idx="611">
                  <c:v>5.2370000000000003E-3</c:v>
                </c:pt>
                <c:pt idx="612">
                  <c:v>5.9160000000000003E-3</c:v>
                </c:pt>
                <c:pt idx="613">
                  <c:v>5.8799999999999998E-3</c:v>
                </c:pt>
                <c:pt idx="614">
                  <c:v>4.1679999999999998E-3</c:v>
                </c:pt>
                <c:pt idx="615">
                  <c:v>3.4489999999999998E-3</c:v>
                </c:pt>
                <c:pt idx="616">
                  <c:v>3.7880000000000001E-3</c:v>
                </c:pt>
                <c:pt idx="617">
                  <c:v>3.0079999999999998E-3</c:v>
                </c:pt>
                <c:pt idx="618">
                  <c:v>3.1930000000000001E-3</c:v>
                </c:pt>
                <c:pt idx="619">
                  <c:v>2.8140000000000001E-3</c:v>
                </c:pt>
                <c:pt idx="620">
                  <c:v>2.8639999999999998E-3</c:v>
                </c:pt>
                <c:pt idx="621">
                  <c:v>2.9069999999999999E-3</c:v>
                </c:pt>
                <c:pt idx="622">
                  <c:v>2.7060000000000001E-3</c:v>
                </c:pt>
                <c:pt idx="623">
                  <c:v>2.8010000000000001E-3</c:v>
                </c:pt>
                <c:pt idx="624">
                  <c:v>2.7000000000000001E-3</c:v>
                </c:pt>
                <c:pt idx="625">
                  <c:v>2.594E-3</c:v>
                </c:pt>
                <c:pt idx="626">
                  <c:v>2.4659999999999999E-3</c:v>
                </c:pt>
                <c:pt idx="627">
                  <c:v>2.5010000000000002E-3</c:v>
                </c:pt>
                <c:pt idx="628">
                  <c:v>2.7550000000000001E-3</c:v>
                </c:pt>
                <c:pt idx="629">
                  <c:v>2.6749999999999999E-3</c:v>
                </c:pt>
                <c:pt idx="630">
                  <c:v>2.6570000000000001E-3</c:v>
                </c:pt>
                <c:pt idx="631">
                  <c:v>2.6359999999999999E-3</c:v>
                </c:pt>
                <c:pt idx="632">
                  <c:v>2.653E-3</c:v>
                </c:pt>
                <c:pt idx="633">
                  <c:v>2.4880000000000002E-3</c:v>
                </c:pt>
                <c:pt idx="634">
                  <c:v>2.594E-3</c:v>
                </c:pt>
                <c:pt idx="635">
                  <c:v>2.6719999999999999E-3</c:v>
                </c:pt>
                <c:pt idx="636">
                  <c:v>2.598E-3</c:v>
                </c:pt>
                <c:pt idx="637">
                  <c:v>2.562E-3</c:v>
                </c:pt>
                <c:pt idx="638">
                  <c:v>2.6549999999999998E-3</c:v>
                </c:pt>
                <c:pt idx="639">
                  <c:v>2.6150000000000001E-3</c:v>
                </c:pt>
                <c:pt idx="640">
                  <c:v>2.7169999999999998E-3</c:v>
                </c:pt>
                <c:pt idx="641">
                  <c:v>2.6029999999999998E-3</c:v>
                </c:pt>
                <c:pt idx="642">
                  <c:v>2.5170000000000001E-3</c:v>
                </c:pt>
                <c:pt idx="643">
                  <c:v>2.49E-3</c:v>
                </c:pt>
                <c:pt idx="644">
                  <c:v>2.4229999999999998E-3</c:v>
                </c:pt>
                <c:pt idx="645">
                  <c:v>2.3939999999999999E-3</c:v>
                </c:pt>
                <c:pt idx="646">
                  <c:v>2.2959999999999999E-3</c:v>
                </c:pt>
                <c:pt idx="647">
                  <c:v>2.3600000000000001E-3</c:v>
                </c:pt>
                <c:pt idx="648">
                  <c:v>2.467E-3</c:v>
                </c:pt>
                <c:pt idx="649">
                  <c:v>2.5140000000000002E-3</c:v>
                </c:pt>
                <c:pt idx="650">
                  <c:v>2.385E-3</c:v>
                </c:pt>
                <c:pt idx="651">
                  <c:v>2.4650000000000002E-3</c:v>
                </c:pt>
                <c:pt idx="652">
                  <c:v>2.294E-3</c:v>
                </c:pt>
                <c:pt idx="653">
                  <c:v>2.4169999999999999E-3</c:v>
                </c:pt>
                <c:pt idx="654">
                  <c:v>2.3860000000000001E-3</c:v>
                </c:pt>
                <c:pt idx="655">
                  <c:v>2.4889999999999999E-3</c:v>
                </c:pt>
                <c:pt idx="656">
                  <c:v>2.3519999999999999E-3</c:v>
                </c:pt>
                <c:pt idx="657">
                  <c:v>2.3860000000000001E-3</c:v>
                </c:pt>
                <c:pt idx="658">
                  <c:v>2.4710000000000001E-3</c:v>
                </c:pt>
                <c:pt idx="659">
                  <c:v>2.398E-3</c:v>
                </c:pt>
                <c:pt idx="660">
                  <c:v>2.3259999999999999E-3</c:v>
                </c:pt>
                <c:pt idx="661">
                  <c:v>2.3149999999999998E-3</c:v>
                </c:pt>
                <c:pt idx="662">
                  <c:v>2.1570000000000001E-3</c:v>
                </c:pt>
                <c:pt idx="663">
                  <c:v>2.235E-3</c:v>
                </c:pt>
                <c:pt idx="664">
                  <c:v>2.1909999999999998E-3</c:v>
                </c:pt>
                <c:pt idx="665">
                  <c:v>2.1280000000000001E-3</c:v>
                </c:pt>
                <c:pt idx="666">
                  <c:v>2.2009999999999998E-3</c:v>
                </c:pt>
                <c:pt idx="667">
                  <c:v>2.1489999999999999E-3</c:v>
                </c:pt>
                <c:pt idx="668">
                  <c:v>2.111E-3</c:v>
                </c:pt>
                <c:pt idx="669">
                  <c:v>1.9419999999999999E-3</c:v>
                </c:pt>
                <c:pt idx="670">
                  <c:v>2.0119999999999999E-3</c:v>
                </c:pt>
                <c:pt idx="671">
                  <c:v>2.1350000000000002E-3</c:v>
                </c:pt>
                <c:pt idx="672">
                  <c:v>2.1310000000000001E-3</c:v>
                </c:pt>
                <c:pt idx="673">
                  <c:v>2.1120000000000002E-3</c:v>
                </c:pt>
                <c:pt idx="674">
                  <c:v>2.0590000000000001E-3</c:v>
                </c:pt>
                <c:pt idx="675">
                  <c:v>1.967E-3</c:v>
                </c:pt>
                <c:pt idx="676">
                  <c:v>1.8550000000000001E-3</c:v>
                </c:pt>
                <c:pt idx="677">
                  <c:v>2.0379999999999999E-3</c:v>
                </c:pt>
                <c:pt idx="678">
                  <c:v>2.039E-3</c:v>
                </c:pt>
                <c:pt idx="679">
                  <c:v>2.0049999999999998E-3</c:v>
                </c:pt>
                <c:pt idx="680">
                  <c:v>1.6689999999999999E-3</c:v>
                </c:pt>
                <c:pt idx="681">
                  <c:v>1.689E-3</c:v>
                </c:pt>
                <c:pt idx="682">
                  <c:v>1.64E-3</c:v>
                </c:pt>
                <c:pt idx="683">
                  <c:v>1.923E-3</c:v>
                </c:pt>
                <c:pt idx="684">
                  <c:v>1.8090000000000001E-3</c:v>
                </c:pt>
                <c:pt idx="685">
                  <c:v>1.789E-3</c:v>
                </c:pt>
                <c:pt idx="686">
                  <c:v>1.8029999999999999E-3</c:v>
                </c:pt>
                <c:pt idx="687">
                  <c:v>3.539E-3</c:v>
                </c:pt>
                <c:pt idx="688">
                  <c:v>3.5890000000000002E-3</c:v>
                </c:pt>
                <c:pt idx="689">
                  <c:v>3.5379999999999999E-3</c:v>
                </c:pt>
                <c:pt idx="690">
                  <c:v>3.5260000000000001E-3</c:v>
                </c:pt>
                <c:pt idx="691">
                  <c:v>4.019E-3</c:v>
                </c:pt>
                <c:pt idx="692">
                  <c:v>4.2690000000000002E-3</c:v>
                </c:pt>
                <c:pt idx="693">
                  <c:v>4.1799999999999997E-3</c:v>
                </c:pt>
                <c:pt idx="694">
                  <c:v>3.9610000000000001E-3</c:v>
                </c:pt>
                <c:pt idx="695">
                  <c:v>4.0769999999999999E-3</c:v>
                </c:pt>
                <c:pt idx="696">
                  <c:v>4.2849999999999997E-3</c:v>
                </c:pt>
                <c:pt idx="697">
                  <c:v>3.9690000000000003E-3</c:v>
                </c:pt>
                <c:pt idx="698">
                  <c:v>4.0340000000000003E-3</c:v>
                </c:pt>
                <c:pt idx="699">
                  <c:v>4.1190000000000003E-3</c:v>
                </c:pt>
                <c:pt idx="700">
                  <c:v>4.2490000000000002E-3</c:v>
                </c:pt>
                <c:pt idx="701">
                  <c:v>4.2199999999999998E-3</c:v>
                </c:pt>
                <c:pt idx="702">
                  <c:v>4.7010000000000003E-3</c:v>
                </c:pt>
                <c:pt idx="703">
                  <c:v>5.1440000000000001E-3</c:v>
                </c:pt>
                <c:pt idx="704">
                  <c:v>5.1549999999999999E-3</c:v>
                </c:pt>
                <c:pt idx="705">
                  <c:v>4.9519999999999998E-3</c:v>
                </c:pt>
                <c:pt idx="706">
                  <c:v>5.1809999999999998E-3</c:v>
                </c:pt>
                <c:pt idx="707">
                  <c:v>4.9370000000000004E-3</c:v>
                </c:pt>
                <c:pt idx="708">
                  <c:v>5.0410000000000003E-3</c:v>
                </c:pt>
                <c:pt idx="709">
                  <c:v>5.5110000000000003E-3</c:v>
                </c:pt>
                <c:pt idx="710">
                  <c:v>5.2090000000000001E-3</c:v>
                </c:pt>
                <c:pt idx="711">
                  <c:v>5.411E-3</c:v>
                </c:pt>
                <c:pt idx="712">
                  <c:v>5.6140000000000001E-3</c:v>
                </c:pt>
                <c:pt idx="713">
                  <c:v>6.2100000000000002E-3</c:v>
                </c:pt>
                <c:pt idx="714">
                  <c:v>6.1209999999999997E-3</c:v>
                </c:pt>
                <c:pt idx="715">
                  <c:v>6.3619999999999996E-3</c:v>
                </c:pt>
                <c:pt idx="716">
                  <c:v>6.7559999999999999E-3</c:v>
                </c:pt>
                <c:pt idx="717">
                  <c:v>5.2769999999999996E-3</c:v>
                </c:pt>
                <c:pt idx="718">
                  <c:v>5.3540000000000003E-3</c:v>
                </c:pt>
                <c:pt idx="719">
                  <c:v>5.2769999999999996E-3</c:v>
                </c:pt>
                <c:pt idx="720">
                  <c:v>5.2090000000000001E-3</c:v>
                </c:pt>
                <c:pt idx="721">
                  <c:v>5.2620000000000002E-3</c:v>
                </c:pt>
                <c:pt idx="722">
                  <c:v>4.8260000000000004E-3</c:v>
                </c:pt>
                <c:pt idx="723">
                  <c:v>4.3410000000000002E-3</c:v>
                </c:pt>
                <c:pt idx="724">
                  <c:v>4.2170000000000003E-3</c:v>
                </c:pt>
                <c:pt idx="725">
                  <c:v>4.1970000000000002E-3</c:v>
                </c:pt>
                <c:pt idx="726">
                  <c:v>4.2059999999999997E-3</c:v>
                </c:pt>
                <c:pt idx="727">
                  <c:v>4.1260000000000003E-3</c:v>
                </c:pt>
                <c:pt idx="728">
                  <c:v>4.2170000000000003E-3</c:v>
                </c:pt>
                <c:pt idx="729">
                  <c:v>4.0790000000000002E-3</c:v>
                </c:pt>
                <c:pt idx="730">
                  <c:v>4.0390000000000001E-3</c:v>
                </c:pt>
                <c:pt idx="731">
                  <c:v>4.0309999999999999E-3</c:v>
                </c:pt>
                <c:pt idx="732">
                  <c:v>4.0159999999999996E-3</c:v>
                </c:pt>
                <c:pt idx="733">
                  <c:v>3.888E-3</c:v>
                </c:pt>
                <c:pt idx="734">
                  <c:v>3.9630000000000004E-3</c:v>
                </c:pt>
                <c:pt idx="735">
                  <c:v>4.0499999999999998E-3</c:v>
                </c:pt>
                <c:pt idx="736">
                  <c:v>4.1219999999999998E-3</c:v>
                </c:pt>
                <c:pt idx="737">
                  <c:v>4.3020000000000003E-3</c:v>
                </c:pt>
                <c:pt idx="738">
                  <c:v>4.0000000000000001E-3</c:v>
                </c:pt>
                <c:pt idx="739">
                  <c:v>4.0899999999999999E-3</c:v>
                </c:pt>
                <c:pt idx="740">
                  <c:v>4.1219999999999998E-3</c:v>
                </c:pt>
                <c:pt idx="741">
                  <c:v>4.3020000000000003E-3</c:v>
                </c:pt>
                <c:pt idx="742">
                  <c:v>4.4640000000000001E-3</c:v>
                </c:pt>
                <c:pt idx="743">
                  <c:v>4.2199999999999998E-3</c:v>
                </c:pt>
                <c:pt idx="744">
                  <c:v>3.7599999999999999E-3</c:v>
                </c:pt>
                <c:pt idx="745">
                  <c:v>3.581E-3</c:v>
                </c:pt>
                <c:pt idx="746">
                  <c:v>3.6350000000000002E-3</c:v>
                </c:pt>
                <c:pt idx="747">
                  <c:v>3.6240000000000001E-3</c:v>
                </c:pt>
                <c:pt idx="748">
                  <c:v>3.6519999999999999E-3</c:v>
                </c:pt>
                <c:pt idx="749">
                  <c:v>3.4680000000000002E-3</c:v>
                </c:pt>
                <c:pt idx="750">
                  <c:v>3.6419999999999998E-3</c:v>
                </c:pt>
                <c:pt idx="751">
                  <c:v>3.8409999999999998E-3</c:v>
                </c:pt>
                <c:pt idx="752">
                  <c:v>3.7669999999999999E-3</c:v>
                </c:pt>
                <c:pt idx="753">
                  <c:v>3.565E-3</c:v>
                </c:pt>
                <c:pt idx="754">
                  <c:v>3.5430000000000001E-3</c:v>
                </c:pt>
                <c:pt idx="755">
                  <c:v>3.4099999999999998E-3</c:v>
                </c:pt>
                <c:pt idx="756">
                  <c:v>3.3579999999999999E-3</c:v>
                </c:pt>
                <c:pt idx="757">
                  <c:v>3.457E-3</c:v>
                </c:pt>
                <c:pt idx="758">
                  <c:v>3.3400000000000001E-3</c:v>
                </c:pt>
                <c:pt idx="759">
                  <c:v>3.5140000000000002E-3</c:v>
                </c:pt>
                <c:pt idx="760">
                  <c:v>3.4499999999999999E-3</c:v>
                </c:pt>
                <c:pt idx="761">
                  <c:v>3.5019999999999999E-3</c:v>
                </c:pt>
                <c:pt idx="762">
                  <c:v>3.4759999999999999E-3</c:v>
                </c:pt>
                <c:pt idx="763">
                  <c:v>3.5630000000000002E-3</c:v>
                </c:pt>
                <c:pt idx="764">
                  <c:v>3.5109999999999998E-3</c:v>
                </c:pt>
                <c:pt idx="765">
                  <c:v>3.5119999999999999E-3</c:v>
                </c:pt>
                <c:pt idx="766">
                  <c:v>3.5999999999999999E-3</c:v>
                </c:pt>
                <c:pt idx="767">
                  <c:v>3.5999999999999999E-3</c:v>
                </c:pt>
                <c:pt idx="768">
                  <c:v>3.5079999999999998E-3</c:v>
                </c:pt>
                <c:pt idx="769">
                  <c:v>3.6319999999999998E-3</c:v>
                </c:pt>
                <c:pt idx="770">
                  <c:v>3.6519999999999999E-3</c:v>
                </c:pt>
                <c:pt idx="771">
                  <c:v>3.5119999999999999E-3</c:v>
                </c:pt>
                <c:pt idx="772">
                  <c:v>3.2520000000000001E-3</c:v>
                </c:pt>
                <c:pt idx="773">
                  <c:v>3.6110000000000001E-3</c:v>
                </c:pt>
                <c:pt idx="774">
                  <c:v>3.578E-3</c:v>
                </c:pt>
                <c:pt idx="775">
                  <c:v>3.607E-3</c:v>
                </c:pt>
                <c:pt idx="776">
                  <c:v>3.6939999999999998E-3</c:v>
                </c:pt>
                <c:pt idx="777">
                  <c:v>3.7160000000000001E-3</c:v>
                </c:pt>
                <c:pt idx="778">
                  <c:v>3.6749999999999999E-3</c:v>
                </c:pt>
                <c:pt idx="779">
                  <c:v>3.6120000000000002E-3</c:v>
                </c:pt>
                <c:pt idx="780">
                  <c:v>3.9769999999999996E-3</c:v>
                </c:pt>
                <c:pt idx="781">
                  <c:v>4.0480000000000004E-3</c:v>
                </c:pt>
                <c:pt idx="782">
                  <c:v>3.9389999999999998E-3</c:v>
                </c:pt>
                <c:pt idx="783">
                  <c:v>3.9569999999999996E-3</c:v>
                </c:pt>
                <c:pt idx="784">
                  <c:v>3.9290000000000002E-3</c:v>
                </c:pt>
                <c:pt idx="785">
                  <c:v>3.8119999999999999E-3</c:v>
                </c:pt>
                <c:pt idx="786">
                  <c:v>3.9560000000000003E-3</c:v>
                </c:pt>
                <c:pt idx="787">
                  <c:v>4.065E-3</c:v>
                </c:pt>
                <c:pt idx="788">
                  <c:v>4.189E-3</c:v>
                </c:pt>
                <c:pt idx="789">
                  <c:v>4.3420000000000004E-3</c:v>
                </c:pt>
                <c:pt idx="790">
                  <c:v>4.6389999999999999E-3</c:v>
                </c:pt>
                <c:pt idx="791">
                  <c:v>4.3639999999999998E-3</c:v>
                </c:pt>
                <c:pt idx="792">
                  <c:v>4.2240000000000003E-3</c:v>
                </c:pt>
                <c:pt idx="793">
                  <c:v>4.1240000000000001E-3</c:v>
                </c:pt>
                <c:pt idx="794">
                  <c:v>3.833E-3</c:v>
                </c:pt>
                <c:pt idx="795">
                  <c:v>3.6719999999999999E-3</c:v>
                </c:pt>
                <c:pt idx="796">
                  <c:v>4.1640000000000002E-3</c:v>
                </c:pt>
                <c:pt idx="797">
                  <c:v>3.8990000000000001E-3</c:v>
                </c:pt>
                <c:pt idx="798">
                  <c:v>3.9550000000000002E-3</c:v>
                </c:pt>
                <c:pt idx="799">
                  <c:v>4.3610000000000003E-3</c:v>
                </c:pt>
                <c:pt idx="800">
                  <c:v>4.3499999999999997E-3</c:v>
                </c:pt>
                <c:pt idx="801">
                  <c:v>4.3070000000000001E-3</c:v>
                </c:pt>
                <c:pt idx="802">
                  <c:v>4.7320000000000001E-3</c:v>
                </c:pt>
                <c:pt idx="803">
                  <c:v>4.8149999999999998E-3</c:v>
                </c:pt>
                <c:pt idx="804">
                  <c:v>4.8999999999999998E-3</c:v>
                </c:pt>
                <c:pt idx="805">
                  <c:v>4.6600000000000001E-3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21-418A-81E3-7C6599AB888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-60.897561618768556</c:v>
                </c:pt>
                <c:pt idx="1">
                  <c:v>-60.825663205118921</c:v>
                </c:pt>
                <c:pt idx="2">
                  <c:v>-60.3295725169802</c:v>
                </c:pt>
                <c:pt idx="3">
                  <c:v>-61.054059138843996</c:v>
                </c:pt>
                <c:pt idx="4">
                  <c:v>-61.36952283193996</c:v>
                </c:pt>
                <c:pt idx="5">
                  <c:v>-62.552677822097948</c:v>
                </c:pt>
                <c:pt idx="6">
                  <c:v>-61.883242422910961</c:v>
                </c:pt>
                <c:pt idx="7">
                  <c:v>-60.506465153219565</c:v>
                </c:pt>
                <c:pt idx="8">
                  <c:v>-59.474183230456916</c:v>
                </c:pt>
                <c:pt idx="9">
                  <c:v>-57.926158745384555</c:v>
                </c:pt>
                <c:pt idx="10">
                  <c:v>-59.509623317814459</c:v>
                </c:pt>
                <c:pt idx="11">
                  <c:v>-58.106558815564661</c:v>
                </c:pt>
                <c:pt idx="12">
                  <c:v>-58.036253984506843</c:v>
                </c:pt>
                <c:pt idx="13">
                  <c:v>-60.537377688981977</c:v>
                </c:pt>
                <c:pt idx="14">
                  <c:v>-60.759863676515707</c:v>
                </c:pt>
                <c:pt idx="15">
                  <c:v>-60.000998787303296</c:v>
                </c:pt>
                <c:pt idx="16">
                  <c:v>-60.431949226869911</c:v>
                </c:pt>
                <c:pt idx="17">
                  <c:v>-60.441906407928116</c:v>
                </c:pt>
                <c:pt idx="18">
                  <c:v>-59.888029090298318</c:v>
                </c:pt>
                <c:pt idx="19">
                  <c:v>-59.993750447201208</c:v>
                </c:pt>
                <c:pt idx="20">
                  <c:v>-60.256881570161923</c:v>
                </c:pt>
                <c:pt idx="21">
                  <c:v>-59.420244121291084</c:v>
                </c:pt>
                <c:pt idx="22">
                  <c:v>-59.662143526081422</c:v>
                </c:pt>
                <c:pt idx="23">
                  <c:v>-58.989113494469777</c:v>
                </c:pt>
                <c:pt idx="24">
                  <c:v>-58.571712306074716</c:v>
                </c:pt>
                <c:pt idx="25">
                  <c:v>-58.13566233807471</c:v>
                </c:pt>
                <c:pt idx="26">
                  <c:v>-57.908778115362843</c:v>
                </c:pt>
                <c:pt idx="27">
                  <c:v>-58.229156284860558</c:v>
                </c:pt>
                <c:pt idx="28">
                  <c:v>-58.061387631794666</c:v>
                </c:pt>
                <c:pt idx="29">
                  <c:v>-58.850690642410051</c:v>
                </c:pt>
                <c:pt idx="30">
                  <c:v>-58.070343395907216</c:v>
                </c:pt>
                <c:pt idx="31">
                  <c:v>-55.954767264781388</c:v>
                </c:pt>
                <c:pt idx="32">
                  <c:v>-56.344452767753793</c:v>
                </c:pt>
                <c:pt idx="33">
                  <c:v>-56.232555133428932</c:v>
                </c:pt>
                <c:pt idx="34">
                  <c:v>-56.077006696551891</c:v>
                </c:pt>
                <c:pt idx="35">
                  <c:v>-57.789067625527501</c:v>
                </c:pt>
                <c:pt idx="36">
                  <c:v>-59.320763947711413</c:v>
                </c:pt>
                <c:pt idx="37">
                  <c:v>-57.905318579520035</c:v>
                </c:pt>
                <c:pt idx="38">
                  <c:v>-58.612889723379993</c:v>
                </c:pt>
                <c:pt idx="39">
                  <c:v>-60.44890961930566</c:v>
                </c:pt>
                <c:pt idx="40">
                  <c:v>-59.874768465654647</c:v>
                </c:pt>
                <c:pt idx="41">
                  <c:v>-59.368945633332217</c:v>
                </c:pt>
                <c:pt idx="42">
                  <c:v>-58.230123511973218</c:v>
                </c:pt>
                <c:pt idx="43">
                  <c:v>-56.811562938917668</c:v>
                </c:pt>
                <c:pt idx="44">
                  <c:v>-57.337483026839351</c:v>
                </c:pt>
                <c:pt idx="45">
                  <c:v>-58.267567838096014</c:v>
                </c:pt>
                <c:pt idx="46">
                  <c:v>-56.813040912425514</c:v>
                </c:pt>
                <c:pt idx="47">
                  <c:v>-55.392528410501043</c:v>
                </c:pt>
                <c:pt idx="48">
                  <c:v>-55.580025450241301</c:v>
                </c:pt>
                <c:pt idx="49">
                  <c:v>-52.461595495318043</c:v>
                </c:pt>
                <c:pt idx="50">
                  <c:v>-51.356480305656099</c:v>
                </c:pt>
                <c:pt idx="51">
                  <c:v>-52.334457879305667</c:v>
                </c:pt>
                <c:pt idx="52">
                  <c:v>-50.821953073135454</c:v>
                </c:pt>
                <c:pt idx="53">
                  <c:v>-52.818964809024401</c:v>
                </c:pt>
                <c:pt idx="54">
                  <c:v>-51.538994742184805</c:v>
                </c:pt>
                <c:pt idx="55">
                  <c:v>-51.654828205892258</c:v>
                </c:pt>
                <c:pt idx="56">
                  <c:v>-49.94458755065849</c:v>
                </c:pt>
                <c:pt idx="57">
                  <c:v>-50.484014084101268</c:v>
                </c:pt>
                <c:pt idx="58">
                  <c:v>-49.987242498528673</c:v>
                </c:pt>
                <c:pt idx="59">
                  <c:v>-48.064314668392313</c:v>
                </c:pt>
                <c:pt idx="60">
                  <c:v>-48.311010936056313</c:v>
                </c:pt>
                <c:pt idx="61">
                  <c:v>-49.505201114671792</c:v>
                </c:pt>
                <c:pt idx="62">
                  <c:v>-48.566275338427303</c:v>
                </c:pt>
                <c:pt idx="63">
                  <c:v>-46.773253178926829</c:v>
                </c:pt>
                <c:pt idx="64">
                  <c:v>-46.576215368565379</c:v>
                </c:pt>
                <c:pt idx="65">
                  <c:v>-46.883751373083619</c:v>
                </c:pt>
                <c:pt idx="66">
                  <c:v>-46.483763312560299</c:v>
                </c:pt>
                <c:pt idx="67">
                  <c:v>-37.491433213525518</c:v>
                </c:pt>
                <c:pt idx="68">
                  <c:v>-43.137701643066436</c:v>
                </c:pt>
                <c:pt idx="69">
                  <c:v>-43.073305511859701</c:v>
                </c:pt>
                <c:pt idx="70">
                  <c:v>-41.16970243802173</c:v>
                </c:pt>
                <c:pt idx="71">
                  <c:v>-36.853301187243652</c:v>
                </c:pt>
                <c:pt idx="72">
                  <c:v>-32.602265924960442</c:v>
                </c:pt>
                <c:pt idx="73">
                  <c:v>-36.918757650157524</c:v>
                </c:pt>
                <c:pt idx="74">
                  <c:v>-30.162672931540364</c:v>
                </c:pt>
                <c:pt idx="75">
                  <c:v>-35.231757922258538</c:v>
                </c:pt>
                <c:pt idx="76">
                  <c:v>-31.579401556825466</c:v>
                </c:pt>
                <c:pt idx="77">
                  <c:v>-43.965255598424569</c:v>
                </c:pt>
                <c:pt idx="78">
                  <c:v>-20.574672750046169</c:v>
                </c:pt>
                <c:pt idx="79">
                  <c:v>-87.885520924586174</c:v>
                </c:pt>
                <c:pt idx="80">
                  <c:v>-90.053896275645002</c:v>
                </c:pt>
                <c:pt idx="81">
                  <c:v>-90.503310011731969</c:v>
                </c:pt>
                <c:pt idx="82">
                  <c:v>-88.269691289231972</c:v>
                </c:pt>
                <c:pt idx="83">
                  <c:v>-86.342591734002241</c:v>
                </c:pt>
                <c:pt idx="84">
                  <c:v>-79.73069365604789</c:v>
                </c:pt>
                <c:pt idx="85">
                  <c:v>-37.0601400682811</c:v>
                </c:pt>
                <c:pt idx="86">
                  <c:v>-62.73107492788732</c:v>
                </c:pt>
                <c:pt idx="87">
                  <c:v>-65.072579612181229</c:v>
                </c:pt>
                <c:pt idx="88">
                  <c:v>-64.922307418891251</c:v>
                </c:pt>
                <c:pt idx="89">
                  <c:v>-65.584164284125251</c:v>
                </c:pt>
                <c:pt idx="90">
                  <c:v>-65.568857151235079</c:v>
                </c:pt>
                <c:pt idx="91">
                  <c:v>-67.008791452681876</c:v>
                </c:pt>
                <c:pt idx="92">
                  <c:v>-66.754529548271819</c:v>
                </c:pt>
                <c:pt idx="93">
                  <c:v>-64.085274420537459</c:v>
                </c:pt>
                <c:pt idx="94">
                  <c:v>-63.350632187745248</c:v>
                </c:pt>
                <c:pt idx="95">
                  <c:v>-63.424012540245236</c:v>
                </c:pt>
                <c:pt idx="96">
                  <c:v>-63.503050575730676</c:v>
                </c:pt>
                <c:pt idx="97">
                  <c:v>-63.818961165161959</c:v>
                </c:pt>
                <c:pt idx="98">
                  <c:v>-64.058722195409302</c:v>
                </c:pt>
                <c:pt idx="99">
                  <c:v>-62.172268024294489</c:v>
                </c:pt>
                <c:pt idx="100">
                  <c:v>-63.153761778329581</c:v>
                </c:pt>
                <c:pt idx="101">
                  <c:v>-62.101679468382862</c:v>
                </c:pt>
                <c:pt idx="102">
                  <c:v>-60.964599616503428</c:v>
                </c:pt>
                <c:pt idx="103">
                  <c:v>-59.929089461712891</c:v>
                </c:pt>
                <c:pt idx="104">
                  <c:v>-60.092600496146851</c:v>
                </c:pt>
                <c:pt idx="105">
                  <c:v>-60.339523214292015</c:v>
                </c:pt>
                <c:pt idx="106">
                  <c:v>-61.092746530111228</c:v>
                </c:pt>
                <c:pt idx="107">
                  <c:v>-60.772188094711233</c:v>
                </c:pt>
                <c:pt idx="108">
                  <c:v>-59.978138543545946</c:v>
                </c:pt>
                <c:pt idx="109">
                  <c:v>-59.123352207575607</c:v>
                </c:pt>
                <c:pt idx="110">
                  <c:v>-55.174941273755387</c:v>
                </c:pt>
                <c:pt idx="111">
                  <c:v>-57.154353851659081</c:v>
                </c:pt>
                <c:pt idx="112">
                  <c:v>-55.342458024159079</c:v>
                </c:pt>
                <c:pt idx="113">
                  <c:v>-50.96244491303181</c:v>
                </c:pt>
                <c:pt idx="114">
                  <c:v>-47.825293949353188</c:v>
                </c:pt>
                <c:pt idx="115">
                  <c:v>-49.05382232838933</c:v>
                </c:pt>
                <c:pt idx="116">
                  <c:v>-48.596005168509571</c:v>
                </c:pt>
                <c:pt idx="117">
                  <c:v>-49.073579221990236</c:v>
                </c:pt>
                <c:pt idx="118">
                  <c:v>-47.449618876311213</c:v>
                </c:pt>
                <c:pt idx="119">
                  <c:v>-48.91996248673955</c:v>
                </c:pt>
                <c:pt idx="120">
                  <c:v>-47.558966781515664</c:v>
                </c:pt>
                <c:pt idx="121">
                  <c:v>-48.483835537531931</c:v>
                </c:pt>
                <c:pt idx="122">
                  <c:v>-45.96148267705847</c:v>
                </c:pt>
                <c:pt idx="123">
                  <c:v>-42.170537049267423</c:v>
                </c:pt>
                <c:pt idx="124">
                  <c:v>-29.382700218121567</c:v>
                </c:pt>
                <c:pt idx="125">
                  <c:v>-38.371308783318085</c:v>
                </c:pt>
                <c:pt idx="126">
                  <c:v>-37.754022785308763</c:v>
                </c:pt>
                <c:pt idx="127">
                  <c:v>-38.885972442699071</c:v>
                </c:pt>
                <c:pt idx="128">
                  <c:v>-40.353769149839891</c:v>
                </c:pt>
                <c:pt idx="129">
                  <c:v>-38.534613819110277</c:v>
                </c:pt>
                <c:pt idx="130">
                  <c:v>-37.467348506143246</c:v>
                </c:pt>
                <c:pt idx="131">
                  <c:v>-36.525966498035139</c:v>
                </c:pt>
                <c:pt idx="132">
                  <c:v>-36.487257560182037</c:v>
                </c:pt>
                <c:pt idx="133">
                  <c:v>-35.375023517508765</c:v>
                </c:pt>
                <c:pt idx="134">
                  <c:v>-34.845210459010261</c:v>
                </c:pt>
                <c:pt idx="135">
                  <c:v>-34.554550172434915</c:v>
                </c:pt>
                <c:pt idx="136">
                  <c:v>-35.108266008633251</c:v>
                </c:pt>
                <c:pt idx="137">
                  <c:v>-34.597818591688146</c:v>
                </c:pt>
                <c:pt idx="138">
                  <c:v>-35.512999315021482</c:v>
                </c:pt>
                <c:pt idx="139">
                  <c:v>-34.512899487693005</c:v>
                </c:pt>
                <c:pt idx="140">
                  <c:v>-33.407018220553525</c:v>
                </c:pt>
                <c:pt idx="141">
                  <c:v>-30.971290632397338</c:v>
                </c:pt>
                <c:pt idx="142">
                  <c:v>-33.56636229753645</c:v>
                </c:pt>
                <c:pt idx="143">
                  <c:v>-30.620506433845598</c:v>
                </c:pt>
                <c:pt idx="144">
                  <c:v>-30.632252703614999</c:v>
                </c:pt>
                <c:pt idx="145">
                  <c:v>-28.169546264167252</c:v>
                </c:pt>
                <c:pt idx="146">
                  <c:v>-28.491090053988806</c:v>
                </c:pt>
                <c:pt idx="147">
                  <c:v>-27.86454204745338</c:v>
                </c:pt>
                <c:pt idx="148">
                  <c:v>-27.812494181866334</c:v>
                </c:pt>
                <c:pt idx="149">
                  <c:v>-29.188033871955032</c:v>
                </c:pt>
                <c:pt idx="150">
                  <c:v>-28.501634218340573</c:v>
                </c:pt>
                <c:pt idx="151">
                  <c:v>-25.488627890268049</c:v>
                </c:pt>
                <c:pt idx="152">
                  <c:v>-24.573519965944669</c:v>
                </c:pt>
                <c:pt idx="153">
                  <c:v>-22.931374816829635</c:v>
                </c:pt>
                <c:pt idx="154">
                  <c:v>-28.456168632884349</c:v>
                </c:pt>
                <c:pt idx="155">
                  <c:v>-27.143653666924532</c:v>
                </c:pt>
                <c:pt idx="156">
                  <c:v>-28.046756298842759</c:v>
                </c:pt>
                <c:pt idx="157">
                  <c:v>-25.698296788517599</c:v>
                </c:pt>
                <c:pt idx="158">
                  <c:v>-26.762907075551659</c:v>
                </c:pt>
                <c:pt idx="159">
                  <c:v>-27.111910600963164</c:v>
                </c:pt>
                <c:pt idx="160">
                  <c:v>-23.665530631300893</c:v>
                </c:pt>
                <c:pt idx="161">
                  <c:v>-22.268159982366914</c:v>
                </c:pt>
                <c:pt idx="162">
                  <c:v>-22.744347240448189</c:v>
                </c:pt>
                <c:pt idx="163">
                  <c:v>-22.5095552790707</c:v>
                </c:pt>
                <c:pt idx="164">
                  <c:v>-13.495646448511682</c:v>
                </c:pt>
                <c:pt idx="165">
                  <c:v>-0.27100599922410817</c:v>
                </c:pt>
                <c:pt idx="166">
                  <c:v>1.805315213986137</c:v>
                </c:pt>
                <c:pt idx="167">
                  <c:v>10.379193180038264</c:v>
                </c:pt>
                <c:pt idx="168">
                  <c:v>25.490443408613988</c:v>
                </c:pt>
                <c:pt idx="169">
                  <c:v>72.340972391127892</c:v>
                </c:pt>
                <c:pt idx="170">
                  <c:v>9.983631591619087</c:v>
                </c:pt>
                <c:pt idx="171">
                  <c:v>-25.892907320727055</c:v>
                </c:pt>
                <c:pt idx="172">
                  <c:v>-30.301080852525413</c:v>
                </c:pt>
                <c:pt idx="173">
                  <c:v>-26.936901985941972</c:v>
                </c:pt>
                <c:pt idx="174">
                  <c:v>-27.035997343781926</c:v>
                </c:pt>
                <c:pt idx="175">
                  <c:v>-27.576831978256102</c:v>
                </c:pt>
                <c:pt idx="176">
                  <c:v>-42.568639146253361</c:v>
                </c:pt>
                <c:pt idx="177">
                  <c:v>-44.882178322089722</c:v>
                </c:pt>
                <c:pt idx="178">
                  <c:v>-44.301209016852731</c:v>
                </c:pt>
                <c:pt idx="179">
                  <c:v>-45.291651961846227</c:v>
                </c:pt>
                <c:pt idx="180">
                  <c:v>-44.132744937230846</c:v>
                </c:pt>
                <c:pt idx="181">
                  <c:v>-44.779202441093332</c:v>
                </c:pt>
                <c:pt idx="182">
                  <c:v>-45.541353413743657</c:v>
                </c:pt>
                <c:pt idx="183">
                  <c:v>-45.403163272340947</c:v>
                </c:pt>
                <c:pt idx="184">
                  <c:v>-45.515909840312482</c:v>
                </c:pt>
                <c:pt idx="185">
                  <c:v>-46.366963080012937</c:v>
                </c:pt>
                <c:pt idx="186">
                  <c:v>-44.336999473910616</c:v>
                </c:pt>
                <c:pt idx="187">
                  <c:v>-44.916682385121383</c:v>
                </c:pt>
                <c:pt idx="188">
                  <c:v>-45.364530107269609</c:v>
                </c:pt>
                <c:pt idx="189">
                  <c:v>-45.306871503455177</c:v>
                </c:pt>
                <c:pt idx="190">
                  <c:v>-44.203845289391658</c:v>
                </c:pt>
                <c:pt idx="191">
                  <c:v>-44.84302777662073</c:v>
                </c:pt>
                <c:pt idx="192">
                  <c:v>-44.523204438308412</c:v>
                </c:pt>
                <c:pt idx="193">
                  <c:v>-43.376833537375084</c:v>
                </c:pt>
                <c:pt idx="194">
                  <c:v>-41.934220935416107</c:v>
                </c:pt>
                <c:pt idx="195">
                  <c:v>-39.54592165869574</c:v>
                </c:pt>
                <c:pt idx="196">
                  <c:v>-39.931591925910134</c:v>
                </c:pt>
                <c:pt idx="197">
                  <c:v>-39.792715487955412</c:v>
                </c:pt>
                <c:pt idx="198">
                  <c:v>-40.00333077491306</c:v>
                </c:pt>
                <c:pt idx="199">
                  <c:v>-39.523634369713932</c:v>
                </c:pt>
                <c:pt idx="200">
                  <c:v>-38.929168198969407</c:v>
                </c:pt>
                <c:pt idx="201">
                  <c:v>-39.287873983159209</c:v>
                </c:pt>
                <c:pt idx="202">
                  <c:v>-37.811779247195773</c:v>
                </c:pt>
                <c:pt idx="203">
                  <c:v>-38.123033797539655</c:v>
                </c:pt>
                <c:pt idx="204">
                  <c:v>-36.966334879234935</c:v>
                </c:pt>
                <c:pt idx="205">
                  <c:v>-35.984034753085808</c:v>
                </c:pt>
                <c:pt idx="206">
                  <c:v>-35.981189052493598</c:v>
                </c:pt>
                <c:pt idx="207">
                  <c:v>-34.966913329122804</c:v>
                </c:pt>
                <c:pt idx="208">
                  <c:v>-35.173582896900577</c:v>
                </c:pt>
                <c:pt idx="209">
                  <c:v>-36.051808253272711</c:v>
                </c:pt>
                <c:pt idx="210">
                  <c:v>-38.151989445026366</c:v>
                </c:pt>
                <c:pt idx="211">
                  <c:v>-39.368084040328377</c:v>
                </c:pt>
                <c:pt idx="212">
                  <c:v>-38.483075078274808</c:v>
                </c:pt>
                <c:pt idx="213">
                  <c:v>-36.207416213717266</c:v>
                </c:pt>
                <c:pt idx="214">
                  <c:v>-42.022876140597766</c:v>
                </c:pt>
                <c:pt idx="215">
                  <c:v>-43.308836093722761</c:v>
                </c:pt>
                <c:pt idx="216">
                  <c:v>-45.094911458048706</c:v>
                </c:pt>
                <c:pt idx="217">
                  <c:v>-43.825507804614361</c:v>
                </c:pt>
                <c:pt idx="218">
                  <c:v>-44.512591753677846</c:v>
                </c:pt>
                <c:pt idx="219">
                  <c:v>-44.934477948027492</c:v>
                </c:pt>
                <c:pt idx="220">
                  <c:v>-45.758624935166104</c:v>
                </c:pt>
                <c:pt idx="221">
                  <c:v>-43.814192084599163</c:v>
                </c:pt>
                <c:pt idx="222">
                  <c:v>-44.418280080084116</c:v>
                </c:pt>
                <c:pt idx="223">
                  <c:v>-43.976678439278743</c:v>
                </c:pt>
                <c:pt idx="224">
                  <c:v>-43.138270207997145</c:v>
                </c:pt>
                <c:pt idx="225">
                  <c:v>-42.722407717960131</c:v>
                </c:pt>
                <c:pt idx="226">
                  <c:v>-41.128468230191373</c:v>
                </c:pt>
                <c:pt idx="227">
                  <c:v>-40.401699233216178</c:v>
                </c:pt>
                <c:pt idx="228">
                  <c:v>-49.238608629156097</c:v>
                </c:pt>
                <c:pt idx="229">
                  <c:v>-50.718655051377141</c:v>
                </c:pt>
                <c:pt idx="230">
                  <c:v>-50.192022960939674</c:v>
                </c:pt>
                <c:pt idx="231">
                  <c:v>-49.112075695368745</c:v>
                </c:pt>
                <c:pt idx="232">
                  <c:v>-45.637203254147522</c:v>
                </c:pt>
                <c:pt idx="233">
                  <c:v>-49.822620690924246</c:v>
                </c:pt>
                <c:pt idx="234">
                  <c:v>-51.458420242050593</c:v>
                </c:pt>
                <c:pt idx="235">
                  <c:v>-48.63336165781373</c:v>
                </c:pt>
                <c:pt idx="236">
                  <c:v>-47.460287134058973</c:v>
                </c:pt>
                <c:pt idx="237">
                  <c:v>-46.487764017254563</c:v>
                </c:pt>
                <c:pt idx="238">
                  <c:v>-46.028728459195094</c:v>
                </c:pt>
                <c:pt idx="239">
                  <c:v>-47.798134590616378</c:v>
                </c:pt>
                <c:pt idx="240">
                  <c:v>-47.41075181642983</c:v>
                </c:pt>
                <c:pt idx="241">
                  <c:v>-46.717189952251907</c:v>
                </c:pt>
                <c:pt idx="242">
                  <c:v>-47.966690315021694</c:v>
                </c:pt>
                <c:pt idx="243">
                  <c:v>-48.005157414798333</c:v>
                </c:pt>
                <c:pt idx="244">
                  <c:v>-47.170494500715591</c:v>
                </c:pt>
                <c:pt idx="245">
                  <c:v>-45.558181787659684</c:v>
                </c:pt>
                <c:pt idx="246">
                  <c:v>-44.247411314719628</c:v>
                </c:pt>
                <c:pt idx="247">
                  <c:v>-44.850307880550723</c:v>
                </c:pt>
                <c:pt idx="248">
                  <c:v>-44.124367024535999</c:v>
                </c:pt>
                <c:pt idx="249">
                  <c:v>-45.656611062626894</c:v>
                </c:pt>
                <c:pt idx="250">
                  <c:v>-48.72207493714803</c:v>
                </c:pt>
                <c:pt idx="251">
                  <c:v>-47.915162528708535</c:v>
                </c:pt>
                <c:pt idx="252">
                  <c:v>-44.325641628627245</c:v>
                </c:pt>
                <c:pt idx="253">
                  <c:v>-45.676295039988531</c:v>
                </c:pt>
                <c:pt idx="254">
                  <c:v>-44.271783996919801</c:v>
                </c:pt>
                <c:pt idx="255">
                  <c:v>-43.837743530005561</c:v>
                </c:pt>
                <c:pt idx="256">
                  <c:v>-41.332693804137136</c:v>
                </c:pt>
                <c:pt idx="257">
                  <c:v>-43.025576658153142</c:v>
                </c:pt>
                <c:pt idx="258">
                  <c:v>-41.293700113316859</c:v>
                </c:pt>
                <c:pt idx="259">
                  <c:v>-41.320156161175802</c:v>
                </c:pt>
                <c:pt idx="260">
                  <c:v>-40.676944937012919</c:v>
                </c:pt>
                <c:pt idx="261">
                  <c:v>-38.619716642786223</c:v>
                </c:pt>
                <c:pt idx="262">
                  <c:v>-40.596588387802164</c:v>
                </c:pt>
                <c:pt idx="263">
                  <c:v>-37.846738779636873</c:v>
                </c:pt>
                <c:pt idx="264">
                  <c:v>-39.233647562248926</c:v>
                </c:pt>
                <c:pt idx="265">
                  <c:v>-38.150328378853729</c:v>
                </c:pt>
                <c:pt idx="266">
                  <c:v>-37.680702195254781</c:v>
                </c:pt>
                <c:pt idx="267">
                  <c:v>-35.526776577659668</c:v>
                </c:pt>
                <c:pt idx="268">
                  <c:v>-36.645387612315169</c:v>
                </c:pt>
                <c:pt idx="269">
                  <c:v>-32.290947949743732</c:v>
                </c:pt>
                <c:pt idx="270">
                  <c:v>-28.742636952070139</c:v>
                </c:pt>
                <c:pt idx="271">
                  <c:v>-29.763374676638509</c:v>
                </c:pt>
                <c:pt idx="272">
                  <c:v>-22.156339307210228</c:v>
                </c:pt>
                <c:pt idx="273">
                  <c:v>-45.574961437092774</c:v>
                </c:pt>
                <c:pt idx="274">
                  <c:v>-46.562679259147231</c:v>
                </c:pt>
                <c:pt idx="275">
                  <c:v>-47.67213262539353</c:v>
                </c:pt>
                <c:pt idx="276">
                  <c:v>-51.761300793668205</c:v>
                </c:pt>
                <c:pt idx="277">
                  <c:v>-54.755673766667115</c:v>
                </c:pt>
                <c:pt idx="278">
                  <c:v>-54.346925671324861</c:v>
                </c:pt>
                <c:pt idx="279">
                  <c:v>-52.29250458770958</c:v>
                </c:pt>
                <c:pt idx="280">
                  <c:v>-53.876008990785202</c:v>
                </c:pt>
                <c:pt idx="281">
                  <c:v>-51.504369486476619</c:v>
                </c:pt>
                <c:pt idx="282">
                  <c:v>-49.322824116306776</c:v>
                </c:pt>
                <c:pt idx="283">
                  <c:v>-49.521318404334124</c:v>
                </c:pt>
                <c:pt idx="284">
                  <c:v>-49.103875061187459</c:v>
                </c:pt>
                <c:pt idx="285">
                  <c:v>-47.882360722721941</c:v>
                </c:pt>
                <c:pt idx="286">
                  <c:v>-46.551679192535602</c:v>
                </c:pt>
                <c:pt idx="287">
                  <c:v>-45.688779334335116</c:v>
                </c:pt>
                <c:pt idx="288">
                  <c:v>-46.655455881459922</c:v>
                </c:pt>
                <c:pt idx="289">
                  <c:v>-45.991476451815636</c:v>
                </c:pt>
                <c:pt idx="290">
                  <c:v>-45.645188371139753</c:v>
                </c:pt>
                <c:pt idx="291">
                  <c:v>-44.818383509462812</c:v>
                </c:pt>
                <c:pt idx="292">
                  <c:v>-44.815030832083373</c:v>
                </c:pt>
                <c:pt idx="293">
                  <c:v>-43.76481138645979</c:v>
                </c:pt>
                <c:pt idx="294">
                  <c:v>-43.419679197377697</c:v>
                </c:pt>
                <c:pt idx="295">
                  <c:v>-43.673650608938772</c:v>
                </c:pt>
                <c:pt idx="296">
                  <c:v>-42.270619306853575</c:v>
                </c:pt>
                <c:pt idx="297">
                  <c:v>-43.038134227961876</c:v>
                </c:pt>
                <c:pt idx="298">
                  <c:v>-41.614785976743484</c:v>
                </c:pt>
                <c:pt idx="299">
                  <c:v>-38.954664429148217</c:v>
                </c:pt>
                <c:pt idx="300">
                  <c:v>-37.279103790851394</c:v>
                </c:pt>
                <c:pt idx="301">
                  <c:v>-36.166649637726408</c:v>
                </c:pt>
                <c:pt idx="302">
                  <c:v>-37.895863342398812</c:v>
                </c:pt>
                <c:pt idx="303">
                  <c:v>-37.714456296559291</c:v>
                </c:pt>
                <c:pt idx="304">
                  <c:v>-39.974543431580599</c:v>
                </c:pt>
                <c:pt idx="305">
                  <c:v>-40.243596374366398</c:v>
                </c:pt>
                <c:pt idx="306">
                  <c:v>-39.970615078941549</c:v>
                </c:pt>
                <c:pt idx="307">
                  <c:v>-40.956981413332066</c:v>
                </c:pt>
                <c:pt idx="308">
                  <c:v>-41.510010362719363</c:v>
                </c:pt>
                <c:pt idx="309">
                  <c:v>-41.088192488428874</c:v>
                </c:pt>
                <c:pt idx="310">
                  <c:v>-39.655615151686582</c:v>
                </c:pt>
                <c:pt idx="311">
                  <c:v>-39.032790703656374</c:v>
                </c:pt>
                <c:pt idx="312">
                  <c:v>-37.273648431205459</c:v>
                </c:pt>
                <c:pt idx="313">
                  <c:v>-36.913572017362512</c:v>
                </c:pt>
                <c:pt idx="314">
                  <c:v>-34.056449783584739</c:v>
                </c:pt>
                <c:pt idx="315">
                  <c:v>-33.077550310667796</c:v>
                </c:pt>
                <c:pt idx="316">
                  <c:v>-31.333677726220845</c:v>
                </c:pt>
                <c:pt idx="317">
                  <c:v>-31.546615802350789</c:v>
                </c:pt>
                <c:pt idx="318">
                  <c:v>-32.329495296224962</c:v>
                </c:pt>
                <c:pt idx="319">
                  <c:v>-27.948155921541463</c:v>
                </c:pt>
                <c:pt idx="320">
                  <c:v>-29.249565236229085</c:v>
                </c:pt>
                <c:pt idx="321">
                  <c:v>-34.127997327318141</c:v>
                </c:pt>
                <c:pt idx="322">
                  <c:v>-31.664992691147926</c:v>
                </c:pt>
                <c:pt idx="323">
                  <c:v>-34.361464136289925</c:v>
                </c:pt>
                <c:pt idx="324">
                  <c:v>-31.537449477942889</c:v>
                </c:pt>
                <c:pt idx="325">
                  <c:v>-34.663615225958047</c:v>
                </c:pt>
                <c:pt idx="326">
                  <c:v>-34.514186434040404</c:v>
                </c:pt>
                <c:pt idx="327">
                  <c:v>-34.15136660223304</c:v>
                </c:pt>
                <c:pt idx="328">
                  <c:v>-34.238120112268625</c:v>
                </c:pt>
                <c:pt idx="329">
                  <c:v>-35.178944114598693</c:v>
                </c:pt>
                <c:pt idx="330">
                  <c:v>-33.561024418123282</c:v>
                </c:pt>
                <c:pt idx="331">
                  <c:v>-36.851750559060861</c:v>
                </c:pt>
                <c:pt idx="332">
                  <c:v>-36.6194840426135</c:v>
                </c:pt>
                <c:pt idx="333">
                  <c:v>-38.285468455334346</c:v>
                </c:pt>
                <c:pt idx="334">
                  <c:v>-37.573064238395737</c:v>
                </c:pt>
                <c:pt idx="335">
                  <c:v>-37.966746438257886</c:v>
                </c:pt>
                <c:pt idx="336">
                  <c:v>-37.351748208097639</c:v>
                </c:pt>
                <c:pt idx="337">
                  <c:v>-36.029445245503865</c:v>
                </c:pt>
                <c:pt idx="338">
                  <c:v>-36.350629504944656</c:v>
                </c:pt>
                <c:pt idx="339">
                  <c:v>-35.485423098300558</c:v>
                </c:pt>
                <c:pt idx="340">
                  <c:v>-36.339045985016519</c:v>
                </c:pt>
                <c:pt idx="341">
                  <c:v>-38.119389235063736</c:v>
                </c:pt>
                <c:pt idx="342">
                  <c:v>-37.00551439363786</c:v>
                </c:pt>
                <c:pt idx="343">
                  <c:v>-36.622049656727398</c:v>
                </c:pt>
                <c:pt idx="344">
                  <c:v>-38.029554217327401</c:v>
                </c:pt>
                <c:pt idx="345">
                  <c:v>-37.680191410952879</c:v>
                </c:pt>
                <c:pt idx="346">
                  <c:v>-37.383708501258823</c:v>
                </c:pt>
                <c:pt idx="347">
                  <c:v>-36.512217941764831</c:v>
                </c:pt>
                <c:pt idx="348">
                  <c:v>-34.928268554241427</c:v>
                </c:pt>
                <c:pt idx="349">
                  <c:v>-34.972384294320236</c:v>
                </c:pt>
                <c:pt idx="350">
                  <c:v>-37.495572201758634</c:v>
                </c:pt>
                <c:pt idx="351">
                  <c:v>-39.737321316311821</c:v>
                </c:pt>
                <c:pt idx="352">
                  <c:v>-40.887820588643201</c:v>
                </c:pt>
                <c:pt idx="353">
                  <c:v>-42.326803374302081</c:v>
                </c:pt>
                <c:pt idx="354">
                  <c:v>-43.613133449540172</c:v>
                </c:pt>
                <c:pt idx="355">
                  <c:v>-43.69509619226902</c:v>
                </c:pt>
                <c:pt idx="356">
                  <c:v>-40.844809756589747</c:v>
                </c:pt>
                <c:pt idx="357">
                  <c:v>-42.720141875854921</c:v>
                </c:pt>
                <c:pt idx="358">
                  <c:v>-42.647655875156786</c:v>
                </c:pt>
                <c:pt idx="359">
                  <c:v>-42.612181140129266</c:v>
                </c:pt>
                <c:pt idx="360">
                  <c:v>-42.204478863736298</c:v>
                </c:pt>
                <c:pt idx="361">
                  <c:v>-42.292030592138239</c:v>
                </c:pt>
                <c:pt idx="362">
                  <c:v>-42.576508477114317</c:v>
                </c:pt>
                <c:pt idx="363">
                  <c:v>-40.548749897887042</c:v>
                </c:pt>
                <c:pt idx="364">
                  <c:v>-39.995678953911131</c:v>
                </c:pt>
                <c:pt idx="365">
                  <c:v>-30.193324523080573</c:v>
                </c:pt>
                <c:pt idx="366">
                  <c:v>-32.600146354436319</c:v>
                </c:pt>
                <c:pt idx="367">
                  <c:v>-32.943954615426009</c:v>
                </c:pt>
                <c:pt idx="368">
                  <c:v>-32.415662234884998</c:v>
                </c:pt>
                <c:pt idx="369">
                  <c:v>-31.98280473853206</c:v>
                </c:pt>
                <c:pt idx="370">
                  <c:v>-29.8917739741239</c:v>
                </c:pt>
                <c:pt idx="371">
                  <c:v>-33.524382462651253</c:v>
                </c:pt>
                <c:pt idx="372">
                  <c:v>-32.833447114967733</c:v>
                </c:pt>
                <c:pt idx="373">
                  <c:v>-33.00722367856627</c:v>
                </c:pt>
                <c:pt idx="374">
                  <c:v>-33.03989397079868</c:v>
                </c:pt>
                <c:pt idx="375">
                  <c:v>-32.945656143150806</c:v>
                </c:pt>
                <c:pt idx="376">
                  <c:v>-33.632003853905296</c:v>
                </c:pt>
                <c:pt idx="377">
                  <c:v>-32.597305265042074</c:v>
                </c:pt>
                <c:pt idx="378">
                  <c:v>-32.919844507926285</c:v>
                </c:pt>
                <c:pt idx="379">
                  <c:v>-32.901259582504593</c:v>
                </c:pt>
                <c:pt idx="380">
                  <c:v>-32.997832323437926</c:v>
                </c:pt>
                <c:pt idx="381">
                  <c:v>-32.809289848437928</c:v>
                </c:pt>
                <c:pt idx="382">
                  <c:v>-32.881145469147562</c:v>
                </c:pt>
                <c:pt idx="383">
                  <c:v>-32.285999490772042</c:v>
                </c:pt>
                <c:pt idx="384">
                  <c:v>-30.817464475544838</c:v>
                </c:pt>
                <c:pt idx="385">
                  <c:v>-31.10480651567967</c:v>
                </c:pt>
                <c:pt idx="386">
                  <c:v>-30.665399352923071</c:v>
                </c:pt>
                <c:pt idx="387">
                  <c:v>-30.804574601749362</c:v>
                </c:pt>
                <c:pt idx="388">
                  <c:v>-30.975435032027139</c:v>
                </c:pt>
                <c:pt idx="389">
                  <c:v>-30.858723623851137</c:v>
                </c:pt>
                <c:pt idx="390">
                  <c:v>-31.210611445758229</c:v>
                </c:pt>
                <c:pt idx="391">
                  <c:v>-31.197357573758229</c:v>
                </c:pt>
                <c:pt idx="392">
                  <c:v>-31.185086043189514</c:v>
                </c:pt>
                <c:pt idx="393">
                  <c:v>-31.047442471618435</c:v>
                </c:pt>
                <c:pt idx="394">
                  <c:v>-31.204322127526531</c:v>
                </c:pt>
                <c:pt idx="395">
                  <c:v>-31.262724754790568</c:v>
                </c:pt>
                <c:pt idx="396">
                  <c:v>-31.075680286976688</c:v>
                </c:pt>
                <c:pt idx="397">
                  <c:v>-30.871556782449936</c:v>
                </c:pt>
                <c:pt idx="398">
                  <c:v>-31.224310748473854</c:v>
                </c:pt>
                <c:pt idx="399">
                  <c:v>-31.04111192440881</c:v>
                </c:pt>
                <c:pt idx="400">
                  <c:v>-31.381788712604806</c:v>
                </c:pt>
                <c:pt idx="401">
                  <c:v>-30.913691023537329</c:v>
                </c:pt>
                <c:pt idx="402">
                  <c:v>-30.808849562644944</c:v>
                </c:pt>
                <c:pt idx="403">
                  <c:v>-30.751192187247451</c:v>
                </c:pt>
                <c:pt idx="404">
                  <c:v>-30.367702887810832</c:v>
                </c:pt>
                <c:pt idx="405">
                  <c:v>-30.003954738524097</c:v>
                </c:pt>
                <c:pt idx="406">
                  <c:v>-30.5581151225241</c:v>
                </c:pt>
                <c:pt idx="407">
                  <c:v>-28.627324023010679</c:v>
                </c:pt>
                <c:pt idx="408">
                  <c:v>-28.904016980358918</c:v>
                </c:pt>
                <c:pt idx="409">
                  <c:v>-28.577973504578697</c:v>
                </c:pt>
                <c:pt idx="410">
                  <c:v>-28.817851903624256</c:v>
                </c:pt>
                <c:pt idx="411">
                  <c:v>-28.749759539963048</c:v>
                </c:pt>
                <c:pt idx="412">
                  <c:v>-28.613072346525552</c:v>
                </c:pt>
                <c:pt idx="413">
                  <c:v>-28.760613669602478</c:v>
                </c:pt>
                <c:pt idx="414">
                  <c:v>-28.695244682129946</c:v>
                </c:pt>
                <c:pt idx="415">
                  <c:v>-28.865148235004376</c:v>
                </c:pt>
                <c:pt idx="416">
                  <c:v>-28.712432659256123</c:v>
                </c:pt>
                <c:pt idx="417">
                  <c:v>-28.586649880083549</c:v>
                </c:pt>
                <c:pt idx="418">
                  <c:v>-28.601059854769083</c:v>
                </c:pt>
                <c:pt idx="419">
                  <c:v>-28.806559144769082</c:v>
                </c:pt>
                <c:pt idx="420">
                  <c:v>-28.490003691037405</c:v>
                </c:pt>
                <c:pt idx="421">
                  <c:v>-28.416556535363931</c:v>
                </c:pt>
                <c:pt idx="422">
                  <c:v>-28.589088524476274</c:v>
                </c:pt>
                <c:pt idx="423">
                  <c:v>-28.482266132603485</c:v>
                </c:pt>
                <c:pt idx="424">
                  <c:v>-28.608441174829967</c:v>
                </c:pt>
                <c:pt idx="425">
                  <c:v>-28.393450186148296</c:v>
                </c:pt>
                <c:pt idx="426">
                  <c:v>-28.476881032036147</c:v>
                </c:pt>
                <c:pt idx="427">
                  <c:v>-28.521019469429145</c:v>
                </c:pt>
                <c:pt idx="428">
                  <c:v>-28.311663114654582</c:v>
                </c:pt>
                <c:pt idx="429">
                  <c:v>-28.073037632710385</c:v>
                </c:pt>
                <c:pt idx="430">
                  <c:v>-28.827789054591996</c:v>
                </c:pt>
                <c:pt idx="431">
                  <c:v>-29.113838468231393</c:v>
                </c:pt>
                <c:pt idx="432">
                  <c:v>-29.106797922646667</c:v>
                </c:pt>
                <c:pt idx="433">
                  <c:v>-29.51531655598</c:v>
                </c:pt>
                <c:pt idx="434">
                  <c:v>-29.660043277789047</c:v>
                </c:pt>
                <c:pt idx="435">
                  <c:v>-29.548194083726543</c:v>
                </c:pt>
                <c:pt idx="436">
                  <c:v>-29.454431530411039</c:v>
                </c:pt>
                <c:pt idx="437">
                  <c:v>-29.472661174935929</c:v>
                </c:pt>
                <c:pt idx="438">
                  <c:v>-29.527527842333189</c:v>
                </c:pt>
                <c:pt idx="439">
                  <c:v>-29.490239212084226</c:v>
                </c:pt>
                <c:pt idx="440">
                  <c:v>-29.47416007081986</c:v>
                </c:pt>
                <c:pt idx="441">
                  <c:v>-29.432080471595722</c:v>
                </c:pt>
                <c:pt idx="442">
                  <c:v>-29.443896922838324</c:v>
                </c:pt>
                <c:pt idx="443">
                  <c:v>-29.360442801666959</c:v>
                </c:pt>
                <c:pt idx="444">
                  <c:v>-29.609289901666962</c:v>
                </c:pt>
                <c:pt idx="445">
                  <c:v>-29.592528542524107</c:v>
                </c:pt>
                <c:pt idx="446">
                  <c:v>-29.706707800105676</c:v>
                </c:pt>
                <c:pt idx="447">
                  <c:v>-29.502924940863107</c:v>
                </c:pt>
                <c:pt idx="448">
                  <c:v>-29.48636596560538</c:v>
                </c:pt>
                <c:pt idx="449">
                  <c:v>-29.721433204455217</c:v>
                </c:pt>
                <c:pt idx="450">
                  <c:v>-29.811972890436525</c:v>
                </c:pt>
                <c:pt idx="451">
                  <c:v>-29.937025733585696</c:v>
                </c:pt>
                <c:pt idx="452">
                  <c:v>-29.911034123910369</c:v>
                </c:pt>
                <c:pt idx="453">
                  <c:v>-29.833103575415386</c:v>
                </c:pt>
                <c:pt idx="454">
                  <c:v>-29.705789609883471</c:v>
                </c:pt>
                <c:pt idx="455">
                  <c:v>-29.850941769138132</c:v>
                </c:pt>
                <c:pt idx="456">
                  <c:v>-29.742245923258345</c:v>
                </c:pt>
                <c:pt idx="457">
                  <c:v>-29.885986875639301</c:v>
                </c:pt>
                <c:pt idx="458">
                  <c:v>-29.909517750336548</c:v>
                </c:pt>
                <c:pt idx="459">
                  <c:v>-29.4299093483265</c:v>
                </c:pt>
                <c:pt idx="460">
                  <c:v>-29.461576323221891</c:v>
                </c:pt>
                <c:pt idx="461">
                  <c:v>-29.565556485168795</c:v>
                </c:pt>
                <c:pt idx="462">
                  <c:v>-29.555750177093323</c:v>
                </c:pt>
                <c:pt idx="463">
                  <c:v>-29.440355579736494</c:v>
                </c:pt>
                <c:pt idx="464">
                  <c:v>-29.573955647897929</c:v>
                </c:pt>
                <c:pt idx="465">
                  <c:v>-29.26529470400904</c:v>
                </c:pt>
                <c:pt idx="466">
                  <c:v>-29.377322945663174</c:v>
                </c:pt>
                <c:pt idx="467">
                  <c:v>-29.293364147908072</c:v>
                </c:pt>
                <c:pt idx="468">
                  <c:v>-29.34583843319696</c:v>
                </c:pt>
                <c:pt idx="469">
                  <c:v>-28.655285123403448</c:v>
                </c:pt>
                <c:pt idx="470">
                  <c:v>-28.54744177202414</c:v>
                </c:pt>
                <c:pt idx="471">
                  <c:v>-28.474332280552929</c:v>
                </c:pt>
                <c:pt idx="472">
                  <c:v>-28.411208395873679</c:v>
                </c:pt>
                <c:pt idx="473">
                  <c:v>-28.524411139577385</c:v>
                </c:pt>
                <c:pt idx="474">
                  <c:v>-28.474982495896224</c:v>
                </c:pt>
                <c:pt idx="475">
                  <c:v>-28.113667240345439</c:v>
                </c:pt>
                <c:pt idx="476">
                  <c:v>-28.303989986805615</c:v>
                </c:pt>
                <c:pt idx="477">
                  <c:v>-28.425249613675842</c:v>
                </c:pt>
                <c:pt idx="478">
                  <c:v>-28.182221953098125</c:v>
                </c:pt>
                <c:pt idx="479">
                  <c:v>-28.078139159296477</c:v>
                </c:pt>
                <c:pt idx="480">
                  <c:v>-28.134401702692113</c:v>
                </c:pt>
                <c:pt idx="481">
                  <c:v>-28.165604612900928</c:v>
                </c:pt>
                <c:pt idx="482">
                  <c:v>-28.347834842676495</c:v>
                </c:pt>
                <c:pt idx="483">
                  <c:v>-28.475408761771618</c:v>
                </c:pt>
                <c:pt idx="484">
                  <c:v>-28.194566680997028</c:v>
                </c:pt>
                <c:pt idx="485">
                  <c:v>-28.03771688463339</c:v>
                </c:pt>
                <c:pt idx="486">
                  <c:v>-28.195286836199283</c:v>
                </c:pt>
                <c:pt idx="487">
                  <c:v>-27.654369727199281</c:v>
                </c:pt>
                <c:pt idx="488">
                  <c:v>-27.649767836977677</c:v>
                </c:pt>
                <c:pt idx="489">
                  <c:v>-27.699699153260397</c:v>
                </c:pt>
                <c:pt idx="490">
                  <c:v>-27.697890352829628</c:v>
                </c:pt>
                <c:pt idx="491">
                  <c:v>-28.507174121585532</c:v>
                </c:pt>
                <c:pt idx="492">
                  <c:v>-27.990830505006809</c:v>
                </c:pt>
                <c:pt idx="493">
                  <c:v>-28.068406870706976</c:v>
                </c:pt>
                <c:pt idx="494">
                  <c:v>-27.56133803871602</c:v>
                </c:pt>
                <c:pt idx="495">
                  <c:v>-27.185927326995749</c:v>
                </c:pt>
                <c:pt idx="496">
                  <c:v>-27.293364571395749</c:v>
                </c:pt>
                <c:pt idx="497">
                  <c:v>-27.16315976157729</c:v>
                </c:pt>
                <c:pt idx="498">
                  <c:v>-26.776340289207475</c:v>
                </c:pt>
                <c:pt idx="499">
                  <c:v>-27.425177365423689</c:v>
                </c:pt>
                <c:pt idx="500">
                  <c:v>-26.288360555388653</c:v>
                </c:pt>
                <c:pt idx="501">
                  <c:v>-26.679379713131226</c:v>
                </c:pt>
                <c:pt idx="502">
                  <c:v>-25.216026641600905</c:v>
                </c:pt>
                <c:pt idx="503">
                  <c:v>-26.344835558074784</c:v>
                </c:pt>
                <c:pt idx="504">
                  <c:v>-27.435562933568207</c:v>
                </c:pt>
                <c:pt idx="505">
                  <c:v>-26.906938342009095</c:v>
                </c:pt>
                <c:pt idx="506">
                  <c:v>-28.041832153380334</c:v>
                </c:pt>
                <c:pt idx="507">
                  <c:v>-30.338369915749478</c:v>
                </c:pt>
                <c:pt idx="508">
                  <c:v>-31.566412155749479</c:v>
                </c:pt>
                <c:pt idx="509">
                  <c:v>-32.053762245438364</c:v>
                </c:pt>
                <c:pt idx="510">
                  <c:v>-30.676162402591622</c:v>
                </c:pt>
                <c:pt idx="511">
                  <c:v>-31.266946741301297</c:v>
                </c:pt>
                <c:pt idx="512">
                  <c:v>-30.315487865181893</c:v>
                </c:pt>
                <c:pt idx="513">
                  <c:v>-30.543336697379853</c:v>
                </c:pt>
                <c:pt idx="514">
                  <c:v>-29.255857876271516</c:v>
                </c:pt>
                <c:pt idx="515">
                  <c:v>-29.280914605326579</c:v>
                </c:pt>
                <c:pt idx="516">
                  <c:v>-27.587497957326576</c:v>
                </c:pt>
                <c:pt idx="517">
                  <c:v>-28.619256505868243</c:v>
                </c:pt>
                <c:pt idx="518">
                  <c:v>-28.320452323428889</c:v>
                </c:pt>
                <c:pt idx="519">
                  <c:v>-29.714847213771119</c:v>
                </c:pt>
                <c:pt idx="520">
                  <c:v>-30.020506977249379</c:v>
                </c:pt>
                <c:pt idx="521">
                  <c:v>-29.895426807734097</c:v>
                </c:pt>
                <c:pt idx="522">
                  <c:v>-29.961433549565424</c:v>
                </c:pt>
                <c:pt idx="523">
                  <c:v>-29.849295661970487</c:v>
                </c:pt>
                <c:pt idx="524">
                  <c:v>-30.464738235466065</c:v>
                </c:pt>
                <c:pt idx="525">
                  <c:v>-29.368323455466065</c:v>
                </c:pt>
                <c:pt idx="526">
                  <c:v>-29.432607557626728</c:v>
                </c:pt>
                <c:pt idx="527">
                  <c:v>-28.82595165355648</c:v>
                </c:pt>
                <c:pt idx="528">
                  <c:v>-28.132414517994203</c:v>
                </c:pt>
                <c:pt idx="529">
                  <c:v>-28.389871341045055</c:v>
                </c:pt>
                <c:pt idx="530">
                  <c:v>-27.740385532931846</c:v>
                </c:pt>
                <c:pt idx="531">
                  <c:v>-27.641903943782914</c:v>
                </c:pt>
                <c:pt idx="532">
                  <c:v>-27.855094610030601</c:v>
                </c:pt>
                <c:pt idx="533">
                  <c:v>-27.003644716691088</c:v>
                </c:pt>
                <c:pt idx="534">
                  <c:v>-27.57732963616477</c:v>
                </c:pt>
                <c:pt idx="535">
                  <c:v>-27.818832334674795</c:v>
                </c:pt>
                <c:pt idx="536">
                  <c:v>-29.124223714172516</c:v>
                </c:pt>
                <c:pt idx="537">
                  <c:v>-29.584319153467298</c:v>
                </c:pt>
                <c:pt idx="538">
                  <c:v>-29.669269371522013</c:v>
                </c:pt>
                <c:pt idx="539">
                  <c:v>-30.347790147958246</c:v>
                </c:pt>
                <c:pt idx="540">
                  <c:v>-30.781184781993332</c:v>
                </c:pt>
                <c:pt idx="541">
                  <c:v>-30.496141712586553</c:v>
                </c:pt>
                <c:pt idx="542">
                  <c:v>-30.882655909029502</c:v>
                </c:pt>
                <c:pt idx="543">
                  <c:v>-30.699365452779503</c:v>
                </c:pt>
                <c:pt idx="544">
                  <c:v>-30.201871436509659</c:v>
                </c:pt>
                <c:pt idx="545">
                  <c:v>-30.433025835452192</c:v>
                </c:pt>
                <c:pt idx="546">
                  <c:v>-29.914848584648976</c:v>
                </c:pt>
                <c:pt idx="547">
                  <c:v>-30.668899196231063</c:v>
                </c:pt>
                <c:pt idx="548">
                  <c:v>-31.786038247445425</c:v>
                </c:pt>
                <c:pt idx="549">
                  <c:v>-32.73989975799293</c:v>
                </c:pt>
                <c:pt idx="550">
                  <c:v>-31.353754829401382</c:v>
                </c:pt>
                <c:pt idx="551">
                  <c:v>-30.347608372501167</c:v>
                </c:pt>
                <c:pt idx="552">
                  <c:v>-29.651697824639097</c:v>
                </c:pt>
                <c:pt idx="553">
                  <c:v>-30.083743682376202</c:v>
                </c:pt>
                <c:pt idx="554">
                  <c:v>-31.600928268633005</c:v>
                </c:pt>
                <c:pt idx="555">
                  <c:v>-31.523284142343076</c:v>
                </c:pt>
                <c:pt idx="556">
                  <c:v>-31.911089429715094</c:v>
                </c:pt>
                <c:pt idx="557">
                  <c:v>-31.175383035826204</c:v>
                </c:pt>
                <c:pt idx="558">
                  <c:v>-31.455316647323212</c:v>
                </c:pt>
                <c:pt idx="559">
                  <c:v>-31.189765533291798</c:v>
                </c:pt>
                <c:pt idx="560">
                  <c:v>-31.869965834445644</c:v>
                </c:pt>
                <c:pt idx="561">
                  <c:v>-31.982750972344334</c:v>
                </c:pt>
                <c:pt idx="562">
                  <c:v>-31.302620604105581</c:v>
                </c:pt>
                <c:pt idx="563">
                  <c:v>-31.71292675448856</c:v>
                </c:pt>
                <c:pt idx="564">
                  <c:v>-30.015330350396606</c:v>
                </c:pt>
                <c:pt idx="565">
                  <c:v>-31.673347718593327</c:v>
                </c:pt>
                <c:pt idx="566">
                  <c:v>-31.040366416383758</c:v>
                </c:pt>
                <c:pt idx="567">
                  <c:v>-31.962372338138145</c:v>
                </c:pt>
                <c:pt idx="568">
                  <c:v>-31.508423494129882</c:v>
                </c:pt>
                <c:pt idx="569">
                  <c:v>-31.197352128494959</c:v>
                </c:pt>
                <c:pt idx="570">
                  <c:v>-30.4238480418474</c:v>
                </c:pt>
                <c:pt idx="571">
                  <c:v>-31.702510908629524</c:v>
                </c:pt>
                <c:pt idx="572">
                  <c:v>-30.919384716673964</c:v>
                </c:pt>
                <c:pt idx="573">
                  <c:v>-31.392011018656724</c:v>
                </c:pt>
                <c:pt idx="574">
                  <c:v>-32.811288193764646</c:v>
                </c:pt>
                <c:pt idx="575">
                  <c:v>-33.916073470565649</c:v>
                </c:pt>
                <c:pt idx="576">
                  <c:v>-34.074457251102551</c:v>
                </c:pt>
                <c:pt idx="577">
                  <c:v>-33.900375692637823</c:v>
                </c:pt>
                <c:pt idx="578">
                  <c:v>-34.28419681494551</c:v>
                </c:pt>
                <c:pt idx="579">
                  <c:v>-33.790809177680096</c:v>
                </c:pt>
                <c:pt idx="580">
                  <c:v>-31.907842827028155</c:v>
                </c:pt>
                <c:pt idx="581">
                  <c:v>-31.602401358502259</c:v>
                </c:pt>
                <c:pt idx="582">
                  <c:v>-30.963281443619753</c:v>
                </c:pt>
                <c:pt idx="583">
                  <c:v>-30.650412430436855</c:v>
                </c:pt>
                <c:pt idx="584">
                  <c:v>-30.922770759640393</c:v>
                </c:pt>
                <c:pt idx="585">
                  <c:v>-30.531517987332695</c:v>
                </c:pt>
                <c:pt idx="586">
                  <c:v>-29.119798557496633</c:v>
                </c:pt>
                <c:pt idx="587">
                  <c:v>-28.829569567288306</c:v>
                </c:pt>
                <c:pt idx="588">
                  <c:v>-29.219336115621637</c:v>
                </c:pt>
                <c:pt idx="589">
                  <c:v>-29.163649886108743</c:v>
                </c:pt>
                <c:pt idx="590">
                  <c:v>-29.051943776428104</c:v>
                </c:pt>
                <c:pt idx="591">
                  <c:v>-30.44288401304831</c:v>
                </c:pt>
                <c:pt idx="592">
                  <c:v>-31.369351314022094</c:v>
                </c:pt>
                <c:pt idx="593">
                  <c:v>-30.010973202688756</c:v>
                </c:pt>
                <c:pt idx="594">
                  <c:v>-31.007377515638943</c:v>
                </c:pt>
                <c:pt idx="595">
                  <c:v>-31.759704402460976</c:v>
                </c:pt>
                <c:pt idx="596">
                  <c:v>-30.410008250649849</c:v>
                </c:pt>
                <c:pt idx="597">
                  <c:v>-30.441769667806248</c:v>
                </c:pt>
                <c:pt idx="598">
                  <c:v>-29.462150226233916</c:v>
                </c:pt>
                <c:pt idx="599">
                  <c:v>-27.980429214542522</c:v>
                </c:pt>
                <c:pt idx="600">
                  <c:v>-30.088901384452665</c:v>
                </c:pt>
                <c:pt idx="601">
                  <c:v>-32.809035418358349</c:v>
                </c:pt>
                <c:pt idx="602">
                  <c:v>-33.068635704220419</c:v>
                </c:pt>
                <c:pt idx="603">
                  <c:v>-33.893140794997116</c:v>
                </c:pt>
                <c:pt idx="604">
                  <c:v>-33.559528200793295</c:v>
                </c:pt>
                <c:pt idx="605">
                  <c:v>-30.650595129296484</c:v>
                </c:pt>
                <c:pt idx="606">
                  <c:v>-26.830324806899675</c:v>
                </c:pt>
                <c:pt idx="607">
                  <c:v>-22.046553217311249</c:v>
                </c:pt>
                <c:pt idx="608">
                  <c:v>-20.197936820412774</c:v>
                </c:pt>
                <c:pt idx="609">
                  <c:v>-21.747627010699983</c:v>
                </c:pt>
                <c:pt idx="610">
                  <c:v>-25.095760626780521</c:v>
                </c:pt>
                <c:pt idx="611">
                  <c:v>-24.031667762367707</c:v>
                </c:pt>
                <c:pt idx="612">
                  <c:v>-19.844588727258067</c:v>
                </c:pt>
                <c:pt idx="613">
                  <c:v>-12.420149595724894</c:v>
                </c:pt>
                <c:pt idx="614">
                  <c:v>-13.876188427826802</c:v>
                </c:pt>
                <c:pt idx="615">
                  <c:v>-16.143397188328336</c:v>
                </c:pt>
                <c:pt idx="616">
                  <c:v>-12.617460069650647</c:v>
                </c:pt>
                <c:pt idx="617">
                  <c:v>-13.974362234944769</c:v>
                </c:pt>
                <c:pt idx="618">
                  <c:v>-13.529203102581132</c:v>
                </c:pt>
                <c:pt idx="619">
                  <c:v>-14.675357106956133</c:v>
                </c:pt>
                <c:pt idx="620">
                  <c:v>-14.822334327851655</c:v>
                </c:pt>
                <c:pt idx="621">
                  <c:v>-14.454441907851654</c:v>
                </c:pt>
                <c:pt idx="622">
                  <c:v>-14.851363967812128</c:v>
                </c:pt>
                <c:pt idx="623">
                  <c:v>-14.626047280970026</c:v>
                </c:pt>
                <c:pt idx="624">
                  <c:v>-14.885577290403988</c:v>
                </c:pt>
                <c:pt idx="625">
                  <c:v>-15.18829519453622</c:v>
                </c:pt>
                <c:pt idx="626">
                  <c:v>-15.292355358082039</c:v>
                </c:pt>
                <c:pt idx="627">
                  <c:v>-15.369665609754279</c:v>
                </c:pt>
                <c:pt idx="628">
                  <c:v>-15.281620572091121</c:v>
                </c:pt>
                <c:pt idx="629">
                  <c:v>-15.305430130415143</c:v>
                </c:pt>
                <c:pt idx="630">
                  <c:v>-15.48270792438066</c:v>
                </c:pt>
                <c:pt idx="631">
                  <c:v>-15.791885960735803</c:v>
                </c:pt>
                <c:pt idx="632">
                  <c:v>-15.396327648902467</c:v>
                </c:pt>
                <c:pt idx="633">
                  <c:v>-15.814032384984939</c:v>
                </c:pt>
                <c:pt idx="634">
                  <c:v>-15.816747308951184</c:v>
                </c:pt>
                <c:pt idx="635">
                  <c:v>-15.573249969316482</c:v>
                </c:pt>
                <c:pt idx="636">
                  <c:v>-15.771957898153691</c:v>
                </c:pt>
                <c:pt idx="637">
                  <c:v>-15.740947911837901</c:v>
                </c:pt>
                <c:pt idx="638">
                  <c:v>-15.302503682197614</c:v>
                </c:pt>
                <c:pt idx="639">
                  <c:v>-16.022953634342723</c:v>
                </c:pt>
                <c:pt idx="640">
                  <c:v>-15.813058370894449</c:v>
                </c:pt>
                <c:pt idx="641">
                  <c:v>-15.862231183725498</c:v>
                </c:pt>
                <c:pt idx="642">
                  <c:v>-16.046461378501615</c:v>
                </c:pt>
                <c:pt idx="643">
                  <c:v>-16.029963228726334</c:v>
                </c:pt>
                <c:pt idx="644">
                  <c:v>-16.226386782290689</c:v>
                </c:pt>
                <c:pt idx="645">
                  <c:v>-16.108937876936359</c:v>
                </c:pt>
                <c:pt idx="646">
                  <c:v>-16.313559589222073</c:v>
                </c:pt>
                <c:pt idx="647">
                  <c:v>-16.168731659075014</c:v>
                </c:pt>
                <c:pt idx="648">
                  <c:v>-15.917400172372886</c:v>
                </c:pt>
                <c:pt idx="649">
                  <c:v>-15.827352280944316</c:v>
                </c:pt>
                <c:pt idx="650">
                  <c:v>-16.245041461108251</c:v>
                </c:pt>
                <c:pt idx="651">
                  <c:v>-16.129662403965394</c:v>
                </c:pt>
                <c:pt idx="652">
                  <c:v>-16.453692440960701</c:v>
                </c:pt>
                <c:pt idx="653">
                  <c:v>-16.225988878746961</c:v>
                </c:pt>
                <c:pt idx="654">
                  <c:v>-16.355240260565139</c:v>
                </c:pt>
                <c:pt idx="655">
                  <c:v>-16.230220234884669</c:v>
                </c:pt>
                <c:pt idx="656">
                  <c:v>-16.330746957542008</c:v>
                </c:pt>
                <c:pt idx="657">
                  <c:v>-16.165402934569038</c:v>
                </c:pt>
                <c:pt idx="658">
                  <c:v>-15.913561326538151</c:v>
                </c:pt>
                <c:pt idx="659">
                  <c:v>-15.388560257823066</c:v>
                </c:pt>
                <c:pt idx="660">
                  <c:v>-15.604357664489731</c:v>
                </c:pt>
                <c:pt idx="661">
                  <c:v>-15.099893607346875</c:v>
                </c:pt>
                <c:pt idx="662">
                  <c:v>-15.305894684231296</c:v>
                </c:pt>
                <c:pt idx="663">
                  <c:v>-14.799413549472932</c:v>
                </c:pt>
                <c:pt idx="664">
                  <c:v>-14.828748721237638</c:v>
                </c:pt>
                <c:pt idx="665">
                  <c:v>-14.853555758737638</c:v>
                </c:pt>
                <c:pt idx="666">
                  <c:v>-14.693628387526877</c:v>
                </c:pt>
                <c:pt idx="667">
                  <c:v>-14.709237189188007</c:v>
                </c:pt>
                <c:pt idx="668">
                  <c:v>-14.7745056338868</c:v>
                </c:pt>
                <c:pt idx="669">
                  <c:v>-14.875060557720792</c:v>
                </c:pt>
                <c:pt idx="670">
                  <c:v>-14.838528098929585</c:v>
                </c:pt>
                <c:pt idx="671">
                  <c:v>-14.81408995902008</c:v>
                </c:pt>
                <c:pt idx="672">
                  <c:v>-14.743605948330426</c:v>
                </c:pt>
                <c:pt idx="673">
                  <c:v>-14.828512479177883</c:v>
                </c:pt>
                <c:pt idx="674">
                  <c:v>-14.839849261727684</c:v>
                </c:pt>
                <c:pt idx="675">
                  <c:v>-14.842896115647951</c:v>
                </c:pt>
                <c:pt idx="676">
                  <c:v>-14.875377241186412</c:v>
                </c:pt>
                <c:pt idx="677">
                  <c:v>-14.696016708941162</c:v>
                </c:pt>
                <c:pt idx="678">
                  <c:v>-14.727165569412625</c:v>
                </c:pt>
                <c:pt idx="679">
                  <c:v>-14.698914927963862</c:v>
                </c:pt>
                <c:pt idx="680">
                  <c:v>-14.844991665670284</c:v>
                </c:pt>
                <c:pt idx="681">
                  <c:v>-14.757523488974634</c:v>
                </c:pt>
                <c:pt idx="682">
                  <c:v>-14.604825692452895</c:v>
                </c:pt>
                <c:pt idx="683">
                  <c:v>-14.594424865394071</c:v>
                </c:pt>
                <c:pt idx="684">
                  <c:v>-14.754747155214428</c:v>
                </c:pt>
                <c:pt idx="685">
                  <c:v>-14.200192026991433</c:v>
                </c:pt>
                <c:pt idx="686">
                  <c:v>-14.513826181465394</c:v>
                </c:pt>
                <c:pt idx="687">
                  <c:v>-14.300241077032403</c:v>
                </c:pt>
                <c:pt idx="688">
                  <c:v>-14.313186117759676</c:v>
                </c:pt>
                <c:pt idx="689">
                  <c:v>-14.227675522988786</c:v>
                </c:pt>
                <c:pt idx="690">
                  <c:v>-14.296872290051722</c:v>
                </c:pt>
                <c:pt idx="691">
                  <c:v>-14.095199180051722</c:v>
                </c:pt>
                <c:pt idx="692">
                  <c:v>-14.004865293975772</c:v>
                </c:pt>
                <c:pt idx="693">
                  <c:v>-13.991778541102208</c:v>
                </c:pt>
                <c:pt idx="694">
                  <c:v>-14.034449549848564</c:v>
                </c:pt>
                <c:pt idx="695">
                  <c:v>-13.983480919602949</c:v>
                </c:pt>
                <c:pt idx="696">
                  <c:v>-13.937591870436282</c:v>
                </c:pt>
                <c:pt idx="697">
                  <c:v>-14.03043458462983</c:v>
                </c:pt>
                <c:pt idx="698">
                  <c:v>-13.988139183395264</c:v>
                </c:pt>
                <c:pt idx="699">
                  <c:v>-13.945366925170413</c:v>
                </c:pt>
                <c:pt idx="700">
                  <c:v>-13.847009746885183</c:v>
                </c:pt>
                <c:pt idx="701">
                  <c:v>-13.819761794545922</c:v>
                </c:pt>
                <c:pt idx="702">
                  <c:v>-13.737312008208297</c:v>
                </c:pt>
                <c:pt idx="703">
                  <c:v>-13.615585695254774</c:v>
                </c:pt>
                <c:pt idx="704">
                  <c:v>-13.595105975882579</c:v>
                </c:pt>
                <c:pt idx="705">
                  <c:v>-13.639176991386453</c:v>
                </c:pt>
                <c:pt idx="706">
                  <c:v>-13.584490258886454</c:v>
                </c:pt>
                <c:pt idx="707">
                  <c:v>-13.6155710531526</c:v>
                </c:pt>
                <c:pt idx="708">
                  <c:v>-13.657801870543905</c:v>
                </c:pt>
                <c:pt idx="709">
                  <c:v>-13.111177255823755</c:v>
                </c:pt>
                <c:pt idx="710">
                  <c:v>-32.438593537436653</c:v>
                </c:pt>
                <c:pt idx="711">
                  <c:v>-32.50713398533005</c:v>
                </c:pt>
                <c:pt idx="712">
                  <c:v>-25.311800961658722</c:v>
                </c:pt>
                <c:pt idx="713">
                  <c:v>-5.1570711343860216</c:v>
                </c:pt>
                <c:pt idx="714">
                  <c:v>-5.3357363833715263</c:v>
                </c:pt>
                <c:pt idx="715">
                  <c:v>-4.8224937042112153</c:v>
                </c:pt>
                <c:pt idx="716">
                  <c:v>-0.76470407952811037</c:v>
                </c:pt>
                <c:pt idx="717">
                  <c:v>-1.3922792649364588</c:v>
                </c:pt>
                <c:pt idx="718">
                  <c:v>-1.3861268422667754</c:v>
                </c:pt>
                <c:pt idx="719">
                  <c:v>-1.3917173706001087</c:v>
                </c:pt>
                <c:pt idx="720">
                  <c:v>-1.3959185797001088</c:v>
                </c:pt>
                <c:pt idx="721">
                  <c:v>-1.4329204888213207</c:v>
                </c:pt>
                <c:pt idx="722">
                  <c:v>-1.4424083946827069</c:v>
                </c:pt>
                <c:pt idx="723">
                  <c:v>-1.4254844337006487</c:v>
                </c:pt>
                <c:pt idx="724">
                  <c:v>-1.4623339475384867</c:v>
                </c:pt>
                <c:pt idx="725">
                  <c:v>-1.4843398307384867</c:v>
                </c:pt>
                <c:pt idx="726">
                  <c:v>-1.4860419401724494</c:v>
                </c:pt>
                <c:pt idx="727">
                  <c:v>-1.5012591580794261</c:v>
                </c:pt>
                <c:pt idx="728">
                  <c:v>-1.4657498087573921</c:v>
                </c:pt>
                <c:pt idx="729">
                  <c:v>-1.5077272712573924</c:v>
                </c:pt>
                <c:pt idx="730">
                  <c:v>-1.4607764666833427</c:v>
                </c:pt>
                <c:pt idx="731">
                  <c:v>-1.4660477503841303</c:v>
                </c:pt>
                <c:pt idx="732">
                  <c:v>-1.4678372428498836</c:v>
                </c:pt>
                <c:pt idx="733">
                  <c:v>-1.409191387644404</c:v>
                </c:pt>
                <c:pt idx="734">
                  <c:v>-1.4043175184136347</c:v>
                </c:pt>
                <c:pt idx="735">
                  <c:v>-0.1588247230701253</c:v>
                </c:pt>
                <c:pt idx="736">
                  <c:v>-0.14514335903871159</c:v>
                </c:pt>
                <c:pt idx="737">
                  <c:v>-0.12366246741708983</c:v>
                </c:pt>
                <c:pt idx="738">
                  <c:v>-0.11932129777365413</c:v>
                </c:pt>
                <c:pt idx="739">
                  <c:v>-8.9469757773654138E-2</c:v>
                </c:pt>
                <c:pt idx="740">
                  <c:v>-8.1542155754423404E-2</c:v>
                </c:pt>
                <c:pt idx="741">
                  <c:v>-5.9133492232828648E-2</c:v>
                </c:pt>
                <c:pt idx="742">
                  <c:v>-4.0012001143719847E-2</c:v>
                </c:pt>
                <c:pt idx="743">
                  <c:v>-0.13077384650454482</c:v>
                </c:pt>
                <c:pt idx="744">
                  <c:v>-0.23944423038467091</c:v>
                </c:pt>
                <c:pt idx="745">
                  <c:v>-0.23427801507493645</c:v>
                </c:pt>
                <c:pt idx="746">
                  <c:v>-0.13991455648572476</c:v>
                </c:pt>
                <c:pt idx="747">
                  <c:v>-0.13578463587966433</c:v>
                </c:pt>
                <c:pt idx="748">
                  <c:v>-8.84537638720162E-2</c:v>
                </c:pt>
                <c:pt idx="749">
                  <c:v>-0.11229305734140398</c:v>
                </c:pt>
                <c:pt idx="750">
                  <c:v>-9.4963252541403989E-2</c:v>
                </c:pt>
                <c:pt idx="751">
                  <c:v>-7.3944035135063937E-2</c:v>
                </c:pt>
                <c:pt idx="752">
                  <c:v>-8.541594489884341E-2</c:v>
                </c:pt>
                <c:pt idx="753">
                  <c:v>-0.10490332318105199</c:v>
                </c:pt>
                <c:pt idx="754">
                  <c:v>-0.10471522837335966</c:v>
                </c:pt>
                <c:pt idx="755">
                  <c:v>-0.14154811725140848</c:v>
                </c:pt>
                <c:pt idx="756">
                  <c:v>-0.15823463610491156</c:v>
                </c:pt>
                <c:pt idx="757">
                  <c:v>-0.15798791346531765</c:v>
                </c:pt>
                <c:pt idx="758">
                  <c:v>-0.16150698970061181</c:v>
                </c:pt>
                <c:pt idx="759">
                  <c:v>-0.15168037090061179</c:v>
                </c:pt>
                <c:pt idx="760">
                  <c:v>-0.15186707891230775</c:v>
                </c:pt>
                <c:pt idx="761">
                  <c:v>-0.14734806672052689</c:v>
                </c:pt>
                <c:pt idx="762">
                  <c:v>-0.14879721237569926</c:v>
                </c:pt>
                <c:pt idx="763">
                  <c:v>-0.14690327089710006</c:v>
                </c:pt>
                <c:pt idx="764">
                  <c:v>-0.1562175284948655</c:v>
                </c:pt>
                <c:pt idx="765">
                  <c:v>-0.15419212095388188</c:v>
                </c:pt>
                <c:pt idx="766">
                  <c:v>-0.14041268095388187</c:v>
                </c:pt>
                <c:pt idx="767">
                  <c:v>-7.9168254516827255E-2</c:v>
                </c:pt>
                <c:pt idx="768">
                  <c:v>-0.12560816451682727</c:v>
                </c:pt>
                <c:pt idx="769">
                  <c:v>-0.11562792306383574</c:v>
                </c:pt>
                <c:pt idx="770">
                  <c:v>-0.12466582452725028</c:v>
                </c:pt>
                <c:pt idx="771">
                  <c:v>-0.13075740635333719</c:v>
                </c:pt>
                <c:pt idx="772">
                  <c:v>-0.16355978712256797</c:v>
                </c:pt>
                <c:pt idx="773">
                  <c:v>-0.15210781622998101</c:v>
                </c:pt>
                <c:pt idx="774">
                  <c:v>-0.1994439482299811</c:v>
                </c:pt>
                <c:pt idx="775">
                  <c:v>-0.21477574701170701</c:v>
                </c:pt>
                <c:pt idx="776">
                  <c:v>-0.21418917031267787</c:v>
                </c:pt>
                <c:pt idx="777">
                  <c:v>-0.20925275150079667</c:v>
                </c:pt>
                <c:pt idx="778">
                  <c:v>-0.21636274581897852</c:v>
                </c:pt>
                <c:pt idx="779">
                  <c:v>-0.19445809497729513</c:v>
                </c:pt>
                <c:pt idx="780">
                  <c:v>-9.4710483701330866E-2</c:v>
                </c:pt>
                <c:pt idx="781">
                  <c:v>-8.7977659701330799E-2</c:v>
                </c:pt>
                <c:pt idx="782">
                  <c:v>-7.9962367256886602E-2</c:v>
                </c:pt>
                <c:pt idx="783">
                  <c:v>-5.3347937769706928E-2</c:v>
                </c:pt>
                <c:pt idx="784">
                  <c:v>-8.2277020133342871E-2</c:v>
                </c:pt>
                <c:pt idx="785">
                  <c:v>-8.1952065466676272E-2</c:v>
                </c:pt>
                <c:pt idx="786">
                  <c:v>-4.7998187066676246E-2</c:v>
                </c:pt>
                <c:pt idx="787">
                  <c:v>-4.8557756305430647E-2</c:v>
                </c:pt>
                <c:pt idx="788">
                  <c:v>-0.12506070459114485</c:v>
                </c:pt>
                <c:pt idx="789">
                  <c:v>-0.13740843119180493</c:v>
                </c:pt>
                <c:pt idx="790">
                  <c:v>-0.12457791730645472</c:v>
                </c:pt>
                <c:pt idx="791">
                  <c:v>-0.19053604414995587</c:v>
                </c:pt>
                <c:pt idx="792">
                  <c:v>-0.10874634840832874</c:v>
                </c:pt>
                <c:pt idx="793">
                  <c:v>-0.13880593970852004</c:v>
                </c:pt>
                <c:pt idx="794">
                  <c:v>-0.17106467661951477</c:v>
                </c:pt>
                <c:pt idx="795">
                  <c:v>-0.18787806470170662</c:v>
                </c:pt>
                <c:pt idx="796">
                  <c:v>-0.13803540221128513</c:v>
                </c:pt>
                <c:pt idx="797">
                  <c:v>-0.1718922225203359</c:v>
                </c:pt>
                <c:pt idx="798">
                  <c:v>-0.17602315074540453</c:v>
                </c:pt>
                <c:pt idx="799">
                  <c:v>-0.16355413074540456</c:v>
                </c:pt>
                <c:pt idx="800">
                  <c:v>-0.17265821975249684</c:v>
                </c:pt>
                <c:pt idx="801">
                  <c:v>-0.17943433194865865</c:v>
                </c:pt>
                <c:pt idx="802">
                  <c:v>-0.15831392153277965</c:v>
                </c:pt>
                <c:pt idx="803">
                  <c:v>-0.16552473319269861</c:v>
                </c:pt>
                <c:pt idx="804">
                  <c:v>-0.14769716679593736</c:v>
                </c:pt>
                <c:pt idx="805">
                  <c:v>-0.19320999626962132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21-418A-81E3-7C6599AB8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958800"/>
        <c:axId val="519960464"/>
      </c:lineChart>
      <c:dateAx>
        <c:axId val="519958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60464"/>
        <c:crosses val="autoZero"/>
        <c:auto val="1"/>
        <c:lblOffset val="100"/>
        <c:baseTimeUnit val="days"/>
      </c:dateAx>
      <c:valAx>
        <c:axId val="5199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9A6DAB-06F9-458C-9AF9-4F40A967E0F0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0DD450-98E9-4E8E-B6FC-52F81BD97CC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0.26300000000000001</v>
      </c>
      <c r="D2" s="4">
        <f>MIN(D3:D1912)</f>
        <v>1.034E-3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7.3679999999999995E-2</v>
      </c>
      <c r="C5">
        <v>7.4480000000000005E-2</v>
      </c>
      <c r="D5">
        <v>7.1739999999999998E-2</v>
      </c>
      <c r="E5">
        <v>7.1819999999999995E-2</v>
      </c>
      <c r="F5">
        <v>7635723</v>
      </c>
      <c r="G5">
        <v>7.1819999999999995E-2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-0.94160583941606091</v>
      </c>
      <c r="Q5">
        <f t="shared" ref="Q5" si="1">F5*P5</f>
        <v>-7189841.3649635231</v>
      </c>
      <c r="R5">
        <f t="shared" ref="R5" si="2">R6+Q5</f>
        <v>-6089756161.8768559</v>
      </c>
      <c r="S5">
        <f t="shared" ref="S5" si="3">R5/100000</f>
        <v>-60897.561618768559</v>
      </c>
      <c r="T5">
        <f t="shared" ref="T5" si="4">S5/1000</f>
        <v>-60.897561618768556</v>
      </c>
    </row>
    <row r="6" spans="1:20" x14ac:dyDescent="0.25">
      <c r="A6" s="5">
        <v>44587</v>
      </c>
      <c r="B6">
        <v>7.213E-2</v>
      </c>
      <c r="C6">
        <v>7.9339999999999994E-2</v>
      </c>
      <c r="D6">
        <v>7.0690000000000003E-2</v>
      </c>
      <c r="E6">
        <v>7.3760000000000006E-2</v>
      </c>
      <c r="F6">
        <v>170963524</v>
      </c>
      <c r="G6">
        <v>7.3760000000000006E-2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-0.2901734104046228</v>
      </c>
      <c r="Q6">
        <f t="shared" ref="Q6" si="6">F6*P6</f>
        <v>-49609068.813872583</v>
      </c>
      <c r="R6">
        <f t="shared" ref="R6" si="7">R7+Q6</f>
        <v>-6082566320.5118923</v>
      </c>
      <c r="S6">
        <f t="shared" ref="S6" si="8">R6/100000</f>
        <v>-60825.663205118923</v>
      </c>
      <c r="T6">
        <f t="shared" ref="T6" si="9">S6/1000</f>
        <v>-60.825663205118921</v>
      </c>
    </row>
    <row r="7" spans="1:20" x14ac:dyDescent="0.25">
      <c r="A7" s="5">
        <v>44586</v>
      </c>
      <c r="B7">
        <v>7.0139999999999994E-2</v>
      </c>
      <c r="C7">
        <v>7.3200000000000001E-2</v>
      </c>
      <c r="D7">
        <v>6.762E-2</v>
      </c>
      <c r="E7">
        <v>7.2069999999999995E-2</v>
      </c>
      <c r="F7">
        <v>121766125</v>
      </c>
      <c r="G7">
        <v>7.2069999999999995E-2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0.59498207885304455</v>
      </c>
      <c r="Q7">
        <f t="shared" ref="Q7" si="11">F7*P7</f>
        <v>72448662.186379686</v>
      </c>
      <c r="R7">
        <f t="shared" ref="R7" si="12">R8+Q7</f>
        <v>-6032957251.69802</v>
      </c>
      <c r="S7">
        <f t="shared" ref="S7" si="13">R7/100000</f>
        <v>-60329.572516980203</v>
      </c>
      <c r="T7">
        <f t="shared" ref="T7" si="14">S7/1000</f>
        <v>-60.3295725169802</v>
      </c>
    </row>
    <row r="8" spans="1:20" x14ac:dyDescent="0.25">
      <c r="A8" s="5">
        <v>44585</v>
      </c>
      <c r="B8">
        <v>7.5590000000000004E-2</v>
      </c>
      <c r="C8">
        <v>7.5590000000000004E-2</v>
      </c>
      <c r="D8">
        <v>6.2670000000000003E-2</v>
      </c>
      <c r="E8">
        <v>7.0120000000000002E-2</v>
      </c>
      <c r="F8">
        <v>205848026</v>
      </c>
      <c r="G8">
        <v>7.0120000000000002E-2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0.15325077399380771</v>
      </c>
      <c r="Q8">
        <f t="shared" ref="Q8" si="16">F8*P8</f>
        <v>31546369.309597455</v>
      </c>
      <c r="R8">
        <f t="shared" ref="R8" si="17">R9+Q8</f>
        <v>-6105405913.8843994</v>
      </c>
      <c r="S8">
        <f t="shared" ref="S8" si="18">R8/100000</f>
        <v>-61054.059138843993</v>
      </c>
      <c r="T8">
        <f t="shared" ref="T8" si="19">S8/1000</f>
        <v>-61.054059138843996</v>
      </c>
    </row>
    <row r="9" spans="1:20" x14ac:dyDescent="0.25">
      <c r="A9" s="5">
        <v>44584</v>
      </c>
      <c r="B9">
        <v>7.1999999999999995E-2</v>
      </c>
      <c r="C9">
        <v>7.6109999999999997E-2</v>
      </c>
      <c r="D9">
        <v>6.9779999999999995E-2</v>
      </c>
      <c r="E9">
        <v>7.5590000000000004E-2</v>
      </c>
      <c r="F9">
        <v>141576013</v>
      </c>
      <c r="G9">
        <v>7.5590000000000004E-2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0.83570300157978117</v>
      </c>
      <c r="Q9">
        <f t="shared" ref="Q9" si="21">F9*P9</f>
        <v>118315499.01579812</v>
      </c>
      <c r="R9">
        <f t="shared" ref="R9" si="22">R10+Q9</f>
        <v>-6136952283.1939964</v>
      </c>
      <c r="S9">
        <f t="shared" ref="S9" si="23">R9/100000</f>
        <v>-61369.522831939961</v>
      </c>
      <c r="T9">
        <f t="shared" ref="T9" si="24">S9/1000</f>
        <v>-61.36952283193996</v>
      </c>
    </row>
    <row r="10" spans="1:20" x14ac:dyDescent="0.25">
      <c r="A10" s="5">
        <v>44583</v>
      </c>
      <c r="B10">
        <v>8.4089999999999998E-2</v>
      </c>
      <c r="C10">
        <v>8.5419999999999996E-2</v>
      </c>
      <c r="D10">
        <v>6.4509999999999998E-2</v>
      </c>
      <c r="E10">
        <v>7.1989999999999998E-2</v>
      </c>
      <c r="F10">
        <v>235258726</v>
      </c>
      <c r="G10">
        <v>7.1989999999999998E-2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-0.28455284552845517</v>
      </c>
      <c r="Q10">
        <f t="shared" ref="Q10" si="26">F10*P10</f>
        <v>-66943539.91869916</v>
      </c>
      <c r="R10">
        <f t="shared" ref="R10" si="27">R11+Q10</f>
        <v>-6255267782.209795</v>
      </c>
      <c r="S10">
        <f t="shared" ref="S10" si="28">R10/100000</f>
        <v>-62552.677822097947</v>
      </c>
      <c r="T10">
        <f t="shared" ref="T10" si="29">S10/1000</f>
        <v>-62.552677822097948</v>
      </c>
    </row>
    <row r="11" spans="1:20" x14ac:dyDescent="0.25">
      <c r="A11" s="5">
        <v>44582</v>
      </c>
      <c r="B11">
        <v>9.9559999999999996E-2</v>
      </c>
      <c r="C11">
        <v>0.10056</v>
      </c>
      <c r="D11">
        <v>8.2089999999999996E-2</v>
      </c>
      <c r="E11">
        <v>8.4239999999999995E-2</v>
      </c>
      <c r="F11">
        <v>179457136</v>
      </c>
      <c r="G11">
        <v>8.4239999999999995E-2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-0.7671900378992963</v>
      </c>
      <c r="Q11">
        <f t="shared" ref="Q11" si="31">F11*P11</f>
        <v>-137677726.96913916</v>
      </c>
      <c r="R11">
        <f t="shared" ref="R11" si="32">R12+Q11</f>
        <v>-6188324242.2910957</v>
      </c>
      <c r="S11">
        <f t="shared" ref="S11" si="33">R11/100000</f>
        <v>-61883.24242291096</v>
      </c>
      <c r="T11">
        <f t="shared" ref="T11" si="34">S11/1000</f>
        <v>-61.883242422910961</v>
      </c>
    </row>
    <row r="12" spans="1:20" x14ac:dyDescent="0.25">
      <c r="A12" s="5">
        <v>44581</v>
      </c>
      <c r="B12">
        <v>0.10661</v>
      </c>
      <c r="C12">
        <v>0.10928</v>
      </c>
      <c r="D12">
        <v>9.9000000000000005E-2</v>
      </c>
      <c r="E12">
        <v>9.9589999999999998E-2</v>
      </c>
      <c r="F12">
        <v>116613826</v>
      </c>
      <c r="G12">
        <v>9.9589999999999998E-2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-0.88521400778210246</v>
      </c>
      <c r="Q12">
        <f t="shared" ref="Q12" si="36">F12*P12</f>
        <v>-103228192.27626474</v>
      </c>
      <c r="R12">
        <f t="shared" ref="R12" si="37">R13+Q12</f>
        <v>-6050646515.3219566</v>
      </c>
      <c r="S12">
        <f t="shared" ref="S12" si="38">R12/100000</f>
        <v>-60506.465153219564</v>
      </c>
      <c r="T12">
        <f t="shared" ref="T12" si="39">S12/1000</f>
        <v>-60.506465153219565</v>
      </c>
    </row>
    <row r="13" spans="1:20" x14ac:dyDescent="0.25">
      <c r="A13" s="5">
        <v>44580</v>
      </c>
      <c r="B13">
        <v>0.11565</v>
      </c>
      <c r="C13">
        <v>0.11940000000000001</v>
      </c>
      <c r="D13">
        <v>0.10627</v>
      </c>
      <c r="E13">
        <v>0.10661</v>
      </c>
      <c r="F13">
        <v>163257522</v>
      </c>
      <c r="G13">
        <v>0.10661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-0.94821020563594927</v>
      </c>
      <c r="Q13">
        <f t="shared" ref="Q13" si="41">F13*P13</f>
        <v>-154802448.5072355</v>
      </c>
      <c r="R13">
        <f t="shared" ref="R13" si="42">R14+Q13</f>
        <v>-5947418323.0456915</v>
      </c>
      <c r="S13">
        <f t="shared" ref="S13" si="43">R13/100000</f>
        <v>-59474.183230456918</v>
      </c>
      <c r="T13">
        <f t="shared" ref="T13" si="44">S13/1000</f>
        <v>-59.474183230456916</v>
      </c>
    </row>
    <row r="14" spans="1:20" x14ac:dyDescent="0.25">
      <c r="A14" s="5">
        <v>44579</v>
      </c>
      <c r="B14">
        <v>0.10779</v>
      </c>
      <c r="C14">
        <v>0.11785</v>
      </c>
      <c r="D14">
        <v>0.10715</v>
      </c>
      <c r="E14">
        <v>0.11569</v>
      </c>
      <c r="F14">
        <v>265565375</v>
      </c>
      <c r="G14">
        <v>0.11569</v>
      </c>
      <c r="L14" t="s">
        <v>8</v>
      </c>
      <c r="M14" t="s">
        <v>8</v>
      </c>
      <c r="N14" t="s">
        <v>7</v>
      </c>
      <c r="P14">
        <f t="shared" ref="P14" si="45">IF(C14=D14,0,((E14-D14)-(C14-E14))/(C14-D14))</f>
        <v>0.59626168224299159</v>
      </c>
      <c r="Q14">
        <f t="shared" ref="Q14" si="46">F14*P14</f>
        <v>158346457.24299091</v>
      </c>
      <c r="R14">
        <f t="shared" ref="R14" si="47">R15+Q14</f>
        <v>-5792615874.538456</v>
      </c>
      <c r="S14">
        <f t="shared" ref="S14" si="48">R14/100000</f>
        <v>-57926.158745384557</v>
      </c>
      <c r="T14">
        <f t="shared" ref="T14" si="49">S14/1000</f>
        <v>-57.926158745384555</v>
      </c>
    </row>
    <row r="15" spans="1:20" x14ac:dyDescent="0.25">
      <c r="A15" s="5">
        <v>44578</v>
      </c>
      <c r="B15">
        <v>0.11175</v>
      </c>
      <c r="C15">
        <v>0.11845</v>
      </c>
      <c r="D15">
        <v>0.10556</v>
      </c>
      <c r="E15">
        <v>0.10777</v>
      </c>
      <c r="F15">
        <v>213524220</v>
      </c>
      <c r="G15">
        <v>0.10777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-0.65709852598913832</v>
      </c>
      <c r="Q15">
        <f t="shared" ref="Q15" si="51">F15*P15</f>
        <v>-140306450.22498047</v>
      </c>
      <c r="R15">
        <f t="shared" ref="R15" si="52">R16+Q15</f>
        <v>-5950962331.7814465</v>
      </c>
      <c r="S15">
        <f t="shared" ref="S15" si="53">R15/100000</f>
        <v>-59509.623317814461</v>
      </c>
      <c r="T15">
        <f t="shared" ref="T15" si="54">S15/1000</f>
        <v>-59.509623317814459</v>
      </c>
    </row>
    <row r="16" spans="1:20" x14ac:dyDescent="0.25">
      <c r="A16" s="5">
        <v>44577</v>
      </c>
      <c r="B16">
        <v>0.11525000000000001</v>
      </c>
      <c r="C16">
        <v>0.11600000000000001</v>
      </c>
      <c r="D16">
        <v>0.10786999999999999</v>
      </c>
      <c r="E16">
        <v>0.11176</v>
      </c>
      <c r="F16">
        <v>163308079</v>
      </c>
      <c r="G16">
        <v>0.11176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-4.3050430504305355E-2</v>
      </c>
      <c r="Q16">
        <f t="shared" ref="Q16" si="56">F16*P16</f>
        <v>-7030483.1057811091</v>
      </c>
      <c r="R16">
        <f t="shared" ref="R16" si="57">R17+Q16</f>
        <v>-5810655881.5564661</v>
      </c>
      <c r="S16">
        <f t="shared" ref="S16" si="58">R16/100000</f>
        <v>-58106.558815564662</v>
      </c>
      <c r="T16">
        <f t="shared" ref="T16" si="59">S16/1000</f>
        <v>-58.106558815564661</v>
      </c>
    </row>
    <row r="17" spans="1:20" x14ac:dyDescent="0.25">
      <c r="A17" s="5">
        <v>44576</v>
      </c>
      <c r="B17">
        <v>0.10066</v>
      </c>
      <c r="C17">
        <v>0.11817</v>
      </c>
      <c r="D17">
        <v>0.10007000000000001</v>
      </c>
      <c r="E17">
        <v>0.11527</v>
      </c>
      <c r="F17">
        <v>368051537</v>
      </c>
      <c r="G17">
        <v>0.11527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0.67955801104972358</v>
      </c>
      <c r="Q17">
        <f t="shared" ref="Q17" si="61">F17*P17</f>
        <v>250112370.44751376</v>
      </c>
      <c r="R17">
        <f t="shared" ref="R17" si="62">R18+Q17</f>
        <v>-5803625398.4506845</v>
      </c>
      <c r="S17">
        <f t="shared" ref="S17" si="63">R17/100000</f>
        <v>-58036.253984506846</v>
      </c>
      <c r="T17">
        <f t="shared" ref="T17" si="64">S17/1000</f>
        <v>-58.036253984506843</v>
      </c>
    </row>
    <row r="18" spans="1:20" x14ac:dyDescent="0.25">
      <c r="A18" s="5">
        <v>44575</v>
      </c>
      <c r="B18">
        <v>0.10018000000000001</v>
      </c>
      <c r="C18">
        <v>0.10256999999999999</v>
      </c>
      <c r="D18">
        <v>9.7379999999999994E-2</v>
      </c>
      <c r="E18">
        <v>0.10072</v>
      </c>
      <c r="F18">
        <v>77496797</v>
      </c>
      <c r="G18">
        <v>0.10072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0.28709055876686301</v>
      </c>
      <c r="Q18">
        <f t="shared" ref="Q18" si="66">F18*P18</f>
        <v>22248598.753372151</v>
      </c>
      <c r="R18">
        <f t="shared" ref="R18" si="67">R19+Q18</f>
        <v>-6053737768.8981981</v>
      </c>
      <c r="S18">
        <f t="shared" ref="S18" si="68">R18/100000</f>
        <v>-60537.377688981978</v>
      </c>
      <c r="T18">
        <f t="shared" ref="T18" si="69">S18/1000</f>
        <v>-60.537377688981977</v>
      </c>
    </row>
    <row r="19" spans="1:20" x14ac:dyDescent="0.25">
      <c r="A19" s="5">
        <v>44574</v>
      </c>
      <c r="B19">
        <v>0.10564</v>
      </c>
      <c r="C19">
        <v>0.10798000000000001</v>
      </c>
      <c r="D19">
        <v>9.9599999999999994E-2</v>
      </c>
      <c r="E19">
        <v>0.10018000000000001</v>
      </c>
      <c r="F19">
        <v>88078778</v>
      </c>
      <c r="G19">
        <v>0.10018000000000001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-0.86157517899761094</v>
      </c>
      <c r="Q19">
        <f t="shared" ref="Q19" si="71">F19*P19</f>
        <v>-75886488.921240836</v>
      </c>
      <c r="R19">
        <f t="shared" ref="R19" si="72">R20+Q19</f>
        <v>-6075986367.6515703</v>
      </c>
      <c r="S19">
        <f t="shared" ref="S19" si="73">R19/100000</f>
        <v>-60759.863676515706</v>
      </c>
      <c r="T19">
        <f t="shared" ref="T19" si="74">S19/1000</f>
        <v>-60.759863676515707</v>
      </c>
    </row>
    <row r="20" spans="1:20" x14ac:dyDescent="0.25">
      <c r="A20" s="5">
        <v>44573</v>
      </c>
      <c r="B20">
        <v>0.10152</v>
      </c>
      <c r="C20">
        <v>0.10750999999999999</v>
      </c>
      <c r="D20">
        <v>0.10128</v>
      </c>
      <c r="E20">
        <v>0.10571999999999999</v>
      </c>
      <c r="F20">
        <v>101314009</v>
      </c>
      <c r="G20">
        <v>0.10571999999999999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0.42536115569823429</v>
      </c>
      <c r="Q20">
        <f t="shared" ref="Q20" si="76">F20*P20</f>
        <v>43095043.956661314</v>
      </c>
      <c r="R20">
        <f t="shared" ref="R20" si="77">R21+Q20</f>
        <v>-6000099878.7303295</v>
      </c>
      <c r="S20">
        <f t="shared" ref="S20" si="78">R20/100000</f>
        <v>-60000.998787303295</v>
      </c>
      <c r="T20">
        <f t="shared" ref="T20" si="79">S20/1000</f>
        <v>-60.000998787303296</v>
      </c>
    </row>
    <row r="21" spans="1:20" x14ac:dyDescent="0.25">
      <c r="A21" s="5">
        <v>44572</v>
      </c>
      <c r="B21">
        <v>9.8470000000000002E-2</v>
      </c>
      <c r="C21">
        <v>0.10528999999999999</v>
      </c>
      <c r="D21">
        <v>9.7729999999999997E-2</v>
      </c>
      <c r="E21">
        <v>0.10155</v>
      </c>
      <c r="F21">
        <v>94095361</v>
      </c>
      <c r="G21">
        <v>0.10155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1.058201058201199E-2</v>
      </c>
      <c r="Q21">
        <f t="shared" ref="Q21" si="81">F21*P21</f>
        <v>995718.10582023836</v>
      </c>
      <c r="R21">
        <f t="shared" ref="R21" si="82">R22+Q21</f>
        <v>-6043194922.6869907</v>
      </c>
      <c r="S21">
        <f t="shared" ref="S21" si="83">R21/100000</f>
        <v>-60431.94922686991</v>
      </c>
      <c r="T21">
        <f t="shared" ref="T21" si="84">S21/1000</f>
        <v>-60.431949226869911</v>
      </c>
    </row>
    <row r="22" spans="1:20" x14ac:dyDescent="0.25">
      <c r="A22" s="5">
        <v>44571</v>
      </c>
      <c r="B22">
        <v>0.10355</v>
      </c>
      <c r="C22">
        <v>0.10793999999999999</v>
      </c>
      <c r="D22">
        <v>9.4649999999999998E-2</v>
      </c>
      <c r="E22">
        <v>9.8409999999999997E-2</v>
      </c>
      <c r="F22">
        <v>127574169</v>
      </c>
      <c r="G22">
        <v>9.8409999999999997E-2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-0.4341610233258088</v>
      </c>
      <c r="Q22">
        <f t="shared" ref="Q22" si="86">F22*P22</f>
        <v>-55387731.762979671</v>
      </c>
      <c r="R22">
        <f t="shared" ref="R22" si="87">R23+Q22</f>
        <v>-6044190640.7928114</v>
      </c>
      <c r="S22">
        <f t="shared" ref="S22" si="88">R22/100000</f>
        <v>-60441.906407928116</v>
      </c>
      <c r="T22">
        <f t="shared" ref="T22" si="89">S22/1000</f>
        <v>-60.441906407928116</v>
      </c>
    </row>
    <row r="23" spans="1:20" x14ac:dyDescent="0.25">
      <c r="A23" s="5">
        <v>44570</v>
      </c>
      <c r="B23">
        <v>0.10174999999999999</v>
      </c>
      <c r="C23">
        <v>0.10697</v>
      </c>
      <c r="D23">
        <v>9.9349999999999994E-2</v>
      </c>
      <c r="E23">
        <v>0.10362</v>
      </c>
      <c r="F23">
        <v>87564863</v>
      </c>
      <c r="G23">
        <v>0.10362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0.12073490813648528</v>
      </c>
      <c r="Q23">
        <f t="shared" ref="Q23" si="91">F23*P23</f>
        <v>10572135.69028892</v>
      </c>
      <c r="R23">
        <f t="shared" ref="R23" si="92">R24+Q23</f>
        <v>-5988802909.0298319</v>
      </c>
      <c r="S23">
        <f t="shared" ref="S23" si="93">R23/100000</f>
        <v>-59888.029090298318</v>
      </c>
      <c r="T23">
        <f t="shared" ref="T23" si="94">S23/1000</f>
        <v>-59.888029090298318</v>
      </c>
    </row>
    <row r="24" spans="1:20" x14ac:dyDescent="0.25">
      <c r="A24" s="5">
        <v>44569</v>
      </c>
      <c r="B24">
        <v>0.10206999999999999</v>
      </c>
      <c r="C24">
        <v>0.10556</v>
      </c>
      <c r="D24">
        <v>9.5630000000000007E-2</v>
      </c>
      <c r="E24">
        <v>0.10174999999999999</v>
      </c>
      <c r="F24">
        <v>113112210</v>
      </c>
      <c r="G24">
        <v>0.10174999999999999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0.23262839879153877</v>
      </c>
      <c r="Q24">
        <f t="shared" ref="Q24" si="96">F24*P24</f>
        <v>26313112.296072278</v>
      </c>
      <c r="R24">
        <f t="shared" ref="R24" si="97">R25+Q24</f>
        <v>-5999375044.7201204</v>
      </c>
      <c r="S24">
        <f t="shared" ref="S24" si="98">R24/100000</f>
        <v>-59993.750447201208</v>
      </c>
      <c r="T24">
        <f t="shared" ref="T24" si="99">S24/1000</f>
        <v>-59.993750447201208</v>
      </c>
    </row>
    <row r="25" spans="1:20" x14ac:dyDescent="0.25">
      <c r="A25" s="5">
        <v>44568</v>
      </c>
      <c r="B25">
        <v>0.10979</v>
      </c>
      <c r="C25">
        <v>0.11156000000000001</v>
      </c>
      <c r="D25">
        <v>9.9250000000000005E-2</v>
      </c>
      <c r="E25">
        <v>0.10199</v>
      </c>
      <c r="F25">
        <v>150790732</v>
      </c>
      <c r="G25">
        <v>0.10199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-0.55483346872461536</v>
      </c>
      <c r="Q25">
        <f t="shared" ref="Q25" si="101">F25*P25</f>
        <v>-83663744.887083858</v>
      </c>
      <c r="R25">
        <f t="shared" ref="R25" si="102">R26+Q25</f>
        <v>-6025688157.0161924</v>
      </c>
      <c r="S25">
        <f t="shared" ref="S25" si="103">R25/100000</f>
        <v>-60256.881570161924</v>
      </c>
      <c r="T25">
        <f t="shared" ref="T25" si="104">S25/1000</f>
        <v>-60.256881570161923</v>
      </c>
    </row>
    <row r="26" spans="1:20" x14ac:dyDescent="0.25">
      <c r="A26" s="5">
        <v>44567</v>
      </c>
      <c r="B26">
        <v>0.11013000000000001</v>
      </c>
      <c r="C26">
        <v>0.11294</v>
      </c>
      <c r="D26">
        <v>0.10507</v>
      </c>
      <c r="E26">
        <v>0.10981</v>
      </c>
      <c r="F26">
        <v>118245237</v>
      </c>
      <c r="G26">
        <v>0.10981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0.20457433290978574</v>
      </c>
      <c r="Q26">
        <f t="shared" ref="Q26" si="106">F26*P26</f>
        <v>24189940.479034513</v>
      </c>
      <c r="R26">
        <f t="shared" ref="R26" si="107">R27+Q26</f>
        <v>-5942024412.1291084</v>
      </c>
      <c r="S26">
        <f t="shared" ref="S26" si="108">R26/100000</f>
        <v>-59420.244121291085</v>
      </c>
      <c r="T26">
        <f t="shared" ref="T26" si="109">S26/1000</f>
        <v>-59.420244121291084</v>
      </c>
    </row>
    <row r="27" spans="1:20" x14ac:dyDescent="0.25">
      <c r="A27" s="5">
        <v>44566</v>
      </c>
      <c r="B27">
        <v>0.1217</v>
      </c>
      <c r="C27">
        <v>0.12526999999999999</v>
      </c>
      <c r="D27">
        <v>0.10467</v>
      </c>
      <c r="E27">
        <v>0.11015999999999999</v>
      </c>
      <c r="F27">
        <v>144120776</v>
      </c>
      <c r="G27">
        <v>0.11015999999999999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-0.46699029126213626</v>
      </c>
      <c r="Q27">
        <f t="shared" ref="Q27" si="111">F27*P27</f>
        <v>-67303003.161165103</v>
      </c>
      <c r="R27">
        <f t="shared" ref="R27" si="112">R28+Q27</f>
        <v>-5966214352.6081429</v>
      </c>
      <c r="S27">
        <f t="shared" ref="S27" si="113">R27/100000</f>
        <v>-59662.143526081425</v>
      </c>
      <c r="T27">
        <f t="shared" ref="T27" si="114">S27/1000</f>
        <v>-59.662143526081422</v>
      </c>
    </row>
    <row r="28" spans="1:20" x14ac:dyDescent="0.25">
      <c r="A28" s="5">
        <v>44565</v>
      </c>
      <c r="B28">
        <v>0.12281</v>
      </c>
      <c r="C28">
        <v>0.12597</v>
      </c>
      <c r="D28">
        <v>0.1203</v>
      </c>
      <c r="E28">
        <v>0.1217</v>
      </c>
      <c r="F28">
        <v>82462186</v>
      </c>
      <c r="G28">
        <v>0.1217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-0.50617283950617287</v>
      </c>
      <c r="Q28">
        <f t="shared" ref="Q28" si="116">F28*P28</f>
        <v>-41740118.839506172</v>
      </c>
      <c r="R28">
        <f t="shared" ref="R28" si="117">R29+Q28</f>
        <v>-5898911349.4469776</v>
      </c>
      <c r="S28">
        <f t="shared" ref="S28" si="118">R28/100000</f>
        <v>-58989.113494469777</v>
      </c>
      <c r="T28">
        <f t="shared" ref="T28" si="119">S28/1000</f>
        <v>-58.989113494469777</v>
      </c>
    </row>
    <row r="29" spans="1:20" x14ac:dyDescent="0.25">
      <c r="A29" s="5">
        <v>44564</v>
      </c>
      <c r="B29">
        <v>0.12570999999999999</v>
      </c>
      <c r="C29">
        <v>0.1293</v>
      </c>
      <c r="D29">
        <v>0.12</v>
      </c>
      <c r="E29">
        <v>0.12279</v>
      </c>
      <c r="F29">
        <v>109012492</v>
      </c>
      <c r="G29">
        <v>0.12279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</v>
      </c>
      <c r="Q29">
        <f t="shared" ref="Q29" si="121">F29*P29</f>
        <v>-43604996.800000004</v>
      </c>
      <c r="R29">
        <f t="shared" ref="R29" si="122">R30+Q29</f>
        <v>-5857171230.6074715</v>
      </c>
      <c r="S29">
        <f t="shared" ref="S29" si="123">R29/100000</f>
        <v>-58571.712306074718</v>
      </c>
      <c r="T29">
        <f t="shared" ref="T29" si="124">S29/1000</f>
        <v>-58.571712306074716</v>
      </c>
    </row>
    <row r="30" spans="1:20" x14ac:dyDescent="0.25">
      <c r="A30" s="5">
        <v>44563</v>
      </c>
      <c r="B30">
        <v>0.12814999999999999</v>
      </c>
      <c r="C30">
        <v>0.12884000000000001</v>
      </c>
      <c r="D30">
        <v>0.12411999999999999</v>
      </c>
      <c r="E30">
        <v>0.12575</v>
      </c>
      <c r="F30">
        <v>73348872</v>
      </c>
      <c r="G30">
        <v>0.12575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-0.30932203389830465</v>
      </c>
      <c r="Q30">
        <f t="shared" ref="Q30" si="126">F30*P30</f>
        <v>-22688422.271186408</v>
      </c>
      <c r="R30">
        <f t="shared" ref="R30" si="127">R31+Q30</f>
        <v>-5813566233.8074713</v>
      </c>
      <c r="S30">
        <f t="shared" ref="S30" si="128">R30/100000</f>
        <v>-58135.662338074711</v>
      </c>
      <c r="T30">
        <f t="shared" ref="T30" si="129">S30/1000</f>
        <v>-58.13566233807471</v>
      </c>
    </row>
    <row r="31" spans="1:20" x14ac:dyDescent="0.25">
      <c r="A31" s="5">
        <v>44562</v>
      </c>
      <c r="B31">
        <v>0.12107</v>
      </c>
      <c r="C31">
        <v>0.13202</v>
      </c>
      <c r="D31">
        <v>0.12107</v>
      </c>
      <c r="E31">
        <v>0.12809999999999999</v>
      </c>
      <c r="F31">
        <v>112801960</v>
      </c>
      <c r="G31">
        <v>0.12809999999999999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0.2840182648401815</v>
      </c>
      <c r="Q31">
        <f t="shared" ref="Q31" si="131">F31*P31</f>
        <v>32037816.949771561</v>
      </c>
      <c r="R31">
        <f t="shared" ref="R31" si="132">R32+Q31</f>
        <v>-5790877811.5362844</v>
      </c>
      <c r="S31">
        <f t="shared" ref="S31" si="133">R31/100000</f>
        <v>-57908.778115362846</v>
      </c>
      <c r="T31">
        <f t="shared" ref="T31" si="134">S31/1000</f>
        <v>-57.908778115362843</v>
      </c>
    </row>
    <row r="32" spans="1:20" x14ac:dyDescent="0.25">
      <c r="A32" s="5">
        <v>44561</v>
      </c>
      <c r="B32">
        <v>0.12392</v>
      </c>
      <c r="C32">
        <v>0.12509000000000001</v>
      </c>
      <c r="D32">
        <v>0.11811000000000001</v>
      </c>
      <c r="E32">
        <v>0.12109</v>
      </c>
      <c r="F32">
        <v>114806392</v>
      </c>
      <c r="G32">
        <v>0.12109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-0.14613180515759414</v>
      </c>
      <c r="Q32">
        <f t="shared" ref="Q32" si="136">F32*P32</f>
        <v>-16776865.306590375</v>
      </c>
      <c r="R32">
        <f t="shared" ref="R32" si="137">R33+Q32</f>
        <v>-5822915628.4860563</v>
      </c>
      <c r="S32">
        <f t="shared" ref="S32" si="138">R32/100000</f>
        <v>-58229.156284860561</v>
      </c>
      <c r="T32">
        <f t="shared" ref="T32" si="139">S32/1000</f>
        <v>-58.229156284860558</v>
      </c>
    </row>
    <row r="33" spans="1:20" x14ac:dyDescent="0.25">
      <c r="A33" s="5">
        <v>44560</v>
      </c>
      <c r="B33">
        <v>0.12167</v>
      </c>
      <c r="C33">
        <v>0.125</v>
      </c>
      <c r="D33">
        <v>0.1172</v>
      </c>
      <c r="E33">
        <v>0.12392</v>
      </c>
      <c r="F33">
        <v>109158927</v>
      </c>
      <c r="G33">
        <v>0.12392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0.72307692307692373</v>
      </c>
      <c r="Q33">
        <f t="shared" ref="Q33" si="141">F33*P33</f>
        <v>78930301.061538532</v>
      </c>
      <c r="R33">
        <f t="shared" ref="R33" si="142">R34+Q33</f>
        <v>-5806138763.1794662</v>
      </c>
      <c r="S33">
        <f t="shared" ref="S33" si="143">R33/100000</f>
        <v>-58061.387631794663</v>
      </c>
      <c r="T33">
        <f t="shared" ref="T33" si="144">S33/1000</f>
        <v>-58.061387631794666</v>
      </c>
    </row>
    <row r="34" spans="1:20" x14ac:dyDescent="0.25">
      <c r="A34" s="5">
        <v>44559</v>
      </c>
      <c r="B34">
        <v>0.12745999999999999</v>
      </c>
      <c r="C34">
        <v>0.13036</v>
      </c>
      <c r="D34">
        <v>0.11978</v>
      </c>
      <c r="E34">
        <v>0.12167</v>
      </c>
      <c r="F34">
        <v>121412851</v>
      </c>
      <c r="G34">
        <v>0.12167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-0.64272211720226813</v>
      </c>
      <c r="Q34">
        <f t="shared" ref="Q34" si="146">F34*P34</f>
        <v>-78034724.650283515</v>
      </c>
      <c r="R34">
        <f t="shared" ref="R34" si="147">R35+Q34</f>
        <v>-5885069064.2410049</v>
      </c>
      <c r="S34">
        <f t="shared" ref="S34" si="148">R34/100000</f>
        <v>-58850.690642410053</v>
      </c>
      <c r="T34">
        <f t="shared" ref="T34" si="149">S34/1000</f>
        <v>-58.850690642410051</v>
      </c>
    </row>
    <row r="35" spans="1:20" x14ac:dyDescent="0.25">
      <c r="A35" s="5">
        <v>44558</v>
      </c>
      <c r="B35">
        <v>0.14729</v>
      </c>
      <c r="C35">
        <v>0.14735999999999999</v>
      </c>
      <c r="D35">
        <v>0.12622</v>
      </c>
      <c r="E35">
        <v>0.12734000000000001</v>
      </c>
      <c r="F35">
        <v>236631108</v>
      </c>
      <c r="G35">
        <v>0.12734000000000001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-0.89403973509933676</v>
      </c>
      <c r="Q35">
        <f t="shared" ref="Q35" si="151">F35*P35</f>
        <v>-211557613.11258253</v>
      </c>
      <c r="R35">
        <f t="shared" ref="R35" si="152">R36+Q35</f>
        <v>-5807034339.5907211</v>
      </c>
      <c r="S35">
        <f t="shared" ref="S35" si="153">R35/100000</f>
        <v>-58070.343395907214</v>
      </c>
      <c r="T35">
        <f t="shared" ref="T35" si="154">S35/1000</f>
        <v>-58.070343395907216</v>
      </c>
    </row>
    <row r="36" spans="1:20" x14ac:dyDescent="0.25">
      <c r="A36" s="5">
        <v>44557</v>
      </c>
      <c r="B36">
        <v>0.13976</v>
      </c>
      <c r="C36">
        <v>0.15314</v>
      </c>
      <c r="D36">
        <v>0.13900999999999999</v>
      </c>
      <c r="E36">
        <v>0.14735000000000001</v>
      </c>
      <c r="F36">
        <v>215931614</v>
      </c>
      <c r="G36">
        <v>0.14735000000000001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0.18046709129511845</v>
      </c>
      <c r="Q36">
        <f t="shared" ref="Q36" si="156">F36*P36</f>
        <v>38968550.29724028</v>
      </c>
      <c r="R36">
        <f t="shared" ref="R36" si="157">R37+Q36</f>
        <v>-5595476726.4781389</v>
      </c>
      <c r="S36">
        <f t="shared" ref="S36" si="158">R36/100000</f>
        <v>-55954.767264781389</v>
      </c>
      <c r="T36">
        <f t="shared" ref="T36" si="159">S36/1000</f>
        <v>-55.954767264781388</v>
      </c>
    </row>
    <row r="37" spans="1:20" x14ac:dyDescent="0.25">
      <c r="A37" s="5">
        <v>44556</v>
      </c>
      <c r="B37">
        <v>0.13547000000000001</v>
      </c>
      <c r="C37">
        <v>0.14499999999999999</v>
      </c>
      <c r="D37">
        <v>0.13478000000000001</v>
      </c>
      <c r="E37">
        <v>0.13966999999999999</v>
      </c>
      <c r="F37">
        <v>259907687</v>
      </c>
      <c r="G37">
        <v>0.13966999999999999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-4.3052837573387924E-2</v>
      </c>
      <c r="Q37">
        <f t="shared" ref="Q37" si="161">F37*P37</f>
        <v>-11189763.432485947</v>
      </c>
      <c r="R37">
        <f t="shared" ref="R37" si="162">R38+Q37</f>
        <v>-5634445276.7753792</v>
      </c>
      <c r="S37">
        <f t="shared" ref="S37" si="163">R37/100000</f>
        <v>-56344.452767753792</v>
      </c>
      <c r="T37">
        <f t="shared" ref="T37" si="164">S37/1000</f>
        <v>-56.344452767753793</v>
      </c>
    </row>
    <row r="38" spans="1:20" x14ac:dyDescent="0.25">
      <c r="A38" s="5">
        <v>44555</v>
      </c>
      <c r="B38">
        <v>0.13883999999999999</v>
      </c>
      <c r="C38">
        <v>0.14052999999999999</v>
      </c>
      <c r="D38">
        <v>0.13134000000000001</v>
      </c>
      <c r="E38">
        <v>0.13544999999999999</v>
      </c>
      <c r="F38">
        <v>147370117</v>
      </c>
      <c r="G38">
        <v>0.13544999999999999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-0.10554951033732632</v>
      </c>
      <c r="Q38">
        <f t="shared" ref="Q38" si="166">F38*P38</f>
        <v>-15554843.687704489</v>
      </c>
      <c r="R38">
        <f t="shared" ref="R38" si="167">R39+Q38</f>
        <v>-5623255513.3428936</v>
      </c>
      <c r="S38">
        <f t="shared" ref="S38" si="168">R38/100000</f>
        <v>-56232.555133428934</v>
      </c>
      <c r="T38">
        <f t="shared" ref="T38" si="169">S38/1000</f>
        <v>-56.232555133428932</v>
      </c>
    </row>
    <row r="39" spans="1:20" x14ac:dyDescent="0.25">
      <c r="A39" s="5">
        <v>44554</v>
      </c>
      <c r="B39">
        <v>0.12647</v>
      </c>
      <c r="C39">
        <v>0.14499999999999999</v>
      </c>
      <c r="D39">
        <v>0.1245</v>
      </c>
      <c r="E39">
        <v>0.13877999999999999</v>
      </c>
      <c r="F39">
        <v>435449740</v>
      </c>
      <c r="G39">
        <v>0.13877999999999999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0.39317073170731648</v>
      </c>
      <c r="Q39">
        <f t="shared" ref="Q39" si="171">F39*P39</f>
        <v>171206092.89756072</v>
      </c>
      <c r="R39">
        <f t="shared" ref="R39" si="172">R40+Q39</f>
        <v>-5607700669.6551895</v>
      </c>
      <c r="S39">
        <f t="shared" ref="S39" si="173">R39/100000</f>
        <v>-56077.006696551893</v>
      </c>
      <c r="T39">
        <f t="shared" ref="T39" si="174">S39/1000</f>
        <v>-56.077006696551891</v>
      </c>
    </row>
    <row r="40" spans="1:20" x14ac:dyDescent="0.25">
      <c r="A40" s="5">
        <v>44553</v>
      </c>
      <c r="B40">
        <v>0.121</v>
      </c>
      <c r="C40">
        <v>0.12715000000000001</v>
      </c>
      <c r="D40">
        <v>0.11670999999999999</v>
      </c>
      <c r="E40">
        <v>0.12645999999999999</v>
      </c>
      <c r="F40">
        <v>176500106</v>
      </c>
      <c r="G40">
        <v>0.12645999999999999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0.86781609195401865</v>
      </c>
      <c r="Q40">
        <f t="shared" ref="Q40" si="176">F40*P40</f>
        <v>153169632.21839005</v>
      </c>
      <c r="R40">
        <f t="shared" ref="R40" si="177">R41+Q40</f>
        <v>-5778906762.5527506</v>
      </c>
      <c r="S40">
        <f t="shared" ref="S40" si="178">R40/100000</f>
        <v>-57789.067625527503</v>
      </c>
      <c r="T40">
        <f t="shared" ref="T40" si="179">S40/1000</f>
        <v>-57.789067625527501</v>
      </c>
    </row>
    <row r="41" spans="1:20" x14ac:dyDescent="0.25">
      <c r="A41" s="5">
        <v>44552</v>
      </c>
      <c r="B41">
        <v>0.12537000000000001</v>
      </c>
      <c r="C41">
        <v>0.12992000000000001</v>
      </c>
      <c r="D41">
        <v>0.12041</v>
      </c>
      <c r="E41">
        <v>0.12099</v>
      </c>
      <c r="F41">
        <v>161208209</v>
      </c>
      <c r="G41">
        <v>0.12099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-0.87802313354363892</v>
      </c>
      <c r="Q41">
        <f t="shared" ref="Q41" si="181">F41*P41</f>
        <v>-141544536.81913784</v>
      </c>
      <c r="R41">
        <f t="shared" ref="R41" si="182">R42+Q41</f>
        <v>-5932076394.7711411</v>
      </c>
      <c r="S41">
        <f t="shared" ref="S41" si="183">R41/100000</f>
        <v>-59320.763947711413</v>
      </c>
      <c r="T41">
        <f t="shared" ref="T41" si="184">S41/1000</f>
        <v>-59.320763947711413</v>
      </c>
    </row>
    <row r="42" spans="1:20" x14ac:dyDescent="0.25">
      <c r="A42" s="5">
        <v>44551</v>
      </c>
      <c r="B42">
        <v>0.12071999999999999</v>
      </c>
      <c r="C42">
        <v>0.12953999999999999</v>
      </c>
      <c r="D42">
        <v>0.11840000000000001</v>
      </c>
      <c r="E42">
        <v>0.12537999999999999</v>
      </c>
      <c r="F42">
        <v>279515693</v>
      </c>
      <c r="G42">
        <v>0.12537999999999999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0.25314183123877859</v>
      </c>
      <c r="Q42">
        <f t="shared" ref="Q42" si="186">F42*P42</f>
        <v>70757114.385996252</v>
      </c>
      <c r="R42">
        <f t="shared" ref="R42" si="187">R43+Q42</f>
        <v>-5790531857.9520035</v>
      </c>
      <c r="S42">
        <f t="shared" ref="S42" si="188">R42/100000</f>
        <v>-57905.318579520033</v>
      </c>
      <c r="T42">
        <f t="shared" ref="T42" si="189">S42/1000</f>
        <v>-57.905318579520035</v>
      </c>
    </row>
    <row r="43" spans="1:20" x14ac:dyDescent="0.25">
      <c r="A43" s="5">
        <v>44550</v>
      </c>
      <c r="B43">
        <v>0.1123</v>
      </c>
      <c r="C43">
        <v>0.12525</v>
      </c>
      <c r="D43">
        <v>0.11072</v>
      </c>
      <c r="E43">
        <v>0.12071999999999999</v>
      </c>
      <c r="F43">
        <v>487703274</v>
      </c>
      <c r="G43">
        <v>0.12071999999999999</v>
      </c>
      <c r="L43" t="s">
        <v>8</v>
      </c>
      <c r="M43" t="s">
        <v>8</v>
      </c>
      <c r="N43" t="s">
        <v>7</v>
      </c>
      <c r="P43">
        <f t="shared" ref="P43" si="190">IF(C43=D43,0,((E43-D43)-(C43-E43))/(C43-D43))</f>
        <v>0.37646249139710863</v>
      </c>
      <c r="Q43">
        <f t="shared" ref="Q43" si="191">F43*P43</f>
        <v>183601989.59256673</v>
      </c>
      <c r="R43">
        <f t="shared" ref="R43" si="192">R44+Q43</f>
        <v>-5861288972.3379993</v>
      </c>
      <c r="S43">
        <f t="shared" ref="S43" si="193">R43/100000</f>
        <v>-58612.889723379994</v>
      </c>
      <c r="T43">
        <f t="shared" ref="T43" si="194">S43/1000</f>
        <v>-58.612889723379993</v>
      </c>
    </row>
    <row r="44" spans="1:20" x14ac:dyDescent="0.25">
      <c r="A44" s="5">
        <v>44549</v>
      </c>
      <c r="B44">
        <v>0.11283</v>
      </c>
      <c r="C44">
        <v>0.11799999999999999</v>
      </c>
      <c r="D44">
        <v>0.11055</v>
      </c>
      <c r="E44">
        <v>0.11234</v>
      </c>
      <c r="F44">
        <v>110525881</v>
      </c>
      <c r="G44">
        <v>0.11234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-0.51946308724832202</v>
      </c>
      <c r="Q44">
        <f t="shared" ref="Q44" si="196">F44*P44</f>
        <v>-57414115.365100659</v>
      </c>
      <c r="R44">
        <f t="shared" ref="R44" si="197">R45+Q44</f>
        <v>-6044890961.9305658</v>
      </c>
      <c r="S44">
        <f t="shared" ref="S44" si="198">R44/100000</f>
        <v>-60448.909619305661</v>
      </c>
      <c r="T44">
        <f t="shared" ref="T44" si="199">S44/1000</f>
        <v>-60.44890961930566</v>
      </c>
    </row>
    <row r="45" spans="1:20" x14ac:dyDescent="0.25">
      <c r="A45" s="5">
        <v>44548</v>
      </c>
      <c r="B45">
        <v>0.1139</v>
      </c>
      <c r="C45">
        <v>0.11899999999999999</v>
      </c>
      <c r="D45">
        <v>0.11013000000000001</v>
      </c>
      <c r="E45">
        <v>0.11287999999999999</v>
      </c>
      <c r="F45">
        <v>133134971</v>
      </c>
      <c r="G45">
        <v>0.11287999999999999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-0.37993235625704802</v>
      </c>
      <c r="Q45">
        <f t="shared" ref="Q45" si="201">F45*P45</f>
        <v>-50582283.232243754</v>
      </c>
      <c r="R45">
        <f t="shared" ref="R45" si="202">R46+Q45</f>
        <v>-5987476846.565465</v>
      </c>
      <c r="S45">
        <f t="shared" ref="S45" si="203">R45/100000</f>
        <v>-59874.768465654648</v>
      </c>
      <c r="T45">
        <f t="shared" ref="T45" si="204">S45/1000</f>
        <v>-59.874768465654647</v>
      </c>
    </row>
    <row r="46" spans="1:20" x14ac:dyDescent="0.25">
      <c r="A46" s="5">
        <v>44547</v>
      </c>
      <c r="B46">
        <v>0.11094</v>
      </c>
      <c r="C46">
        <v>0.12245</v>
      </c>
      <c r="D46">
        <v>0.10972</v>
      </c>
      <c r="E46">
        <v>0.11393</v>
      </c>
      <c r="F46">
        <v>336362079</v>
      </c>
      <c r="G46">
        <v>0.11393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-0.33857030636292162</v>
      </c>
      <c r="Q46">
        <f t="shared" ref="Q46" si="206">F46*P46</f>
        <v>-113882212.13589925</v>
      </c>
      <c r="R46">
        <f t="shared" ref="R46" si="207">R47+Q46</f>
        <v>-5936894563.3332214</v>
      </c>
      <c r="S46">
        <f t="shared" ref="S46" si="208">R46/100000</f>
        <v>-59368.945633332216</v>
      </c>
      <c r="T46">
        <f t="shared" ref="T46" si="209">S46/1000</f>
        <v>-59.368945633332217</v>
      </c>
    </row>
    <row r="47" spans="1:20" x14ac:dyDescent="0.25">
      <c r="A47" s="5">
        <v>44546</v>
      </c>
      <c r="B47">
        <v>0.11365</v>
      </c>
      <c r="C47">
        <v>0.11953</v>
      </c>
      <c r="D47">
        <v>0.11017</v>
      </c>
      <c r="E47">
        <v>0.11096</v>
      </c>
      <c r="F47">
        <v>170664871</v>
      </c>
      <c r="G47">
        <v>0.11096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-0.83119658119658124</v>
      </c>
      <c r="Q47">
        <f t="shared" ref="Q47" si="211">F47*P47</f>
        <v>-141856057.30555555</v>
      </c>
      <c r="R47">
        <f t="shared" ref="R47" si="212">R48+Q47</f>
        <v>-5823012351.1973219</v>
      </c>
      <c r="S47">
        <f t="shared" ref="S47" si="213">R47/100000</f>
        <v>-58230.123511973215</v>
      </c>
      <c r="T47">
        <f t="shared" ref="T47" si="214">S47/1000</f>
        <v>-58.230123511973218</v>
      </c>
    </row>
    <row r="48" spans="1:20" x14ac:dyDescent="0.25">
      <c r="A48" s="5">
        <v>44545</v>
      </c>
      <c r="B48">
        <v>0.11232</v>
      </c>
      <c r="C48">
        <v>0.11833</v>
      </c>
      <c r="D48">
        <v>0.10505</v>
      </c>
      <c r="E48">
        <v>0.11375</v>
      </c>
      <c r="F48">
        <v>169519873</v>
      </c>
      <c r="G48">
        <v>0.11375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0.3102409638554216</v>
      </c>
      <c r="Q48">
        <f t="shared" ref="Q48" si="216">F48*P48</f>
        <v>52592008.792168662</v>
      </c>
      <c r="R48">
        <f t="shared" ref="R48" si="217">R49+Q48</f>
        <v>-5681156293.8917665</v>
      </c>
      <c r="S48">
        <f t="shared" ref="S48" si="218">R48/100000</f>
        <v>-56811.562938917668</v>
      </c>
      <c r="T48">
        <f t="shared" ref="T48" si="219">S48/1000</f>
        <v>-56.811562938917668</v>
      </c>
    </row>
    <row r="49" spans="1:20" x14ac:dyDescent="0.25">
      <c r="A49" s="5">
        <v>44544</v>
      </c>
      <c r="B49">
        <v>0.1055</v>
      </c>
      <c r="C49">
        <v>0.11670999999999999</v>
      </c>
      <c r="D49">
        <v>0.10358000000000001</v>
      </c>
      <c r="E49">
        <v>0.11230999999999999</v>
      </c>
      <c r="F49">
        <v>282032646</v>
      </c>
      <c r="G49">
        <v>0.11230999999999999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0.32977913175932905</v>
      </c>
      <c r="Q49">
        <f t="shared" ref="Q49" si="221">F49*P49</f>
        <v>93008481.125666201</v>
      </c>
      <c r="R49">
        <f t="shared" ref="R49" si="222">R50+Q49</f>
        <v>-5733748302.6839352</v>
      </c>
      <c r="S49">
        <f t="shared" ref="S49" si="223">R49/100000</f>
        <v>-57337.483026839349</v>
      </c>
      <c r="T49">
        <f t="shared" ref="T49" si="224">S49/1000</f>
        <v>-57.337483026839351</v>
      </c>
    </row>
    <row r="50" spans="1:20" x14ac:dyDescent="0.25">
      <c r="A50" s="5">
        <v>44543</v>
      </c>
      <c r="B50">
        <v>0.11965000000000001</v>
      </c>
      <c r="C50">
        <v>0.12055</v>
      </c>
      <c r="D50">
        <v>0.10228</v>
      </c>
      <c r="E50">
        <v>0.1055</v>
      </c>
      <c r="F50">
        <v>224634040</v>
      </c>
      <c r="G50">
        <v>0.1055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-0.64750957854406144</v>
      </c>
      <c r="Q50">
        <f t="shared" ref="Q50" si="226">F50*P50</f>
        <v>-145452692.56704983</v>
      </c>
      <c r="R50">
        <f t="shared" ref="R50" si="227">R51+Q50</f>
        <v>-5826756783.8096018</v>
      </c>
      <c r="S50">
        <f t="shared" ref="S50" si="228">R50/100000</f>
        <v>-58267.567838096016</v>
      </c>
      <c r="T50">
        <f t="shared" ref="T50" si="229">S50/1000</f>
        <v>-58.267567838096014</v>
      </c>
    </row>
    <row r="51" spans="1:20" x14ac:dyDescent="0.25">
      <c r="A51" s="5">
        <v>44542</v>
      </c>
      <c r="B51">
        <v>0.12584999999999999</v>
      </c>
      <c r="C51">
        <v>0.12592999999999999</v>
      </c>
      <c r="D51">
        <v>0.11772000000000001</v>
      </c>
      <c r="E51">
        <v>0.11962</v>
      </c>
      <c r="F51">
        <v>264453688</v>
      </c>
      <c r="G51">
        <v>0.11962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-0.53714981729597977</v>
      </c>
      <c r="Q51">
        <f t="shared" ref="Q51" si="231">F51*P51</f>
        <v>-142051250.19244805</v>
      </c>
      <c r="R51">
        <f t="shared" ref="R51" si="232">R52+Q51</f>
        <v>-5681304091.2425518</v>
      </c>
      <c r="S51">
        <f t="shared" ref="S51" si="233">R51/100000</f>
        <v>-56813.040912425517</v>
      </c>
      <c r="T51">
        <f t="shared" ref="T51" si="234">S51/1000</f>
        <v>-56.813040912425514</v>
      </c>
    </row>
    <row r="52" spans="1:20" x14ac:dyDescent="0.25">
      <c r="A52" s="5">
        <v>44541</v>
      </c>
      <c r="B52">
        <v>0.12789</v>
      </c>
      <c r="C52">
        <v>0.13850000000000001</v>
      </c>
      <c r="D52">
        <v>0.12772</v>
      </c>
      <c r="E52">
        <v>0.13578000000000001</v>
      </c>
      <c r="F52">
        <v>37850526</v>
      </c>
      <c r="G52">
        <v>0.13578000000000001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0.49536178107606732</v>
      </c>
      <c r="Q52">
        <f t="shared" ref="Q52" si="236">F52*P52</f>
        <v>18749703.974025995</v>
      </c>
      <c r="R52">
        <f t="shared" ref="R52" si="237">R53+Q52</f>
        <v>-5539252841.0501041</v>
      </c>
      <c r="S52">
        <f t="shared" ref="S52" si="238">R52/100000</f>
        <v>-55392.528410501043</v>
      </c>
      <c r="T52">
        <f t="shared" ref="T52" si="239">S52/1000</f>
        <v>-55.392528410501043</v>
      </c>
    </row>
    <row r="53" spans="1:20" x14ac:dyDescent="0.25">
      <c r="A53" s="5">
        <v>44540</v>
      </c>
      <c r="B53">
        <v>0.11947000000000001</v>
      </c>
      <c r="C53">
        <v>0.14479</v>
      </c>
      <c r="D53">
        <v>0.11938</v>
      </c>
      <c r="E53">
        <v>0.12808</v>
      </c>
      <c r="F53">
        <v>989254746</v>
      </c>
      <c r="G53">
        <v>0.12808</v>
      </c>
      <c r="L53" t="s">
        <v>8</v>
      </c>
      <c r="M53" t="s">
        <v>8</v>
      </c>
      <c r="N53" t="s">
        <v>7</v>
      </c>
      <c r="P53">
        <f t="shared" ref="P53" si="240">IF(C53=D53,0,((E53-D53)-(C53-E53))/(C53-D53))</f>
        <v>-0.31523022432113351</v>
      </c>
      <c r="Q53">
        <f t="shared" ref="Q53" si="241">F53*P53</f>
        <v>-311842995.49232596</v>
      </c>
      <c r="R53">
        <f t="shared" ref="R53" si="242">R54+Q53</f>
        <v>-5558002545.0241299</v>
      </c>
      <c r="S53">
        <f t="shared" ref="S53" si="243">R53/100000</f>
        <v>-55580.025450241301</v>
      </c>
      <c r="T53">
        <f t="shared" ref="T53" si="244">S53/1000</f>
        <v>-55.580025450241301</v>
      </c>
    </row>
    <row r="54" spans="1:20" x14ac:dyDescent="0.25">
      <c r="A54" s="5">
        <v>44539</v>
      </c>
      <c r="B54">
        <v>0.11445</v>
      </c>
      <c r="C54">
        <v>0.13038</v>
      </c>
      <c r="D54">
        <v>0.11204</v>
      </c>
      <c r="E54">
        <v>0.11963</v>
      </c>
      <c r="F54">
        <v>641386474</v>
      </c>
      <c r="G54">
        <v>0.11963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-0.17230098146128664</v>
      </c>
      <c r="Q54">
        <f t="shared" ref="Q54" si="246">F54*P54</f>
        <v>-110511518.966194</v>
      </c>
      <c r="R54">
        <f t="shared" ref="R54" si="247">R55+Q54</f>
        <v>-5246159549.5318041</v>
      </c>
      <c r="S54">
        <f t="shared" ref="S54" si="248">R54/100000</f>
        <v>-52461.595495318041</v>
      </c>
      <c r="T54">
        <f t="shared" ref="T54" si="249">S54/1000</f>
        <v>-52.461595495318043</v>
      </c>
    </row>
    <row r="55" spans="1:20" x14ac:dyDescent="0.25">
      <c r="A55" s="5">
        <v>44538</v>
      </c>
      <c r="B55">
        <v>0.11334</v>
      </c>
      <c r="C55">
        <v>0.11638999999999999</v>
      </c>
      <c r="D55">
        <v>0.10606</v>
      </c>
      <c r="E55">
        <v>0.11441999999999999</v>
      </c>
      <c r="F55">
        <v>158098722</v>
      </c>
      <c r="G55">
        <v>0.11441999999999999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0.61858664085188753</v>
      </c>
      <c r="Q55">
        <f t="shared" ref="Q55" si="251">F55*P55</f>
        <v>97797757.364956409</v>
      </c>
      <c r="R55">
        <f t="shared" ref="R55" si="252">R56+Q55</f>
        <v>-5135648030.5656099</v>
      </c>
      <c r="S55">
        <f t="shared" ref="S55" si="253">R55/100000</f>
        <v>-51356.4803056561</v>
      </c>
      <c r="T55">
        <f t="shared" ref="T55" si="254">S55/1000</f>
        <v>-51.356480305656099</v>
      </c>
    </row>
    <row r="56" spans="1:20" x14ac:dyDescent="0.25">
      <c r="A56" s="5">
        <v>44537</v>
      </c>
      <c r="B56">
        <v>0.11878</v>
      </c>
      <c r="C56">
        <v>0.12352</v>
      </c>
      <c r="D56">
        <v>0.11176999999999999</v>
      </c>
      <c r="E56">
        <v>0.11322</v>
      </c>
      <c r="F56">
        <v>200812785</v>
      </c>
      <c r="G56">
        <v>0.11322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-0.75319148936170122</v>
      </c>
      <c r="Q56">
        <f t="shared" ref="Q56" si="256">F56*P56</f>
        <v>-151250480.61702108</v>
      </c>
      <c r="R56">
        <f t="shared" ref="R56" si="257">R57+Q56</f>
        <v>-5233445787.9305668</v>
      </c>
      <c r="S56">
        <f t="shared" ref="S56" si="258">R56/100000</f>
        <v>-52334.457879305664</v>
      </c>
      <c r="T56">
        <f t="shared" ref="T56" si="259">S56/1000</f>
        <v>-52.334457879305667</v>
      </c>
    </row>
    <row r="57" spans="1:20" x14ac:dyDescent="0.25">
      <c r="A57" s="5">
        <v>44536</v>
      </c>
      <c r="B57">
        <v>0.11422</v>
      </c>
      <c r="C57">
        <v>0.12178</v>
      </c>
      <c r="D57">
        <v>0.10215</v>
      </c>
      <c r="E57">
        <v>0.11888</v>
      </c>
      <c r="F57">
        <v>283451485</v>
      </c>
      <c r="G57">
        <v>0.11888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0.70453387671930712</v>
      </c>
      <c r="Q57">
        <f t="shared" ref="Q57" si="261">F57*P57</f>
        <v>199701173.58889452</v>
      </c>
      <c r="R57">
        <f t="shared" ref="R57" si="262">R58+Q57</f>
        <v>-5082195307.3135452</v>
      </c>
      <c r="S57">
        <f t="shared" ref="S57" si="263">R57/100000</f>
        <v>-50821.953073135453</v>
      </c>
      <c r="T57">
        <f t="shared" ref="T57" si="264">S57/1000</f>
        <v>-50.821953073135454</v>
      </c>
    </row>
    <row r="58" spans="1:20" x14ac:dyDescent="0.25">
      <c r="A58" s="5">
        <v>44535</v>
      </c>
      <c r="B58">
        <v>0.12673000000000001</v>
      </c>
      <c r="C58">
        <v>0.12916</v>
      </c>
      <c r="D58">
        <v>0.11027000000000001</v>
      </c>
      <c r="E58">
        <v>0.11422</v>
      </c>
      <c r="F58">
        <v>220005774</v>
      </c>
      <c r="G58">
        <v>0.11422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-0.58178930651138194</v>
      </c>
      <c r="Q58">
        <f t="shared" ref="Q58" si="266">F58*P58</f>
        <v>-127997006.68395983</v>
      </c>
      <c r="R58">
        <f t="shared" ref="R58" si="267">R59+Q58</f>
        <v>-5281896480.9024401</v>
      </c>
      <c r="S58">
        <f t="shared" ref="S58" si="268">R58/100000</f>
        <v>-52818.964809024401</v>
      </c>
      <c r="T58">
        <f t="shared" ref="T58" si="269">S58/1000</f>
        <v>-52.818964809024401</v>
      </c>
    </row>
    <row r="59" spans="1:20" x14ac:dyDescent="0.25">
      <c r="A59" s="5">
        <v>44534</v>
      </c>
      <c r="B59">
        <v>0.14243</v>
      </c>
      <c r="C59">
        <v>0.14251</v>
      </c>
      <c r="D59">
        <v>0.1099</v>
      </c>
      <c r="E59">
        <v>0.12673000000000001</v>
      </c>
      <c r="F59">
        <v>359745643</v>
      </c>
      <c r="G59">
        <v>0.12673000000000001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3.2198712051518648E-2</v>
      </c>
      <c r="Q59">
        <f t="shared" ref="Q59" si="271">F59*P59</f>
        <v>11583346.370745424</v>
      </c>
      <c r="R59">
        <f t="shared" ref="R59" si="272">R60+Q59</f>
        <v>-5153899474.2184801</v>
      </c>
      <c r="S59">
        <f t="shared" ref="S59" si="273">R59/100000</f>
        <v>-51538.994742184805</v>
      </c>
      <c r="T59">
        <f t="shared" ref="T59" si="274">S59/1000</f>
        <v>-51.538994742184805</v>
      </c>
    </row>
    <row r="60" spans="1:20" x14ac:dyDescent="0.25">
      <c r="A60" s="5">
        <v>44533</v>
      </c>
      <c r="B60">
        <v>0.15736</v>
      </c>
      <c r="C60">
        <v>0.16500000000000001</v>
      </c>
      <c r="D60">
        <v>0.13420000000000001</v>
      </c>
      <c r="E60">
        <v>0.14238000000000001</v>
      </c>
      <c r="F60">
        <v>364788173</v>
      </c>
      <c r="G60">
        <v>0.14238000000000001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-0.46883116883116921</v>
      </c>
      <c r="Q60">
        <f t="shared" ref="Q60" si="276">F60*P60</f>
        <v>-171024065.52337676</v>
      </c>
      <c r="R60">
        <f t="shared" ref="R60" si="277">R61+Q60</f>
        <v>-5165482820.5892258</v>
      </c>
      <c r="S60">
        <f t="shared" ref="S60" si="278">R60/100000</f>
        <v>-51654.828205892256</v>
      </c>
      <c r="T60">
        <f t="shared" ref="T60" si="279">S60/1000</f>
        <v>-51.654828205892258</v>
      </c>
    </row>
    <row r="61" spans="1:20" x14ac:dyDescent="0.25">
      <c r="A61" s="5">
        <v>44532</v>
      </c>
      <c r="B61">
        <v>0.15307000000000001</v>
      </c>
      <c r="C61">
        <v>0.16664999999999999</v>
      </c>
      <c r="D61">
        <v>0.14410999999999999</v>
      </c>
      <c r="E61">
        <v>0.15725</v>
      </c>
      <c r="F61">
        <v>325098237</v>
      </c>
      <c r="G61">
        <v>0.15725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0.16592724046140286</v>
      </c>
      <c r="Q61">
        <f t="shared" ref="Q61" si="281">F61*P61</f>
        <v>53942653.344277136</v>
      </c>
      <c r="R61">
        <f t="shared" ref="R61" si="282">R62+Q61</f>
        <v>-4994458755.0658493</v>
      </c>
      <c r="S61">
        <f t="shared" ref="S61" si="283">R61/100000</f>
        <v>-49944.587550658493</v>
      </c>
      <c r="T61">
        <f t="shared" ref="T61" si="284">S61/1000</f>
        <v>-49.94458755065849</v>
      </c>
    </row>
    <row r="62" spans="1:20" x14ac:dyDescent="0.25">
      <c r="A62" s="5">
        <v>44531</v>
      </c>
      <c r="B62">
        <v>0.15376999999999999</v>
      </c>
      <c r="C62">
        <v>0.16009999999999999</v>
      </c>
      <c r="D62">
        <v>0.14901</v>
      </c>
      <c r="E62">
        <v>0.15298999999999999</v>
      </c>
      <c r="F62">
        <v>176012680</v>
      </c>
      <c r="G62">
        <v>0.15298999999999999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-0.2822362488728607</v>
      </c>
      <c r="Q62">
        <f t="shared" ref="Q62" si="286">F62*P62</f>
        <v>-49677158.557259187</v>
      </c>
      <c r="R62">
        <f t="shared" ref="R62" si="287">R63+Q62</f>
        <v>-5048401408.4101267</v>
      </c>
      <c r="S62">
        <f t="shared" ref="S62" si="288">R62/100000</f>
        <v>-50484.014084101269</v>
      </c>
      <c r="T62">
        <f t="shared" ref="T62" si="289">S62/1000</f>
        <v>-50.484014084101268</v>
      </c>
    </row>
    <row r="63" spans="1:20" x14ac:dyDescent="0.25">
      <c r="A63" s="5">
        <v>44530</v>
      </c>
      <c r="B63">
        <v>0.15922</v>
      </c>
      <c r="C63">
        <v>0.16986999999999999</v>
      </c>
      <c r="D63">
        <v>0.15226999999999999</v>
      </c>
      <c r="E63">
        <v>0.15376000000000001</v>
      </c>
      <c r="F63">
        <v>231487892</v>
      </c>
      <c r="G63">
        <v>0.15376000000000001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-0.83068181818181608</v>
      </c>
      <c r="Q63">
        <f t="shared" ref="Q63" si="291">F63*P63</f>
        <v>-192292783.01363587</v>
      </c>
      <c r="R63">
        <f t="shared" ref="R63" si="292">R64+Q63</f>
        <v>-4998724249.8528671</v>
      </c>
      <c r="S63">
        <f t="shared" ref="S63" si="293">R63/100000</f>
        <v>-49987.242498528671</v>
      </c>
      <c r="T63">
        <f t="shared" ref="T63" si="294">S63/1000</f>
        <v>-49.987242498528673</v>
      </c>
    </row>
    <row r="64" spans="1:20" x14ac:dyDescent="0.25">
      <c r="A64" s="5">
        <v>44529</v>
      </c>
      <c r="B64">
        <v>0.15418999999999999</v>
      </c>
      <c r="C64">
        <v>0.16456000000000001</v>
      </c>
      <c r="D64">
        <v>0.15206</v>
      </c>
      <c r="E64">
        <v>0.15920000000000001</v>
      </c>
      <c r="F64">
        <v>173241761</v>
      </c>
      <c r="G64">
        <v>0.15920000000000001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0.14240000000000017</v>
      </c>
      <c r="Q64">
        <f t="shared" ref="Q64" si="296">F64*P64</f>
        <v>24669626.766400028</v>
      </c>
      <c r="R64">
        <f t="shared" ref="R64" si="297">R65+Q64</f>
        <v>-4806431466.8392315</v>
      </c>
      <c r="S64">
        <f t="shared" ref="S64" si="298">R64/100000</f>
        <v>-48064.314668392311</v>
      </c>
      <c r="T64">
        <f t="shared" ref="T64" si="299">S64/1000</f>
        <v>-48.064314668392313</v>
      </c>
    </row>
    <row r="65" spans="1:20" x14ac:dyDescent="0.25">
      <c r="A65" s="5">
        <v>44528</v>
      </c>
      <c r="B65">
        <v>0.15620999999999999</v>
      </c>
      <c r="C65">
        <v>0.15648000000000001</v>
      </c>
      <c r="D65">
        <v>0.14058999999999999</v>
      </c>
      <c r="E65">
        <v>0.15426999999999999</v>
      </c>
      <c r="F65">
        <v>165437506</v>
      </c>
      <c r="G65">
        <v>0.15426999999999999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0.7218376337319049</v>
      </c>
      <c r="Q65">
        <f t="shared" ref="Q65" si="301">F65*P65</f>
        <v>119419017.86154781</v>
      </c>
      <c r="R65">
        <f t="shared" ref="R65" si="302">R66+Q65</f>
        <v>-4831101093.6056318</v>
      </c>
      <c r="S65">
        <f t="shared" ref="S65" si="303">R65/100000</f>
        <v>-48311.010936056315</v>
      </c>
      <c r="T65">
        <f t="shared" ref="T65" si="304">S65/1000</f>
        <v>-48.311010936056313</v>
      </c>
    </row>
    <row r="66" spans="1:20" x14ac:dyDescent="0.25">
      <c r="A66" s="5">
        <v>44527</v>
      </c>
      <c r="B66">
        <v>0.15783</v>
      </c>
      <c r="C66">
        <v>0.16872999999999999</v>
      </c>
      <c r="D66">
        <v>0.15286</v>
      </c>
      <c r="E66">
        <v>0.15620999999999999</v>
      </c>
      <c r="F66">
        <v>162494570</v>
      </c>
      <c r="G66">
        <v>0.15620999999999999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-0.57781978575929516</v>
      </c>
      <c r="Q66">
        <f t="shared" ref="Q66" si="306">F66*P66</f>
        <v>-93892577.624448791</v>
      </c>
      <c r="R66">
        <f t="shared" ref="R66" si="307">R67+Q66</f>
        <v>-4950520111.4671793</v>
      </c>
      <c r="S66">
        <f t="shared" ref="S66" si="308">R66/100000</f>
        <v>-49505.201114671792</v>
      </c>
      <c r="T66">
        <f t="shared" ref="T66" si="309">S66/1000</f>
        <v>-49.505201114671792</v>
      </c>
    </row>
    <row r="67" spans="1:20" x14ac:dyDescent="0.25">
      <c r="A67" s="5">
        <v>44526</v>
      </c>
      <c r="B67">
        <v>0.18135999999999999</v>
      </c>
      <c r="C67">
        <v>0.18182999999999999</v>
      </c>
      <c r="D67">
        <v>0.15</v>
      </c>
      <c r="E67">
        <v>0.15781999999999999</v>
      </c>
      <c r="F67">
        <v>352513251</v>
      </c>
      <c r="G67">
        <v>0.15781999999999999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-0.50863964813069462</v>
      </c>
      <c r="Q67">
        <f t="shared" ref="Q67" si="311">F67*P67</f>
        <v>-179302215.95004722</v>
      </c>
      <c r="R67">
        <f t="shared" ref="R67" si="312">R68+Q67</f>
        <v>-4856627533.8427305</v>
      </c>
      <c r="S67">
        <f t="shared" ref="S67" si="313">R67/100000</f>
        <v>-48566.275338427302</v>
      </c>
      <c r="T67">
        <f t="shared" ref="T67" si="314">S67/1000</f>
        <v>-48.566275338427303</v>
      </c>
    </row>
    <row r="68" spans="1:20" x14ac:dyDescent="0.25">
      <c r="A68" s="5">
        <v>44525</v>
      </c>
      <c r="B68">
        <v>0.17982999999999999</v>
      </c>
      <c r="C68">
        <v>0.18664</v>
      </c>
      <c r="D68">
        <v>0.17668</v>
      </c>
      <c r="E68">
        <v>0.18129999999999999</v>
      </c>
      <c r="F68">
        <v>272568971</v>
      </c>
      <c r="G68">
        <v>0.18129999999999999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-7.2289156626508672E-2</v>
      </c>
      <c r="Q68">
        <f t="shared" ref="Q68" si="316">F68*P68</f>
        <v>-19703781.0361453</v>
      </c>
      <c r="R68">
        <f t="shared" ref="R68" si="317">R69+Q68</f>
        <v>-4677325317.892683</v>
      </c>
      <c r="S68">
        <f t="shared" ref="S68" si="318">R68/100000</f>
        <v>-46773.253178926832</v>
      </c>
      <c r="T68">
        <f t="shared" ref="T68" si="319">S68/1000</f>
        <v>-46.773253178926829</v>
      </c>
    </row>
    <row r="69" spans="1:20" x14ac:dyDescent="0.25">
      <c r="A69" s="5">
        <v>44524</v>
      </c>
      <c r="B69">
        <v>0.18836</v>
      </c>
      <c r="C69">
        <v>0.19206999999999999</v>
      </c>
      <c r="D69">
        <v>0.18138000000000001</v>
      </c>
      <c r="E69">
        <v>0.18808</v>
      </c>
      <c r="F69">
        <v>121312173</v>
      </c>
      <c r="G69">
        <v>0.18808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0.25350795135640747</v>
      </c>
      <c r="Q69">
        <f t="shared" ref="Q69" si="321">F69*P69</f>
        <v>30753600.451824088</v>
      </c>
      <c r="R69">
        <f t="shared" ref="R69" si="322">R70+Q69</f>
        <v>-4657621536.8565378</v>
      </c>
      <c r="S69">
        <f t="shared" ref="S69" si="323">R69/100000</f>
        <v>-46576.215368565376</v>
      </c>
      <c r="T69">
        <f t="shared" ref="T69" si="324">S69/1000</f>
        <v>-46.576215368565379</v>
      </c>
    </row>
    <row r="70" spans="1:20" x14ac:dyDescent="0.25">
      <c r="A70" s="5">
        <v>44523</v>
      </c>
      <c r="B70">
        <v>0.18607000000000001</v>
      </c>
      <c r="C70">
        <v>0.19800000000000001</v>
      </c>
      <c r="D70">
        <v>0.18042</v>
      </c>
      <c r="E70">
        <v>0.18836</v>
      </c>
      <c r="F70">
        <v>413634712</v>
      </c>
      <c r="G70">
        <v>0.18836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-9.6700796359499769E-2</v>
      </c>
      <c r="Q70">
        <f t="shared" ref="Q70" si="326">F70*P70</f>
        <v>-39998806.052332334</v>
      </c>
      <c r="R70">
        <f t="shared" ref="R70" si="327">R71+Q70</f>
        <v>-4688375137.308362</v>
      </c>
      <c r="S70">
        <f t="shared" ref="S70" si="328">R70/100000</f>
        <v>-46883.751373083622</v>
      </c>
      <c r="T70">
        <f t="shared" ref="T70" si="329">S70/1000</f>
        <v>-46.883751373083619</v>
      </c>
    </row>
    <row r="71" spans="1:20" x14ac:dyDescent="0.25">
      <c r="A71" s="5">
        <v>44522</v>
      </c>
      <c r="B71">
        <v>0.21825</v>
      </c>
      <c r="C71">
        <v>0.23397000000000001</v>
      </c>
      <c r="D71">
        <v>0.18423999999999999</v>
      </c>
      <c r="E71">
        <v>0.18598000000000001</v>
      </c>
      <c r="F71">
        <v>966894218</v>
      </c>
      <c r="G71">
        <v>0.18598000000000001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-0.93002211944500224</v>
      </c>
      <c r="Q71">
        <f t="shared" ref="Q71" si="331">F71*P71</f>
        <v>-899233009.90347803</v>
      </c>
      <c r="R71">
        <f t="shared" ref="R71" si="332">R72+Q71</f>
        <v>-4648376331.2560301</v>
      </c>
      <c r="S71">
        <f t="shared" ref="S71" si="333">R71/100000</f>
        <v>-46483.763312560302</v>
      </c>
      <c r="T71">
        <f t="shared" ref="T71" si="334">S71/1000</f>
        <v>-46.483763312560299</v>
      </c>
    </row>
    <row r="72" spans="1:20" x14ac:dyDescent="0.25">
      <c r="A72" s="5">
        <v>44521</v>
      </c>
      <c r="B72">
        <v>0.18765999999999999</v>
      </c>
      <c r="C72">
        <v>0.22914999999999999</v>
      </c>
      <c r="D72">
        <v>0.17904999999999999</v>
      </c>
      <c r="E72">
        <v>0.21809999999999999</v>
      </c>
      <c r="F72">
        <v>1010278744</v>
      </c>
      <c r="G72">
        <v>0.21809999999999999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0.55888223552894201</v>
      </c>
      <c r="Q72">
        <f t="shared" ref="Q72" si="336">F72*P72</f>
        <v>564626842.95409167</v>
      </c>
      <c r="R72">
        <f t="shared" ref="R72" si="337">R73+Q72</f>
        <v>-3749143321.3525519</v>
      </c>
      <c r="S72">
        <f t="shared" ref="S72" si="338">R72/100000</f>
        <v>-37491.433213525517</v>
      </c>
      <c r="T72">
        <f t="shared" ref="T72" si="339">S72/1000</f>
        <v>-37.491433213525518</v>
      </c>
    </row>
    <row r="73" spans="1:20" x14ac:dyDescent="0.25">
      <c r="A73" s="5">
        <v>44520</v>
      </c>
      <c r="B73">
        <v>0.18112</v>
      </c>
      <c r="C73">
        <v>0.19850000000000001</v>
      </c>
      <c r="D73">
        <v>0.17712</v>
      </c>
      <c r="E73">
        <v>0.18767</v>
      </c>
      <c r="F73">
        <v>491710459</v>
      </c>
      <c r="G73">
        <v>0.18767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-1.3096351730589446E-2</v>
      </c>
      <c r="Q73">
        <f t="shared" ref="Q73" si="341">F73*P73</f>
        <v>-6439613.120673581</v>
      </c>
      <c r="R73">
        <f t="shared" ref="R73" si="342">R74+Q73</f>
        <v>-4313770164.3066435</v>
      </c>
      <c r="S73">
        <f t="shared" ref="S73" si="343">R73/100000</f>
        <v>-43137.701643066437</v>
      </c>
      <c r="T73">
        <f t="shared" ref="T73" si="344">S73/1000</f>
        <v>-43.137701643066436</v>
      </c>
    </row>
    <row r="74" spans="1:20" x14ac:dyDescent="0.25">
      <c r="A74" s="5">
        <v>44519</v>
      </c>
      <c r="B74">
        <v>0.17312</v>
      </c>
      <c r="C74">
        <v>0.20372000000000001</v>
      </c>
      <c r="D74">
        <v>0.1699</v>
      </c>
      <c r="E74">
        <v>0.18107000000000001</v>
      </c>
      <c r="F74">
        <v>560800139</v>
      </c>
      <c r="G74">
        <v>0.18107000000000001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-0.33944411590774642</v>
      </c>
      <c r="Q74">
        <f t="shared" ref="Q74" si="346">F74*P74</f>
        <v>-190360307.3837963</v>
      </c>
      <c r="R74">
        <f t="shared" ref="R74" si="347">R75+Q74</f>
        <v>-4307330551.1859703</v>
      </c>
      <c r="S74">
        <f t="shared" ref="S74" si="348">R74/100000</f>
        <v>-43073.305511859704</v>
      </c>
      <c r="T74">
        <f t="shared" ref="T74" si="349">S74/1000</f>
        <v>-43.073305511859701</v>
      </c>
    </row>
    <row r="75" spans="1:20" x14ac:dyDescent="0.25">
      <c r="A75" s="5">
        <v>44518</v>
      </c>
      <c r="B75">
        <v>0.19786999999999999</v>
      </c>
      <c r="C75">
        <v>0.20369999999999999</v>
      </c>
      <c r="D75">
        <v>0.16719999999999999</v>
      </c>
      <c r="E75">
        <v>0.17318</v>
      </c>
      <c r="F75">
        <v>642007521</v>
      </c>
      <c r="G75">
        <v>0.17318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-0.67232876712328704</v>
      </c>
      <c r="Q75">
        <f t="shared" ref="Q75" si="351">F75*P75</f>
        <v>-431640125.07780784</v>
      </c>
      <c r="R75">
        <f t="shared" ref="R75" si="352">R76+Q75</f>
        <v>-4116970243.8021736</v>
      </c>
      <c r="S75">
        <f t="shared" ref="S75" si="353">R75/100000</f>
        <v>-41169.702438021734</v>
      </c>
      <c r="T75">
        <f t="shared" ref="T75" si="354">S75/1000</f>
        <v>-41.16970243802173</v>
      </c>
    </row>
    <row r="76" spans="1:20" x14ac:dyDescent="0.25">
      <c r="A76" s="5">
        <v>44517</v>
      </c>
      <c r="B76">
        <v>0.21242</v>
      </c>
      <c r="C76">
        <v>0.22</v>
      </c>
      <c r="D76">
        <v>0.19267000000000001</v>
      </c>
      <c r="E76">
        <v>0.19797999999999999</v>
      </c>
      <c r="F76">
        <v>695277042</v>
      </c>
      <c r="G76">
        <v>0.19797999999999999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-0.6114160263446774</v>
      </c>
      <c r="Q76">
        <f t="shared" ref="Q76" si="356">F76*P76</f>
        <v>-425103526.22832137</v>
      </c>
      <c r="R76">
        <f t="shared" ref="R76" si="357">R77+Q76</f>
        <v>-3685330118.7243657</v>
      </c>
      <c r="S76">
        <f t="shared" ref="S76" si="358">R76/100000</f>
        <v>-36853.301187243655</v>
      </c>
      <c r="T76">
        <f t="shared" ref="T76" si="359">S76/1000</f>
        <v>-36.853301187243652</v>
      </c>
    </row>
    <row r="77" spans="1:20" x14ac:dyDescent="0.25">
      <c r="A77" s="5">
        <v>44516</v>
      </c>
      <c r="B77">
        <v>0.19833000000000001</v>
      </c>
      <c r="C77">
        <v>0.22989999999999999</v>
      </c>
      <c r="D77">
        <v>0.17510000000000001</v>
      </c>
      <c r="E77">
        <v>0.21242</v>
      </c>
      <c r="F77">
        <v>1192256787</v>
      </c>
      <c r="G77">
        <v>0.21242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0.36204379562043798</v>
      </c>
      <c r="Q77">
        <f t="shared" ref="Q77" si="361">F77*P77</f>
        <v>431649172.51970804</v>
      </c>
      <c r="R77">
        <f t="shared" ref="R77" si="362">R78+Q77</f>
        <v>-3260226592.4960442</v>
      </c>
      <c r="S77">
        <f t="shared" ref="S77" si="363">R77/100000</f>
        <v>-32602.26592496044</v>
      </c>
      <c r="T77">
        <f t="shared" ref="T77" si="364">S77/1000</f>
        <v>-32.602265924960442</v>
      </c>
    </row>
    <row r="78" spans="1:20" x14ac:dyDescent="0.25">
      <c r="A78" s="5">
        <v>44515</v>
      </c>
      <c r="B78">
        <v>0.23300000000000001</v>
      </c>
      <c r="C78">
        <v>0.23532</v>
      </c>
      <c r="D78">
        <v>0.19627</v>
      </c>
      <c r="E78">
        <v>0.19838</v>
      </c>
      <c r="F78">
        <v>757465140</v>
      </c>
      <c r="G78">
        <v>0.19838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-0.89193341869398202</v>
      </c>
      <c r="Q78">
        <f t="shared" ref="Q78" si="366">F78*P78</f>
        <v>-675608471.86171567</v>
      </c>
      <c r="R78">
        <f t="shared" ref="R78" si="367">R79+Q78</f>
        <v>-3691875765.0157523</v>
      </c>
      <c r="S78">
        <f t="shared" ref="S78" si="368">R78/100000</f>
        <v>-36918.757650157524</v>
      </c>
      <c r="T78">
        <f t="shared" ref="T78" si="369">S78/1000</f>
        <v>-36.918757650157524</v>
      </c>
    </row>
    <row r="79" spans="1:20" x14ac:dyDescent="0.25">
      <c r="A79" s="5">
        <v>44514</v>
      </c>
      <c r="B79">
        <v>0.22142000000000001</v>
      </c>
      <c r="C79">
        <v>0.24962000000000001</v>
      </c>
      <c r="D79">
        <v>0.20200000000000001</v>
      </c>
      <c r="E79">
        <v>0.23299</v>
      </c>
      <c r="F79">
        <v>1680987655</v>
      </c>
      <c r="G79">
        <v>0.23299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0.30155396892062125</v>
      </c>
      <c r="Q79">
        <f t="shared" ref="Q79" si="371">F79*P79</f>
        <v>506908499.07181799</v>
      </c>
      <c r="R79">
        <f t="shared" ref="R79" si="372">R80+Q79</f>
        <v>-3016267293.1540365</v>
      </c>
      <c r="S79">
        <f t="shared" ref="S79" si="373">R79/100000</f>
        <v>-30162.672931540365</v>
      </c>
      <c r="T79">
        <f t="shared" ref="T79" si="374">S79/1000</f>
        <v>-30.162672931540364</v>
      </c>
    </row>
    <row r="80" spans="1:20" x14ac:dyDescent="0.25">
      <c r="A80" s="5">
        <v>44513</v>
      </c>
      <c r="B80">
        <v>0.20996999999999999</v>
      </c>
      <c r="C80">
        <v>0.26300000000000001</v>
      </c>
      <c r="D80">
        <v>0.18934000000000001</v>
      </c>
      <c r="E80">
        <v>0.2215</v>
      </c>
      <c r="F80">
        <v>2880434367</v>
      </c>
      <c r="G80">
        <v>0.2215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-0.12679880532174878</v>
      </c>
      <c r="Q80">
        <f t="shared" ref="Q80" si="376">F80*P80</f>
        <v>-365235636.54330766</v>
      </c>
      <c r="R80">
        <f t="shared" ref="R80" si="377">R81+Q80</f>
        <v>-3523175792.2258544</v>
      </c>
      <c r="S80">
        <f t="shared" ref="S80" si="378">R80/100000</f>
        <v>-35231.757922258541</v>
      </c>
      <c r="T80">
        <f t="shared" ref="T80" si="379">S80/1000</f>
        <v>-35.231757922258538</v>
      </c>
    </row>
    <row r="81" spans="1:20" x14ac:dyDescent="0.25">
      <c r="A81" s="5">
        <v>44512</v>
      </c>
      <c r="B81">
        <v>0.18275</v>
      </c>
      <c r="C81">
        <v>0.218</v>
      </c>
      <c r="D81">
        <v>0.15509000000000001</v>
      </c>
      <c r="E81">
        <v>0.20996999999999999</v>
      </c>
      <c r="F81">
        <v>1663167722</v>
      </c>
      <c r="G81">
        <v>0.20996999999999999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0.74471467175329809</v>
      </c>
      <c r="Q81">
        <f t="shared" ref="Q81" si="381">F81*P81</f>
        <v>1238585404.1599104</v>
      </c>
      <c r="R81">
        <f t="shared" ref="R81" si="382">R82+Q81</f>
        <v>-3157940155.6825466</v>
      </c>
      <c r="S81">
        <f t="shared" ref="S81" si="383">R81/100000</f>
        <v>-31579.401556825465</v>
      </c>
      <c r="T81">
        <f t="shared" ref="T81" si="384">S81/1000</f>
        <v>-31.579401556825466</v>
      </c>
    </row>
    <row r="82" spans="1:20" x14ac:dyDescent="0.25">
      <c r="A82" s="5">
        <v>44511</v>
      </c>
      <c r="B82">
        <v>0.23693</v>
      </c>
      <c r="C82">
        <v>0.25741999999999998</v>
      </c>
      <c r="D82">
        <v>0.17645</v>
      </c>
      <c r="E82">
        <v>0.18282000000000001</v>
      </c>
      <c r="F82">
        <v>2775810484</v>
      </c>
      <c r="G82">
        <v>0.18282000000000001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-0.84265777448437651</v>
      </c>
      <c r="Q82">
        <f t="shared" ref="Q82" si="386">F82*P82</f>
        <v>-2339058284.8378401</v>
      </c>
      <c r="R82">
        <f t="shared" ref="R82" si="387">R83+Q82</f>
        <v>-4396525559.8424568</v>
      </c>
      <c r="S82">
        <f t="shared" ref="S82" si="388">R82/100000</f>
        <v>-43965.25559842457</v>
      </c>
      <c r="T82">
        <f t="shared" ref="T82" si="389">S82/1000</f>
        <v>-43.965255598424569</v>
      </c>
    </row>
    <row r="83" spans="1:20" x14ac:dyDescent="0.25">
      <c r="A83" s="5">
        <v>44510</v>
      </c>
      <c r="B83">
        <v>0.10717</v>
      </c>
      <c r="C83">
        <v>0.24879999999999999</v>
      </c>
      <c r="D83">
        <v>0.10717</v>
      </c>
      <c r="E83">
        <v>0.23679</v>
      </c>
      <c r="F83">
        <v>8105803441</v>
      </c>
      <c r="G83">
        <v>0.23679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0.83040316317164464</v>
      </c>
      <c r="Q83">
        <f t="shared" ref="Q83" si="391">F83*P83</f>
        <v>6731084817.4540014</v>
      </c>
      <c r="R83">
        <f t="shared" ref="R83" si="392">R84+Q83</f>
        <v>-2057467275.0046167</v>
      </c>
      <c r="S83">
        <f t="shared" ref="S83" si="393">R83/100000</f>
        <v>-20574.672750046167</v>
      </c>
      <c r="T83">
        <f t="shared" ref="T83" si="394">S83/1000</f>
        <v>-20.574672750046169</v>
      </c>
    </row>
    <row r="84" spans="1:20" x14ac:dyDescent="0.25">
      <c r="A84" s="5">
        <v>44509</v>
      </c>
      <c r="B84">
        <v>0.10242</v>
      </c>
      <c r="C84">
        <v>0.1095</v>
      </c>
      <c r="D84">
        <v>9.9299999999999999E-2</v>
      </c>
      <c r="E84">
        <v>0.10716000000000001</v>
      </c>
      <c r="F84">
        <v>400678054</v>
      </c>
      <c r="G84">
        <v>0.10716000000000001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0.54117647058823637</v>
      </c>
      <c r="Q84">
        <f t="shared" ref="Q84" si="396">F84*P84</f>
        <v>216837535.10588279</v>
      </c>
      <c r="R84">
        <f t="shared" ref="R84" si="397">R85+Q84</f>
        <v>-8788552092.4586182</v>
      </c>
      <c r="S84">
        <f t="shared" ref="S84" si="398">R84/100000</f>
        <v>-87885.520924586177</v>
      </c>
      <c r="T84">
        <f t="shared" ref="T84" si="399">S84/1000</f>
        <v>-87.885520924586174</v>
      </c>
    </row>
    <row r="85" spans="1:20" x14ac:dyDescent="0.25">
      <c r="A85" s="5">
        <v>44508</v>
      </c>
      <c r="B85">
        <v>0.10392</v>
      </c>
      <c r="C85">
        <v>0.10599</v>
      </c>
      <c r="D85">
        <v>9.7939999999999999E-2</v>
      </c>
      <c r="E85">
        <v>0.10242</v>
      </c>
      <c r="F85">
        <v>397558305</v>
      </c>
      <c r="G85">
        <v>0.10242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0.11304347826086882</v>
      </c>
      <c r="Q85">
        <f t="shared" ref="Q85" si="401">F85*P85</f>
        <v>44941373.608695351</v>
      </c>
      <c r="R85">
        <f t="shared" ref="R85" si="402">R86+Q85</f>
        <v>-9005389627.5645008</v>
      </c>
      <c r="S85">
        <f t="shared" ref="S85" si="403">R85/100000</f>
        <v>-90053.896275645006</v>
      </c>
      <c r="T85">
        <f t="shared" ref="T85" si="404">S85/1000</f>
        <v>-90.053896275645002</v>
      </c>
    </row>
    <row r="86" spans="1:20" x14ac:dyDescent="0.25">
      <c r="A86" s="5">
        <v>44507</v>
      </c>
      <c r="B86">
        <v>0.10829999999999999</v>
      </c>
      <c r="C86">
        <v>0.11489000000000001</v>
      </c>
      <c r="D86">
        <v>0.10289</v>
      </c>
      <c r="E86">
        <v>0.10383000000000001</v>
      </c>
      <c r="F86">
        <v>264855975</v>
      </c>
      <c r="G86">
        <v>0.10383000000000001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-0.84333333333333171</v>
      </c>
      <c r="Q86">
        <f t="shared" ref="Q86" si="406">F86*P86</f>
        <v>-223361872.24999958</v>
      </c>
      <c r="R86">
        <f t="shared" ref="R86" si="407">R87+Q86</f>
        <v>-9050331001.1731968</v>
      </c>
      <c r="S86">
        <f t="shared" ref="S86" si="408">R86/100000</f>
        <v>-90503.31001173197</v>
      </c>
      <c r="T86">
        <f t="shared" ref="T86" si="409">S86/1000</f>
        <v>-90.503310011731969</v>
      </c>
    </row>
    <row r="87" spans="1:20" x14ac:dyDescent="0.25">
      <c r="A87" s="5">
        <v>44506</v>
      </c>
      <c r="B87">
        <v>0.11205</v>
      </c>
      <c r="C87">
        <v>0.1193</v>
      </c>
      <c r="D87">
        <v>0.1045</v>
      </c>
      <c r="E87">
        <v>0.10817</v>
      </c>
      <c r="F87">
        <v>382320019</v>
      </c>
      <c r="G87">
        <v>0.10817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-0.50405405405405346</v>
      </c>
      <c r="Q87">
        <f t="shared" ref="Q87" si="411">F87*P87</f>
        <v>-192709955.52297273</v>
      </c>
      <c r="R87">
        <f t="shared" ref="R87" si="412">R88+Q87</f>
        <v>-8826969128.9231968</v>
      </c>
      <c r="S87">
        <f t="shared" ref="S87" si="413">R87/100000</f>
        <v>-88269.691289231967</v>
      </c>
      <c r="T87">
        <f t="shared" ref="T87" si="414">S87/1000</f>
        <v>-88.269691289231972</v>
      </c>
    </row>
    <row r="88" spans="1:20" x14ac:dyDescent="0.25">
      <c r="A88" s="5">
        <v>44505</v>
      </c>
      <c r="B88">
        <v>0.12268999999999999</v>
      </c>
      <c r="C88">
        <v>0.13188</v>
      </c>
      <c r="D88">
        <v>0.1091</v>
      </c>
      <c r="E88">
        <v>0.11201999999999999</v>
      </c>
      <c r="F88">
        <v>889132457</v>
      </c>
      <c r="G88">
        <v>0.11201999999999999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-0.74363476733977241</v>
      </c>
      <c r="Q88">
        <f t="shared" ref="Q88" si="416">F88*P88</f>
        <v>-661189807.79543519</v>
      </c>
      <c r="R88">
        <f t="shared" ref="R88" si="417">R89+Q88</f>
        <v>-8634259173.4002247</v>
      </c>
      <c r="S88">
        <f t="shared" ref="S88" si="418">R88/100000</f>
        <v>-86342.591734002242</v>
      </c>
      <c r="T88">
        <f t="shared" ref="T88" si="419">S88/1000</f>
        <v>-86.342591734002241</v>
      </c>
    </row>
    <row r="89" spans="1:20" x14ac:dyDescent="0.25">
      <c r="A89" s="5">
        <v>44504</v>
      </c>
      <c r="B89">
        <v>0.13127</v>
      </c>
      <c r="C89">
        <v>0.185</v>
      </c>
      <c r="D89">
        <v>0.12222</v>
      </c>
      <c r="E89">
        <v>0.12275</v>
      </c>
      <c r="F89">
        <v>4340339200</v>
      </c>
      <c r="G89">
        <v>0.12275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-0.98311564192417955</v>
      </c>
      <c r="Q89">
        <f t="shared" ref="Q89" si="421">F89*P89</f>
        <v>-4267055358.77668</v>
      </c>
      <c r="R89">
        <f t="shared" ref="R89" si="422">R90+Q89</f>
        <v>-7973069365.6047897</v>
      </c>
      <c r="S89">
        <f t="shared" ref="S89" si="423">R89/100000</f>
        <v>-79730.693656047893</v>
      </c>
      <c r="T89">
        <f t="shared" ref="T89" si="424">S89/1000</f>
        <v>-79.73069365604789</v>
      </c>
    </row>
    <row r="90" spans="1:20" x14ac:dyDescent="0.25">
      <c r="A90" s="5">
        <v>44503</v>
      </c>
      <c r="B90">
        <v>7.7229999999999993E-2</v>
      </c>
      <c r="C90">
        <v>0.14679</v>
      </c>
      <c r="D90">
        <v>7.3400000000000007E-2</v>
      </c>
      <c r="E90">
        <v>0.13131000000000001</v>
      </c>
      <c r="F90">
        <v>4440230755</v>
      </c>
      <c r="G90">
        <v>0.13131000000000001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0.57814416132988156</v>
      </c>
      <c r="Q90">
        <f t="shared" ref="Q90" si="426">F90*P90</f>
        <v>2567093485.9606218</v>
      </c>
      <c r="R90">
        <f t="shared" ref="R90" si="427">R91+Q90</f>
        <v>-3706014006.8281097</v>
      </c>
      <c r="S90">
        <f t="shared" ref="S90" si="428">R90/100000</f>
        <v>-37060.1400682811</v>
      </c>
      <c r="T90">
        <f t="shared" ref="T90" si="429">S90/1000</f>
        <v>-37.0601400682811</v>
      </c>
    </row>
    <row r="91" spans="1:20" x14ac:dyDescent="0.25">
      <c r="A91" s="5">
        <v>44502</v>
      </c>
      <c r="B91">
        <v>7.0290000000000005E-2</v>
      </c>
      <c r="C91">
        <v>7.7399999999999997E-2</v>
      </c>
      <c r="D91">
        <v>6.8690000000000001E-2</v>
      </c>
      <c r="E91">
        <v>7.7240000000000003E-2</v>
      </c>
      <c r="F91">
        <v>243081118</v>
      </c>
      <c r="G91">
        <v>7.7240000000000003E-2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0.96326061997703938</v>
      </c>
      <c r="Q91">
        <f t="shared" ref="Q91" si="431">F91*P91</f>
        <v>234150468.42939186</v>
      </c>
      <c r="R91">
        <f t="shared" ref="R91" si="432">R92+Q91</f>
        <v>-6273107492.7887316</v>
      </c>
      <c r="S91">
        <f t="shared" ref="S91" si="433">R91/100000</f>
        <v>-62731.074927887319</v>
      </c>
      <c r="T91">
        <f t="shared" ref="T91" si="434">S91/1000</f>
        <v>-62.73107492788732</v>
      </c>
    </row>
    <row r="92" spans="1:20" x14ac:dyDescent="0.25">
      <c r="A92" s="5">
        <v>44501</v>
      </c>
      <c r="B92">
        <v>7.2029999999999997E-2</v>
      </c>
      <c r="C92">
        <v>7.4510000000000007E-2</v>
      </c>
      <c r="D92">
        <v>6.6820000000000004E-2</v>
      </c>
      <c r="E92">
        <v>7.0330000000000004E-2</v>
      </c>
      <c r="F92">
        <v>172476592</v>
      </c>
      <c r="G92">
        <v>7.0330000000000004E-2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-8.7126137841352883E-2</v>
      </c>
      <c r="Q92">
        <f t="shared" ref="Q92" si="436">F92*P92</f>
        <v>-15027219.328998782</v>
      </c>
      <c r="R92">
        <f t="shared" ref="R92" si="437">R93+Q92</f>
        <v>-6507257961.2181234</v>
      </c>
      <c r="S92">
        <f t="shared" ref="S92" si="438">R92/100000</f>
        <v>-65072.579612181231</v>
      </c>
      <c r="T92">
        <f t="shared" ref="T92" si="439">S92/1000</f>
        <v>-65.072579612181229</v>
      </c>
    </row>
    <row r="93" spans="1:20" x14ac:dyDescent="0.25">
      <c r="A93" s="5">
        <v>44500</v>
      </c>
      <c r="B93">
        <v>6.6489999999999994E-2</v>
      </c>
      <c r="C93">
        <v>7.6530000000000001E-2</v>
      </c>
      <c r="D93">
        <v>6.6059999999999994E-2</v>
      </c>
      <c r="E93">
        <v>7.2020000000000001E-2</v>
      </c>
      <c r="F93">
        <v>477906302</v>
      </c>
      <c r="G93">
        <v>7.2020000000000001E-2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0.13849092645654307</v>
      </c>
      <c r="Q93">
        <f t="shared" ref="Q93" si="441">F93*P93</f>
        <v>66185686.523400463</v>
      </c>
      <c r="R93">
        <f t="shared" ref="R93" si="442">R94+Q93</f>
        <v>-6492230741.8891249</v>
      </c>
      <c r="S93">
        <f t="shared" ref="S93" si="443">R93/100000</f>
        <v>-64922.307418891251</v>
      </c>
      <c r="T93">
        <f t="shared" ref="T93" si="444">S93/1000</f>
        <v>-64.922307418891251</v>
      </c>
    </row>
    <row r="94" spans="1:20" x14ac:dyDescent="0.25">
      <c r="A94" s="5">
        <v>44499</v>
      </c>
      <c r="B94">
        <v>6.6869999999999999E-2</v>
      </c>
      <c r="C94">
        <v>6.9919999999999996E-2</v>
      </c>
      <c r="D94">
        <v>6.3E-2</v>
      </c>
      <c r="E94">
        <v>6.6439999999999999E-2</v>
      </c>
      <c r="F94">
        <v>264813399</v>
      </c>
      <c r="G94">
        <v>6.6439999999999999E-2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-5.7803468208090167E-3</v>
      </c>
      <c r="Q94">
        <f t="shared" ref="Q94" si="446">F94*P94</f>
        <v>-1530713.2890172796</v>
      </c>
      <c r="R94">
        <f t="shared" ref="R94" si="447">R95+Q94</f>
        <v>-6558416428.4125252</v>
      </c>
      <c r="S94">
        <f t="shared" ref="S94" si="448">R94/100000</f>
        <v>-65584.164284125247</v>
      </c>
      <c r="T94">
        <f t="shared" ref="T94" si="449">S94/1000</f>
        <v>-65.584164284125251</v>
      </c>
    </row>
    <row r="95" spans="1:20" x14ac:dyDescent="0.25">
      <c r="A95" s="5">
        <v>44498</v>
      </c>
      <c r="B95">
        <v>6.2890000000000001E-2</v>
      </c>
      <c r="C95">
        <v>6.7229999999999998E-2</v>
      </c>
      <c r="D95">
        <v>6.2530000000000002E-2</v>
      </c>
      <c r="E95">
        <v>6.6809999999999994E-2</v>
      </c>
      <c r="F95">
        <v>175328788</v>
      </c>
      <c r="G95">
        <v>6.6809999999999994E-2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0.82127659574467915</v>
      </c>
      <c r="Q95">
        <f t="shared" ref="Q95" si="451">F95*P95</f>
        <v>143993430.14468056</v>
      </c>
      <c r="R95">
        <f t="shared" ref="R95" si="452">R96+Q95</f>
        <v>-6556885715.1235075</v>
      </c>
      <c r="S95">
        <f t="shared" ref="S95" si="453">R95/100000</f>
        <v>-65568.857151235075</v>
      </c>
      <c r="T95">
        <f t="shared" ref="T95" si="454">S95/1000</f>
        <v>-65.568857151235079</v>
      </c>
    </row>
    <row r="96" spans="1:20" x14ac:dyDescent="0.25">
      <c r="A96" s="5">
        <v>44497</v>
      </c>
      <c r="B96">
        <v>5.8299999999999998E-2</v>
      </c>
      <c r="C96">
        <v>6.8379999999999996E-2</v>
      </c>
      <c r="D96">
        <v>5.8040000000000001E-2</v>
      </c>
      <c r="E96">
        <v>6.2920000000000004E-2</v>
      </c>
      <c r="F96">
        <v>453287602</v>
      </c>
      <c r="G96">
        <v>6.2920000000000004E-2</v>
      </c>
      <c r="L96" t="s">
        <v>7</v>
      </c>
      <c r="M96" t="s">
        <v>8</v>
      </c>
      <c r="N96" t="s">
        <v>7</v>
      </c>
      <c r="P96">
        <f t="shared" ref="P96" si="455">IF(C96=D96,0,((E96-D96)-(C96-E96))/(C96-D96))</f>
        <v>-5.6092843326884967E-2</v>
      </c>
      <c r="Q96">
        <f t="shared" ref="Q96" si="456">F96*P96</f>
        <v>-25426190.44100539</v>
      </c>
      <c r="R96">
        <f t="shared" ref="R96" si="457">R97+Q96</f>
        <v>-6700879145.2681885</v>
      </c>
      <c r="S96">
        <f t="shared" ref="S96" si="458">R96/100000</f>
        <v>-67008.791452681879</v>
      </c>
      <c r="T96">
        <f t="shared" ref="T96" si="459">S96/1000</f>
        <v>-67.008791452681876</v>
      </c>
    </row>
    <row r="97" spans="1:20" x14ac:dyDescent="0.25">
      <c r="A97" s="5">
        <v>44496</v>
      </c>
      <c r="B97">
        <v>6.6530000000000006E-2</v>
      </c>
      <c r="C97">
        <v>7.1300000000000002E-2</v>
      </c>
      <c r="D97">
        <v>5.5939999999999997E-2</v>
      </c>
      <c r="E97">
        <v>5.8319999999999997E-2</v>
      </c>
      <c r="F97">
        <v>386790177</v>
      </c>
      <c r="G97">
        <v>5.8319999999999997E-2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-0.69010416666666674</v>
      </c>
      <c r="Q97">
        <f t="shared" ref="Q97" si="461">F97*P97</f>
        <v>-266925512.77343753</v>
      </c>
      <c r="R97">
        <f t="shared" ref="R97" si="462">R98+Q97</f>
        <v>-6675452954.8271828</v>
      </c>
      <c r="S97">
        <f t="shared" ref="S97" si="463">R97/100000</f>
        <v>-66754.529548271821</v>
      </c>
      <c r="T97">
        <f t="shared" ref="T97" si="464">S97/1000</f>
        <v>-66.754529548271819</v>
      </c>
    </row>
    <row r="98" spans="1:20" x14ac:dyDescent="0.25">
      <c r="A98" s="5">
        <v>44495</v>
      </c>
      <c r="B98">
        <v>6.7070000000000005E-2</v>
      </c>
      <c r="C98">
        <v>6.88E-2</v>
      </c>
      <c r="D98">
        <v>6.5720000000000001E-2</v>
      </c>
      <c r="E98">
        <v>6.6549999999999998E-2</v>
      </c>
      <c r="F98">
        <v>159344935</v>
      </c>
      <c r="G98">
        <v>6.6549999999999998E-2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-0.46103896103896264</v>
      </c>
      <c r="Q98">
        <f t="shared" ref="Q98" si="466">F98*P98</f>
        <v>-73464223.279221028</v>
      </c>
      <c r="R98">
        <f t="shared" ref="R98" si="467">R99+Q98</f>
        <v>-6408527442.0537453</v>
      </c>
      <c r="S98">
        <f t="shared" ref="S98" si="468">R98/100000</f>
        <v>-64085.274420537455</v>
      </c>
      <c r="T98">
        <f t="shared" ref="T98" si="469">S98/1000</f>
        <v>-64.085274420537459</v>
      </c>
    </row>
    <row r="99" spans="1:20" x14ac:dyDescent="0.25">
      <c r="A99" s="5">
        <v>44494</v>
      </c>
      <c r="B99">
        <v>6.583E-2</v>
      </c>
      <c r="C99">
        <v>6.8510000000000001E-2</v>
      </c>
      <c r="D99">
        <v>6.547E-2</v>
      </c>
      <c r="E99">
        <v>6.7059999999999995E-2</v>
      </c>
      <c r="F99">
        <v>159340194</v>
      </c>
      <c r="G99">
        <v>6.7059999999999995E-2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4.6052631578943196E-2</v>
      </c>
      <c r="Q99">
        <f t="shared" ref="Q99" si="471">F99*P99</f>
        <v>7338035.249999335</v>
      </c>
      <c r="R99">
        <f t="shared" ref="R99" si="472">R100+Q99</f>
        <v>-6335063218.7745247</v>
      </c>
      <c r="S99">
        <f t="shared" ref="S99" si="473">R99/100000</f>
        <v>-63350.63218774525</v>
      </c>
      <c r="T99">
        <f t="shared" ref="T99" si="474">S99/1000</f>
        <v>-63.350632187745248</v>
      </c>
    </row>
    <row r="100" spans="1:20" x14ac:dyDescent="0.25">
      <c r="A100" s="5">
        <v>44493</v>
      </c>
      <c r="B100">
        <v>6.7349999999999993E-2</v>
      </c>
      <c r="C100">
        <v>6.7769999999999997E-2</v>
      </c>
      <c r="D100">
        <v>6.3649999999999998E-2</v>
      </c>
      <c r="E100">
        <v>6.5839999999999996E-2</v>
      </c>
      <c r="F100">
        <v>125244887</v>
      </c>
      <c r="G100">
        <v>6.5839999999999996E-2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6.3106796116503994E-2</v>
      </c>
      <c r="Q100">
        <f t="shared" ref="Q100" si="476">F100*P100</f>
        <v>7903803.5485435817</v>
      </c>
      <c r="R100">
        <f t="shared" ref="R100" si="477">R101+Q100</f>
        <v>-6342401254.0245237</v>
      </c>
      <c r="S100">
        <f t="shared" ref="S100" si="478">R100/100000</f>
        <v>-63424.01254024524</v>
      </c>
      <c r="T100">
        <f t="shared" ref="T100" si="479">S100/1000</f>
        <v>-63.424012540245236</v>
      </c>
    </row>
    <row r="101" spans="1:20" x14ac:dyDescent="0.25">
      <c r="A101" s="5">
        <v>44492</v>
      </c>
      <c r="B101">
        <v>6.8010000000000001E-2</v>
      </c>
      <c r="C101">
        <v>6.812E-2</v>
      </c>
      <c r="D101">
        <v>6.6009999999999999E-2</v>
      </c>
      <c r="E101">
        <v>6.7349999999999993E-2</v>
      </c>
      <c r="F101">
        <v>116942341</v>
      </c>
      <c r="G101">
        <v>6.7349999999999993E-2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0.27014218009478058</v>
      </c>
      <c r="Q101">
        <f t="shared" ref="Q101" si="481">F101*P101</f>
        <v>31591058.943127245</v>
      </c>
      <c r="R101">
        <f t="shared" ref="R101" si="482">R102+Q101</f>
        <v>-6350305057.5730677</v>
      </c>
      <c r="S101">
        <f t="shared" ref="S101" si="483">R101/100000</f>
        <v>-63503.050575730675</v>
      </c>
      <c r="T101">
        <f t="shared" ref="T101" si="484">S101/1000</f>
        <v>-63.503050575730676</v>
      </c>
    </row>
    <row r="102" spans="1:20" x14ac:dyDescent="0.25">
      <c r="A102" s="5">
        <v>44491</v>
      </c>
      <c r="B102">
        <v>6.6989999999999994E-2</v>
      </c>
      <c r="C102">
        <v>6.9159999999999999E-2</v>
      </c>
      <c r="D102">
        <v>6.633E-2</v>
      </c>
      <c r="E102">
        <v>6.7979999999999999E-2</v>
      </c>
      <c r="F102">
        <v>144366748</v>
      </c>
      <c r="G102">
        <v>6.7979999999999999E-2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0.16607773851590046</v>
      </c>
      <c r="Q102">
        <f t="shared" ref="Q102" si="486">F102*P102</f>
        <v>23976103.024734896</v>
      </c>
      <c r="R102">
        <f t="shared" ref="R102" si="487">R103+Q102</f>
        <v>-6381896116.5161953</v>
      </c>
      <c r="S102">
        <f t="shared" ref="S102" si="488">R102/100000</f>
        <v>-63818.961165161956</v>
      </c>
      <c r="T102">
        <f t="shared" ref="T102" si="489">S102/1000</f>
        <v>-63.818961165161959</v>
      </c>
    </row>
    <row r="103" spans="1:20" x14ac:dyDescent="0.25">
      <c r="A103" s="5">
        <v>44490</v>
      </c>
      <c r="B103">
        <v>7.009E-2</v>
      </c>
      <c r="C103">
        <v>7.2720000000000007E-2</v>
      </c>
      <c r="D103">
        <v>6.6710000000000005E-2</v>
      </c>
      <c r="E103">
        <v>6.7000000000000004E-2</v>
      </c>
      <c r="F103">
        <v>208795388</v>
      </c>
      <c r="G103">
        <v>6.7000000000000004E-2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-0.90349417637271268</v>
      </c>
      <c r="Q103">
        <f t="shared" ref="Q103" si="491">F103*P103</f>
        <v>-188645417.11148098</v>
      </c>
      <c r="R103">
        <f t="shared" ref="R103" si="492">R104+Q103</f>
        <v>-6405872219.5409298</v>
      </c>
      <c r="S103">
        <f t="shared" ref="S103" si="493">R103/100000</f>
        <v>-64058.722195409297</v>
      </c>
      <c r="T103">
        <f t="shared" ref="T103" si="494">S103/1000</f>
        <v>-64.058722195409302</v>
      </c>
    </row>
    <row r="104" spans="1:20" x14ac:dyDescent="0.25">
      <c r="A104" s="5">
        <v>44489</v>
      </c>
      <c r="B104">
        <v>6.7809999999999995E-2</v>
      </c>
      <c r="C104">
        <v>7.0599999999999996E-2</v>
      </c>
      <c r="D104">
        <v>6.6610000000000003E-2</v>
      </c>
      <c r="E104">
        <v>7.0110000000000006E-2</v>
      </c>
      <c r="F104">
        <v>130104986</v>
      </c>
      <c r="G104">
        <v>7.0110000000000006E-2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0.75438596491228505</v>
      </c>
      <c r="Q104">
        <f t="shared" ref="Q104" si="496">F104*P104</f>
        <v>98149375.403509334</v>
      </c>
      <c r="R104">
        <f t="shared" ref="R104" si="497">R105+Q104</f>
        <v>-6217226802.4294491</v>
      </c>
      <c r="S104">
        <f t="shared" ref="S104" si="498">R104/100000</f>
        <v>-62172.268024294492</v>
      </c>
      <c r="T104">
        <f t="shared" ref="T104" si="499">S104/1000</f>
        <v>-62.172268024294489</v>
      </c>
    </row>
    <row r="105" spans="1:20" x14ac:dyDescent="0.25">
      <c r="A105" s="5">
        <v>44488</v>
      </c>
      <c r="B105">
        <v>6.6839999999999997E-2</v>
      </c>
      <c r="C105">
        <v>7.1999999999999995E-2</v>
      </c>
      <c r="D105">
        <v>6.6369999999999998E-2</v>
      </c>
      <c r="E105">
        <v>6.7809999999999995E-2</v>
      </c>
      <c r="F105">
        <v>215389942</v>
      </c>
      <c r="G105">
        <v>6.7809999999999995E-2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-0.48845470692717663</v>
      </c>
      <c r="Q105">
        <f t="shared" ref="Q105" si="501">F105*P105</f>
        <v>-105208230.99467157</v>
      </c>
      <c r="R105">
        <f t="shared" ref="R105" si="502">R106+Q105</f>
        <v>-6315376177.8329582</v>
      </c>
      <c r="S105">
        <f t="shared" ref="S105" si="503">R105/100000</f>
        <v>-63153.761778329579</v>
      </c>
      <c r="T105">
        <f t="shared" ref="T105" si="504">S105/1000</f>
        <v>-63.153761778329581</v>
      </c>
    </row>
    <row r="106" spans="1:20" x14ac:dyDescent="0.25">
      <c r="A106" s="5">
        <v>44487</v>
      </c>
      <c r="B106">
        <v>6.5979999999999997E-2</v>
      </c>
      <c r="C106">
        <v>7.0730000000000001E-2</v>
      </c>
      <c r="D106">
        <v>6.5089999999999995E-2</v>
      </c>
      <c r="E106">
        <v>6.6839999999999997E-2</v>
      </c>
      <c r="F106">
        <v>299678989</v>
      </c>
      <c r="G106">
        <v>6.6839999999999997E-2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-0.37943262411347528</v>
      </c>
      <c r="Q106">
        <f t="shared" ref="Q106" si="506">F106*P106</f>
        <v>-113707985.18794329</v>
      </c>
      <c r="R106">
        <f t="shared" ref="R106" si="507">R107+Q106</f>
        <v>-6210167946.8382864</v>
      </c>
      <c r="S106">
        <f t="shared" ref="S106" si="508">R106/100000</f>
        <v>-62101.679468382863</v>
      </c>
      <c r="T106">
        <f t="shared" ref="T106" si="509">S106/1000</f>
        <v>-62.101679468382862</v>
      </c>
    </row>
    <row r="107" spans="1:20" x14ac:dyDescent="0.25">
      <c r="A107" s="5">
        <v>44486</v>
      </c>
      <c r="B107">
        <v>7.0930000000000007E-2</v>
      </c>
      <c r="C107">
        <v>7.3499999999999996E-2</v>
      </c>
      <c r="D107">
        <v>6.2520000000000006E-2</v>
      </c>
      <c r="E107">
        <v>6.5949999999999995E-2</v>
      </c>
      <c r="F107">
        <v>275968483</v>
      </c>
      <c r="G107">
        <v>6.5949999999999995E-2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-0.37522768670309803</v>
      </c>
      <c r="Q107">
        <f t="shared" ref="Q107" si="511">F107*P107</f>
        <v>-103551015.47905323</v>
      </c>
      <c r="R107">
        <f t="shared" ref="R107" si="512">R108+Q107</f>
        <v>-6096459961.6503429</v>
      </c>
      <c r="S107">
        <f t="shared" ref="S107" si="513">R107/100000</f>
        <v>-60964.59961650343</v>
      </c>
      <c r="T107">
        <f t="shared" ref="T107" si="514">S107/1000</f>
        <v>-60.964599616503428</v>
      </c>
    </row>
    <row r="108" spans="1:20" x14ac:dyDescent="0.25">
      <c r="A108" s="5">
        <v>44485</v>
      </c>
      <c r="B108">
        <v>6.8909999999999999E-2</v>
      </c>
      <c r="C108">
        <v>7.399E-2</v>
      </c>
      <c r="D108">
        <v>6.7629999999999996E-2</v>
      </c>
      <c r="E108">
        <v>7.0959999999999995E-2</v>
      </c>
      <c r="F108">
        <v>346643393</v>
      </c>
      <c r="G108">
        <v>7.0959999999999995E-2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4.7169811320753853E-2</v>
      </c>
      <c r="Q108">
        <f t="shared" ref="Q108" si="516">F108*P108</f>
        <v>16351103.443395928</v>
      </c>
      <c r="R108">
        <f t="shared" ref="R108" si="517">R109+Q108</f>
        <v>-5992908946.1712894</v>
      </c>
      <c r="S108">
        <f t="shared" ref="S108" si="518">R108/100000</f>
        <v>-59929.089461712894</v>
      </c>
      <c r="T108">
        <f t="shared" ref="T108" si="519">S108/1000</f>
        <v>-59.929089461712891</v>
      </c>
    </row>
    <row r="109" spans="1:20" x14ac:dyDescent="0.25">
      <c r="A109" s="5">
        <v>44484</v>
      </c>
      <c r="B109">
        <v>6.9690000000000002E-2</v>
      </c>
      <c r="C109">
        <v>7.1129999999999999E-2</v>
      </c>
      <c r="D109">
        <v>6.6170000000000007E-2</v>
      </c>
      <c r="E109">
        <v>6.8909999999999999E-2</v>
      </c>
      <c r="F109">
        <v>235526285</v>
      </c>
      <c r="G109">
        <v>6.8909999999999999E-2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0.10483870967741804</v>
      </c>
      <c r="Q109">
        <f t="shared" ref="Q109" si="521">F109*P109</f>
        <v>24692271.814515818</v>
      </c>
      <c r="R109">
        <f t="shared" ref="R109" si="522">R110+Q109</f>
        <v>-6009260049.6146851</v>
      </c>
      <c r="S109">
        <f t="shared" ref="S109" si="523">R109/100000</f>
        <v>-60092.60049614685</v>
      </c>
      <c r="T109">
        <f t="shared" ref="T109" si="524">S109/1000</f>
        <v>-60.092600496146851</v>
      </c>
    </row>
    <row r="110" spans="1:20" x14ac:dyDescent="0.25">
      <c r="A110" s="5">
        <v>44483</v>
      </c>
      <c r="B110">
        <v>6.7839999999999998E-2</v>
      </c>
      <c r="C110">
        <v>7.0749999999999993E-2</v>
      </c>
      <c r="D110">
        <v>6.7210000000000006E-2</v>
      </c>
      <c r="E110">
        <v>6.9690000000000002E-2</v>
      </c>
      <c r="F110">
        <v>187775390</v>
      </c>
      <c r="G110">
        <v>6.9690000000000002E-2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0.40112994350282755</v>
      </c>
      <c r="Q110">
        <f t="shared" ref="Q110" si="526">F110*P110</f>
        <v>75322331.581921414</v>
      </c>
      <c r="R110">
        <f t="shared" ref="R110" si="527">R111+Q110</f>
        <v>-6033952321.4292011</v>
      </c>
      <c r="S110">
        <f t="shared" ref="S110" si="528">R110/100000</f>
        <v>-60339.523214292014</v>
      </c>
      <c r="T110">
        <f t="shared" ref="T110" si="529">S110/1000</f>
        <v>-60.339523214292015</v>
      </c>
    </row>
    <row r="111" spans="1:20" x14ac:dyDescent="0.25">
      <c r="A111" s="5">
        <v>44482</v>
      </c>
      <c r="B111">
        <v>6.8180000000000004E-2</v>
      </c>
      <c r="C111">
        <v>7.0129999999999998E-2</v>
      </c>
      <c r="D111">
        <v>6.6129999999999994E-2</v>
      </c>
      <c r="E111">
        <v>6.7849999999999994E-2</v>
      </c>
      <c r="F111">
        <v>228970311</v>
      </c>
      <c r="G111">
        <v>6.7849999999999994E-2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-0.14000000000000112</v>
      </c>
      <c r="Q111">
        <f t="shared" ref="Q111" si="531">F111*P111</f>
        <v>-32055843.540000256</v>
      </c>
      <c r="R111">
        <f t="shared" ref="R111" si="532">R112+Q111</f>
        <v>-6109274653.0111227</v>
      </c>
      <c r="S111">
        <f t="shared" ref="S111" si="533">R111/100000</f>
        <v>-61092.746530111224</v>
      </c>
      <c r="T111">
        <f t="shared" ref="T111" si="534">S111/1000</f>
        <v>-61.092746530111228</v>
      </c>
    </row>
    <row r="112" spans="1:20" x14ac:dyDescent="0.25">
      <c r="A112" s="5">
        <v>44481</v>
      </c>
      <c r="B112">
        <v>7.1480000000000002E-2</v>
      </c>
      <c r="C112">
        <v>7.3830000000000007E-2</v>
      </c>
      <c r="D112">
        <v>6.5420000000000006E-2</v>
      </c>
      <c r="E112">
        <v>6.8190000000000001E-2</v>
      </c>
      <c r="F112">
        <v>232681419</v>
      </c>
      <c r="G112">
        <v>6.8190000000000001E-2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-0.34126040428061966</v>
      </c>
      <c r="Q112">
        <f t="shared" ref="Q112" si="536">F112*P112</f>
        <v>-79404955.116528258</v>
      </c>
      <c r="R112">
        <f t="shared" ref="R112" si="537">R113+Q112</f>
        <v>-6077218809.4711227</v>
      </c>
      <c r="S112">
        <f t="shared" ref="S112" si="538">R112/100000</f>
        <v>-60772.188094711229</v>
      </c>
      <c r="T112">
        <f t="shared" ref="T112" si="539">S112/1000</f>
        <v>-60.772188094711233</v>
      </c>
    </row>
    <row r="113" spans="1:20" x14ac:dyDescent="0.25">
      <c r="A113" s="5">
        <v>44480</v>
      </c>
      <c r="B113">
        <v>7.0040000000000005E-2</v>
      </c>
      <c r="C113">
        <v>7.6569999999999999E-2</v>
      </c>
      <c r="D113">
        <v>6.8479999999999999E-2</v>
      </c>
      <c r="E113">
        <v>7.1499999999999994E-2</v>
      </c>
      <c r="F113">
        <v>337327876</v>
      </c>
      <c r="G113">
        <v>7.1499999999999994E-2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-0.25339925834363536</v>
      </c>
      <c r="Q113">
        <f t="shared" ref="Q113" si="541">F113*P113</f>
        <v>-85478633.597033799</v>
      </c>
      <c r="R113">
        <f t="shared" ref="R113" si="542">R114+Q113</f>
        <v>-5997813854.3545942</v>
      </c>
      <c r="S113">
        <f t="shared" ref="S113" si="543">R113/100000</f>
        <v>-59978.138543545945</v>
      </c>
      <c r="T113">
        <f t="shared" ref="T113" si="544">S113/1000</f>
        <v>-59.978138543545946</v>
      </c>
    </row>
    <row r="114" spans="1:20" x14ac:dyDescent="0.25">
      <c r="A114" s="5">
        <v>44479</v>
      </c>
      <c r="B114">
        <v>7.2669999999999998E-2</v>
      </c>
      <c r="C114">
        <v>7.7619999999999995E-2</v>
      </c>
      <c r="D114">
        <v>6.9610000000000005E-2</v>
      </c>
      <c r="E114">
        <v>7.0110000000000006E-2</v>
      </c>
      <c r="F114">
        <v>451166499</v>
      </c>
      <c r="G114">
        <v>7.0110000000000006E-2</v>
      </c>
      <c r="L114" t="s">
        <v>8</v>
      </c>
      <c r="M114" t="s">
        <v>7</v>
      </c>
      <c r="N114" t="s">
        <v>8</v>
      </c>
      <c r="P114">
        <f t="shared" ref="P114" si="545">IF(C114=D114,0,((E114-D114)-(C114-E114))/(C114-D114))</f>
        <v>-0.87515605493133553</v>
      </c>
      <c r="Q114">
        <f t="shared" ref="Q114" si="546">F114*P114</f>
        <v>-394841093.38202232</v>
      </c>
      <c r="R114">
        <f t="shared" ref="R114" si="547">R115+Q114</f>
        <v>-5912335220.7575607</v>
      </c>
      <c r="S114">
        <f t="shared" ref="S114" si="548">R114/100000</f>
        <v>-59123.352207575605</v>
      </c>
      <c r="T114">
        <f t="shared" ref="T114" si="549">S114/1000</f>
        <v>-59.123352207575607</v>
      </c>
    </row>
    <row r="115" spans="1:20" x14ac:dyDescent="0.25">
      <c r="A115" s="5">
        <v>44478</v>
      </c>
      <c r="B115">
        <v>6.8049999999999999E-2</v>
      </c>
      <c r="C115">
        <v>7.3999999999999996E-2</v>
      </c>
      <c r="D115">
        <v>6.694E-2</v>
      </c>
      <c r="E115">
        <v>7.2660000000000002E-2</v>
      </c>
      <c r="F115">
        <v>319056000</v>
      </c>
      <c r="G115">
        <v>7.2660000000000002E-2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0.62039660056657375</v>
      </c>
      <c r="Q115">
        <f t="shared" ref="Q115" si="551">F115*P115</f>
        <v>197941257.79036877</v>
      </c>
      <c r="R115">
        <f t="shared" ref="R115" si="552">R116+Q115</f>
        <v>-5517494127.3755388</v>
      </c>
      <c r="S115">
        <f t="shared" ref="S115" si="553">R115/100000</f>
        <v>-55174.941273755387</v>
      </c>
      <c r="T115">
        <f t="shared" ref="T115" si="554">S115/1000</f>
        <v>-55.174941273755387</v>
      </c>
    </row>
    <row r="116" spans="1:20" x14ac:dyDescent="0.25">
      <c r="A116" s="5">
        <v>44477</v>
      </c>
      <c r="B116">
        <v>6.9000000000000006E-2</v>
      </c>
      <c r="C116">
        <v>7.1290000000000006E-2</v>
      </c>
      <c r="D116">
        <v>6.7449999999999996E-2</v>
      </c>
      <c r="E116">
        <v>6.8049999999999999E-2</v>
      </c>
      <c r="F116">
        <v>263548484</v>
      </c>
      <c r="G116">
        <v>6.8049999999999999E-2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-0.68749999999999911</v>
      </c>
      <c r="Q116">
        <f t="shared" ref="Q116" si="556">F116*P116</f>
        <v>-181189582.74999976</v>
      </c>
      <c r="R116">
        <f t="shared" ref="R116" si="557">R117+Q116</f>
        <v>-5715435385.1659079</v>
      </c>
      <c r="S116">
        <f t="shared" ref="S116" si="558">R116/100000</f>
        <v>-57154.353851659078</v>
      </c>
      <c r="T116">
        <f t="shared" ref="T116" si="559">S116/1000</f>
        <v>-57.154353851659081</v>
      </c>
    </row>
    <row r="117" spans="1:20" x14ac:dyDescent="0.25">
      <c r="A117" s="5">
        <v>44476</v>
      </c>
      <c r="B117">
        <v>7.324E-2</v>
      </c>
      <c r="C117">
        <v>7.4139999999999998E-2</v>
      </c>
      <c r="D117">
        <v>6.8640000000000007E-2</v>
      </c>
      <c r="E117">
        <v>6.9000000000000006E-2</v>
      </c>
      <c r="F117">
        <v>503976404</v>
      </c>
      <c r="G117">
        <v>6.9000000000000006E-2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-0.86909090909090914</v>
      </c>
      <c r="Q117">
        <f t="shared" ref="Q117" si="561">F117*P117</f>
        <v>-438001311.11272728</v>
      </c>
      <c r="R117">
        <f t="shared" ref="R117" si="562">R118+Q117</f>
        <v>-5534245802.4159079</v>
      </c>
      <c r="S117">
        <f t="shared" ref="S117" si="563">R117/100000</f>
        <v>-55342.458024159081</v>
      </c>
      <c r="T117">
        <f t="shared" ref="T117" si="564">S117/1000</f>
        <v>-55.342458024159079</v>
      </c>
    </row>
    <row r="118" spans="1:20" x14ac:dyDescent="0.25">
      <c r="A118" s="5">
        <v>44475</v>
      </c>
      <c r="B118">
        <v>6.5110000000000001E-2</v>
      </c>
      <c r="C118">
        <v>8.4900000000000003E-2</v>
      </c>
      <c r="D118">
        <v>6.5110000000000001E-2</v>
      </c>
      <c r="E118">
        <v>7.3190000000000005E-2</v>
      </c>
      <c r="F118">
        <v>1710309024</v>
      </c>
      <c r="G118">
        <v>7.3190000000000005E-2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-0.18342597271349137</v>
      </c>
      <c r="Q118">
        <f t="shared" ref="Q118" si="566">F118*P118</f>
        <v>-313715096.36786205</v>
      </c>
      <c r="R118">
        <f t="shared" ref="R118" si="567">R119+Q118</f>
        <v>-5096244491.3031807</v>
      </c>
      <c r="S118">
        <f t="shared" ref="S118" si="568">R118/100000</f>
        <v>-50962.44491303181</v>
      </c>
      <c r="T118">
        <f t="shared" ref="T118" si="569">S118/1000</f>
        <v>-50.96244491303181</v>
      </c>
    </row>
    <row r="119" spans="1:20" x14ac:dyDescent="0.25">
      <c r="A119" s="5">
        <v>44474</v>
      </c>
      <c r="B119">
        <v>6.2120000000000002E-2</v>
      </c>
      <c r="C119">
        <v>6.6290000000000002E-2</v>
      </c>
      <c r="D119">
        <v>6.1310000000000003E-2</v>
      </c>
      <c r="E119">
        <v>6.5180000000000002E-2</v>
      </c>
      <c r="F119">
        <v>221669251</v>
      </c>
      <c r="G119">
        <v>6.5180000000000002E-2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0.55421686746987942</v>
      </c>
      <c r="Q119">
        <f t="shared" ref="Q119" si="571">F119*P119</f>
        <v>122852837.90361443</v>
      </c>
      <c r="R119">
        <f t="shared" ref="R119" si="572">R120+Q119</f>
        <v>-4782529394.9353189</v>
      </c>
      <c r="S119">
        <f t="shared" ref="S119" si="573">R119/100000</f>
        <v>-47825.293949353189</v>
      </c>
      <c r="T119">
        <f t="shared" ref="T119" si="574">S119/1000</f>
        <v>-47.825293949353188</v>
      </c>
    </row>
    <row r="120" spans="1:20" x14ac:dyDescent="0.25">
      <c r="A120" s="5">
        <v>44473</v>
      </c>
      <c r="B120">
        <v>6.4180000000000001E-2</v>
      </c>
      <c r="C120">
        <v>6.5040000000000001E-2</v>
      </c>
      <c r="D120">
        <v>6.0049999999999999E-2</v>
      </c>
      <c r="E120">
        <v>6.1990000000000003E-2</v>
      </c>
      <c r="F120">
        <v>205811498</v>
      </c>
      <c r="G120">
        <v>6.1990000000000003E-2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-0.22244488977955765</v>
      </c>
      <c r="Q120">
        <f t="shared" ref="Q120" si="576">F120*P120</f>
        <v>-45781715.98797565</v>
      </c>
      <c r="R120">
        <f t="shared" ref="R120" si="577">R121+Q120</f>
        <v>-4905382232.838933</v>
      </c>
      <c r="S120">
        <f t="shared" ref="S120" si="578">R120/100000</f>
        <v>-49053.822328389331</v>
      </c>
      <c r="T120">
        <f t="shared" ref="T120" si="579">S120/1000</f>
        <v>-49.05382232838933</v>
      </c>
    </row>
    <row r="121" spans="1:20" x14ac:dyDescent="0.25">
      <c r="A121" s="5">
        <v>44472</v>
      </c>
      <c r="B121">
        <v>6.3049999999999995E-2</v>
      </c>
      <c r="C121">
        <v>6.4979999999999996E-2</v>
      </c>
      <c r="D121">
        <v>6.1359999999999998E-2</v>
      </c>
      <c r="E121">
        <v>6.368E-2</v>
      </c>
      <c r="F121">
        <v>169491968</v>
      </c>
      <c r="G121">
        <v>6.368E-2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0.28176795580110703</v>
      </c>
      <c r="Q121">
        <f t="shared" ref="Q121" si="581">F121*P121</f>
        <v>47757405.34806665</v>
      </c>
      <c r="R121">
        <f t="shared" ref="R121" si="582">R122+Q121</f>
        <v>-4859600516.8509569</v>
      </c>
      <c r="S121">
        <f t="shared" ref="S121" si="583">R121/100000</f>
        <v>-48596.005168509568</v>
      </c>
      <c r="T121">
        <f t="shared" ref="T121" si="584">S121/1000</f>
        <v>-48.596005168509571</v>
      </c>
    </row>
    <row r="122" spans="1:20" x14ac:dyDescent="0.25">
      <c r="A122" s="5">
        <v>44471</v>
      </c>
      <c r="B122">
        <v>6.3899999999999998E-2</v>
      </c>
      <c r="C122">
        <v>6.7000000000000004E-2</v>
      </c>
      <c r="D122">
        <v>6.2140000000000001E-2</v>
      </c>
      <c r="E122">
        <v>6.3070000000000001E-2</v>
      </c>
      <c r="F122">
        <v>263081576</v>
      </c>
      <c r="G122">
        <v>6.3070000000000001E-2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-0.61728395061728414</v>
      </c>
      <c r="Q122">
        <f t="shared" ref="Q122" si="586">F122*P122</f>
        <v>-162396034.56790128</v>
      </c>
      <c r="R122">
        <f t="shared" ref="R122" si="587">R123+Q122</f>
        <v>-4907357922.1990232</v>
      </c>
      <c r="S122">
        <f t="shared" ref="S122" si="588">R122/100000</f>
        <v>-49073.579221990236</v>
      </c>
      <c r="T122">
        <f t="shared" ref="T122" si="589">S122/1000</f>
        <v>-49.073579221990236</v>
      </c>
    </row>
    <row r="123" spans="1:20" x14ac:dyDescent="0.25">
      <c r="A123" s="5">
        <v>44470</v>
      </c>
      <c r="B123">
        <v>6.0389999999999999E-2</v>
      </c>
      <c r="C123">
        <v>6.547E-2</v>
      </c>
      <c r="D123">
        <v>5.9400000000000001E-2</v>
      </c>
      <c r="E123">
        <v>6.3899999999999998E-2</v>
      </c>
      <c r="F123">
        <v>304607021</v>
      </c>
      <c r="G123">
        <v>6.3899999999999998E-2</v>
      </c>
      <c r="L123" t="s">
        <v>7</v>
      </c>
      <c r="M123" t="s">
        <v>8</v>
      </c>
      <c r="N123" t="s">
        <v>8</v>
      </c>
      <c r="P123">
        <f t="shared" ref="P123" si="590">IF(C123=D123,0,((E123-D123)-(C123-E123))/(C123-D123))</f>
        <v>0.48270181219110309</v>
      </c>
      <c r="Q123">
        <f t="shared" ref="Q123" si="591">F123*P123</f>
        <v>147034361.04283339</v>
      </c>
      <c r="R123">
        <f t="shared" ref="R123" si="592">R124+Q123</f>
        <v>-4744961887.6311216</v>
      </c>
      <c r="S123">
        <f t="shared" ref="S123" si="593">R123/100000</f>
        <v>-47449.618876311215</v>
      </c>
      <c r="T123">
        <f t="shared" ref="T123" si="594">S123/1000</f>
        <v>-47.449618876311213</v>
      </c>
    </row>
    <row r="124" spans="1:20" x14ac:dyDescent="0.25">
      <c r="A124" s="5">
        <v>44469</v>
      </c>
      <c r="B124">
        <v>6.0260000000000001E-2</v>
      </c>
      <c r="C124">
        <v>6.5369999999999998E-2</v>
      </c>
      <c r="D124">
        <v>5.8000000000000003E-2</v>
      </c>
      <c r="E124">
        <v>6.0409999999999998E-2</v>
      </c>
      <c r="F124">
        <v>393354445</v>
      </c>
      <c r="G124">
        <v>6.0409999999999998E-2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-0.34599728629579451</v>
      </c>
      <c r="Q124">
        <f t="shared" ref="Q124" si="596">F124*P124</f>
        <v>-136099570.52238837</v>
      </c>
      <c r="R124">
        <f t="shared" ref="R124" si="597">R125+Q124</f>
        <v>-4891996248.673955</v>
      </c>
      <c r="S124">
        <f t="shared" ref="S124" si="598">R124/100000</f>
        <v>-48919.962486739547</v>
      </c>
      <c r="T124">
        <f t="shared" ref="T124" si="599">S124/1000</f>
        <v>-48.91996248673955</v>
      </c>
    </row>
    <row r="125" spans="1:20" x14ac:dyDescent="0.25">
      <c r="A125" s="5">
        <v>44468</v>
      </c>
      <c r="B125">
        <v>5.6279999999999997E-2</v>
      </c>
      <c r="C125">
        <v>6.198E-2</v>
      </c>
      <c r="D125">
        <v>5.5829999999999998E-2</v>
      </c>
      <c r="E125">
        <v>6.0310000000000002E-2</v>
      </c>
      <c r="F125">
        <v>202417895</v>
      </c>
      <c r="G125">
        <v>6.0310000000000002E-2</v>
      </c>
      <c r="L125" t="s">
        <v>8</v>
      </c>
      <c r="M125" t="s">
        <v>7</v>
      </c>
      <c r="N125" t="s">
        <v>8</v>
      </c>
      <c r="P125">
        <f t="shared" ref="P125" si="600">IF(C125=D125,0,((E125-D125)-(C125-E125))/(C125-D125))</f>
        <v>0.456910569105692</v>
      </c>
      <c r="Q125">
        <f t="shared" ref="Q125" si="601">F125*P125</f>
        <v>92486875.601626202</v>
      </c>
      <c r="R125">
        <f t="shared" ref="R125" si="602">R126+Q125</f>
        <v>-4755896678.1515665</v>
      </c>
      <c r="S125">
        <f t="shared" ref="S125" si="603">R125/100000</f>
        <v>-47558.966781515664</v>
      </c>
      <c r="T125">
        <f t="shared" ref="T125" si="604">S125/1000</f>
        <v>-47.558966781515664</v>
      </c>
    </row>
    <row r="126" spans="1:20" x14ac:dyDescent="0.25">
      <c r="A126" s="5">
        <v>44467</v>
      </c>
      <c r="B126">
        <v>6.0199999999999997E-2</v>
      </c>
      <c r="C126">
        <v>6.2920000000000004E-2</v>
      </c>
      <c r="D126">
        <v>5.595E-2</v>
      </c>
      <c r="E126">
        <v>5.6309999999999999E-2</v>
      </c>
      <c r="F126">
        <v>281292791</v>
      </c>
      <c r="G126">
        <v>5.6309999999999999E-2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-0.8967001434720232</v>
      </c>
      <c r="Q126">
        <f t="shared" ref="Q126" si="606">F126*P126</f>
        <v>-252235286.04734585</v>
      </c>
      <c r="R126">
        <f t="shared" ref="R126" si="607">R127+Q126</f>
        <v>-4848383553.7531929</v>
      </c>
      <c r="S126">
        <f t="shared" ref="S126" si="608">R126/100000</f>
        <v>-48483.83553753193</v>
      </c>
      <c r="T126">
        <f t="shared" ref="T126" si="609">S126/1000</f>
        <v>-48.483835537531931</v>
      </c>
    </row>
    <row r="127" spans="1:20" x14ac:dyDescent="0.25">
      <c r="A127" s="5">
        <v>44466</v>
      </c>
      <c r="B127">
        <v>6.5530000000000005E-2</v>
      </c>
      <c r="C127">
        <v>6.6720000000000002E-2</v>
      </c>
      <c r="D127">
        <v>6.0019999999999997E-2</v>
      </c>
      <c r="E127">
        <v>6.0240000000000002E-2</v>
      </c>
      <c r="F127">
        <v>405740187</v>
      </c>
      <c r="G127">
        <v>6.0240000000000002E-2</v>
      </c>
      <c r="L127" t="s">
        <v>7</v>
      </c>
      <c r="M127" t="s">
        <v>7</v>
      </c>
      <c r="N127" t="s">
        <v>8</v>
      </c>
      <c r="P127">
        <f t="shared" ref="P127" si="610">IF(C127=D127,0,((E127-D127)-(C127-E127))/(C127-D127))</f>
        <v>-0.93432835820895377</v>
      </c>
      <c r="Q127">
        <f t="shared" ref="Q127" si="611">F127*P127</f>
        <v>-379094562.77910388</v>
      </c>
      <c r="R127">
        <f t="shared" ref="R127" si="612">R128+Q127</f>
        <v>-4596148267.7058468</v>
      </c>
      <c r="S127">
        <f t="shared" ref="S127" si="613">R127/100000</f>
        <v>-45961.48267705847</v>
      </c>
      <c r="T127">
        <f t="shared" ref="T127" si="614">S127/1000</f>
        <v>-45.96148267705847</v>
      </c>
    </row>
    <row r="128" spans="1:20" x14ac:dyDescent="0.25">
      <c r="A128" s="5">
        <v>44465</v>
      </c>
      <c r="B128">
        <v>6.7019999999999996E-2</v>
      </c>
      <c r="C128">
        <v>7.5649999999999995E-2</v>
      </c>
      <c r="D128">
        <v>6.4130000000000006E-2</v>
      </c>
      <c r="E128">
        <v>6.5549999999999997E-2</v>
      </c>
      <c r="F128">
        <v>1697187561</v>
      </c>
      <c r="G128">
        <v>6.5549999999999997E-2</v>
      </c>
      <c r="L128" t="s">
        <v>8</v>
      </c>
      <c r="M128" t="s">
        <v>8</v>
      </c>
      <c r="N128" t="s">
        <v>8</v>
      </c>
      <c r="P128">
        <f t="shared" ref="P128" si="615">IF(C128=D128,0,((E128-D128)-(C128-E128))/(C128-D128))</f>
        <v>-0.75347222222222354</v>
      </c>
      <c r="Q128">
        <f t="shared" ref="Q128" si="616">F128*P128</f>
        <v>-1278783683.1145856</v>
      </c>
      <c r="R128">
        <f t="shared" ref="R128" si="617">R129+Q128</f>
        <v>-4217053704.9267426</v>
      </c>
      <c r="S128">
        <f t="shared" ref="S128" si="618">R128/100000</f>
        <v>-42170.537049267426</v>
      </c>
      <c r="T128">
        <f t="shared" ref="T128" si="619">S128/1000</f>
        <v>-42.170537049267423</v>
      </c>
    </row>
    <row r="129" spans="1:20" x14ac:dyDescent="0.25">
      <c r="A129" s="5">
        <v>44464</v>
      </c>
      <c r="B129">
        <v>5.1839999999999997E-2</v>
      </c>
      <c r="C129">
        <v>7.0419999999999996E-2</v>
      </c>
      <c r="D129">
        <v>4.981E-2</v>
      </c>
      <c r="E129">
        <v>6.7000000000000004E-2</v>
      </c>
      <c r="F129">
        <v>1345353831</v>
      </c>
      <c r="G129">
        <v>6.7000000000000004E-2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0.66812227074235875</v>
      </c>
      <c r="Q129">
        <f t="shared" ref="Q129" si="621">F129*P129</f>
        <v>898860856.51965153</v>
      </c>
      <c r="R129">
        <f t="shared" ref="R129" si="622">R130+Q129</f>
        <v>-2938270021.8121567</v>
      </c>
      <c r="S129">
        <f t="shared" ref="S129" si="623">R129/100000</f>
        <v>-29382.700218121568</v>
      </c>
      <c r="T129">
        <f t="shared" ref="T129" si="624">S129/1000</f>
        <v>-29.382700218121567</v>
      </c>
    </row>
    <row r="130" spans="1:20" x14ac:dyDescent="0.25">
      <c r="A130" s="5">
        <v>44463</v>
      </c>
      <c r="B130">
        <v>5.6980000000000003E-2</v>
      </c>
      <c r="C130">
        <v>5.7349999999999998E-2</v>
      </c>
      <c r="D130">
        <v>4.8759999999999998E-2</v>
      </c>
      <c r="E130">
        <v>5.1869999999999999E-2</v>
      </c>
      <c r="F130">
        <v>223733617</v>
      </c>
      <c r="G130">
        <v>5.1869999999999999E-2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-0.27590221187427205</v>
      </c>
      <c r="Q130">
        <f t="shared" ref="Q130" si="626">F130*P130</f>
        <v>-61728599.800931238</v>
      </c>
      <c r="R130">
        <f t="shared" ref="R130" si="627">R131+Q130</f>
        <v>-3837130878.3318081</v>
      </c>
      <c r="S130">
        <f t="shared" ref="S130" si="628">R130/100000</f>
        <v>-38371.308783318083</v>
      </c>
      <c r="T130">
        <f t="shared" ref="T130" si="629">S130/1000</f>
        <v>-38.371308783318085</v>
      </c>
    </row>
    <row r="131" spans="1:20" x14ac:dyDescent="0.25">
      <c r="A131" s="5">
        <v>44462</v>
      </c>
      <c r="B131">
        <v>5.534E-2</v>
      </c>
      <c r="C131">
        <v>5.7689999999999998E-2</v>
      </c>
      <c r="D131">
        <v>5.3359999999999998E-2</v>
      </c>
      <c r="E131">
        <v>5.7000000000000002E-2</v>
      </c>
      <c r="F131">
        <v>166147187</v>
      </c>
      <c r="G131">
        <v>5.7000000000000002E-2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0.68129330254041753</v>
      </c>
      <c r="Q131">
        <f t="shared" ref="Q131" si="631">F131*P131</f>
        <v>113194965.73903033</v>
      </c>
      <c r="R131">
        <f t="shared" ref="R131" si="632">R132+Q131</f>
        <v>-3775402278.5308766</v>
      </c>
      <c r="S131">
        <f t="shared" ref="S131" si="633">R131/100000</f>
        <v>-37754.022785308764</v>
      </c>
      <c r="T131">
        <f t="shared" ref="T131" si="634">S131/1000</f>
        <v>-37.754022785308763</v>
      </c>
    </row>
    <row r="132" spans="1:20" x14ac:dyDescent="0.25">
      <c r="A132" s="5">
        <v>44461</v>
      </c>
      <c r="B132">
        <v>4.9590000000000002E-2</v>
      </c>
      <c r="C132">
        <v>5.5739999999999998E-2</v>
      </c>
      <c r="D132">
        <v>4.8710000000000003E-2</v>
      </c>
      <c r="E132">
        <v>5.5419999999999997E-2</v>
      </c>
      <c r="F132">
        <v>161480608</v>
      </c>
      <c r="G132">
        <v>5.5419999999999997E-2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0.90896159317211922</v>
      </c>
      <c r="Q132">
        <f t="shared" ref="Q132" si="636">F132*P132</f>
        <v>146779670.71408245</v>
      </c>
      <c r="R132">
        <f t="shared" ref="R132" si="637">R133+Q132</f>
        <v>-3888597244.269907</v>
      </c>
      <c r="S132">
        <f t="shared" ref="S132" si="638">R132/100000</f>
        <v>-38885.972442699072</v>
      </c>
      <c r="T132">
        <f t="shared" ref="T132" si="639">S132/1000</f>
        <v>-38.885972442699071</v>
      </c>
    </row>
    <row r="133" spans="1:20" x14ac:dyDescent="0.25">
      <c r="A133" s="5">
        <v>44460</v>
      </c>
      <c r="B133">
        <v>5.3600000000000002E-2</v>
      </c>
      <c r="C133">
        <v>5.7320000000000003E-2</v>
      </c>
      <c r="D133">
        <v>4.8000000000000001E-2</v>
      </c>
      <c r="E133">
        <v>4.9579999999999999E-2</v>
      </c>
      <c r="F133">
        <v>275235839</v>
      </c>
      <c r="G133">
        <v>4.9579999999999999E-2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-0.66094420600858417</v>
      </c>
      <c r="Q133">
        <f t="shared" ref="Q133" si="641">F133*P133</f>
        <v>-181915533.07296151</v>
      </c>
      <c r="R133">
        <f t="shared" ref="R133" si="642">R134+Q133</f>
        <v>-4035376914.9839892</v>
      </c>
      <c r="S133">
        <f t="shared" ref="S133" si="643">R133/100000</f>
        <v>-40353.769149839893</v>
      </c>
      <c r="T133">
        <f t="shared" ref="T133" si="644">S133/1000</f>
        <v>-40.353769149839891</v>
      </c>
    </row>
    <row r="134" spans="1:20" x14ac:dyDescent="0.25">
      <c r="A134" s="5">
        <v>44459</v>
      </c>
      <c r="B134">
        <v>6.2149999999999997E-2</v>
      </c>
      <c r="C134">
        <v>6.2260000000000003E-2</v>
      </c>
      <c r="D134">
        <v>5.407E-2</v>
      </c>
      <c r="E134">
        <v>5.527E-2</v>
      </c>
      <c r="F134">
        <v>150965508</v>
      </c>
      <c r="G134">
        <v>5.527E-2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-0.70695970695970711</v>
      </c>
      <c r="Q134">
        <f t="shared" ref="Q134" si="646">F134*P134</f>
        <v>-106726531.29670332</v>
      </c>
      <c r="R134">
        <f t="shared" ref="R134" si="647">R135+Q134</f>
        <v>-3853461381.9110279</v>
      </c>
      <c r="S134">
        <f t="shared" ref="S134" si="648">R134/100000</f>
        <v>-38534.61381911028</v>
      </c>
      <c r="T134">
        <f t="shared" ref="T134" si="649">S134/1000</f>
        <v>-38.534613819110277</v>
      </c>
    </row>
    <row r="135" spans="1:20" x14ac:dyDescent="0.25">
      <c r="A135" s="5">
        <v>44458</v>
      </c>
      <c r="B135">
        <v>6.4259999999999998E-2</v>
      </c>
      <c r="C135">
        <v>6.5750000000000003E-2</v>
      </c>
      <c r="D135">
        <v>6.1310000000000003E-2</v>
      </c>
      <c r="E135">
        <v>6.2140000000000001E-2</v>
      </c>
      <c r="F135">
        <v>150350220</v>
      </c>
      <c r="G135">
        <v>6.2140000000000001E-2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-0.62612612612612728</v>
      </c>
      <c r="Q135">
        <f t="shared" ref="Q135" si="651">F135*P135</f>
        <v>-94138200.810810983</v>
      </c>
      <c r="R135">
        <f t="shared" ref="R135" si="652">R136+Q135</f>
        <v>-3746734850.6143246</v>
      </c>
      <c r="S135">
        <f t="shared" ref="S135" si="653">R135/100000</f>
        <v>-37467.348506143244</v>
      </c>
      <c r="T135">
        <f t="shared" ref="T135" si="654">S135/1000</f>
        <v>-37.467348506143246</v>
      </c>
    </row>
    <row r="136" spans="1:20" x14ac:dyDescent="0.25">
      <c r="A136" s="5">
        <v>44457</v>
      </c>
      <c r="B136">
        <v>6.4009999999999997E-2</v>
      </c>
      <c r="C136">
        <v>6.6129999999999994E-2</v>
      </c>
      <c r="D136">
        <v>6.2590000000000007E-2</v>
      </c>
      <c r="E136">
        <v>6.4310000000000006E-2</v>
      </c>
      <c r="F136">
        <v>137029640</v>
      </c>
      <c r="G136">
        <v>6.4310000000000006E-2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-2.8248587570618457E-2</v>
      </c>
      <c r="Q136">
        <f t="shared" ref="Q136" si="656">F136*P136</f>
        <v>-3870893.785310322</v>
      </c>
      <c r="R136">
        <f t="shared" ref="R136" si="657">R137+Q136</f>
        <v>-3652596649.8035135</v>
      </c>
      <c r="S136">
        <f t="shared" ref="S136" si="658">R136/100000</f>
        <v>-36525.966498035137</v>
      </c>
      <c r="T136">
        <f t="shared" ref="T136" si="659">S136/1000</f>
        <v>-36.525966498035139</v>
      </c>
    </row>
    <row r="137" spans="1:20" x14ac:dyDescent="0.25">
      <c r="A137" s="5">
        <v>44456</v>
      </c>
      <c r="B137">
        <v>6.5570000000000003E-2</v>
      </c>
      <c r="C137">
        <v>6.9309999999999997E-2</v>
      </c>
      <c r="D137">
        <v>6.2239999999999997E-2</v>
      </c>
      <c r="E137">
        <v>6.4009999999999997E-2</v>
      </c>
      <c r="F137">
        <v>222761889</v>
      </c>
      <c r="G137">
        <v>6.4009999999999997E-2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-0.4992927864214991</v>
      </c>
      <c r="Q137">
        <f t="shared" ref="Q137" si="661">F137*P137</f>
        <v>-111223404.26732668</v>
      </c>
      <c r="R137">
        <f t="shared" ref="R137" si="662">R138+Q137</f>
        <v>-3648725756.0182033</v>
      </c>
      <c r="S137">
        <f t="shared" ref="S137" si="663">R137/100000</f>
        <v>-36487.257560182035</v>
      </c>
      <c r="T137">
        <f t="shared" ref="T137" si="664">S137/1000</f>
        <v>-36.487257560182037</v>
      </c>
    </row>
    <row r="138" spans="1:20" x14ac:dyDescent="0.25">
      <c r="A138" s="5">
        <v>44455</v>
      </c>
      <c r="B138">
        <v>6.6239999999999993E-2</v>
      </c>
      <c r="C138">
        <v>6.9559999999999997E-2</v>
      </c>
      <c r="D138">
        <v>6.2899999999999998E-2</v>
      </c>
      <c r="E138">
        <v>6.5589999999999996E-2</v>
      </c>
      <c r="F138">
        <v>275668357</v>
      </c>
      <c r="G138">
        <v>6.5589999999999996E-2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-0.19219219219219272</v>
      </c>
      <c r="Q138">
        <f t="shared" ref="Q138" si="666">F138*P138</f>
        <v>-52981305.849849992</v>
      </c>
      <c r="R138">
        <f t="shared" ref="R138" si="667">R139+Q138</f>
        <v>-3537502351.7508764</v>
      </c>
      <c r="S138">
        <f t="shared" ref="S138" si="668">R138/100000</f>
        <v>-35375.023517508766</v>
      </c>
      <c r="T138">
        <f t="shared" ref="T138" si="669">S138/1000</f>
        <v>-35.375023517508765</v>
      </c>
    </row>
    <row r="139" spans="1:20" x14ac:dyDescent="0.25">
      <c r="A139" s="5">
        <v>44454</v>
      </c>
      <c r="B139">
        <v>6.2440000000000002E-2</v>
      </c>
      <c r="C139">
        <v>7.1800000000000003E-2</v>
      </c>
      <c r="D139">
        <v>6.1580000000000003E-2</v>
      </c>
      <c r="E139">
        <v>6.6199999999999995E-2</v>
      </c>
      <c r="F139">
        <v>303117156</v>
      </c>
      <c r="G139">
        <v>6.6199999999999995E-2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-9.5890410958905631E-2</v>
      </c>
      <c r="Q139">
        <f t="shared" ref="Q139" si="671">F139*P139</f>
        <v>-29066028.657534707</v>
      </c>
      <c r="R139">
        <f t="shared" ref="R139" si="672">R140+Q139</f>
        <v>-3484521045.9010262</v>
      </c>
      <c r="S139">
        <f t="shared" ref="S139" si="673">R139/100000</f>
        <v>-34845.210459010261</v>
      </c>
      <c r="T139">
        <f t="shared" ref="T139" si="674">S139/1000</f>
        <v>-34.845210459010261</v>
      </c>
    </row>
    <row r="140" spans="1:20" x14ac:dyDescent="0.25">
      <c r="A140" s="5">
        <v>44453</v>
      </c>
      <c r="B140">
        <v>6.096E-2</v>
      </c>
      <c r="C140">
        <v>6.3670000000000004E-2</v>
      </c>
      <c r="D140">
        <v>6.0040000000000003E-2</v>
      </c>
      <c r="E140">
        <v>6.2469999999999998E-2</v>
      </c>
      <c r="F140">
        <v>163413698</v>
      </c>
      <c r="G140">
        <v>6.2469999999999998E-2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0.33884297520660817</v>
      </c>
      <c r="Q140">
        <f t="shared" ref="Q140" si="676">F140*P140</f>
        <v>55371583.619834155</v>
      </c>
      <c r="R140">
        <f t="shared" ref="R140" si="677">R141+Q140</f>
        <v>-3455455017.2434916</v>
      </c>
      <c r="S140">
        <f t="shared" ref="S140" si="678">R140/100000</f>
        <v>-34554.550172434916</v>
      </c>
      <c r="T140">
        <f t="shared" ref="T140" si="679">S140/1000</f>
        <v>-34.554550172434915</v>
      </c>
    </row>
    <row r="141" spans="1:20" x14ac:dyDescent="0.25">
      <c r="A141" s="5">
        <v>44452</v>
      </c>
      <c r="B141">
        <v>6.5600000000000006E-2</v>
      </c>
      <c r="C141">
        <v>6.6500000000000004E-2</v>
      </c>
      <c r="D141">
        <v>5.8119999999999998E-2</v>
      </c>
      <c r="E141">
        <v>6.089E-2</v>
      </c>
      <c r="F141">
        <v>150617935</v>
      </c>
      <c r="G141">
        <v>6.089E-2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-0.33890214797136042</v>
      </c>
      <c r="Q141">
        <f t="shared" ref="Q141" si="681">F141*P141</f>
        <v>-51044741.694510743</v>
      </c>
      <c r="R141">
        <f t="shared" ref="R141" si="682">R142+Q141</f>
        <v>-3510826600.8633256</v>
      </c>
      <c r="S141">
        <f t="shared" ref="S141" si="683">R141/100000</f>
        <v>-35108.266008633254</v>
      </c>
      <c r="T141">
        <f t="shared" ref="T141" si="684">S141/1000</f>
        <v>-35.108266008633251</v>
      </c>
    </row>
    <row r="142" spans="1:20" x14ac:dyDescent="0.25">
      <c r="A142" s="5">
        <v>44451</v>
      </c>
      <c r="B142">
        <v>6.2309999999999997E-2</v>
      </c>
      <c r="C142">
        <v>6.719E-2</v>
      </c>
      <c r="D142">
        <v>6.1190000000000001E-2</v>
      </c>
      <c r="E142">
        <v>6.5589999999999996E-2</v>
      </c>
      <c r="F142">
        <v>196110155</v>
      </c>
      <c r="G142">
        <v>6.5589999999999996E-2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0.46666666666666512</v>
      </c>
      <c r="Q142">
        <f t="shared" ref="Q142" si="686">F142*P142</f>
        <v>91518072.33333303</v>
      </c>
      <c r="R142">
        <f t="shared" ref="R142" si="687">R143+Q142</f>
        <v>-3459781859.1688147</v>
      </c>
      <c r="S142">
        <f t="shared" ref="S142" si="688">R142/100000</f>
        <v>-34597.818591688148</v>
      </c>
      <c r="T142">
        <f t="shared" ref="T142" si="689">S142/1000</f>
        <v>-34.597818591688146</v>
      </c>
    </row>
    <row r="143" spans="1:20" x14ac:dyDescent="0.25">
      <c r="A143" s="5">
        <v>44450</v>
      </c>
      <c r="B143">
        <v>6.1749999999999999E-2</v>
      </c>
      <c r="C143">
        <v>6.7580000000000001E-2</v>
      </c>
      <c r="D143">
        <v>6.0729999999999999E-2</v>
      </c>
      <c r="E143">
        <v>6.2309999999999997E-2</v>
      </c>
      <c r="F143">
        <v>185655388</v>
      </c>
      <c r="G143">
        <v>6.2309999999999997E-2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-0.53868613138686205</v>
      </c>
      <c r="Q143">
        <f t="shared" ref="Q143" si="691">F143*P143</f>
        <v>-100009982.73284686</v>
      </c>
      <c r="R143">
        <f t="shared" ref="R143" si="692">R144+Q143</f>
        <v>-3551299931.5021477</v>
      </c>
      <c r="S143">
        <f t="shared" ref="S143" si="693">R143/100000</f>
        <v>-35512.99931502148</v>
      </c>
      <c r="T143">
        <f t="shared" ref="T143" si="694">S143/1000</f>
        <v>-35.512999315021482</v>
      </c>
    </row>
    <row r="144" spans="1:20" x14ac:dyDescent="0.25">
      <c r="A144" s="5">
        <v>44449</v>
      </c>
      <c r="B144">
        <v>6.6059999999999994E-2</v>
      </c>
      <c r="C144">
        <v>6.8599999999999994E-2</v>
      </c>
      <c r="D144">
        <v>6.0139999999999999E-2</v>
      </c>
      <c r="E144">
        <v>6.1809999999999997E-2</v>
      </c>
      <c r="F144">
        <v>182729600</v>
      </c>
      <c r="G144">
        <v>6.1809999999999997E-2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-0.60520094562647786</v>
      </c>
      <c r="Q144">
        <f t="shared" ref="Q144" si="696">F144*P144</f>
        <v>-110588126.71394806</v>
      </c>
      <c r="R144">
        <f t="shared" ref="R144" si="697">R145+Q144</f>
        <v>-3451289948.7693009</v>
      </c>
      <c r="S144">
        <f t="shared" ref="S144" si="698">R144/100000</f>
        <v>-34512.899487693008</v>
      </c>
      <c r="T144">
        <f t="shared" ref="T144" si="699">S144/1000</f>
        <v>-34.512899487693005</v>
      </c>
    </row>
    <row r="145" spans="1:20" x14ac:dyDescent="0.25">
      <c r="A145" s="5">
        <v>44448</v>
      </c>
      <c r="B145">
        <v>6.4879999999999993E-2</v>
      </c>
      <c r="C145">
        <v>7.3400000000000007E-2</v>
      </c>
      <c r="D145">
        <v>6.4180000000000001E-2</v>
      </c>
      <c r="E145">
        <v>6.6019999999999995E-2</v>
      </c>
      <c r="F145">
        <v>405368382</v>
      </c>
      <c r="G145">
        <v>6.6019999999999995E-2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-0.60086767895878668</v>
      </c>
      <c r="Q145">
        <f t="shared" ref="Q145" si="701">F145*P145</f>
        <v>-243572758.81561881</v>
      </c>
      <c r="R145">
        <f t="shared" ref="R145" si="702">R146+Q145</f>
        <v>-3340701822.0553527</v>
      </c>
      <c r="S145">
        <f t="shared" ref="S145" si="703">R145/100000</f>
        <v>-33407.018220553524</v>
      </c>
      <c r="T145">
        <f t="shared" ref="T145" si="704">S145/1000</f>
        <v>-33.407018220553525</v>
      </c>
    </row>
    <row r="146" spans="1:20" x14ac:dyDescent="0.25">
      <c r="A146" s="5">
        <v>44447</v>
      </c>
      <c r="B146">
        <v>6.1670000000000003E-2</v>
      </c>
      <c r="C146">
        <v>6.726E-2</v>
      </c>
      <c r="D146">
        <v>5.5039999999999999E-2</v>
      </c>
      <c r="E146">
        <v>6.4869999999999997E-2</v>
      </c>
      <c r="F146">
        <v>426233545</v>
      </c>
      <c r="G146">
        <v>6.4869999999999997E-2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0.60883797054009769</v>
      </c>
      <c r="Q146">
        <f t="shared" ref="Q146" si="706">F146*P146</f>
        <v>259507166.5139114</v>
      </c>
      <c r="R146">
        <f t="shared" ref="R146" si="707">R147+Q146</f>
        <v>-3097129063.2397337</v>
      </c>
      <c r="S146">
        <f t="shared" ref="S146" si="708">R146/100000</f>
        <v>-30971.290632397337</v>
      </c>
      <c r="T146">
        <f t="shared" ref="T146" si="709">S146/1000</f>
        <v>-30.971290632397338</v>
      </c>
    </row>
    <row r="147" spans="1:20" x14ac:dyDescent="0.25">
      <c r="A147" s="5">
        <v>44446</v>
      </c>
      <c r="B147">
        <v>7.9170000000000004E-2</v>
      </c>
      <c r="C147">
        <v>8.1530000000000005E-2</v>
      </c>
      <c r="D147">
        <v>5.2999999999999999E-2</v>
      </c>
      <c r="E147">
        <v>6.1600000000000002E-2</v>
      </c>
      <c r="F147">
        <v>741794067</v>
      </c>
      <c r="G147">
        <v>6.1600000000000002E-2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-0.39712583245706262</v>
      </c>
      <c r="Q147">
        <f t="shared" ref="Q147" si="711">F147*P147</f>
        <v>-294585586.36908507</v>
      </c>
      <c r="R147">
        <f t="shared" ref="R147" si="712">R148+Q147</f>
        <v>-3356636229.7536449</v>
      </c>
      <c r="S147">
        <f t="shared" ref="S147" si="713">R147/100000</f>
        <v>-33566.362297536449</v>
      </c>
      <c r="T147">
        <f t="shared" ref="T147" si="714">S147/1000</f>
        <v>-33.56636229753645</v>
      </c>
    </row>
    <row r="148" spans="1:20" x14ac:dyDescent="0.25">
      <c r="A148" s="5">
        <v>44445</v>
      </c>
      <c r="B148">
        <v>8.3460000000000006E-2</v>
      </c>
      <c r="C148">
        <v>8.3970000000000003E-2</v>
      </c>
      <c r="D148">
        <v>7.4429999999999996E-2</v>
      </c>
      <c r="E148">
        <v>7.9210000000000003E-2</v>
      </c>
      <c r="F148">
        <v>560297068</v>
      </c>
      <c r="G148">
        <v>7.9210000000000003E-2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2.0964360587008499E-3</v>
      </c>
      <c r="Q148">
        <f t="shared" ref="Q148" si="716">F148*P148</f>
        <v>1174626.976939562</v>
      </c>
      <c r="R148">
        <f t="shared" ref="R148" si="717">R149+Q148</f>
        <v>-3062050643.3845601</v>
      </c>
      <c r="S148">
        <f t="shared" ref="S148" si="718">R148/100000</f>
        <v>-30620.5064338456</v>
      </c>
      <c r="T148">
        <f t="shared" ref="T148" si="719">S148/1000</f>
        <v>-30.620506433845598</v>
      </c>
    </row>
    <row r="149" spans="1:20" x14ac:dyDescent="0.25">
      <c r="A149" s="5">
        <v>44444</v>
      </c>
      <c r="B149">
        <v>8.0769999999999995E-2</v>
      </c>
      <c r="C149">
        <v>9.1189999999999993E-2</v>
      </c>
      <c r="D149">
        <v>7.9420000000000004E-2</v>
      </c>
      <c r="E149">
        <v>8.3510000000000001E-2</v>
      </c>
      <c r="F149">
        <v>807410997</v>
      </c>
      <c r="G149">
        <v>8.3510000000000001E-2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-0.30501274426508068</v>
      </c>
      <c r="Q149">
        <f t="shared" ref="Q149" si="721">F149*P149</f>
        <v>-246270643.94477484</v>
      </c>
      <c r="R149">
        <f t="shared" ref="R149" si="722">R150+Q149</f>
        <v>-3063225270.3614998</v>
      </c>
      <c r="S149">
        <f t="shared" ref="S149" si="723">R149/100000</f>
        <v>-30632.252703614999</v>
      </c>
      <c r="T149">
        <f t="shared" ref="T149" si="724">S149/1000</f>
        <v>-30.632252703614999</v>
      </c>
    </row>
    <row r="150" spans="1:20" x14ac:dyDescent="0.25">
      <c r="A150" s="5">
        <v>44443</v>
      </c>
      <c r="B150">
        <v>7.4370000000000006E-2</v>
      </c>
      <c r="C150">
        <v>8.7440000000000004E-2</v>
      </c>
      <c r="D150">
        <v>7.3429999999999995E-2</v>
      </c>
      <c r="E150">
        <v>8.0769999999999995E-2</v>
      </c>
      <c r="F150">
        <v>672362462</v>
      </c>
      <c r="G150">
        <v>8.0769999999999995E-2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4.7822983583154149E-2</v>
      </c>
      <c r="Q150">
        <f t="shared" ref="Q150" si="726">F150*P150</f>
        <v>32154378.982155107</v>
      </c>
      <c r="R150">
        <f t="shared" ref="R150" si="727">R151+Q150</f>
        <v>-2816954626.4167252</v>
      </c>
      <c r="S150">
        <f t="shared" ref="S150" si="728">R150/100000</f>
        <v>-28169.546264167253</v>
      </c>
      <c r="T150">
        <f t="shared" ref="T150" si="729">S150/1000</f>
        <v>-28.169546264167252</v>
      </c>
    </row>
    <row r="151" spans="1:20" x14ac:dyDescent="0.25">
      <c r="A151" s="5">
        <v>44442</v>
      </c>
      <c r="B151">
        <v>7.4990000000000001E-2</v>
      </c>
      <c r="C151">
        <v>7.6810000000000003E-2</v>
      </c>
      <c r="D151">
        <v>7.2999999999999995E-2</v>
      </c>
      <c r="E151">
        <v>7.4410000000000004E-2</v>
      </c>
      <c r="F151">
        <v>241126051</v>
      </c>
      <c r="G151">
        <v>7.4410000000000004E-2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-0.25984251968503647</v>
      </c>
      <c r="Q151">
        <f t="shared" ref="Q151" si="731">F151*P151</f>
        <v>-62654800.653542608</v>
      </c>
      <c r="R151">
        <f t="shared" ref="R151" si="732">R152+Q151</f>
        <v>-2849109005.3988805</v>
      </c>
      <c r="S151">
        <f t="shared" ref="S151" si="733">R151/100000</f>
        <v>-28491.090053988806</v>
      </c>
      <c r="T151">
        <f t="shared" ref="T151" si="734">S151/1000</f>
        <v>-28.491090053988806</v>
      </c>
    </row>
    <row r="152" spans="1:20" x14ac:dyDescent="0.25">
      <c r="A152" s="5">
        <v>44441</v>
      </c>
      <c r="B152">
        <v>7.4399999999999994E-2</v>
      </c>
      <c r="C152">
        <v>7.7499999999999999E-2</v>
      </c>
      <c r="D152">
        <v>7.2559999999999999E-2</v>
      </c>
      <c r="E152">
        <v>7.4990000000000001E-2</v>
      </c>
      <c r="F152">
        <v>321395570</v>
      </c>
      <c r="G152">
        <v>7.4990000000000001E-2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-1.6194331983805009E-2</v>
      </c>
      <c r="Q152">
        <f t="shared" ref="Q152" si="736">F152*P152</f>
        <v>-5204786.5587042412</v>
      </c>
      <c r="R152">
        <f t="shared" ref="R152" si="737">R153+Q152</f>
        <v>-2786454204.745338</v>
      </c>
      <c r="S152">
        <f t="shared" ref="S152" si="738">R152/100000</f>
        <v>-27864.542047453378</v>
      </c>
      <c r="T152">
        <f t="shared" ref="T152" si="739">S152/1000</f>
        <v>-27.86454204745338</v>
      </c>
    </row>
    <row r="153" spans="1:20" x14ac:dyDescent="0.25">
      <c r="A153" s="5">
        <v>44440</v>
      </c>
      <c r="B153">
        <v>7.2830000000000006E-2</v>
      </c>
      <c r="C153">
        <v>7.5359999999999996E-2</v>
      </c>
      <c r="D153">
        <v>7.0849999999999996E-2</v>
      </c>
      <c r="E153">
        <v>7.442E-2</v>
      </c>
      <c r="F153">
        <v>235881521</v>
      </c>
      <c r="G153">
        <v>7.442E-2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0.5831485587583165</v>
      </c>
      <c r="Q153">
        <f t="shared" ref="Q153" si="741">F153*P153</f>
        <v>137553969.00886956</v>
      </c>
      <c r="R153">
        <f t="shared" ref="R153" si="742">R154+Q153</f>
        <v>-2781249418.1866336</v>
      </c>
      <c r="S153">
        <f t="shared" ref="S153" si="743">R153/100000</f>
        <v>-27812.494181866336</v>
      </c>
      <c r="T153">
        <f t="shared" ref="T153" si="744">S153/1000</f>
        <v>-27.812494181866334</v>
      </c>
    </row>
    <row r="154" spans="1:20" x14ac:dyDescent="0.25">
      <c r="A154" s="5">
        <v>44439</v>
      </c>
      <c r="B154">
        <v>7.2910000000000003E-2</v>
      </c>
      <c r="C154">
        <v>7.5509999999999994E-2</v>
      </c>
      <c r="D154">
        <v>7.1360000000000007E-2</v>
      </c>
      <c r="E154">
        <v>7.281E-2</v>
      </c>
      <c r="F154">
        <v>227884685</v>
      </c>
      <c r="G154">
        <v>7.281E-2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-0.30120481927710963</v>
      </c>
      <c r="Q154">
        <f t="shared" ref="Q154" si="746">F154*P154</f>
        <v>-68639965.361446053</v>
      </c>
      <c r="R154">
        <f t="shared" ref="R154" si="747">R155+Q154</f>
        <v>-2918803387.1955032</v>
      </c>
      <c r="S154">
        <f t="shared" ref="S154" si="748">R154/100000</f>
        <v>-29188.033871955031</v>
      </c>
      <c r="T154">
        <f t="shared" ref="T154" si="749">S154/1000</f>
        <v>-29.188033871955032</v>
      </c>
    </row>
    <row r="155" spans="1:20" x14ac:dyDescent="0.25">
      <c r="A155" s="5">
        <v>44438</v>
      </c>
      <c r="B155">
        <v>7.8329999999999997E-2</v>
      </c>
      <c r="C155">
        <v>8.3000000000000004E-2</v>
      </c>
      <c r="D155">
        <v>7.2520000000000001E-2</v>
      </c>
      <c r="E155">
        <v>7.2929999999999995E-2</v>
      </c>
      <c r="F155">
        <v>326876877</v>
      </c>
      <c r="G155">
        <v>7.2929999999999995E-2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-0.92175572519084092</v>
      </c>
      <c r="Q155">
        <f t="shared" ref="Q155" si="751">F155*P155</f>
        <v>-301300632.80725229</v>
      </c>
      <c r="R155">
        <f t="shared" ref="R155" si="752">R156+Q155</f>
        <v>-2850163421.8340573</v>
      </c>
      <c r="S155">
        <f t="shared" ref="S155" si="753">R155/100000</f>
        <v>-28501.634218340572</v>
      </c>
      <c r="T155">
        <f t="shared" ref="T155" si="754">S155/1000</f>
        <v>-28.501634218340573</v>
      </c>
    </row>
    <row r="156" spans="1:20" x14ac:dyDescent="0.25">
      <c r="A156" s="5">
        <v>44437</v>
      </c>
      <c r="B156">
        <v>8.0790000000000001E-2</v>
      </c>
      <c r="C156">
        <v>8.208E-2</v>
      </c>
      <c r="D156">
        <v>7.639E-2</v>
      </c>
      <c r="E156">
        <v>7.8329999999999997E-2</v>
      </c>
      <c r="F156">
        <v>287677574</v>
      </c>
      <c r="G156">
        <v>7.8329999999999997E-2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-0.31810193321616975</v>
      </c>
      <c r="Q156">
        <f t="shared" ref="Q156" si="756">F156*P156</f>
        <v>-91510792.432337731</v>
      </c>
      <c r="R156">
        <f t="shared" ref="R156" si="757">R157+Q156</f>
        <v>-2548862789.0268049</v>
      </c>
      <c r="S156">
        <f t="shared" ref="S156" si="758">R156/100000</f>
        <v>-25488.62789026805</v>
      </c>
      <c r="T156">
        <f t="shared" ref="T156" si="759">S156/1000</f>
        <v>-25.488627890268049</v>
      </c>
    </row>
    <row r="157" spans="1:20" x14ac:dyDescent="0.25">
      <c r="A157" s="5">
        <v>44436</v>
      </c>
      <c r="B157">
        <v>8.4699999999999998E-2</v>
      </c>
      <c r="C157">
        <v>8.4900000000000003E-2</v>
      </c>
      <c r="D157">
        <v>7.9250000000000001E-2</v>
      </c>
      <c r="E157">
        <v>8.0780000000000005E-2</v>
      </c>
      <c r="F157">
        <v>358228575</v>
      </c>
      <c r="G157">
        <v>8.0780000000000005E-2</v>
      </c>
      <c r="L157" t="s">
        <v>7</v>
      </c>
      <c r="M157" t="s">
        <v>8</v>
      </c>
      <c r="N157" t="s">
        <v>7</v>
      </c>
      <c r="P157">
        <f t="shared" ref="P157" si="760">IF(C157=D157,0,((E157-D157)-(C157-E157))/(C157-D157))</f>
        <v>-0.45840707964601662</v>
      </c>
      <c r="Q157">
        <f t="shared" ref="Q157" si="761">F157*P157</f>
        <v>-164214514.91150403</v>
      </c>
      <c r="R157">
        <f t="shared" ref="R157" si="762">R158+Q157</f>
        <v>-2457351996.5944672</v>
      </c>
      <c r="S157">
        <f t="shared" ref="S157" si="763">R157/100000</f>
        <v>-24573.51996594467</v>
      </c>
      <c r="T157">
        <f t="shared" ref="T157" si="764">S157/1000</f>
        <v>-24.573519965944669</v>
      </c>
    </row>
    <row r="158" spans="1:20" x14ac:dyDescent="0.25">
      <c r="A158" s="5">
        <v>44435</v>
      </c>
      <c r="B158">
        <v>7.2690000000000005E-2</v>
      </c>
      <c r="C158">
        <v>9.1886999999999996E-2</v>
      </c>
      <c r="D158">
        <v>7.109E-2</v>
      </c>
      <c r="E158">
        <v>8.4699999999999998E-2</v>
      </c>
      <c r="F158">
        <v>1788870263</v>
      </c>
      <c r="G158">
        <v>8.4699999999999998E-2</v>
      </c>
      <c r="L158" t="s">
        <v>8</v>
      </c>
      <c r="M158" t="s">
        <v>8</v>
      </c>
      <c r="N158" t="s">
        <v>7</v>
      </c>
      <c r="P158">
        <f t="shared" ref="P158" si="765">IF(C158=D158,0,((E158-D158)-(C158-E158))/(C158-D158))</f>
        <v>0.30884262153195169</v>
      </c>
      <c r="Q158">
        <f t="shared" ref="Q158" si="766">F158*P158</f>
        <v>552479381.60547185</v>
      </c>
      <c r="R158">
        <f t="shared" ref="R158" si="767">R159+Q158</f>
        <v>-2293137481.6829634</v>
      </c>
      <c r="S158">
        <f t="shared" ref="S158" si="768">R158/100000</f>
        <v>-22931.374816829633</v>
      </c>
      <c r="T158">
        <f t="shared" ref="T158" si="769">S158/1000</f>
        <v>-22.931374816829635</v>
      </c>
    </row>
    <row r="159" spans="1:20" x14ac:dyDescent="0.25">
      <c r="A159" s="5">
        <v>44434</v>
      </c>
      <c r="B159">
        <v>7.4162000000000006E-2</v>
      </c>
      <c r="C159">
        <v>7.9701999999999995E-2</v>
      </c>
      <c r="D159">
        <v>6.8554000000000004E-2</v>
      </c>
      <c r="E159">
        <v>7.263E-2</v>
      </c>
      <c r="F159">
        <v>488381737</v>
      </c>
      <c r="G159">
        <v>7.263E-2</v>
      </c>
      <c r="L159" t="s">
        <v>8</v>
      </c>
      <c r="M159" t="s">
        <v>7</v>
      </c>
      <c r="N159" t="s">
        <v>7</v>
      </c>
      <c r="P159">
        <f t="shared" ref="P159" si="770">IF(C159=D159,0,((E159-D159)-(C159-E159))/(C159-D159))</f>
        <v>-0.26874775744528173</v>
      </c>
      <c r="Q159">
        <f t="shared" ref="Q159" si="771">F159*P159</f>
        <v>-131251496.59598137</v>
      </c>
      <c r="R159">
        <f t="shared" ref="R159" si="772">R160+Q159</f>
        <v>-2845616863.288435</v>
      </c>
      <c r="S159">
        <f t="shared" ref="S159" si="773">R159/100000</f>
        <v>-28456.16863288435</v>
      </c>
      <c r="T159">
        <f t="shared" ref="T159" si="774">S159/1000</f>
        <v>-28.456168632884349</v>
      </c>
    </row>
    <row r="160" spans="1:20" x14ac:dyDescent="0.25">
      <c r="A160" s="5">
        <v>44433</v>
      </c>
      <c r="B160">
        <v>7.1864999999999998E-2</v>
      </c>
      <c r="C160">
        <v>7.6260999999999995E-2</v>
      </c>
      <c r="D160">
        <v>7.0000000000000007E-2</v>
      </c>
      <c r="E160">
        <v>7.4099999999999999E-2</v>
      </c>
      <c r="F160">
        <v>291610396</v>
      </c>
      <c r="G160">
        <v>7.4099999999999999E-2</v>
      </c>
      <c r="L160" t="s">
        <v>8</v>
      </c>
      <c r="M160" t="s">
        <v>7</v>
      </c>
      <c r="N160" t="s">
        <v>7</v>
      </c>
      <c r="P160">
        <f t="shared" ref="P160" si="775">IF(C160=D160,0,((E160-D160)-(C160-E160))/(C160-D160))</f>
        <v>0.30969493691103656</v>
      </c>
      <c r="Q160">
        <f t="shared" ref="Q160" si="776">F160*P160</f>
        <v>90310263.19182238</v>
      </c>
      <c r="R160">
        <f t="shared" ref="R160" si="777">R161+Q160</f>
        <v>-2714365366.6924534</v>
      </c>
      <c r="S160">
        <f t="shared" ref="S160" si="778">R160/100000</f>
        <v>-27143.653666924532</v>
      </c>
      <c r="T160">
        <f t="shared" ref="T160" si="779">S160/1000</f>
        <v>-27.143653666924532</v>
      </c>
    </row>
    <row r="161" spans="1:20" x14ac:dyDescent="0.25">
      <c r="A161" s="5">
        <v>44432</v>
      </c>
      <c r="B161">
        <v>8.0341999999999997E-2</v>
      </c>
      <c r="C161">
        <v>8.1007999999999997E-2</v>
      </c>
      <c r="D161">
        <v>7.0121000000000003E-2</v>
      </c>
      <c r="E161">
        <v>7.1785000000000002E-2</v>
      </c>
      <c r="F161">
        <v>338241549</v>
      </c>
      <c r="G161">
        <v>7.1785000000000002E-2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-0.69431431983099112</v>
      </c>
      <c r="Q161">
        <f t="shared" ref="Q161" si="781">F161*P161</f>
        <v>-234845951.03251585</v>
      </c>
      <c r="R161">
        <f t="shared" ref="R161" si="782">R162+Q161</f>
        <v>-2804675629.8842759</v>
      </c>
      <c r="S161">
        <f t="shared" ref="S161" si="783">R161/100000</f>
        <v>-28046.75629884276</v>
      </c>
      <c r="T161">
        <f t="shared" ref="T161" si="784">S161/1000</f>
        <v>-28.046756298842759</v>
      </c>
    </row>
    <row r="162" spans="1:20" x14ac:dyDescent="0.25">
      <c r="A162" s="5">
        <v>44431</v>
      </c>
      <c r="B162">
        <v>7.8620999999999996E-2</v>
      </c>
      <c r="C162">
        <v>8.1429000000000001E-2</v>
      </c>
      <c r="D162">
        <v>7.8199000000000005E-2</v>
      </c>
      <c r="E162">
        <v>8.0348000000000003E-2</v>
      </c>
      <c r="F162">
        <v>321974834</v>
      </c>
      <c r="G162">
        <v>8.0348000000000003E-2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0.33065015479876181</v>
      </c>
      <c r="Q162">
        <f t="shared" ref="Q162" si="786">F162*P162</f>
        <v>106461028.70340563</v>
      </c>
      <c r="R162">
        <f t="shared" ref="R162" si="787">R163+Q162</f>
        <v>-2569829678.8517599</v>
      </c>
      <c r="S162">
        <f t="shared" ref="S162" si="788">R162/100000</f>
        <v>-25698.2967885176</v>
      </c>
      <c r="T162">
        <f t="shared" ref="T162" si="789">S162/1000</f>
        <v>-25.698296788517599</v>
      </c>
    </row>
    <row r="163" spans="1:20" x14ac:dyDescent="0.25">
      <c r="A163" s="5">
        <v>44430</v>
      </c>
      <c r="B163">
        <v>7.9366999999999993E-2</v>
      </c>
      <c r="C163">
        <v>8.0373E-2</v>
      </c>
      <c r="D163">
        <v>7.9000000000000001E-2</v>
      </c>
      <c r="E163">
        <v>8.0131999999999995E-2</v>
      </c>
      <c r="F163">
        <v>53780229</v>
      </c>
      <c r="G163">
        <v>8.0131999999999995E-2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0.648943918426795</v>
      </c>
      <c r="Q163">
        <f t="shared" ref="Q163" si="791">F163*P163</f>
        <v>34900352.541150354</v>
      </c>
      <c r="R163">
        <f t="shared" ref="R163" si="792">R164+Q163</f>
        <v>-2676290707.5551658</v>
      </c>
      <c r="S163">
        <f t="shared" ref="S163" si="793">R163/100000</f>
        <v>-26762.907075551659</v>
      </c>
      <c r="T163">
        <f t="shared" ref="T163" si="794">S163/1000</f>
        <v>-26.762907075551659</v>
      </c>
    </row>
    <row r="164" spans="1:20" x14ac:dyDescent="0.25">
      <c r="A164" s="5">
        <v>44429</v>
      </c>
      <c r="B164">
        <v>8.2655000000000006E-2</v>
      </c>
      <c r="C164">
        <v>8.5000000000000006E-2</v>
      </c>
      <c r="D164">
        <v>7.8603999999999993E-2</v>
      </c>
      <c r="E164">
        <v>7.9380000000000006E-2</v>
      </c>
      <c r="F164">
        <v>455058759</v>
      </c>
      <c r="G164">
        <v>7.9380000000000006E-2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-0.75734834271419282</v>
      </c>
      <c r="Q164">
        <f t="shared" ref="Q164" si="796">F164*P164</f>
        <v>-344637996.96622729</v>
      </c>
      <c r="R164">
        <f t="shared" ref="R164" si="797">R165+Q164</f>
        <v>-2711191060.0963163</v>
      </c>
      <c r="S164">
        <f t="shared" ref="S164" si="798">R164/100000</f>
        <v>-27111.910600963165</v>
      </c>
      <c r="T164">
        <f t="shared" ref="T164" si="799">S164/1000</f>
        <v>-27.111910600963164</v>
      </c>
    </row>
    <row r="165" spans="1:20" x14ac:dyDescent="0.25">
      <c r="A165" s="5">
        <v>44428</v>
      </c>
      <c r="B165">
        <v>8.1036999999999998E-2</v>
      </c>
      <c r="C165">
        <v>8.6349999999999996E-2</v>
      </c>
      <c r="D165">
        <v>8.0459000000000003E-2</v>
      </c>
      <c r="E165">
        <v>8.2697999999999994E-2</v>
      </c>
      <c r="F165">
        <v>582583899</v>
      </c>
      <c r="G165">
        <v>8.2697999999999994E-2</v>
      </c>
      <c r="L165" t="s">
        <v>7</v>
      </c>
      <c r="M165" t="s">
        <v>8</v>
      </c>
      <c r="N165" t="s">
        <v>7</v>
      </c>
      <c r="P165">
        <f t="shared" ref="P165" si="800">IF(C165=D165,0,((E165-D165)-(C165-E165))/(C165-D165))</f>
        <v>-0.23985740960787863</v>
      </c>
      <c r="Q165">
        <f t="shared" ref="Q165" si="801">F165*P165</f>
        <v>-139737064.89339799</v>
      </c>
      <c r="R165">
        <f t="shared" ref="R165" si="802">R166+Q165</f>
        <v>-2366553063.1300893</v>
      </c>
      <c r="S165">
        <f t="shared" ref="S165" si="803">R165/100000</f>
        <v>-23665.530631300891</v>
      </c>
      <c r="T165">
        <f t="shared" ref="T165" si="804">S165/1000</f>
        <v>-23.665530631300893</v>
      </c>
    </row>
    <row r="166" spans="1:20" x14ac:dyDescent="0.25">
      <c r="A166" s="5">
        <v>44427</v>
      </c>
      <c r="B166">
        <v>7.6421000000000003E-2</v>
      </c>
      <c r="C166">
        <v>8.6308999999999997E-2</v>
      </c>
      <c r="D166">
        <v>7.5286000000000006E-2</v>
      </c>
      <c r="E166">
        <v>8.1075999999999995E-2</v>
      </c>
      <c r="F166">
        <v>942372019</v>
      </c>
      <c r="G166">
        <v>8.1075999999999995E-2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5.0530708518551078E-2</v>
      </c>
      <c r="Q166">
        <f t="shared" ref="Q166" si="806">F166*P166</f>
        <v>47618725.808127478</v>
      </c>
      <c r="R166">
        <f t="shared" ref="R166" si="807">R167+Q166</f>
        <v>-2226815998.2366915</v>
      </c>
      <c r="S166">
        <f t="shared" ref="S166" si="808">R166/100000</f>
        <v>-22268.159982366913</v>
      </c>
      <c r="T166">
        <f t="shared" ref="T166" si="809">S166/1000</f>
        <v>-22.268159982366914</v>
      </c>
    </row>
    <row r="167" spans="1:20" x14ac:dyDescent="0.25">
      <c r="A167" s="5">
        <v>44426</v>
      </c>
      <c r="B167">
        <v>7.6271000000000005E-2</v>
      </c>
      <c r="C167">
        <v>8.1869999999999998E-2</v>
      </c>
      <c r="D167">
        <v>7.1300000000000002E-2</v>
      </c>
      <c r="E167">
        <v>7.6428999999999997E-2</v>
      </c>
      <c r="F167">
        <v>795433023</v>
      </c>
      <c r="G167">
        <v>7.6428999999999997E-2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-2.951750236518513E-2</v>
      </c>
      <c r="Q167">
        <f t="shared" ref="Q167" si="811">F167*P167</f>
        <v>-23479196.137748856</v>
      </c>
      <c r="R167">
        <f t="shared" ref="R167" si="812">R168+Q167</f>
        <v>-2274434724.0448189</v>
      </c>
      <c r="S167">
        <f t="shared" ref="S167" si="813">R167/100000</f>
        <v>-22744.347240448187</v>
      </c>
      <c r="T167">
        <f t="shared" ref="T167" si="814">S167/1000</f>
        <v>-22.744347240448189</v>
      </c>
    </row>
    <row r="168" spans="1:20" x14ac:dyDescent="0.25">
      <c r="A168" s="5">
        <v>44425</v>
      </c>
      <c r="B168">
        <v>8.6895E-2</v>
      </c>
      <c r="C168">
        <v>8.8955999999999993E-2</v>
      </c>
      <c r="D168">
        <v>7.4859999999999996E-2</v>
      </c>
      <c r="E168">
        <v>7.6141E-2</v>
      </c>
      <c r="F168">
        <v>1101613134</v>
      </c>
      <c r="G168">
        <v>7.6141E-2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-0.81824631101021505</v>
      </c>
      <c r="Q168">
        <f t="shared" ref="Q168" si="816">F168*P168</f>
        <v>-901390883.05590177</v>
      </c>
      <c r="R168">
        <f t="shared" ref="R168" si="817">R169+Q168</f>
        <v>-2250955527.9070702</v>
      </c>
      <c r="S168">
        <f t="shared" ref="S168" si="818">R168/100000</f>
        <v>-22509.555279070701</v>
      </c>
      <c r="T168">
        <f t="shared" ref="T168" si="819">S168/1000</f>
        <v>-22.5095552790707</v>
      </c>
    </row>
    <row r="169" spans="1:20" x14ac:dyDescent="0.25">
      <c r="A169" s="5">
        <v>44424</v>
      </c>
      <c r="B169">
        <v>8.5993E-2</v>
      </c>
      <c r="C169">
        <v>0.102038</v>
      </c>
      <c r="D169">
        <v>8.3791000000000004E-2</v>
      </c>
      <c r="E169">
        <v>8.6889999999999995E-2</v>
      </c>
      <c r="F169">
        <v>2002738935</v>
      </c>
      <c r="G169">
        <v>8.6889999999999995E-2</v>
      </c>
      <c r="L169" t="s">
        <v>8</v>
      </c>
      <c r="M169" t="s">
        <v>8</v>
      </c>
      <c r="N169" t="s">
        <v>7</v>
      </c>
      <c r="P169">
        <f t="shared" ref="P169" si="820">IF(C169=D169,0,((E169-D169)-(C169-E169))/(C169-D169))</f>
        <v>-0.66032772510549775</v>
      </c>
      <c r="Q169">
        <f t="shared" ref="Q169" si="821">F169*P169</f>
        <v>-1322464044.9287574</v>
      </c>
      <c r="R169">
        <f t="shared" ref="R169" si="822">R170+Q169</f>
        <v>-1349564644.8511682</v>
      </c>
      <c r="S169">
        <f t="shared" ref="S169" si="823">R169/100000</f>
        <v>-13495.646448511681</v>
      </c>
      <c r="T169">
        <f t="shared" ref="T169" si="824">S169/1000</f>
        <v>-13.495646448511682</v>
      </c>
    </row>
    <row r="170" spans="1:20" x14ac:dyDescent="0.25">
      <c r="A170" s="5">
        <v>44423</v>
      </c>
      <c r="B170">
        <v>9.1800999999999994E-2</v>
      </c>
      <c r="C170">
        <v>9.2999999999999999E-2</v>
      </c>
      <c r="D170">
        <v>8.1299999999999997E-2</v>
      </c>
      <c r="E170">
        <v>8.6094000000000004E-2</v>
      </c>
      <c r="F170">
        <v>1150234763</v>
      </c>
      <c r="G170">
        <v>8.6094000000000004E-2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-0.18051282051281953</v>
      </c>
      <c r="Q170">
        <f t="shared" ref="Q170" si="826">F170*P170</f>
        <v>-207632121.32102451</v>
      </c>
      <c r="R170">
        <f t="shared" ref="R170" si="827">R171+Q170</f>
        <v>-27100599.922410816</v>
      </c>
      <c r="S170">
        <f t="shared" ref="S170" si="828">R170/100000</f>
        <v>-271.00599922410817</v>
      </c>
      <c r="T170">
        <f t="shared" ref="T170" si="829">S170/1000</f>
        <v>-0.27100599922410817</v>
      </c>
    </row>
    <row r="171" spans="1:20" x14ac:dyDescent="0.25">
      <c r="A171" s="5">
        <v>44422</v>
      </c>
      <c r="B171">
        <v>9.9107000000000001E-2</v>
      </c>
      <c r="C171">
        <v>0.10427</v>
      </c>
      <c r="D171">
        <v>8.9000999999999997E-2</v>
      </c>
      <c r="E171">
        <v>9.1863E-2</v>
      </c>
      <c r="F171">
        <v>1371550997</v>
      </c>
      <c r="G171">
        <v>9.1863E-2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-0.62512279782565949</v>
      </c>
      <c r="Q171">
        <f t="shared" ref="Q171" si="831">F171*P171</f>
        <v>-857387796.60521269</v>
      </c>
      <c r="R171">
        <f t="shared" ref="R171" si="832">R172+Q171</f>
        <v>180531521.39861369</v>
      </c>
      <c r="S171">
        <f t="shared" ref="S171" si="833">R171/100000</f>
        <v>1805.315213986137</v>
      </c>
      <c r="T171">
        <f t="shared" ref="T171" si="834">S171/1000</f>
        <v>1.805315213986137</v>
      </c>
    </row>
    <row r="172" spans="1:20" x14ac:dyDescent="0.25">
      <c r="A172" s="5">
        <v>44421</v>
      </c>
      <c r="B172">
        <v>0.11167100000000001</v>
      </c>
      <c r="C172">
        <v>0.115898</v>
      </c>
      <c r="D172">
        <v>9.7222000000000003E-2</v>
      </c>
      <c r="E172">
        <v>9.9117999999999998E-2</v>
      </c>
      <c r="F172">
        <v>1896114682</v>
      </c>
      <c r="G172">
        <v>9.9117999999999998E-2</v>
      </c>
      <c r="L172" t="s">
        <v>7</v>
      </c>
      <c r="M172" t="s">
        <v>7</v>
      </c>
      <c r="N172" t="s">
        <v>7</v>
      </c>
      <c r="P172">
        <f t="shared" ref="P172" si="835">IF(C172=D172,0,((E172-D172)-(C172-E172))/(C172-D172))</f>
        <v>-0.79695866352538069</v>
      </c>
      <c r="Q172">
        <f t="shared" ref="Q172" si="836">F172*P172</f>
        <v>-1511125022.8575723</v>
      </c>
      <c r="R172">
        <f t="shared" ref="R172" si="837">R173+Q172</f>
        <v>1037919318.0038264</v>
      </c>
      <c r="S172">
        <f t="shared" ref="S172" si="838">R172/100000</f>
        <v>10379.193180038264</v>
      </c>
      <c r="T172">
        <f t="shared" ref="T172" si="839">S172/1000</f>
        <v>10.379193180038264</v>
      </c>
    </row>
    <row r="173" spans="1:20" x14ac:dyDescent="0.25">
      <c r="A173" s="5">
        <v>44420</v>
      </c>
      <c r="B173">
        <v>0.101107</v>
      </c>
      <c r="C173">
        <v>0.14999000000000001</v>
      </c>
      <c r="D173">
        <v>0.100394</v>
      </c>
      <c r="E173">
        <v>0.111779</v>
      </c>
      <c r="F173">
        <v>8661741726</v>
      </c>
      <c r="G173">
        <v>0.111779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-0.54089039438664399</v>
      </c>
      <c r="Q173">
        <f t="shared" ref="Q173" si="841">F173*P173</f>
        <v>-4685052898.2513905</v>
      </c>
      <c r="R173">
        <f t="shared" ref="R173" si="842">R174+Q173</f>
        <v>2549044340.8613987</v>
      </c>
      <c r="S173">
        <f t="shared" ref="S173" si="843">R173/100000</f>
        <v>25490.443408613988</v>
      </c>
      <c r="T173">
        <f t="shared" ref="T173" si="844">S173/1000</f>
        <v>25.490443408613988</v>
      </c>
    </row>
    <row r="174" spans="1:20" x14ac:dyDescent="0.25">
      <c r="A174" s="5">
        <v>44419</v>
      </c>
      <c r="B174">
        <v>5.2158000000000003E-2</v>
      </c>
      <c r="C174">
        <v>0.123726</v>
      </c>
      <c r="D174">
        <v>4.7484999999999999E-2</v>
      </c>
      <c r="E174">
        <v>0.10109600000000001</v>
      </c>
      <c r="F174">
        <v>15345489235</v>
      </c>
      <c r="G174">
        <v>0.10109600000000001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0.40635616007135278</v>
      </c>
      <c r="Q174">
        <f t="shared" ref="Q174" si="846">F174*P174</f>
        <v>6235734079.950881</v>
      </c>
      <c r="R174">
        <f t="shared" ref="R174" si="847">R175+Q174</f>
        <v>7234097239.1127892</v>
      </c>
      <c r="S174">
        <f t="shared" ref="S174" si="848">R174/100000</f>
        <v>72340.972391127885</v>
      </c>
      <c r="T174">
        <f t="shared" ref="T174" si="849">S174/1000</f>
        <v>72.340972391127892</v>
      </c>
    </row>
    <row r="175" spans="1:20" x14ac:dyDescent="0.25">
      <c r="A175" s="5">
        <v>44418</v>
      </c>
      <c r="B175">
        <v>2.9405000000000001E-2</v>
      </c>
      <c r="C175">
        <v>5.5550000000000002E-2</v>
      </c>
      <c r="D175">
        <v>2.8753000000000001E-2</v>
      </c>
      <c r="E175">
        <v>5.2145999999999998E-2</v>
      </c>
      <c r="F175">
        <v>4809563326</v>
      </c>
      <c r="G175">
        <v>5.2145999999999998E-2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0.74594170989289821</v>
      </c>
      <c r="Q175">
        <f t="shared" ref="Q175" si="851">F175*P175</f>
        <v>3587653891.2346144</v>
      </c>
      <c r="R175">
        <f t="shared" ref="R175" si="852">R176+Q175</f>
        <v>998363159.16190863</v>
      </c>
      <c r="S175">
        <f t="shared" ref="S175" si="853">R175/100000</f>
        <v>9983.631591619087</v>
      </c>
      <c r="T175">
        <f t="shared" ref="T175" si="854">S175/1000</f>
        <v>9.983631591619087</v>
      </c>
    </row>
    <row r="176" spans="1:20" x14ac:dyDescent="0.25">
      <c r="A176" s="5">
        <v>44417</v>
      </c>
      <c r="B176">
        <v>2.2536E-2</v>
      </c>
      <c r="C176">
        <v>3.3272999999999997E-2</v>
      </c>
      <c r="D176">
        <v>2.1262E-2</v>
      </c>
      <c r="E176">
        <v>2.9406000000000002E-2</v>
      </c>
      <c r="F176">
        <v>1237937159</v>
      </c>
      <c r="G176">
        <v>2.9406000000000002E-2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0.35609025060361399</v>
      </c>
      <c r="Q176">
        <f t="shared" ref="Q176" si="856">F176*P176</f>
        <v>440817353.17983592</v>
      </c>
      <c r="R176">
        <f t="shared" ref="R176" si="857">R177+Q176</f>
        <v>-2589290732.0727057</v>
      </c>
      <c r="S176">
        <f t="shared" ref="S176" si="858">R176/100000</f>
        <v>-25892.907320727056</v>
      </c>
      <c r="T176">
        <f t="shared" ref="T176" si="859">S176/1000</f>
        <v>-25.892907320727055</v>
      </c>
    </row>
    <row r="177" spans="1:20" x14ac:dyDescent="0.25">
      <c r="A177" s="5">
        <v>44416</v>
      </c>
      <c r="B177">
        <v>2.419E-2</v>
      </c>
      <c r="C177">
        <v>2.4549999999999999E-2</v>
      </c>
      <c r="D177">
        <v>2.2266999999999999E-2</v>
      </c>
      <c r="E177">
        <v>2.2499999999999999E-2</v>
      </c>
      <c r="F177">
        <v>422697873</v>
      </c>
      <c r="G177">
        <v>2.2499999999999999E-2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-0.79588261060008714</v>
      </c>
      <c r="Q177">
        <f t="shared" ref="Q177" si="861">F177*P177</f>
        <v>-336417886.65834409</v>
      </c>
      <c r="R177">
        <f t="shared" ref="R177" si="862">R178+Q177</f>
        <v>-3030108085.2525415</v>
      </c>
      <c r="S177">
        <f t="shared" ref="S177" si="863">R177/100000</f>
        <v>-30301.080852525414</v>
      </c>
      <c r="T177">
        <f t="shared" ref="T177" si="864">S177/1000</f>
        <v>-30.301080852525413</v>
      </c>
    </row>
    <row r="178" spans="1:20" x14ac:dyDescent="0.25">
      <c r="A178" s="5">
        <v>44415</v>
      </c>
      <c r="B178">
        <v>2.3868E-2</v>
      </c>
      <c r="C178">
        <v>2.4922E-2</v>
      </c>
      <c r="D178">
        <v>2.3385E-2</v>
      </c>
      <c r="E178">
        <v>2.4191000000000001E-2</v>
      </c>
      <c r="F178">
        <v>203079420</v>
      </c>
      <c r="G178">
        <v>2.4191000000000001E-2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4.879635653871317E-2</v>
      </c>
      <c r="Q178">
        <f t="shared" ref="Q178" si="866">F178*P178</f>
        <v>9909535.7839950789</v>
      </c>
      <c r="R178">
        <f t="shared" ref="R178" si="867">R179+Q178</f>
        <v>-2693690198.5941973</v>
      </c>
      <c r="S178">
        <f t="shared" ref="S178" si="868">R178/100000</f>
        <v>-26936.901985941971</v>
      </c>
      <c r="T178">
        <f t="shared" ref="T178" si="869">S178/1000</f>
        <v>-26.936901985941972</v>
      </c>
    </row>
    <row r="179" spans="1:20" x14ac:dyDescent="0.25">
      <c r="A179" s="5">
        <v>44414</v>
      </c>
      <c r="B179">
        <v>2.3231000000000002E-2</v>
      </c>
      <c r="C179">
        <v>2.4722000000000001E-2</v>
      </c>
      <c r="D179">
        <v>2.2630000000000001E-2</v>
      </c>
      <c r="E179">
        <v>2.3858999999999998E-2</v>
      </c>
      <c r="F179">
        <v>309132802</v>
      </c>
      <c r="G179">
        <v>2.3858999999999998E-2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0.17495219885276997</v>
      </c>
      <c r="Q179">
        <f t="shared" ref="Q179" si="871">F179*P179</f>
        <v>54083463.447417967</v>
      </c>
      <c r="R179">
        <f t="shared" ref="R179" si="872">R180+Q179</f>
        <v>-2703599734.3781924</v>
      </c>
      <c r="S179">
        <f t="shared" ref="S179" si="873">R179/100000</f>
        <v>-27035.997343781924</v>
      </c>
      <c r="T179">
        <f t="shared" ref="T179" si="874">S179/1000</f>
        <v>-27.035997343781926</v>
      </c>
    </row>
    <row r="180" spans="1:20" x14ac:dyDescent="0.25">
      <c r="A180" s="5">
        <v>44413</v>
      </c>
      <c r="B180">
        <v>2.2342000000000001E-2</v>
      </c>
      <c r="C180">
        <v>2.3477000000000001E-2</v>
      </c>
      <c r="D180">
        <v>2.1260000000000001E-2</v>
      </c>
      <c r="E180">
        <v>2.3224999999999999E-2</v>
      </c>
      <c r="F180">
        <v>1940270665</v>
      </c>
      <c r="G180">
        <v>2.3224999999999999E-2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0.77266576454668268</v>
      </c>
      <c r="Q180">
        <f t="shared" ref="Q180" si="876">F180*P180</f>
        <v>1499180716.7997255</v>
      </c>
      <c r="R180">
        <f t="shared" ref="R180" si="877">R181+Q180</f>
        <v>-2757683197.8256102</v>
      </c>
      <c r="S180">
        <f t="shared" ref="S180" si="878">R180/100000</f>
        <v>-27576.831978256101</v>
      </c>
      <c r="T180">
        <f t="shared" ref="T180" si="879">S180/1000</f>
        <v>-27.576831978256102</v>
      </c>
    </row>
    <row r="181" spans="1:20" x14ac:dyDescent="0.25">
      <c r="A181" s="5">
        <v>44412</v>
      </c>
      <c r="B181">
        <v>2.0115000000000001E-2</v>
      </c>
      <c r="C181">
        <v>2.2818999999999999E-2</v>
      </c>
      <c r="D181">
        <v>1.9788E-2</v>
      </c>
      <c r="E181">
        <v>2.2342000000000001E-2</v>
      </c>
      <c r="F181">
        <v>337618548</v>
      </c>
      <c r="G181">
        <v>2.2342000000000001E-2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0.68525239194985255</v>
      </c>
      <c r="Q181">
        <f t="shared" ref="Q181" si="881">F181*P181</f>
        <v>231353917.58363611</v>
      </c>
      <c r="R181">
        <f t="shared" ref="R181" si="882">R182+Q181</f>
        <v>-4256863914.6253357</v>
      </c>
      <c r="S181">
        <f t="shared" ref="S181" si="883">R181/100000</f>
        <v>-42568.639146253357</v>
      </c>
      <c r="T181">
        <f t="shared" ref="T181" si="884">S181/1000</f>
        <v>-42.568639146253361</v>
      </c>
    </row>
    <row r="182" spans="1:20" x14ac:dyDescent="0.25">
      <c r="A182" s="5">
        <v>44411</v>
      </c>
      <c r="B182">
        <v>2.0653000000000001E-2</v>
      </c>
      <c r="C182">
        <v>2.1100000000000001E-2</v>
      </c>
      <c r="D182">
        <v>1.9813000000000001E-2</v>
      </c>
      <c r="E182">
        <v>2.0081000000000002E-2</v>
      </c>
      <c r="F182">
        <v>99561584</v>
      </c>
      <c r="G182">
        <v>2.0081000000000002E-2</v>
      </c>
      <c r="L182" t="s">
        <v>8</v>
      </c>
      <c r="M182" t="s">
        <v>8</v>
      </c>
      <c r="N182" t="s">
        <v>7</v>
      </c>
      <c r="P182">
        <f t="shared" ref="P182" si="885">IF(C182=D182,0,((E182-D182)-(C182-E182))/(C182-D182))</f>
        <v>-0.58352758352758216</v>
      </c>
      <c r="Q182">
        <f t="shared" ref="Q182" si="886">F182*P182</f>
        <v>-58096930.52369839</v>
      </c>
      <c r="R182">
        <f t="shared" ref="R182" si="887">R183+Q182</f>
        <v>-4488217832.208972</v>
      </c>
      <c r="S182">
        <f t="shared" ref="S182" si="888">R182/100000</f>
        <v>-44882.17832208972</v>
      </c>
      <c r="T182">
        <f t="shared" ref="T182" si="889">S182/1000</f>
        <v>-44.882178322089722</v>
      </c>
    </row>
    <row r="183" spans="1:20" x14ac:dyDescent="0.25">
      <c r="A183" s="5">
        <v>44410</v>
      </c>
      <c r="B183">
        <v>1.9775000000000001E-2</v>
      </c>
      <c r="C183">
        <v>2.0930000000000001E-2</v>
      </c>
      <c r="D183">
        <v>1.9392E-2</v>
      </c>
      <c r="E183">
        <v>2.0650999999999999E-2</v>
      </c>
      <c r="F183">
        <v>155438903</v>
      </c>
      <c r="G183">
        <v>2.0650999999999999E-2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0.63719115734720255</v>
      </c>
      <c r="Q183">
        <f t="shared" ref="Q183" si="891">F183*P183</f>
        <v>99044294.499349549</v>
      </c>
      <c r="R183">
        <f t="shared" ref="R183" si="892">R184+Q183</f>
        <v>-4430120901.6852732</v>
      </c>
      <c r="S183">
        <f t="shared" ref="S183" si="893">R183/100000</f>
        <v>-44301.209016852728</v>
      </c>
      <c r="T183">
        <f t="shared" ref="T183" si="894">S183/1000</f>
        <v>-44.301209016852731</v>
      </c>
    </row>
    <row r="184" spans="1:20" x14ac:dyDescent="0.25">
      <c r="A184" s="5">
        <v>44409</v>
      </c>
      <c r="B184">
        <v>2.0268999999999999E-2</v>
      </c>
      <c r="C184">
        <v>2.1196E-2</v>
      </c>
      <c r="D184">
        <v>1.9636000000000001E-2</v>
      </c>
      <c r="E184">
        <v>1.9727999999999999E-2</v>
      </c>
      <c r="F184">
        <v>131387715</v>
      </c>
      <c r="G184">
        <v>1.9727999999999999E-2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-0.88205128205128414</v>
      </c>
      <c r="Q184">
        <f t="shared" ref="Q184" si="896">F184*P184</f>
        <v>-115890702.46153873</v>
      </c>
      <c r="R184">
        <f t="shared" ref="R184" si="897">R185+Q184</f>
        <v>-4529165196.1846228</v>
      </c>
      <c r="S184">
        <f t="shared" ref="S184" si="898">R184/100000</f>
        <v>-45291.651961846226</v>
      </c>
      <c r="T184">
        <f t="shared" ref="T184" si="899">S184/1000</f>
        <v>-45.291651961846227</v>
      </c>
    </row>
    <row r="185" spans="1:20" x14ac:dyDescent="0.25">
      <c r="A185" s="5">
        <v>44408</v>
      </c>
      <c r="B185">
        <v>2.0153000000000001E-2</v>
      </c>
      <c r="C185">
        <v>2.0493999999999998E-2</v>
      </c>
      <c r="D185">
        <v>1.9505000000000002E-2</v>
      </c>
      <c r="E185">
        <v>2.0263E-2</v>
      </c>
      <c r="F185">
        <v>121318116</v>
      </c>
      <c r="G185">
        <v>2.0263E-2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0.53286147623862623</v>
      </c>
      <c r="Q185">
        <f t="shared" ref="Q185" si="901">F185*P185</f>
        <v>64645750.386248901</v>
      </c>
      <c r="R185">
        <f t="shared" ref="R185" si="902">R186+Q185</f>
        <v>-4413274493.7230844</v>
      </c>
      <c r="S185">
        <f t="shared" ref="S185" si="903">R185/100000</f>
        <v>-44132.744937230847</v>
      </c>
      <c r="T185">
        <f t="shared" ref="T185" si="904">S185/1000</f>
        <v>-44.132744937230846</v>
      </c>
    </row>
    <row r="186" spans="1:20" x14ac:dyDescent="0.25">
      <c r="A186" s="5">
        <v>44407</v>
      </c>
      <c r="B186">
        <v>1.9345000000000001E-2</v>
      </c>
      <c r="C186">
        <v>2.0368000000000001E-2</v>
      </c>
      <c r="D186">
        <v>1.9021E-2</v>
      </c>
      <c r="E186">
        <v>2.0178999999999999E-2</v>
      </c>
      <c r="F186">
        <v>105946064</v>
      </c>
      <c r="G186">
        <v>2.0178999999999999E-2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0.7193763919821804</v>
      </c>
      <c r="Q186">
        <f t="shared" ref="Q186" si="906">F186*P186</f>
        <v>76215097.265033171</v>
      </c>
      <c r="R186">
        <f t="shared" ref="R186" si="907">R187+Q186</f>
        <v>-4477920244.109333</v>
      </c>
      <c r="S186">
        <f t="shared" ref="S186" si="908">R186/100000</f>
        <v>-44779.20244109333</v>
      </c>
      <c r="T186">
        <f t="shared" ref="T186" si="909">S186/1000</f>
        <v>-44.779202441093332</v>
      </c>
    </row>
    <row r="187" spans="1:20" x14ac:dyDescent="0.25">
      <c r="A187" s="5">
        <v>44406</v>
      </c>
      <c r="B187">
        <v>1.9255999999999999E-2</v>
      </c>
      <c r="C187">
        <v>1.9699999999999999E-2</v>
      </c>
      <c r="D187">
        <v>1.9036999999999998E-2</v>
      </c>
      <c r="E187">
        <v>1.9306E-2</v>
      </c>
      <c r="F187">
        <v>73296051</v>
      </c>
      <c r="G187">
        <v>1.9306E-2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-0.18853695324283043</v>
      </c>
      <c r="Q187">
        <f t="shared" ref="Q187" si="911">F187*P187</f>
        <v>-13819014.140271114</v>
      </c>
      <c r="R187">
        <f t="shared" ref="R187" si="912">R188+Q187</f>
        <v>-4554135341.3743658</v>
      </c>
      <c r="S187">
        <f t="shared" ref="S187" si="913">R187/100000</f>
        <v>-45541.353413743658</v>
      </c>
      <c r="T187">
        <f t="shared" ref="T187" si="914">S187/1000</f>
        <v>-45.541353413743657</v>
      </c>
    </row>
    <row r="188" spans="1:20" x14ac:dyDescent="0.25">
      <c r="A188" s="5">
        <v>44405</v>
      </c>
      <c r="B188">
        <v>1.9185000000000001E-2</v>
      </c>
      <c r="C188">
        <v>1.9713999999999999E-2</v>
      </c>
      <c r="D188">
        <v>1.8589999999999999E-2</v>
      </c>
      <c r="E188">
        <v>1.9231999999999999E-2</v>
      </c>
      <c r="F188">
        <v>79204464</v>
      </c>
      <c r="G188">
        <v>1.9231999999999999E-2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0.14234875444839895</v>
      </c>
      <c r="Q188">
        <f t="shared" ref="Q188" si="916">F188*P188</f>
        <v>11274656.797153054</v>
      </c>
      <c r="R188">
        <f t="shared" ref="R188" si="917">R189+Q188</f>
        <v>-4540316327.2340946</v>
      </c>
      <c r="S188">
        <f t="shared" ref="S188" si="918">R188/100000</f>
        <v>-45403.163272340949</v>
      </c>
      <c r="T188">
        <f t="shared" ref="T188" si="919">S188/1000</f>
        <v>-45.403163272340947</v>
      </c>
    </row>
    <row r="189" spans="1:20" x14ac:dyDescent="0.25">
      <c r="A189" s="5">
        <v>44404</v>
      </c>
      <c r="B189">
        <v>1.9139E-2</v>
      </c>
      <c r="C189">
        <v>1.9446999999999999E-2</v>
      </c>
      <c r="D189">
        <v>1.8578999999999998E-2</v>
      </c>
      <c r="E189">
        <v>1.9199999999999998E-2</v>
      </c>
      <c r="F189">
        <v>197517169</v>
      </c>
      <c r="G189">
        <v>1.9199999999999998E-2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0.43087557603686522</v>
      </c>
      <c r="Q189">
        <f t="shared" ref="Q189" si="921">F189*P189</f>
        <v>85105323.97004585</v>
      </c>
      <c r="R189">
        <f t="shared" ref="R189" si="922">R190+Q189</f>
        <v>-4551590984.0312481</v>
      </c>
      <c r="S189">
        <f t="shared" ref="S189" si="923">R189/100000</f>
        <v>-45515.909840312481</v>
      </c>
      <c r="T189">
        <f t="shared" ref="T189" si="924">S189/1000</f>
        <v>-45.515909840312482</v>
      </c>
    </row>
    <row r="190" spans="1:20" x14ac:dyDescent="0.25">
      <c r="A190" s="5">
        <v>44403</v>
      </c>
      <c r="B190">
        <v>1.9855999999999999E-2</v>
      </c>
      <c r="C190">
        <v>2.1149999999999999E-2</v>
      </c>
      <c r="D190">
        <v>1.9E-2</v>
      </c>
      <c r="E190">
        <v>1.9191E-2</v>
      </c>
      <c r="F190">
        <v>246856434</v>
      </c>
      <c r="G190">
        <v>1.9191E-2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-0.82232558139534861</v>
      </c>
      <c r="Q190">
        <f t="shared" ref="Q190" si="926">F190*P190</f>
        <v>-202996360.6102325</v>
      </c>
      <c r="R190">
        <f t="shared" ref="R190" si="927">R191+Q190</f>
        <v>-4636696308.0012941</v>
      </c>
      <c r="S190">
        <f t="shared" ref="S190" si="928">R190/100000</f>
        <v>-46366.963080012938</v>
      </c>
      <c r="T190">
        <f t="shared" ref="T190" si="929">S190/1000</f>
        <v>-46.366963080012937</v>
      </c>
    </row>
    <row r="191" spans="1:20" x14ac:dyDescent="0.25">
      <c r="A191" s="5">
        <v>44402</v>
      </c>
      <c r="B191">
        <v>1.9698E-2</v>
      </c>
      <c r="C191">
        <v>2.0159E-2</v>
      </c>
      <c r="D191">
        <v>1.9043999999999998E-2</v>
      </c>
      <c r="E191">
        <v>1.9838999999999999E-2</v>
      </c>
      <c r="F191">
        <v>136072936</v>
      </c>
      <c r="G191">
        <v>1.9838999999999999E-2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0.4260089686098647</v>
      </c>
      <c r="Q191">
        <f t="shared" ref="Q191" si="931">F191*P191</f>
        <v>57968291.121076129</v>
      </c>
      <c r="R191">
        <f t="shared" ref="R191" si="932">R192+Q191</f>
        <v>-4433699947.3910618</v>
      </c>
      <c r="S191">
        <f t="shared" ref="S191" si="933">R191/100000</f>
        <v>-44336.999473910619</v>
      </c>
      <c r="T191">
        <f t="shared" ref="T191:T197" si="934">S191/1000</f>
        <v>-44.336999473910616</v>
      </c>
    </row>
    <row r="192" spans="1:20" x14ac:dyDescent="0.25">
      <c r="A192" s="5">
        <v>44401</v>
      </c>
      <c r="B192">
        <v>1.9258999999999998E-2</v>
      </c>
      <c r="C192">
        <v>1.9952999999999999E-2</v>
      </c>
      <c r="D192">
        <v>1.9022000000000001E-2</v>
      </c>
      <c r="E192">
        <v>1.9657000000000001E-2</v>
      </c>
      <c r="F192">
        <v>122992988</v>
      </c>
      <c r="G192">
        <v>1.9657000000000001E-2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0.3641245972073075</v>
      </c>
      <c r="Q192">
        <f t="shared" ref="Q192" si="936">F192*P192</f>
        <v>44784772.214823201</v>
      </c>
      <c r="R192">
        <f t="shared" ref="R192" si="937">R193+Q192</f>
        <v>-4491668238.5121384</v>
      </c>
      <c r="S192">
        <f t="shared" ref="S192" si="938">R192/100000</f>
        <v>-44916.682385121385</v>
      </c>
      <c r="T192">
        <f t="shared" si="934"/>
        <v>-44.916682385121383</v>
      </c>
    </row>
    <row r="193" spans="1:20" x14ac:dyDescent="0.25">
      <c r="A193" s="5">
        <v>44400</v>
      </c>
      <c r="B193">
        <v>1.9248999999999999E-2</v>
      </c>
      <c r="C193">
        <v>1.9852999999999999E-2</v>
      </c>
      <c r="D193">
        <v>1.8689000000000001E-2</v>
      </c>
      <c r="E193">
        <v>1.9254E-2</v>
      </c>
      <c r="F193">
        <v>197395926</v>
      </c>
      <c r="G193">
        <v>1.9254E-2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-2.9209621993126593E-2</v>
      </c>
      <c r="Q193">
        <f t="shared" ref="Q193" si="940">F193*P193</f>
        <v>-5765860.3814431895</v>
      </c>
      <c r="R193">
        <f t="shared" ref="R193" si="941">R194+Q193</f>
        <v>-4536453010.7269611</v>
      </c>
      <c r="S193">
        <f t="shared" ref="S193" si="942">R193/100000</f>
        <v>-45364.530107269609</v>
      </c>
      <c r="T193">
        <f t="shared" si="934"/>
        <v>-45.364530107269609</v>
      </c>
    </row>
    <row r="194" spans="1:20" x14ac:dyDescent="0.25">
      <c r="A194" s="5">
        <v>44399</v>
      </c>
      <c r="B194">
        <v>1.9127000000000002E-2</v>
      </c>
      <c r="C194">
        <v>2.0499E-2</v>
      </c>
      <c r="D194">
        <v>1.8956000000000001E-2</v>
      </c>
      <c r="E194">
        <v>1.9276999999999999E-2</v>
      </c>
      <c r="F194">
        <v>188897830</v>
      </c>
      <c r="G194">
        <v>1.9276999999999999E-2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-0.58392741412832339</v>
      </c>
      <c r="Q194">
        <f t="shared" ref="Q194" si="944">F194*P194</f>
        <v>-110302621.40635163</v>
      </c>
      <c r="R194">
        <f t="shared" ref="R194" si="945">R195+Q194</f>
        <v>-4530687150.3455181</v>
      </c>
      <c r="S194">
        <f t="shared" ref="S194" si="946">R194/100000</f>
        <v>-45306.871503455179</v>
      </c>
      <c r="T194">
        <f t="shared" si="934"/>
        <v>-45.306871503455177</v>
      </c>
    </row>
    <row r="195" spans="1:20" x14ac:dyDescent="0.25">
      <c r="A195" s="5">
        <v>44398</v>
      </c>
      <c r="B195">
        <v>1.6837999999999999E-2</v>
      </c>
      <c r="C195">
        <v>2.1115999999999999E-2</v>
      </c>
      <c r="D195">
        <v>1.6410000000000001E-2</v>
      </c>
      <c r="E195">
        <v>1.9098E-2</v>
      </c>
      <c r="F195">
        <v>448954147</v>
      </c>
      <c r="G195">
        <v>1.9098E-2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0.14237144071398231</v>
      </c>
      <c r="Q195">
        <f t="shared" ref="Q195" si="948">F195*P195</f>
        <v>63918248.722906999</v>
      </c>
      <c r="R195">
        <f t="shared" ref="R195" si="949">R196+Q195</f>
        <v>-4420384528.9391661</v>
      </c>
      <c r="S195">
        <f t="shared" ref="S195" si="950">R195/100000</f>
        <v>-44203.845289391662</v>
      </c>
      <c r="T195">
        <f t="shared" si="934"/>
        <v>-44.203845289391658</v>
      </c>
    </row>
    <row r="196" spans="1:20" x14ac:dyDescent="0.25">
      <c r="A196" s="5">
        <v>44397</v>
      </c>
      <c r="B196">
        <v>1.7805999999999999E-2</v>
      </c>
      <c r="C196">
        <v>1.8131999999999999E-2</v>
      </c>
      <c r="D196">
        <v>1.6070000000000001E-2</v>
      </c>
      <c r="E196">
        <v>1.6830999999999999E-2</v>
      </c>
      <c r="F196">
        <v>122125134</v>
      </c>
      <c r="G196">
        <v>1.6830999999999999E-2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-0.26188166828322157</v>
      </c>
      <c r="Q196">
        <f t="shared" ref="Q196" si="952">F196*P196</f>
        <v>-31982333.831231985</v>
      </c>
      <c r="R196">
        <f t="shared" ref="R196" si="953">R197+Q196</f>
        <v>-4484302777.6620731</v>
      </c>
      <c r="S196">
        <f t="shared" ref="S196" si="954">R196/100000</f>
        <v>-44843.027776620729</v>
      </c>
      <c r="T196">
        <f t="shared" si="934"/>
        <v>-44.84302777662073</v>
      </c>
    </row>
    <row r="197" spans="1:20" x14ac:dyDescent="0.25">
      <c r="A197" s="5">
        <v>44396</v>
      </c>
      <c r="B197">
        <v>1.917E-2</v>
      </c>
      <c r="C197">
        <v>1.9642E-2</v>
      </c>
      <c r="D197">
        <v>1.7541999999999999E-2</v>
      </c>
      <c r="E197">
        <v>1.7794999999999998E-2</v>
      </c>
      <c r="F197">
        <v>151027534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-0.75904761904761942</v>
      </c>
      <c r="Q197">
        <f t="shared" ref="Q197" si="956">F197*P197</f>
        <v>-114637090.09333339</v>
      </c>
      <c r="R197">
        <f t="shared" ref="R197" si="957">R198+Q197</f>
        <v>-4452320443.8308411</v>
      </c>
      <c r="S197">
        <f t="shared" ref="S197" si="958">R197/100000</f>
        <v>-44523.204438308414</v>
      </c>
      <c r="T197">
        <f t="shared" si="934"/>
        <v>-44.523204438308412</v>
      </c>
    </row>
    <row r="198" spans="1:20" x14ac:dyDescent="0.25">
      <c r="A198" s="5">
        <v>44395</v>
      </c>
      <c r="B198">
        <v>1.9511000000000001E-2</v>
      </c>
      <c r="C198">
        <v>2.0815E-2</v>
      </c>
      <c r="D198">
        <v>1.8865E-2</v>
      </c>
      <c r="E198">
        <v>1.9193000000000002E-2</v>
      </c>
      <c r="F198">
        <v>217395253</v>
      </c>
      <c r="G198">
        <v>0</v>
      </c>
      <c r="L198" t="s">
        <v>7</v>
      </c>
      <c r="M198" t="s">
        <v>8</v>
      </c>
      <c r="N198" t="s">
        <v>8</v>
      </c>
      <c r="P198">
        <f t="shared" ref="P198:P261" si="959">IF(C198=D198,0,((E198-D198)-(C198-E198))/(C198-D198))</f>
        <v>-0.66358974358974165</v>
      </c>
      <c r="Q198">
        <f t="shared" ref="Q198:Q261" si="960">F198*P198</f>
        <v>-144261260.19589701</v>
      </c>
      <c r="R198">
        <f t="shared" ref="R198:R261" si="961">R199+Q198</f>
        <v>-4337683353.7375078</v>
      </c>
      <c r="S198">
        <f t="shared" ref="S198:S261" si="962">R198/100000</f>
        <v>-43376.833537375082</v>
      </c>
      <c r="T198">
        <f t="shared" ref="T198:T261" si="963">S198/1000</f>
        <v>-43.376833537375084</v>
      </c>
    </row>
    <row r="199" spans="1:20" x14ac:dyDescent="0.25">
      <c r="A199" s="5">
        <v>44394</v>
      </c>
      <c r="B199">
        <v>1.8794999999999999E-2</v>
      </c>
      <c r="C199">
        <v>2.2003999999999999E-2</v>
      </c>
      <c r="D199">
        <v>1.8155999999999999E-2</v>
      </c>
      <c r="E199">
        <v>1.9497E-2</v>
      </c>
      <c r="F199">
        <v>788179727</v>
      </c>
      <c r="G199">
        <v>0</v>
      </c>
      <c r="L199" t="s">
        <v>8</v>
      </c>
      <c r="M199" t="s">
        <v>8</v>
      </c>
      <c r="N199" t="s">
        <v>8</v>
      </c>
      <c r="P199">
        <f t="shared" si="959"/>
        <v>-0.30301455301455216</v>
      </c>
      <c r="Q199">
        <f t="shared" si="960"/>
        <v>-238829927.67203674</v>
      </c>
      <c r="R199">
        <f t="shared" si="961"/>
        <v>-4193422093.5416107</v>
      </c>
      <c r="S199">
        <f t="shared" si="962"/>
        <v>-41934.22093541611</v>
      </c>
      <c r="T199">
        <f t="shared" si="963"/>
        <v>-41.934220935416107</v>
      </c>
    </row>
    <row r="200" spans="1:20" x14ac:dyDescent="0.25">
      <c r="A200" s="5">
        <v>44393</v>
      </c>
      <c r="B200">
        <v>1.7756999999999998E-2</v>
      </c>
      <c r="C200">
        <v>1.9900000000000001E-2</v>
      </c>
      <c r="D200">
        <v>1.7343999999999998E-2</v>
      </c>
      <c r="E200">
        <v>1.8807000000000001E-2</v>
      </c>
      <c r="F200">
        <v>266425190</v>
      </c>
      <c r="G200">
        <v>0</v>
      </c>
      <c r="L200" t="s">
        <v>8</v>
      </c>
      <c r="M200" t="s">
        <v>7</v>
      </c>
      <c r="N200" t="s">
        <v>8</v>
      </c>
      <c r="P200">
        <f t="shared" si="959"/>
        <v>0.14475743348982859</v>
      </c>
      <c r="Q200">
        <f t="shared" si="960"/>
        <v>38567026.721439943</v>
      </c>
      <c r="R200">
        <f t="shared" si="961"/>
        <v>-3954592165.8695741</v>
      </c>
      <c r="S200">
        <f t="shared" si="962"/>
        <v>-39545.921658695741</v>
      </c>
      <c r="T200">
        <f t="shared" si="963"/>
        <v>-39.54592165869574</v>
      </c>
    </row>
    <row r="201" spans="1:20" x14ac:dyDescent="0.25">
      <c r="A201" s="5">
        <v>44392</v>
      </c>
      <c r="B201">
        <v>1.804E-2</v>
      </c>
      <c r="C201">
        <v>1.8453000000000001E-2</v>
      </c>
      <c r="D201">
        <v>1.7172E-2</v>
      </c>
      <c r="E201">
        <v>1.7701999999999999E-2</v>
      </c>
      <c r="F201">
        <v>80498062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-0.17252146760343662</v>
      </c>
      <c r="Q201">
        <f t="shared" si="960"/>
        <v>-13887643.795472432</v>
      </c>
      <c r="R201">
        <f t="shared" si="961"/>
        <v>-3993159192.5910139</v>
      </c>
      <c r="S201">
        <f t="shared" si="962"/>
        <v>-39931.591925910136</v>
      </c>
      <c r="T201">
        <f t="shared" si="963"/>
        <v>-39.931591925910134</v>
      </c>
    </row>
    <row r="202" spans="1:20" x14ac:dyDescent="0.25">
      <c r="A202" s="5">
        <v>44391</v>
      </c>
      <c r="B202">
        <v>1.7998E-2</v>
      </c>
      <c r="C202">
        <v>1.8377999999999999E-2</v>
      </c>
      <c r="D202">
        <v>1.7221E-2</v>
      </c>
      <c r="E202">
        <v>1.8034999999999999E-2</v>
      </c>
      <c r="F202">
        <v>51737131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0.40708729472774408</v>
      </c>
      <c r="Q202">
        <f t="shared" si="960"/>
        <v>21061528.695764903</v>
      </c>
      <c r="R202">
        <f t="shared" si="961"/>
        <v>-3979271548.7955413</v>
      </c>
      <c r="S202">
        <f t="shared" si="962"/>
        <v>-39792.715487955415</v>
      </c>
      <c r="T202">
        <f t="shared" si="963"/>
        <v>-39.792715487955412</v>
      </c>
    </row>
    <row r="203" spans="1:20" x14ac:dyDescent="0.25">
      <c r="A203" s="5">
        <v>44390</v>
      </c>
      <c r="B203">
        <v>1.8711999999999999E-2</v>
      </c>
      <c r="C203">
        <v>1.9158000000000001E-2</v>
      </c>
      <c r="D203">
        <v>1.7777000000000001E-2</v>
      </c>
      <c r="E203">
        <v>1.8009000000000001E-2</v>
      </c>
      <c r="F203">
        <v>72242174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-0.66401158580738662</v>
      </c>
      <c r="Q203">
        <f t="shared" si="960"/>
        <v>-47969640.519913152</v>
      </c>
      <c r="R203">
        <f t="shared" si="961"/>
        <v>-4000333077.4913063</v>
      </c>
      <c r="S203">
        <f t="shared" si="962"/>
        <v>-40003.330774913062</v>
      </c>
      <c r="T203">
        <f t="shared" si="963"/>
        <v>-40.00333077491306</v>
      </c>
    </row>
    <row r="204" spans="1:20" x14ac:dyDescent="0.25">
      <c r="A204" s="5">
        <v>44389</v>
      </c>
      <c r="B204">
        <v>1.9219E-2</v>
      </c>
      <c r="C204">
        <v>1.9855999999999999E-2</v>
      </c>
      <c r="D204">
        <v>1.8485999999999999E-2</v>
      </c>
      <c r="E204">
        <v>1.8714999999999999E-2</v>
      </c>
      <c r="F204">
        <v>89300291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-0.6656934306569342</v>
      </c>
      <c r="Q204">
        <f t="shared" si="960"/>
        <v>-59446617.074452549</v>
      </c>
      <c r="R204">
        <f t="shared" si="961"/>
        <v>-3952363436.9713931</v>
      </c>
      <c r="S204">
        <f t="shared" si="962"/>
        <v>-39523.634369713931</v>
      </c>
      <c r="T204">
        <f t="shared" si="963"/>
        <v>-39.523634369713932</v>
      </c>
    </row>
    <row r="205" spans="1:20" x14ac:dyDescent="0.25">
      <c r="A205" s="5">
        <v>44388</v>
      </c>
      <c r="B205">
        <v>1.8284999999999999E-2</v>
      </c>
      <c r="C205">
        <v>1.9775000000000001E-2</v>
      </c>
      <c r="D205">
        <v>1.8225999999999999E-2</v>
      </c>
      <c r="E205">
        <v>1.9234000000000001E-2</v>
      </c>
      <c r="F205">
        <v>118979713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0.30148482892188611</v>
      </c>
      <c r="Q205">
        <f t="shared" si="960"/>
        <v>35870578.418980107</v>
      </c>
      <c r="R205">
        <f t="shared" si="961"/>
        <v>-3892916819.8969407</v>
      </c>
      <c r="S205">
        <f t="shared" si="962"/>
        <v>-38929.168198969404</v>
      </c>
      <c r="T205">
        <f t="shared" si="963"/>
        <v>-38.929168198969407</v>
      </c>
    </row>
    <row r="206" spans="1:20" x14ac:dyDescent="0.25">
      <c r="A206" s="5">
        <v>44387</v>
      </c>
      <c r="B206">
        <v>1.8794000000000002E-2</v>
      </c>
      <c r="C206">
        <v>2.0285000000000001E-2</v>
      </c>
      <c r="D206">
        <v>1.8152000000000001E-2</v>
      </c>
      <c r="E206">
        <v>1.8265E-2</v>
      </c>
      <c r="F206">
        <v>165102783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-0.89404594467885745</v>
      </c>
      <c r="Q206">
        <f t="shared" si="960"/>
        <v>-147609473.5963434</v>
      </c>
      <c r="R206">
        <f t="shared" si="961"/>
        <v>-3928787398.3159208</v>
      </c>
      <c r="S206">
        <f t="shared" si="962"/>
        <v>-39287.87398315921</v>
      </c>
      <c r="T206">
        <f t="shared" si="963"/>
        <v>-39.287873983159209</v>
      </c>
    </row>
    <row r="207" spans="1:20" x14ac:dyDescent="0.25">
      <c r="A207" s="5">
        <v>44386</v>
      </c>
      <c r="B207">
        <v>1.7528999999999999E-2</v>
      </c>
      <c r="C207">
        <v>2.0410999999999999E-2</v>
      </c>
      <c r="D207">
        <v>1.6775999999999999E-2</v>
      </c>
      <c r="E207">
        <v>1.8806E-2</v>
      </c>
      <c r="F207">
        <v>266214186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0.11691884456671302</v>
      </c>
      <c r="Q207">
        <f t="shared" si="960"/>
        <v>31125455.034388028</v>
      </c>
      <c r="R207">
        <f t="shared" si="961"/>
        <v>-3781177924.7195773</v>
      </c>
      <c r="S207">
        <f t="shared" si="962"/>
        <v>-37811.779247195773</v>
      </c>
      <c r="T207">
        <f t="shared" si="963"/>
        <v>-37.811779247195773</v>
      </c>
    </row>
    <row r="208" spans="1:20" x14ac:dyDescent="0.25">
      <c r="A208" s="5">
        <v>44385</v>
      </c>
      <c r="B208">
        <v>1.9033000000000001E-2</v>
      </c>
      <c r="C208">
        <v>1.9161000000000001E-2</v>
      </c>
      <c r="D208">
        <v>1.7297E-2</v>
      </c>
      <c r="E208">
        <v>1.7510000000000001E-2</v>
      </c>
      <c r="F208">
        <v>149936494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-0.77145922746780982</v>
      </c>
      <c r="Q208">
        <f t="shared" si="960"/>
        <v>-115669891.8304719</v>
      </c>
      <c r="R208">
        <f t="shared" si="961"/>
        <v>-3812303379.7539654</v>
      </c>
      <c r="S208">
        <f t="shared" si="962"/>
        <v>-38123.033797539654</v>
      </c>
      <c r="T208">
        <f t="shared" si="963"/>
        <v>-38.123033797539655</v>
      </c>
    </row>
    <row r="209" spans="1:20" x14ac:dyDescent="0.25">
      <c r="A209" s="5">
        <v>44384</v>
      </c>
      <c r="B209">
        <v>1.9608E-2</v>
      </c>
      <c r="C209">
        <v>1.9998999999999999E-2</v>
      </c>
      <c r="D209">
        <v>1.9019999999999999E-2</v>
      </c>
      <c r="E209">
        <v>1.9033000000000001E-2</v>
      </c>
      <c r="F209">
        <v>100909950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-0.97344228804902433</v>
      </c>
      <c r="Q209">
        <f t="shared" si="960"/>
        <v>-98230012.614912644</v>
      </c>
      <c r="R209">
        <f t="shared" si="961"/>
        <v>-3696633487.9234934</v>
      </c>
      <c r="S209">
        <f t="shared" si="962"/>
        <v>-36966.334879234935</v>
      </c>
      <c r="T209">
        <f t="shared" si="963"/>
        <v>-36.966334879234935</v>
      </c>
    </row>
    <row r="210" spans="1:20" x14ac:dyDescent="0.25">
      <c r="A210" s="5">
        <v>44383</v>
      </c>
      <c r="B210">
        <v>1.9365E-2</v>
      </c>
      <c r="C210">
        <v>2.0195999999999999E-2</v>
      </c>
      <c r="D210">
        <v>1.9014E-2</v>
      </c>
      <c r="E210">
        <v>1.9604E-2</v>
      </c>
      <c r="F210">
        <v>168180905</v>
      </c>
      <c r="G210">
        <v>0</v>
      </c>
      <c r="L210" t="s">
        <v>7</v>
      </c>
      <c r="M210" t="s">
        <v>7</v>
      </c>
      <c r="N210" t="s">
        <v>8</v>
      </c>
      <c r="P210">
        <f t="shared" si="959"/>
        <v>-1.6920473773253235E-3</v>
      </c>
      <c r="Q210">
        <f t="shared" si="960"/>
        <v>-284570.05922144937</v>
      </c>
      <c r="R210">
        <f t="shared" si="961"/>
        <v>-3598403475.3085809</v>
      </c>
      <c r="S210">
        <f t="shared" si="962"/>
        <v>-35984.034753085805</v>
      </c>
      <c r="T210">
        <f t="shared" si="963"/>
        <v>-35.984034753085808</v>
      </c>
    </row>
    <row r="211" spans="1:20" x14ac:dyDescent="0.25">
      <c r="A211" s="5">
        <v>44382</v>
      </c>
      <c r="B211">
        <v>2.0903000000000001E-2</v>
      </c>
      <c r="C211">
        <v>2.0958999999999998E-2</v>
      </c>
      <c r="D211">
        <v>1.9001000000000001E-2</v>
      </c>
      <c r="E211">
        <v>1.9366999999999999E-2</v>
      </c>
      <c r="F211">
        <v>161986286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-0.62614913176711062</v>
      </c>
      <c r="Q211">
        <f t="shared" si="960"/>
        <v>-101427572.33707887</v>
      </c>
      <c r="R211">
        <f t="shared" si="961"/>
        <v>-3598118905.2493596</v>
      </c>
      <c r="S211">
        <f t="shared" si="962"/>
        <v>-35981.189052493595</v>
      </c>
      <c r="T211">
        <f t="shared" si="963"/>
        <v>-35.981189052493598</v>
      </c>
    </row>
    <row r="212" spans="1:20" x14ac:dyDescent="0.25">
      <c r="A212" s="5">
        <v>44381</v>
      </c>
      <c r="B212">
        <v>2.1274999999999999E-2</v>
      </c>
      <c r="C212">
        <v>2.1389999999999999E-2</v>
      </c>
      <c r="D212">
        <v>2.0319E-2</v>
      </c>
      <c r="E212">
        <v>2.0913999999999999E-2</v>
      </c>
      <c r="F212">
        <v>186002611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0.11111111111110895</v>
      </c>
      <c r="Q212">
        <f t="shared" si="960"/>
        <v>20666956.777777378</v>
      </c>
      <c r="R212">
        <f t="shared" si="961"/>
        <v>-3496691332.9122806</v>
      </c>
      <c r="S212">
        <f t="shared" si="962"/>
        <v>-34966.913329122806</v>
      </c>
      <c r="T212">
        <f t="shared" si="963"/>
        <v>-34.966913329122804</v>
      </c>
    </row>
    <row r="213" spans="1:20" x14ac:dyDescent="0.25">
      <c r="A213" s="5">
        <v>44380</v>
      </c>
      <c r="B213">
        <v>1.9705E-2</v>
      </c>
      <c r="C213">
        <v>2.2987E-2</v>
      </c>
      <c r="D213">
        <v>1.9354E-2</v>
      </c>
      <c r="E213">
        <v>2.1284999999999998E-2</v>
      </c>
      <c r="F213">
        <v>1393271930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6.3033305807871323E-2</v>
      </c>
      <c r="Q213">
        <f t="shared" si="960"/>
        <v>87822535.637213081</v>
      </c>
      <c r="R213">
        <f t="shared" si="961"/>
        <v>-3517358289.6900578</v>
      </c>
      <c r="S213">
        <f t="shared" si="962"/>
        <v>-35173.582896900574</v>
      </c>
      <c r="T213">
        <f t="shared" si="963"/>
        <v>-35.173582896900577</v>
      </c>
    </row>
    <row r="214" spans="1:20" x14ac:dyDescent="0.25">
      <c r="A214" s="5">
        <v>44379</v>
      </c>
      <c r="B214">
        <v>1.9182000000000001E-2</v>
      </c>
      <c r="C214">
        <v>2.0416E-2</v>
      </c>
      <c r="D214">
        <v>1.7753000000000001E-2</v>
      </c>
      <c r="E214">
        <v>1.9703999999999999E-2</v>
      </c>
      <c r="F214">
        <v>451394876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0.46526473901614634</v>
      </c>
      <c r="Q214">
        <f t="shared" si="960"/>
        <v>210018119.17536575</v>
      </c>
      <c r="R214">
        <f t="shared" si="961"/>
        <v>-3605180825.327271</v>
      </c>
      <c r="S214">
        <f t="shared" si="962"/>
        <v>-36051.808253272713</v>
      </c>
      <c r="T214">
        <f t="shared" si="963"/>
        <v>-36.051808253272711</v>
      </c>
    </row>
    <row r="215" spans="1:20" x14ac:dyDescent="0.25">
      <c r="A215" s="5">
        <v>44378</v>
      </c>
      <c r="B215">
        <v>1.9054000000000001E-2</v>
      </c>
      <c r="C215">
        <v>1.9377999999999999E-2</v>
      </c>
      <c r="D215">
        <v>1.8037000000000001E-2</v>
      </c>
      <c r="E215">
        <v>1.9179999999999999E-2</v>
      </c>
      <c r="F215">
        <v>172569614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0.70469798657718052</v>
      </c>
      <c r="Q215">
        <f t="shared" si="960"/>
        <v>121609459.53020123</v>
      </c>
      <c r="R215">
        <f t="shared" si="961"/>
        <v>-3815198944.5026369</v>
      </c>
      <c r="S215">
        <f t="shared" si="962"/>
        <v>-38151.989445026367</v>
      </c>
      <c r="T215">
        <f t="shared" si="963"/>
        <v>-38.151989445026366</v>
      </c>
    </row>
    <row r="216" spans="1:20" x14ac:dyDescent="0.25">
      <c r="A216" s="5">
        <v>44377</v>
      </c>
      <c r="B216">
        <v>2.0336E-2</v>
      </c>
      <c r="C216">
        <v>2.0346E-2</v>
      </c>
      <c r="D216">
        <v>1.8554000000000001E-2</v>
      </c>
      <c r="E216">
        <v>1.9054999999999999E-2</v>
      </c>
      <c r="F216">
        <v>200751400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-0.44084821428571608</v>
      </c>
      <c r="Q216">
        <f t="shared" si="960"/>
        <v>-88500896.205357507</v>
      </c>
      <c r="R216">
        <f t="shared" si="961"/>
        <v>-3936808404.0328383</v>
      </c>
      <c r="S216">
        <f t="shared" si="962"/>
        <v>-39368.08404032838</v>
      </c>
      <c r="T216">
        <f t="shared" si="963"/>
        <v>-39.368084040328377</v>
      </c>
    </row>
    <row r="217" spans="1:20" x14ac:dyDescent="0.25">
      <c r="A217" s="5">
        <v>44376</v>
      </c>
      <c r="B217">
        <v>2.1055999999999998E-2</v>
      </c>
      <c r="C217">
        <v>2.1881999999999999E-2</v>
      </c>
      <c r="D217">
        <v>1.9701E-2</v>
      </c>
      <c r="E217">
        <v>2.0355999999999999E-2</v>
      </c>
      <c r="F217">
        <v>569829160</v>
      </c>
      <c r="G217">
        <v>0</v>
      </c>
      <c r="L217" t="s">
        <v>7</v>
      </c>
      <c r="M217" t="s">
        <v>8</v>
      </c>
      <c r="N217" t="s">
        <v>8</v>
      </c>
      <c r="P217">
        <f t="shared" si="959"/>
        <v>-0.39935809261806543</v>
      </c>
      <c r="Q217">
        <f t="shared" si="960"/>
        <v>-227565886.45575443</v>
      </c>
      <c r="R217">
        <f t="shared" si="961"/>
        <v>-3848307507.8274808</v>
      </c>
      <c r="S217">
        <f t="shared" si="962"/>
        <v>-38483.075078274807</v>
      </c>
      <c r="T217">
        <f t="shared" si="963"/>
        <v>-38.483075078274808</v>
      </c>
    </row>
    <row r="218" spans="1:20" x14ac:dyDescent="0.25">
      <c r="A218" s="5">
        <v>44375</v>
      </c>
      <c r="B218">
        <v>1.6004999999999998E-2</v>
      </c>
      <c r="C218">
        <v>2.2898999999999999E-2</v>
      </c>
      <c r="D218">
        <v>1.5852999999999999E-2</v>
      </c>
      <c r="E218">
        <v>2.1055999999999998E-2</v>
      </c>
      <c r="F218">
        <v>1219515793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0.47686630712460948</v>
      </c>
      <c r="Q218">
        <f t="shared" si="960"/>
        <v>581545992.68804967</v>
      </c>
      <c r="R218">
        <f t="shared" si="961"/>
        <v>-3620741621.3717265</v>
      </c>
      <c r="S218">
        <f t="shared" si="962"/>
        <v>-36207.416213717268</v>
      </c>
      <c r="T218">
        <f t="shared" si="963"/>
        <v>-36.207416213717266</v>
      </c>
    </row>
    <row r="219" spans="1:20" x14ac:dyDescent="0.25">
      <c r="A219" s="5">
        <v>44374</v>
      </c>
      <c r="B219">
        <v>1.5486E-2</v>
      </c>
      <c r="C219">
        <v>1.6029000000000002E-2</v>
      </c>
      <c r="D219">
        <v>1.5101E-2</v>
      </c>
      <c r="E219">
        <v>1.5990000000000001E-2</v>
      </c>
      <c r="F219">
        <v>140396569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0.91594827586206728</v>
      </c>
      <c r="Q219">
        <f t="shared" si="960"/>
        <v>128595995.31249976</v>
      </c>
      <c r="R219">
        <f t="shared" si="961"/>
        <v>-4202287614.0597763</v>
      </c>
      <c r="S219">
        <f t="shared" si="962"/>
        <v>-42022.876140597764</v>
      </c>
      <c r="T219">
        <f t="shared" si="963"/>
        <v>-42.022876140597766</v>
      </c>
    </row>
    <row r="220" spans="1:20" x14ac:dyDescent="0.25">
      <c r="A220" s="5">
        <v>44373</v>
      </c>
      <c r="B220">
        <v>1.4862999999999999E-2</v>
      </c>
      <c r="C220">
        <v>1.5491E-2</v>
      </c>
      <c r="D220">
        <v>1.3821999999999999E-2</v>
      </c>
      <c r="E220">
        <v>1.5486E-2</v>
      </c>
      <c r="F220">
        <v>179684134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0.99400838825644122</v>
      </c>
      <c r="Q220">
        <f t="shared" si="960"/>
        <v>178607536.43259442</v>
      </c>
      <c r="R220">
        <f t="shared" si="961"/>
        <v>-4330883609.3722763</v>
      </c>
      <c r="S220">
        <f t="shared" si="962"/>
        <v>-43308.836093722763</v>
      </c>
      <c r="T220">
        <f t="shared" si="963"/>
        <v>-43.308836093722761</v>
      </c>
    </row>
    <row r="221" spans="1:20" x14ac:dyDescent="0.25">
      <c r="A221" s="5">
        <v>44372</v>
      </c>
      <c r="B221">
        <v>1.6570000000000001E-2</v>
      </c>
      <c r="C221">
        <v>1.6767000000000001E-2</v>
      </c>
      <c r="D221">
        <v>1.4787E-2</v>
      </c>
      <c r="E221">
        <v>1.4858E-2</v>
      </c>
      <c r="F221">
        <v>136747510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-0.92828282828282849</v>
      </c>
      <c r="Q221">
        <f t="shared" si="960"/>
        <v>-126940365.34343438</v>
      </c>
      <c r="R221">
        <f t="shared" si="961"/>
        <v>-4509491145.8048706</v>
      </c>
      <c r="S221">
        <f t="shared" si="962"/>
        <v>-45094.911458048708</v>
      </c>
      <c r="T221">
        <f t="shared" si="963"/>
        <v>-45.094911458048706</v>
      </c>
    </row>
    <row r="222" spans="1:20" x14ac:dyDescent="0.25">
      <c r="A222" s="5">
        <v>44371</v>
      </c>
      <c r="B222">
        <v>1.5890999999999999E-2</v>
      </c>
      <c r="C222">
        <v>1.6773E-2</v>
      </c>
      <c r="D222">
        <v>1.5181999999999999E-2</v>
      </c>
      <c r="E222">
        <v>1.6528999999999999E-2</v>
      </c>
      <c r="F222">
        <v>99107032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0.69327467001885468</v>
      </c>
      <c r="Q222">
        <f t="shared" si="960"/>
        <v>68708394.906348065</v>
      </c>
      <c r="R222">
        <f t="shared" si="961"/>
        <v>-4382550780.4614363</v>
      </c>
      <c r="S222">
        <f t="shared" si="962"/>
        <v>-43825.507804614361</v>
      </c>
      <c r="T222">
        <f t="shared" si="963"/>
        <v>-43.825507804614361</v>
      </c>
    </row>
    <row r="223" spans="1:20" x14ac:dyDescent="0.25">
      <c r="A223" s="5">
        <v>44370</v>
      </c>
      <c r="B223">
        <v>1.4985999999999999E-2</v>
      </c>
      <c r="C223">
        <v>1.6622000000000001E-2</v>
      </c>
      <c r="D223">
        <v>1.4477E-2</v>
      </c>
      <c r="E223">
        <v>1.5889E-2</v>
      </c>
      <c r="F223">
        <v>133276272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0.31655011655011595</v>
      </c>
      <c r="Q223">
        <f t="shared" si="960"/>
        <v>42188619.434964955</v>
      </c>
      <c r="R223">
        <f t="shared" si="961"/>
        <v>-4451259175.3677845</v>
      </c>
      <c r="S223">
        <f t="shared" si="962"/>
        <v>-44512.591753677843</v>
      </c>
      <c r="T223">
        <f t="shared" si="963"/>
        <v>-44.512591753677846</v>
      </c>
    </row>
    <row r="224" spans="1:20" x14ac:dyDescent="0.25">
      <c r="A224" s="5">
        <v>44369</v>
      </c>
      <c r="B224">
        <v>1.5401E-2</v>
      </c>
      <c r="C224">
        <v>1.6234999999999999E-2</v>
      </c>
      <c r="D224">
        <v>1.2873000000000001E-2</v>
      </c>
      <c r="E224">
        <v>1.5011E-2</v>
      </c>
      <c r="F224">
        <v>303149034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0.27186198691255214</v>
      </c>
      <c r="Q224">
        <f t="shared" si="960"/>
        <v>82414698.713860825</v>
      </c>
      <c r="R224">
        <f t="shared" si="961"/>
        <v>-4493447794.8027496</v>
      </c>
      <c r="S224">
        <f t="shared" si="962"/>
        <v>-44934.477948027496</v>
      </c>
      <c r="T224">
        <f t="shared" si="963"/>
        <v>-44.934477948027492</v>
      </c>
    </row>
    <row r="225" spans="1:20" x14ac:dyDescent="0.25">
      <c r="A225" s="5">
        <v>44368</v>
      </c>
      <c r="B225">
        <v>2.0285999999999998E-2</v>
      </c>
      <c r="C225">
        <v>2.0396000000000001E-2</v>
      </c>
      <c r="D225">
        <v>1.5369000000000001E-2</v>
      </c>
      <c r="E225">
        <v>1.5422999999999999E-2</v>
      </c>
      <c r="F225">
        <v>198712420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-0.97851601352695505</v>
      </c>
      <c r="Q225">
        <f t="shared" si="960"/>
        <v>-194443285.05669397</v>
      </c>
      <c r="R225">
        <f t="shared" si="961"/>
        <v>-4575862493.5166101</v>
      </c>
      <c r="S225">
        <f t="shared" si="962"/>
        <v>-45758.624935166103</v>
      </c>
      <c r="T225">
        <f t="shared" si="963"/>
        <v>-45.758624935166104</v>
      </c>
    </row>
    <row r="226" spans="1:20" x14ac:dyDescent="0.25">
      <c r="A226" s="5">
        <v>44367</v>
      </c>
      <c r="B226">
        <v>2.0518000000000002E-2</v>
      </c>
      <c r="C226">
        <v>2.0707E-2</v>
      </c>
      <c r="D226">
        <v>1.8912999999999999E-2</v>
      </c>
      <c r="E226">
        <v>2.0275000000000001E-2</v>
      </c>
      <c r="F226">
        <v>116530523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0.51839464882943342</v>
      </c>
      <c r="Q226">
        <f t="shared" si="960"/>
        <v>60408799.548495218</v>
      </c>
      <c r="R226">
        <f t="shared" si="961"/>
        <v>-4381419208.4599161</v>
      </c>
      <c r="S226">
        <f t="shared" si="962"/>
        <v>-43814.192084599163</v>
      </c>
      <c r="T226">
        <f t="shared" si="963"/>
        <v>-43.814192084599163</v>
      </c>
    </row>
    <row r="227" spans="1:20" x14ac:dyDescent="0.25">
      <c r="A227" s="5">
        <v>44366</v>
      </c>
      <c r="B227">
        <v>2.0513E-2</v>
      </c>
      <c r="C227">
        <v>2.1367000000000001E-2</v>
      </c>
      <c r="D227">
        <v>2.0174999999999998E-2</v>
      </c>
      <c r="E227">
        <v>2.0507999999999998E-2</v>
      </c>
      <c r="F227">
        <v>100073984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-0.44127516778523596</v>
      </c>
      <c r="Q227">
        <f t="shared" si="960"/>
        <v>-44160164.080537021</v>
      </c>
      <c r="R227">
        <f t="shared" si="961"/>
        <v>-4441828008.0084114</v>
      </c>
      <c r="S227">
        <f t="shared" si="962"/>
        <v>-44418.280080084114</v>
      </c>
      <c r="T227">
        <f t="shared" si="963"/>
        <v>-44.418280080084116</v>
      </c>
    </row>
    <row r="228" spans="1:20" x14ac:dyDescent="0.25">
      <c r="A228" s="5">
        <v>44365</v>
      </c>
      <c r="B228">
        <v>2.2349000000000001E-2</v>
      </c>
      <c r="C228">
        <v>2.2436999999999999E-2</v>
      </c>
      <c r="D228">
        <v>2.0143000000000001E-2</v>
      </c>
      <c r="E228">
        <v>2.0528000000000001E-2</v>
      </c>
      <c r="F228">
        <v>126201344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-0.66434176111595433</v>
      </c>
      <c r="Q228">
        <f t="shared" si="960"/>
        <v>-83840823.128160372</v>
      </c>
      <c r="R228">
        <f t="shared" si="961"/>
        <v>-4397667843.9278746</v>
      </c>
      <c r="S228">
        <f t="shared" si="962"/>
        <v>-43976.678439278745</v>
      </c>
      <c r="T228">
        <f t="shared" si="963"/>
        <v>-43.976678439278743</v>
      </c>
    </row>
    <row r="229" spans="1:20" x14ac:dyDescent="0.25">
      <c r="A229" s="5">
        <v>44364</v>
      </c>
      <c r="B229">
        <v>2.2468999999999999E-2</v>
      </c>
      <c r="C229">
        <v>2.35E-2</v>
      </c>
      <c r="D229">
        <v>2.1878999999999999E-2</v>
      </c>
      <c r="E229">
        <v>2.2346999999999999E-2</v>
      </c>
      <c r="F229">
        <v>98410671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-0.42257865515114201</v>
      </c>
      <c r="Q229">
        <f t="shared" si="960"/>
        <v>-41586249.003701493</v>
      </c>
      <c r="R229">
        <f t="shared" si="961"/>
        <v>-4313827020.7997141</v>
      </c>
      <c r="S229">
        <f t="shared" si="962"/>
        <v>-43138.270207997142</v>
      </c>
      <c r="T229">
        <f t="shared" si="963"/>
        <v>-43.138270207997145</v>
      </c>
    </row>
    <row r="230" spans="1:20" x14ac:dyDescent="0.25">
      <c r="A230" s="5">
        <v>44363</v>
      </c>
      <c r="B230">
        <v>2.4038E-2</v>
      </c>
      <c r="C230">
        <v>2.4041E-2</v>
      </c>
      <c r="D230">
        <v>2.2068999999999998E-2</v>
      </c>
      <c r="E230">
        <v>2.2468999999999999E-2</v>
      </c>
      <c r="F230">
        <v>268195279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-0.59432048681541505</v>
      </c>
      <c r="Q230">
        <f t="shared" si="960"/>
        <v>-159393948.77687606</v>
      </c>
      <c r="R230">
        <f t="shared" si="961"/>
        <v>-4272240771.7960129</v>
      </c>
      <c r="S230">
        <f t="shared" si="962"/>
        <v>-42722.40771796013</v>
      </c>
      <c r="T230">
        <f t="shared" si="963"/>
        <v>-42.722407717960131</v>
      </c>
    </row>
    <row r="231" spans="1:20" x14ac:dyDescent="0.25">
      <c r="A231" s="5">
        <v>44362</v>
      </c>
      <c r="B231">
        <v>2.5360000000000001E-2</v>
      </c>
      <c r="C231">
        <v>2.5987E-2</v>
      </c>
      <c r="D231">
        <v>2.2681E-2</v>
      </c>
      <c r="E231">
        <v>2.4038E-2</v>
      </c>
      <c r="F231">
        <v>405861200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-0.17906836055656347</v>
      </c>
      <c r="Q231">
        <f t="shared" si="960"/>
        <v>-72676899.697519526</v>
      </c>
      <c r="R231">
        <f t="shared" si="961"/>
        <v>-4112846823.0191369</v>
      </c>
      <c r="S231">
        <f t="shared" si="962"/>
        <v>-41128.468230191371</v>
      </c>
      <c r="T231">
        <f t="shared" si="963"/>
        <v>-41.128468230191373</v>
      </c>
    </row>
    <row r="232" spans="1:20" x14ac:dyDescent="0.25">
      <c r="A232" s="5">
        <v>44361</v>
      </c>
      <c r="B232">
        <v>2.3140000000000001E-2</v>
      </c>
      <c r="C232">
        <v>2.6193000000000001E-2</v>
      </c>
      <c r="D232">
        <v>2.2331E-2</v>
      </c>
      <c r="E232">
        <v>2.5360000000000001E-2</v>
      </c>
      <c r="F232">
        <v>1554104922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0.56861729673744166</v>
      </c>
      <c r="Q232">
        <f t="shared" si="960"/>
        <v>883690939.59399259</v>
      </c>
      <c r="R232">
        <f t="shared" si="961"/>
        <v>-4040169923.3216176</v>
      </c>
      <c r="S232">
        <f t="shared" si="962"/>
        <v>-40401.699233216175</v>
      </c>
      <c r="T232">
        <f t="shared" si="963"/>
        <v>-40.401699233216178</v>
      </c>
    </row>
    <row r="233" spans="1:20" x14ac:dyDescent="0.25">
      <c r="A233" s="5">
        <v>44360</v>
      </c>
      <c r="B233">
        <v>2.2072999999999999E-2</v>
      </c>
      <c r="C233">
        <v>2.3394000000000002E-2</v>
      </c>
      <c r="D233">
        <v>2.1512E-2</v>
      </c>
      <c r="E233">
        <v>2.3156E-2</v>
      </c>
      <c r="F233">
        <v>198111477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0.74707757704569411</v>
      </c>
      <c r="Q233">
        <f t="shared" si="960"/>
        <v>148004642.22210374</v>
      </c>
      <c r="R233">
        <f t="shared" si="961"/>
        <v>-4923860862.9156103</v>
      </c>
      <c r="S233">
        <f t="shared" si="962"/>
        <v>-49238.608629156101</v>
      </c>
      <c r="T233">
        <f t="shared" si="963"/>
        <v>-49.238608629156097</v>
      </c>
    </row>
    <row r="234" spans="1:20" x14ac:dyDescent="0.25">
      <c r="A234" s="5">
        <v>44359</v>
      </c>
      <c r="B234">
        <v>2.3215E-2</v>
      </c>
      <c r="C234">
        <v>2.3216000000000001E-2</v>
      </c>
      <c r="D234">
        <v>2.1433000000000001E-2</v>
      </c>
      <c r="E234">
        <v>2.2061999999999998E-2</v>
      </c>
      <c r="F234">
        <v>178854289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-0.29444756029164593</v>
      </c>
      <c r="Q234">
        <f t="shared" si="960"/>
        <v>-52663209.043746963</v>
      </c>
      <c r="R234">
        <f t="shared" si="961"/>
        <v>-5071865505.1377144</v>
      </c>
      <c r="S234">
        <f t="shared" si="962"/>
        <v>-50718.655051377144</v>
      </c>
      <c r="T234">
        <f t="shared" si="963"/>
        <v>-50.718655051377141</v>
      </c>
    </row>
    <row r="235" spans="1:20" x14ac:dyDescent="0.25">
      <c r="A235" s="5">
        <v>44358</v>
      </c>
      <c r="B235">
        <v>2.4836E-2</v>
      </c>
      <c r="C235">
        <v>2.5642000000000002E-2</v>
      </c>
      <c r="D235">
        <v>2.2533000000000001E-2</v>
      </c>
      <c r="E235">
        <v>2.3269000000000001E-2</v>
      </c>
      <c r="F235">
        <v>205104218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-0.52653586362174309</v>
      </c>
      <c r="Q235">
        <f t="shared" si="960"/>
        <v>-107994726.55709226</v>
      </c>
      <c r="R235">
        <f t="shared" si="961"/>
        <v>-5019202296.0939674</v>
      </c>
      <c r="S235">
        <f t="shared" si="962"/>
        <v>-50192.022960939677</v>
      </c>
      <c r="T235">
        <f t="shared" si="963"/>
        <v>-50.192022960939674</v>
      </c>
    </row>
    <row r="236" spans="1:20" x14ac:dyDescent="0.25">
      <c r="A236" s="5">
        <v>44357</v>
      </c>
      <c r="B236">
        <v>2.7711E-2</v>
      </c>
      <c r="C236">
        <v>2.8799999999999999E-2</v>
      </c>
      <c r="D236">
        <v>2.4542000000000001E-2</v>
      </c>
      <c r="E236">
        <v>2.4864000000000001E-2</v>
      </c>
      <c r="F236">
        <v>409408048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-0.84875528417097246</v>
      </c>
      <c r="Q236">
        <f t="shared" si="960"/>
        <v>-347487244.12212312</v>
      </c>
      <c r="R236">
        <f t="shared" si="961"/>
        <v>-4911207569.5368748</v>
      </c>
      <c r="S236">
        <f t="shared" si="962"/>
        <v>-49112.075695368745</v>
      </c>
      <c r="T236">
        <f t="shared" si="963"/>
        <v>-49.112075695368745</v>
      </c>
    </row>
    <row r="237" spans="1:20" x14ac:dyDescent="0.25">
      <c r="A237" s="5">
        <v>44356</v>
      </c>
      <c r="B237">
        <v>2.3785000000000001E-2</v>
      </c>
      <c r="C237">
        <v>2.8372000000000001E-2</v>
      </c>
      <c r="D237">
        <v>2.2495999999999999E-2</v>
      </c>
      <c r="E237">
        <v>2.7713000000000002E-2</v>
      </c>
      <c r="F237">
        <v>539568075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0.77569775357385995</v>
      </c>
      <c r="Q237">
        <f t="shared" si="960"/>
        <v>418541743.67767197</v>
      </c>
      <c r="R237">
        <f t="shared" si="961"/>
        <v>-4563720325.414752</v>
      </c>
      <c r="S237">
        <f t="shared" si="962"/>
        <v>-45637.20325414752</v>
      </c>
      <c r="T237">
        <f t="shared" si="963"/>
        <v>-45.637203254147522</v>
      </c>
    </row>
    <row r="238" spans="1:20" x14ac:dyDescent="0.25">
      <c r="A238" s="5">
        <v>44355</v>
      </c>
      <c r="B238">
        <v>2.3473999999999998E-2</v>
      </c>
      <c r="C238">
        <v>2.4320999999999999E-2</v>
      </c>
      <c r="D238">
        <v>2.1257999999999999E-2</v>
      </c>
      <c r="E238">
        <v>2.3820000000000001E-2</v>
      </c>
      <c r="F238">
        <v>243107910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0.67286973555338037</v>
      </c>
      <c r="Q238">
        <f t="shared" si="960"/>
        <v>163579955.11263499</v>
      </c>
      <c r="R238">
        <f t="shared" si="961"/>
        <v>-4982262069.0924244</v>
      </c>
      <c r="S238">
        <f t="shared" si="962"/>
        <v>-49822.620690924246</v>
      </c>
      <c r="T238">
        <f t="shared" si="963"/>
        <v>-49.822620690924246</v>
      </c>
    </row>
    <row r="239" spans="1:20" x14ac:dyDescent="0.25">
      <c r="A239" s="5">
        <v>44354</v>
      </c>
      <c r="B239">
        <v>2.6068000000000001E-2</v>
      </c>
      <c r="C239">
        <v>2.8888E-2</v>
      </c>
      <c r="D239">
        <v>2.3011E-2</v>
      </c>
      <c r="E239">
        <v>2.3477999999999999E-2</v>
      </c>
      <c r="F239">
        <v>335886492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-0.84107537859452153</v>
      </c>
      <c r="Q239">
        <f t="shared" si="960"/>
        <v>-282505858.42368573</v>
      </c>
      <c r="R239">
        <f t="shared" si="961"/>
        <v>-5145842024.2050591</v>
      </c>
      <c r="S239">
        <f t="shared" si="962"/>
        <v>-51458.42024205059</v>
      </c>
      <c r="T239">
        <f t="shared" si="963"/>
        <v>-51.458420242050593</v>
      </c>
    </row>
    <row r="240" spans="1:20" x14ac:dyDescent="0.25">
      <c r="A240" s="5">
        <v>44353</v>
      </c>
      <c r="B240">
        <v>2.5523000000000001E-2</v>
      </c>
      <c r="C240">
        <v>2.8499E-2</v>
      </c>
      <c r="D240">
        <v>2.5350999999999999E-2</v>
      </c>
      <c r="E240">
        <v>2.6082000000000001E-2</v>
      </c>
      <c r="F240">
        <v>219029573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-0.53557814485387412</v>
      </c>
      <c r="Q240">
        <f t="shared" si="960"/>
        <v>-117307452.3754762</v>
      </c>
      <c r="R240">
        <f t="shared" si="961"/>
        <v>-4863336165.781373</v>
      </c>
      <c r="S240">
        <f t="shared" si="962"/>
        <v>-48633.36165781373</v>
      </c>
      <c r="T240">
        <f t="shared" si="963"/>
        <v>-48.63336165781373</v>
      </c>
    </row>
    <row r="241" spans="1:20" x14ac:dyDescent="0.25">
      <c r="A241" s="5">
        <v>44352</v>
      </c>
      <c r="B241">
        <v>2.6081E-2</v>
      </c>
      <c r="C241">
        <v>2.7542000000000001E-2</v>
      </c>
      <c r="D241">
        <v>2.5000999999999999E-2</v>
      </c>
      <c r="E241">
        <v>2.5524000000000002E-2</v>
      </c>
      <c r="F241">
        <v>165296404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-0.58835104289649565</v>
      </c>
      <c r="Q241">
        <f t="shared" si="960"/>
        <v>-97252311.680440471</v>
      </c>
      <c r="R241">
        <f t="shared" si="961"/>
        <v>-4746028713.4058971</v>
      </c>
      <c r="S241">
        <f t="shared" si="962"/>
        <v>-47460.28713405897</v>
      </c>
      <c r="T241">
        <f t="shared" si="963"/>
        <v>-47.460287134058973</v>
      </c>
    </row>
    <row r="242" spans="1:20" x14ac:dyDescent="0.25">
      <c r="A242" s="5">
        <v>44351</v>
      </c>
      <c r="B242">
        <v>2.8445000000000002E-2</v>
      </c>
      <c r="C242">
        <v>2.8445999999999999E-2</v>
      </c>
      <c r="D242">
        <v>2.4611999999999998E-2</v>
      </c>
      <c r="E242">
        <v>2.6081E-2</v>
      </c>
      <c r="F242">
        <v>196422135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-0.23369848721961328</v>
      </c>
      <c r="Q242">
        <f t="shared" si="960"/>
        <v>-45903555.805946656</v>
      </c>
      <c r="R242">
        <f t="shared" si="961"/>
        <v>-4648776401.7254562</v>
      </c>
      <c r="S242">
        <f t="shared" si="962"/>
        <v>-46487.764017254565</v>
      </c>
      <c r="T242">
        <f t="shared" si="963"/>
        <v>-46.487764017254563</v>
      </c>
    </row>
    <row r="243" spans="1:20" x14ac:dyDescent="0.25">
      <c r="A243" s="5">
        <v>44350</v>
      </c>
      <c r="B243">
        <v>2.6994000000000001E-2</v>
      </c>
      <c r="C243">
        <v>2.8667999999999999E-2</v>
      </c>
      <c r="D243">
        <v>2.6515E-2</v>
      </c>
      <c r="E243">
        <v>2.8420000000000001E-2</v>
      </c>
      <c r="F243">
        <v>229905335</v>
      </c>
      <c r="G243">
        <v>0</v>
      </c>
      <c r="L243" t="s">
        <v>7</v>
      </c>
      <c r="M243" t="s">
        <v>7</v>
      </c>
      <c r="N243" t="s">
        <v>7</v>
      </c>
      <c r="P243">
        <f t="shared" si="959"/>
        <v>0.76962378077101867</v>
      </c>
      <c r="Q243">
        <f t="shared" si="960"/>
        <v>176940613.1421276</v>
      </c>
      <c r="R243">
        <f t="shared" si="961"/>
        <v>-4602872845.9195099</v>
      </c>
      <c r="S243">
        <f t="shared" si="962"/>
        <v>-46028.728459195096</v>
      </c>
      <c r="T243">
        <f t="shared" si="963"/>
        <v>-46.028728459195094</v>
      </c>
    </row>
    <row r="244" spans="1:20" x14ac:dyDescent="0.25">
      <c r="A244" s="5">
        <v>44349</v>
      </c>
      <c r="B244">
        <v>2.6314000000000001E-2</v>
      </c>
      <c r="C244">
        <v>2.8799999999999999E-2</v>
      </c>
      <c r="D244">
        <v>2.5572999999999999E-2</v>
      </c>
      <c r="E244">
        <v>2.6994000000000001E-2</v>
      </c>
      <c r="F244">
        <v>324697198</v>
      </c>
      <c r="G244">
        <v>0</v>
      </c>
      <c r="L244" t="s">
        <v>8</v>
      </c>
      <c r="M244" t="s">
        <v>7</v>
      </c>
      <c r="N244" t="s">
        <v>7</v>
      </c>
      <c r="P244">
        <f t="shared" si="959"/>
        <v>-0.11930585683297068</v>
      </c>
      <c r="Q244">
        <f t="shared" si="960"/>
        <v>-38738277.418654732</v>
      </c>
      <c r="R244">
        <f t="shared" si="961"/>
        <v>-4779813459.0616379</v>
      </c>
      <c r="S244">
        <f t="shared" si="962"/>
        <v>-47798.134590616377</v>
      </c>
      <c r="T244">
        <f t="shared" si="963"/>
        <v>-47.798134590616378</v>
      </c>
    </row>
    <row r="245" spans="1:20" x14ac:dyDescent="0.25">
      <c r="A245" s="5">
        <v>44348</v>
      </c>
      <c r="B245">
        <v>2.7439000000000002E-2</v>
      </c>
      <c r="C245">
        <v>2.7782000000000001E-2</v>
      </c>
      <c r="D245">
        <v>2.5635000000000002E-2</v>
      </c>
      <c r="E245">
        <v>2.6291999999999999E-2</v>
      </c>
      <c r="F245">
        <v>178760783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-0.38798323241732841</v>
      </c>
      <c r="Q245">
        <f t="shared" si="960"/>
        <v>-69356186.417792603</v>
      </c>
      <c r="R245">
        <f t="shared" si="961"/>
        <v>-4741075181.6429834</v>
      </c>
      <c r="S245">
        <f t="shared" si="962"/>
        <v>-47410.751816429831</v>
      </c>
      <c r="T245">
        <f t="shared" si="963"/>
        <v>-47.41075181642983</v>
      </c>
    </row>
    <row r="246" spans="1:20" x14ac:dyDescent="0.25">
      <c r="A246" s="5">
        <v>44347</v>
      </c>
      <c r="B246">
        <v>2.6536000000000001E-2</v>
      </c>
      <c r="C246">
        <v>2.7879999999999999E-2</v>
      </c>
      <c r="D246">
        <v>2.5100000000000001E-2</v>
      </c>
      <c r="E246">
        <v>2.7455E-2</v>
      </c>
      <c r="F246">
        <v>179979845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0.69424460431654778</v>
      </c>
      <c r="Q246">
        <f t="shared" si="960"/>
        <v>124950036.2769786</v>
      </c>
      <c r="R246">
        <f t="shared" si="961"/>
        <v>-4671718995.2251911</v>
      </c>
      <c r="S246">
        <f t="shared" si="962"/>
        <v>-46717.189952251909</v>
      </c>
      <c r="T246">
        <f t="shared" si="963"/>
        <v>-46.717189952251907</v>
      </c>
    </row>
    <row r="247" spans="1:20" x14ac:dyDescent="0.25">
      <c r="A247" s="5">
        <v>44346</v>
      </c>
      <c r="B247">
        <v>2.6276000000000001E-2</v>
      </c>
      <c r="C247">
        <v>2.8060999999999999E-2</v>
      </c>
      <c r="D247">
        <v>2.4927000000000001E-2</v>
      </c>
      <c r="E247">
        <v>2.6529E-2</v>
      </c>
      <c r="F247">
        <v>172222701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2.2335673261008507E-2</v>
      </c>
      <c r="Q247">
        <f t="shared" si="960"/>
        <v>3846709.9776643631</v>
      </c>
      <c r="R247">
        <f t="shared" si="961"/>
        <v>-4796669031.5021696</v>
      </c>
      <c r="S247">
        <f t="shared" si="962"/>
        <v>-47966.690315021697</v>
      </c>
      <c r="T247">
        <f t="shared" si="963"/>
        <v>-47.966690315021694</v>
      </c>
    </row>
    <row r="248" spans="1:20" x14ac:dyDescent="0.25">
      <c r="A248" s="5">
        <v>44345</v>
      </c>
      <c r="B248">
        <v>2.8367E-2</v>
      </c>
      <c r="C248">
        <v>2.9870000000000001E-2</v>
      </c>
      <c r="D248">
        <v>2.4746000000000001E-2</v>
      </c>
      <c r="E248">
        <v>2.6256000000000002E-2</v>
      </c>
      <c r="F248">
        <v>203270569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-0.41061670569867253</v>
      </c>
      <c r="Q248">
        <f t="shared" si="960"/>
        <v>-83466291.40827471</v>
      </c>
      <c r="R248">
        <f t="shared" si="961"/>
        <v>-4800515741.4798336</v>
      </c>
      <c r="S248">
        <f t="shared" si="962"/>
        <v>-48005.157414798334</v>
      </c>
      <c r="T248">
        <f t="shared" si="963"/>
        <v>-48.005157414798333</v>
      </c>
    </row>
    <row r="249" spans="1:20" x14ac:dyDescent="0.25">
      <c r="A249" s="5">
        <v>44344</v>
      </c>
      <c r="B249">
        <v>3.2334000000000002E-2</v>
      </c>
      <c r="C249">
        <v>3.2835999999999997E-2</v>
      </c>
      <c r="D249">
        <v>2.7237000000000001E-2</v>
      </c>
      <c r="E249">
        <v>2.8368999999999998E-2</v>
      </c>
      <c r="F249">
        <v>270684824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-0.59564207894266896</v>
      </c>
      <c r="Q249">
        <f t="shared" si="960"/>
        <v>-161231271.30559045</v>
      </c>
      <c r="R249">
        <f t="shared" si="961"/>
        <v>-4717049450.071559</v>
      </c>
      <c r="S249">
        <f t="shared" si="962"/>
        <v>-47170.494500715591</v>
      </c>
      <c r="T249">
        <f t="shared" si="963"/>
        <v>-47.170494500715591</v>
      </c>
    </row>
    <row r="250" spans="1:20" x14ac:dyDescent="0.25">
      <c r="A250" s="5">
        <v>44343</v>
      </c>
      <c r="B250">
        <v>3.5638000000000003E-2</v>
      </c>
      <c r="C250">
        <v>3.5721999999999997E-2</v>
      </c>
      <c r="D250">
        <v>3.1001000000000001E-2</v>
      </c>
      <c r="E250">
        <v>3.2339E-2</v>
      </c>
      <c r="F250">
        <v>302598895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-0.43317093836051684</v>
      </c>
      <c r="Q250">
        <f t="shared" si="960"/>
        <v>-131077047.29400551</v>
      </c>
      <c r="R250">
        <f t="shared" si="961"/>
        <v>-4555818178.7659683</v>
      </c>
      <c r="S250">
        <f t="shared" si="962"/>
        <v>-45558.181787659683</v>
      </c>
      <c r="T250">
        <f t="shared" si="963"/>
        <v>-45.558181787659684</v>
      </c>
    </row>
    <row r="251" spans="1:20" x14ac:dyDescent="0.25">
      <c r="A251" s="5">
        <v>44342</v>
      </c>
      <c r="B251">
        <v>3.3940999999999999E-2</v>
      </c>
      <c r="C251">
        <v>3.6777999999999998E-2</v>
      </c>
      <c r="D251">
        <v>3.3426999999999998E-2</v>
      </c>
      <c r="E251">
        <v>3.5588000000000002E-2</v>
      </c>
      <c r="F251">
        <v>208064510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0.2897642494777698</v>
      </c>
      <c r="Q251">
        <f t="shared" si="960"/>
        <v>60289656.58310993</v>
      </c>
      <c r="R251">
        <f t="shared" si="961"/>
        <v>-4424741131.4719629</v>
      </c>
      <c r="S251">
        <f t="shared" si="962"/>
        <v>-44247.411314719626</v>
      </c>
      <c r="T251">
        <f t="shared" si="963"/>
        <v>-44.247411314719628</v>
      </c>
    </row>
    <row r="252" spans="1:20" x14ac:dyDescent="0.25">
      <c r="A252" s="5">
        <v>44341</v>
      </c>
      <c r="B252">
        <v>3.5057999999999999E-2</v>
      </c>
      <c r="C252">
        <v>3.7945E-2</v>
      </c>
      <c r="D252">
        <v>3.1426000000000003E-2</v>
      </c>
      <c r="E252">
        <v>3.3861000000000002E-2</v>
      </c>
      <c r="F252">
        <v>286986564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-0.25295290688755923</v>
      </c>
      <c r="Q252">
        <f t="shared" si="960"/>
        <v>-72594085.601472557</v>
      </c>
      <c r="R252">
        <f t="shared" si="961"/>
        <v>-4485030788.0550728</v>
      </c>
      <c r="S252">
        <f t="shared" si="962"/>
        <v>-44850.307880550725</v>
      </c>
      <c r="T252">
        <f t="shared" si="963"/>
        <v>-44.850307880550723</v>
      </c>
    </row>
    <row r="253" spans="1:20" x14ac:dyDescent="0.25">
      <c r="A253" s="5">
        <v>44340</v>
      </c>
      <c r="B253">
        <v>3.2460000000000003E-2</v>
      </c>
      <c r="C253">
        <v>3.7477000000000003E-2</v>
      </c>
      <c r="D253">
        <v>3.0457999999999999E-2</v>
      </c>
      <c r="E253">
        <v>3.5136000000000001E-2</v>
      </c>
      <c r="F253">
        <v>460197728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0.33295341216697499</v>
      </c>
      <c r="Q253">
        <f t="shared" si="960"/>
        <v>153224403.80908945</v>
      </c>
      <c r="R253">
        <f t="shared" si="961"/>
        <v>-4412436702.4535999</v>
      </c>
      <c r="S253">
        <f t="shared" si="962"/>
        <v>-44124.367024535997</v>
      </c>
      <c r="T253">
        <f t="shared" si="963"/>
        <v>-44.124367024535999</v>
      </c>
    </row>
    <row r="254" spans="1:20" x14ac:dyDescent="0.25">
      <c r="A254" s="5">
        <v>44339</v>
      </c>
      <c r="B254">
        <v>3.1210000000000002E-2</v>
      </c>
      <c r="C254">
        <v>3.4417999999999997E-2</v>
      </c>
      <c r="D254">
        <v>2.5000000000000001E-2</v>
      </c>
      <c r="E254">
        <v>3.2473000000000002E-2</v>
      </c>
      <c r="F254">
        <v>522260108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0.58696113824591289</v>
      </c>
      <c r="Q254">
        <f t="shared" si="960"/>
        <v>306546387.45211339</v>
      </c>
      <c r="R254">
        <f t="shared" si="961"/>
        <v>-4565661106.2626896</v>
      </c>
      <c r="S254">
        <f t="shared" si="962"/>
        <v>-45656.611062626893</v>
      </c>
      <c r="T254">
        <f t="shared" si="963"/>
        <v>-45.656611062626894</v>
      </c>
    </row>
    <row r="255" spans="1:20" x14ac:dyDescent="0.25">
      <c r="A255" s="5">
        <v>44338</v>
      </c>
      <c r="B255">
        <v>3.1371999999999997E-2</v>
      </c>
      <c r="C255">
        <v>3.4417000000000003E-2</v>
      </c>
      <c r="D255">
        <v>2.9392999999999999E-2</v>
      </c>
      <c r="E255">
        <v>3.1165000000000002E-2</v>
      </c>
      <c r="F255">
        <v>273914050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-0.29458598726114599</v>
      </c>
      <c r="Q255">
        <f t="shared" si="960"/>
        <v>-80691240.843948901</v>
      </c>
      <c r="R255">
        <f t="shared" si="961"/>
        <v>-4872207493.7148027</v>
      </c>
      <c r="S255">
        <f t="shared" si="962"/>
        <v>-48722.074937148027</v>
      </c>
      <c r="T255">
        <f t="shared" si="963"/>
        <v>-48.72207493714803</v>
      </c>
    </row>
    <row r="256" spans="1:20" x14ac:dyDescent="0.25">
      <c r="A256" s="5">
        <v>44337</v>
      </c>
      <c r="B256">
        <v>3.2534E-2</v>
      </c>
      <c r="C256">
        <v>4.0758999999999997E-2</v>
      </c>
      <c r="D256">
        <v>2.8702999999999999E-2</v>
      </c>
      <c r="E256">
        <v>3.1461999999999997E-2</v>
      </c>
      <c r="F256">
        <v>661903701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-0.54230258792302621</v>
      </c>
      <c r="Q256">
        <f t="shared" si="960"/>
        <v>-358952090.00812894</v>
      </c>
      <c r="R256">
        <f t="shared" si="961"/>
        <v>-4791516252.8708534</v>
      </c>
      <c r="S256">
        <f t="shared" si="962"/>
        <v>-47915.162528708534</v>
      </c>
      <c r="T256">
        <f t="shared" si="963"/>
        <v>-47.915162528708535</v>
      </c>
    </row>
    <row r="257" spans="1:20" x14ac:dyDescent="0.25">
      <c r="A257" s="5">
        <v>44336</v>
      </c>
      <c r="B257">
        <v>2.8721E-2</v>
      </c>
      <c r="C257">
        <v>3.6799999999999999E-2</v>
      </c>
      <c r="D257">
        <v>2.6162999999999999E-2</v>
      </c>
      <c r="E257">
        <v>3.2552999999999999E-2</v>
      </c>
      <c r="F257">
        <v>670410655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0.20146657892262845</v>
      </c>
      <c r="Q257">
        <f t="shared" si="960"/>
        <v>135065341.13612854</v>
      </c>
      <c r="R257">
        <f t="shared" si="961"/>
        <v>-4432564162.8627243</v>
      </c>
      <c r="S257">
        <f t="shared" si="962"/>
        <v>-44325.641628627243</v>
      </c>
      <c r="T257">
        <f t="shared" si="963"/>
        <v>-44.325641628627245</v>
      </c>
    </row>
    <row r="258" spans="1:20" x14ac:dyDescent="0.25">
      <c r="A258" s="5">
        <v>44335</v>
      </c>
      <c r="B258">
        <v>4.0655999999999998E-2</v>
      </c>
      <c r="C258">
        <v>4.2000000000000003E-2</v>
      </c>
      <c r="D258">
        <v>2.0622999999999999E-2</v>
      </c>
      <c r="E258">
        <v>2.8736999999999999E-2</v>
      </c>
      <c r="F258">
        <v>583108032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-0.24086635168639209</v>
      </c>
      <c r="Q258">
        <f t="shared" si="960"/>
        <v>-140451104.30687198</v>
      </c>
      <c r="R258">
        <f t="shared" si="961"/>
        <v>-4567629503.9988527</v>
      </c>
      <c r="S258">
        <f t="shared" si="962"/>
        <v>-45676.29503998853</v>
      </c>
      <c r="T258">
        <f t="shared" si="963"/>
        <v>-45.676295039988531</v>
      </c>
    </row>
    <row r="259" spans="1:20" x14ac:dyDescent="0.25">
      <c r="A259" s="5">
        <v>44334</v>
      </c>
      <c r="B259">
        <v>3.9481000000000002E-2</v>
      </c>
      <c r="C259">
        <v>4.2993000000000003E-2</v>
      </c>
      <c r="D259">
        <v>3.8899999999999997E-2</v>
      </c>
      <c r="E259">
        <v>4.0658E-2</v>
      </c>
      <c r="F259">
        <v>307890404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-0.14097239188859034</v>
      </c>
      <c r="Q259">
        <f t="shared" si="960"/>
        <v>-43404046.691424407</v>
      </c>
      <c r="R259">
        <f t="shared" si="961"/>
        <v>-4427178399.6919804</v>
      </c>
      <c r="S259">
        <f t="shared" si="962"/>
        <v>-44271.783996919803</v>
      </c>
      <c r="T259">
        <f t="shared" si="963"/>
        <v>-44.271783996919801</v>
      </c>
    </row>
    <row r="260" spans="1:20" x14ac:dyDescent="0.25">
      <c r="A260" s="5">
        <v>44333</v>
      </c>
      <c r="B260">
        <v>4.7119000000000001E-2</v>
      </c>
      <c r="C260">
        <v>4.7531999999999998E-2</v>
      </c>
      <c r="D260">
        <v>3.8245000000000001E-2</v>
      </c>
      <c r="E260">
        <v>3.9529000000000002E-2</v>
      </c>
      <c r="F260">
        <v>346247906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-0.72348444061591455</v>
      </c>
      <c r="Q260">
        <f t="shared" si="960"/>
        <v>-250504972.58684176</v>
      </c>
      <c r="R260">
        <f t="shared" si="961"/>
        <v>-4383774353.000556</v>
      </c>
      <c r="S260">
        <f t="shared" si="962"/>
        <v>-43837.743530005559</v>
      </c>
      <c r="T260">
        <f t="shared" si="963"/>
        <v>-43.837743530005561</v>
      </c>
    </row>
    <row r="261" spans="1:20" x14ac:dyDescent="0.25">
      <c r="A261" s="5">
        <v>44332</v>
      </c>
      <c r="B261">
        <v>4.2530999999999999E-2</v>
      </c>
      <c r="C261">
        <v>4.8638000000000001E-2</v>
      </c>
      <c r="D261">
        <v>4.2139000000000003E-2</v>
      </c>
      <c r="E261">
        <v>4.6981000000000002E-2</v>
      </c>
      <c r="F261">
        <v>345433145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0.49007539621480251</v>
      </c>
      <c r="Q261">
        <f t="shared" si="960"/>
        <v>169288285.40160033</v>
      </c>
      <c r="R261">
        <f t="shared" si="961"/>
        <v>-4133269380.4137139</v>
      </c>
      <c r="S261">
        <f t="shared" si="962"/>
        <v>-41332.69380413714</v>
      </c>
      <c r="T261">
        <f t="shared" si="963"/>
        <v>-41.332693804137136</v>
      </c>
    </row>
    <row r="262" spans="1:20" x14ac:dyDescent="0.25">
      <c r="A262" s="5">
        <v>44331</v>
      </c>
      <c r="B262">
        <v>4.5080000000000002E-2</v>
      </c>
      <c r="C262">
        <v>4.6998999999999999E-2</v>
      </c>
      <c r="D262">
        <v>4.2203999999999998E-2</v>
      </c>
      <c r="E262">
        <v>4.2412999999999999E-2</v>
      </c>
      <c r="F262">
        <v>189726937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-0.91282586027111545</v>
      </c>
      <c r="Q262">
        <f t="shared" ref="Q262:Q325" si="965">F262*P262</f>
        <v>-173187654.48362872</v>
      </c>
      <c r="R262">
        <f t="shared" ref="R262:R325" si="966">R263+Q262</f>
        <v>-4302557665.8153143</v>
      </c>
      <c r="S262">
        <f t="shared" ref="S262:S325" si="967">R262/100000</f>
        <v>-43025.576658153142</v>
      </c>
      <c r="T262">
        <f t="shared" ref="T262:T325" si="968">S262/1000</f>
        <v>-43.025576658153142</v>
      </c>
    </row>
    <row r="263" spans="1:20" x14ac:dyDescent="0.25">
      <c r="A263" s="5">
        <v>44330</v>
      </c>
      <c r="B263">
        <v>4.2301999999999999E-2</v>
      </c>
      <c r="C263">
        <v>4.7757000000000001E-2</v>
      </c>
      <c r="D263">
        <v>4.2199E-2</v>
      </c>
      <c r="E263">
        <v>4.5007999999999999E-2</v>
      </c>
      <c r="F263">
        <v>245071190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1.0795250089959976E-2</v>
      </c>
      <c r="Q263">
        <f t="shared" si="965"/>
        <v>2645604.7858940982</v>
      </c>
      <c r="R263">
        <f t="shared" si="966"/>
        <v>-4129370011.331686</v>
      </c>
      <c r="S263">
        <f t="shared" si="967"/>
        <v>-41293.70011331686</v>
      </c>
      <c r="T263">
        <f t="shared" si="968"/>
        <v>-41.293700113316859</v>
      </c>
    </row>
    <row r="264" spans="1:20" x14ac:dyDescent="0.25">
      <c r="A264" s="5">
        <v>44329</v>
      </c>
      <c r="B264">
        <v>4.2634999999999999E-2</v>
      </c>
      <c r="C264">
        <v>4.5751E-2</v>
      </c>
      <c r="D264">
        <v>4.0029000000000002E-2</v>
      </c>
      <c r="E264">
        <v>4.2263000000000002E-2</v>
      </c>
      <c r="F264">
        <v>293497179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-0.21915414190842339</v>
      </c>
      <c r="Q264">
        <f t="shared" si="965"/>
        <v>-64321122.416287944</v>
      </c>
      <c r="R264">
        <f t="shared" si="966"/>
        <v>-4132015616.1175799</v>
      </c>
      <c r="S264">
        <f t="shared" si="967"/>
        <v>-41320.156161175801</v>
      </c>
      <c r="T264">
        <f t="shared" si="968"/>
        <v>-41.320156161175802</v>
      </c>
    </row>
    <row r="265" spans="1:20" x14ac:dyDescent="0.25">
      <c r="A265" s="5">
        <v>44328</v>
      </c>
      <c r="B265">
        <v>5.0705E-2</v>
      </c>
      <c r="C265">
        <v>5.2706000000000003E-2</v>
      </c>
      <c r="D265">
        <v>4.2418999999999998E-2</v>
      </c>
      <c r="E265">
        <v>4.2848999999999998E-2</v>
      </c>
      <c r="F265">
        <v>224490373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-0.91639933897151749</v>
      </c>
      <c r="Q265">
        <f t="shared" si="965"/>
        <v>-205722829.42266941</v>
      </c>
      <c r="R265">
        <f t="shared" si="966"/>
        <v>-4067694493.701292</v>
      </c>
      <c r="S265">
        <f t="shared" si="967"/>
        <v>-40676.944937012922</v>
      </c>
      <c r="T265">
        <f t="shared" si="968"/>
        <v>-40.676944937012919</v>
      </c>
    </row>
    <row r="266" spans="1:20" x14ac:dyDescent="0.25">
      <c r="A266" s="5">
        <v>44327</v>
      </c>
      <c r="B266">
        <v>4.8982999999999999E-2</v>
      </c>
      <c r="C266">
        <v>5.1223999999999999E-2</v>
      </c>
      <c r="D266">
        <v>4.6204000000000002E-2</v>
      </c>
      <c r="E266">
        <v>5.0705E-2</v>
      </c>
      <c r="F266">
        <v>249218889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0.7932270916334665</v>
      </c>
      <c r="Q266">
        <f t="shared" si="965"/>
        <v>197687174.50159371</v>
      </c>
      <c r="R266">
        <f t="shared" si="966"/>
        <v>-3861971664.2786226</v>
      </c>
      <c r="S266">
        <f t="shared" si="967"/>
        <v>-38619.716642786225</v>
      </c>
      <c r="T266">
        <f t="shared" si="968"/>
        <v>-38.619716642786223</v>
      </c>
    </row>
    <row r="267" spans="1:20" x14ac:dyDescent="0.25">
      <c r="A267" s="5">
        <v>44326</v>
      </c>
      <c r="B267">
        <v>5.2796999999999997E-2</v>
      </c>
      <c r="C267">
        <v>5.7436000000000001E-2</v>
      </c>
      <c r="D267">
        <v>4.7369000000000001E-2</v>
      </c>
      <c r="E267">
        <v>4.8980000000000003E-2</v>
      </c>
      <c r="F267">
        <v>404422732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-0.67994437270289032</v>
      </c>
      <c r="Q267">
        <f t="shared" si="965"/>
        <v>-274984960.81652915</v>
      </c>
      <c r="R267">
        <f t="shared" si="966"/>
        <v>-4059658838.7802162</v>
      </c>
      <c r="S267">
        <f t="shared" si="967"/>
        <v>-40596.588387802163</v>
      </c>
      <c r="T267">
        <f t="shared" si="968"/>
        <v>-40.596588387802164</v>
      </c>
    </row>
    <row r="268" spans="1:20" x14ac:dyDescent="0.25">
      <c r="A268" s="5">
        <v>44325</v>
      </c>
      <c r="B268">
        <v>5.3318999999999998E-2</v>
      </c>
      <c r="C268">
        <v>5.3318999999999998E-2</v>
      </c>
      <c r="D268">
        <v>4.9950000000000001E-2</v>
      </c>
      <c r="E268">
        <v>5.2726000000000002E-2</v>
      </c>
      <c r="F268">
        <v>214040114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0.64796675571386353</v>
      </c>
      <c r="Q268">
        <f t="shared" si="965"/>
        <v>138690878.26120549</v>
      </c>
      <c r="R268">
        <f t="shared" si="966"/>
        <v>-3784673877.9636869</v>
      </c>
      <c r="S268">
        <f t="shared" si="967"/>
        <v>-37846.738779636871</v>
      </c>
      <c r="T268">
        <f t="shared" si="968"/>
        <v>-37.846738779636873</v>
      </c>
    </row>
    <row r="269" spans="1:20" x14ac:dyDescent="0.25">
      <c r="A269" s="5">
        <v>44324</v>
      </c>
      <c r="B269">
        <v>5.3707999999999999E-2</v>
      </c>
      <c r="C269">
        <v>5.5625000000000001E-2</v>
      </c>
      <c r="D269">
        <v>5.2499999999999998E-2</v>
      </c>
      <c r="E269">
        <v>5.3322000000000001E-2</v>
      </c>
      <c r="F269">
        <v>228586931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-0.47391999999999834</v>
      </c>
      <c r="Q269">
        <f t="shared" si="965"/>
        <v>-108331918.33951962</v>
      </c>
      <c r="R269">
        <f t="shared" si="966"/>
        <v>-3923364756.2248926</v>
      </c>
      <c r="S269">
        <f t="shared" si="967"/>
        <v>-39233.647562248923</v>
      </c>
      <c r="T269">
        <f t="shared" si="968"/>
        <v>-39.233647562248926</v>
      </c>
    </row>
    <row r="270" spans="1:20" x14ac:dyDescent="0.25">
      <c r="A270" s="5">
        <v>44323</v>
      </c>
      <c r="B270">
        <v>5.2691000000000002E-2</v>
      </c>
      <c r="C270">
        <v>5.7496999999999999E-2</v>
      </c>
      <c r="D270">
        <v>5.0645000000000003E-2</v>
      </c>
      <c r="E270">
        <v>5.3612E-2</v>
      </c>
      <c r="F270">
        <v>350531439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-0.13397548161120879</v>
      </c>
      <c r="Q270">
        <f t="shared" si="965"/>
        <v>-46962618.359895051</v>
      </c>
      <c r="R270">
        <f t="shared" si="966"/>
        <v>-3815032837.8853731</v>
      </c>
      <c r="S270">
        <f t="shared" si="967"/>
        <v>-38150.32837885373</v>
      </c>
      <c r="T270">
        <f t="shared" si="968"/>
        <v>-38.150328378853729</v>
      </c>
    </row>
    <row r="271" spans="1:20" x14ac:dyDescent="0.25">
      <c r="A271" s="5">
        <v>44322</v>
      </c>
      <c r="B271">
        <v>5.7001999999999997E-2</v>
      </c>
      <c r="C271">
        <v>5.7241E-2</v>
      </c>
      <c r="D271">
        <v>5.1431999999999999E-2</v>
      </c>
      <c r="E271">
        <v>5.2699999999999997E-2</v>
      </c>
      <c r="F271">
        <v>382283957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-0.56343604751248133</v>
      </c>
      <c r="Q271">
        <f t="shared" si="965"/>
        <v>-215392561.75951138</v>
      </c>
      <c r="R271">
        <f t="shared" si="966"/>
        <v>-3768070219.5254779</v>
      </c>
      <c r="S271">
        <f t="shared" si="967"/>
        <v>-37680.70219525478</v>
      </c>
      <c r="T271">
        <f t="shared" si="968"/>
        <v>-37.680702195254781</v>
      </c>
    </row>
    <row r="272" spans="1:20" x14ac:dyDescent="0.25">
      <c r="A272" s="5">
        <v>44321</v>
      </c>
      <c r="B272">
        <v>5.3518999999999997E-2</v>
      </c>
      <c r="C272">
        <v>5.8999999999999997E-2</v>
      </c>
      <c r="D272">
        <v>5.3208999999999999E-2</v>
      </c>
      <c r="E272">
        <v>5.7001000000000003E-2</v>
      </c>
      <c r="F272">
        <v>361287033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0.30961837333794001</v>
      </c>
      <c r="Q272">
        <f t="shared" si="965"/>
        <v>111861103.46555065</v>
      </c>
      <c r="R272">
        <f t="shared" si="966"/>
        <v>-3552677657.7659664</v>
      </c>
      <c r="S272">
        <f t="shared" si="967"/>
        <v>-35526.776577659664</v>
      </c>
      <c r="T272">
        <f t="shared" si="968"/>
        <v>-35.526776577659668</v>
      </c>
    </row>
    <row r="273" spans="1:20" x14ac:dyDescent="0.25">
      <c r="A273" s="5">
        <v>44320</v>
      </c>
      <c r="B273">
        <v>6.1575999999999999E-2</v>
      </c>
      <c r="C273">
        <v>6.1658999999999999E-2</v>
      </c>
      <c r="D273">
        <v>5.3469000000000003E-2</v>
      </c>
      <c r="E273">
        <v>5.3504999999999997E-2</v>
      </c>
      <c r="F273">
        <v>439305997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-0.99120879120879257</v>
      </c>
      <c r="Q273">
        <f t="shared" si="965"/>
        <v>-435443966.25714344</v>
      </c>
      <c r="R273">
        <f t="shared" si="966"/>
        <v>-3664538761.2315168</v>
      </c>
      <c r="S273">
        <f t="shared" si="967"/>
        <v>-36645.387612315171</v>
      </c>
      <c r="T273">
        <f t="shared" si="968"/>
        <v>-36.645387612315169</v>
      </c>
    </row>
    <row r="274" spans="1:20" x14ac:dyDescent="0.25">
      <c r="A274" s="5">
        <v>44319</v>
      </c>
      <c r="B274">
        <v>6.3958000000000001E-2</v>
      </c>
      <c r="C274">
        <v>6.7299999999999999E-2</v>
      </c>
      <c r="D274">
        <v>6.0560000000000003E-2</v>
      </c>
      <c r="E274">
        <v>6.1461000000000002E-2</v>
      </c>
      <c r="F274">
        <v>484317864</v>
      </c>
      <c r="G274">
        <v>0</v>
      </c>
      <c r="L274" t="s">
        <v>8</v>
      </c>
      <c r="M274" t="s">
        <v>7</v>
      </c>
      <c r="N274" t="s">
        <v>7</v>
      </c>
      <c r="P274">
        <f t="shared" si="964"/>
        <v>-0.73264094955489623</v>
      </c>
      <c r="Q274">
        <f t="shared" si="965"/>
        <v>-354831099.76735908</v>
      </c>
      <c r="R274">
        <f t="shared" si="966"/>
        <v>-3229094794.9743733</v>
      </c>
      <c r="S274">
        <f t="shared" si="967"/>
        <v>-32290.947949743735</v>
      </c>
      <c r="T274">
        <f t="shared" si="968"/>
        <v>-32.290947949743732</v>
      </c>
    </row>
    <row r="275" spans="1:20" x14ac:dyDescent="0.25">
      <c r="A275" s="5">
        <v>44318</v>
      </c>
      <c r="B275">
        <v>6.5985000000000002E-2</v>
      </c>
      <c r="C275">
        <v>6.6014000000000003E-2</v>
      </c>
      <c r="D275">
        <v>6.0419E-2</v>
      </c>
      <c r="E275">
        <v>6.3836000000000004E-2</v>
      </c>
      <c r="F275">
        <v>460938464</v>
      </c>
      <c r="G275">
        <v>0</v>
      </c>
      <c r="L275" t="s">
        <v>7</v>
      </c>
      <c r="M275" t="s">
        <v>7</v>
      </c>
      <c r="N275" t="s">
        <v>7</v>
      </c>
      <c r="P275">
        <f t="shared" si="964"/>
        <v>0.22144772117962527</v>
      </c>
      <c r="Q275">
        <f t="shared" si="965"/>
        <v>102073772.45683675</v>
      </c>
      <c r="R275">
        <f t="shared" si="966"/>
        <v>-2874263695.2070141</v>
      </c>
      <c r="S275">
        <f t="shared" si="967"/>
        <v>-28742.636952070141</v>
      </c>
      <c r="T275">
        <f t="shared" si="968"/>
        <v>-28.742636952070139</v>
      </c>
    </row>
    <row r="276" spans="1:20" x14ac:dyDescent="0.25">
      <c r="A276" s="5">
        <v>44317</v>
      </c>
      <c r="B276">
        <v>7.9030000000000003E-2</v>
      </c>
      <c r="C276">
        <v>7.9119999999999996E-2</v>
      </c>
      <c r="D276">
        <v>6.5021999999999996E-2</v>
      </c>
      <c r="E276">
        <v>6.5985000000000002E-2</v>
      </c>
      <c r="F276">
        <v>881071185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-0.86338487728755775</v>
      </c>
      <c r="Q276">
        <f t="shared" si="965"/>
        <v>-760703536.94282806</v>
      </c>
      <c r="R276">
        <f t="shared" si="966"/>
        <v>-2976337467.6638508</v>
      </c>
      <c r="S276">
        <f t="shared" si="967"/>
        <v>-29763.374676638508</v>
      </c>
      <c r="T276">
        <f t="shared" si="968"/>
        <v>-29.763374676638509</v>
      </c>
    </row>
    <row r="277" spans="1:20" x14ac:dyDescent="0.25">
      <c r="A277" s="5">
        <v>44316</v>
      </c>
      <c r="B277">
        <v>5.1549999999999999E-2</v>
      </c>
      <c r="C277">
        <v>8.5599999999999996E-2</v>
      </c>
      <c r="D277">
        <v>5.1547999999999997E-2</v>
      </c>
      <c r="E277">
        <v>7.9000000000000001E-2</v>
      </c>
      <c r="F277">
        <v>3824337813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0.61235757077411046</v>
      </c>
      <c r="Q277">
        <f t="shared" si="965"/>
        <v>2341862212.9882545</v>
      </c>
      <c r="R277">
        <f t="shared" si="966"/>
        <v>-2215633930.7210226</v>
      </c>
      <c r="S277">
        <f t="shared" si="967"/>
        <v>-22156.339307210226</v>
      </c>
      <c r="T277">
        <f t="shared" si="968"/>
        <v>-22.156339307210228</v>
      </c>
    </row>
    <row r="278" spans="1:20" x14ac:dyDescent="0.25">
      <c r="A278" s="5">
        <v>44315</v>
      </c>
      <c r="B278">
        <v>4.8864999999999999E-2</v>
      </c>
      <c r="C278">
        <v>5.3739000000000002E-2</v>
      </c>
      <c r="D278">
        <v>4.8672E-2</v>
      </c>
      <c r="E278">
        <v>5.1737999999999999E-2</v>
      </c>
      <c r="F278">
        <v>469931099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0.21018354055654156</v>
      </c>
      <c r="Q278">
        <f t="shared" si="965"/>
        <v>98771782.205446646</v>
      </c>
      <c r="R278">
        <f t="shared" si="966"/>
        <v>-4557496143.7092772</v>
      </c>
      <c r="S278">
        <f t="shared" si="967"/>
        <v>-45574.961437092774</v>
      </c>
      <c r="T278">
        <f t="shared" si="968"/>
        <v>-45.574961437092774</v>
      </c>
    </row>
    <row r="279" spans="1:20" x14ac:dyDescent="0.25">
      <c r="A279" s="5">
        <v>44314</v>
      </c>
      <c r="B279">
        <v>5.1487999999999999E-2</v>
      </c>
      <c r="C279">
        <v>5.1784999999999998E-2</v>
      </c>
      <c r="D279">
        <v>4.4363E-2</v>
      </c>
      <c r="E279">
        <v>4.8867000000000001E-2</v>
      </c>
      <c r="F279">
        <v>519190598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0.21368903260576724</v>
      </c>
      <c r="Q279">
        <f t="shared" si="965"/>
        <v>110945336.6246298</v>
      </c>
      <c r="R279">
        <f t="shared" si="966"/>
        <v>-4656267925.9147234</v>
      </c>
      <c r="S279">
        <f t="shared" si="967"/>
        <v>-46562.679259147233</v>
      </c>
      <c r="T279">
        <f t="shared" si="968"/>
        <v>-46.562679259147231</v>
      </c>
    </row>
    <row r="280" spans="1:20" x14ac:dyDescent="0.25">
      <c r="A280" s="5">
        <v>44313</v>
      </c>
      <c r="B280">
        <v>4.3957999999999997E-2</v>
      </c>
      <c r="C280">
        <v>5.2762000000000003E-2</v>
      </c>
      <c r="D280">
        <v>4.2561000000000002E-2</v>
      </c>
      <c r="E280">
        <v>5.1499999999999997E-2</v>
      </c>
      <c r="F280">
        <v>543358141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0.75257327712969202</v>
      </c>
      <c r="Q280">
        <f t="shared" si="965"/>
        <v>408916816.82746726</v>
      </c>
      <c r="R280">
        <f t="shared" si="966"/>
        <v>-4767213262.5393534</v>
      </c>
      <c r="S280">
        <f t="shared" si="967"/>
        <v>-47672.132625393533</v>
      </c>
      <c r="T280">
        <f t="shared" si="968"/>
        <v>-47.67213262539353</v>
      </c>
    </row>
    <row r="281" spans="1:20" x14ac:dyDescent="0.25">
      <c r="A281" s="5">
        <v>44312</v>
      </c>
      <c r="B281">
        <v>3.3658E-2</v>
      </c>
      <c r="C281">
        <v>4.5999999999999999E-2</v>
      </c>
      <c r="D281">
        <v>3.3161999999999997E-2</v>
      </c>
      <c r="E281">
        <v>4.4005000000000002E-2</v>
      </c>
      <c r="F281">
        <v>434468357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0.68920392584514778</v>
      </c>
      <c r="Q281">
        <f t="shared" si="965"/>
        <v>299437297.29989117</v>
      </c>
      <c r="R281">
        <f t="shared" si="966"/>
        <v>-5176130079.3668203</v>
      </c>
      <c r="S281">
        <f t="shared" si="967"/>
        <v>-51761.300793668204</v>
      </c>
      <c r="T281">
        <f t="shared" si="968"/>
        <v>-51.761300793668205</v>
      </c>
    </row>
    <row r="282" spans="1:20" x14ac:dyDescent="0.25">
      <c r="A282" s="5">
        <v>44311</v>
      </c>
      <c r="B282">
        <v>3.5229000000000003E-2</v>
      </c>
      <c r="C282">
        <v>3.7183000000000001E-2</v>
      </c>
      <c r="D282">
        <v>3.1354E-2</v>
      </c>
      <c r="E282">
        <v>3.3656999999999999E-2</v>
      </c>
      <c r="F282">
        <v>194815425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-0.20981300394578858</v>
      </c>
      <c r="Q282">
        <f t="shared" si="965"/>
        <v>-40874809.534225479</v>
      </c>
      <c r="R282">
        <f t="shared" si="966"/>
        <v>-5475567376.6667118</v>
      </c>
      <c r="S282">
        <f t="shared" si="967"/>
        <v>-54755.673766667118</v>
      </c>
      <c r="T282">
        <f t="shared" si="968"/>
        <v>-54.755673766667115</v>
      </c>
    </row>
    <row r="283" spans="1:20" x14ac:dyDescent="0.25">
      <c r="A283" s="5">
        <v>44310</v>
      </c>
      <c r="B283">
        <v>3.7870000000000001E-2</v>
      </c>
      <c r="C283">
        <v>3.8865999999999998E-2</v>
      </c>
      <c r="D283">
        <v>3.5201000000000003E-2</v>
      </c>
      <c r="E283">
        <v>3.5229000000000003E-2</v>
      </c>
      <c r="F283">
        <v>208629905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-0.98472032742155513</v>
      </c>
      <c r="Q283">
        <f t="shared" si="965"/>
        <v>-205442108.36152795</v>
      </c>
      <c r="R283">
        <f t="shared" si="966"/>
        <v>-5434692567.1324863</v>
      </c>
      <c r="S283">
        <f t="shared" si="967"/>
        <v>-54346.925671324861</v>
      </c>
      <c r="T283">
        <f t="shared" si="968"/>
        <v>-54.346925671324861</v>
      </c>
    </row>
    <row r="284" spans="1:20" x14ac:dyDescent="0.25">
      <c r="A284" s="5">
        <v>44309</v>
      </c>
      <c r="B284">
        <v>3.8137999999999998E-2</v>
      </c>
      <c r="C284">
        <v>4.0516999999999997E-2</v>
      </c>
      <c r="D284">
        <v>3.1696000000000002E-2</v>
      </c>
      <c r="E284">
        <v>3.7870000000000001E-2</v>
      </c>
      <c r="F284">
        <v>396033239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0.39984128783584677</v>
      </c>
      <c r="Q284">
        <f t="shared" si="965"/>
        <v>158350440.3075617</v>
      </c>
      <c r="R284">
        <f t="shared" si="966"/>
        <v>-5229250458.7709579</v>
      </c>
      <c r="S284">
        <f t="shared" si="967"/>
        <v>-52292.504587709576</v>
      </c>
      <c r="T284">
        <f t="shared" si="968"/>
        <v>-52.29250458770958</v>
      </c>
    </row>
    <row r="285" spans="1:20" x14ac:dyDescent="0.25">
      <c r="A285" s="5">
        <v>44308</v>
      </c>
      <c r="B285">
        <v>4.0797E-2</v>
      </c>
      <c r="C285">
        <v>4.2973999999999998E-2</v>
      </c>
      <c r="D285">
        <v>3.8100000000000002E-2</v>
      </c>
      <c r="E285">
        <v>3.8136999999999997E-2</v>
      </c>
      <c r="F285">
        <v>240820228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-0.9848173984407077</v>
      </c>
      <c r="Q285">
        <f t="shared" si="965"/>
        <v>-237163950.43085808</v>
      </c>
      <c r="R285">
        <f t="shared" si="966"/>
        <v>-5387600899.0785198</v>
      </c>
      <c r="S285">
        <f t="shared" si="967"/>
        <v>-53876.008990785202</v>
      </c>
      <c r="T285">
        <f t="shared" si="968"/>
        <v>-53.876008990785202</v>
      </c>
    </row>
    <row r="286" spans="1:20" x14ac:dyDescent="0.25">
      <c r="A286" s="5">
        <v>44307</v>
      </c>
      <c r="B286">
        <v>4.3207000000000002E-2</v>
      </c>
      <c r="C286">
        <v>4.4660999999999999E-2</v>
      </c>
      <c r="D286">
        <v>4.0774999999999999E-2</v>
      </c>
      <c r="E286">
        <v>4.0776E-2</v>
      </c>
      <c r="F286">
        <v>218266872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-0.99948533196088474</v>
      </c>
      <c r="Q286">
        <f t="shared" si="965"/>
        <v>-218154537.01698393</v>
      </c>
      <c r="R286">
        <f t="shared" si="966"/>
        <v>-5150436948.6476622</v>
      </c>
      <c r="S286">
        <f t="shared" si="967"/>
        <v>-51504.369486476622</v>
      </c>
      <c r="T286">
        <f t="shared" si="968"/>
        <v>-51.504369486476619</v>
      </c>
    </row>
    <row r="287" spans="1:20" x14ac:dyDescent="0.25">
      <c r="A287" s="5">
        <v>44306</v>
      </c>
      <c r="B287">
        <v>4.3553000000000001E-2</v>
      </c>
      <c r="C287">
        <v>4.5999999999999999E-2</v>
      </c>
      <c r="D287">
        <v>3.9856000000000003E-2</v>
      </c>
      <c r="E287">
        <v>4.3161999999999999E-2</v>
      </c>
      <c r="F287">
        <v>260587373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7.6171874999999417E-2</v>
      </c>
      <c r="Q287">
        <f t="shared" si="965"/>
        <v>19849428.802734222</v>
      </c>
      <c r="R287">
        <f t="shared" si="966"/>
        <v>-4932282411.6306782</v>
      </c>
      <c r="S287">
        <f t="shared" si="967"/>
        <v>-49322.82411630678</v>
      </c>
      <c r="T287">
        <f t="shared" si="968"/>
        <v>-49.322824116306776</v>
      </c>
    </row>
    <row r="288" spans="1:20" x14ac:dyDescent="0.25">
      <c r="A288" s="5">
        <v>44305</v>
      </c>
      <c r="B288">
        <v>4.2673999999999997E-2</v>
      </c>
      <c r="C288">
        <v>4.7E-2</v>
      </c>
      <c r="D288">
        <v>4.1000000000000002E-2</v>
      </c>
      <c r="E288">
        <v>4.3552E-2</v>
      </c>
      <c r="F288">
        <v>279537953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-0.14933333333333354</v>
      </c>
      <c r="Q288">
        <f t="shared" si="965"/>
        <v>-41744334.314666726</v>
      </c>
      <c r="R288">
        <f t="shared" si="966"/>
        <v>-4952131840.4334126</v>
      </c>
      <c r="S288">
        <f t="shared" si="967"/>
        <v>-49521.318404334124</v>
      </c>
      <c r="T288">
        <f t="shared" si="968"/>
        <v>-49.521318404334124</v>
      </c>
    </row>
    <row r="289" spans="1:20" x14ac:dyDescent="0.25">
      <c r="A289" s="5">
        <v>44304</v>
      </c>
      <c r="B289">
        <v>4.9597000000000002E-2</v>
      </c>
      <c r="C289">
        <v>4.9993000000000003E-2</v>
      </c>
      <c r="D289">
        <v>3.9565999999999997E-2</v>
      </c>
      <c r="E289">
        <v>4.2726E-2</v>
      </c>
      <c r="F289">
        <v>310122474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-0.39388126978037763</v>
      </c>
      <c r="Q289">
        <f t="shared" si="965"/>
        <v>-122151433.84655215</v>
      </c>
      <c r="R289">
        <f t="shared" si="966"/>
        <v>-4910387506.1187458</v>
      </c>
      <c r="S289">
        <f t="shared" si="967"/>
        <v>-49103.875061187457</v>
      </c>
      <c r="T289">
        <f t="shared" si="968"/>
        <v>-49.103875061187459</v>
      </c>
    </row>
    <row r="290" spans="1:20" x14ac:dyDescent="0.25">
      <c r="A290" s="5">
        <v>44303</v>
      </c>
      <c r="B290">
        <v>4.9128999999999999E-2</v>
      </c>
      <c r="C290">
        <v>5.2706000000000003E-2</v>
      </c>
      <c r="D290">
        <v>4.8520000000000001E-2</v>
      </c>
      <c r="E290">
        <v>4.9561000000000001E-2</v>
      </c>
      <c r="F290">
        <v>264744909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-0.50262780697563325</v>
      </c>
      <c r="Q290">
        <f t="shared" si="965"/>
        <v>-133068153.01863359</v>
      </c>
      <c r="R290">
        <f t="shared" si="966"/>
        <v>-4788236072.2721939</v>
      </c>
      <c r="S290">
        <f t="shared" si="967"/>
        <v>-47882.36072272194</v>
      </c>
      <c r="T290">
        <f t="shared" si="968"/>
        <v>-47.882360722721941</v>
      </c>
    </row>
    <row r="291" spans="1:20" x14ac:dyDescent="0.25">
      <c r="A291" s="5">
        <v>44302</v>
      </c>
      <c r="B291">
        <v>5.2069999999999998E-2</v>
      </c>
      <c r="C291">
        <v>5.2089000000000003E-2</v>
      </c>
      <c r="D291">
        <v>4.7509999999999997E-2</v>
      </c>
      <c r="E291">
        <v>4.9102E-2</v>
      </c>
      <c r="F291">
        <v>283241466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-0.30465167067045174</v>
      </c>
      <c r="Q291">
        <f t="shared" si="965"/>
        <v>-86289985.82004796</v>
      </c>
      <c r="R291">
        <f t="shared" si="966"/>
        <v>-4655167919.2535601</v>
      </c>
      <c r="S291">
        <f t="shared" si="967"/>
        <v>-46551.679192535601</v>
      </c>
      <c r="T291">
        <f t="shared" si="968"/>
        <v>-46.551679192535602</v>
      </c>
    </row>
    <row r="292" spans="1:20" x14ac:dyDescent="0.25">
      <c r="A292" s="5">
        <v>44301</v>
      </c>
      <c r="B292">
        <v>4.7701E-2</v>
      </c>
      <c r="C292">
        <v>5.4487000000000001E-2</v>
      </c>
      <c r="D292">
        <v>4.7364000000000003E-2</v>
      </c>
      <c r="E292">
        <v>5.2075999999999997E-2</v>
      </c>
      <c r="F292">
        <v>299245417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0.32303804576723172</v>
      </c>
      <c r="Q292">
        <f t="shared" si="965"/>
        <v>96667654.712480336</v>
      </c>
      <c r="R292">
        <f t="shared" si="966"/>
        <v>-4568877933.4335117</v>
      </c>
      <c r="S292">
        <f t="shared" si="967"/>
        <v>-45688.779334335115</v>
      </c>
      <c r="T292">
        <f t="shared" si="968"/>
        <v>-45.688779334335116</v>
      </c>
    </row>
    <row r="293" spans="1:20" x14ac:dyDescent="0.25">
      <c r="A293" s="5">
        <v>44300</v>
      </c>
      <c r="B293">
        <v>4.7099000000000002E-2</v>
      </c>
      <c r="C293">
        <v>5.0449000000000001E-2</v>
      </c>
      <c r="D293">
        <v>4.6204000000000002E-2</v>
      </c>
      <c r="E293">
        <v>4.7667000000000001E-2</v>
      </c>
      <c r="F293">
        <v>213691636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-0.31071849234393428</v>
      </c>
      <c r="Q293">
        <f t="shared" si="965"/>
        <v>-66397942.96442879</v>
      </c>
      <c r="R293">
        <f t="shared" si="966"/>
        <v>-4665545588.1459923</v>
      </c>
      <c r="S293">
        <f t="shared" si="967"/>
        <v>-46655.455881459922</v>
      </c>
      <c r="T293">
        <f t="shared" si="968"/>
        <v>-46.655455881459922</v>
      </c>
    </row>
    <row r="294" spans="1:20" x14ac:dyDescent="0.25">
      <c r="A294" s="5">
        <v>44299</v>
      </c>
      <c r="B294">
        <v>4.8752999999999998E-2</v>
      </c>
      <c r="C294">
        <v>4.9058999999999998E-2</v>
      </c>
      <c r="D294">
        <v>4.5803999999999997E-2</v>
      </c>
      <c r="E294">
        <v>4.7101999999999998E-2</v>
      </c>
      <c r="F294">
        <v>171042140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-0.20245775729646687</v>
      </c>
      <c r="Q294">
        <f t="shared" si="965"/>
        <v>-34628808.067588307</v>
      </c>
      <c r="R294">
        <f t="shared" si="966"/>
        <v>-4599147645.1815634</v>
      </c>
      <c r="S294">
        <f t="shared" si="967"/>
        <v>-45991.476451815637</v>
      </c>
      <c r="T294">
        <f t="shared" si="968"/>
        <v>-45.991476451815636</v>
      </c>
    </row>
    <row r="295" spans="1:20" x14ac:dyDescent="0.25">
      <c r="A295" s="5">
        <v>44298</v>
      </c>
      <c r="B295">
        <v>5.0312000000000003E-2</v>
      </c>
      <c r="C295">
        <v>5.1450999999999997E-2</v>
      </c>
      <c r="D295">
        <v>4.8529000000000003E-2</v>
      </c>
      <c r="E295">
        <v>4.8662999999999998E-2</v>
      </c>
      <c r="F295">
        <v>91029533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-0.90828199863107772</v>
      </c>
      <c r="Q295">
        <f t="shared" si="965"/>
        <v>-82680486.167693645</v>
      </c>
      <c r="R295">
        <f t="shared" si="966"/>
        <v>-4564518837.1139755</v>
      </c>
      <c r="S295">
        <f t="shared" si="967"/>
        <v>-45645.188371139753</v>
      </c>
      <c r="T295">
        <f t="shared" si="968"/>
        <v>-45.645188371139753</v>
      </c>
    </row>
    <row r="296" spans="1:20" x14ac:dyDescent="0.25">
      <c r="A296" s="5">
        <v>44297</v>
      </c>
      <c r="B296">
        <v>4.9929000000000001E-2</v>
      </c>
      <c r="C296">
        <v>5.1783000000000003E-2</v>
      </c>
      <c r="D296">
        <v>4.8631000000000001E-2</v>
      </c>
      <c r="E296">
        <v>5.0201999999999997E-2</v>
      </c>
      <c r="F296">
        <v>105676391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-3.1725888324904807E-3</v>
      </c>
      <c r="Q296">
        <f t="shared" si="965"/>
        <v>-335267.73794449755</v>
      </c>
      <c r="R296">
        <f t="shared" si="966"/>
        <v>-4481838350.9462814</v>
      </c>
      <c r="S296">
        <f t="shared" si="967"/>
        <v>-44818.383509462816</v>
      </c>
      <c r="T296">
        <f t="shared" si="968"/>
        <v>-44.818383509462812</v>
      </c>
    </row>
    <row r="297" spans="1:20" x14ac:dyDescent="0.25">
      <c r="A297" s="5">
        <v>44296</v>
      </c>
      <c r="B297">
        <v>5.2656000000000001E-2</v>
      </c>
      <c r="C297">
        <v>5.4759000000000002E-2</v>
      </c>
      <c r="D297">
        <v>4.8585000000000003E-2</v>
      </c>
      <c r="E297">
        <v>0.05</v>
      </c>
      <c r="F297">
        <v>193901162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-0.54162617427923554</v>
      </c>
      <c r="Q297">
        <f t="shared" si="965"/>
        <v>-105021944.56235829</v>
      </c>
      <c r="R297">
        <f t="shared" si="966"/>
        <v>-4481503083.2083368</v>
      </c>
      <c r="S297">
        <f t="shared" si="967"/>
        <v>-44815.030832083372</v>
      </c>
      <c r="T297">
        <f t="shared" si="968"/>
        <v>-44.815030832083373</v>
      </c>
    </row>
    <row r="298" spans="1:20" x14ac:dyDescent="0.25">
      <c r="A298" s="5">
        <v>44295</v>
      </c>
      <c r="B298">
        <v>4.8823999999999999E-2</v>
      </c>
      <c r="C298">
        <v>5.7721000000000001E-2</v>
      </c>
      <c r="D298">
        <v>4.8548000000000001E-2</v>
      </c>
      <c r="E298">
        <v>5.2657000000000002E-2</v>
      </c>
      <c r="F298">
        <v>331507599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-0.10410988771394282</v>
      </c>
      <c r="Q298">
        <f t="shared" si="965"/>
        <v>-34513218.90820878</v>
      </c>
      <c r="R298">
        <f t="shared" si="966"/>
        <v>-4376481138.6459789</v>
      </c>
      <c r="S298">
        <f t="shared" si="967"/>
        <v>-43764.811386459791</v>
      </c>
      <c r="T298">
        <f t="shared" si="968"/>
        <v>-43.76481138645979</v>
      </c>
    </row>
    <row r="299" spans="1:20" x14ac:dyDescent="0.25">
      <c r="A299" s="5">
        <v>44294</v>
      </c>
      <c r="B299">
        <v>4.5995000000000001E-2</v>
      </c>
      <c r="C299">
        <v>5.0999999999999997E-2</v>
      </c>
      <c r="D299">
        <v>4.5760000000000002E-2</v>
      </c>
      <c r="E299">
        <v>4.8839E-2</v>
      </c>
      <c r="F299">
        <v>144968431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0.17519083969465707</v>
      </c>
      <c r="Q299">
        <f t="shared" si="965"/>
        <v>25397141.156106953</v>
      </c>
      <c r="R299">
        <f t="shared" si="966"/>
        <v>-4341967919.7377701</v>
      </c>
      <c r="S299">
        <f t="shared" si="967"/>
        <v>-43419.6791973777</v>
      </c>
      <c r="T299">
        <f t="shared" si="968"/>
        <v>-43.419679197377697</v>
      </c>
    </row>
    <row r="300" spans="1:20" x14ac:dyDescent="0.25">
      <c r="A300" s="5">
        <v>44293</v>
      </c>
      <c r="B300">
        <v>5.2186999999999997E-2</v>
      </c>
      <c r="C300">
        <v>5.2676000000000001E-2</v>
      </c>
      <c r="D300">
        <v>4.3497000000000001E-2</v>
      </c>
      <c r="E300">
        <v>4.5990999999999997E-2</v>
      </c>
      <c r="F300">
        <v>307287624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-0.45658568471511141</v>
      </c>
      <c r="Q300">
        <f t="shared" si="965"/>
        <v>-140303130.2085197</v>
      </c>
      <c r="R300">
        <f t="shared" si="966"/>
        <v>-4367365060.893877</v>
      </c>
      <c r="S300">
        <f t="shared" si="967"/>
        <v>-43673.650608938769</v>
      </c>
      <c r="T300">
        <f t="shared" si="968"/>
        <v>-43.673650608938772</v>
      </c>
    </row>
    <row r="301" spans="1:20" x14ac:dyDescent="0.25">
      <c r="A301" s="5">
        <v>44292</v>
      </c>
      <c r="B301">
        <v>4.9256000000000001E-2</v>
      </c>
      <c r="C301">
        <v>5.4300000000000001E-2</v>
      </c>
      <c r="D301">
        <v>4.8759999999999998E-2</v>
      </c>
      <c r="E301">
        <v>5.2186999999999997E-2</v>
      </c>
      <c r="F301">
        <v>323594571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0.2371841155234648</v>
      </c>
      <c r="Q301">
        <f t="shared" si="965"/>
        <v>76751492.110830039</v>
      </c>
      <c r="R301">
        <f t="shared" si="966"/>
        <v>-4227061930.6853576</v>
      </c>
      <c r="S301">
        <f t="shared" si="967"/>
        <v>-42270.619306853572</v>
      </c>
      <c r="T301">
        <f t="shared" si="968"/>
        <v>-42.270619306853575</v>
      </c>
    </row>
    <row r="302" spans="1:20" x14ac:dyDescent="0.25">
      <c r="A302" s="5">
        <v>44291</v>
      </c>
      <c r="B302">
        <v>5.0991000000000002E-2</v>
      </c>
      <c r="C302">
        <v>5.2877E-2</v>
      </c>
      <c r="D302">
        <v>4.8527000000000001E-2</v>
      </c>
      <c r="E302">
        <v>4.9414E-2</v>
      </c>
      <c r="F302">
        <v>240355780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-0.59218390804597754</v>
      </c>
      <c r="Q302">
        <f t="shared" si="965"/>
        <v>-142334825.1218392</v>
      </c>
      <c r="R302">
        <f t="shared" si="966"/>
        <v>-4303813422.7961874</v>
      </c>
      <c r="S302">
        <f t="shared" si="967"/>
        <v>-43038.134227961877</v>
      </c>
      <c r="T302">
        <f t="shared" si="968"/>
        <v>-43.038134227961876</v>
      </c>
    </row>
    <row r="303" spans="1:20" x14ac:dyDescent="0.25">
      <c r="A303" s="5">
        <v>44290</v>
      </c>
      <c r="B303">
        <v>5.1679000000000003E-2</v>
      </c>
      <c r="C303">
        <v>5.663E-2</v>
      </c>
      <c r="D303">
        <v>4.9780999999999999E-2</v>
      </c>
      <c r="E303">
        <v>5.0899E-2</v>
      </c>
      <c r="F303">
        <v>394952796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-0.67352898233318714</v>
      </c>
      <c r="Q303">
        <f t="shared" si="965"/>
        <v>-266012154.75952688</v>
      </c>
      <c r="R303">
        <f t="shared" si="966"/>
        <v>-4161478597.6743484</v>
      </c>
      <c r="S303">
        <f t="shared" si="967"/>
        <v>-41614.785976743486</v>
      </c>
      <c r="T303">
        <f t="shared" si="968"/>
        <v>-41.614785976743484</v>
      </c>
    </row>
    <row r="304" spans="1:20" x14ac:dyDescent="0.25">
      <c r="A304" s="5">
        <v>44289</v>
      </c>
      <c r="B304">
        <v>5.0270000000000002E-2</v>
      </c>
      <c r="C304">
        <v>5.7000000000000002E-2</v>
      </c>
      <c r="D304">
        <v>4.8920999999999999E-2</v>
      </c>
      <c r="E304">
        <v>5.1683E-2</v>
      </c>
      <c r="F304">
        <v>529818176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-0.31625201138754805</v>
      </c>
      <c r="Q304">
        <f t="shared" si="965"/>
        <v>-167556063.82968193</v>
      </c>
      <c r="R304">
        <f t="shared" si="966"/>
        <v>-3895466442.9148216</v>
      </c>
      <c r="S304">
        <f t="shared" si="967"/>
        <v>-38954.664429148215</v>
      </c>
      <c r="T304">
        <f t="shared" si="968"/>
        <v>-38.954664429148217</v>
      </c>
    </row>
    <row r="305" spans="1:20" x14ac:dyDescent="0.25">
      <c r="A305" s="5">
        <v>44288</v>
      </c>
      <c r="B305">
        <v>4.8087999999999999E-2</v>
      </c>
      <c r="C305">
        <v>5.4448999999999997E-2</v>
      </c>
      <c r="D305">
        <v>4.8080999999999999E-2</v>
      </c>
      <c r="E305">
        <v>5.0270000000000002E-2</v>
      </c>
      <c r="F305">
        <v>355985329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-0.31249999999999878</v>
      </c>
      <c r="Q305">
        <f t="shared" si="965"/>
        <v>-111245415.31249957</v>
      </c>
      <c r="R305">
        <f t="shared" si="966"/>
        <v>-3727910379.0851398</v>
      </c>
      <c r="S305">
        <f t="shared" si="967"/>
        <v>-37279.103790851397</v>
      </c>
      <c r="T305">
        <f t="shared" si="968"/>
        <v>-37.279103790851394</v>
      </c>
    </row>
    <row r="306" spans="1:20" x14ac:dyDescent="0.25">
      <c r="A306" s="5">
        <v>44287</v>
      </c>
      <c r="B306">
        <v>4.5615000000000003E-2</v>
      </c>
      <c r="C306">
        <v>4.9902000000000002E-2</v>
      </c>
      <c r="D306">
        <v>4.3644000000000002E-2</v>
      </c>
      <c r="E306">
        <v>4.8175999999999997E-2</v>
      </c>
      <c r="F306">
        <v>385652864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0.44838606583572854</v>
      </c>
      <c r="Q306">
        <f t="shared" si="965"/>
        <v>172921370.46724126</v>
      </c>
      <c r="R306">
        <f t="shared" si="966"/>
        <v>-3616664963.7726402</v>
      </c>
      <c r="S306">
        <f t="shared" si="967"/>
        <v>-36166.649637726405</v>
      </c>
      <c r="T306">
        <f t="shared" si="968"/>
        <v>-36.166649637726408</v>
      </c>
    </row>
    <row r="307" spans="1:20" x14ac:dyDescent="0.25">
      <c r="A307" s="5">
        <v>44286</v>
      </c>
      <c r="B307">
        <v>4.8444000000000001E-2</v>
      </c>
      <c r="C307">
        <v>4.8499E-2</v>
      </c>
      <c r="D307">
        <v>4.2978000000000002E-2</v>
      </c>
      <c r="E307">
        <v>4.5573000000000002E-2</v>
      </c>
      <c r="F307">
        <v>302582568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-5.9952907082050005E-2</v>
      </c>
      <c r="Q307">
        <f t="shared" si="965"/>
        <v>-18140704.583952077</v>
      </c>
      <c r="R307">
        <f t="shared" si="966"/>
        <v>-3789586334.2398815</v>
      </c>
      <c r="S307">
        <f t="shared" si="967"/>
        <v>-37895.863342398814</v>
      </c>
      <c r="T307">
        <f t="shared" si="968"/>
        <v>-37.895863342398812</v>
      </c>
    </row>
    <row r="308" spans="1:20" x14ac:dyDescent="0.25">
      <c r="A308" s="5">
        <v>44285</v>
      </c>
      <c r="B308">
        <v>4.2386E-2</v>
      </c>
      <c r="C308">
        <v>4.9700000000000001E-2</v>
      </c>
      <c r="D308">
        <v>4.1722000000000002E-2</v>
      </c>
      <c r="E308">
        <v>4.8446999999999997E-2</v>
      </c>
      <c r="F308">
        <v>329513435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0.68588618701428827</v>
      </c>
      <c r="Q308">
        <f t="shared" si="965"/>
        <v>226008713.50213051</v>
      </c>
      <c r="R308">
        <f t="shared" si="966"/>
        <v>-3771445629.6559296</v>
      </c>
      <c r="S308">
        <f t="shared" si="967"/>
        <v>-37714.456296559292</v>
      </c>
      <c r="T308">
        <f t="shared" si="968"/>
        <v>-37.714456296559291</v>
      </c>
    </row>
    <row r="309" spans="1:20" x14ac:dyDescent="0.25">
      <c r="A309" s="5">
        <v>44284</v>
      </c>
      <c r="B309">
        <v>4.1423000000000001E-2</v>
      </c>
      <c r="C309">
        <v>4.3804000000000003E-2</v>
      </c>
      <c r="D309">
        <v>4.02E-2</v>
      </c>
      <c r="E309">
        <v>4.2387000000000001E-2</v>
      </c>
      <c r="F309">
        <v>125930754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0.2136514983351829</v>
      </c>
      <c r="Q309">
        <f t="shared" si="965"/>
        <v>26905294.278579328</v>
      </c>
      <c r="R309">
        <f t="shared" si="966"/>
        <v>-3997454343.1580601</v>
      </c>
      <c r="S309">
        <f t="shared" si="967"/>
        <v>-39974.543431580598</v>
      </c>
      <c r="T309">
        <f t="shared" si="968"/>
        <v>-39.974543431580599</v>
      </c>
    </row>
    <row r="310" spans="1:20" x14ac:dyDescent="0.25">
      <c r="A310" s="5">
        <v>44283</v>
      </c>
      <c r="B310">
        <v>4.1075E-2</v>
      </c>
      <c r="C310">
        <v>4.3061000000000002E-2</v>
      </c>
      <c r="D310">
        <v>4.0154000000000002E-2</v>
      </c>
      <c r="E310">
        <v>4.1426999999999999E-2</v>
      </c>
      <c r="F310">
        <v>219821780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-0.12418300653595017</v>
      </c>
      <c r="Q310">
        <f t="shared" si="965"/>
        <v>-27298129.542484201</v>
      </c>
      <c r="R310">
        <f t="shared" si="966"/>
        <v>-4024359637.4366393</v>
      </c>
      <c r="S310">
        <f t="shared" si="967"/>
        <v>-40243.596374366396</v>
      </c>
      <c r="T310">
        <f t="shared" si="968"/>
        <v>-40.243596374366398</v>
      </c>
    </row>
    <row r="311" spans="1:20" x14ac:dyDescent="0.25">
      <c r="A311" s="5">
        <v>44282</v>
      </c>
      <c r="B311">
        <v>4.0492E-2</v>
      </c>
      <c r="C311">
        <v>4.1199E-2</v>
      </c>
      <c r="D311">
        <v>3.85E-2</v>
      </c>
      <c r="E311">
        <v>4.1070000000000002E-2</v>
      </c>
      <c r="F311">
        <v>109061972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0.90440904038532999</v>
      </c>
      <c r="Q311">
        <f t="shared" si="965"/>
        <v>98636633.439051732</v>
      </c>
      <c r="R311">
        <f t="shared" si="966"/>
        <v>-3997061507.894155</v>
      </c>
      <c r="S311">
        <f t="shared" si="967"/>
        <v>-39970.615078941548</v>
      </c>
      <c r="T311">
        <f t="shared" si="968"/>
        <v>-39.970615078941549</v>
      </c>
    </row>
    <row r="312" spans="1:20" x14ac:dyDescent="0.25">
      <c r="A312" s="5">
        <v>44281</v>
      </c>
      <c r="B312">
        <v>3.6714999999999998E-2</v>
      </c>
      <c r="C312">
        <v>4.2000000000000003E-2</v>
      </c>
      <c r="D312">
        <v>3.6663000000000001E-2</v>
      </c>
      <c r="E312">
        <v>4.0510999999999998E-2</v>
      </c>
      <c r="F312">
        <v>125117232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0.44200861907438493</v>
      </c>
      <c r="Q312">
        <f t="shared" si="965"/>
        <v>55302894.938729443</v>
      </c>
      <c r="R312">
        <f t="shared" si="966"/>
        <v>-4095698141.3332067</v>
      </c>
      <c r="S312">
        <f t="shared" si="967"/>
        <v>-40956.981413332069</v>
      </c>
      <c r="T312">
        <f t="shared" si="968"/>
        <v>-40.956981413332066</v>
      </c>
    </row>
    <row r="313" spans="1:20" x14ac:dyDescent="0.25">
      <c r="A313" s="5">
        <v>44280</v>
      </c>
      <c r="B313">
        <v>3.7023E-2</v>
      </c>
      <c r="C313">
        <v>3.8709E-2</v>
      </c>
      <c r="D313">
        <v>3.5714000000000003E-2</v>
      </c>
      <c r="E313">
        <v>3.6722999999999999E-2</v>
      </c>
      <c r="F313">
        <v>129308550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-0.32621035058430931</v>
      </c>
      <c r="Q313">
        <f t="shared" si="965"/>
        <v>-42181787.429048687</v>
      </c>
      <c r="R313">
        <f t="shared" si="966"/>
        <v>-4151001036.2719359</v>
      </c>
      <c r="S313">
        <f t="shared" si="967"/>
        <v>-41510.01036271936</v>
      </c>
      <c r="T313">
        <f t="shared" si="968"/>
        <v>-41.510010362719363</v>
      </c>
    </row>
    <row r="314" spans="1:20" x14ac:dyDescent="0.25">
      <c r="A314" s="5">
        <v>44279</v>
      </c>
      <c r="B314">
        <v>3.8954999999999997E-2</v>
      </c>
      <c r="C314">
        <v>4.3249000000000003E-2</v>
      </c>
      <c r="D314">
        <v>3.6020000000000003E-2</v>
      </c>
      <c r="E314">
        <v>3.7023E-2</v>
      </c>
      <c r="F314">
        <v>198278797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-0.72250657075667535</v>
      </c>
      <c r="Q314">
        <f t="shared" si="965"/>
        <v>-143257733.67422897</v>
      </c>
      <c r="R314">
        <f t="shared" si="966"/>
        <v>-4108819248.8428874</v>
      </c>
      <c r="S314">
        <f t="shared" si="967"/>
        <v>-41088.192488428875</v>
      </c>
      <c r="T314">
        <f t="shared" si="968"/>
        <v>-41.088192488428874</v>
      </c>
    </row>
    <row r="315" spans="1:20" x14ac:dyDescent="0.25">
      <c r="A315" s="5">
        <v>44278</v>
      </c>
      <c r="B315">
        <v>4.0063000000000001E-2</v>
      </c>
      <c r="C315">
        <v>4.2000000000000003E-2</v>
      </c>
      <c r="D315">
        <v>3.7430999999999999E-2</v>
      </c>
      <c r="E315">
        <v>3.8958E-2</v>
      </c>
      <c r="F315">
        <v>187833987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-0.33158240315167459</v>
      </c>
      <c r="Q315">
        <f t="shared" si="965"/>
        <v>-62282444.803020403</v>
      </c>
      <c r="R315">
        <f t="shared" si="966"/>
        <v>-3965561515.1686583</v>
      </c>
      <c r="S315">
        <f t="shared" si="967"/>
        <v>-39655.615151686579</v>
      </c>
      <c r="T315">
        <f t="shared" si="968"/>
        <v>-39.655615151686582</v>
      </c>
    </row>
    <row r="316" spans="1:20" x14ac:dyDescent="0.25">
      <c r="A316" s="5">
        <v>44277</v>
      </c>
      <c r="B316">
        <v>4.3236999999999998E-2</v>
      </c>
      <c r="C316">
        <v>4.4901000000000003E-2</v>
      </c>
      <c r="D316">
        <v>3.9960000000000002E-2</v>
      </c>
      <c r="E316">
        <v>3.9961000000000003E-2</v>
      </c>
      <c r="F316">
        <v>175985462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-0.99959522363893905</v>
      </c>
      <c r="Q316">
        <f t="shared" si="965"/>
        <v>-175914227.245092</v>
      </c>
      <c r="R316">
        <f t="shared" si="966"/>
        <v>-3903279070.3656378</v>
      </c>
      <c r="S316">
        <f t="shared" si="967"/>
        <v>-39032.790703656377</v>
      </c>
      <c r="T316">
        <f t="shared" si="968"/>
        <v>-39.032790703656374</v>
      </c>
    </row>
    <row r="317" spans="1:20" x14ac:dyDescent="0.25">
      <c r="A317" s="5">
        <v>44276</v>
      </c>
      <c r="B317">
        <v>4.4359000000000003E-2</v>
      </c>
      <c r="C317">
        <v>4.5055999999999999E-2</v>
      </c>
      <c r="D317">
        <v>4.2178E-2</v>
      </c>
      <c r="E317">
        <v>4.3228999999999997E-2</v>
      </c>
      <c r="F317">
        <v>133543804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-0.26963168867269155</v>
      </c>
      <c r="Q317">
        <f t="shared" si="965"/>
        <v>-36007641.384294942</v>
      </c>
      <c r="R317">
        <f t="shared" si="966"/>
        <v>-3727364843.1205459</v>
      </c>
      <c r="S317">
        <f t="shared" si="967"/>
        <v>-37273.64843120546</v>
      </c>
      <c r="T317">
        <f t="shared" si="968"/>
        <v>-37.273648431205459</v>
      </c>
    </row>
    <row r="318" spans="1:20" x14ac:dyDescent="0.25">
      <c r="A318" s="5">
        <v>44275</v>
      </c>
      <c r="B318">
        <v>4.6351000000000003E-2</v>
      </c>
      <c r="C318">
        <v>4.9500000000000002E-2</v>
      </c>
      <c r="D318">
        <v>4.41E-2</v>
      </c>
      <c r="E318">
        <v>4.4220000000000002E-2</v>
      </c>
      <c r="F318">
        <v>299001164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-0.95555555555555483</v>
      </c>
      <c r="Q318">
        <f t="shared" si="965"/>
        <v>-285712223.37777758</v>
      </c>
      <c r="R318">
        <f t="shared" si="966"/>
        <v>-3691357201.7362509</v>
      </c>
      <c r="S318">
        <f t="shared" si="967"/>
        <v>-36913.572017362509</v>
      </c>
      <c r="T318">
        <f t="shared" si="968"/>
        <v>-36.913572017362512</v>
      </c>
    </row>
    <row r="319" spans="1:20" x14ac:dyDescent="0.25">
      <c r="A319" s="5">
        <v>44274</v>
      </c>
      <c r="B319">
        <v>4.5414000000000003E-2</v>
      </c>
      <c r="C319">
        <v>5.1117999999999997E-2</v>
      </c>
      <c r="D319">
        <v>4.3520999999999997E-2</v>
      </c>
      <c r="E319">
        <v>4.6351999999999997E-2</v>
      </c>
      <c r="F319">
        <v>384325545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-0.25470580492299583</v>
      </c>
      <c r="Q319">
        <f t="shared" si="965"/>
        <v>-97889947.29169406</v>
      </c>
      <c r="R319">
        <f t="shared" si="966"/>
        <v>-3405644978.3584733</v>
      </c>
      <c r="S319">
        <f t="shared" si="967"/>
        <v>-34056.449783584736</v>
      </c>
      <c r="T319">
        <f t="shared" si="968"/>
        <v>-34.056449783584739</v>
      </c>
    </row>
    <row r="320" spans="1:20" x14ac:dyDescent="0.25">
      <c r="A320" s="5">
        <v>44273</v>
      </c>
      <c r="B320">
        <v>4.4810999999999997E-2</v>
      </c>
      <c r="C320">
        <v>4.9500000000000002E-2</v>
      </c>
      <c r="D320">
        <v>4.4165999999999997E-2</v>
      </c>
      <c r="E320">
        <v>4.5414999999999997E-2</v>
      </c>
      <c r="F320">
        <v>327990704</v>
      </c>
      <c r="G320">
        <v>0</v>
      </c>
      <c r="L320" t="s">
        <v>7</v>
      </c>
      <c r="M320" t="s">
        <v>8</v>
      </c>
      <c r="N320" t="s">
        <v>7</v>
      </c>
      <c r="P320">
        <f t="shared" si="964"/>
        <v>-0.53168353955755576</v>
      </c>
      <c r="Q320">
        <f t="shared" si="965"/>
        <v>-174387258.44469455</v>
      </c>
      <c r="R320">
        <f t="shared" si="966"/>
        <v>-3307755031.0667791</v>
      </c>
      <c r="S320">
        <f t="shared" si="967"/>
        <v>-33077.550310667793</v>
      </c>
      <c r="T320">
        <f t="shared" si="968"/>
        <v>-33.077550310667796</v>
      </c>
    </row>
    <row r="321" spans="1:20" x14ac:dyDescent="0.25">
      <c r="A321" s="5">
        <v>44272</v>
      </c>
      <c r="B321">
        <v>4.3020999999999997E-2</v>
      </c>
      <c r="C321">
        <v>4.9549999999999997E-2</v>
      </c>
      <c r="D321">
        <v>3.9638E-2</v>
      </c>
      <c r="E321">
        <v>4.4810999999999997E-2</v>
      </c>
      <c r="F321">
        <v>486323090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4.3785310734462977E-2</v>
      </c>
      <c r="Q321">
        <f t="shared" si="965"/>
        <v>21293807.612994205</v>
      </c>
      <c r="R321">
        <f t="shared" si="966"/>
        <v>-3133367772.6220846</v>
      </c>
      <c r="S321">
        <f t="shared" si="967"/>
        <v>-31333.677726220845</v>
      </c>
      <c r="T321">
        <f t="shared" si="968"/>
        <v>-31.333677726220845</v>
      </c>
    </row>
    <row r="322" spans="1:20" x14ac:dyDescent="0.25">
      <c r="A322" s="5">
        <v>44271</v>
      </c>
      <c r="B322">
        <v>4.5481000000000001E-2</v>
      </c>
      <c r="C322">
        <v>4.5727999999999998E-2</v>
      </c>
      <c r="D322">
        <v>3.9084000000000001E-2</v>
      </c>
      <c r="E322">
        <v>4.3011000000000001E-2</v>
      </c>
      <c r="F322">
        <v>429872013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0.18211920529801373</v>
      </c>
      <c r="Q322">
        <f t="shared" si="965"/>
        <v>78287949.387417421</v>
      </c>
      <c r="R322">
        <f t="shared" si="966"/>
        <v>-3154661580.2350788</v>
      </c>
      <c r="S322">
        <f t="shared" si="967"/>
        <v>-31546.615802350789</v>
      </c>
      <c r="T322">
        <f t="shared" si="968"/>
        <v>-31.546615802350789</v>
      </c>
    </row>
    <row r="323" spans="1:20" x14ac:dyDescent="0.25">
      <c r="A323" s="5">
        <v>44270</v>
      </c>
      <c r="B323">
        <v>4.9236000000000002E-2</v>
      </c>
      <c r="C323">
        <v>5.5819000000000001E-2</v>
      </c>
      <c r="D323">
        <v>4.3701999999999998E-2</v>
      </c>
      <c r="E323">
        <v>4.5302000000000002E-2</v>
      </c>
      <c r="F323">
        <v>595364912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-0.73590822810926737</v>
      </c>
      <c r="Q323">
        <f t="shared" si="965"/>
        <v>-438133937.46834987</v>
      </c>
      <c r="R323">
        <f t="shared" si="966"/>
        <v>-3232949529.6224961</v>
      </c>
      <c r="S323">
        <f t="shared" si="967"/>
        <v>-32329.495296224963</v>
      </c>
      <c r="T323">
        <f t="shared" si="968"/>
        <v>-32.329495296224962</v>
      </c>
    </row>
    <row r="324" spans="1:20" x14ac:dyDescent="0.25">
      <c r="A324" s="5">
        <v>44269</v>
      </c>
      <c r="B324">
        <v>4.4637999999999997E-2</v>
      </c>
      <c r="C324">
        <v>5.7000000000000002E-2</v>
      </c>
      <c r="D324">
        <v>4.0080999999999999E-2</v>
      </c>
      <c r="E324">
        <v>4.9299999999999997E-2</v>
      </c>
      <c r="F324">
        <v>1449542080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8.9780719900702896E-2</v>
      </c>
      <c r="Q324">
        <f t="shared" si="965"/>
        <v>130140931.46876226</v>
      </c>
      <c r="R324">
        <f t="shared" si="966"/>
        <v>-2794815592.1541462</v>
      </c>
      <c r="S324">
        <f t="shared" si="967"/>
        <v>-27948.155921541464</v>
      </c>
      <c r="T324">
        <f t="shared" si="968"/>
        <v>-27.948155921541463</v>
      </c>
    </row>
    <row r="325" spans="1:20" x14ac:dyDescent="0.25">
      <c r="A325" s="5">
        <v>44268</v>
      </c>
      <c r="B325">
        <v>3.4639999999999997E-2</v>
      </c>
      <c r="C325">
        <v>4.6899999999999997E-2</v>
      </c>
      <c r="D325">
        <v>3.32E-2</v>
      </c>
      <c r="E325">
        <v>4.4518000000000002E-2</v>
      </c>
      <c r="F325">
        <v>747924347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0.65226277372262831</v>
      </c>
      <c r="Q325">
        <f t="shared" si="965"/>
        <v>487843209.10890555</v>
      </c>
      <c r="R325">
        <f t="shared" si="966"/>
        <v>-2924956523.6229086</v>
      </c>
      <c r="S325">
        <f t="shared" si="967"/>
        <v>-29249.565236229086</v>
      </c>
      <c r="T325">
        <f t="shared" si="968"/>
        <v>-29.249565236229085</v>
      </c>
    </row>
    <row r="326" spans="1:20" x14ac:dyDescent="0.25">
      <c r="A326" s="5">
        <v>44267</v>
      </c>
      <c r="B326">
        <v>3.7983000000000003E-2</v>
      </c>
      <c r="C326">
        <v>4.2380000000000001E-2</v>
      </c>
      <c r="D326">
        <v>3.3355999999999997E-2</v>
      </c>
      <c r="E326">
        <v>3.4639999999999997E-2</v>
      </c>
      <c r="F326">
        <v>344271280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-0.71542553191489366</v>
      </c>
      <c r="Q326">
        <f t="shared" ref="Q326:Q389" si="970">F326*P326</f>
        <v>-246300463.61702129</v>
      </c>
      <c r="R326">
        <f t="shared" ref="R326:R389" si="971">R327+Q326</f>
        <v>-3412799732.7318139</v>
      </c>
      <c r="S326">
        <f t="shared" ref="S326:S389" si="972">R326/100000</f>
        <v>-34127.997327318139</v>
      </c>
      <c r="T326">
        <f t="shared" ref="T326:T389" si="973">S326/1000</f>
        <v>-34.127997327318141</v>
      </c>
    </row>
    <row r="327" spans="1:20" x14ac:dyDescent="0.25">
      <c r="A327" s="5">
        <v>44266</v>
      </c>
      <c r="B327">
        <v>3.5735999999999997E-2</v>
      </c>
      <c r="C327">
        <v>3.9E-2</v>
      </c>
      <c r="D327">
        <v>3.3647999999999997E-2</v>
      </c>
      <c r="E327">
        <v>3.7983999999999997E-2</v>
      </c>
      <c r="F327">
        <v>434684192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0.62032884902839969</v>
      </c>
      <c r="Q327">
        <f t="shared" si="970"/>
        <v>269647144.51419991</v>
      </c>
      <c r="R327">
        <f t="shared" si="971"/>
        <v>-3166499269.1147928</v>
      </c>
      <c r="S327">
        <f t="shared" si="972"/>
        <v>-31664.992691147927</v>
      </c>
      <c r="T327">
        <f t="shared" si="973"/>
        <v>-31.664992691147926</v>
      </c>
    </row>
    <row r="328" spans="1:20" x14ac:dyDescent="0.25">
      <c r="A328" s="5">
        <v>44265</v>
      </c>
      <c r="B328">
        <v>3.4728000000000002E-2</v>
      </c>
      <c r="C328">
        <v>4.4373000000000003E-2</v>
      </c>
      <c r="D328">
        <v>3.0380000000000001E-2</v>
      </c>
      <c r="E328">
        <v>3.5614E-2</v>
      </c>
      <c r="F328">
        <v>1121033677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-0.25191167012077492</v>
      </c>
      <c r="Q328">
        <f t="shared" si="970"/>
        <v>-282401465.83470333</v>
      </c>
      <c r="R328">
        <f t="shared" si="971"/>
        <v>-3436146413.6289926</v>
      </c>
      <c r="S328">
        <f t="shared" si="972"/>
        <v>-34361.464136289927</v>
      </c>
      <c r="T328">
        <f t="shared" si="973"/>
        <v>-34.361464136289925</v>
      </c>
    </row>
    <row r="329" spans="1:20" x14ac:dyDescent="0.25">
      <c r="A329" s="5">
        <v>44264</v>
      </c>
      <c r="B329">
        <v>2.8086E-2</v>
      </c>
      <c r="C329">
        <v>3.4890999999999998E-2</v>
      </c>
      <c r="D329">
        <v>2.7897999999999999E-2</v>
      </c>
      <c r="E329">
        <v>3.4728000000000002E-2</v>
      </c>
      <c r="F329">
        <v>327902761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0.95338195338195442</v>
      </c>
      <c r="Q329">
        <f t="shared" si="970"/>
        <v>312616574.80151612</v>
      </c>
      <c r="R329">
        <f t="shared" si="971"/>
        <v>-3153744947.7942891</v>
      </c>
      <c r="S329">
        <f t="shared" si="972"/>
        <v>-31537.44947794289</v>
      </c>
      <c r="T329">
        <f t="shared" si="973"/>
        <v>-31.537449477942889</v>
      </c>
    </row>
    <row r="330" spans="1:20" x14ac:dyDescent="0.25">
      <c r="A330" s="5">
        <v>44263</v>
      </c>
      <c r="B330">
        <v>2.6927E-2</v>
      </c>
      <c r="C330">
        <v>2.9899999999999999E-2</v>
      </c>
      <c r="D330">
        <v>2.6499999999999999E-2</v>
      </c>
      <c r="E330">
        <v>2.8086E-2</v>
      </c>
      <c r="F330">
        <v>222832409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-6.7058823529411477E-2</v>
      </c>
      <c r="Q330">
        <f t="shared" si="970"/>
        <v>-14942879.191764642</v>
      </c>
      <c r="R330">
        <f t="shared" si="971"/>
        <v>-3466361522.5958052</v>
      </c>
      <c r="S330">
        <f t="shared" si="972"/>
        <v>-34663.615225958049</v>
      </c>
      <c r="T330">
        <f t="shared" si="973"/>
        <v>-34.663615225958047</v>
      </c>
    </row>
    <row r="331" spans="1:20" x14ac:dyDescent="0.25">
      <c r="A331" s="5">
        <v>44262</v>
      </c>
      <c r="B331">
        <v>2.7630999999999999E-2</v>
      </c>
      <c r="C331">
        <v>2.8045E-2</v>
      </c>
      <c r="D331">
        <v>2.6280000000000001E-2</v>
      </c>
      <c r="E331">
        <v>2.6872E-2</v>
      </c>
      <c r="F331">
        <v>110219794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-0.32917847025495861</v>
      </c>
      <c r="Q331">
        <f t="shared" si="970"/>
        <v>-36281983.180736668</v>
      </c>
      <c r="R331">
        <f t="shared" si="971"/>
        <v>-3451418643.4040403</v>
      </c>
      <c r="S331">
        <f t="shared" si="972"/>
        <v>-34514.186434040406</v>
      </c>
      <c r="T331">
        <f t="shared" si="973"/>
        <v>-34.514186434040404</v>
      </c>
    </row>
    <row r="332" spans="1:20" x14ac:dyDescent="0.25">
      <c r="A332" s="5">
        <v>44261</v>
      </c>
      <c r="B332">
        <v>2.7997000000000001E-2</v>
      </c>
      <c r="C332">
        <v>2.8548E-2</v>
      </c>
      <c r="D332">
        <v>2.63E-2</v>
      </c>
      <c r="E332">
        <v>2.7536000000000001E-2</v>
      </c>
      <c r="F332">
        <v>87063344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9.9644128113879876E-2</v>
      </c>
      <c r="Q332">
        <f t="shared" si="970"/>
        <v>8675351.003558794</v>
      </c>
      <c r="R332">
        <f t="shared" si="971"/>
        <v>-3415136660.2233038</v>
      </c>
      <c r="S332">
        <f t="shared" si="972"/>
        <v>-34151.366602233036</v>
      </c>
      <c r="T332">
        <f t="shared" si="973"/>
        <v>-34.15136660223304</v>
      </c>
    </row>
    <row r="333" spans="1:20" x14ac:dyDescent="0.25">
      <c r="A333" s="5">
        <v>44260</v>
      </c>
      <c r="B333">
        <v>2.7299E-2</v>
      </c>
      <c r="C333">
        <v>2.8868999999999999E-2</v>
      </c>
      <c r="D333">
        <v>2.5499999999999998E-2</v>
      </c>
      <c r="E333">
        <v>2.7997999999999999E-2</v>
      </c>
      <c r="F333">
        <v>194814755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0.48293262095577316</v>
      </c>
      <c r="Q333">
        <f t="shared" si="970"/>
        <v>94082400.23300682</v>
      </c>
      <c r="R333">
        <f t="shared" si="971"/>
        <v>-3423812011.2268624</v>
      </c>
      <c r="S333">
        <f t="shared" si="972"/>
        <v>-34238.120112268625</v>
      </c>
      <c r="T333">
        <f t="shared" si="973"/>
        <v>-34.238120112268625</v>
      </c>
    </row>
    <row r="334" spans="1:20" x14ac:dyDescent="0.25">
      <c r="A334" s="5">
        <v>44259</v>
      </c>
      <c r="B334">
        <v>3.0535E-2</v>
      </c>
      <c r="C334">
        <v>3.2001000000000002E-2</v>
      </c>
      <c r="D334">
        <v>2.6145000000000002E-2</v>
      </c>
      <c r="E334">
        <v>2.7290999999999999E-2</v>
      </c>
      <c r="F334">
        <v>265840004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-0.60860655737704994</v>
      </c>
      <c r="Q334">
        <f t="shared" si="970"/>
        <v>-161791969.6475412</v>
      </c>
      <c r="R334">
        <f t="shared" si="971"/>
        <v>-3517894411.4598694</v>
      </c>
      <c r="S334">
        <f t="shared" si="972"/>
        <v>-35178.944114598693</v>
      </c>
      <c r="T334">
        <f t="shared" si="973"/>
        <v>-35.178944114598693</v>
      </c>
    </row>
    <row r="335" spans="1:20" x14ac:dyDescent="0.25">
      <c r="A335" s="5">
        <v>44258</v>
      </c>
      <c r="B335">
        <v>2.5062000000000001E-2</v>
      </c>
      <c r="C335">
        <v>3.2465000000000001E-2</v>
      </c>
      <c r="D335">
        <v>2.4806999999999999E-2</v>
      </c>
      <c r="E335">
        <v>3.0535E-2</v>
      </c>
      <c r="F335">
        <v>663517135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0.49595194567772244</v>
      </c>
      <c r="Q335">
        <f t="shared" si="970"/>
        <v>329072614.09375805</v>
      </c>
      <c r="R335">
        <f t="shared" si="971"/>
        <v>-3356102441.8123283</v>
      </c>
      <c r="S335">
        <f t="shared" si="972"/>
        <v>-33561.024418123285</v>
      </c>
      <c r="T335">
        <f t="shared" si="973"/>
        <v>-33.561024418123282</v>
      </c>
    </row>
    <row r="336" spans="1:20" x14ac:dyDescent="0.25">
      <c r="A336" s="5">
        <v>44257</v>
      </c>
      <c r="B336">
        <v>2.5687999999999999E-2</v>
      </c>
      <c r="C336">
        <v>2.7099999999999999E-2</v>
      </c>
      <c r="D336">
        <v>2.3300000000000001E-2</v>
      </c>
      <c r="E336">
        <v>2.5075E-2</v>
      </c>
      <c r="F336">
        <v>353045105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-6.578947368421062E-2</v>
      </c>
      <c r="Q336">
        <f t="shared" si="970"/>
        <v>-23226651.644736875</v>
      </c>
      <c r="R336">
        <f t="shared" si="971"/>
        <v>-3685175055.9060864</v>
      </c>
      <c r="S336">
        <f t="shared" si="972"/>
        <v>-36851.750559060863</v>
      </c>
      <c r="T336">
        <f t="shared" si="973"/>
        <v>-36.851750559060861</v>
      </c>
    </row>
    <row r="337" spans="1:20" x14ac:dyDescent="0.25">
      <c r="A337" s="5">
        <v>44256</v>
      </c>
      <c r="B337">
        <v>2.0598000000000002E-2</v>
      </c>
      <c r="C337">
        <v>2.8888E-2</v>
      </c>
      <c r="D337">
        <v>2.0545000000000001E-2</v>
      </c>
      <c r="E337">
        <v>2.5718000000000001E-2</v>
      </c>
      <c r="F337">
        <v>693924511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0.2400815054536739</v>
      </c>
      <c r="Q337">
        <f t="shared" si="970"/>
        <v>166598441.2720845</v>
      </c>
      <c r="R337">
        <f t="shared" si="971"/>
        <v>-3661948404.2613497</v>
      </c>
      <c r="S337">
        <f t="shared" si="972"/>
        <v>-36619.484042613498</v>
      </c>
      <c r="T337">
        <f t="shared" si="973"/>
        <v>-36.6194840426135</v>
      </c>
    </row>
    <row r="338" spans="1:20" x14ac:dyDescent="0.25">
      <c r="A338" s="5">
        <v>44255</v>
      </c>
      <c r="B338">
        <v>2.3327000000000001E-2</v>
      </c>
      <c r="C338">
        <v>2.3744000000000001E-2</v>
      </c>
      <c r="D338">
        <v>1.8988000000000001E-2</v>
      </c>
      <c r="E338">
        <v>2.06E-2</v>
      </c>
      <c r="F338">
        <v>221161518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-0.3221194280908331</v>
      </c>
      <c r="Q338">
        <f t="shared" si="970"/>
        <v>-71240421.693860486</v>
      </c>
      <c r="R338">
        <f t="shared" si="971"/>
        <v>-3828546845.5334344</v>
      </c>
      <c r="S338">
        <f t="shared" si="972"/>
        <v>-38285.468455334347</v>
      </c>
      <c r="T338">
        <f t="shared" si="973"/>
        <v>-38.285468455334346</v>
      </c>
    </row>
    <row r="339" spans="1:20" x14ac:dyDescent="0.25">
      <c r="A339" s="5">
        <v>44254</v>
      </c>
      <c r="B339">
        <v>1.9857E-2</v>
      </c>
      <c r="C339">
        <v>2.5878000000000002E-2</v>
      </c>
      <c r="D339">
        <v>1.9857E-2</v>
      </c>
      <c r="E339">
        <v>2.3272999999999999E-2</v>
      </c>
      <c r="F339">
        <v>292276267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0.13469523334994113</v>
      </c>
      <c r="Q339">
        <f t="shared" si="970"/>
        <v>39368219.986214697</v>
      </c>
      <c r="R339">
        <f t="shared" si="971"/>
        <v>-3757306423.8395739</v>
      </c>
      <c r="S339">
        <f t="shared" si="972"/>
        <v>-37573.064238395738</v>
      </c>
      <c r="T339">
        <f t="shared" si="973"/>
        <v>-37.573064238395737</v>
      </c>
    </row>
    <row r="340" spans="1:20" x14ac:dyDescent="0.25">
      <c r="A340" s="5">
        <v>44253</v>
      </c>
      <c r="B340">
        <v>2.1359E-2</v>
      </c>
      <c r="C340">
        <v>2.1721000000000001E-2</v>
      </c>
      <c r="D340">
        <v>1.9099999999999999E-2</v>
      </c>
      <c r="E340">
        <v>1.9848000000000001E-2</v>
      </c>
      <c r="F340">
        <v>143280921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-0.42922548645555009</v>
      </c>
      <c r="Q340">
        <f t="shared" si="970"/>
        <v>-61499823.016024239</v>
      </c>
      <c r="R340">
        <f t="shared" si="971"/>
        <v>-3796674643.8257885</v>
      </c>
      <c r="S340">
        <f t="shared" si="972"/>
        <v>-37966.746438257884</v>
      </c>
      <c r="T340">
        <f t="shared" si="973"/>
        <v>-37.966746438257886</v>
      </c>
    </row>
    <row r="341" spans="1:20" x14ac:dyDescent="0.25">
      <c r="A341" s="5">
        <v>44252</v>
      </c>
      <c r="B341">
        <v>2.2343999999999999E-2</v>
      </c>
      <c r="C341">
        <v>2.3800000000000002E-2</v>
      </c>
      <c r="D341">
        <v>2.1000999999999999E-2</v>
      </c>
      <c r="E341">
        <v>2.1357999999999999E-2</v>
      </c>
      <c r="F341">
        <v>177512038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-0.74490889603429844</v>
      </c>
      <c r="Q341">
        <f t="shared" si="970"/>
        <v>-132230296.25937843</v>
      </c>
      <c r="R341">
        <f t="shared" si="971"/>
        <v>-3735174820.8097644</v>
      </c>
      <c r="S341">
        <f t="shared" si="972"/>
        <v>-37351.748208097641</v>
      </c>
      <c r="T341">
        <f t="shared" si="973"/>
        <v>-37.351748208097639</v>
      </c>
    </row>
    <row r="342" spans="1:20" x14ac:dyDescent="0.25">
      <c r="A342" s="5">
        <v>44251</v>
      </c>
      <c r="B342">
        <v>2.1873E-2</v>
      </c>
      <c r="C342">
        <v>2.3990000000000001E-2</v>
      </c>
      <c r="D342">
        <v>2.0181000000000001E-2</v>
      </c>
      <c r="E342">
        <v>2.2346000000000001E-2</v>
      </c>
      <c r="F342">
        <v>234815901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0.13678130742977176</v>
      </c>
      <c r="Q342">
        <f t="shared" si="970"/>
        <v>32118425.94407985</v>
      </c>
      <c r="R342">
        <f t="shared" si="971"/>
        <v>-3602944524.550386</v>
      </c>
      <c r="S342">
        <f t="shared" si="972"/>
        <v>-36029.445245503863</v>
      </c>
      <c r="T342">
        <f t="shared" si="973"/>
        <v>-36.029445245503865</v>
      </c>
    </row>
    <row r="343" spans="1:20" x14ac:dyDescent="0.25">
      <c r="A343" s="5">
        <v>44250</v>
      </c>
      <c r="B343">
        <v>2.6973E-2</v>
      </c>
      <c r="C343">
        <v>2.7111E-2</v>
      </c>
      <c r="D343">
        <v>1.9134000000000002E-2</v>
      </c>
      <c r="E343">
        <v>2.1999999999999999E-2</v>
      </c>
      <c r="F343">
        <v>307427684</v>
      </c>
      <c r="G343">
        <v>0</v>
      </c>
      <c r="L343" t="s">
        <v>7</v>
      </c>
      <c r="M343" t="s">
        <v>7</v>
      </c>
      <c r="N343" t="s">
        <v>8</v>
      </c>
      <c r="P343">
        <f t="shared" si="969"/>
        <v>-0.28143412310392435</v>
      </c>
      <c r="Q343">
        <f t="shared" si="970"/>
        <v>-86520640.664410353</v>
      </c>
      <c r="R343">
        <f t="shared" si="971"/>
        <v>-3635062950.4944658</v>
      </c>
      <c r="S343">
        <f t="shared" si="972"/>
        <v>-36350.629504944656</v>
      </c>
      <c r="T343">
        <f t="shared" si="973"/>
        <v>-36.350629504944656</v>
      </c>
    </row>
    <row r="344" spans="1:20" x14ac:dyDescent="0.25">
      <c r="A344" s="5">
        <v>44249</v>
      </c>
      <c r="B344">
        <v>2.7976999999999998E-2</v>
      </c>
      <c r="C344">
        <v>3.1899999999999998E-2</v>
      </c>
      <c r="D344">
        <v>0.02</v>
      </c>
      <c r="E344">
        <v>2.6963999999999998E-2</v>
      </c>
      <c r="F344">
        <v>500893114</v>
      </c>
      <c r="G344">
        <v>0</v>
      </c>
      <c r="L344" t="s">
        <v>8</v>
      </c>
      <c r="M344" t="s">
        <v>8</v>
      </c>
      <c r="N344" t="s">
        <v>7</v>
      </c>
      <c r="P344">
        <f t="shared" si="969"/>
        <v>0.17042016806722682</v>
      </c>
      <c r="Q344">
        <f t="shared" si="970"/>
        <v>85362288.671596602</v>
      </c>
      <c r="R344">
        <f t="shared" si="971"/>
        <v>-3548542309.8300557</v>
      </c>
      <c r="S344">
        <f t="shared" si="972"/>
        <v>-35485.423098300555</v>
      </c>
      <c r="T344">
        <f t="shared" si="973"/>
        <v>-35.485423098300558</v>
      </c>
    </row>
    <row r="345" spans="1:20" x14ac:dyDescent="0.25">
      <c r="A345" s="5">
        <v>44248</v>
      </c>
      <c r="B345">
        <v>2.5197000000000001E-2</v>
      </c>
      <c r="C345">
        <v>2.9100000000000001E-2</v>
      </c>
      <c r="D345">
        <v>2.444E-2</v>
      </c>
      <c r="E345">
        <v>2.7976999999999998E-2</v>
      </c>
      <c r="F345">
        <v>343678523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0.51802575107296045</v>
      </c>
      <c r="Q345">
        <f t="shared" si="970"/>
        <v>178034325.00472072</v>
      </c>
      <c r="R345">
        <f t="shared" si="971"/>
        <v>-3633904598.5016522</v>
      </c>
      <c r="S345">
        <f t="shared" si="972"/>
        <v>-36339.045985016521</v>
      </c>
      <c r="T345">
        <f t="shared" si="973"/>
        <v>-36.339045985016519</v>
      </c>
    </row>
    <row r="346" spans="1:20" x14ac:dyDescent="0.25">
      <c r="A346" s="5">
        <v>44247</v>
      </c>
      <c r="B346">
        <v>2.4646000000000001E-2</v>
      </c>
      <c r="C346">
        <v>2.7983000000000001E-2</v>
      </c>
      <c r="D346">
        <v>2.3761000000000001E-2</v>
      </c>
      <c r="E346">
        <v>2.5197000000000001E-2</v>
      </c>
      <c r="F346">
        <v>348354043</v>
      </c>
      <c r="G346">
        <v>0</v>
      </c>
      <c r="L346" t="s">
        <v>8</v>
      </c>
      <c r="M346" t="s">
        <v>7</v>
      </c>
      <c r="N346" t="s">
        <v>7</v>
      </c>
      <c r="P346">
        <f t="shared" si="969"/>
        <v>-0.31975367124585519</v>
      </c>
      <c r="Q346">
        <f t="shared" si="970"/>
        <v>-111387484.1425865</v>
      </c>
      <c r="R346">
        <f t="shared" si="971"/>
        <v>-3811938923.5063729</v>
      </c>
      <c r="S346">
        <f t="shared" si="972"/>
        <v>-38119.389235063732</v>
      </c>
      <c r="T346">
        <f t="shared" si="973"/>
        <v>-38.119389235063736</v>
      </c>
    </row>
    <row r="347" spans="1:20" x14ac:dyDescent="0.25">
      <c r="A347" s="5">
        <v>44246</v>
      </c>
      <c r="B347">
        <v>2.6085000000000001E-2</v>
      </c>
      <c r="C347">
        <v>2.6179000000000001E-2</v>
      </c>
      <c r="D347">
        <v>2.3800000000000002E-2</v>
      </c>
      <c r="E347">
        <v>2.47E-2</v>
      </c>
      <c r="F347">
        <v>157558309</v>
      </c>
      <c r="G347">
        <v>0</v>
      </c>
      <c r="L347" t="s">
        <v>8</v>
      </c>
      <c r="M347" t="s">
        <v>7</v>
      </c>
      <c r="N347" t="s">
        <v>7</v>
      </c>
      <c r="P347">
        <f t="shared" si="969"/>
        <v>-0.2433795712484251</v>
      </c>
      <c r="Q347">
        <f t="shared" si="970"/>
        <v>-38346473.691046879</v>
      </c>
      <c r="R347">
        <f t="shared" si="971"/>
        <v>-3700551439.3637862</v>
      </c>
      <c r="S347">
        <f t="shared" si="972"/>
        <v>-37005.514393637859</v>
      </c>
      <c r="T347">
        <f t="shared" si="973"/>
        <v>-37.00551439363786</v>
      </c>
    </row>
    <row r="348" spans="1:20" x14ac:dyDescent="0.25">
      <c r="A348" s="5">
        <v>44245</v>
      </c>
      <c r="B348">
        <v>2.5575000000000001E-2</v>
      </c>
      <c r="C348">
        <v>2.6998999999999999E-2</v>
      </c>
      <c r="D348">
        <v>2.3598999999999998E-2</v>
      </c>
      <c r="E348">
        <v>2.6030000000000001E-2</v>
      </c>
      <c r="F348">
        <v>327326642</v>
      </c>
      <c r="G348">
        <v>0</v>
      </c>
      <c r="L348" t="s">
        <v>7</v>
      </c>
      <c r="M348" t="s">
        <v>7</v>
      </c>
      <c r="N348" t="s">
        <v>7</v>
      </c>
      <c r="P348">
        <f t="shared" si="969"/>
        <v>0.43000000000000144</v>
      </c>
      <c r="Q348">
        <f t="shared" si="970"/>
        <v>140750456.06000048</v>
      </c>
      <c r="R348">
        <f t="shared" si="971"/>
        <v>-3662204965.6727395</v>
      </c>
      <c r="S348">
        <f t="shared" si="972"/>
        <v>-36622.049656727395</v>
      </c>
      <c r="T348">
        <f t="shared" si="973"/>
        <v>-36.622049656727398</v>
      </c>
    </row>
    <row r="349" spans="1:20" x14ac:dyDescent="0.25">
      <c r="A349" s="5">
        <v>44244</v>
      </c>
      <c r="B349">
        <v>2.5035999999999999E-2</v>
      </c>
      <c r="C349">
        <v>2.7879000000000001E-2</v>
      </c>
      <c r="D349">
        <v>2.3702999999999998E-2</v>
      </c>
      <c r="E349">
        <v>2.5579999999999999E-2</v>
      </c>
      <c r="F349">
        <v>345720161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-0.10105363984674377</v>
      </c>
      <c r="Q349">
        <f t="shared" si="970"/>
        <v>-34936280.637452275</v>
      </c>
      <c r="R349">
        <f t="shared" si="971"/>
        <v>-3802955421.7327399</v>
      </c>
      <c r="S349">
        <f t="shared" si="972"/>
        <v>-38029.554217327401</v>
      </c>
      <c r="T349">
        <f t="shared" si="973"/>
        <v>-38.029554217327401</v>
      </c>
    </row>
    <row r="350" spans="1:20" x14ac:dyDescent="0.25">
      <c r="A350" s="5">
        <v>44243</v>
      </c>
      <c r="B350">
        <v>2.2114999999999999E-2</v>
      </c>
      <c r="C350">
        <v>2.9198999999999999E-2</v>
      </c>
      <c r="D350">
        <v>2.1288999999999999E-2</v>
      </c>
      <c r="E350">
        <v>2.5035999999999999E-2</v>
      </c>
      <c r="F350">
        <v>563745148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-5.2591656131479099E-2</v>
      </c>
      <c r="Q350">
        <f t="shared" si="970"/>
        <v>-29648290.969405793</v>
      </c>
      <c r="R350">
        <f t="shared" si="971"/>
        <v>-3768019141.0952878</v>
      </c>
      <c r="S350">
        <f t="shared" si="972"/>
        <v>-37680.191410952881</v>
      </c>
      <c r="T350">
        <f t="shared" si="973"/>
        <v>-37.680191410952879</v>
      </c>
    </row>
    <row r="351" spans="1:20" x14ac:dyDescent="0.25">
      <c r="A351" s="5">
        <v>44242</v>
      </c>
      <c r="B351">
        <v>2.5399999999999999E-2</v>
      </c>
      <c r="C351">
        <v>2.5579000000000001E-2</v>
      </c>
      <c r="D351">
        <v>2.0757000000000001E-2</v>
      </c>
      <c r="E351">
        <v>2.2124999999999999E-2</v>
      </c>
      <c r="F351">
        <v>201453858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-0.43260058067192131</v>
      </c>
      <c r="Q351">
        <f t="shared" si="970"/>
        <v>-87149055.949398786</v>
      </c>
      <c r="R351">
        <f t="shared" si="971"/>
        <v>-3738370850.1258821</v>
      </c>
      <c r="S351">
        <f t="shared" si="972"/>
        <v>-37383.708501258821</v>
      </c>
      <c r="T351">
        <f t="shared" si="973"/>
        <v>-37.383708501258823</v>
      </c>
    </row>
    <row r="352" spans="1:20" x14ac:dyDescent="0.25">
      <c r="A352" s="5">
        <v>44241</v>
      </c>
      <c r="B352">
        <v>2.7265999999999999E-2</v>
      </c>
      <c r="C352">
        <v>2.9700000000000001E-2</v>
      </c>
      <c r="D352">
        <v>2.5000000000000001E-2</v>
      </c>
      <c r="E352">
        <v>2.5322000000000001E-2</v>
      </c>
      <c r="F352">
        <v>183544431</v>
      </c>
      <c r="G352">
        <v>0</v>
      </c>
      <c r="L352" t="s">
        <v>8</v>
      </c>
      <c r="M352" t="s">
        <v>7</v>
      </c>
      <c r="N352" t="s">
        <v>7</v>
      </c>
      <c r="P352">
        <f t="shared" si="969"/>
        <v>-0.86297872340425552</v>
      </c>
      <c r="Q352">
        <f t="shared" si="970"/>
        <v>-158394938.75234047</v>
      </c>
      <c r="R352">
        <f t="shared" si="971"/>
        <v>-3651221794.1764832</v>
      </c>
      <c r="S352">
        <f t="shared" si="972"/>
        <v>-36512.217941764829</v>
      </c>
      <c r="T352">
        <f t="shared" si="973"/>
        <v>-36.512217941764831</v>
      </c>
    </row>
    <row r="353" spans="1:20" x14ac:dyDescent="0.25">
      <c r="A353" s="5">
        <v>44240</v>
      </c>
      <c r="B353">
        <v>2.9288000000000002E-2</v>
      </c>
      <c r="C353">
        <v>2.9850000000000002E-2</v>
      </c>
      <c r="D353">
        <v>2.4646999999999999E-2</v>
      </c>
      <c r="E353">
        <v>2.7272000000000001E-2</v>
      </c>
      <c r="F353">
        <v>488370629</v>
      </c>
      <c r="G353">
        <v>0</v>
      </c>
      <c r="L353" t="s">
        <v>7</v>
      </c>
      <c r="M353" t="s">
        <v>7</v>
      </c>
      <c r="N353" t="s">
        <v>7</v>
      </c>
      <c r="P353">
        <f t="shared" si="969"/>
        <v>9.0332500480495622E-3</v>
      </c>
      <c r="Q353">
        <f t="shared" si="970"/>
        <v>4411574.0078802453</v>
      </c>
      <c r="R353">
        <f t="shared" si="971"/>
        <v>-3492826855.4241428</v>
      </c>
      <c r="S353">
        <f t="shared" si="972"/>
        <v>-34928.268554241426</v>
      </c>
      <c r="T353">
        <f t="shared" si="973"/>
        <v>-34.928268554241427</v>
      </c>
    </row>
    <row r="354" spans="1:20" x14ac:dyDescent="0.25">
      <c r="A354" s="5">
        <v>44239</v>
      </c>
      <c r="B354">
        <v>2.0385E-2</v>
      </c>
      <c r="C354">
        <v>3.7943999999999999E-2</v>
      </c>
      <c r="D354">
        <v>1.8585000000000001E-2</v>
      </c>
      <c r="E354">
        <v>2.9267999999999999E-2</v>
      </c>
      <c r="F354">
        <v>2433801430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0.10367271036727096</v>
      </c>
      <c r="Q354">
        <f t="shared" si="970"/>
        <v>252318790.74383989</v>
      </c>
      <c r="R354">
        <f t="shared" si="971"/>
        <v>-3497238429.432023</v>
      </c>
      <c r="S354">
        <f t="shared" si="972"/>
        <v>-34972.384294320233</v>
      </c>
      <c r="T354">
        <f t="shared" si="973"/>
        <v>-34.972384294320236</v>
      </c>
    </row>
    <row r="355" spans="1:20" x14ac:dyDescent="0.25">
      <c r="A355" s="5">
        <v>44238</v>
      </c>
      <c r="B355">
        <v>1.6121E-2</v>
      </c>
      <c r="C355">
        <v>2.0927000000000001E-2</v>
      </c>
      <c r="D355">
        <v>1.5757E-2</v>
      </c>
      <c r="E355">
        <v>2.0454E-2</v>
      </c>
      <c r="F355">
        <v>274380751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0.81702127659574431</v>
      </c>
      <c r="Q355">
        <f t="shared" si="970"/>
        <v>224174911.45531905</v>
      </c>
      <c r="R355">
        <f t="shared" si="971"/>
        <v>-3749557220.1758628</v>
      </c>
      <c r="S355">
        <f t="shared" si="972"/>
        <v>-37495.57220175863</v>
      </c>
      <c r="T355">
        <f t="shared" si="973"/>
        <v>-37.495572201758634</v>
      </c>
    </row>
    <row r="356" spans="1:20" x14ac:dyDescent="0.25">
      <c r="A356" s="5">
        <v>44237</v>
      </c>
      <c r="B356">
        <v>1.5778E-2</v>
      </c>
      <c r="C356">
        <v>1.6420000000000001E-2</v>
      </c>
      <c r="D356">
        <v>1.4017999999999999E-2</v>
      </c>
      <c r="E356">
        <v>1.6175999999999999E-2</v>
      </c>
      <c r="F356">
        <v>144383451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0.7968359700249783</v>
      </c>
      <c r="Q356">
        <f t="shared" si="970"/>
        <v>115049927.23313892</v>
      </c>
      <c r="R356">
        <f t="shared" si="971"/>
        <v>-3973732131.6311817</v>
      </c>
      <c r="S356">
        <f t="shared" si="972"/>
        <v>-39737.32131631182</v>
      </c>
      <c r="T356">
        <f t="shared" si="973"/>
        <v>-39.737321316311821</v>
      </c>
    </row>
    <row r="357" spans="1:20" x14ac:dyDescent="0.25">
      <c r="A357" s="5">
        <v>44236</v>
      </c>
      <c r="B357">
        <v>1.4115000000000001E-2</v>
      </c>
      <c r="C357">
        <v>1.6E-2</v>
      </c>
      <c r="D357">
        <v>1.3989E-2</v>
      </c>
      <c r="E357">
        <v>1.5778E-2</v>
      </c>
      <c r="F357">
        <v>184670988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0.77921432123321743</v>
      </c>
      <c r="Q357">
        <f t="shared" si="970"/>
        <v>143898278.56588763</v>
      </c>
      <c r="R357">
        <f t="shared" si="971"/>
        <v>-4088782058.8643208</v>
      </c>
      <c r="S357">
        <f t="shared" si="972"/>
        <v>-40887.820588643204</v>
      </c>
      <c r="T357">
        <f t="shared" si="973"/>
        <v>-40.887820588643201</v>
      </c>
    </row>
    <row r="358" spans="1:20" x14ac:dyDescent="0.25">
      <c r="A358" s="5">
        <v>44235</v>
      </c>
      <c r="B358">
        <v>1.3351E-2</v>
      </c>
      <c r="C358">
        <v>1.4163E-2</v>
      </c>
      <c r="D358">
        <v>1.2987E-2</v>
      </c>
      <c r="E358">
        <v>1.4113000000000001E-2</v>
      </c>
      <c r="F358">
        <v>140587748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0.91496598639455828</v>
      </c>
      <c r="Q358">
        <f t="shared" si="970"/>
        <v>128633007.52380958</v>
      </c>
      <c r="R358">
        <f t="shared" si="971"/>
        <v>-4232680337.4302082</v>
      </c>
      <c r="S358">
        <f t="shared" si="972"/>
        <v>-42326.803374302079</v>
      </c>
      <c r="T358">
        <f t="shared" si="973"/>
        <v>-42.326803374302081</v>
      </c>
    </row>
    <row r="359" spans="1:20" x14ac:dyDescent="0.25">
      <c r="A359" s="5">
        <v>44234</v>
      </c>
      <c r="B359">
        <v>1.3566999999999999E-2</v>
      </c>
      <c r="C359">
        <v>1.3859E-2</v>
      </c>
      <c r="D359">
        <v>1.2701E-2</v>
      </c>
      <c r="E359">
        <v>1.3308E-2</v>
      </c>
      <c r="F359">
        <v>169487243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4.8359240069085083E-2</v>
      </c>
      <c r="Q359">
        <f t="shared" si="970"/>
        <v>8196274.2728843605</v>
      </c>
      <c r="R359">
        <f t="shared" si="971"/>
        <v>-4361313344.9540176</v>
      </c>
      <c r="S359">
        <f t="shared" si="972"/>
        <v>-43613.133449540175</v>
      </c>
      <c r="T359">
        <f t="shared" si="973"/>
        <v>-43.613133449540172</v>
      </c>
    </row>
    <row r="360" spans="1:20" x14ac:dyDescent="0.25">
      <c r="A360" s="5">
        <v>44233</v>
      </c>
      <c r="B360">
        <v>1.4132E-2</v>
      </c>
      <c r="C360">
        <v>1.6305E-2</v>
      </c>
      <c r="D360">
        <v>1.2999999999999999E-2</v>
      </c>
      <c r="E360">
        <v>1.3559E-2</v>
      </c>
      <c r="F360">
        <v>430736016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-0.66172465960665638</v>
      </c>
      <c r="Q360">
        <f t="shared" si="970"/>
        <v>-285028643.5679273</v>
      </c>
      <c r="R360">
        <f t="shared" si="971"/>
        <v>-4369509619.226902</v>
      </c>
      <c r="S360">
        <f t="shared" si="972"/>
        <v>-43695.096192269019</v>
      </c>
      <c r="T360">
        <f t="shared" si="973"/>
        <v>-43.69509619226902</v>
      </c>
    </row>
    <row r="361" spans="1:20" x14ac:dyDescent="0.25">
      <c r="A361" s="5">
        <v>44232</v>
      </c>
      <c r="B361">
        <v>1.1799E-2</v>
      </c>
      <c r="C361">
        <v>1.4852000000000001E-2</v>
      </c>
      <c r="D361">
        <v>1.1722E-2</v>
      </c>
      <c r="E361">
        <v>1.4134000000000001E-2</v>
      </c>
      <c r="F361">
        <v>346504695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0.54121405750798746</v>
      </c>
      <c r="Q361">
        <f t="shared" si="970"/>
        <v>187533211.92651767</v>
      </c>
      <c r="R361">
        <f t="shared" si="971"/>
        <v>-4084480975.6589746</v>
      </c>
      <c r="S361">
        <f t="shared" si="972"/>
        <v>-40844.809756589748</v>
      </c>
      <c r="T361">
        <f t="shared" si="973"/>
        <v>-40.844809756589747</v>
      </c>
    </row>
    <row r="362" spans="1:20" x14ac:dyDescent="0.25">
      <c r="A362" s="5">
        <v>44231</v>
      </c>
      <c r="B362">
        <v>1.2193000000000001E-2</v>
      </c>
      <c r="C362">
        <v>1.2338999999999999E-2</v>
      </c>
      <c r="D362">
        <v>1.1322E-2</v>
      </c>
      <c r="E362">
        <v>1.18E-2</v>
      </c>
      <c r="F362">
        <v>120849611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-5.998033431661786E-2</v>
      </c>
      <c r="Q362">
        <f t="shared" si="970"/>
        <v>-7248600.0698132189</v>
      </c>
      <c r="R362">
        <f t="shared" si="971"/>
        <v>-4272014187.5854921</v>
      </c>
      <c r="S362">
        <f t="shared" si="972"/>
        <v>-42720.141875854919</v>
      </c>
      <c r="T362">
        <f t="shared" si="973"/>
        <v>-42.720141875854921</v>
      </c>
    </row>
    <row r="363" spans="1:20" x14ac:dyDescent="0.25">
      <c r="A363" s="5">
        <v>44230</v>
      </c>
      <c r="B363">
        <v>1.1755E-2</v>
      </c>
      <c r="C363">
        <v>1.2756E-2</v>
      </c>
      <c r="D363">
        <v>1.1665999999999999E-2</v>
      </c>
      <c r="E363">
        <v>1.2194E-2</v>
      </c>
      <c r="F363">
        <v>113727827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-3.1192660550458062E-2</v>
      </c>
      <c r="Q363">
        <f t="shared" si="970"/>
        <v>-3547473.5027522193</v>
      </c>
      <c r="R363">
        <f t="shared" si="971"/>
        <v>-4264765587.5156789</v>
      </c>
      <c r="S363">
        <f t="shared" si="972"/>
        <v>-42647.655875156786</v>
      </c>
      <c r="T363">
        <f t="shared" si="973"/>
        <v>-42.647655875156786</v>
      </c>
    </row>
    <row r="364" spans="1:20" x14ac:dyDescent="0.25">
      <c r="A364" s="5">
        <v>44229</v>
      </c>
      <c r="B364">
        <v>1.1398E-2</v>
      </c>
      <c r="C364">
        <v>1.255E-2</v>
      </c>
      <c r="D364">
        <v>1.1186E-2</v>
      </c>
      <c r="E364">
        <v>1.1705999999999999E-2</v>
      </c>
      <c r="F364">
        <v>171637625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-0.2375366568914965</v>
      </c>
      <c r="Q364">
        <f t="shared" si="970"/>
        <v>-40770227.639296345</v>
      </c>
      <c r="R364">
        <f t="shared" si="971"/>
        <v>-4261218114.0129266</v>
      </c>
      <c r="S364">
        <f t="shared" si="972"/>
        <v>-42612.181140129265</v>
      </c>
      <c r="T364">
        <f t="shared" si="973"/>
        <v>-42.612181140129266</v>
      </c>
    </row>
    <row r="365" spans="1:20" x14ac:dyDescent="0.25">
      <c r="A365" s="5">
        <v>44228</v>
      </c>
      <c r="B365">
        <v>1.1511E-2</v>
      </c>
      <c r="C365">
        <v>1.1776999999999999E-2</v>
      </c>
      <c r="D365">
        <v>1.0951000000000001E-2</v>
      </c>
      <c r="E365">
        <v>1.1401E-2</v>
      </c>
      <c r="F365">
        <v>97726659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8.958837772397038E-2</v>
      </c>
      <c r="Q365">
        <f t="shared" si="970"/>
        <v>8755172.8401936498</v>
      </c>
      <c r="R365">
        <f t="shared" si="971"/>
        <v>-4220447886.37363</v>
      </c>
      <c r="S365">
        <f t="shared" si="972"/>
        <v>-42204.478863736302</v>
      </c>
      <c r="T365">
        <f t="shared" si="973"/>
        <v>-42.204478863736298</v>
      </c>
    </row>
    <row r="366" spans="1:20" x14ac:dyDescent="0.25">
      <c r="A366" s="5">
        <v>44227</v>
      </c>
      <c r="B366">
        <v>1.1199000000000001E-2</v>
      </c>
      <c r="C366">
        <v>1.1776999999999999E-2</v>
      </c>
      <c r="D366">
        <v>1.0940999999999999E-2</v>
      </c>
      <c r="E366">
        <v>1.1453E-2</v>
      </c>
      <c r="F366">
        <v>126501868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0.22488038277512043</v>
      </c>
      <c r="Q366">
        <f t="shared" si="970"/>
        <v>28447788.49760776</v>
      </c>
      <c r="R366">
        <f t="shared" si="971"/>
        <v>-4229203059.2138238</v>
      </c>
      <c r="S366">
        <f t="shared" si="972"/>
        <v>-42292.030592138239</v>
      </c>
      <c r="T366">
        <f t="shared" si="973"/>
        <v>-42.292030592138239</v>
      </c>
    </row>
    <row r="367" spans="1:20" x14ac:dyDescent="0.25">
      <c r="A367" s="5">
        <v>44226</v>
      </c>
      <c r="B367">
        <v>1.1082E-2</v>
      </c>
      <c r="C367">
        <v>1.2999999999999999E-2</v>
      </c>
      <c r="D367">
        <v>1.0800000000000001E-2</v>
      </c>
      <c r="E367">
        <v>1.1199000000000001E-2</v>
      </c>
      <c r="F367">
        <v>318193215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-0.63727272727272699</v>
      </c>
      <c r="Q367">
        <f t="shared" si="970"/>
        <v>-202775857.9227272</v>
      </c>
      <c r="R367">
        <f t="shared" si="971"/>
        <v>-4257650847.7114315</v>
      </c>
      <c r="S367">
        <f t="shared" si="972"/>
        <v>-42576.508477114316</v>
      </c>
      <c r="T367">
        <f t="shared" si="973"/>
        <v>-42.576508477114317</v>
      </c>
    </row>
    <row r="368" spans="1:20" x14ac:dyDescent="0.25">
      <c r="A368" s="5">
        <v>44225</v>
      </c>
      <c r="B368">
        <v>1.1039999999999999E-2</v>
      </c>
      <c r="C368">
        <v>1.1913E-2</v>
      </c>
      <c r="D368">
        <v>1.0585000000000001E-2</v>
      </c>
      <c r="E368">
        <v>1.1136E-2</v>
      </c>
      <c r="F368">
        <v>324990360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-0.17018072289156674</v>
      </c>
      <c r="Q368">
        <f t="shared" si="970"/>
        <v>-55307094.397590518</v>
      </c>
      <c r="R368">
        <f t="shared" si="971"/>
        <v>-4054874989.7887044</v>
      </c>
      <c r="S368">
        <f t="shared" si="972"/>
        <v>-40548.749897887043</v>
      </c>
      <c r="T368">
        <f t="shared" si="973"/>
        <v>-40.548749897887042</v>
      </c>
    </row>
    <row r="369" spans="1:20" x14ac:dyDescent="0.25">
      <c r="A369" s="5">
        <v>44224</v>
      </c>
      <c r="B369">
        <v>1.1802999999999999E-2</v>
      </c>
      <c r="C369">
        <v>1.4352E-2</v>
      </c>
      <c r="D369">
        <v>1.074E-2</v>
      </c>
      <c r="E369">
        <v>1.1002E-2</v>
      </c>
      <c r="F369">
        <v>1146570732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-0.85492801771871541</v>
      </c>
      <c r="Q369">
        <f t="shared" si="970"/>
        <v>-980235443.08305645</v>
      </c>
      <c r="R369">
        <f t="shared" si="971"/>
        <v>-3999567895.3911138</v>
      </c>
      <c r="S369">
        <f t="shared" si="972"/>
        <v>-39995.678953911134</v>
      </c>
      <c r="T369">
        <f t="shared" si="973"/>
        <v>-39.995678953911131</v>
      </c>
    </row>
    <row r="370" spans="1:20" x14ac:dyDescent="0.25">
      <c r="A370" s="5">
        <v>44223</v>
      </c>
      <c r="B370">
        <v>9.6819999999999996E-3</v>
      </c>
      <c r="C370">
        <v>1.2688E-2</v>
      </c>
      <c r="D370">
        <v>8.9999999999999993E-3</v>
      </c>
      <c r="E370">
        <v>1.1797E-2</v>
      </c>
      <c r="F370">
        <v>465706134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0.51681127982646458</v>
      </c>
      <c r="Q370">
        <f t="shared" si="970"/>
        <v>240682183.135575</v>
      </c>
      <c r="R370">
        <f t="shared" si="971"/>
        <v>-3019332452.3080573</v>
      </c>
      <c r="S370">
        <f t="shared" si="972"/>
        <v>-30193.324523080573</v>
      </c>
      <c r="T370">
        <f t="shared" si="973"/>
        <v>-30.193324523080573</v>
      </c>
    </row>
    <row r="371" spans="1:20" x14ac:dyDescent="0.25">
      <c r="A371" s="5">
        <v>44222</v>
      </c>
      <c r="B371">
        <v>9.2739999999999993E-3</v>
      </c>
      <c r="C371">
        <v>9.9699999999999997E-3</v>
      </c>
      <c r="D371">
        <v>8.9999999999999993E-3</v>
      </c>
      <c r="E371">
        <v>9.639E-3</v>
      </c>
      <c r="F371">
        <v>108277277</v>
      </c>
      <c r="G371">
        <v>0</v>
      </c>
      <c r="L371" t="s">
        <v>8</v>
      </c>
      <c r="M371" t="s">
        <v>7</v>
      </c>
      <c r="N371" t="s">
        <v>8</v>
      </c>
      <c r="P371">
        <f t="shared" si="969"/>
        <v>0.31752577319587716</v>
      </c>
      <c r="Q371">
        <f t="shared" si="970"/>
        <v>34380826.098969169</v>
      </c>
      <c r="R371">
        <f t="shared" si="971"/>
        <v>-3260014635.4436321</v>
      </c>
      <c r="S371">
        <f t="shared" si="972"/>
        <v>-32600.146354436321</v>
      </c>
      <c r="T371">
        <f t="shared" si="973"/>
        <v>-32.600146354436319</v>
      </c>
    </row>
    <row r="372" spans="1:20" x14ac:dyDescent="0.25">
      <c r="A372" s="5">
        <v>44221</v>
      </c>
      <c r="B372">
        <v>9.4310000000000001E-3</v>
      </c>
      <c r="C372">
        <v>9.7780000000000002E-3</v>
      </c>
      <c r="D372">
        <v>9.2049999999999996E-3</v>
      </c>
      <c r="E372">
        <v>9.2750000000000003E-3</v>
      </c>
      <c r="F372">
        <v>69910285</v>
      </c>
      <c r="G372">
        <v>0</v>
      </c>
      <c r="L372" t="s">
        <v>8</v>
      </c>
      <c r="M372" t="s">
        <v>7</v>
      </c>
      <c r="N372" t="s">
        <v>8</v>
      </c>
      <c r="P372">
        <f t="shared" si="969"/>
        <v>-0.75567190226875902</v>
      </c>
      <c r="Q372">
        <f t="shared" si="970"/>
        <v>-52829238.054101087</v>
      </c>
      <c r="R372">
        <f t="shared" si="971"/>
        <v>-3294395461.5426011</v>
      </c>
      <c r="S372">
        <f t="shared" si="972"/>
        <v>-32943.95461542601</v>
      </c>
      <c r="T372">
        <f t="shared" si="973"/>
        <v>-32.943954615426009</v>
      </c>
    </row>
    <row r="373" spans="1:20" x14ac:dyDescent="0.25">
      <c r="A373" s="5">
        <v>44220</v>
      </c>
      <c r="B373">
        <v>9.6950000000000005E-3</v>
      </c>
      <c r="C373">
        <v>1.0111E-2</v>
      </c>
      <c r="D373">
        <v>9.0910000000000001E-3</v>
      </c>
      <c r="E373">
        <v>9.4000000000000004E-3</v>
      </c>
      <c r="F373">
        <v>109829514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-0.39411764705882307</v>
      </c>
      <c r="Q373">
        <f t="shared" si="970"/>
        <v>-43285749.635294065</v>
      </c>
      <c r="R373">
        <f t="shared" si="971"/>
        <v>-3241566223.4885001</v>
      </c>
      <c r="S373">
        <f t="shared" si="972"/>
        <v>-32415.662234885</v>
      </c>
      <c r="T373">
        <f t="shared" si="973"/>
        <v>-32.415662234884998</v>
      </c>
    </row>
    <row r="374" spans="1:20" x14ac:dyDescent="0.25">
      <c r="A374" s="5">
        <v>44219</v>
      </c>
      <c r="B374">
        <v>1.0348E-2</v>
      </c>
      <c r="C374">
        <v>1.0970000000000001E-2</v>
      </c>
      <c r="D374">
        <v>9.4999999999999998E-3</v>
      </c>
      <c r="E374">
        <v>9.6830000000000006E-3</v>
      </c>
      <c r="F374">
        <v>278425292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-0.75102040816326421</v>
      </c>
      <c r="Q374">
        <f t="shared" si="970"/>
        <v>-209103076.44081602</v>
      </c>
      <c r="R374">
        <f t="shared" si="971"/>
        <v>-3198280473.8532062</v>
      </c>
      <c r="S374">
        <f t="shared" si="972"/>
        <v>-31982.804738532061</v>
      </c>
      <c r="T374">
        <f t="shared" si="973"/>
        <v>-31.98280473853206</v>
      </c>
    </row>
    <row r="375" spans="1:20" x14ac:dyDescent="0.25">
      <c r="A375" s="5">
        <v>44218</v>
      </c>
      <c r="B375">
        <v>7.7910000000000002E-3</v>
      </c>
      <c r="C375">
        <v>1.1780000000000001E-2</v>
      </c>
      <c r="D375">
        <v>7.502E-3</v>
      </c>
      <c r="E375">
        <v>1.0344000000000001E-2</v>
      </c>
      <c r="F375">
        <v>1105284432</v>
      </c>
      <c r="G375">
        <v>0</v>
      </c>
      <c r="L375" t="s">
        <v>7</v>
      </c>
      <c r="M375" t="s">
        <v>8</v>
      </c>
      <c r="N375" t="s">
        <v>8</v>
      </c>
      <c r="P375">
        <f t="shared" si="969"/>
        <v>0.32865825151940176</v>
      </c>
      <c r="Q375">
        <f t="shared" si="970"/>
        <v>363260848.8527351</v>
      </c>
      <c r="R375">
        <f t="shared" si="971"/>
        <v>-2989177397.4123902</v>
      </c>
      <c r="S375">
        <f t="shared" si="972"/>
        <v>-29891.773974123902</v>
      </c>
      <c r="T375">
        <f t="shared" si="973"/>
        <v>-29.8917739741239</v>
      </c>
    </row>
    <row r="376" spans="1:20" x14ac:dyDescent="0.25">
      <c r="A376" s="5">
        <v>44217</v>
      </c>
      <c r="B376">
        <v>8.8030000000000001E-3</v>
      </c>
      <c r="C376">
        <v>8.8039999999999993E-3</v>
      </c>
      <c r="D376">
        <v>7.5779999999999997E-3</v>
      </c>
      <c r="E376">
        <v>7.7600000000000004E-3</v>
      </c>
      <c r="F376">
        <v>98269923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-0.70309951060358766</v>
      </c>
      <c r="Q376">
        <f t="shared" si="970"/>
        <v>-69093534.76835224</v>
      </c>
      <c r="R376">
        <f t="shared" si="971"/>
        <v>-3352438246.2651253</v>
      </c>
      <c r="S376">
        <f t="shared" si="972"/>
        <v>-33524.382462651251</v>
      </c>
      <c r="T376">
        <f t="shared" si="973"/>
        <v>-33.524382462651253</v>
      </c>
    </row>
    <row r="377" spans="1:20" x14ac:dyDescent="0.25">
      <c r="A377" s="5">
        <v>44216</v>
      </c>
      <c r="B377">
        <v>9.0229999999999998E-3</v>
      </c>
      <c r="C377">
        <v>9.0910000000000001E-3</v>
      </c>
      <c r="D377">
        <v>8.2740000000000001E-3</v>
      </c>
      <c r="E377">
        <v>8.7889999999999999E-3</v>
      </c>
      <c r="F377">
        <v>66655142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0.26070991432068502</v>
      </c>
      <c r="Q377">
        <f t="shared" si="970"/>
        <v>17377656.359853093</v>
      </c>
      <c r="R377">
        <f t="shared" si="971"/>
        <v>-3283344711.4967732</v>
      </c>
      <c r="S377">
        <f t="shared" si="972"/>
        <v>-32833.447114967734</v>
      </c>
      <c r="T377">
        <f t="shared" si="973"/>
        <v>-32.833447114967733</v>
      </c>
    </row>
    <row r="378" spans="1:20" x14ac:dyDescent="0.25">
      <c r="A378" s="5">
        <v>44215</v>
      </c>
      <c r="B378">
        <v>8.5369999999999994E-3</v>
      </c>
      <c r="C378">
        <v>9.7289999999999998E-3</v>
      </c>
      <c r="D378">
        <v>8.4209999999999997E-3</v>
      </c>
      <c r="E378">
        <v>9.0919999999999994E-3</v>
      </c>
      <c r="F378">
        <v>125684536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2.5993883792048398E-2</v>
      </c>
      <c r="Q378">
        <f t="shared" si="970"/>
        <v>3267029.2232415234</v>
      </c>
      <c r="R378">
        <f t="shared" si="971"/>
        <v>-3300722367.8566265</v>
      </c>
      <c r="S378">
        <f t="shared" si="972"/>
        <v>-33007.223678566268</v>
      </c>
      <c r="T378">
        <f t="shared" si="973"/>
        <v>-33.00722367856627</v>
      </c>
    </row>
    <row r="379" spans="1:20" x14ac:dyDescent="0.25">
      <c r="A379" s="5">
        <v>44214</v>
      </c>
      <c r="B379">
        <v>8.8909999999999996E-3</v>
      </c>
      <c r="C379">
        <v>8.9269999999999992E-3</v>
      </c>
      <c r="D379">
        <v>8.2000000000000007E-3</v>
      </c>
      <c r="E379">
        <v>8.5140000000000007E-3</v>
      </c>
      <c r="F379">
        <v>69202930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-0.13617606602475738</v>
      </c>
      <c r="Q379">
        <f t="shared" si="970"/>
        <v>-9423782.7647866625</v>
      </c>
      <c r="R379">
        <f t="shared" si="971"/>
        <v>-3303989397.0798678</v>
      </c>
      <c r="S379">
        <f t="shared" si="972"/>
        <v>-33039.893970798679</v>
      </c>
      <c r="T379">
        <f t="shared" si="973"/>
        <v>-33.03989397079868</v>
      </c>
    </row>
    <row r="380" spans="1:20" x14ac:dyDescent="0.25">
      <c r="A380" s="5">
        <v>44213</v>
      </c>
      <c r="B380">
        <v>8.1709999999999994E-3</v>
      </c>
      <c r="C380">
        <v>9.1219999999999999E-3</v>
      </c>
      <c r="D380">
        <v>7.4520000000000003E-3</v>
      </c>
      <c r="E380">
        <v>8.8909999999999996E-3</v>
      </c>
      <c r="F380">
        <v>94884162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0.72335329341317323</v>
      </c>
      <c r="Q380">
        <f t="shared" si="970"/>
        <v>68634771.075449064</v>
      </c>
      <c r="R380">
        <f t="shared" si="971"/>
        <v>-3294565614.3150811</v>
      </c>
      <c r="S380">
        <f t="shared" si="972"/>
        <v>-32945.656143150809</v>
      </c>
      <c r="T380">
        <f t="shared" si="973"/>
        <v>-32.945656143150806</v>
      </c>
    </row>
    <row r="381" spans="1:20" x14ac:dyDescent="0.25">
      <c r="A381" s="5">
        <v>44212</v>
      </c>
      <c r="B381">
        <v>8.1019999999999998E-3</v>
      </c>
      <c r="C381">
        <v>9.5910000000000006E-3</v>
      </c>
      <c r="D381">
        <v>7.9019999999999993E-3</v>
      </c>
      <c r="E381">
        <v>8.1720000000000004E-3</v>
      </c>
      <c r="F381">
        <v>152097991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-0.68028419182948374</v>
      </c>
      <c r="Q381">
        <f t="shared" si="970"/>
        <v>-103469858.88632309</v>
      </c>
      <c r="R381">
        <f t="shared" si="971"/>
        <v>-3363200385.3905301</v>
      </c>
      <c r="S381">
        <f t="shared" si="972"/>
        <v>-33632.003853905298</v>
      </c>
      <c r="T381">
        <f t="shared" si="973"/>
        <v>-33.632003853905296</v>
      </c>
    </row>
    <row r="382" spans="1:20" x14ac:dyDescent="0.25">
      <c r="A382" s="5">
        <v>44211</v>
      </c>
      <c r="B382">
        <v>7.3159999999999996E-3</v>
      </c>
      <c r="C382">
        <v>8.5769999999999996E-3</v>
      </c>
      <c r="D382">
        <v>7.1520000000000004E-3</v>
      </c>
      <c r="E382">
        <v>8.0879999999999997E-3</v>
      </c>
      <c r="F382">
        <v>102822913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0.31368421052631562</v>
      </c>
      <c r="Q382">
        <f t="shared" si="970"/>
        <v>32253924.288421035</v>
      </c>
      <c r="R382">
        <f t="shared" si="971"/>
        <v>-3259730526.5042071</v>
      </c>
      <c r="S382">
        <f t="shared" si="972"/>
        <v>-32597.305265042072</v>
      </c>
      <c r="T382">
        <f t="shared" si="973"/>
        <v>-32.597305265042074</v>
      </c>
    </row>
    <row r="383" spans="1:20" x14ac:dyDescent="0.25">
      <c r="A383" s="5">
        <v>44210</v>
      </c>
      <c r="B383">
        <v>7.0590000000000002E-3</v>
      </c>
      <c r="C383">
        <v>7.6449999999999999E-3</v>
      </c>
      <c r="D383">
        <v>6.9810000000000002E-3</v>
      </c>
      <c r="E383">
        <v>7.3020000000000003E-3</v>
      </c>
      <c r="F383">
        <v>56092684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-3.3132530120481118E-2</v>
      </c>
      <c r="Q383">
        <f t="shared" si="970"/>
        <v>-1858492.5421686294</v>
      </c>
      <c r="R383">
        <f t="shared" si="971"/>
        <v>-3291984450.7926283</v>
      </c>
      <c r="S383">
        <f t="shared" si="972"/>
        <v>-32919.844507926282</v>
      </c>
      <c r="T383">
        <f t="shared" si="973"/>
        <v>-32.919844507926285</v>
      </c>
    </row>
    <row r="384" spans="1:20" x14ac:dyDescent="0.25">
      <c r="A384" s="5">
        <v>44209</v>
      </c>
      <c r="B384">
        <v>6.8190000000000004E-3</v>
      </c>
      <c r="C384">
        <v>7.3499999999999998E-3</v>
      </c>
      <c r="D384">
        <v>6.6E-3</v>
      </c>
      <c r="E384">
        <v>7.0600000000000003E-3</v>
      </c>
      <c r="F384">
        <v>42605621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0.2266666666666679</v>
      </c>
      <c r="Q384">
        <f t="shared" si="970"/>
        <v>9657274.0933333859</v>
      </c>
      <c r="R384">
        <f t="shared" si="971"/>
        <v>-3290125958.2504597</v>
      </c>
      <c r="S384">
        <f t="shared" si="972"/>
        <v>-32901.259582504594</v>
      </c>
      <c r="T384">
        <f t="shared" si="973"/>
        <v>-32.901259582504593</v>
      </c>
    </row>
    <row r="385" spans="1:20" x14ac:dyDescent="0.25">
      <c r="A385" s="5">
        <v>44208</v>
      </c>
      <c r="B385">
        <v>6.9340000000000001E-3</v>
      </c>
      <c r="C385">
        <v>7.3800000000000003E-3</v>
      </c>
      <c r="D385">
        <v>6.4999999999999997E-3</v>
      </c>
      <c r="E385">
        <v>6.8190000000000004E-3</v>
      </c>
      <c r="F385">
        <v>68560900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-0.27499999999999886</v>
      </c>
      <c r="Q385">
        <f t="shared" si="970"/>
        <v>-18854247.499999922</v>
      </c>
      <c r="R385">
        <f t="shared" si="971"/>
        <v>-3299783232.3437929</v>
      </c>
      <c r="S385">
        <f t="shared" si="972"/>
        <v>-32997.832323437928</v>
      </c>
      <c r="T385">
        <f t="shared" si="973"/>
        <v>-32.997832323437926</v>
      </c>
    </row>
    <row r="386" spans="1:20" x14ac:dyDescent="0.25">
      <c r="A386" s="5">
        <v>44207</v>
      </c>
      <c r="B386">
        <v>7.5589999999999997E-3</v>
      </c>
      <c r="C386">
        <v>7.5680000000000001E-3</v>
      </c>
      <c r="D386">
        <v>6.1869999999999998E-3</v>
      </c>
      <c r="E386">
        <v>6.9350000000000002E-3</v>
      </c>
      <c r="F386">
        <v>86289228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8.3272990586531856E-2</v>
      </c>
      <c r="Q386">
        <f t="shared" si="970"/>
        <v>7185562.0709631015</v>
      </c>
      <c r="R386">
        <f t="shared" si="971"/>
        <v>-3280928984.8437929</v>
      </c>
      <c r="S386">
        <f t="shared" si="972"/>
        <v>-32809.289848437926</v>
      </c>
      <c r="T386">
        <f t="shared" si="973"/>
        <v>-32.809289848437928</v>
      </c>
    </row>
    <row r="387" spans="1:20" x14ac:dyDescent="0.25">
      <c r="A387" s="5">
        <v>44206</v>
      </c>
      <c r="B387">
        <v>7.9629999999999996E-3</v>
      </c>
      <c r="C387">
        <v>8.8000000000000005E-3</v>
      </c>
      <c r="D387">
        <v>7.1009999999999997E-3</v>
      </c>
      <c r="E387">
        <v>7.5310000000000004E-3</v>
      </c>
      <c r="F387">
        <v>120518834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-0.49381989405532611</v>
      </c>
      <c r="Q387">
        <f t="shared" si="970"/>
        <v>-59514597.837551437</v>
      </c>
      <c r="R387">
        <f t="shared" si="971"/>
        <v>-3288114546.9147558</v>
      </c>
      <c r="S387">
        <f t="shared" si="972"/>
        <v>-32881.145469147559</v>
      </c>
      <c r="T387">
        <f t="shared" si="973"/>
        <v>-32.881145469147562</v>
      </c>
    </row>
    <row r="388" spans="1:20" x14ac:dyDescent="0.25">
      <c r="A388" s="5">
        <v>44205</v>
      </c>
      <c r="B388">
        <v>7.2069999999999999E-3</v>
      </c>
      <c r="C388">
        <v>1.0277E-2</v>
      </c>
      <c r="D388">
        <v>7.0419999999999996E-3</v>
      </c>
      <c r="E388">
        <v>7.9059999999999998E-3</v>
      </c>
      <c r="F388">
        <v>315242918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-0.4658423493044821</v>
      </c>
      <c r="Q388">
        <f t="shared" si="970"/>
        <v>-146853501.52272022</v>
      </c>
      <c r="R388">
        <f t="shared" si="971"/>
        <v>-3228599949.0772042</v>
      </c>
      <c r="S388">
        <f t="shared" si="972"/>
        <v>-32285.999490772043</v>
      </c>
      <c r="T388">
        <f t="shared" si="973"/>
        <v>-32.285999490772042</v>
      </c>
    </row>
    <row r="389" spans="1:20" x14ac:dyDescent="0.25">
      <c r="A389" s="5">
        <v>44204</v>
      </c>
      <c r="B389">
        <v>7.3000000000000001E-3</v>
      </c>
      <c r="C389">
        <v>7.4349999999999998E-3</v>
      </c>
      <c r="D389">
        <v>6.5449999999999996E-3</v>
      </c>
      <c r="E389">
        <v>7.1510000000000002E-3</v>
      </c>
      <c r="F389">
        <v>79420626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0.36179775280898996</v>
      </c>
      <c r="Q389">
        <f t="shared" si="970"/>
        <v>28734204.013483241</v>
      </c>
      <c r="R389">
        <f t="shared" si="971"/>
        <v>-3081746447.5544839</v>
      </c>
      <c r="S389">
        <f t="shared" si="972"/>
        <v>-30817.464475544839</v>
      </c>
      <c r="T389">
        <f t="shared" si="973"/>
        <v>-30.817464475544838</v>
      </c>
    </row>
    <row r="390" spans="1:20" x14ac:dyDescent="0.25">
      <c r="A390" s="5">
        <v>44203</v>
      </c>
      <c r="B390">
        <v>7.3730000000000002E-3</v>
      </c>
      <c r="C390">
        <v>7.7999999999999996E-3</v>
      </c>
      <c r="D390">
        <v>7.1180000000000002E-3</v>
      </c>
      <c r="E390">
        <v>7.3090000000000004E-3</v>
      </c>
      <c r="F390">
        <v>99891895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-0.43988269794721302</v>
      </c>
      <c r="Q390">
        <f t="shared" ref="Q390:Q453" si="975">F390*P390</f>
        <v>-43940716.275659718</v>
      </c>
      <c r="R390">
        <f t="shared" ref="R390:R453" si="976">R391+Q390</f>
        <v>-3110480651.5679669</v>
      </c>
      <c r="S390">
        <f t="shared" ref="S390:S453" si="977">R390/100000</f>
        <v>-31104.806515679669</v>
      </c>
      <c r="T390">
        <f t="shared" ref="T390:T453" si="978">S390/1000</f>
        <v>-31.10480651567967</v>
      </c>
    </row>
    <row r="391" spans="1:20" x14ac:dyDescent="0.25">
      <c r="A391" s="5">
        <v>44202</v>
      </c>
      <c r="B391">
        <v>6.9030000000000003E-3</v>
      </c>
      <c r="C391">
        <v>7.7000000000000002E-3</v>
      </c>
      <c r="D391">
        <v>6.8479999999999999E-3</v>
      </c>
      <c r="E391">
        <v>7.3740000000000003E-3</v>
      </c>
      <c r="F391">
        <v>59288656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0.23474178403755921</v>
      </c>
      <c r="Q391">
        <f t="shared" si="975"/>
        <v>13917524.882629139</v>
      </c>
      <c r="R391">
        <f t="shared" si="976"/>
        <v>-3066539935.2923074</v>
      </c>
      <c r="S391">
        <f t="shared" si="977"/>
        <v>-30665.399352923072</v>
      </c>
      <c r="T391">
        <f t="shared" si="978"/>
        <v>-30.665399352923071</v>
      </c>
    </row>
    <row r="392" spans="1:20" x14ac:dyDescent="0.25">
      <c r="A392" s="5">
        <v>44201</v>
      </c>
      <c r="B392">
        <v>6.5620000000000001E-3</v>
      </c>
      <c r="C392">
        <v>7.2100000000000003E-3</v>
      </c>
      <c r="D392">
        <v>6.202E-3</v>
      </c>
      <c r="E392">
        <v>6.8599999999999998E-3</v>
      </c>
      <c r="F392">
        <v>55917959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0.30555555555555475</v>
      </c>
      <c r="Q392">
        <f t="shared" si="975"/>
        <v>17086043.027777731</v>
      </c>
      <c r="R392">
        <f t="shared" si="976"/>
        <v>-3080457460.1749363</v>
      </c>
      <c r="S392">
        <f t="shared" si="977"/>
        <v>-30804.574601749362</v>
      </c>
      <c r="T392">
        <f t="shared" si="978"/>
        <v>-30.804574601749362</v>
      </c>
    </row>
    <row r="393" spans="1:20" x14ac:dyDescent="0.25">
      <c r="A393" s="5">
        <v>44200</v>
      </c>
      <c r="B393">
        <v>6.7349999999999997E-3</v>
      </c>
      <c r="C393">
        <v>7.2500000000000004E-3</v>
      </c>
      <c r="D393">
        <v>6.0000000000000001E-3</v>
      </c>
      <c r="E393">
        <v>6.5160000000000001E-3</v>
      </c>
      <c r="F393">
        <v>66921679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-0.17440000000000022</v>
      </c>
      <c r="Q393">
        <f t="shared" si="975"/>
        <v>-11671140.817600016</v>
      </c>
      <c r="R393">
        <f t="shared" si="976"/>
        <v>-3097543503.202714</v>
      </c>
      <c r="S393">
        <f t="shared" si="977"/>
        <v>-30975.435032027141</v>
      </c>
      <c r="T393">
        <f t="shared" si="978"/>
        <v>-30.975435032027139</v>
      </c>
    </row>
    <row r="394" spans="1:20" x14ac:dyDescent="0.25">
      <c r="A394" s="5">
        <v>44199</v>
      </c>
      <c r="B394">
        <v>6.6410000000000002E-3</v>
      </c>
      <c r="C394">
        <v>6.7999999999999996E-3</v>
      </c>
      <c r="D394">
        <v>6.391E-3</v>
      </c>
      <c r="E394">
        <v>6.7359999999999998E-3</v>
      </c>
      <c r="F394">
        <v>51217836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0.6870415647921766</v>
      </c>
      <c r="Q394">
        <f t="shared" si="975"/>
        <v>35188782.190709077</v>
      </c>
      <c r="R394">
        <f t="shared" si="976"/>
        <v>-3085872362.3851137</v>
      </c>
      <c r="S394">
        <f t="shared" si="977"/>
        <v>-30858.723623851136</v>
      </c>
      <c r="T394">
        <f t="shared" si="978"/>
        <v>-30.858723623851137</v>
      </c>
    </row>
    <row r="395" spans="1:20" x14ac:dyDescent="0.25">
      <c r="A395" s="5">
        <v>44198</v>
      </c>
      <c r="B395">
        <v>6.6010000000000001E-3</v>
      </c>
      <c r="C395">
        <v>6.9199999999999999E-3</v>
      </c>
      <c r="D395">
        <v>6.3800000000000003E-3</v>
      </c>
      <c r="E395">
        <v>6.6420000000000003E-3</v>
      </c>
      <c r="F395">
        <v>44731818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-2.962962962962876E-2</v>
      </c>
      <c r="Q395">
        <f t="shared" si="975"/>
        <v>-1325387.1999999611</v>
      </c>
      <c r="R395">
        <f t="shared" si="976"/>
        <v>-3121061144.5758228</v>
      </c>
      <c r="S395">
        <f t="shared" si="977"/>
        <v>-31210.61144575823</v>
      </c>
      <c r="T395">
        <f t="shared" si="978"/>
        <v>-31.210611445758229</v>
      </c>
    </row>
    <row r="396" spans="1:20" x14ac:dyDescent="0.25">
      <c r="A396" s="5">
        <v>44197</v>
      </c>
      <c r="B396">
        <v>6.3619999999999996E-3</v>
      </c>
      <c r="C396">
        <v>6.9259999999999999E-3</v>
      </c>
      <c r="D396">
        <v>6.293E-3</v>
      </c>
      <c r="E396">
        <v>6.6020000000000002E-3</v>
      </c>
      <c r="F396">
        <v>51785859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-2.3696682464454014E-2</v>
      </c>
      <c r="Q396">
        <f t="shared" si="975"/>
        <v>-1227153.0568719881</v>
      </c>
      <c r="R396">
        <f t="shared" si="976"/>
        <v>-3119735757.375823</v>
      </c>
      <c r="S396">
        <f t="shared" si="977"/>
        <v>-31197.357573758229</v>
      </c>
      <c r="T396">
        <f t="shared" si="978"/>
        <v>-31.197357573758229</v>
      </c>
    </row>
    <row r="397" spans="1:20" x14ac:dyDescent="0.25">
      <c r="A397" s="5">
        <v>44196</v>
      </c>
      <c r="B397">
        <v>6.6629999999999997E-3</v>
      </c>
      <c r="C397">
        <v>6.6909999999999999E-3</v>
      </c>
      <c r="D397">
        <v>6.2899999999999996E-3</v>
      </c>
      <c r="E397">
        <v>6.3720000000000001E-3</v>
      </c>
      <c r="F397">
        <v>23289060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-0.59102244389027225</v>
      </c>
      <c r="Q397">
        <f t="shared" si="975"/>
        <v>-13764357.157107184</v>
      </c>
      <c r="R397">
        <f t="shared" si="976"/>
        <v>-3118508604.3189511</v>
      </c>
      <c r="S397">
        <f t="shared" si="977"/>
        <v>-31185.086043189513</v>
      </c>
      <c r="T397">
        <f t="shared" si="978"/>
        <v>-31.185086043189514</v>
      </c>
    </row>
    <row r="398" spans="1:20" x14ac:dyDescent="0.25">
      <c r="A398" s="5">
        <v>44195</v>
      </c>
      <c r="B398">
        <v>6.5839999999999996E-3</v>
      </c>
      <c r="C398">
        <v>6.7990000000000004E-3</v>
      </c>
      <c r="D398">
        <v>6.3420000000000004E-3</v>
      </c>
      <c r="E398">
        <v>6.6629999999999997E-3</v>
      </c>
      <c r="F398">
        <v>38753515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0.40481400437636444</v>
      </c>
      <c r="Q398">
        <f t="shared" si="975"/>
        <v>15687965.590809505</v>
      </c>
      <c r="R398">
        <f t="shared" si="976"/>
        <v>-3104744247.1618438</v>
      </c>
      <c r="S398">
        <f t="shared" si="977"/>
        <v>-31047.442471618437</v>
      </c>
      <c r="T398">
        <f t="shared" si="978"/>
        <v>-31.047442471618435</v>
      </c>
    </row>
    <row r="399" spans="1:20" x14ac:dyDescent="0.25">
      <c r="A399" s="5">
        <v>44194</v>
      </c>
      <c r="B399">
        <v>6.5160000000000001E-3</v>
      </c>
      <c r="C399">
        <v>6.9579999999999998E-3</v>
      </c>
      <c r="D399">
        <v>6.1209999999999997E-3</v>
      </c>
      <c r="E399">
        <v>6.5839999999999996E-3</v>
      </c>
      <c r="F399">
        <v>54924718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0.1063321385902027</v>
      </c>
      <c r="Q399">
        <f t="shared" si="975"/>
        <v>5840262.7264038008</v>
      </c>
      <c r="R399">
        <f t="shared" si="976"/>
        <v>-3120432212.7526531</v>
      </c>
      <c r="S399">
        <f t="shared" si="977"/>
        <v>-31204.322127526531</v>
      </c>
      <c r="T399">
        <f t="shared" si="978"/>
        <v>-31.204322127526531</v>
      </c>
    </row>
    <row r="400" spans="1:20" x14ac:dyDescent="0.25">
      <c r="A400" s="5">
        <v>44193</v>
      </c>
      <c r="B400">
        <v>6.7460000000000003E-3</v>
      </c>
      <c r="C400">
        <v>6.9690000000000004E-3</v>
      </c>
      <c r="D400">
        <v>6.2919999999999998E-3</v>
      </c>
      <c r="E400">
        <v>6.5209999999999999E-3</v>
      </c>
      <c r="F400">
        <v>57821509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-0.32348596750369318</v>
      </c>
      <c r="Q400">
        <f t="shared" si="975"/>
        <v>-18704446.781388503</v>
      </c>
      <c r="R400">
        <f t="shared" si="976"/>
        <v>-3126272475.4790568</v>
      </c>
      <c r="S400">
        <f t="shared" si="977"/>
        <v>-31262.724754790568</v>
      </c>
      <c r="T400">
        <f t="shared" si="978"/>
        <v>-31.262724754790568</v>
      </c>
    </row>
    <row r="401" spans="1:20" x14ac:dyDescent="0.25">
      <c r="A401" s="5">
        <v>44192</v>
      </c>
      <c r="B401">
        <v>6.8760000000000002E-3</v>
      </c>
      <c r="C401">
        <v>7.1069999999999996E-3</v>
      </c>
      <c r="D401">
        <v>6.6210000000000001E-3</v>
      </c>
      <c r="E401">
        <v>6.7489999999999998E-3</v>
      </c>
      <c r="F401">
        <v>43132184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-0.47325102880658526</v>
      </c>
      <c r="Q401">
        <f t="shared" si="975"/>
        <v>-20412350.452674937</v>
      </c>
      <c r="R401">
        <f t="shared" si="976"/>
        <v>-3107568028.6976686</v>
      </c>
      <c r="S401">
        <f t="shared" si="977"/>
        <v>-31075.680286976687</v>
      </c>
      <c r="T401">
        <f t="shared" si="978"/>
        <v>-31.075680286976688</v>
      </c>
    </row>
    <row r="402" spans="1:20" x14ac:dyDescent="0.25">
      <c r="A402" s="5">
        <v>44191</v>
      </c>
      <c r="B402">
        <v>6.5560000000000002E-3</v>
      </c>
      <c r="C402">
        <v>7.0099999999999997E-3</v>
      </c>
      <c r="D402">
        <v>6.3410000000000003E-3</v>
      </c>
      <c r="E402">
        <v>6.8770000000000003E-3</v>
      </c>
      <c r="F402">
        <v>58558909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0.60239162929746026</v>
      </c>
      <c r="Q402">
        <f t="shared" si="975"/>
        <v>35275396.602391712</v>
      </c>
      <c r="R402">
        <f t="shared" si="976"/>
        <v>-3087155678.2449937</v>
      </c>
      <c r="S402">
        <f t="shared" si="977"/>
        <v>-30871.556782449938</v>
      </c>
      <c r="T402">
        <f t="shared" si="978"/>
        <v>-30.871556782449936</v>
      </c>
    </row>
    <row r="403" spans="1:20" x14ac:dyDescent="0.25">
      <c r="A403" s="5">
        <v>44190</v>
      </c>
      <c r="B403">
        <v>6.6629999999999997E-3</v>
      </c>
      <c r="C403">
        <v>6.9080000000000001E-3</v>
      </c>
      <c r="D403">
        <v>6.4159999999999998E-3</v>
      </c>
      <c r="E403">
        <v>6.5579999999999996E-3</v>
      </c>
      <c r="F403">
        <v>43333568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-0.42276422764227767</v>
      </c>
      <c r="Q403">
        <f t="shared" si="975"/>
        <v>-18319882.406504121</v>
      </c>
      <c r="R403">
        <f t="shared" si="976"/>
        <v>-3122431074.8473854</v>
      </c>
      <c r="S403">
        <f t="shared" si="977"/>
        <v>-31224.310748473854</v>
      </c>
      <c r="T403">
        <f t="shared" si="978"/>
        <v>-31.224310748473854</v>
      </c>
    </row>
    <row r="404" spans="1:20" x14ac:dyDescent="0.25">
      <c r="A404" s="5">
        <v>44189</v>
      </c>
      <c r="B404">
        <v>5.953E-3</v>
      </c>
      <c r="C404">
        <v>6.7590000000000003E-3</v>
      </c>
      <c r="D404">
        <v>5.8609999999999999E-3</v>
      </c>
      <c r="E404">
        <v>6.6639999999999998E-3</v>
      </c>
      <c r="F404">
        <v>43210135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0.78841870824053362</v>
      </c>
      <c r="Q404">
        <f t="shared" si="975"/>
        <v>34067678.81959907</v>
      </c>
      <c r="R404">
        <f t="shared" si="976"/>
        <v>-3104111192.4408813</v>
      </c>
      <c r="S404">
        <f t="shared" si="977"/>
        <v>-31041.111924408811</v>
      </c>
      <c r="T404">
        <f t="shared" si="978"/>
        <v>-31.04111192440881</v>
      </c>
    </row>
    <row r="405" spans="1:20" x14ac:dyDescent="0.25">
      <c r="A405" s="5">
        <v>44188</v>
      </c>
      <c r="B405">
        <v>7.045E-3</v>
      </c>
      <c r="C405">
        <v>7.0790000000000002E-3</v>
      </c>
      <c r="D405">
        <v>5.7600000000000004E-3</v>
      </c>
      <c r="E405">
        <v>5.9490000000000003E-3</v>
      </c>
      <c r="F405">
        <v>65613268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-0.71341925701288866</v>
      </c>
      <c r="Q405">
        <f t="shared" si="975"/>
        <v>-46809768.906747542</v>
      </c>
      <c r="R405">
        <f t="shared" si="976"/>
        <v>-3138178871.2604804</v>
      </c>
      <c r="S405">
        <f t="shared" si="977"/>
        <v>-31381.788712604804</v>
      </c>
      <c r="T405">
        <f t="shared" si="978"/>
        <v>-31.381788712604806</v>
      </c>
    </row>
    <row r="406" spans="1:20" x14ac:dyDescent="0.25">
      <c r="A406" s="5">
        <v>44187</v>
      </c>
      <c r="B406">
        <v>7.2249999999999997E-3</v>
      </c>
      <c r="C406">
        <v>7.2719999999999998E-3</v>
      </c>
      <c r="D406">
        <v>6.8910000000000004E-3</v>
      </c>
      <c r="E406">
        <v>7.0400000000000003E-3</v>
      </c>
      <c r="F406">
        <v>48126020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-0.21784776902887107</v>
      </c>
      <c r="Q406">
        <f t="shared" si="975"/>
        <v>-10484146.08923883</v>
      </c>
      <c r="R406">
        <f t="shared" si="976"/>
        <v>-3091369102.3537331</v>
      </c>
      <c r="S406">
        <f t="shared" si="977"/>
        <v>-30913.691023537329</v>
      </c>
      <c r="T406">
        <f t="shared" si="978"/>
        <v>-30.913691023537329</v>
      </c>
    </row>
    <row r="407" spans="1:20" x14ac:dyDescent="0.25">
      <c r="A407" s="5">
        <v>44186</v>
      </c>
      <c r="B407">
        <v>7.2719999999999998E-3</v>
      </c>
      <c r="C407">
        <v>7.731E-3</v>
      </c>
      <c r="D407">
        <v>6.7749999999999998E-3</v>
      </c>
      <c r="E407">
        <v>7.2090000000000001E-3</v>
      </c>
      <c r="F407">
        <v>62636876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-9.2050209205020411E-2</v>
      </c>
      <c r="Q407">
        <f t="shared" si="975"/>
        <v>-5765737.539748922</v>
      </c>
      <c r="R407">
        <f t="shared" si="976"/>
        <v>-3080884956.2644944</v>
      </c>
      <c r="S407">
        <f t="shared" si="977"/>
        <v>-30808.849562644944</v>
      </c>
      <c r="T407">
        <f t="shared" si="978"/>
        <v>-30.808849562644944</v>
      </c>
    </row>
    <row r="408" spans="1:20" x14ac:dyDescent="0.25">
      <c r="A408" s="5">
        <v>44185</v>
      </c>
      <c r="B408">
        <v>6.9249999999999997E-3</v>
      </c>
      <c r="C408">
        <v>8.2199999999999999E-3</v>
      </c>
      <c r="D408">
        <v>6.7999999999999996E-3</v>
      </c>
      <c r="E408">
        <v>7.2719999999999998E-3</v>
      </c>
      <c r="F408">
        <v>114402270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-0.33521126760563363</v>
      </c>
      <c r="Q408">
        <f t="shared" si="975"/>
        <v>-38348929.943661951</v>
      </c>
      <c r="R408">
        <f t="shared" si="976"/>
        <v>-3075119218.7247453</v>
      </c>
      <c r="S408">
        <f t="shared" si="977"/>
        <v>-30751.192187247452</v>
      </c>
      <c r="T408">
        <f t="shared" si="978"/>
        <v>-30.751192187247451</v>
      </c>
    </row>
    <row r="409" spans="1:20" x14ac:dyDescent="0.25">
      <c r="A409" s="5">
        <v>44184</v>
      </c>
      <c r="B409">
        <v>7.2899999999999996E-3</v>
      </c>
      <c r="C409">
        <v>7.4400000000000004E-3</v>
      </c>
      <c r="D409">
        <v>6.7390000000000002E-3</v>
      </c>
      <c r="E409">
        <v>6.9249999999999997E-3</v>
      </c>
      <c r="F409">
        <v>77503785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-0.46932952924393873</v>
      </c>
      <c r="Q409">
        <f t="shared" si="975"/>
        <v>-36374814.928673439</v>
      </c>
      <c r="R409">
        <f t="shared" si="976"/>
        <v>-3036770288.7810831</v>
      </c>
      <c r="S409">
        <f t="shared" si="977"/>
        <v>-30367.702887810832</v>
      </c>
      <c r="T409">
        <f t="shared" si="978"/>
        <v>-30.367702887810832</v>
      </c>
    </row>
    <row r="410" spans="1:20" x14ac:dyDescent="0.25">
      <c r="A410" s="5">
        <v>44183</v>
      </c>
      <c r="B410">
        <v>6.8349999999999999E-3</v>
      </c>
      <c r="C410">
        <v>7.4999999999999997E-3</v>
      </c>
      <c r="D410">
        <v>6.7000000000000002E-3</v>
      </c>
      <c r="E410">
        <v>7.2899999999999996E-3</v>
      </c>
      <c r="F410">
        <v>116665344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0.47499999999999937</v>
      </c>
      <c r="Q410">
        <f t="shared" si="975"/>
        <v>55416038.399999924</v>
      </c>
      <c r="R410">
        <f t="shared" si="976"/>
        <v>-3000395473.8524098</v>
      </c>
      <c r="S410">
        <f t="shared" si="977"/>
        <v>-30003.954738524099</v>
      </c>
      <c r="T410">
        <f t="shared" si="978"/>
        <v>-30.003954738524097</v>
      </c>
    </row>
    <row r="411" spans="1:20" x14ac:dyDescent="0.25">
      <c r="A411" s="5">
        <v>44182</v>
      </c>
      <c r="B411">
        <v>7.0000000000000001E-3</v>
      </c>
      <c r="C411">
        <v>8.7049999999999992E-3</v>
      </c>
      <c r="D411">
        <v>6.3210000000000002E-3</v>
      </c>
      <c r="E411">
        <v>6.8190000000000004E-3</v>
      </c>
      <c r="F411">
        <v>331628673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-0.58221476510067083</v>
      </c>
      <c r="Q411">
        <f t="shared" si="975"/>
        <v>-193079109.95134217</v>
      </c>
      <c r="R411">
        <f t="shared" si="976"/>
        <v>-3055811512.2524099</v>
      </c>
      <c r="S411">
        <f t="shared" si="977"/>
        <v>-30558.115122524101</v>
      </c>
      <c r="T411">
        <f t="shared" si="978"/>
        <v>-30.5581151225241</v>
      </c>
    </row>
    <row r="412" spans="1:20" x14ac:dyDescent="0.25">
      <c r="A412" s="5">
        <v>44181</v>
      </c>
      <c r="B412">
        <v>7.0150000000000004E-3</v>
      </c>
      <c r="C412">
        <v>7.0829999999999999E-3</v>
      </c>
      <c r="D412">
        <v>6.77E-3</v>
      </c>
      <c r="E412">
        <v>7.0000000000000001E-3</v>
      </c>
      <c r="F412">
        <v>58914895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0.46964856230032098</v>
      </c>
      <c r="Q412">
        <f t="shared" si="975"/>
        <v>27669295.734824371</v>
      </c>
      <c r="R412">
        <f t="shared" si="976"/>
        <v>-2862732402.3010678</v>
      </c>
      <c r="S412">
        <f t="shared" si="977"/>
        <v>-28627.324023010679</v>
      </c>
      <c r="T412">
        <f t="shared" si="978"/>
        <v>-28.627324023010679</v>
      </c>
    </row>
    <row r="413" spans="1:20" x14ac:dyDescent="0.25">
      <c r="A413" s="5">
        <v>44180</v>
      </c>
      <c r="B413">
        <v>7.4229999999999999E-3</v>
      </c>
      <c r="C413">
        <v>7.4539999999999997E-3</v>
      </c>
      <c r="D413">
        <v>6.999E-3</v>
      </c>
      <c r="E413">
        <v>7.0299999999999998E-3</v>
      </c>
      <c r="F413">
        <v>37748036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-0.86373626373626466</v>
      </c>
      <c r="Q413">
        <f t="shared" si="975"/>
        <v>-32604347.578022014</v>
      </c>
      <c r="R413">
        <f t="shared" si="976"/>
        <v>-2890401698.035892</v>
      </c>
      <c r="S413">
        <f t="shared" si="977"/>
        <v>-28904.01698035892</v>
      </c>
      <c r="T413">
        <f t="shared" si="978"/>
        <v>-28.904016980358918</v>
      </c>
    </row>
    <row r="414" spans="1:20" x14ac:dyDescent="0.25">
      <c r="A414" s="5">
        <v>44179</v>
      </c>
      <c r="B414">
        <v>7.1139999999999997E-3</v>
      </c>
      <c r="C414">
        <v>7.4999999999999997E-3</v>
      </c>
      <c r="D414">
        <v>7.0390000000000001E-3</v>
      </c>
      <c r="E414">
        <v>7.4229999999999999E-3</v>
      </c>
      <c r="F414">
        <v>36020828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0.66594360086767945</v>
      </c>
      <c r="Q414">
        <f t="shared" si="975"/>
        <v>23987839.904555332</v>
      </c>
      <c r="R414">
        <f t="shared" si="976"/>
        <v>-2857797350.45787</v>
      </c>
      <c r="S414">
        <f t="shared" si="977"/>
        <v>-28577.973504578698</v>
      </c>
      <c r="T414">
        <f t="shared" si="978"/>
        <v>-28.577973504578697</v>
      </c>
    </row>
    <row r="415" spans="1:20" x14ac:dyDescent="0.25">
      <c r="A415" s="5">
        <v>44178</v>
      </c>
      <c r="B415">
        <v>7.0699999999999999E-3</v>
      </c>
      <c r="C415">
        <v>7.3340000000000002E-3</v>
      </c>
      <c r="D415">
        <v>6.9680000000000002E-3</v>
      </c>
      <c r="E415">
        <v>7.1139999999999997E-3</v>
      </c>
      <c r="F415">
        <v>33678115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-0.20218579234972991</v>
      </c>
      <c r="Q415">
        <f t="shared" si="975"/>
        <v>-6809236.3661203245</v>
      </c>
      <c r="R415">
        <f t="shared" si="976"/>
        <v>-2881785190.3624253</v>
      </c>
      <c r="S415">
        <f t="shared" si="977"/>
        <v>-28817.851903624254</v>
      </c>
      <c r="T415">
        <f t="shared" si="978"/>
        <v>-28.817851903624256</v>
      </c>
    </row>
    <row r="416" spans="1:20" x14ac:dyDescent="0.25">
      <c r="A416" s="5">
        <v>44177</v>
      </c>
      <c r="B416">
        <v>7.0499999999999998E-3</v>
      </c>
      <c r="C416">
        <v>7.2890000000000003E-3</v>
      </c>
      <c r="D416">
        <v>6.9690000000000004E-3</v>
      </c>
      <c r="E416">
        <v>7.0720000000000002E-3</v>
      </c>
      <c r="F416">
        <v>38368335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-0.35625000000000123</v>
      </c>
      <c r="Q416">
        <f t="shared" si="975"/>
        <v>-13668719.343750047</v>
      </c>
      <c r="R416">
        <f t="shared" si="976"/>
        <v>-2874975953.996305</v>
      </c>
      <c r="S416">
        <f t="shared" si="977"/>
        <v>-28749.759539963048</v>
      </c>
      <c r="T416">
        <f t="shared" si="978"/>
        <v>-28.749759539963048</v>
      </c>
    </row>
    <row r="417" spans="1:20" x14ac:dyDescent="0.25">
      <c r="A417" s="5">
        <v>44176</v>
      </c>
      <c r="B417">
        <v>6.816E-3</v>
      </c>
      <c r="C417">
        <v>7.3359999999999996E-3</v>
      </c>
      <c r="D417">
        <v>6.5300000000000002E-3</v>
      </c>
      <c r="E417">
        <v>7.0569999999999999E-3</v>
      </c>
      <c r="F417">
        <v>47950930</v>
      </c>
      <c r="G417">
        <v>0</v>
      </c>
      <c r="L417" t="s">
        <v>8</v>
      </c>
      <c r="M417" t="s">
        <v>7</v>
      </c>
      <c r="N417" t="s">
        <v>8</v>
      </c>
      <c r="P417">
        <f t="shared" si="974"/>
        <v>0.30769230769230788</v>
      </c>
      <c r="Q417">
        <f t="shared" si="975"/>
        <v>14754132.307692317</v>
      </c>
      <c r="R417">
        <f t="shared" si="976"/>
        <v>-2861307234.652555</v>
      </c>
      <c r="S417">
        <f t="shared" si="977"/>
        <v>-28613.072346525551</v>
      </c>
      <c r="T417">
        <f t="shared" si="978"/>
        <v>-28.613072346525552</v>
      </c>
    </row>
    <row r="418" spans="1:20" x14ac:dyDescent="0.25">
      <c r="A418" s="5">
        <v>44175</v>
      </c>
      <c r="B418">
        <v>7.0109999999999999E-3</v>
      </c>
      <c r="C418">
        <v>7.012E-3</v>
      </c>
      <c r="D418">
        <v>6.6480000000000003E-3</v>
      </c>
      <c r="E418">
        <v>6.7869999999999996E-3</v>
      </c>
      <c r="F418">
        <v>27667804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-0.2362637362637392</v>
      </c>
      <c r="Q418">
        <f t="shared" si="975"/>
        <v>-6536898.7472528284</v>
      </c>
      <c r="R418">
        <f t="shared" si="976"/>
        <v>-2876061366.9602475</v>
      </c>
      <c r="S418">
        <f t="shared" si="977"/>
        <v>-28760.613669602477</v>
      </c>
      <c r="T418">
        <f t="shared" si="978"/>
        <v>-28.760613669602478</v>
      </c>
    </row>
    <row r="419" spans="1:20" x14ac:dyDescent="0.25">
      <c r="A419" s="5">
        <v>44174</v>
      </c>
      <c r="B419">
        <v>6.6950000000000004E-3</v>
      </c>
      <c r="C419">
        <v>7.097E-3</v>
      </c>
      <c r="D419">
        <v>6.4359999999999999E-3</v>
      </c>
      <c r="E419">
        <v>7.0140000000000003E-3</v>
      </c>
      <c r="F419">
        <v>22688131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0.74886535552193734</v>
      </c>
      <c r="Q419">
        <f t="shared" si="975"/>
        <v>16990355.287443288</v>
      </c>
      <c r="R419">
        <f t="shared" si="976"/>
        <v>-2869524468.2129946</v>
      </c>
      <c r="S419">
        <f t="shared" si="977"/>
        <v>-28695.244682129945</v>
      </c>
      <c r="T419">
        <f t="shared" si="978"/>
        <v>-28.695244682129946</v>
      </c>
    </row>
    <row r="420" spans="1:20" x14ac:dyDescent="0.25">
      <c r="A420" s="5">
        <v>44173</v>
      </c>
      <c r="B420">
        <v>7.1650000000000004E-3</v>
      </c>
      <c r="C420">
        <v>7.2769999999999996E-3</v>
      </c>
      <c r="D420">
        <v>6.5620000000000001E-3</v>
      </c>
      <c r="E420">
        <v>6.6579999999999999E-3</v>
      </c>
      <c r="F420">
        <v>20877942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-0.73146853146853208</v>
      </c>
      <c r="Q420">
        <f t="shared" si="975"/>
        <v>-15271557.574825188</v>
      </c>
      <c r="R420">
        <f t="shared" si="976"/>
        <v>-2886514823.5004377</v>
      </c>
      <c r="S420">
        <f t="shared" si="977"/>
        <v>-28865.148235004377</v>
      </c>
      <c r="T420">
        <f t="shared" si="978"/>
        <v>-28.865148235004376</v>
      </c>
    </row>
    <row r="421" spans="1:20" x14ac:dyDescent="0.25">
      <c r="A421" s="5">
        <v>44172</v>
      </c>
      <c r="B421">
        <v>7.3639999999999999E-3</v>
      </c>
      <c r="C421">
        <v>7.4530000000000004E-3</v>
      </c>
      <c r="D421">
        <v>7.0299999999999998E-3</v>
      </c>
      <c r="E421">
        <v>7.1720000000000004E-3</v>
      </c>
      <c r="F421">
        <v>38277781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-0.32860520094562451</v>
      </c>
      <c r="Q421">
        <f t="shared" si="975"/>
        <v>-12578277.917257607</v>
      </c>
      <c r="R421">
        <f t="shared" si="976"/>
        <v>-2871243265.9256124</v>
      </c>
      <c r="S421">
        <f t="shared" si="977"/>
        <v>-28712.432659256123</v>
      </c>
      <c r="T421">
        <f t="shared" si="978"/>
        <v>-28.712432659256123</v>
      </c>
    </row>
    <row r="422" spans="1:20" x14ac:dyDescent="0.25">
      <c r="A422" s="5">
        <v>44171</v>
      </c>
      <c r="B422">
        <v>7.5500000000000003E-3</v>
      </c>
      <c r="C422">
        <v>7.6360000000000004E-3</v>
      </c>
      <c r="D422">
        <v>7.0000000000000001E-3</v>
      </c>
      <c r="E422">
        <v>7.3489999999999996E-3</v>
      </c>
      <c r="F422">
        <v>14781845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9.7484276729557645E-2</v>
      </c>
      <c r="Q422">
        <f t="shared" si="975"/>
        <v>1440997.4685534281</v>
      </c>
      <c r="R422">
        <f t="shared" si="976"/>
        <v>-2858664988.0083547</v>
      </c>
      <c r="S422">
        <f t="shared" si="977"/>
        <v>-28586.649880083547</v>
      </c>
      <c r="T422">
        <f t="shared" si="978"/>
        <v>-28.586649880083549</v>
      </c>
    </row>
    <row r="423" spans="1:20" x14ac:dyDescent="0.25">
      <c r="A423" s="5">
        <v>44170</v>
      </c>
      <c r="B423">
        <v>7.0499999999999998E-3</v>
      </c>
      <c r="C423">
        <v>7.5500000000000003E-3</v>
      </c>
      <c r="D423">
        <v>6.999E-3</v>
      </c>
      <c r="E423">
        <v>7.5500000000000003E-3</v>
      </c>
      <c r="F423">
        <v>20549929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1</v>
      </c>
      <c r="Q423">
        <f t="shared" si="975"/>
        <v>20549929</v>
      </c>
      <c r="R423">
        <f t="shared" si="976"/>
        <v>-2860105985.4769082</v>
      </c>
      <c r="S423">
        <f t="shared" si="977"/>
        <v>-28601.059854769082</v>
      </c>
      <c r="T423">
        <f t="shared" si="978"/>
        <v>-28.601059854769083</v>
      </c>
    </row>
    <row r="424" spans="1:20" x14ac:dyDescent="0.25">
      <c r="A424" s="5">
        <v>44169</v>
      </c>
      <c r="B424">
        <v>7.7770000000000001E-3</v>
      </c>
      <c r="C424">
        <v>7.9389999999999999E-3</v>
      </c>
      <c r="D424">
        <v>7.0520000000000001E-3</v>
      </c>
      <c r="E424">
        <v>7.0569999999999999E-3</v>
      </c>
      <c r="F424">
        <v>32016498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-0.98872604284103771</v>
      </c>
      <c r="Q424">
        <f t="shared" si="975"/>
        <v>-31655545.373167999</v>
      </c>
      <c r="R424">
        <f t="shared" si="976"/>
        <v>-2880655914.4769082</v>
      </c>
      <c r="S424">
        <f t="shared" si="977"/>
        <v>-28806.559144769082</v>
      </c>
      <c r="T424">
        <f t="shared" si="978"/>
        <v>-28.806559144769082</v>
      </c>
    </row>
    <row r="425" spans="1:20" x14ac:dyDescent="0.25">
      <c r="A425" s="5">
        <v>44168</v>
      </c>
      <c r="B425">
        <v>8.1239999999999993E-3</v>
      </c>
      <c r="C425">
        <v>8.1510000000000003E-3</v>
      </c>
      <c r="D425">
        <v>7.6610000000000003E-3</v>
      </c>
      <c r="E425">
        <v>7.7770000000000001E-3</v>
      </c>
      <c r="F425">
        <v>13949266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-0.52653061224489883</v>
      </c>
      <c r="Q425">
        <f t="shared" si="975"/>
        <v>-7344715.567346951</v>
      </c>
      <c r="R425">
        <f t="shared" si="976"/>
        <v>-2849000369.1037402</v>
      </c>
      <c r="S425">
        <f t="shared" si="977"/>
        <v>-28490.003691037404</v>
      </c>
      <c r="T425">
        <f t="shared" si="978"/>
        <v>-28.490003691037405</v>
      </c>
    </row>
    <row r="426" spans="1:20" x14ac:dyDescent="0.25">
      <c r="A426" s="5">
        <v>44167</v>
      </c>
      <c r="B426">
        <v>7.6280000000000002E-3</v>
      </c>
      <c r="C426">
        <v>8.1609999999999999E-3</v>
      </c>
      <c r="D426">
        <v>7.4400000000000004E-3</v>
      </c>
      <c r="E426">
        <v>8.0929999999999995E-3</v>
      </c>
      <c r="F426">
        <v>21264199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0.81137309292648985</v>
      </c>
      <c r="Q426">
        <f t="shared" si="975"/>
        <v>17253198.911234371</v>
      </c>
      <c r="R426">
        <f t="shared" si="976"/>
        <v>-2841655653.5363932</v>
      </c>
      <c r="S426">
        <f t="shared" si="977"/>
        <v>-28416.556535363932</v>
      </c>
      <c r="T426">
        <f t="shared" si="978"/>
        <v>-28.416556535363931</v>
      </c>
    </row>
    <row r="427" spans="1:20" x14ac:dyDescent="0.25">
      <c r="A427" s="5">
        <v>44166</v>
      </c>
      <c r="B427">
        <v>7.9660000000000009E-3</v>
      </c>
      <c r="C427">
        <v>8.2190000000000006E-3</v>
      </c>
      <c r="D427">
        <v>7.3699999999999998E-3</v>
      </c>
      <c r="E427">
        <v>7.6400000000000001E-3</v>
      </c>
      <c r="F427">
        <v>29350230</v>
      </c>
      <c r="G427">
        <v>0</v>
      </c>
      <c r="L427" t="s">
        <v>7</v>
      </c>
      <c r="M427" t="s">
        <v>8</v>
      </c>
      <c r="N427" t="s">
        <v>8</v>
      </c>
      <c r="P427">
        <f t="shared" si="974"/>
        <v>-0.36395759717314485</v>
      </c>
      <c r="Q427">
        <f t="shared" si="975"/>
        <v>-10682239.187279152</v>
      </c>
      <c r="R427">
        <f t="shared" si="976"/>
        <v>-2858908852.4476275</v>
      </c>
      <c r="S427">
        <f t="shared" si="977"/>
        <v>-28589.088524476276</v>
      </c>
      <c r="T427">
        <f t="shared" si="978"/>
        <v>-28.589088524476274</v>
      </c>
    </row>
    <row r="428" spans="1:20" x14ac:dyDescent="0.25">
      <c r="A428" s="5">
        <v>44165</v>
      </c>
      <c r="B428">
        <v>7.5449999999999996E-3</v>
      </c>
      <c r="C428">
        <v>8.0599999999999995E-3</v>
      </c>
      <c r="D428">
        <v>7.5389999999999997E-3</v>
      </c>
      <c r="E428">
        <v>7.9660000000000009E-3</v>
      </c>
      <c r="F428">
        <v>19740900</v>
      </c>
      <c r="G428">
        <v>0</v>
      </c>
      <c r="L428" t="s">
        <v>7</v>
      </c>
      <c r="M428" t="s">
        <v>8</v>
      </c>
      <c r="N428" t="s">
        <v>8</v>
      </c>
      <c r="P428">
        <f t="shared" si="974"/>
        <v>0.63915547024952535</v>
      </c>
      <c r="Q428">
        <f t="shared" si="975"/>
        <v>12617504.222648855</v>
      </c>
      <c r="R428">
        <f t="shared" si="976"/>
        <v>-2848226613.2603483</v>
      </c>
      <c r="S428">
        <f t="shared" si="977"/>
        <v>-28482.266132603483</v>
      </c>
      <c r="T428">
        <f t="shared" si="978"/>
        <v>-28.482266132603485</v>
      </c>
    </row>
    <row r="429" spans="1:20" x14ac:dyDescent="0.25">
      <c r="A429" s="5">
        <v>44164</v>
      </c>
      <c r="B429">
        <v>7.5859999999999999E-3</v>
      </c>
      <c r="C429">
        <v>8.2070000000000008E-3</v>
      </c>
      <c r="D429">
        <v>7.2740000000000001E-3</v>
      </c>
      <c r="E429">
        <v>7.5389999999999997E-3</v>
      </c>
      <c r="F429">
        <v>49773348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-0.43193997856377403</v>
      </c>
      <c r="Q429">
        <f t="shared" si="975"/>
        <v>-21499098.868167266</v>
      </c>
      <c r="R429">
        <f t="shared" si="976"/>
        <v>-2860844117.4829969</v>
      </c>
      <c r="S429">
        <f t="shared" si="977"/>
        <v>-28608.441174829968</v>
      </c>
      <c r="T429">
        <f t="shared" si="978"/>
        <v>-28.608441174829967</v>
      </c>
    </row>
    <row r="430" spans="1:20" x14ac:dyDescent="0.25">
      <c r="A430" s="5">
        <v>44163</v>
      </c>
      <c r="B430">
        <v>7.4689999999999999E-3</v>
      </c>
      <c r="C430">
        <v>7.6499999999999997E-3</v>
      </c>
      <c r="D430">
        <v>7.2220000000000001E-3</v>
      </c>
      <c r="E430">
        <v>7.5630000000000003E-3</v>
      </c>
      <c r="F430">
        <v>14058426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0.59345794392523599</v>
      </c>
      <c r="Q430">
        <f t="shared" si="975"/>
        <v>8343084.5887850793</v>
      </c>
      <c r="R430">
        <f t="shared" si="976"/>
        <v>-2839345018.6148295</v>
      </c>
      <c r="S430">
        <f t="shared" si="977"/>
        <v>-28393.450186148297</v>
      </c>
      <c r="T430">
        <f t="shared" si="978"/>
        <v>-28.393450186148296</v>
      </c>
    </row>
    <row r="431" spans="1:20" x14ac:dyDescent="0.25">
      <c r="A431" s="5">
        <v>44162</v>
      </c>
      <c r="B431">
        <v>7.4840000000000002E-3</v>
      </c>
      <c r="C431">
        <v>7.6559999999999996E-3</v>
      </c>
      <c r="D431">
        <v>7.1419999999999999E-3</v>
      </c>
      <c r="E431">
        <v>7.4700000000000001E-3</v>
      </c>
      <c r="F431">
        <v>15976871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0.27626459143969012</v>
      </c>
      <c r="Q431">
        <f t="shared" si="975"/>
        <v>4413843.7392996335</v>
      </c>
      <c r="R431">
        <f t="shared" si="976"/>
        <v>-2847688103.2036147</v>
      </c>
      <c r="S431">
        <f t="shared" si="977"/>
        <v>-28476.881032036148</v>
      </c>
      <c r="T431">
        <f t="shared" si="978"/>
        <v>-28.476881032036147</v>
      </c>
    </row>
    <row r="432" spans="1:20" x14ac:dyDescent="0.25">
      <c r="A432" s="5">
        <v>44161</v>
      </c>
      <c r="B432">
        <v>8.5760000000000003E-3</v>
      </c>
      <c r="C432">
        <v>8.6090000000000003E-3</v>
      </c>
      <c r="D432">
        <v>6.8789999999999997E-3</v>
      </c>
      <c r="E432">
        <v>7.4780000000000003E-3</v>
      </c>
      <c r="F432">
        <v>68080168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-0.30751445086705159</v>
      </c>
      <c r="Q432">
        <f t="shared" si="975"/>
        <v>-20935635.477456618</v>
      </c>
      <c r="R432">
        <f t="shared" si="976"/>
        <v>-2852101946.9429145</v>
      </c>
      <c r="S432">
        <f t="shared" si="977"/>
        <v>-28521.019469429146</v>
      </c>
      <c r="T432">
        <f t="shared" si="978"/>
        <v>-28.521019469429145</v>
      </c>
    </row>
    <row r="433" spans="1:20" x14ac:dyDescent="0.25">
      <c r="A433" s="5">
        <v>44160</v>
      </c>
      <c r="B433">
        <v>8.9379999999999998E-3</v>
      </c>
      <c r="C433">
        <v>9.3360000000000005E-3</v>
      </c>
      <c r="D433">
        <v>8.2249999999999997E-3</v>
      </c>
      <c r="E433">
        <v>8.5909999999999997E-3</v>
      </c>
      <c r="F433">
        <v>69950636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-0.34113411341134164</v>
      </c>
      <c r="Q433">
        <f t="shared" si="975"/>
        <v>-23862548.194419477</v>
      </c>
      <c r="R433">
        <f t="shared" si="976"/>
        <v>-2831166311.4654579</v>
      </c>
      <c r="S433">
        <f t="shared" si="977"/>
        <v>-28311.663114654581</v>
      </c>
      <c r="T433">
        <f t="shared" si="978"/>
        <v>-28.311663114654582</v>
      </c>
    </row>
    <row r="434" spans="1:20" x14ac:dyDescent="0.25">
      <c r="A434" s="5">
        <v>44159</v>
      </c>
      <c r="B434">
        <v>8.1770000000000002E-3</v>
      </c>
      <c r="C434">
        <v>8.9379999999999998E-3</v>
      </c>
      <c r="D434">
        <v>7.9920000000000008E-3</v>
      </c>
      <c r="E434">
        <v>8.8999999999999999E-3</v>
      </c>
      <c r="F434">
        <v>82068373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0.91966173361522219</v>
      </c>
      <c r="Q434">
        <f t="shared" si="975"/>
        <v>75475142.188160688</v>
      </c>
      <c r="R434">
        <f t="shared" si="976"/>
        <v>-2807303763.2710385</v>
      </c>
      <c r="S434">
        <f t="shared" si="977"/>
        <v>-28073.037632710384</v>
      </c>
      <c r="T434">
        <f t="shared" si="978"/>
        <v>-28.073037632710385</v>
      </c>
    </row>
    <row r="435" spans="1:20" x14ac:dyDescent="0.25">
      <c r="A435" s="5">
        <v>44158</v>
      </c>
      <c r="B435">
        <v>7.7879999999999998E-3</v>
      </c>
      <c r="C435">
        <v>8.2489999999999994E-3</v>
      </c>
      <c r="D435">
        <v>7.6499999999999997E-3</v>
      </c>
      <c r="E435">
        <v>8.1499999999999993E-3</v>
      </c>
      <c r="F435">
        <v>42729077</v>
      </c>
      <c r="G435">
        <v>0</v>
      </c>
      <c r="L435" t="s">
        <v>7</v>
      </c>
      <c r="M435" t="s">
        <v>7</v>
      </c>
      <c r="N435" t="s">
        <v>8</v>
      </c>
      <c r="P435">
        <f t="shared" si="974"/>
        <v>0.66944908180300444</v>
      </c>
      <c r="Q435">
        <f t="shared" si="975"/>
        <v>28604941.363939874</v>
      </c>
      <c r="R435">
        <f t="shared" si="976"/>
        <v>-2882778905.4591994</v>
      </c>
      <c r="S435">
        <f t="shared" si="977"/>
        <v>-28827.789054591994</v>
      </c>
      <c r="T435">
        <f t="shared" si="978"/>
        <v>-28.827789054591996</v>
      </c>
    </row>
    <row r="436" spans="1:20" x14ac:dyDescent="0.25">
      <c r="A436" s="5">
        <v>44157</v>
      </c>
      <c r="B436">
        <v>7.9450000000000007E-3</v>
      </c>
      <c r="C436">
        <v>8.2000000000000007E-3</v>
      </c>
      <c r="D436">
        <v>7.3619999999999996E-3</v>
      </c>
      <c r="E436">
        <v>7.7710000000000001E-3</v>
      </c>
      <c r="F436">
        <v>29499886</v>
      </c>
      <c r="G436">
        <v>0</v>
      </c>
      <c r="L436" t="s">
        <v>8</v>
      </c>
      <c r="M436" t="s">
        <v>7</v>
      </c>
      <c r="N436" t="s">
        <v>8</v>
      </c>
      <c r="P436">
        <f t="shared" si="974"/>
        <v>-2.3866348448687381E-2</v>
      </c>
      <c r="Q436">
        <f t="shared" si="975"/>
        <v>-704054.55847255455</v>
      </c>
      <c r="R436">
        <f t="shared" si="976"/>
        <v>-2911383846.8231392</v>
      </c>
      <c r="S436">
        <f t="shared" si="977"/>
        <v>-29113.838468231392</v>
      </c>
      <c r="T436">
        <f t="shared" si="978"/>
        <v>-29.113838468231393</v>
      </c>
    </row>
    <row r="437" spans="1:20" x14ac:dyDescent="0.25">
      <c r="A437" s="5">
        <v>44156</v>
      </c>
      <c r="B437">
        <v>7.4920000000000004E-3</v>
      </c>
      <c r="C437">
        <v>7.9819999999999995E-3</v>
      </c>
      <c r="D437">
        <v>7.3940000000000004E-3</v>
      </c>
      <c r="E437">
        <v>7.9450000000000007E-3</v>
      </c>
      <c r="F437">
        <v>46733260</v>
      </c>
      <c r="G437">
        <v>0</v>
      </c>
      <c r="L437" t="s">
        <v>8</v>
      </c>
      <c r="M437" t="s">
        <v>7</v>
      </c>
      <c r="N437" t="s">
        <v>8</v>
      </c>
      <c r="P437">
        <f t="shared" si="974"/>
        <v>0.87414965986394932</v>
      </c>
      <c r="Q437">
        <f t="shared" si="975"/>
        <v>40851863.333333507</v>
      </c>
      <c r="R437">
        <f t="shared" si="976"/>
        <v>-2910679792.2646666</v>
      </c>
      <c r="S437">
        <f t="shared" si="977"/>
        <v>-29106.797922646667</v>
      </c>
      <c r="T437">
        <f t="shared" si="978"/>
        <v>-29.106797922646667</v>
      </c>
    </row>
    <row r="438" spans="1:20" x14ac:dyDescent="0.25">
      <c r="A438" s="5">
        <v>44155</v>
      </c>
      <c r="B438">
        <v>7.3600000000000002E-3</v>
      </c>
      <c r="C438">
        <v>7.718E-3</v>
      </c>
      <c r="D438">
        <v>7.1209999999999997E-3</v>
      </c>
      <c r="E438">
        <v>7.4989999999999996E-3</v>
      </c>
      <c r="F438">
        <v>54340788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0.26633165829145616</v>
      </c>
      <c r="Q438">
        <f t="shared" si="975"/>
        <v>14472672.180904461</v>
      </c>
      <c r="R438">
        <f t="shared" si="976"/>
        <v>-2951531655.598</v>
      </c>
      <c r="S438">
        <f t="shared" si="977"/>
        <v>-29515.31655598</v>
      </c>
      <c r="T438">
        <f t="shared" si="978"/>
        <v>-29.51531655598</v>
      </c>
    </row>
    <row r="439" spans="1:20" x14ac:dyDescent="0.25">
      <c r="A439" s="5">
        <v>44154</v>
      </c>
      <c r="B439">
        <v>7.463E-3</v>
      </c>
      <c r="C439">
        <v>7.6750000000000004E-3</v>
      </c>
      <c r="D439">
        <v>7.2909999999999997E-3</v>
      </c>
      <c r="E439">
        <v>7.3689999999999997E-3</v>
      </c>
      <c r="F439">
        <v>18837759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-0.593750000000001</v>
      </c>
      <c r="Q439">
        <f t="shared" si="975"/>
        <v>-11184919.406250019</v>
      </c>
      <c r="R439">
        <f t="shared" si="976"/>
        <v>-2966004327.7789044</v>
      </c>
      <c r="S439">
        <f t="shared" si="977"/>
        <v>-29660.043277789046</v>
      </c>
      <c r="T439">
        <f t="shared" si="978"/>
        <v>-29.660043277789047</v>
      </c>
    </row>
    <row r="440" spans="1:20" x14ac:dyDescent="0.25">
      <c r="A440" s="5">
        <v>44153</v>
      </c>
      <c r="B440">
        <v>7.8019999999999999E-3</v>
      </c>
      <c r="C440">
        <v>7.8720000000000005E-3</v>
      </c>
      <c r="D440">
        <v>7.3109999999999998E-3</v>
      </c>
      <c r="E440">
        <v>7.4660000000000004E-3</v>
      </c>
      <c r="F440">
        <v>20956491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-0.44741532976826942</v>
      </c>
      <c r="Q440">
        <f t="shared" si="975"/>
        <v>-9376255.3315507695</v>
      </c>
      <c r="R440">
        <f t="shared" si="976"/>
        <v>-2954819408.3726544</v>
      </c>
      <c r="S440">
        <f t="shared" si="977"/>
        <v>-29548.194083726543</v>
      </c>
      <c r="T440">
        <f t="shared" si="978"/>
        <v>-29.548194083726543</v>
      </c>
    </row>
    <row r="441" spans="1:20" x14ac:dyDescent="0.25">
      <c r="A441" s="5">
        <v>44152</v>
      </c>
      <c r="B441">
        <v>7.8329999999999997E-3</v>
      </c>
      <c r="C441">
        <v>7.9979999999999999E-3</v>
      </c>
      <c r="D441">
        <v>7.5560000000000002E-3</v>
      </c>
      <c r="E441">
        <v>7.7910000000000002E-3</v>
      </c>
      <c r="F441">
        <v>28776796</v>
      </c>
      <c r="G441">
        <v>0</v>
      </c>
      <c r="L441" t="s">
        <v>7</v>
      </c>
      <c r="M441" t="s">
        <v>8</v>
      </c>
      <c r="N441" t="s">
        <v>8</v>
      </c>
      <c r="P441">
        <f t="shared" si="974"/>
        <v>6.3348416289593368E-2</v>
      </c>
      <c r="Q441">
        <f t="shared" si="975"/>
        <v>1822964.4524887053</v>
      </c>
      <c r="R441">
        <f t="shared" si="976"/>
        <v>-2945443153.0411038</v>
      </c>
      <c r="S441">
        <f t="shared" si="977"/>
        <v>-29454.431530411039</v>
      </c>
      <c r="T441">
        <f t="shared" si="978"/>
        <v>-29.454431530411039</v>
      </c>
    </row>
    <row r="442" spans="1:20" x14ac:dyDescent="0.25">
      <c r="A442" s="5">
        <v>44151</v>
      </c>
      <c r="B442">
        <v>7.7359999999999998E-3</v>
      </c>
      <c r="C442">
        <v>7.9100000000000004E-3</v>
      </c>
      <c r="D442">
        <v>7.6179999999999998E-3</v>
      </c>
      <c r="E442">
        <v>7.8200000000000006E-3</v>
      </c>
      <c r="F442">
        <v>14304524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0.38356164383561903</v>
      </c>
      <c r="Q442">
        <f t="shared" si="975"/>
        <v>5486666.7397260647</v>
      </c>
      <c r="R442">
        <f t="shared" si="976"/>
        <v>-2947266117.4935927</v>
      </c>
      <c r="S442">
        <f t="shared" si="977"/>
        <v>-29472.661174935929</v>
      </c>
      <c r="T442">
        <f t="shared" si="978"/>
        <v>-29.472661174935929</v>
      </c>
    </row>
    <row r="443" spans="1:20" x14ac:dyDescent="0.25">
      <c r="A443" s="5">
        <v>44150</v>
      </c>
      <c r="B443">
        <v>7.8709999999999995E-3</v>
      </c>
      <c r="C443">
        <v>7.9330000000000008E-3</v>
      </c>
      <c r="D443">
        <v>7.6920000000000001E-3</v>
      </c>
      <c r="E443">
        <v>7.7520000000000002E-3</v>
      </c>
      <c r="F443">
        <v>7426909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-0.50207468879668071</v>
      </c>
      <c r="Q443">
        <f t="shared" si="975"/>
        <v>-3728863.0248962673</v>
      </c>
      <c r="R443">
        <f t="shared" si="976"/>
        <v>-2952752784.2333188</v>
      </c>
      <c r="S443">
        <f t="shared" si="977"/>
        <v>-29527.527842333187</v>
      </c>
      <c r="T443">
        <f t="shared" si="978"/>
        <v>-29.527527842333189</v>
      </c>
    </row>
    <row r="444" spans="1:20" x14ac:dyDescent="0.25">
      <c r="A444" s="5">
        <v>44149</v>
      </c>
      <c r="B444">
        <v>8.0409999999999995E-3</v>
      </c>
      <c r="C444">
        <v>8.0809999999999996E-3</v>
      </c>
      <c r="D444">
        <v>7.7330000000000003E-3</v>
      </c>
      <c r="E444">
        <v>7.8729999999999998E-3</v>
      </c>
      <c r="F444">
        <v>8228737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-0.19540229885057608</v>
      </c>
      <c r="Q444">
        <f t="shared" si="975"/>
        <v>-1607914.1264367928</v>
      </c>
      <c r="R444">
        <f t="shared" si="976"/>
        <v>-2949023921.2084227</v>
      </c>
      <c r="S444">
        <f t="shared" si="977"/>
        <v>-29490.239212084227</v>
      </c>
      <c r="T444">
        <f t="shared" si="978"/>
        <v>-29.490239212084226</v>
      </c>
    </row>
    <row r="445" spans="1:20" x14ac:dyDescent="0.25">
      <c r="A445" s="5">
        <v>44148</v>
      </c>
      <c r="B445">
        <v>8.0590000000000002E-3</v>
      </c>
      <c r="C445">
        <v>8.2260000000000007E-3</v>
      </c>
      <c r="D445">
        <v>7.9939999999999994E-3</v>
      </c>
      <c r="E445">
        <v>8.0730000000000003E-3</v>
      </c>
      <c r="F445">
        <v>13192523</v>
      </c>
      <c r="G445">
        <v>0</v>
      </c>
      <c r="L445" t="s">
        <v>7</v>
      </c>
      <c r="M445" t="s">
        <v>8</v>
      </c>
      <c r="N445" t="s">
        <v>8</v>
      </c>
      <c r="P445">
        <f t="shared" si="974"/>
        <v>-0.31896551724137501</v>
      </c>
      <c r="Q445">
        <f t="shared" si="975"/>
        <v>-4207959.9224137366</v>
      </c>
      <c r="R445">
        <f t="shared" si="976"/>
        <v>-2947416007.081986</v>
      </c>
      <c r="S445">
        <f t="shared" si="977"/>
        <v>-29474.16007081986</v>
      </c>
      <c r="T445">
        <f t="shared" si="978"/>
        <v>-29.47416007081986</v>
      </c>
    </row>
    <row r="446" spans="1:20" x14ac:dyDescent="0.25">
      <c r="A446" s="5">
        <v>44147</v>
      </c>
      <c r="B446">
        <v>8.182E-3</v>
      </c>
      <c r="C446">
        <v>8.2950000000000003E-3</v>
      </c>
      <c r="D446">
        <v>7.7879999999999998E-3</v>
      </c>
      <c r="E446">
        <v>8.0579999999999992E-3</v>
      </c>
      <c r="F446">
        <v>18154366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6.5088757396446303E-2</v>
      </c>
      <c r="Q446">
        <f t="shared" si="975"/>
        <v>1181645.1242602933</v>
      </c>
      <c r="R446">
        <f t="shared" si="976"/>
        <v>-2943208047.1595721</v>
      </c>
      <c r="S446">
        <f t="shared" si="977"/>
        <v>-29432.08047159572</v>
      </c>
      <c r="T446">
        <f t="shared" si="978"/>
        <v>-29.432080471595722</v>
      </c>
    </row>
    <row r="447" spans="1:20" x14ac:dyDescent="0.25">
      <c r="A447" s="5">
        <v>44146</v>
      </c>
      <c r="B447">
        <v>8.4030000000000007E-3</v>
      </c>
      <c r="C447">
        <v>8.5039999999999994E-3</v>
      </c>
      <c r="D447">
        <v>8.0429999999999998E-3</v>
      </c>
      <c r="E447">
        <v>8.182E-3</v>
      </c>
      <c r="F447">
        <v>21023142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-0.39696312364425007</v>
      </c>
      <c r="Q447">
        <f t="shared" si="975"/>
        <v>-8345412.1171366265</v>
      </c>
      <c r="R447">
        <f t="shared" si="976"/>
        <v>-2944389692.2838326</v>
      </c>
      <c r="S447">
        <f t="shared" si="977"/>
        <v>-29443.896922838325</v>
      </c>
      <c r="T447">
        <f t="shared" si="978"/>
        <v>-29.443896922838324</v>
      </c>
    </row>
    <row r="448" spans="1:20" x14ac:dyDescent="0.25">
      <c r="A448" s="5">
        <v>44145</v>
      </c>
      <c r="B448">
        <v>7.6759999999999997E-3</v>
      </c>
      <c r="C448">
        <v>8.4290000000000007E-3</v>
      </c>
      <c r="D448">
        <v>7.633E-3</v>
      </c>
      <c r="E448">
        <v>8.4290000000000007E-3</v>
      </c>
      <c r="F448">
        <v>24884710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1</v>
      </c>
      <c r="Q448">
        <f t="shared" si="975"/>
        <v>24884710</v>
      </c>
      <c r="R448">
        <f t="shared" si="976"/>
        <v>-2936044280.1666961</v>
      </c>
      <c r="S448">
        <f t="shared" si="977"/>
        <v>-29360.442801666959</v>
      </c>
      <c r="T448">
        <f t="shared" si="978"/>
        <v>-29.360442801666959</v>
      </c>
    </row>
    <row r="449" spans="1:20" x14ac:dyDescent="0.25">
      <c r="A449" s="5">
        <v>44144</v>
      </c>
      <c r="B449">
        <v>7.9279999999999993E-3</v>
      </c>
      <c r="C449">
        <v>8.0090000000000005E-3</v>
      </c>
      <c r="D449">
        <v>7.3790000000000001E-3</v>
      </c>
      <c r="E449">
        <v>7.6670000000000002E-3</v>
      </c>
      <c r="F449">
        <v>19554919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-8.5714285714286034E-2</v>
      </c>
      <c r="Q449">
        <f t="shared" si="975"/>
        <v>-1676135.9142857206</v>
      </c>
      <c r="R449">
        <f t="shared" si="976"/>
        <v>-2960928990.1666961</v>
      </c>
      <c r="S449">
        <f t="shared" si="977"/>
        <v>-29609.289901666962</v>
      </c>
      <c r="T449">
        <f t="shared" si="978"/>
        <v>-29.609289901666962</v>
      </c>
    </row>
    <row r="450" spans="1:20" x14ac:dyDescent="0.25">
      <c r="A450" s="5">
        <v>44143</v>
      </c>
      <c r="B450">
        <v>7.4980000000000003E-3</v>
      </c>
      <c r="C450">
        <v>7.9489999999999995E-3</v>
      </c>
      <c r="D450">
        <v>7.4279999999999997E-3</v>
      </c>
      <c r="E450">
        <v>7.9279999999999993E-3</v>
      </c>
      <c r="F450">
        <v>12419080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0.91938579654510477</v>
      </c>
      <c r="Q450">
        <f t="shared" si="975"/>
        <v>11417925.75815738</v>
      </c>
      <c r="R450">
        <f t="shared" si="976"/>
        <v>-2959252854.2524104</v>
      </c>
      <c r="S450">
        <f t="shared" si="977"/>
        <v>-29592.528542524105</v>
      </c>
      <c r="T450">
        <f t="shared" si="978"/>
        <v>-29.592528542524107</v>
      </c>
    </row>
    <row r="451" spans="1:20" x14ac:dyDescent="0.25">
      <c r="A451" s="5">
        <v>44142</v>
      </c>
      <c r="B451">
        <v>8.0510000000000009E-3</v>
      </c>
      <c r="C451">
        <v>8.3000000000000001E-3</v>
      </c>
      <c r="D451">
        <v>7.2570000000000004E-3</v>
      </c>
      <c r="E451">
        <v>7.4970000000000002E-3</v>
      </c>
      <c r="F451">
        <v>37752313</v>
      </c>
      <c r="G451">
        <v>0</v>
      </c>
      <c r="L451" t="s">
        <v>7</v>
      </c>
      <c r="M451" t="s">
        <v>8</v>
      </c>
      <c r="N451" t="s">
        <v>8</v>
      </c>
      <c r="P451">
        <f t="shared" si="974"/>
        <v>-0.53978906999041254</v>
      </c>
      <c r="Q451">
        <f t="shared" si="975"/>
        <v>-20378285.924256962</v>
      </c>
      <c r="R451">
        <f t="shared" si="976"/>
        <v>-2970670780.0105677</v>
      </c>
      <c r="S451">
        <f t="shared" si="977"/>
        <v>-29706.707800105676</v>
      </c>
      <c r="T451">
        <f t="shared" si="978"/>
        <v>-29.706707800105676</v>
      </c>
    </row>
    <row r="452" spans="1:20" x14ac:dyDescent="0.25">
      <c r="A452" s="5">
        <v>44141</v>
      </c>
      <c r="B452">
        <v>7.718E-3</v>
      </c>
      <c r="C452">
        <v>8.4519999999999994E-3</v>
      </c>
      <c r="D452">
        <v>7.6759999999999997E-3</v>
      </c>
      <c r="E452">
        <v>8.0479999999999996E-3</v>
      </c>
      <c r="F452">
        <v>40155515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-4.1237113402061751E-2</v>
      </c>
      <c r="Q452">
        <f t="shared" si="975"/>
        <v>-1655897.5257731916</v>
      </c>
      <c r="R452">
        <f t="shared" si="976"/>
        <v>-2950292494.0863109</v>
      </c>
      <c r="S452">
        <f t="shared" si="977"/>
        <v>-29502.924940863108</v>
      </c>
      <c r="T452">
        <f t="shared" si="978"/>
        <v>-29.502924940863107</v>
      </c>
    </row>
    <row r="453" spans="1:20" x14ac:dyDescent="0.25">
      <c r="A453" s="5">
        <v>44140</v>
      </c>
      <c r="B453">
        <v>7.5799999999999999E-3</v>
      </c>
      <c r="C453">
        <v>8.0999999999999996E-3</v>
      </c>
      <c r="D453">
        <v>6.8479999999999999E-3</v>
      </c>
      <c r="E453">
        <v>7.698E-3</v>
      </c>
      <c r="F453">
        <v>65692898</v>
      </c>
      <c r="G453">
        <v>0</v>
      </c>
      <c r="L453" t="s">
        <v>8</v>
      </c>
      <c r="M453" t="s">
        <v>8</v>
      </c>
      <c r="N453" t="s">
        <v>8</v>
      </c>
      <c r="P453">
        <f t="shared" si="974"/>
        <v>0.35782747603833914</v>
      </c>
      <c r="Q453">
        <f t="shared" si="975"/>
        <v>23506723.884984057</v>
      </c>
      <c r="R453">
        <f t="shared" si="976"/>
        <v>-2948636596.5605378</v>
      </c>
      <c r="S453">
        <f t="shared" si="977"/>
        <v>-29486.365965605379</v>
      </c>
      <c r="T453">
        <f t="shared" si="978"/>
        <v>-29.48636596560538</v>
      </c>
    </row>
    <row r="454" spans="1:20" x14ac:dyDescent="0.25">
      <c r="A454" s="5">
        <v>44139</v>
      </c>
      <c r="B454">
        <v>7.3730000000000002E-3</v>
      </c>
      <c r="C454">
        <v>7.7000000000000002E-3</v>
      </c>
      <c r="D454">
        <v>7.2719999999999998E-3</v>
      </c>
      <c r="E454">
        <v>7.5820000000000002E-3</v>
      </c>
      <c r="F454">
        <v>20182805</v>
      </c>
      <c r="G454">
        <v>0</v>
      </c>
      <c r="L454" t="s">
        <v>8</v>
      </c>
      <c r="M454" t="s">
        <v>8</v>
      </c>
      <c r="N454" t="s">
        <v>8</v>
      </c>
      <c r="P454">
        <f t="shared" ref="P454:P517" si="979">IF(C454=D454,0,((E454-D454)-(C454-E454))/(C454-D454))</f>
        <v>0.44859813084112182</v>
      </c>
      <c r="Q454">
        <f t="shared" ref="Q454:Q517" si="980">F454*P454</f>
        <v>9053968.5981308483</v>
      </c>
      <c r="R454">
        <f t="shared" ref="R454:R517" si="981">R455+Q454</f>
        <v>-2972143320.4455218</v>
      </c>
      <c r="S454">
        <f t="shared" ref="S454:S517" si="982">R454/100000</f>
        <v>-29721.433204455217</v>
      </c>
      <c r="T454">
        <f t="shared" ref="T454:T517" si="983">S454/1000</f>
        <v>-29.721433204455217</v>
      </c>
    </row>
    <row r="455" spans="1:20" x14ac:dyDescent="0.25">
      <c r="A455" s="5">
        <v>44138</v>
      </c>
      <c r="B455">
        <v>7.1989999999999997E-3</v>
      </c>
      <c r="C455">
        <v>7.3819999999999997E-3</v>
      </c>
      <c r="D455">
        <v>7.0200000000000002E-3</v>
      </c>
      <c r="E455">
        <v>7.3480000000000004E-3</v>
      </c>
      <c r="F455">
        <v>15397663</v>
      </c>
      <c r="G455">
        <v>0</v>
      </c>
      <c r="L455" t="s">
        <v>8</v>
      </c>
      <c r="M455" t="s">
        <v>8</v>
      </c>
      <c r="N455" t="s">
        <v>8</v>
      </c>
      <c r="P455">
        <f t="shared" si="979"/>
        <v>0.81215469613260027</v>
      </c>
      <c r="Q455">
        <f t="shared" si="980"/>
        <v>12505284.314917183</v>
      </c>
      <c r="R455">
        <f t="shared" si="981"/>
        <v>-2981197289.0436525</v>
      </c>
      <c r="S455">
        <f t="shared" si="982"/>
        <v>-29811.972890436526</v>
      </c>
      <c r="T455">
        <f t="shared" si="983"/>
        <v>-29.811972890436525</v>
      </c>
    </row>
    <row r="456" spans="1:20" x14ac:dyDescent="0.25">
      <c r="A456" s="5">
        <v>44137</v>
      </c>
      <c r="B456">
        <v>7.4400000000000004E-3</v>
      </c>
      <c r="C456">
        <v>7.5449999999999996E-3</v>
      </c>
      <c r="D456">
        <v>6.9290000000000003E-3</v>
      </c>
      <c r="E456">
        <v>7.208E-3</v>
      </c>
      <c r="F456">
        <v>27604882</v>
      </c>
      <c r="G456">
        <v>0</v>
      </c>
      <c r="L456" t="s">
        <v>7</v>
      </c>
      <c r="M456" t="s">
        <v>8</v>
      </c>
      <c r="N456" t="s">
        <v>8</v>
      </c>
      <c r="P456">
        <f t="shared" si="979"/>
        <v>-9.4155844155844076E-2</v>
      </c>
      <c r="Q456">
        <f t="shared" si="980"/>
        <v>-2599160.9675324652</v>
      </c>
      <c r="R456">
        <f t="shared" si="981"/>
        <v>-2993702573.3585696</v>
      </c>
      <c r="S456">
        <f t="shared" si="982"/>
        <v>-29937.025733585695</v>
      </c>
      <c r="T456">
        <f t="shared" si="983"/>
        <v>-29.937025733585696</v>
      </c>
    </row>
    <row r="457" spans="1:20" x14ac:dyDescent="0.25">
      <c r="A457" s="5">
        <v>44136</v>
      </c>
      <c r="B457">
        <v>7.3899999999999999E-3</v>
      </c>
      <c r="C457">
        <v>7.6360000000000004E-3</v>
      </c>
      <c r="D457">
        <v>7.3369999999999998E-3</v>
      </c>
      <c r="E457">
        <v>7.4180000000000001E-3</v>
      </c>
      <c r="F457">
        <v>17008200</v>
      </c>
      <c r="G457">
        <v>0</v>
      </c>
      <c r="L457" t="s">
        <v>7</v>
      </c>
      <c r="M457" t="s">
        <v>8</v>
      </c>
      <c r="N457" t="s">
        <v>8</v>
      </c>
      <c r="P457">
        <f t="shared" si="979"/>
        <v>-0.45819397993310929</v>
      </c>
      <c r="Q457">
        <f t="shared" si="980"/>
        <v>-7793054.8494983092</v>
      </c>
      <c r="R457">
        <f t="shared" si="981"/>
        <v>-2991103412.391037</v>
      </c>
      <c r="S457">
        <f t="shared" si="982"/>
        <v>-29911.034123910369</v>
      </c>
      <c r="T457">
        <f t="shared" si="983"/>
        <v>-29.911034123910369</v>
      </c>
    </row>
    <row r="458" spans="1:20" x14ac:dyDescent="0.25">
      <c r="A458" s="5">
        <v>44135</v>
      </c>
      <c r="B458">
        <v>7.4530000000000004E-3</v>
      </c>
      <c r="C458">
        <v>7.8700000000000003E-3</v>
      </c>
      <c r="D458">
        <v>7.2119999999999997E-3</v>
      </c>
      <c r="E458">
        <v>7.4149999999999997E-3</v>
      </c>
      <c r="F458">
        <v>33243091</v>
      </c>
      <c r="G458">
        <v>0</v>
      </c>
      <c r="L458" t="s">
        <v>8</v>
      </c>
      <c r="M458" t="s">
        <v>8</v>
      </c>
      <c r="N458" t="s">
        <v>8</v>
      </c>
      <c r="P458">
        <f t="shared" si="979"/>
        <v>-0.38297872340425571</v>
      </c>
      <c r="Q458">
        <f t="shared" si="980"/>
        <v>-12731396.553191502</v>
      </c>
      <c r="R458">
        <f t="shared" si="981"/>
        <v>-2983310357.5415387</v>
      </c>
      <c r="S458">
        <f t="shared" si="982"/>
        <v>-29833.103575415385</v>
      </c>
      <c r="T458">
        <f t="shared" si="983"/>
        <v>-29.833103575415386</v>
      </c>
    </row>
    <row r="459" spans="1:20" x14ac:dyDescent="0.25">
      <c r="A459" s="5">
        <v>44134</v>
      </c>
      <c r="B459">
        <v>7.2259999999999998E-3</v>
      </c>
      <c r="C459">
        <v>7.5779999999999997E-3</v>
      </c>
      <c r="D459">
        <v>6.9340000000000001E-3</v>
      </c>
      <c r="E459">
        <v>7.4700000000000001E-3</v>
      </c>
      <c r="F459">
        <v>21840652</v>
      </c>
      <c r="G459">
        <v>0</v>
      </c>
      <c r="L459" t="s">
        <v>8</v>
      </c>
      <c r="M459" t="s">
        <v>8</v>
      </c>
      <c r="N459" t="s">
        <v>8</v>
      </c>
      <c r="P459">
        <f t="shared" si="979"/>
        <v>0.6645962732919265</v>
      </c>
      <c r="Q459">
        <f t="shared" si="980"/>
        <v>14515215.925465861</v>
      </c>
      <c r="R459">
        <f t="shared" si="981"/>
        <v>-2970578960.9883471</v>
      </c>
      <c r="S459">
        <f t="shared" si="982"/>
        <v>-29705.789609883472</v>
      </c>
      <c r="T459">
        <f t="shared" si="983"/>
        <v>-29.705789609883471</v>
      </c>
    </row>
    <row r="460" spans="1:20" x14ac:dyDescent="0.25">
      <c r="A460" s="5">
        <v>44133</v>
      </c>
      <c r="B460">
        <v>7.3600000000000002E-3</v>
      </c>
      <c r="C460">
        <v>7.7999999999999996E-3</v>
      </c>
      <c r="D460">
        <v>6.8849999999999996E-3</v>
      </c>
      <c r="E460">
        <v>7.2439999999999996E-3</v>
      </c>
      <c r="F460">
        <v>50485634</v>
      </c>
      <c r="G460">
        <v>0</v>
      </c>
      <c r="L460" t="s">
        <v>7</v>
      </c>
      <c r="M460" t="s">
        <v>8</v>
      </c>
      <c r="N460" t="s">
        <v>8</v>
      </c>
      <c r="P460">
        <f t="shared" si="979"/>
        <v>-0.21530054644808758</v>
      </c>
      <c r="Q460">
        <f t="shared" si="980"/>
        <v>-10869584.587978149</v>
      </c>
      <c r="R460">
        <f t="shared" si="981"/>
        <v>-2985094176.9138131</v>
      </c>
      <c r="S460">
        <f t="shared" si="982"/>
        <v>-29850.941769138131</v>
      </c>
      <c r="T460">
        <f t="shared" si="983"/>
        <v>-29.850941769138132</v>
      </c>
    </row>
    <row r="461" spans="1:20" x14ac:dyDescent="0.25">
      <c r="A461" s="5">
        <v>44132</v>
      </c>
      <c r="B461">
        <v>6.7080000000000004E-3</v>
      </c>
      <c r="C461">
        <v>7.7999999999999996E-3</v>
      </c>
      <c r="D461">
        <v>6.7080000000000004E-3</v>
      </c>
      <c r="E461">
        <v>7.3540000000000003E-3</v>
      </c>
      <c r="F461">
        <v>78482560</v>
      </c>
      <c r="G461">
        <v>0</v>
      </c>
      <c r="L461" t="s">
        <v>8</v>
      </c>
      <c r="M461" t="s">
        <v>8</v>
      </c>
      <c r="N461" t="s">
        <v>8</v>
      </c>
      <c r="P461">
        <f t="shared" si="979"/>
        <v>0.18315018315018375</v>
      </c>
      <c r="Q461">
        <f t="shared" si="980"/>
        <v>14374095.238095285</v>
      </c>
      <c r="R461">
        <f t="shared" si="981"/>
        <v>-2974224592.3258348</v>
      </c>
      <c r="S461">
        <f t="shared" si="982"/>
        <v>-29742.245923258346</v>
      </c>
      <c r="T461">
        <f t="shared" si="983"/>
        <v>-29.742245923258345</v>
      </c>
    </row>
    <row r="462" spans="1:20" x14ac:dyDescent="0.25">
      <c r="A462" s="5">
        <v>44131</v>
      </c>
      <c r="B462">
        <v>6.8659999999999997E-3</v>
      </c>
      <c r="C462">
        <v>6.953E-3</v>
      </c>
      <c r="D462">
        <v>6.4079999999999996E-3</v>
      </c>
      <c r="E462">
        <v>6.7000000000000002E-3</v>
      </c>
      <c r="F462">
        <v>32882889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7.1559633027524425E-2</v>
      </c>
      <c r="Q462">
        <f t="shared" si="980"/>
        <v>2353087.4697248195</v>
      </c>
      <c r="R462">
        <f t="shared" si="981"/>
        <v>-2988598687.56393</v>
      </c>
      <c r="S462">
        <f t="shared" si="982"/>
        <v>-29885.986875639301</v>
      </c>
      <c r="T462">
        <f t="shared" si="983"/>
        <v>-29.885986875639301</v>
      </c>
    </row>
    <row r="463" spans="1:20" x14ac:dyDescent="0.25">
      <c r="A463" s="5">
        <v>44130</v>
      </c>
      <c r="B463">
        <v>7.0520000000000001E-3</v>
      </c>
      <c r="C463">
        <v>7.9679999999999994E-3</v>
      </c>
      <c r="D463">
        <v>6.7739999999999996E-3</v>
      </c>
      <c r="E463">
        <v>6.8760000000000002E-3</v>
      </c>
      <c r="F463">
        <v>57843680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-0.82914572864321512</v>
      </c>
      <c r="Q463">
        <f t="shared" si="980"/>
        <v>-47960840.201004967</v>
      </c>
      <c r="R463">
        <f t="shared" si="981"/>
        <v>-2990951775.0336547</v>
      </c>
      <c r="S463">
        <f t="shared" si="982"/>
        <v>-29909.517750336548</v>
      </c>
      <c r="T463">
        <f t="shared" si="983"/>
        <v>-29.909517750336548</v>
      </c>
    </row>
    <row r="464" spans="1:20" x14ac:dyDescent="0.25">
      <c r="A464" s="5">
        <v>44129</v>
      </c>
      <c r="B464">
        <v>7.1040000000000001E-3</v>
      </c>
      <c r="C464">
        <v>7.2309999999999996E-3</v>
      </c>
      <c r="D464">
        <v>6.7530000000000003E-3</v>
      </c>
      <c r="E464">
        <v>7.0270000000000003E-3</v>
      </c>
      <c r="F464">
        <v>21624020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0.14644351464435298</v>
      </c>
      <c r="Q464">
        <f t="shared" si="980"/>
        <v>3166697.4895397821</v>
      </c>
      <c r="R464">
        <f t="shared" si="981"/>
        <v>-2942990934.8326497</v>
      </c>
      <c r="S464">
        <f t="shared" si="982"/>
        <v>-29429.909348326499</v>
      </c>
      <c r="T464">
        <f t="shared" si="983"/>
        <v>-29.4299093483265</v>
      </c>
    </row>
    <row r="465" spans="1:20" x14ac:dyDescent="0.25">
      <c r="A465" s="5">
        <v>44128</v>
      </c>
      <c r="B465">
        <v>6.3530000000000001E-3</v>
      </c>
      <c r="C465">
        <v>7.6750000000000004E-3</v>
      </c>
      <c r="D465">
        <v>6.319E-3</v>
      </c>
      <c r="E465">
        <v>7.1050000000000002E-3</v>
      </c>
      <c r="F465">
        <v>65276435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0.15929203539823006</v>
      </c>
      <c r="Q465">
        <f t="shared" si="980"/>
        <v>10398016.194690263</v>
      </c>
      <c r="R465">
        <f t="shared" si="981"/>
        <v>-2946157632.3221893</v>
      </c>
      <c r="S465">
        <f t="shared" si="982"/>
        <v>-29461.576323221892</v>
      </c>
      <c r="T465">
        <f t="shared" si="983"/>
        <v>-29.461576323221891</v>
      </c>
    </row>
    <row r="466" spans="1:20" x14ac:dyDescent="0.25">
      <c r="A466" s="5">
        <v>44127</v>
      </c>
      <c r="B466">
        <v>6.1139999999999996E-3</v>
      </c>
      <c r="C466">
        <v>6.6299999999999996E-3</v>
      </c>
      <c r="D466">
        <v>6.1000000000000004E-3</v>
      </c>
      <c r="E466">
        <v>6.3530000000000001E-3</v>
      </c>
      <c r="F466">
        <v>21655597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-4.528301886792406E-2</v>
      </c>
      <c r="Q466">
        <f t="shared" si="980"/>
        <v>-980630.80754715973</v>
      </c>
      <c r="R466">
        <f t="shared" si="981"/>
        <v>-2956555648.5168796</v>
      </c>
      <c r="S466">
        <f t="shared" si="982"/>
        <v>-29565.556485168796</v>
      </c>
      <c r="T466">
        <f t="shared" si="983"/>
        <v>-29.565556485168795</v>
      </c>
    </row>
    <row r="467" spans="1:20" x14ac:dyDescent="0.25">
      <c r="A467" s="5">
        <v>44126</v>
      </c>
      <c r="B467">
        <v>6.143E-3</v>
      </c>
      <c r="C467">
        <v>6.3169999999999997E-3</v>
      </c>
      <c r="D467">
        <v>6.0899999999999999E-3</v>
      </c>
      <c r="E467">
        <v>6.1139999999999996E-3</v>
      </c>
      <c r="F467">
        <v>14633840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-0.78854625550661017</v>
      </c>
      <c r="Q467">
        <f t="shared" si="980"/>
        <v>-11539459.735682853</v>
      </c>
      <c r="R467">
        <f t="shared" si="981"/>
        <v>-2955575017.7093325</v>
      </c>
      <c r="S467">
        <f t="shared" si="982"/>
        <v>-29555.750177093323</v>
      </c>
      <c r="T467">
        <f t="shared" si="983"/>
        <v>-29.555750177093323</v>
      </c>
    </row>
    <row r="468" spans="1:20" x14ac:dyDescent="0.25">
      <c r="A468" s="5">
        <v>44125</v>
      </c>
      <c r="B468">
        <v>5.8320000000000004E-3</v>
      </c>
      <c r="C468">
        <v>6.2639999999999996E-3</v>
      </c>
      <c r="D468">
        <v>5.8180000000000003E-3</v>
      </c>
      <c r="E468">
        <v>6.149E-3</v>
      </c>
      <c r="F468">
        <v>27585940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0.4843049327354268</v>
      </c>
      <c r="Q468">
        <f t="shared" si="980"/>
        <v>13360006.81614352</v>
      </c>
      <c r="R468">
        <f t="shared" si="981"/>
        <v>-2944035557.9736495</v>
      </c>
      <c r="S468">
        <f t="shared" si="982"/>
        <v>-29440.355579736493</v>
      </c>
      <c r="T468">
        <f t="shared" si="983"/>
        <v>-29.440355579736494</v>
      </c>
    </row>
    <row r="469" spans="1:20" x14ac:dyDescent="0.25">
      <c r="A469" s="5">
        <v>44124</v>
      </c>
      <c r="B469">
        <v>6.3689999999999997E-3</v>
      </c>
      <c r="C469">
        <v>6.6E-3</v>
      </c>
      <c r="D469">
        <v>5.7359999999999998E-3</v>
      </c>
      <c r="E469">
        <v>5.829E-3</v>
      </c>
      <c r="F469">
        <v>39333784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-0.78472222222222177</v>
      </c>
      <c r="Q469">
        <f t="shared" si="980"/>
        <v>-30866094.388888869</v>
      </c>
      <c r="R469">
        <f t="shared" si="981"/>
        <v>-2957395564.789793</v>
      </c>
      <c r="S469">
        <f t="shared" si="982"/>
        <v>-29573.955647897928</v>
      </c>
      <c r="T469">
        <f t="shared" si="983"/>
        <v>-29.573955647897929</v>
      </c>
    </row>
    <row r="470" spans="1:20" x14ac:dyDescent="0.25">
      <c r="A470" s="5">
        <v>44123</v>
      </c>
      <c r="B470">
        <v>5.7499999999999999E-3</v>
      </c>
      <c r="C470">
        <v>7.0000000000000001E-3</v>
      </c>
      <c r="D470">
        <v>5.5370000000000003E-3</v>
      </c>
      <c r="E470">
        <v>6.3689999999999997E-3</v>
      </c>
      <c r="F470">
        <v>81540954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0.13738892686261034</v>
      </c>
      <c r="Q470">
        <f t="shared" si="980"/>
        <v>11202824.165413475</v>
      </c>
      <c r="R470">
        <f t="shared" si="981"/>
        <v>-2926529470.4009042</v>
      </c>
      <c r="S470">
        <f t="shared" si="982"/>
        <v>-29265.29470400904</v>
      </c>
      <c r="T470">
        <f t="shared" si="983"/>
        <v>-29.26529470400904</v>
      </c>
    </row>
    <row r="471" spans="1:20" x14ac:dyDescent="0.25">
      <c r="A471" s="5">
        <v>44122</v>
      </c>
      <c r="B471">
        <v>5.8760000000000001E-3</v>
      </c>
      <c r="C471">
        <v>5.9909999999999998E-3</v>
      </c>
      <c r="D471">
        <v>5.7460000000000002E-3</v>
      </c>
      <c r="E471">
        <v>5.7499999999999999E-3</v>
      </c>
      <c r="F471">
        <v>8679285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-0.96734693877551292</v>
      </c>
      <c r="Q471">
        <f t="shared" si="980"/>
        <v>-8395879.7755102273</v>
      </c>
      <c r="R471">
        <f t="shared" si="981"/>
        <v>-2937732294.5663176</v>
      </c>
      <c r="S471">
        <f t="shared" si="982"/>
        <v>-29377.322945663174</v>
      </c>
      <c r="T471">
        <f t="shared" si="983"/>
        <v>-29.377322945663174</v>
      </c>
    </row>
    <row r="472" spans="1:20" x14ac:dyDescent="0.25">
      <c r="A472" s="5">
        <v>44121</v>
      </c>
      <c r="B472">
        <v>5.6150000000000002E-3</v>
      </c>
      <c r="C472">
        <v>6.0000000000000001E-3</v>
      </c>
      <c r="D472">
        <v>5.5500000000000002E-3</v>
      </c>
      <c r="E472">
        <v>5.8640000000000003E-3</v>
      </c>
      <c r="F472">
        <v>13265971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0.3955555555555561</v>
      </c>
      <c r="Q472">
        <f t="shared" si="980"/>
        <v>5247428.5288888961</v>
      </c>
      <c r="R472">
        <f t="shared" si="981"/>
        <v>-2929336414.7908072</v>
      </c>
      <c r="S472">
        <f t="shared" si="982"/>
        <v>-29293.364147908072</v>
      </c>
      <c r="T472">
        <f t="shared" si="983"/>
        <v>-29.293364147908072</v>
      </c>
    </row>
    <row r="473" spans="1:20" x14ac:dyDescent="0.25">
      <c r="A473" s="5">
        <v>44120</v>
      </c>
      <c r="B473">
        <v>6.2659999999999999E-3</v>
      </c>
      <c r="C473">
        <v>6.2979999999999998E-3</v>
      </c>
      <c r="D473">
        <v>5.62E-3</v>
      </c>
      <c r="E473">
        <v>5.6280000000000002E-3</v>
      </c>
      <c r="F473">
        <v>70724342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-0.9764011799410024</v>
      </c>
      <c r="Q473">
        <f t="shared" si="980"/>
        <v>-69055330.979350999</v>
      </c>
      <c r="R473">
        <f t="shared" si="981"/>
        <v>-2934583843.3196959</v>
      </c>
      <c r="S473">
        <f t="shared" si="982"/>
        <v>-29345.838433196961</v>
      </c>
      <c r="T473">
        <f t="shared" si="983"/>
        <v>-29.34583843319696</v>
      </c>
    </row>
    <row r="474" spans="1:20" x14ac:dyDescent="0.25">
      <c r="A474" s="5">
        <v>44119</v>
      </c>
      <c r="B474">
        <v>6.6179999999999998E-3</v>
      </c>
      <c r="C474">
        <v>6.6299999999999996E-3</v>
      </c>
      <c r="D474">
        <v>6.1659999999999996E-3</v>
      </c>
      <c r="E474">
        <v>6.2659999999999999E-3</v>
      </c>
      <c r="F474">
        <v>18954286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-0.56896551724137823</v>
      </c>
      <c r="Q474">
        <f t="shared" si="980"/>
        <v>-10784335.137931013</v>
      </c>
      <c r="R474">
        <f t="shared" si="981"/>
        <v>-2865528512.3403449</v>
      </c>
      <c r="S474">
        <f t="shared" si="982"/>
        <v>-28655.28512340345</v>
      </c>
      <c r="T474">
        <f t="shared" si="983"/>
        <v>-28.655285123403448</v>
      </c>
    </row>
    <row r="475" spans="1:20" x14ac:dyDescent="0.25">
      <c r="A475" s="5">
        <v>44118</v>
      </c>
      <c r="B475">
        <v>6.8050000000000003E-3</v>
      </c>
      <c r="C475">
        <v>6.9340000000000001E-3</v>
      </c>
      <c r="D475">
        <v>6.4650000000000003E-3</v>
      </c>
      <c r="E475">
        <v>6.6020000000000002E-3</v>
      </c>
      <c r="F475">
        <v>17583770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-0.415778251599147</v>
      </c>
      <c r="Q475">
        <f t="shared" si="980"/>
        <v>-7310949.1471215328</v>
      </c>
      <c r="R475">
        <f t="shared" si="981"/>
        <v>-2854744177.202414</v>
      </c>
      <c r="S475">
        <f t="shared" si="982"/>
        <v>-28547.44177202414</v>
      </c>
      <c r="T475">
        <f t="shared" si="983"/>
        <v>-28.54744177202414</v>
      </c>
    </row>
    <row r="476" spans="1:20" x14ac:dyDescent="0.25">
      <c r="A476" s="5">
        <v>44117</v>
      </c>
      <c r="B476">
        <v>7.1130000000000004E-3</v>
      </c>
      <c r="C476">
        <v>7.1260000000000004E-3</v>
      </c>
      <c r="D476">
        <v>6.5960000000000003E-3</v>
      </c>
      <c r="E476">
        <v>6.8050000000000003E-3</v>
      </c>
      <c r="F476">
        <v>29871124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-0.21132075471698133</v>
      </c>
      <c r="Q476">
        <f t="shared" si="980"/>
        <v>-6312388.4679245343</v>
      </c>
      <c r="R476">
        <f t="shared" si="981"/>
        <v>-2847433228.0552926</v>
      </c>
      <c r="S476">
        <f t="shared" si="982"/>
        <v>-28474.332280552928</v>
      </c>
      <c r="T476">
        <f t="shared" si="983"/>
        <v>-28.474332280552929</v>
      </c>
    </row>
    <row r="477" spans="1:20" x14ac:dyDescent="0.25">
      <c r="A477" s="5">
        <v>44116</v>
      </c>
      <c r="B477">
        <v>6.855E-3</v>
      </c>
      <c r="C477">
        <v>7.2379999999999996E-3</v>
      </c>
      <c r="D477">
        <v>6.7520000000000002E-3</v>
      </c>
      <c r="E477">
        <v>7.1390000000000004E-3</v>
      </c>
      <c r="F477">
        <v>19102963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0.59259259259259522</v>
      </c>
      <c r="Q477">
        <f t="shared" si="980"/>
        <v>11320274.370370422</v>
      </c>
      <c r="R477">
        <f t="shared" si="981"/>
        <v>-2841120839.587368</v>
      </c>
      <c r="S477">
        <f t="shared" si="982"/>
        <v>-28411.20839587368</v>
      </c>
      <c r="T477">
        <f t="shared" si="983"/>
        <v>-28.411208395873679</v>
      </c>
    </row>
    <row r="478" spans="1:20" x14ac:dyDescent="0.25">
      <c r="A478" s="5">
        <v>44115</v>
      </c>
      <c r="B478">
        <v>6.855E-3</v>
      </c>
      <c r="C478">
        <v>7.0499999999999998E-3</v>
      </c>
      <c r="D478">
        <v>6.705E-3</v>
      </c>
      <c r="E478">
        <v>6.8180000000000003E-3</v>
      </c>
      <c r="F478">
        <v>14330153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-0.34492753623188227</v>
      </c>
      <c r="Q478">
        <f t="shared" si="980"/>
        <v>-4942864.3681159168</v>
      </c>
      <c r="R478">
        <f t="shared" si="981"/>
        <v>-2852441113.9577384</v>
      </c>
      <c r="S478">
        <f t="shared" si="982"/>
        <v>-28524.411139577383</v>
      </c>
      <c r="T478">
        <f t="shared" si="983"/>
        <v>-28.524411139577385</v>
      </c>
    </row>
    <row r="479" spans="1:20" x14ac:dyDescent="0.25">
      <c r="A479" s="5">
        <v>44114</v>
      </c>
      <c r="B479">
        <v>7.3099999999999997E-3</v>
      </c>
      <c r="C479">
        <v>7.4640000000000001E-3</v>
      </c>
      <c r="D479">
        <v>6.7650000000000002E-3</v>
      </c>
      <c r="E479">
        <v>6.8380000000000003E-3</v>
      </c>
      <c r="F479">
        <v>45670771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-0.79113018597997098</v>
      </c>
      <c r="Q479">
        <f t="shared" si="980"/>
        <v>-36131525.555078663</v>
      </c>
      <c r="R479">
        <f t="shared" si="981"/>
        <v>-2847498249.5896225</v>
      </c>
      <c r="S479">
        <f t="shared" si="982"/>
        <v>-28474.982495896224</v>
      </c>
      <c r="T479">
        <f t="shared" si="983"/>
        <v>-28.474982495896224</v>
      </c>
    </row>
    <row r="480" spans="1:20" x14ac:dyDescent="0.25">
      <c r="A480" s="5">
        <v>44113</v>
      </c>
      <c r="B480">
        <v>6.9699999999999996E-3</v>
      </c>
      <c r="C480">
        <v>7.339E-3</v>
      </c>
      <c r="D480">
        <v>6.8869999999999999E-3</v>
      </c>
      <c r="E480">
        <v>7.3150000000000003E-3</v>
      </c>
      <c r="F480">
        <v>21293535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0.89380530973451455</v>
      </c>
      <c r="Q480">
        <f t="shared" si="980"/>
        <v>19032274.646017727</v>
      </c>
      <c r="R480">
        <f t="shared" si="981"/>
        <v>-2811366724.034544</v>
      </c>
      <c r="S480">
        <f t="shared" si="982"/>
        <v>-28113.667240345439</v>
      </c>
      <c r="T480">
        <f t="shared" si="983"/>
        <v>-28.113667240345439</v>
      </c>
    </row>
    <row r="481" spans="1:20" x14ac:dyDescent="0.25">
      <c r="A481" s="5">
        <v>44112</v>
      </c>
      <c r="B481">
        <v>6.8510000000000003E-3</v>
      </c>
      <c r="C481">
        <v>7.0439999999999999E-3</v>
      </c>
      <c r="D481">
        <v>6.5199999999999998E-3</v>
      </c>
      <c r="E481">
        <v>6.9699999999999996E-3</v>
      </c>
      <c r="F481">
        <v>16898948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0.71755725190839592</v>
      </c>
      <c r="Q481">
        <f t="shared" si="980"/>
        <v>12125962.687022883</v>
      </c>
      <c r="R481">
        <f t="shared" si="981"/>
        <v>-2830398998.6805615</v>
      </c>
      <c r="S481">
        <f t="shared" si="982"/>
        <v>-28303.989986805616</v>
      </c>
      <c r="T481">
        <f t="shared" si="983"/>
        <v>-28.303989986805615</v>
      </c>
    </row>
    <row r="482" spans="1:20" x14ac:dyDescent="0.25">
      <c r="A482" s="5">
        <v>44111</v>
      </c>
      <c r="B482">
        <v>6.7930000000000004E-3</v>
      </c>
      <c r="C482">
        <v>7.3749999999999996E-3</v>
      </c>
      <c r="D482">
        <v>6.6480000000000003E-3</v>
      </c>
      <c r="E482">
        <v>6.8510000000000003E-3</v>
      </c>
      <c r="F482">
        <v>55040844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-0.44154057771664307</v>
      </c>
      <c r="Q482">
        <f t="shared" si="980"/>
        <v>-24302766.057771627</v>
      </c>
      <c r="R482">
        <f t="shared" si="981"/>
        <v>-2842524961.3675842</v>
      </c>
      <c r="S482">
        <f t="shared" si="982"/>
        <v>-28425.249613675842</v>
      </c>
      <c r="T482">
        <f t="shared" si="983"/>
        <v>-28.425249613675842</v>
      </c>
    </row>
    <row r="483" spans="1:20" x14ac:dyDescent="0.25">
      <c r="A483" s="5">
        <v>44110</v>
      </c>
      <c r="B483">
        <v>7.3670000000000003E-3</v>
      </c>
      <c r="C483">
        <v>7.3740000000000003E-3</v>
      </c>
      <c r="D483">
        <v>6.6480000000000003E-3</v>
      </c>
      <c r="E483">
        <v>6.7739999999999996E-3</v>
      </c>
      <c r="F483">
        <v>15941795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-0.65289256198347279</v>
      </c>
      <c r="Q483">
        <f t="shared" si="980"/>
        <v>-10408279.380165316</v>
      </c>
      <c r="R483">
        <f t="shared" si="981"/>
        <v>-2818222195.3098125</v>
      </c>
      <c r="S483">
        <f t="shared" si="982"/>
        <v>-28182.221953098124</v>
      </c>
      <c r="T483">
        <f t="shared" si="983"/>
        <v>-28.182221953098125</v>
      </c>
    </row>
    <row r="484" spans="1:20" x14ac:dyDescent="0.25">
      <c r="A484" s="5">
        <v>44109</v>
      </c>
      <c r="B484">
        <v>7.2659999999999999E-3</v>
      </c>
      <c r="C484">
        <v>7.4450000000000002E-3</v>
      </c>
      <c r="D484">
        <v>7.1240000000000001E-3</v>
      </c>
      <c r="E484">
        <v>7.365E-3</v>
      </c>
      <c r="F484">
        <v>11217563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0.50155763239875273</v>
      </c>
      <c r="Q484">
        <f t="shared" si="980"/>
        <v>5626254.3395638503</v>
      </c>
      <c r="R484">
        <f t="shared" si="981"/>
        <v>-2807813915.9296474</v>
      </c>
      <c r="S484">
        <f t="shared" si="982"/>
        <v>-28078.139159296476</v>
      </c>
      <c r="T484">
        <f t="shared" si="983"/>
        <v>-28.078139159296477</v>
      </c>
    </row>
    <row r="485" spans="1:20" x14ac:dyDescent="0.25">
      <c r="A485" s="5">
        <v>44108</v>
      </c>
      <c r="B485">
        <v>7.1510000000000002E-3</v>
      </c>
      <c r="C485">
        <v>7.443E-3</v>
      </c>
      <c r="D485">
        <v>7.012E-3</v>
      </c>
      <c r="E485">
        <v>7.2680000000000002E-3</v>
      </c>
      <c r="F485">
        <v>16603030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0.18793503480278503</v>
      </c>
      <c r="Q485">
        <f t="shared" si="980"/>
        <v>3120291.020881684</v>
      </c>
      <c r="R485">
        <f t="shared" si="981"/>
        <v>-2813440170.2692113</v>
      </c>
      <c r="S485">
        <f t="shared" si="982"/>
        <v>-28134.401702692114</v>
      </c>
      <c r="T485">
        <f t="shared" si="983"/>
        <v>-28.134401702692113</v>
      </c>
    </row>
    <row r="486" spans="1:20" x14ac:dyDescent="0.25">
      <c r="A486" s="5">
        <v>44107</v>
      </c>
      <c r="B486">
        <v>7.1469999999999997E-3</v>
      </c>
      <c r="C486">
        <v>7.2009999999999999E-3</v>
      </c>
      <c r="D486">
        <v>6.7999999999999996E-3</v>
      </c>
      <c r="E486">
        <v>7.1520000000000004E-3</v>
      </c>
      <c r="F486">
        <v>24116938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0.7556109725685809</v>
      </c>
      <c r="Q486">
        <f t="shared" si="980"/>
        <v>18223022.977556165</v>
      </c>
      <c r="R486">
        <f t="shared" si="981"/>
        <v>-2816560461.2900929</v>
      </c>
      <c r="S486">
        <f t="shared" si="982"/>
        <v>-28165.60461290093</v>
      </c>
      <c r="T486">
        <f t="shared" si="983"/>
        <v>-28.165604612900928</v>
      </c>
    </row>
    <row r="487" spans="1:20" x14ac:dyDescent="0.25">
      <c r="A487" s="5">
        <v>44106</v>
      </c>
      <c r="B487">
        <v>7.5249999999999996E-3</v>
      </c>
      <c r="C487">
        <v>7.5430000000000002E-3</v>
      </c>
      <c r="D487">
        <v>6.6810000000000003E-3</v>
      </c>
      <c r="E487">
        <v>7.1809999999999999E-3</v>
      </c>
      <c r="F487">
        <v>79687477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0.16009280742459309</v>
      </c>
      <c r="Q487">
        <f t="shared" si="980"/>
        <v>12757391.909512691</v>
      </c>
      <c r="R487">
        <f t="shared" si="981"/>
        <v>-2834783484.2676492</v>
      </c>
      <c r="S487">
        <f t="shared" si="982"/>
        <v>-28347.834842676493</v>
      </c>
      <c r="T487">
        <f t="shared" si="983"/>
        <v>-28.347834842676495</v>
      </c>
    </row>
    <row r="488" spans="1:20" x14ac:dyDescent="0.25">
      <c r="A488" s="5">
        <v>44105</v>
      </c>
      <c r="B488">
        <v>8.0999999999999996E-3</v>
      </c>
      <c r="C488">
        <v>8.5000000000000006E-3</v>
      </c>
      <c r="D488">
        <v>7.3509999999999999E-3</v>
      </c>
      <c r="E488">
        <v>7.5269999999999998E-3</v>
      </c>
      <c r="F488">
        <v>40487773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-0.69364664926022657</v>
      </c>
      <c r="Q488">
        <f t="shared" si="980"/>
        <v>-28084208.077458672</v>
      </c>
      <c r="R488">
        <f t="shared" si="981"/>
        <v>-2847540876.1771617</v>
      </c>
      <c r="S488">
        <f t="shared" si="982"/>
        <v>-28475.408761771618</v>
      </c>
      <c r="T488">
        <f t="shared" si="983"/>
        <v>-28.475408761771618</v>
      </c>
    </row>
    <row r="489" spans="1:20" x14ac:dyDescent="0.25">
      <c r="A489" s="5">
        <v>44104</v>
      </c>
      <c r="B489">
        <v>8.3730000000000002E-3</v>
      </c>
      <c r="C489">
        <v>8.3999999999999995E-3</v>
      </c>
      <c r="D489">
        <v>8.0260000000000001E-3</v>
      </c>
      <c r="E489">
        <v>8.0750000000000006E-3</v>
      </c>
      <c r="F489">
        <v>21254284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-0.73796791443849985</v>
      </c>
      <c r="Q489">
        <f t="shared" si="980"/>
        <v>-15684979.636363577</v>
      </c>
      <c r="R489">
        <f t="shared" si="981"/>
        <v>-2819456668.0997028</v>
      </c>
      <c r="S489">
        <f t="shared" si="982"/>
        <v>-28194.566680997028</v>
      </c>
      <c r="T489">
        <f t="shared" si="983"/>
        <v>-28.194566680997028</v>
      </c>
    </row>
    <row r="490" spans="1:20" x14ac:dyDescent="0.25">
      <c r="A490" s="5">
        <v>44103</v>
      </c>
      <c r="B490">
        <v>7.7539999999999996E-3</v>
      </c>
      <c r="C490">
        <v>8.3949999999999997E-3</v>
      </c>
      <c r="D490">
        <v>7.7499999999999999E-3</v>
      </c>
      <c r="E490">
        <v>8.3239999999999998E-3</v>
      </c>
      <c r="F490">
        <v>20205292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0.77984496124031033</v>
      </c>
      <c r="Q490">
        <f t="shared" si="980"/>
        <v>15756995.156589152</v>
      </c>
      <c r="R490">
        <f t="shared" si="981"/>
        <v>-2803771688.4633393</v>
      </c>
      <c r="S490">
        <f t="shared" si="982"/>
        <v>-28037.716884633392</v>
      </c>
      <c r="T490">
        <f t="shared" si="983"/>
        <v>-28.03771688463339</v>
      </c>
    </row>
    <row r="491" spans="1:20" x14ac:dyDescent="0.25">
      <c r="A491" s="5">
        <v>44102</v>
      </c>
      <c r="B491">
        <v>7.953E-3</v>
      </c>
      <c r="C491">
        <v>8.8909999999999996E-3</v>
      </c>
      <c r="D491">
        <v>7.731E-3</v>
      </c>
      <c r="E491">
        <v>7.7530000000000003E-3</v>
      </c>
      <c r="F491">
        <v>56224359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-0.96206896551724086</v>
      </c>
      <c r="Q491">
        <f t="shared" si="980"/>
        <v>-54091710.899999969</v>
      </c>
      <c r="R491">
        <f t="shared" si="981"/>
        <v>-2819528683.6199284</v>
      </c>
      <c r="S491">
        <f t="shared" si="982"/>
        <v>-28195.286836199284</v>
      </c>
      <c r="T491">
        <f t="shared" si="983"/>
        <v>-28.195286836199283</v>
      </c>
    </row>
    <row r="492" spans="1:20" x14ac:dyDescent="0.25">
      <c r="A492" s="5">
        <v>44101</v>
      </c>
      <c r="B492">
        <v>8.1049999999999994E-3</v>
      </c>
      <c r="C492">
        <v>8.1429999999999992E-3</v>
      </c>
      <c r="D492">
        <v>7.7819999999999999E-3</v>
      </c>
      <c r="E492">
        <v>7.9579999999999998E-3</v>
      </c>
      <c r="F492">
        <v>18458693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-2.4930747922436221E-2</v>
      </c>
      <c r="Q492">
        <f t="shared" si="980"/>
        <v>-460189.02216063801</v>
      </c>
      <c r="R492">
        <f t="shared" si="981"/>
        <v>-2765436972.7199283</v>
      </c>
      <c r="S492">
        <f t="shared" si="982"/>
        <v>-27654.369727199282</v>
      </c>
      <c r="T492">
        <f t="shared" si="983"/>
        <v>-27.654369727199281</v>
      </c>
    </row>
    <row r="493" spans="1:20" x14ac:dyDescent="0.25">
      <c r="A493" s="5">
        <v>44100</v>
      </c>
      <c r="B493">
        <v>8.1440000000000002E-3</v>
      </c>
      <c r="C493">
        <v>8.2330000000000007E-3</v>
      </c>
      <c r="D493">
        <v>7.8510000000000003E-3</v>
      </c>
      <c r="E493">
        <v>8.1049999999999994E-3</v>
      </c>
      <c r="F493">
        <v>15137907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0.32984293193716624</v>
      </c>
      <c r="Q493">
        <f t="shared" si="980"/>
        <v>4993131.6282721525</v>
      </c>
      <c r="R493">
        <f t="shared" si="981"/>
        <v>-2764976783.6977677</v>
      </c>
      <c r="S493">
        <f t="shared" si="982"/>
        <v>-27649.767836977677</v>
      </c>
      <c r="T493">
        <f t="shared" si="983"/>
        <v>-27.649767836977677</v>
      </c>
    </row>
    <row r="494" spans="1:20" x14ac:dyDescent="0.25">
      <c r="A494" s="5">
        <v>44099</v>
      </c>
      <c r="B494">
        <v>8.4609999999999998E-3</v>
      </c>
      <c r="C494">
        <v>8.4609999999999998E-3</v>
      </c>
      <c r="D494">
        <v>7.8110000000000002E-3</v>
      </c>
      <c r="E494">
        <v>8.1329999999999996E-3</v>
      </c>
      <c r="F494">
        <v>19595338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-9.2307692307704633E-3</v>
      </c>
      <c r="Q494">
        <f t="shared" si="980"/>
        <v>-180880.04307694722</v>
      </c>
      <c r="R494">
        <f t="shared" si="981"/>
        <v>-2769969915.3260398</v>
      </c>
      <c r="S494">
        <f t="shared" si="982"/>
        <v>-27699.699153260397</v>
      </c>
      <c r="T494">
        <f t="shared" si="983"/>
        <v>-27.699699153260397</v>
      </c>
    </row>
    <row r="495" spans="1:20" x14ac:dyDescent="0.25">
      <c r="A495" s="5">
        <v>44098</v>
      </c>
      <c r="B495">
        <v>7.3660000000000002E-3</v>
      </c>
      <c r="C495">
        <v>8.5000000000000006E-3</v>
      </c>
      <c r="D495">
        <v>7.2300000000000003E-3</v>
      </c>
      <c r="E495">
        <v>8.4829999999999992E-3</v>
      </c>
      <c r="F495">
        <v>83154562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0.97322834645669076</v>
      </c>
      <c r="Q495">
        <f t="shared" si="980"/>
        <v>80928376.875590369</v>
      </c>
      <c r="R495">
        <f t="shared" si="981"/>
        <v>-2769789035.2829628</v>
      </c>
      <c r="S495">
        <f t="shared" si="982"/>
        <v>-27697.890352829629</v>
      </c>
      <c r="T495">
        <f t="shared" si="983"/>
        <v>-27.697890352829628</v>
      </c>
    </row>
    <row r="496" spans="1:20" x14ac:dyDescent="0.25">
      <c r="A496" s="5">
        <v>44097</v>
      </c>
      <c r="B496">
        <v>8.3770000000000008E-3</v>
      </c>
      <c r="C496">
        <v>8.404E-3</v>
      </c>
      <c r="D496">
        <v>7.2290000000000002E-3</v>
      </c>
      <c r="E496">
        <v>7.4019999999999997E-3</v>
      </c>
      <c r="F496">
        <v>73185012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-0.70553191489361777</v>
      </c>
      <c r="Q496">
        <f t="shared" si="980"/>
        <v>-51634361.657872394</v>
      </c>
      <c r="R496">
        <f t="shared" si="981"/>
        <v>-2850717412.1585531</v>
      </c>
      <c r="S496">
        <f t="shared" si="982"/>
        <v>-28507.174121585533</v>
      </c>
      <c r="T496">
        <f t="shared" si="983"/>
        <v>-28.507174121585532</v>
      </c>
    </row>
    <row r="497" spans="1:20" x14ac:dyDescent="0.25">
      <c r="A497" s="5">
        <v>44096</v>
      </c>
      <c r="B497">
        <v>8.4119999999999993E-3</v>
      </c>
      <c r="C497">
        <v>8.6070000000000001E-3</v>
      </c>
      <c r="D497">
        <v>8.0000000000000002E-3</v>
      </c>
      <c r="E497">
        <v>8.3770000000000008E-3</v>
      </c>
      <c r="F497">
        <v>32033234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0.24217462932454914</v>
      </c>
      <c r="Q497">
        <f t="shared" si="980"/>
        <v>7757636.5700165443</v>
      </c>
      <c r="R497">
        <f t="shared" si="981"/>
        <v>-2799083050.5006809</v>
      </c>
      <c r="S497">
        <f t="shared" si="982"/>
        <v>-27990.830505006808</v>
      </c>
      <c r="T497">
        <f t="shared" si="983"/>
        <v>-27.990830505006809</v>
      </c>
    </row>
    <row r="498" spans="1:20" x14ac:dyDescent="0.25">
      <c r="A498" s="5">
        <v>44095</v>
      </c>
      <c r="B498">
        <v>8.4360000000000008E-3</v>
      </c>
      <c r="C498">
        <v>9.7680000000000006E-3</v>
      </c>
      <c r="D498">
        <v>8.0000000000000002E-3</v>
      </c>
      <c r="E498">
        <v>8.4320000000000003E-3</v>
      </c>
      <c r="F498">
        <v>99170099</v>
      </c>
      <c r="G498">
        <v>0</v>
      </c>
      <c r="L498" t="s">
        <v>8</v>
      </c>
      <c r="M498" t="s">
        <v>8</v>
      </c>
      <c r="N498" t="s">
        <v>7</v>
      </c>
      <c r="P498">
        <f t="shared" si="979"/>
        <v>-0.51131221719457021</v>
      </c>
      <c r="Q498">
        <f t="shared" si="980"/>
        <v>-50706883.199095033</v>
      </c>
      <c r="R498">
        <f t="shared" si="981"/>
        <v>-2806840687.0706973</v>
      </c>
      <c r="S498">
        <f t="shared" si="982"/>
        <v>-28068.406870706975</v>
      </c>
      <c r="T498">
        <f t="shared" si="983"/>
        <v>-28.068406870706976</v>
      </c>
    </row>
    <row r="499" spans="1:20" x14ac:dyDescent="0.25">
      <c r="A499" s="5">
        <v>44094</v>
      </c>
      <c r="B499">
        <v>9.3030000000000005E-3</v>
      </c>
      <c r="C499">
        <v>9.3489999999999997E-3</v>
      </c>
      <c r="D499">
        <v>8.012E-3</v>
      </c>
      <c r="E499">
        <v>8.4049999999999993E-3</v>
      </c>
      <c r="F499">
        <v>91093307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-0.41211667913238692</v>
      </c>
      <c r="Q499">
        <f t="shared" si="980"/>
        <v>-37541071.172027014</v>
      </c>
      <c r="R499">
        <f t="shared" si="981"/>
        <v>-2756133803.8716021</v>
      </c>
      <c r="S499">
        <f t="shared" si="982"/>
        <v>-27561.338038716021</v>
      </c>
      <c r="T499">
        <f t="shared" si="983"/>
        <v>-27.56133803871602</v>
      </c>
    </row>
    <row r="500" spans="1:20" x14ac:dyDescent="0.25">
      <c r="A500" s="5">
        <v>44093</v>
      </c>
      <c r="B500">
        <v>9.0889999999999999E-3</v>
      </c>
      <c r="C500">
        <v>9.4970000000000002E-3</v>
      </c>
      <c r="D500">
        <v>9.0720000000000002E-3</v>
      </c>
      <c r="E500">
        <v>9.3609999999999995E-3</v>
      </c>
      <c r="F500">
        <v>29843679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0.35999999999999671</v>
      </c>
      <c r="Q500">
        <f t="shared" si="980"/>
        <v>10743724.439999903</v>
      </c>
      <c r="R500">
        <f t="shared" si="981"/>
        <v>-2718592732.6995749</v>
      </c>
      <c r="S500">
        <f t="shared" si="982"/>
        <v>-27185.927326995748</v>
      </c>
      <c r="T500">
        <f t="shared" si="983"/>
        <v>-27.185927326995749</v>
      </c>
    </row>
    <row r="501" spans="1:20" x14ac:dyDescent="0.25">
      <c r="A501" s="5">
        <v>44092</v>
      </c>
      <c r="B501">
        <v>9.0930000000000004E-3</v>
      </c>
      <c r="C501">
        <v>9.5490000000000002E-3</v>
      </c>
      <c r="D501">
        <v>8.8880000000000001E-3</v>
      </c>
      <c r="E501">
        <v>9.1249999999999994E-3</v>
      </c>
      <c r="F501">
        <v>46024267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-0.2829046898638447</v>
      </c>
      <c r="Q501">
        <f t="shared" si="980"/>
        <v>-13020480.981845783</v>
      </c>
      <c r="R501">
        <f t="shared" si="981"/>
        <v>-2729336457.139575</v>
      </c>
      <c r="S501">
        <f t="shared" si="982"/>
        <v>-27293.364571395748</v>
      </c>
      <c r="T501">
        <f t="shared" si="983"/>
        <v>-27.293364571395749</v>
      </c>
    </row>
    <row r="502" spans="1:20" x14ac:dyDescent="0.25">
      <c r="A502" s="5">
        <v>44091</v>
      </c>
      <c r="B502">
        <v>9.4889999999999992E-3</v>
      </c>
      <c r="C502">
        <v>9.776E-3</v>
      </c>
      <c r="D502">
        <v>8.8350000000000008E-3</v>
      </c>
      <c r="E502">
        <v>9.0930000000000004E-3</v>
      </c>
      <c r="F502">
        <v>85646382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-0.45164718384697178</v>
      </c>
      <c r="Q502">
        <f t="shared" si="980"/>
        <v>-38681947.236981973</v>
      </c>
      <c r="R502">
        <f t="shared" si="981"/>
        <v>-2716315976.1577291</v>
      </c>
      <c r="S502">
        <f t="shared" si="982"/>
        <v>-27163.159761577292</v>
      </c>
      <c r="T502">
        <f t="shared" si="983"/>
        <v>-27.16315976157729</v>
      </c>
    </row>
    <row r="503" spans="1:20" x14ac:dyDescent="0.25">
      <c r="A503" s="5">
        <v>44090</v>
      </c>
      <c r="B503">
        <v>9.3980000000000001E-3</v>
      </c>
      <c r="C503">
        <v>9.6310000000000007E-3</v>
      </c>
      <c r="D503">
        <v>8.7430000000000008E-3</v>
      </c>
      <c r="E503">
        <v>9.4990000000000005E-3</v>
      </c>
      <c r="F503">
        <v>92334507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0.7027027027027023</v>
      </c>
      <c r="Q503">
        <f t="shared" si="980"/>
        <v>64883707.621621586</v>
      </c>
      <c r="R503">
        <f t="shared" si="981"/>
        <v>-2677634028.9207473</v>
      </c>
      <c r="S503">
        <f t="shared" si="982"/>
        <v>-26776.340289207474</v>
      </c>
      <c r="T503">
        <f t="shared" si="983"/>
        <v>-26.776340289207475</v>
      </c>
    </row>
    <row r="504" spans="1:20" x14ac:dyDescent="0.25">
      <c r="A504" s="5">
        <v>44089</v>
      </c>
      <c r="B504">
        <v>1.0564E-2</v>
      </c>
      <c r="C504">
        <v>1.0649E-2</v>
      </c>
      <c r="D504">
        <v>9.2219999999999993E-3</v>
      </c>
      <c r="E504">
        <v>9.3950000000000006E-3</v>
      </c>
      <c r="F504">
        <v>150068232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-0.75753328661527519</v>
      </c>
      <c r="Q504">
        <f t="shared" si="980"/>
        <v>-113681681.00350361</v>
      </c>
      <c r="R504">
        <f t="shared" si="981"/>
        <v>-2742517736.5423689</v>
      </c>
      <c r="S504">
        <f t="shared" si="982"/>
        <v>-27425.177365423689</v>
      </c>
      <c r="T504">
        <f t="shared" si="983"/>
        <v>-27.425177365423689</v>
      </c>
    </row>
    <row r="505" spans="1:20" x14ac:dyDescent="0.25">
      <c r="A505" s="5">
        <v>44088</v>
      </c>
      <c r="B505">
        <v>1.0026999999999999E-2</v>
      </c>
      <c r="C505">
        <v>1.1152E-2</v>
      </c>
      <c r="D505">
        <v>9.6369999999999997E-3</v>
      </c>
      <c r="E505">
        <v>1.0576E-2</v>
      </c>
      <c r="F505">
        <v>163193946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0.23960396039603982</v>
      </c>
      <c r="Q505">
        <f t="shared" si="980"/>
        <v>39101915.774257459</v>
      </c>
      <c r="R505">
        <f t="shared" si="981"/>
        <v>-2628836055.5388651</v>
      </c>
      <c r="S505">
        <f t="shared" si="982"/>
        <v>-26288.360555388652</v>
      </c>
      <c r="T505">
        <f t="shared" si="983"/>
        <v>-26.288360555388653</v>
      </c>
    </row>
    <row r="506" spans="1:20" x14ac:dyDescent="0.25">
      <c r="A506" s="5">
        <v>44087</v>
      </c>
      <c r="B506">
        <v>1.1885E-2</v>
      </c>
      <c r="C506">
        <v>1.256E-2</v>
      </c>
      <c r="D506">
        <v>9.3449999999999991E-3</v>
      </c>
      <c r="E506">
        <v>1.0061E-2</v>
      </c>
      <c r="F506">
        <v>263863159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-0.55458786936236315</v>
      </c>
      <c r="Q506">
        <f t="shared" si="980"/>
        <v>-146335307.15303245</v>
      </c>
      <c r="R506">
        <f t="shared" si="981"/>
        <v>-2667937971.3131227</v>
      </c>
      <c r="S506">
        <f t="shared" si="982"/>
        <v>-26679.379713131228</v>
      </c>
      <c r="T506">
        <f t="shared" si="983"/>
        <v>-26.679379713131226</v>
      </c>
    </row>
    <row r="507" spans="1:20" x14ac:dyDescent="0.25">
      <c r="A507" s="5">
        <v>44086</v>
      </c>
      <c r="B507">
        <v>1.091E-2</v>
      </c>
      <c r="C507">
        <v>1.2442999999999999E-2</v>
      </c>
      <c r="D507">
        <v>1.0299000000000001E-2</v>
      </c>
      <c r="E507">
        <v>1.1885E-2</v>
      </c>
      <c r="F507">
        <v>235424739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0.47947761194029859</v>
      </c>
      <c r="Q507">
        <f t="shared" si="980"/>
        <v>112880891.64738809</v>
      </c>
      <c r="R507">
        <f t="shared" si="981"/>
        <v>-2521602664.1600904</v>
      </c>
      <c r="S507">
        <f t="shared" si="982"/>
        <v>-25216.026641600904</v>
      </c>
      <c r="T507">
        <f t="shared" si="983"/>
        <v>-25.216026641600905</v>
      </c>
    </row>
    <row r="508" spans="1:20" x14ac:dyDescent="0.25">
      <c r="A508" s="5">
        <v>44085</v>
      </c>
      <c r="B508">
        <v>1.0958000000000001E-2</v>
      </c>
      <c r="C508">
        <v>1.1145E-2</v>
      </c>
      <c r="D508">
        <v>9.9290000000000003E-3</v>
      </c>
      <c r="E508">
        <v>1.0892000000000001E-2</v>
      </c>
      <c r="F508">
        <v>186806266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0.58388157894736881</v>
      </c>
      <c r="Q508">
        <f t="shared" si="980"/>
        <v>109072737.54934217</v>
      </c>
      <c r="R508">
        <f t="shared" si="981"/>
        <v>-2634483555.8074784</v>
      </c>
      <c r="S508">
        <f t="shared" si="982"/>
        <v>-26344.835558074785</v>
      </c>
      <c r="T508">
        <f t="shared" si="983"/>
        <v>-26.344835558074784</v>
      </c>
    </row>
    <row r="509" spans="1:20" x14ac:dyDescent="0.25">
      <c r="A509" s="5">
        <v>44084</v>
      </c>
      <c r="B509">
        <v>1.0893E-2</v>
      </c>
      <c r="C509">
        <v>1.1990000000000001E-2</v>
      </c>
      <c r="D509">
        <v>1.0239E-2</v>
      </c>
      <c r="E509">
        <v>1.0944000000000001E-2</v>
      </c>
      <c r="F509">
        <v>271443302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-0.19474585950885159</v>
      </c>
      <c r="Q509">
        <f t="shared" si="980"/>
        <v>-52862459.155910775</v>
      </c>
      <c r="R509">
        <f t="shared" si="981"/>
        <v>-2743556293.3568206</v>
      </c>
      <c r="S509">
        <f t="shared" si="982"/>
        <v>-27435.562933568206</v>
      </c>
      <c r="T509">
        <f t="shared" si="983"/>
        <v>-27.435562933568207</v>
      </c>
    </row>
    <row r="510" spans="1:20" x14ac:dyDescent="0.25">
      <c r="A510" s="5">
        <v>44083</v>
      </c>
      <c r="B510">
        <v>1.0531E-2</v>
      </c>
      <c r="C510">
        <v>1.1074000000000001E-2</v>
      </c>
      <c r="D510">
        <v>9.8779999999999996E-3</v>
      </c>
      <c r="E510">
        <v>1.0893E-2</v>
      </c>
      <c r="F510">
        <v>162749760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0.69732441471571827</v>
      </c>
      <c r="Q510">
        <f t="shared" si="980"/>
        <v>113489381.13712361</v>
      </c>
      <c r="R510">
        <f t="shared" si="981"/>
        <v>-2690693834.2009096</v>
      </c>
      <c r="S510">
        <f t="shared" si="982"/>
        <v>-26906.938342009096</v>
      </c>
      <c r="T510">
        <f t="shared" si="983"/>
        <v>-26.906938342009095</v>
      </c>
    </row>
    <row r="511" spans="1:20" x14ac:dyDescent="0.25">
      <c r="A511" s="5">
        <v>44082</v>
      </c>
      <c r="B511">
        <v>9.1839999999999995E-3</v>
      </c>
      <c r="C511">
        <v>1.0943E-2</v>
      </c>
      <c r="D511">
        <v>8.7650000000000002E-3</v>
      </c>
      <c r="E511">
        <v>1.0515999999999999E-2</v>
      </c>
      <c r="F511">
        <v>377783931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0.60789715335169847</v>
      </c>
      <c r="Q511">
        <f t="shared" si="980"/>
        <v>229653776.23691449</v>
      </c>
      <c r="R511">
        <f t="shared" si="981"/>
        <v>-2804183215.3380332</v>
      </c>
      <c r="S511">
        <f t="shared" si="982"/>
        <v>-28041.832153380332</v>
      </c>
      <c r="T511">
        <f t="shared" si="983"/>
        <v>-28.041832153380334</v>
      </c>
    </row>
    <row r="512" spans="1:20" x14ac:dyDescent="0.25">
      <c r="A512" s="5">
        <v>44081</v>
      </c>
      <c r="B512">
        <v>8.7100000000000007E-3</v>
      </c>
      <c r="C512">
        <v>9.2270000000000008E-3</v>
      </c>
      <c r="D512">
        <v>7.7270000000000004E-3</v>
      </c>
      <c r="E512">
        <v>9.2270000000000008E-3</v>
      </c>
      <c r="F512">
        <v>122804224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1</v>
      </c>
      <c r="Q512">
        <f t="shared" si="980"/>
        <v>122804224</v>
      </c>
      <c r="R512">
        <f t="shared" si="981"/>
        <v>-3033836991.5749478</v>
      </c>
      <c r="S512">
        <f t="shared" si="982"/>
        <v>-30338.369915749478</v>
      </c>
      <c r="T512">
        <f t="shared" si="983"/>
        <v>-30.338369915749478</v>
      </c>
    </row>
    <row r="513" spans="1:20" x14ac:dyDescent="0.25">
      <c r="A513" s="5">
        <v>44080</v>
      </c>
      <c r="B513">
        <v>8.4139999999999996E-3</v>
      </c>
      <c r="C513">
        <v>9.077E-3</v>
      </c>
      <c r="D513">
        <v>7.7270000000000004E-3</v>
      </c>
      <c r="E513">
        <v>8.7200000000000003E-3</v>
      </c>
      <c r="F513">
        <v>103446953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0.47111111111111142</v>
      </c>
      <c r="Q513">
        <f t="shared" si="980"/>
        <v>48735008.968888924</v>
      </c>
      <c r="R513">
        <f t="shared" si="981"/>
        <v>-3156641215.5749478</v>
      </c>
      <c r="S513">
        <f t="shared" si="982"/>
        <v>-31566.41215574948</v>
      </c>
      <c r="T513">
        <f t="shared" si="983"/>
        <v>-31.566412155749479</v>
      </c>
    </row>
    <row r="514" spans="1:20" x14ac:dyDescent="0.25">
      <c r="A514" s="5">
        <v>44079</v>
      </c>
      <c r="B514">
        <v>9.0639999999999991E-3</v>
      </c>
      <c r="C514">
        <v>1.03E-2</v>
      </c>
      <c r="D514">
        <v>7.8270000000000006E-3</v>
      </c>
      <c r="E514">
        <v>8.4119999999999993E-3</v>
      </c>
      <c r="F514">
        <v>261458512</v>
      </c>
      <c r="G514">
        <v>0</v>
      </c>
      <c r="L514" t="s">
        <v>8</v>
      </c>
      <c r="M514" t="s">
        <v>8</v>
      </c>
      <c r="N514" t="s">
        <v>7</v>
      </c>
      <c r="P514">
        <f t="shared" si="979"/>
        <v>-0.52689041649818125</v>
      </c>
      <c r="Q514">
        <f t="shared" si="980"/>
        <v>-137759984.28467473</v>
      </c>
      <c r="R514">
        <f t="shared" si="981"/>
        <v>-3205376224.5438366</v>
      </c>
      <c r="S514">
        <f t="shared" si="982"/>
        <v>-32053.762245438367</v>
      </c>
      <c r="T514">
        <f t="shared" si="983"/>
        <v>-32.053762245438364</v>
      </c>
    </row>
    <row r="515" spans="1:20" x14ac:dyDescent="0.25">
      <c r="A515" s="5">
        <v>44078</v>
      </c>
      <c r="B515">
        <v>8.1860000000000006E-3</v>
      </c>
      <c r="C515">
        <v>9.9139999999999992E-3</v>
      </c>
      <c r="D515">
        <v>7.4339999999999996E-3</v>
      </c>
      <c r="E515">
        <v>9.0629999999999999E-3</v>
      </c>
      <c r="F515">
        <v>188322000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0.31370967741935524</v>
      </c>
      <c r="Q515">
        <f t="shared" si="980"/>
        <v>59078433.87096782</v>
      </c>
      <c r="R515">
        <f t="shared" si="981"/>
        <v>-3067616240.2591619</v>
      </c>
      <c r="S515">
        <f t="shared" si="982"/>
        <v>-30676.162402591621</v>
      </c>
      <c r="T515">
        <f t="shared" si="983"/>
        <v>-30.676162402591622</v>
      </c>
    </row>
    <row r="516" spans="1:20" x14ac:dyDescent="0.25">
      <c r="A516" s="5">
        <v>44077</v>
      </c>
      <c r="B516">
        <v>9.7210000000000005E-3</v>
      </c>
      <c r="C516">
        <v>1.0654E-2</v>
      </c>
      <c r="D516">
        <v>7.8399999999999997E-3</v>
      </c>
      <c r="E516">
        <v>8.1860000000000006E-3</v>
      </c>
      <c r="F516">
        <v>126173670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-0.75408670931058941</v>
      </c>
      <c r="Q516">
        <f t="shared" si="980"/>
        <v>-95145887.611940235</v>
      </c>
      <c r="R516">
        <f t="shared" si="981"/>
        <v>-3126694674.1301298</v>
      </c>
      <c r="S516">
        <f t="shared" si="982"/>
        <v>-31266.946741301297</v>
      </c>
      <c r="T516">
        <f t="shared" si="983"/>
        <v>-31.266946741301297</v>
      </c>
    </row>
    <row r="517" spans="1:20" x14ac:dyDescent="0.25">
      <c r="A517" s="5">
        <v>44076</v>
      </c>
      <c r="B517">
        <v>1.0097E-2</v>
      </c>
      <c r="C517">
        <v>1.0267E-2</v>
      </c>
      <c r="D517">
        <v>8.8929999999999999E-3</v>
      </c>
      <c r="E517">
        <v>9.7040000000000008E-3</v>
      </c>
      <c r="F517">
        <v>126235603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0.18049490538573629</v>
      </c>
      <c r="Q517">
        <f t="shared" si="980"/>
        <v>22784883.219796367</v>
      </c>
      <c r="R517">
        <f t="shared" si="981"/>
        <v>-3031548786.5181894</v>
      </c>
      <c r="S517">
        <f t="shared" si="982"/>
        <v>-30315.487865181894</v>
      </c>
      <c r="T517">
        <f t="shared" si="983"/>
        <v>-30.315487865181893</v>
      </c>
    </row>
    <row r="518" spans="1:20" x14ac:dyDescent="0.25">
      <c r="A518" s="5">
        <v>44075</v>
      </c>
      <c r="B518">
        <v>1.1410999999999999E-2</v>
      </c>
      <c r="C518">
        <v>1.1561999999999999E-2</v>
      </c>
      <c r="D518">
        <v>9.9559999999999996E-3</v>
      </c>
      <c r="E518">
        <v>1.0114E-2</v>
      </c>
      <c r="F518">
        <v>160286123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-0.80323785803237835</v>
      </c>
      <c r="Q518">
        <f t="shared" ref="Q518:Q581" si="985">F518*P518</f>
        <v>-128747882.11083433</v>
      </c>
      <c r="R518">
        <f t="shared" ref="R518:R581" si="986">R519+Q518</f>
        <v>-3054333669.7379856</v>
      </c>
      <c r="S518">
        <f t="shared" ref="S518:S581" si="987">R518/100000</f>
        <v>-30543.336697379855</v>
      </c>
      <c r="T518">
        <f t="shared" ref="T518:T581" si="988">S518/1000</f>
        <v>-30.543336697379853</v>
      </c>
    </row>
    <row r="519" spans="1:20" x14ac:dyDescent="0.25">
      <c r="A519" s="5">
        <v>44074</v>
      </c>
      <c r="B519">
        <v>1.1004E-2</v>
      </c>
      <c r="C519">
        <v>1.2171E-2</v>
      </c>
      <c r="D519">
        <v>1.0699999999999999E-2</v>
      </c>
      <c r="E519">
        <v>1.1449000000000001E-2</v>
      </c>
      <c r="F519">
        <v>136512772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1.8354860639022919E-2</v>
      </c>
      <c r="Q519">
        <f t="shared" si="985"/>
        <v>2505672.9055067101</v>
      </c>
      <c r="R519">
        <f t="shared" si="986"/>
        <v>-2925585787.6271515</v>
      </c>
      <c r="S519">
        <f t="shared" si="987"/>
        <v>-29255.857876271515</v>
      </c>
      <c r="T519">
        <f t="shared" si="988"/>
        <v>-29.255857876271516</v>
      </c>
    </row>
    <row r="520" spans="1:20" x14ac:dyDescent="0.25">
      <c r="A520" s="5">
        <v>44073</v>
      </c>
      <c r="B520">
        <v>1.1764999999999999E-2</v>
      </c>
      <c r="C520">
        <v>1.2595E-2</v>
      </c>
      <c r="D520">
        <v>1.0645E-2</v>
      </c>
      <c r="E520">
        <v>1.0992999999999999E-2</v>
      </c>
      <c r="F520">
        <v>263330340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-0.64307692307692377</v>
      </c>
      <c r="Q520">
        <f t="shared" si="985"/>
        <v>-169341664.80000019</v>
      </c>
      <c r="R520">
        <f t="shared" si="986"/>
        <v>-2928091460.5326581</v>
      </c>
      <c r="S520">
        <f t="shared" si="987"/>
        <v>-29280.914605326579</v>
      </c>
      <c r="T520">
        <f t="shared" si="988"/>
        <v>-29.280914605326579</v>
      </c>
    </row>
    <row r="521" spans="1:20" x14ac:dyDescent="0.25">
      <c r="A521" s="5">
        <v>44072</v>
      </c>
      <c r="B521">
        <v>9.9430000000000004E-3</v>
      </c>
      <c r="C521">
        <v>1.2558E-2</v>
      </c>
      <c r="D521">
        <v>9.8700000000000003E-3</v>
      </c>
      <c r="E521">
        <v>1.1767E-2</v>
      </c>
      <c r="F521">
        <v>250756508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0.4114583333333332</v>
      </c>
      <c r="Q521">
        <f t="shared" si="985"/>
        <v>103175854.85416663</v>
      </c>
      <c r="R521">
        <f t="shared" si="986"/>
        <v>-2758749795.7326579</v>
      </c>
      <c r="S521">
        <f t="shared" si="987"/>
        <v>-27587.497957326577</v>
      </c>
      <c r="T521">
        <f t="shared" si="988"/>
        <v>-27.587497957326576</v>
      </c>
    </row>
    <row r="522" spans="1:20" x14ac:dyDescent="0.25">
      <c r="A522" s="5">
        <v>44071</v>
      </c>
      <c r="B522">
        <v>9.4330000000000004E-3</v>
      </c>
      <c r="C522">
        <v>1.0769000000000001E-2</v>
      </c>
      <c r="D522">
        <v>9.2849999999999999E-3</v>
      </c>
      <c r="E522">
        <v>9.9439999999999997E-3</v>
      </c>
      <c r="F522">
        <v>267123739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-0.11185983827493336</v>
      </c>
      <c r="Q522">
        <f t="shared" si="985"/>
        <v>-29880418.243935507</v>
      </c>
      <c r="R522">
        <f t="shared" si="986"/>
        <v>-2861925650.5868244</v>
      </c>
      <c r="S522">
        <f t="shared" si="987"/>
        <v>-28619.256505868245</v>
      </c>
      <c r="T522">
        <f t="shared" si="988"/>
        <v>-28.619256505868243</v>
      </c>
    </row>
    <row r="523" spans="1:20" x14ac:dyDescent="0.25">
      <c r="A523" s="5">
        <v>44070</v>
      </c>
      <c r="B523">
        <v>8.2869999999999992E-3</v>
      </c>
      <c r="C523">
        <v>9.7029999999999998E-3</v>
      </c>
      <c r="D523">
        <v>8.2419999999999993E-3</v>
      </c>
      <c r="E523">
        <v>9.3860000000000002E-3</v>
      </c>
      <c r="F523">
        <v>246337477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0.56605065023956269</v>
      </c>
      <c r="Q523">
        <f t="shared" si="985"/>
        <v>139439489.03422332</v>
      </c>
      <c r="R523">
        <f t="shared" si="986"/>
        <v>-2832045232.3428888</v>
      </c>
      <c r="S523">
        <f t="shared" si="987"/>
        <v>-28320.45232342889</v>
      </c>
      <c r="T523">
        <f t="shared" si="988"/>
        <v>-28.320452323428889</v>
      </c>
    </row>
    <row r="524" spans="1:20" x14ac:dyDescent="0.25">
      <c r="A524" s="5">
        <v>44069</v>
      </c>
      <c r="B524">
        <v>8.2050000000000005E-3</v>
      </c>
      <c r="C524">
        <v>8.3330000000000001E-3</v>
      </c>
      <c r="D524">
        <v>7.9880000000000003E-3</v>
      </c>
      <c r="E524">
        <v>8.2880000000000002E-3</v>
      </c>
      <c r="F524">
        <v>41353968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0.73913043478260909</v>
      </c>
      <c r="Q524">
        <f t="shared" si="985"/>
        <v>30565976.347826105</v>
      </c>
      <c r="R524">
        <f t="shared" si="986"/>
        <v>-2971484721.3771119</v>
      </c>
      <c r="S524">
        <f t="shared" si="987"/>
        <v>-29714.847213771118</v>
      </c>
      <c r="T524">
        <f t="shared" si="988"/>
        <v>-29.714847213771119</v>
      </c>
    </row>
    <row r="525" spans="1:20" x14ac:dyDescent="0.25">
      <c r="A525" s="5">
        <v>44068</v>
      </c>
      <c r="B525">
        <v>8.6E-3</v>
      </c>
      <c r="C525">
        <v>8.7690000000000008E-3</v>
      </c>
      <c r="D525">
        <v>7.8200000000000006E-3</v>
      </c>
      <c r="E525">
        <v>8.2050000000000005E-3</v>
      </c>
      <c r="F525">
        <v>66313453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-0.18861959957850402</v>
      </c>
      <c r="Q525">
        <f t="shared" si="985"/>
        <v>-12508016.951527946</v>
      </c>
      <c r="R525">
        <f t="shared" si="986"/>
        <v>-3002050697.7249379</v>
      </c>
      <c r="S525">
        <f t="shared" si="987"/>
        <v>-30020.506977249381</v>
      </c>
      <c r="T525">
        <f t="shared" si="988"/>
        <v>-30.020506977249379</v>
      </c>
    </row>
    <row r="526" spans="1:20" x14ac:dyDescent="0.25">
      <c r="A526" s="5">
        <v>44067</v>
      </c>
      <c r="B526">
        <v>8.4229999999999999E-3</v>
      </c>
      <c r="C526">
        <v>8.7829999999999991E-3</v>
      </c>
      <c r="D526">
        <v>8.3680000000000004E-3</v>
      </c>
      <c r="E526">
        <v>8.6060000000000008E-3</v>
      </c>
      <c r="F526">
        <v>44906226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0.14698795180723426</v>
      </c>
      <c r="Q526">
        <f t="shared" si="985"/>
        <v>6600674.1831327695</v>
      </c>
      <c r="R526">
        <f t="shared" si="986"/>
        <v>-2989542680.7734098</v>
      </c>
      <c r="S526">
        <f t="shared" si="987"/>
        <v>-29895.426807734097</v>
      </c>
      <c r="T526">
        <f t="shared" si="988"/>
        <v>-29.895426807734097</v>
      </c>
    </row>
    <row r="527" spans="1:20" x14ac:dyDescent="0.25">
      <c r="A527" s="5">
        <v>44066</v>
      </c>
      <c r="B527">
        <v>8.4499999999999992E-3</v>
      </c>
      <c r="C527">
        <v>8.6160000000000004E-3</v>
      </c>
      <c r="D527">
        <v>8.3000000000000001E-3</v>
      </c>
      <c r="E527">
        <v>8.4239999999999992E-3</v>
      </c>
      <c r="F527">
        <v>52111136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-0.21518987341772791</v>
      </c>
      <c r="Q527">
        <f t="shared" si="985"/>
        <v>-11213788.759494005</v>
      </c>
      <c r="R527">
        <f t="shared" si="986"/>
        <v>-2996143354.9565425</v>
      </c>
      <c r="S527">
        <f t="shared" si="987"/>
        <v>-29961.433549565423</v>
      </c>
      <c r="T527">
        <f t="shared" si="988"/>
        <v>-29.961433549565424</v>
      </c>
    </row>
    <row r="528" spans="1:20" x14ac:dyDescent="0.25">
      <c r="A528" s="5">
        <v>44065</v>
      </c>
      <c r="B528">
        <v>8.1989999999999997E-3</v>
      </c>
      <c r="C528">
        <v>8.4519999999999994E-3</v>
      </c>
      <c r="D528">
        <v>8.0000000000000002E-3</v>
      </c>
      <c r="E528">
        <v>8.4489999999999999E-3</v>
      </c>
      <c r="F528">
        <v>62372207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0.98672566371681625</v>
      </c>
      <c r="Q528">
        <f t="shared" si="985"/>
        <v>61544257.349557653</v>
      </c>
      <c r="R528">
        <f t="shared" si="986"/>
        <v>-2984929566.1970487</v>
      </c>
      <c r="S528">
        <f t="shared" si="987"/>
        <v>-29849.295661970486</v>
      </c>
      <c r="T528">
        <f t="shared" si="988"/>
        <v>-29.849295661970487</v>
      </c>
    </row>
    <row r="529" spans="1:20" x14ac:dyDescent="0.25">
      <c r="A529" s="5">
        <v>44064</v>
      </c>
      <c r="B529">
        <v>8.7080000000000005E-3</v>
      </c>
      <c r="C529">
        <v>9.1330000000000005E-3</v>
      </c>
      <c r="D529">
        <v>8.1890000000000001E-3</v>
      </c>
      <c r="E529">
        <v>8.1890000000000001E-3</v>
      </c>
      <c r="F529">
        <v>109641478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-1</v>
      </c>
      <c r="Q529">
        <f t="shared" si="985"/>
        <v>-109641478</v>
      </c>
      <c r="R529">
        <f t="shared" si="986"/>
        <v>-3046473823.5466065</v>
      </c>
      <c r="S529">
        <f t="shared" si="987"/>
        <v>-30464.738235466066</v>
      </c>
      <c r="T529">
        <f t="shared" si="988"/>
        <v>-30.464738235466065</v>
      </c>
    </row>
    <row r="530" spans="1:20" x14ac:dyDescent="0.25">
      <c r="A530" s="5">
        <v>44063</v>
      </c>
      <c r="B530">
        <v>8.7569999999999992E-3</v>
      </c>
      <c r="C530">
        <v>8.8690000000000001E-3</v>
      </c>
      <c r="D530">
        <v>8.5079999999999999E-3</v>
      </c>
      <c r="E530">
        <v>8.7089999999999997E-3</v>
      </c>
      <c r="F530">
        <v>56601368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0.11357340720221426</v>
      </c>
      <c r="Q530">
        <f t="shared" si="985"/>
        <v>6428410.21606638</v>
      </c>
      <c r="R530">
        <f t="shared" si="986"/>
        <v>-2936832345.5466065</v>
      </c>
      <c r="S530">
        <f t="shared" si="987"/>
        <v>-29368.323455466067</v>
      </c>
      <c r="T530">
        <f t="shared" si="988"/>
        <v>-29.368323455466065</v>
      </c>
    </row>
    <row r="531" spans="1:20" x14ac:dyDescent="0.25">
      <c r="A531" s="5">
        <v>44062</v>
      </c>
      <c r="B531">
        <v>9.1059999999999995E-3</v>
      </c>
      <c r="C531">
        <v>9.5390000000000006E-3</v>
      </c>
      <c r="D531">
        <v>8.5710000000000005E-3</v>
      </c>
      <c r="E531">
        <v>8.7539999999999996E-3</v>
      </c>
      <c r="F531">
        <v>97548657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-0.62190082644628286</v>
      </c>
      <c r="Q531">
        <f t="shared" si="985"/>
        <v>-60665590.407024972</v>
      </c>
      <c r="R531">
        <f t="shared" si="986"/>
        <v>-2943260755.7626729</v>
      </c>
      <c r="S531">
        <f t="shared" si="987"/>
        <v>-29432.607557626729</v>
      </c>
      <c r="T531">
        <f t="shared" si="988"/>
        <v>-29.432607557626728</v>
      </c>
    </row>
    <row r="532" spans="1:20" x14ac:dyDescent="0.25">
      <c r="A532" s="5">
        <v>44061</v>
      </c>
      <c r="B532">
        <v>9.1020000000000007E-3</v>
      </c>
      <c r="C532">
        <v>9.7400000000000004E-3</v>
      </c>
      <c r="D532">
        <v>8.9130000000000008E-3</v>
      </c>
      <c r="E532">
        <v>9.1059999999999995E-3</v>
      </c>
      <c r="F532">
        <v>130057871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-0.53325272067714913</v>
      </c>
      <c r="Q532">
        <f t="shared" si="985"/>
        <v>-69353713.556227699</v>
      </c>
      <c r="R532">
        <f t="shared" si="986"/>
        <v>-2882595165.355648</v>
      </c>
      <c r="S532">
        <f t="shared" si="987"/>
        <v>-28825.95165355648</v>
      </c>
      <c r="T532">
        <f t="shared" si="988"/>
        <v>-28.82595165355648</v>
      </c>
    </row>
    <row r="533" spans="1:20" x14ac:dyDescent="0.25">
      <c r="A533" s="5">
        <v>44060</v>
      </c>
      <c r="B533">
        <v>9.2350000000000002E-3</v>
      </c>
      <c r="C533">
        <v>9.3189999999999992E-3</v>
      </c>
      <c r="D533">
        <v>8.8470000000000007E-3</v>
      </c>
      <c r="E533">
        <v>9.1310000000000002E-3</v>
      </c>
      <c r="F533">
        <v>126582938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0.2033898305084765</v>
      </c>
      <c r="Q533">
        <f t="shared" si="985"/>
        <v>25745682.305084988</v>
      </c>
      <c r="R533">
        <f t="shared" si="986"/>
        <v>-2813241451.7994204</v>
      </c>
      <c r="S533">
        <f t="shared" si="987"/>
        <v>-28132.414517994202</v>
      </c>
      <c r="T533">
        <f t="shared" si="988"/>
        <v>-28.132414517994203</v>
      </c>
    </row>
    <row r="534" spans="1:20" x14ac:dyDescent="0.25">
      <c r="A534" s="5">
        <v>44059</v>
      </c>
      <c r="B534">
        <v>9.1260000000000004E-3</v>
      </c>
      <c r="C534">
        <v>9.8469999999999999E-3</v>
      </c>
      <c r="D534">
        <v>8.9990000000000001E-3</v>
      </c>
      <c r="E534">
        <v>9.2350000000000002E-3</v>
      </c>
      <c r="F534">
        <v>146479778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-0.44339622641509396</v>
      </c>
      <c r="Q534">
        <f t="shared" si="985"/>
        <v>-64948580.8113207</v>
      </c>
      <c r="R534">
        <f t="shared" si="986"/>
        <v>-2838987134.1045055</v>
      </c>
      <c r="S534">
        <f t="shared" si="987"/>
        <v>-28389.871341045055</v>
      </c>
      <c r="T534">
        <f t="shared" si="988"/>
        <v>-28.389871341045055</v>
      </c>
    </row>
    <row r="535" spans="1:20" x14ac:dyDescent="0.25">
      <c r="A535" s="5">
        <v>44058</v>
      </c>
      <c r="B535">
        <v>9.0880000000000006E-3</v>
      </c>
      <c r="C535">
        <v>9.3290000000000005E-3</v>
      </c>
      <c r="D535">
        <v>8.9999999999999993E-3</v>
      </c>
      <c r="E535">
        <v>9.1380000000000003E-3</v>
      </c>
      <c r="F535">
        <v>61132911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-0.16109422492400924</v>
      </c>
      <c r="Q535">
        <f t="shared" si="985"/>
        <v>-9848158.914893439</v>
      </c>
      <c r="R535">
        <f t="shared" si="986"/>
        <v>-2774038553.2931848</v>
      </c>
      <c r="S535">
        <f t="shared" si="987"/>
        <v>-27740.385532931847</v>
      </c>
      <c r="T535">
        <f t="shared" si="988"/>
        <v>-27.740385532931846</v>
      </c>
    </row>
    <row r="536" spans="1:20" x14ac:dyDescent="0.25">
      <c r="A536" s="5">
        <v>44057</v>
      </c>
      <c r="B536">
        <v>8.5470000000000008E-3</v>
      </c>
      <c r="C536">
        <v>9.5449999999999997E-3</v>
      </c>
      <c r="D536">
        <v>8.463E-3</v>
      </c>
      <c r="E536">
        <v>9.0880000000000006E-3</v>
      </c>
      <c r="F536">
        <v>137304941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0.15526802218114744</v>
      </c>
      <c r="Q536">
        <f t="shared" si="985"/>
        <v>21319066.62476914</v>
      </c>
      <c r="R536">
        <f t="shared" si="986"/>
        <v>-2764190394.3782911</v>
      </c>
      <c r="S536">
        <f t="shared" si="987"/>
        <v>-27641.903943782912</v>
      </c>
      <c r="T536">
        <f t="shared" si="988"/>
        <v>-27.641903943782914</v>
      </c>
    </row>
    <row r="537" spans="1:20" x14ac:dyDescent="0.25">
      <c r="A537" s="5">
        <v>44056</v>
      </c>
      <c r="B537">
        <v>8.9949999999999995E-3</v>
      </c>
      <c r="C537">
        <v>8.9999999999999993E-3</v>
      </c>
      <c r="D537">
        <v>8.4609999999999998E-3</v>
      </c>
      <c r="E537">
        <v>8.5470000000000008E-3</v>
      </c>
      <c r="F537">
        <v>125049453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-0.68089053803339117</v>
      </c>
      <c r="Q537">
        <f t="shared" si="985"/>
        <v>-85144989.333951265</v>
      </c>
      <c r="R537">
        <f t="shared" si="986"/>
        <v>-2785509461.0030603</v>
      </c>
      <c r="S537">
        <f t="shared" si="987"/>
        <v>-27855.094610030603</v>
      </c>
      <c r="T537">
        <f t="shared" si="988"/>
        <v>-27.855094610030601</v>
      </c>
    </row>
    <row r="538" spans="1:20" x14ac:dyDescent="0.25">
      <c r="A538" s="5">
        <v>44055</v>
      </c>
      <c r="B538">
        <v>8.7760000000000008E-3</v>
      </c>
      <c r="C538">
        <v>9.1190000000000004E-3</v>
      </c>
      <c r="D538">
        <v>8.4919999999999995E-3</v>
      </c>
      <c r="E538">
        <v>8.9949999999999995E-3</v>
      </c>
      <c r="F538">
        <v>94907769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0.60446570972886549</v>
      </c>
      <c r="Q538">
        <f t="shared" si="985"/>
        <v>57368491.947368219</v>
      </c>
      <c r="R538">
        <f t="shared" si="986"/>
        <v>-2700364471.6691089</v>
      </c>
      <c r="S538">
        <f t="shared" si="987"/>
        <v>-27003.644716691088</v>
      </c>
      <c r="T538">
        <f t="shared" si="988"/>
        <v>-27.003644716691088</v>
      </c>
    </row>
    <row r="539" spans="1:20" x14ac:dyDescent="0.25">
      <c r="A539" s="5">
        <v>44054</v>
      </c>
      <c r="B539">
        <v>9.3519999999999992E-3</v>
      </c>
      <c r="C539">
        <v>9.3959999999999998E-3</v>
      </c>
      <c r="D539">
        <v>8.0000000000000002E-3</v>
      </c>
      <c r="E539">
        <v>8.7749999999999998E-3</v>
      </c>
      <c r="F539">
        <v>218920628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0.11031518624641809</v>
      </c>
      <c r="Q539">
        <f t="shared" si="985"/>
        <v>24150269.851002812</v>
      </c>
      <c r="R539">
        <f t="shared" si="986"/>
        <v>-2757732963.616477</v>
      </c>
      <c r="S539">
        <f t="shared" si="987"/>
        <v>-27577.32963616477</v>
      </c>
      <c r="T539">
        <f t="shared" si="988"/>
        <v>-27.57732963616477</v>
      </c>
    </row>
    <row r="540" spans="1:20" x14ac:dyDescent="0.25">
      <c r="A540" s="5">
        <v>44053</v>
      </c>
      <c r="B540">
        <v>8.463E-3</v>
      </c>
      <c r="C540">
        <v>9.3989999999999994E-3</v>
      </c>
      <c r="D540">
        <v>8.0850000000000002E-3</v>
      </c>
      <c r="E540">
        <v>9.3509999999999999E-3</v>
      </c>
      <c r="F540">
        <v>140827937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0.92694063926940717</v>
      </c>
      <c r="Q540">
        <f t="shared" si="985"/>
        <v>130539137.94977181</v>
      </c>
      <c r="R540">
        <f t="shared" si="986"/>
        <v>-2781883233.4674797</v>
      </c>
      <c r="S540">
        <f t="shared" si="987"/>
        <v>-27818.832334674797</v>
      </c>
      <c r="T540">
        <f t="shared" si="988"/>
        <v>-27.818832334674795</v>
      </c>
    </row>
    <row r="541" spans="1:20" x14ac:dyDescent="0.25">
      <c r="A541" s="5">
        <v>44052</v>
      </c>
      <c r="B541">
        <v>7.9959999999999996E-3</v>
      </c>
      <c r="C541">
        <v>8.6759999999999997E-3</v>
      </c>
      <c r="D541">
        <v>7.9670000000000001E-3</v>
      </c>
      <c r="E541">
        <v>8.482E-3</v>
      </c>
      <c r="F541">
        <v>101622326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0.45275035260930929</v>
      </c>
      <c r="Q541">
        <f t="shared" si="985"/>
        <v>46009543.929478176</v>
      </c>
      <c r="R541">
        <f t="shared" si="986"/>
        <v>-2912422371.4172516</v>
      </c>
      <c r="S541">
        <f t="shared" si="987"/>
        <v>-29124.223714172516</v>
      </c>
      <c r="T541">
        <f t="shared" si="988"/>
        <v>-29.124223714172516</v>
      </c>
    </row>
    <row r="542" spans="1:20" x14ac:dyDescent="0.25">
      <c r="A542" s="5">
        <v>44051</v>
      </c>
      <c r="B542">
        <v>7.6779999999999999E-3</v>
      </c>
      <c r="C542">
        <v>8.3009999999999994E-3</v>
      </c>
      <c r="D542">
        <v>7.6429999999999996E-3</v>
      </c>
      <c r="E542">
        <v>7.9979999999999999E-3</v>
      </c>
      <c r="F542">
        <v>107494699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7.9027355623101592E-2</v>
      </c>
      <c r="Q542">
        <f t="shared" si="985"/>
        <v>8495021.8054712638</v>
      </c>
      <c r="R542">
        <f t="shared" si="986"/>
        <v>-2958431915.3467298</v>
      </c>
      <c r="S542">
        <f t="shared" si="987"/>
        <v>-29584.319153467299</v>
      </c>
      <c r="T542">
        <f t="shared" si="988"/>
        <v>-29.584319153467298</v>
      </c>
    </row>
    <row r="543" spans="1:20" x14ac:dyDescent="0.25">
      <c r="A543" s="5">
        <v>44050</v>
      </c>
      <c r="B543">
        <v>7.0860000000000003E-3</v>
      </c>
      <c r="C543">
        <v>7.8390000000000005E-3</v>
      </c>
      <c r="D543">
        <v>7.0000000000000001E-3</v>
      </c>
      <c r="E543">
        <v>7.6779999999999999E-3</v>
      </c>
      <c r="F543">
        <v>110111979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0.61620977353992734</v>
      </c>
      <c r="Q543">
        <f t="shared" si="985"/>
        <v>67852077.643623233</v>
      </c>
      <c r="R543">
        <f t="shared" si="986"/>
        <v>-2966926937.1522012</v>
      </c>
      <c r="S543">
        <f t="shared" si="987"/>
        <v>-29669.269371522012</v>
      </c>
      <c r="T543">
        <f t="shared" si="988"/>
        <v>-29.669269371522013</v>
      </c>
    </row>
    <row r="544" spans="1:20" x14ac:dyDescent="0.25">
      <c r="A544" s="5">
        <v>44049</v>
      </c>
      <c r="B544">
        <v>6.8459999999999997E-3</v>
      </c>
      <c r="C544">
        <v>7.1040000000000001E-3</v>
      </c>
      <c r="D544">
        <v>6.8190000000000004E-3</v>
      </c>
      <c r="E544">
        <v>7.0780000000000001E-3</v>
      </c>
      <c r="F544">
        <v>53011790</v>
      </c>
      <c r="G544">
        <v>0</v>
      </c>
      <c r="L544" t="s">
        <v>8</v>
      </c>
      <c r="M544" t="s">
        <v>7</v>
      </c>
      <c r="N544" t="s">
        <v>7</v>
      </c>
      <c r="P544">
        <f t="shared" si="984"/>
        <v>0.81754385964912268</v>
      </c>
      <c r="Q544">
        <f t="shared" si="985"/>
        <v>43339463.403508767</v>
      </c>
      <c r="R544">
        <f t="shared" si="986"/>
        <v>-3034779014.7958245</v>
      </c>
      <c r="S544">
        <f t="shared" si="987"/>
        <v>-30347.790147958247</v>
      </c>
      <c r="T544">
        <f t="shared" si="988"/>
        <v>-30.347790147958246</v>
      </c>
    </row>
    <row r="545" spans="1:20" x14ac:dyDescent="0.25">
      <c r="A545" s="5">
        <v>44048</v>
      </c>
      <c r="B545">
        <v>6.9379999999999997E-3</v>
      </c>
      <c r="C545">
        <v>7.025E-3</v>
      </c>
      <c r="D545">
        <v>6.7889999999999999E-3</v>
      </c>
      <c r="E545">
        <v>6.8459999999999997E-3</v>
      </c>
      <c r="F545">
        <v>55139479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-0.51694915254237517</v>
      </c>
      <c r="Q545">
        <f t="shared" si="985"/>
        <v>-28504306.940678094</v>
      </c>
      <c r="R545">
        <f t="shared" si="986"/>
        <v>-3078118478.1993332</v>
      </c>
      <c r="S545">
        <f t="shared" si="987"/>
        <v>-30781.184781993332</v>
      </c>
      <c r="T545">
        <f t="shared" si="988"/>
        <v>-30.781184781993332</v>
      </c>
    </row>
    <row r="546" spans="1:20" x14ac:dyDescent="0.25">
      <c r="A546" s="5">
        <v>44047</v>
      </c>
      <c r="B546">
        <v>6.6049999999999998E-3</v>
      </c>
      <c r="C546">
        <v>7.0439999999999999E-3</v>
      </c>
      <c r="D546">
        <v>6.5970000000000004E-3</v>
      </c>
      <c r="E546">
        <v>6.9389999999999999E-3</v>
      </c>
      <c r="F546">
        <v>72899513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0.53020134228187843</v>
      </c>
      <c r="Q546">
        <f t="shared" si="985"/>
        <v>38651419.644295245</v>
      </c>
      <c r="R546">
        <f t="shared" si="986"/>
        <v>-3049614171.2586551</v>
      </c>
      <c r="S546">
        <f t="shared" si="987"/>
        <v>-30496.141712586552</v>
      </c>
      <c r="T546">
        <f t="shared" si="988"/>
        <v>-30.496141712586553</v>
      </c>
    </row>
    <row r="547" spans="1:20" x14ac:dyDescent="0.25">
      <c r="A547" s="5">
        <v>44046</v>
      </c>
      <c r="B547">
        <v>6.6490000000000004E-3</v>
      </c>
      <c r="C547">
        <v>6.7949999999999998E-3</v>
      </c>
      <c r="D547">
        <v>6.5069999999999998E-3</v>
      </c>
      <c r="E547">
        <v>6.6059999999999999E-3</v>
      </c>
      <c r="F547">
        <v>58652946</v>
      </c>
      <c r="G547">
        <v>0</v>
      </c>
      <c r="L547" t="s">
        <v>7</v>
      </c>
      <c r="M547" t="s">
        <v>7</v>
      </c>
      <c r="N547" t="s">
        <v>7</v>
      </c>
      <c r="P547">
        <f t="shared" si="984"/>
        <v>-0.31249999999999922</v>
      </c>
      <c r="Q547">
        <f t="shared" si="985"/>
        <v>-18329045.624999955</v>
      </c>
      <c r="R547">
        <f t="shared" si="986"/>
        <v>-3088265590.9029503</v>
      </c>
      <c r="S547">
        <f t="shared" si="987"/>
        <v>-30882.655909029501</v>
      </c>
      <c r="T547">
        <f t="shared" si="988"/>
        <v>-30.882655909029502</v>
      </c>
    </row>
    <row r="548" spans="1:20" x14ac:dyDescent="0.25">
      <c r="A548" s="5">
        <v>44045</v>
      </c>
      <c r="B548">
        <v>7.2160000000000002E-3</v>
      </c>
      <c r="C548">
        <v>7.2329999999999998E-3</v>
      </c>
      <c r="D548">
        <v>6.4770000000000001E-3</v>
      </c>
      <c r="E548">
        <v>6.6499999999999997E-3</v>
      </c>
      <c r="F548">
        <v>91733043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-0.54232804232804332</v>
      </c>
      <c r="Q548">
        <f t="shared" si="985"/>
        <v>-49749401.626984216</v>
      </c>
      <c r="R548">
        <f t="shared" si="986"/>
        <v>-3069936545.2779503</v>
      </c>
      <c r="S548">
        <f t="shared" si="987"/>
        <v>-30699.365452779504</v>
      </c>
      <c r="T548">
        <f t="shared" si="988"/>
        <v>-30.699365452779503</v>
      </c>
    </row>
    <row r="549" spans="1:20" x14ac:dyDescent="0.25">
      <c r="A549" s="5">
        <v>44044</v>
      </c>
      <c r="B549">
        <v>7.0460000000000002E-3</v>
      </c>
      <c r="C549">
        <v>7.3429999999999997E-3</v>
      </c>
      <c r="D549">
        <v>6.9080000000000001E-3</v>
      </c>
      <c r="E549">
        <v>7.195E-3</v>
      </c>
      <c r="F549">
        <v>72339686</v>
      </c>
      <c r="G549">
        <v>0</v>
      </c>
      <c r="L549" t="s">
        <v>7</v>
      </c>
      <c r="M549" t="s">
        <v>7</v>
      </c>
      <c r="N549" t="s">
        <v>7</v>
      </c>
      <c r="P549">
        <f t="shared" si="984"/>
        <v>0.31954022988505831</v>
      </c>
      <c r="Q549">
        <f t="shared" si="985"/>
        <v>23115439.894252934</v>
      </c>
      <c r="R549">
        <f t="shared" si="986"/>
        <v>-3020187143.6509662</v>
      </c>
      <c r="S549">
        <f t="shared" si="987"/>
        <v>-30201.87143650966</v>
      </c>
      <c r="T549">
        <f t="shared" si="988"/>
        <v>-30.201871436509659</v>
      </c>
    </row>
    <row r="550" spans="1:20" x14ac:dyDescent="0.25">
      <c r="A550" s="5">
        <v>44043</v>
      </c>
      <c r="B550">
        <v>7.3239999999999998E-3</v>
      </c>
      <c r="C550">
        <v>7.4830000000000001E-3</v>
      </c>
      <c r="D550">
        <v>6.9849999999999999E-3</v>
      </c>
      <c r="E550">
        <v>7.0489999999999997E-3</v>
      </c>
      <c r="F550">
        <v>69743857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-0.7429718875502016</v>
      </c>
      <c r="Q550">
        <f t="shared" si="985"/>
        <v>-51817725.080321342</v>
      </c>
      <c r="R550">
        <f t="shared" si="986"/>
        <v>-3043302583.5452189</v>
      </c>
      <c r="S550">
        <f t="shared" si="987"/>
        <v>-30433.02583545219</v>
      </c>
      <c r="T550">
        <f t="shared" si="988"/>
        <v>-30.433025835452192</v>
      </c>
    </row>
    <row r="551" spans="1:20" x14ac:dyDescent="0.25">
      <c r="A551" s="5">
        <v>44042</v>
      </c>
      <c r="B551">
        <v>7.3699999999999998E-3</v>
      </c>
      <c r="C551">
        <v>7.5370000000000003E-3</v>
      </c>
      <c r="D551">
        <v>6.8669999999999998E-3</v>
      </c>
      <c r="E551">
        <v>7.3210000000000003E-3</v>
      </c>
      <c r="F551">
        <v>212274752</v>
      </c>
      <c r="G551">
        <v>0</v>
      </c>
      <c r="L551" t="s">
        <v>7</v>
      </c>
      <c r="M551" t="s">
        <v>7</v>
      </c>
      <c r="N551" t="s">
        <v>7</v>
      </c>
      <c r="P551">
        <f t="shared" si="984"/>
        <v>0.35522388059701521</v>
      </c>
      <c r="Q551">
        <f t="shared" si="985"/>
        <v>75405061.158209011</v>
      </c>
      <c r="R551">
        <f t="shared" si="986"/>
        <v>-2991484858.4648976</v>
      </c>
      <c r="S551">
        <f t="shared" si="987"/>
        <v>-29914.848584648975</v>
      </c>
      <c r="T551">
        <f t="shared" si="988"/>
        <v>-29.914848584648976</v>
      </c>
    </row>
    <row r="552" spans="1:20" x14ac:dyDescent="0.25">
      <c r="A552" s="5">
        <v>44041</v>
      </c>
      <c r="B552">
        <v>6.9189999999999998E-3</v>
      </c>
      <c r="C552">
        <v>7.5820000000000002E-3</v>
      </c>
      <c r="D552">
        <v>6.6350000000000003E-3</v>
      </c>
      <c r="E552">
        <v>7.3709999999999999E-3</v>
      </c>
      <c r="F552">
        <v>201510606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0.55438225976768685</v>
      </c>
      <c r="Q552">
        <f t="shared" si="985"/>
        <v>111713905.121436</v>
      </c>
      <c r="R552">
        <f t="shared" si="986"/>
        <v>-3066889919.6231065</v>
      </c>
      <c r="S552">
        <f t="shared" si="987"/>
        <v>-30668.899196231065</v>
      </c>
      <c r="T552">
        <f t="shared" si="988"/>
        <v>-30.668899196231063</v>
      </c>
    </row>
    <row r="553" spans="1:20" x14ac:dyDescent="0.25">
      <c r="A553" s="5">
        <v>44040</v>
      </c>
      <c r="B553">
        <v>6.4910000000000002E-3</v>
      </c>
      <c r="C553">
        <v>6.9490000000000003E-3</v>
      </c>
      <c r="D553">
        <v>6.3280000000000003E-3</v>
      </c>
      <c r="E553">
        <v>6.927E-3</v>
      </c>
      <c r="F553">
        <v>102659965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0.92914653784218904</v>
      </c>
      <c r="Q553">
        <f t="shared" si="985"/>
        <v>95386151.054750308</v>
      </c>
      <c r="R553">
        <f t="shared" si="986"/>
        <v>-3178603824.7445426</v>
      </c>
      <c r="S553">
        <f t="shared" si="987"/>
        <v>-31786.038247445427</v>
      </c>
      <c r="T553">
        <f t="shared" si="988"/>
        <v>-31.786038247445425</v>
      </c>
    </row>
    <row r="554" spans="1:20" x14ac:dyDescent="0.25">
      <c r="A554" s="5">
        <v>44039</v>
      </c>
      <c r="B554">
        <v>7.3340000000000002E-3</v>
      </c>
      <c r="C554">
        <v>7.4859999999999996E-3</v>
      </c>
      <c r="D554">
        <v>6.3499999999999997E-3</v>
      </c>
      <c r="E554">
        <v>6.5120000000000004E-3</v>
      </c>
      <c r="F554">
        <v>193923724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-0.71478873239436491</v>
      </c>
      <c r="Q554">
        <f t="shared" si="985"/>
        <v>-138614492.85915467</v>
      </c>
      <c r="R554">
        <f t="shared" si="986"/>
        <v>-3273989975.799293</v>
      </c>
      <c r="S554">
        <f t="shared" si="987"/>
        <v>-32739.899757992931</v>
      </c>
      <c r="T554">
        <f t="shared" si="988"/>
        <v>-32.73989975799293</v>
      </c>
    </row>
    <row r="555" spans="1:20" x14ac:dyDescent="0.25">
      <c r="A555" s="5">
        <v>44038</v>
      </c>
      <c r="B555">
        <v>7.809E-3</v>
      </c>
      <c r="C555">
        <v>8.0680000000000005E-3</v>
      </c>
      <c r="D555">
        <v>7.1260000000000004E-3</v>
      </c>
      <c r="E555">
        <v>7.3130000000000001E-3</v>
      </c>
      <c r="F555">
        <v>166864430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-0.60297239915074385</v>
      </c>
      <c r="Q555">
        <f t="shared" si="985"/>
        <v>-100614645.69002135</v>
      </c>
      <c r="R555">
        <f t="shared" si="986"/>
        <v>-3135375482.9401383</v>
      </c>
      <c r="S555">
        <f t="shared" si="987"/>
        <v>-31353.754829401383</v>
      </c>
      <c r="T555">
        <f t="shared" si="988"/>
        <v>-31.353754829401382</v>
      </c>
    </row>
    <row r="556" spans="1:20" x14ac:dyDescent="0.25">
      <c r="A556" s="5">
        <v>44037</v>
      </c>
      <c r="B556">
        <v>8.1960000000000002E-3</v>
      </c>
      <c r="C556">
        <v>8.4519999999999994E-3</v>
      </c>
      <c r="D556">
        <v>7.5820000000000002E-3</v>
      </c>
      <c r="E556">
        <v>7.7929999999999996E-3</v>
      </c>
      <c r="F556">
        <v>135143343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-0.51494252873563318</v>
      </c>
      <c r="Q556">
        <f t="shared" si="985"/>
        <v>-69591054.786207035</v>
      </c>
      <c r="R556">
        <f t="shared" si="986"/>
        <v>-3034760837.2501168</v>
      </c>
      <c r="S556">
        <f t="shared" si="987"/>
        <v>-30347.608372501167</v>
      </c>
      <c r="T556">
        <f t="shared" si="988"/>
        <v>-30.347608372501167</v>
      </c>
    </row>
    <row r="557" spans="1:20" x14ac:dyDescent="0.25">
      <c r="A557" s="5">
        <v>44036</v>
      </c>
      <c r="B557">
        <v>7.6519999999999999E-3</v>
      </c>
      <c r="C557">
        <v>8.6809999999999995E-3</v>
      </c>
      <c r="D557">
        <v>7.4790000000000004E-3</v>
      </c>
      <c r="E557">
        <v>8.1980000000000004E-3</v>
      </c>
      <c r="F557">
        <v>220050475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0.19633943427620729</v>
      </c>
      <c r="Q557">
        <f t="shared" si="985"/>
        <v>43204585.773710698</v>
      </c>
      <c r="R557">
        <f t="shared" si="986"/>
        <v>-2965169782.4639096</v>
      </c>
      <c r="S557">
        <f t="shared" si="987"/>
        <v>-29651.697824639097</v>
      </c>
      <c r="T557">
        <f t="shared" si="988"/>
        <v>-29.651697824639097</v>
      </c>
    </row>
    <row r="558" spans="1:20" x14ac:dyDescent="0.25">
      <c r="A558" s="5">
        <v>44035</v>
      </c>
      <c r="B558">
        <v>6.7689999999999998E-3</v>
      </c>
      <c r="C558">
        <v>7.6759999999999997E-3</v>
      </c>
      <c r="D558">
        <v>6.757E-3</v>
      </c>
      <c r="E558">
        <v>7.633E-3</v>
      </c>
      <c r="F558">
        <v>167382069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0.90642002176278635</v>
      </c>
      <c r="Q558">
        <f t="shared" si="985"/>
        <v>151718458.62568021</v>
      </c>
      <c r="R558">
        <f t="shared" si="986"/>
        <v>-3008374368.2376204</v>
      </c>
      <c r="S558">
        <f t="shared" si="987"/>
        <v>-30083.743682376204</v>
      </c>
      <c r="T558">
        <f t="shared" si="988"/>
        <v>-30.083743682376202</v>
      </c>
    </row>
    <row r="559" spans="1:20" x14ac:dyDescent="0.25">
      <c r="A559" s="5">
        <v>44034</v>
      </c>
      <c r="B559">
        <v>6.437E-3</v>
      </c>
      <c r="C559">
        <v>7.2020000000000001E-3</v>
      </c>
      <c r="D559">
        <v>6.3879999999999996E-3</v>
      </c>
      <c r="E559">
        <v>6.7749999999999998E-3</v>
      </c>
      <c r="F559">
        <v>158005797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-4.9140049140049241E-2</v>
      </c>
      <c r="Q559">
        <f t="shared" si="985"/>
        <v>-7764412.6289926451</v>
      </c>
      <c r="R559">
        <f t="shared" si="986"/>
        <v>-3160092826.8633003</v>
      </c>
      <c r="S559">
        <f t="shared" si="987"/>
        <v>-31600.928268633004</v>
      </c>
      <c r="T559">
        <f t="shared" si="988"/>
        <v>-31.600928268633005</v>
      </c>
    </row>
    <row r="560" spans="1:20" x14ac:dyDescent="0.25">
      <c r="A560" s="5">
        <v>44033</v>
      </c>
      <c r="B560">
        <v>6.3470000000000002E-3</v>
      </c>
      <c r="C560">
        <v>6.4929999999999996E-3</v>
      </c>
      <c r="D560">
        <v>6.1999999999999998E-3</v>
      </c>
      <c r="E560">
        <v>6.437E-3</v>
      </c>
      <c r="F560">
        <v>62777320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0.61774744027303996</v>
      </c>
      <c r="Q560">
        <f t="shared" si="985"/>
        <v>38780528.737201519</v>
      </c>
      <c r="R560">
        <f t="shared" si="986"/>
        <v>-3152328414.2343078</v>
      </c>
      <c r="S560">
        <f t="shared" si="987"/>
        <v>-31523.284142343076</v>
      </c>
      <c r="T560">
        <f t="shared" si="988"/>
        <v>-31.523284142343076</v>
      </c>
    </row>
    <row r="561" spans="1:104" x14ac:dyDescent="0.25">
      <c r="A561" s="5">
        <v>44032</v>
      </c>
      <c r="B561">
        <v>6.4180000000000001E-3</v>
      </c>
      <c r="C561">
        <v>6.7470000000000004E-3</v>
      </c>
      <c r="D561">
        <v>6.3150000000000003E-3</v>
      </c>
      <c r="E561">
        <v>6.3480000000000003E-3</v>
      </c>
      <c r="F561">
        <v>86837476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-0.8472222222222221</v>
      </c>
      <c r="Q561">
        <f t="shared" si="985"/>
        <v>-73570639.388888881</v>
      </c>
      <c r="R561">
        <f t="shared" si="986"/>
        <v>-3191108942.9715095</v>
      </c>
      <c r="S561">
        <f t="shared" si="987"/>
        <v>-31911.089429715095</v>
      </c>
      <c r="T561">
        <f t="shared" si="988"/>
        <v>-31.911089429715094</v>
      </c>
      <c r="CZ561" t="s">
        <v>7</v>
      </c>
    </row>
    <row r="562" spans="1:104" x14ac:dyDescent="0.25">
      <c r="A562" s="5">
        <v>44031</v>
      </c>
      <c r="B562">
        <v>6.2639999999999996E-3</v>
      </c>
      <c r="C562">
        <v>6.4999999999999997E-3</v>
      </c>
      <c r="D562">
        <v>6.1659999999999996E-3</v>
      </c>
      <c r="E562">
        <v>6.417E-3</v>
      </c>
      <c r="F562">
        <v>55653468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0.50299401197604965</v>
      </c>
      <c r="Q562">
        <f t="shared" si="985"/>
        <v>27993361.149700698</v>
      </c>
      <c r="R562">
        <f t="shared" si="986"/>
        <v>-3117538303.5826206</v>
      </c>
      <c r="S562">
        <f t="shared" si="987"/>
        <v>-31175.383035826206</v>
      </c>
      <c r="T562">
        <f t="shared" si="988"/>
        <v>-31.175383035826204</v>
      </c>
      <c r="CZ562" t="s">
        <v>7</v>
      </c>
    </row>
    <row r="563" spans="1:104" x14ac:dyDescent="0.25">
      <c r="A563" s="5">
        <v>44030</v>
      </c>
      <c r="B563">
        <v>6.4209999999999996E-3</v>
      </c>
      <c r="C563">
        <v>6.4209999999999996E-3</v>
      </c>
      <c r="D563">
        <v>6.2300000000000003E-3</v>
      </c>
      <c r="E563">
        <v>6.2639999999999996E-3</v>
      </c>
      <c r="F563">
        <v>41235986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-0.64397905759162899</v>
      </c>
      <c r="Q563">
        <f t="shared" si="985"/>
        <v>-26555111.403141607</v>
      </c>
      <c r="R563">
        <f t="shared" si="986"/>
        <v>-3145531664.7323213</v>
      </c>
      <c r="S563">
        <f t="shared" si="987"/>
        <v>-31455.316647323212</v>
      </c>
      <c r="T563">
        <f t="shared" si="988"/>
        <v>-31.455316647323212</v>
      </c>
      <c r="CZ563" t="s">
        <v>7</v>
      </c>
    </row>
    <row r="564" spans="1:104" x14ac:dyDescent="0.25">
      <c r="A564" s="5">
        <v>44029</v>
      </c>
      <c r="B564">
        <v>6.1830000000000001E-3</v>
      </c>
      <c r="C564">
        <v>6.5069999999999998E-3</v>
      </c>
      <c r="D564">
        <v>6.0390000000000001E-3</v>
      </c>
      <c r="E564">
        <v>6.4219999999999998E-3</v>
      </c>
      <c r="F564">
        <v>106823403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0.63675213675213649</v>
      </c>
      <c r="Q564">
        <f t="shared" si="985"/>
        <v>68020030.115384594</v>
      </c>
      <c r="R564">
        <f t="shared" si="986"/>
        <v>-3118976553.3291798</v>
      </c>
      <c r="S564">
        <f t="shared" si="987"/>
        <v>-31189.765533291797</v>
      </c>
      <c r="T564">
        <f t="shared" si="988"/>
        <v>-31.189765533291798</v>
      </c>
    </row>
    <row r="565" spans="1:104" x14ac:dyDescent="0.25">
      <c r="A565" s="5">
        <v>44028</v>
      </c>
      <c r="B565">
        <v>6.3499999999999997E-3</v>
      </c>
      <c r="C565">
        <v>6.4079999999999996E-3</v>
      </c>
      <c r="D565">
        <v>5.875E-3</v>
      </c>
      <c r="E565">
        <v>6.1640000000000002E-3</v>
      </c>
      <c r="F565">
        <v>133587730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8.4427767354598129E-2</v>
      </c>
      <c r="Q565">
        <f t="shared" si="985"/>
        <v>11278513.789868869</v>
      </c>
      <c r="R565">
        <f t="shared" si="986"/>
        <v>-3186996583.4445643</v>
      </c>
      <c r="S565">
        <f t="shared" si="987"/>
        <v>-31869.965834445644</v>
      </c>
      <c r="T565">
        <f t="shared" si="988"/>
        <v>-31.869965834445644</v>
      </c>
    </row>
    <row r="566" spans="1:104" x14ac:dyDescent="0.25">
      <c r="A566" s="5">
        <v>44027</v>
      </c>
      <c r="B566">
        <v>6.391E-3</v>
      </c>
      <c r="C566">
        <v>6.7790000000000003E-3</v>
      </c>
      <c r="D566">
        <v>6.2680000000000001E-3</v>
      </c>
      <c r="E566">
        <v>6.3400000000000001E-3</v>
      </c>
      <c r="F566">
        <v>94699351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-0.71819960861056753</v>
      </c>
      <c r="Q566">
        <f t="shared" si="985"/>
        <v>-68013036.823874757</v>
      </c>
      <c r="R566">
        <f t="shared" si="986"/>
        <v>-3198275097.2344332</v>
      </c>
      <c r="S566">
        <f t="shared" si="987"/>
        <v>-31982.750972344333</v>
      </c>
      <c r="T566">
        <f t="shared" si="988"/>
        <v>-31.982750972344334</v>
      </c>
    </row>
    <row r="567" spans="1:104" x14ac:dyDescent="0.25">
      <c r="A567" s="5">
        <v>44026</v>
      </c>
      <c r="B567">
        <v>6.3229999999999996E-3</v>
      </c>
      <c r="C567">
        <v>6.4489999999999999E-3</v>
      </c>
      <c r="D567">
        <v>6.2139999999999999E-3</v>
      </c>
      <c r="E567">
        <v>6.4009999999999996E-3</v>
      </c>
      <c r="F567">
        <v>69368306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0.59148936170212507</v>
      </c>
      <c r="Q567">
        <f t="shared" si="985"/>
        <v>41030615.03829769</v>
      </c>
      <c r="R567">
        <f t="shared" si="986"/>
        <v>-3130262060.4105582</v>
      </c>
      <c r="S567">
        <f t="shared" si="987"/>
        <v>-31302.620604105581</v>
      </c>
      <c r="T567">
        <f t="shared" si="988"/>
        <v>-31.302620604105581</v>
      </c>
    </row>
    <row r="568" spans="1:104" x14ac:dyDescent="0.25">
      <c r="A568" s="5">
        <v>44025</v>
      </c>
      <c r="B568">
        <v>6.94E-3</v>
      </c>
      <c r="C568">
        <v>7.1570000000000002E-3</v>
      </c>
      <c r="D568">
        <v>6.2870000000000001E-3</v>
      </c>
      <c r="E568">
        <v>6.3249999999999999E-3</v>
      </c>
      <c r="F568">
        <v>186008674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-0.91264367816091996</v>
      </c>
      <c r="Q568">
        <f t="shared" si="985"/>
        <v>-169759640.40919548</v>
      </c>
      <c r="R568">
        <f t="shared" si="986"/>
        <v>-3171292675.4488559</v>
      </c>
      <c r="S568">
        <f t="shared" si="987"/>
        <v>-31712.926754488559</v>
      </c>
      <c r="T568">
        <f t="shared" si="988"/>
        <v>-31.71292675448856</v>
      </c>
    </row>
    <row r="569" spans="1:104" x14ac:dyDescent="0.25">
      <c r="A569" s="5">
        <v>44024</v>
      </c>
      <c r="B569">
        <v>6.1679999999999999E-3</v>
      </c>
      <c r="C569">
        <v>7.0400000000000003E-3</v>
      </c>
      <c r="D569">
        <v>6.1250000000000002E-3</v>
      </c>
      <c r="E569">
        <v>6.9589999999999999E-3</v>
      </c>
      <c r="F569">
        <v>201472230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0.82295081967213035</v>
      </c>
      <c r="Q569">
        <f t="shared" si="985"/>
        <v>165801736.81967196</v>
      </c>
      <c r="R569">
        <f t="shared" si="986"/>
        <v>-3001533035.0396605</v>
      </c>
      <c r="S569">
        <f t="shared" si="987"/>
        <v>-30015.330350396605</v>
      </c>
      <c r="T569">
        <f t="shared" si="988"/>
        <v>-30.015330350396606</v>
      </c>
    </row>
    <row r="570" spans="1:104" x14ac:dyDescent="0.25">
      <c r="A570" s="5">
        <v>44023</v>
      </c>
      <c r="B570">
        <v>6.2430000000000003E-3</v>
      </c>
      <c r="C570">
        <v>6.4970000000000002E-3</v>
      </c>
      <c r="D570">
        <v>6.058E-3</v>
      </c>
      <c r="E570">
        <v>6.1679999999999999E-3</v>
      </c>
      <c r="F570">
        <v>126885293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-0.49886104783599172</v>
      </c>
      <c r="Q570">
        <f t="shared" si="985"/>
        <v>-63298130.220956825</v>
      </c>
      <c r="R570">
        <f t="shared" si="986"/>
        <v>-3167334771.8593326</v>
      </c>
      <c r="S570">
        <f t="shared" si="987"/>
        <v>-31673.347718593326</v>
      </c>
      <c r="T570">
        <f t="shared" si="988"/>
        <v>-31.673347718593327</v>
      </c>
    </row>
    <row r="571" spans="1:104" x14ac:dyDescent="0.25">
      <c r="A571" s="5">
        <v>44022</v>
      </c>
      <c r="B571">
        <v>5.6429999999999996E-3</v>
      </c>
      <c r="C571">
        <v>6.3879999999999996E-3</v>
      </c>
      <c r="D571">
        <v>5.5900000000000004E-3</v>
      </c>
      <c r="E571">
        <v>6.2269999999999999E-3</v>
      </c>
      <c r="F571">
        <v>154571581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0.59649122807017585</v>
      </c>
      <c r="Q571">
        <f t="shared" si="985"/>
        <v>92200592.175438657</v>
      </c>
      <c r="R571">
        <f t="shared" si="986"/>
        <v>-3104036641.6383758</v>
      </c>
      <c r="S571">
        <f t="shared" si="987"/>
        <v>-31040.366416383757</v>
      </c>
      <c r="T571">
        <f t="shared" si="988"/>
        <v>-31.040366416383758</v>
      </c>
    </row>
    <row r="572" spans="1:104" x14ac:dyDescent="0.25">
      <c r="A572" s="5">
        <v>44021</v>
      </c>
      <c r="B572">
        <v>5.829E-3</v>
      </c>
      <c r="C572">
        <v>5.9979999999999999E-3</v>
      </c>
      <c r="D572">
        <v>5.5139999999999998E-3</v>
      </c>
      <c r="E572">
        <v>5.6610000000000002E-3</v>
      </c>
      <c r="F572">
        <v>115637495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-0.39256198347107268</v>
      </c>
      <c r="Q572">
        <f t="shared" si="985"/>
        <v>-45394884.400826253</v>
      </c>
      <c r="R572">
        <f t="shared" si="986"/>
        <v>-3196237233.8138146</v>
      </c>
      <c r="S572">
        <f t="shared" si="987"/>
        <v>-31962.372338138146</v>
      </c>
      <c r="T572">
        <f t="shared" si="988"/>
        <v>-31.962372338138145</v>
      </c>
    </row>
    <row r="573" spans="1:104" x14ac:dyDescent="0.25">
      <c r="A573" s="5">
        <v>44020</v>
      </c>
      <c r="B573">
        <v>5.8190000000000004E-3</v>
      </c>
      <c r="C573">
        <v>5.9829999999999996E-3</v>
      </c>
      <c r="D573">
        <v>5.731E-3</v>
      </c>
      <c r="E573">
        <v>5.8199999999999997E-3</v>
      </c>
      <c r="F573">
        <v>105932411</v>
      </c>
      <c r="G573">
        <v>0</v>
      </c>
      <c r="L573" t="s">
        <v>7</v>
      </c>
      <c r="M573" t="s">
        <v>8</v>
      </c>
      <c r="N573" t="s">
        <v>8</v>
      </c>
      <c r="P573">
        <f t="shared" si="984"/>
        <v>-0.29365079365079522</v>
      </c>
      <c r="Q573">
        <f t="shared" si="985"/>
        <v>-31107136.563492231</v>
      </c>
      <c r="R573">
        <f t="shared" si="986"/>
        <v>-3150842349.4129882</v>
      </c>
      <c r="S573">
        <f t="shared" si="987"/>
        <v>-31508.423494129882</v>
      </c>
      <c r="T573">
        <f t="shared" si="988"/>
        <v>-31.508423494129882</v>
      </c>
    </row>
    <row r="574" spans="1:104" x14ac:dyDescent="0.25">
      <c r="A574" s="5">
        <v>44019</v>
      </c>
      <c r="B574">
        <v>6.0769999999999999E-3</v>
      </c>
      <c r="C574">
        <v>6.149E-3</v>
      </c>
      <c r="D574">
        <v>5.7999999999999996E-3</v>
      </c>
      <c r="E574">
        <v>5.8190000000000004E-3</v>
      </c>
      <c r="F574">
        <v>86801584</v>
      </c>
      <c r="G574">
        <v>0</v>
      </c>
      <c r="L574" t="s">
        <v>7</v>
      </c>
      <c r="M574" t="s">
        <v>8</v>
      </c>
      <c r="N574" t="s">
        <v>8</v>
      </c>
      <c r="P574">
        <f t="shared" si="984"/>
        <v>-0.89111747851002421</v>
      </c>
      <c r="Q574">
        <f t="shared" si="985"/>
        <v>-77350408.66475606</v>
      </c>
      <c r="R574">
        <f t="shared" si="986"/>
        <v>-3119735212.8494959</v>
      </c>
      <c r="S574">
        <f t="shared" si="987"/>
        <v>-31197.35212849496</v>
      </c>
      <c r="T574">
        <f t="shared" si="988"/>
        <v>-31.197352128494959</v>
      </c>
    </row>
    <row r="575" spans="1:104" x14ac:dyDescent="0.25">
      <c r="A575" s="5">
        <v>44018</v>
      </c>
      <c r="B575">
        <v>5.3839999999999999E-3</v>
      </c>
      <c r="C575">
        <v>6.2630000000000003E-3</v>
      </c>
      <c r="D575">
        <v>5.3680000000000004E-3</v>
      </c>
      <c r="E575">
        <v>6.0889999999999998E-3</v>
      </c>
      <c r="F575">
        <v>209214491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0.61117318435754064</v>
      </c>
      <c r="Q575">
        <f t="shared" si="985"/>
        <v>127866286.67821203</v>
      </c>
      <c r="R575">
        <f t="shared" si="986"/>
        <v>-3042384804.1847401</v>
      </c>
      <c r="S575">
        <f t="shared" si="987"/>
        <v>-30423.848041847399</v>
      </c>
      <c r="T575">
        <f t="shared" si="988"/>
        <v>-30.4238480418474</v>
      </c>
    </row>
    <row r="576" spans="1:104" x14ac:dyDescent="0.25">
      <c r="A576" s="5">
        <v>44017</v>
      </c>
      <c r="B576">
        <v>5.8279999999999998E-3</v>
      </c>
      <c r="C576">
        <v>5.8939999999999999E-3</v>
      </c>
      <c r="D576">
        <v>5.2189999999999997E-3</v>
      </c>
      <c r="E576">
        <v>5.3749999999999996E-3</v>
      </c>
      <c r="F576">
        <v>145622639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-0.53777777777777824</v>
      </c>
      <c r="Q576">
        <f t="shared" si="985"/>
        <v>-78312619.195555627</v>
      </c>
      <c r="R576">
        <f t="shared" si="986"/>
        <v>-3170251090.8629522</v>
      </c>
      <c r="S576">
        <f t="shared" si="987"/>
        <v>-31702.510908629523</v>
      </c>
      <c r="T576">
        <f t="shared" si="988"/>
        <v>-31.702510908629524</v>
      </c>
    </row>
    <row r="577" spans="1:20" x14ac:dyDescent="0.25">
      <c r="A577" s="5">
        <v>44016</v>
      </c>
      <c r="B577">
        <v>5.8079999999999998E-3</v>
      </c>
      <c r="C577">
        <v>6.0000000000000001E-3</v>
      </c>
      <c r="D577">
        <v>5.5360000000000001E-3</v>
      </c>
      <c r="E577">
        <v>5.8300000000000001E-3</v>
      </c>
      <c r="F577">
        <v>176853713</v>
      </c>
      <c r="G577">
        <v>0</v>
      </c>
      <c r="L577" t="s">
        <v>7</v>
      </c>
      <c r="M577" t="s">
        <v>8</v>
      </c>
      <c r="N577" t="s">
        <v>8</v>
      </c>
      <c r="P577">
        <f t="shared" si="984"/>
        <v>0.26724137931034481</v>
      </c>
      <c r="Q577">
        <f t="shared" si="985"/>
        <v>47262630.198275857</v>
      </c>
      <c r="R577">
        <f t="shared" si="986"/>
        <v>-3091938471.6673965</v>
      </c>
      <c r="S577">
        <f t="shared" si="987"/>
        <v>-30919.384716673965</v>
      </c>
      <c r="T577">
        <f t="shared" si="988"/>
        <v>-30.919384716673964</v>
      </c>
    </row>
    <row r="578" spans="1:20" x14ac:dyDescent="0.25">
      <c r="A578" s="5">
        <v>44015</v>
      </c>
      <c r="B578">
        <v>5.1609999999999998E-3</v>
      </c>
      <c r="C578">
        <v>5.9699999999999996E-3</v>
      </c>
      <c r="D578">
        <v>5.1359999999999999E-3</v>
      </c>
      <c r="E578">
        <v>5.8100000000000001E-3</v>
      </c>
      <c r="F578">
        <v>230287386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0.61630695443645178</v>
      </c>
      <c r="Q578">
        <f t="shared" si="985"/>
        <v>141927717.51079157</v>
      </c>
      <c r="R578">
        <f t="shared" si="986"/>
        <v>-3139201101.8656726</v>
      </c>
      <c r="S578">
        <f t="shared" si="987"/>
        <v>-31392.011018656725</v>
      </c>
      <c r="T578">
        <f t="shared" si="988"/>
        <v>-31.392011018656724</v>
      </c>
    </row>
    <row r="579" spans="1:20" x14ac:dyDescent="0.25">
      <c r="A579" s="5">
        <v>44014</v>
      </c>
      <c r="B579">
        <v>4.8129999999999996E-3</v>
      </c>
      <c r="C579">
        <v>5.1939999999999998E-3</v>
      </c>
      <c r="D579">
        <v>4.797E-3</v>
      </c>
      <c r="E579">
        <v>5.1659999999999996E-3</v>
      </c>
      <c r="F579">
        <v>128621629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0.85894206549118257</v>
      </c>
      <c r="Q579">
        <f t="shared" si="985"/>
        <v>110478527.68010059</v>
      </c>
      <c r="R579">
        <f t="shared" si="986"/>
        <v>-3281128819.3764644</v>
      </c>
      <c r="S579">
        <f t="shared" si="987"/>
        <v>-32811.288193764645</v>
      </c>
      <c r="T579">
        <f t="shared" si="988"/>
        <v>-32.811288193764646</v>
      </c>
    </row>
    <row r="580" spans="1:20" x14ac:dyDescent="0.25">
      <c r="A580" s="5">
        <v>44013</v>
      </c>
      <c r="B580">
        <v>4.8549999999999999E-3</v>
      </c>
      <c r="C580">
        <v>4.8599999999999997E-3</v>
      </c>
      <c r="D580">
        <v>4.7109999999999999E-3</v>
      </c>
      <c r="E580">
        <v>4.8129999999999996E-3</v>
      </c>
      <c r="F580">
        <v>42907606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0.36912751677852051</v>
      </c>
      <c r="Q580">
        <f t="shared" si="985"/>
        <v>15838378.053691147</v>
      </c>
      <c r="R580">
        <f t="shared" si="986"/>
        <v>-3391607347.0565648</v>
      </c>
      <c r="S580">
        <f t="shared" si="987"/>
        <v>-33916.07347056565</v>
      </c>
      <c r="T580">
        <f t="shared" si="988"/>
        <v>-33.916073470565649</v>
      </c>
    </row>
    <row r="581" spans="1:20" x14ac:dyDescent="0.25">
      <c r="A581" s="5">
        <v>44012</v>
      </c>
      <c r="B581">
        <v>4.8219999999999999E-3</v>
      </c>
      <c r="C581">
        <v>5.0000000000000001E-3</v>
      </c>
      <c r="D581">
        <v>4.7590000000000002E-3</v>
      </c>
      <c r="E581">
        <v>4.8560000000000001E-3</v>
      </c>
      <c r="F581">
        <v>89263097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-0.19502074688796758</v>
      </c>
      <c r="Q581">
        <f t="shared" si="985"/>
        <v>-17408155.846473098</v>
      </c>
      <c r="R581">
        <f t="shared" si="986"/>
        <v>-3407445725.1102557</v>
      </c>
      <c r="S581">
        <f t="shared" si="987"/>
        <v>-34074.457251102554</v>
      </c>
      <c r="T581">
        <f t="shared" si="988"/>
        <v>-34.074457251102551</v>
      </c>
    </row>
    <row r="582" spans="1:20" x14ac:dyDescent="0.25">
      <c r="A582" s="5">
        <v>44011</v>
      </c>
      <c r="B582">
        <v>4.5729999999999998E-3</v>
      </c>
      <c r="C582">
        <v>4.927E-3</v>
      </c>
      <c r="D582">
        <v>4.5370000000000002E-3</v>
      </c>
      <c r="E582">
        <v>4.8170000000000001E-3</v>
      </c>
      <c r="F582">
        <v>88053081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0.43589743589743624</v>
      </c>
      <c r="Q582">
        <f t="shared" ref="Q582:Q645" si="990">F582*P582</f>
        <v>38382112.230769262</v>
      </c>
      <c r="R582">
        <f t="shared" ref="R582:R645" si="991">R583+Q582</f>
        <v>-3390037569.2637825</v>
      </c>
      <c r="S582">
        <f t="shared" ref="S582:S645" si="992">R582/100000</f>
        <v>-33900.375692637826</v>
      </c>
      <c r="T582">
        <f t="shared" ref="T582:T645" si="993">S582/1000</f>
        <v>-33.900375692637823</v>
      </c>
    </row>
    <row r="583" spans="1:20" x14ac:dyDescent="0.25">
      <c r="A583" s="5">
        <v>44010</v>
      </c>
      <c r="B583">
        <v>4.6420000000000003E-3</v>
      </c>
      <c r="C583">
        <v>4.8719999999999996E-3</v>
      </c>
      <c r="D583">
        <v>4.4990000000000004E-3</v>
      </c>
      <c r="E583">
        <v>4.5779999999999996E-3</v>
      </c>
      <c r="F583">
        <v>85597018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-0.57640750670241625</v>
      </c>
      <c r="Q583">
        <f t="shared" si="990"/>
        <v>-49338763.726541847</v>
      </c>
      <c r="R583">
        <f t="shared" si="991"/>
        <v>-3428419681.4945517</v>
      </c>
      <c r="S583">
        <f t="shared" si="992"/>
        <v>-34284.196814945513</v>
      </c>
      <c r="T583">
        <f t="shared" si="993"/>
        <v>-34.28419681494551</v>
      </c>
    </row>
    <row r="584" spans="1:20" x14ac:dyDescent="0.25">
      <c r="A584" s="5">
        <v>44009</v>
      </c>
      <c r="B584">
        <v>4.6230000000000004E-3</v>
      </c>
      <c r="C584">
        <v>5.4320000000000002E-3</v>
      </c>
      <c r="D584">
        <v>4.4809999999999997E-3</v>
      </c>
      <c r="E584">
        <v>4.6420000000000003E-3</v>
      </c>
      <c r="F584">
        <v>284690143</v>
      </c>
      <c r="G584">
        <v>0</v>
      </c>
      <c r="L584" t="s">
        <v>7</v>
      </c>
      <c r="M584" t="s">
        <v>8</v>
      </c>
      <c r="N584" t="s">
        <v>8</v>
      </c>
      <c r="P584">
        <f t="shared" si="989"/>
        <v>-0.66140904311251214</v>
      </c>
      <c r="Q584">
        <f t="shared" si="990"/>
        <v>-188296635.06519425</v>
      </c>
      <c r="R584">
        <f t="shared" si="991"/>
        <v>-3379080917.7680097</v>
      </c>
      <c r="S584">
        <f t="shared" si="992"/>
        <v>-33790.809177680094</v>
      </c>
      <c r="T584">
        <f t="shared" si="993"/>
        <v>-33.790809177680096</v>
      </c>
    </row>
    <row r="585" spans="1:20" x14ac:dyDescent="0.25">
      <c r="A585" s="5">
        <v>44008</v>
      </c>
      <c r="B585">
        <v>4.7749999999999997E-3</v>
      </c>
      <c r="C585">
        <v>4.8269999999999997E-3</v>
      </c>
      <c r="D585">
        <v>4.5760000000000002E-3</v>
      </c>
      <c r="E585">
        <v>4.6239999999999996E-3</v>
      </c>
      <c r="F585">
        <v>49461812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-0.61752988047809143</v>
      </c>
      <c r="Q585">
        <f t="shared" si="990"/>
        <v>-30544146.852589827</v>
      </c>
      <c r="R585">
        <f t="shared" si="991"/>
        <v>-3190784282.7028155</v>
      </c>
      <c r="S585">
        <f t="shared" si="992"/>
        <v>-31907.842827028155</v>
      </c>
      <c r="T585">
        <f t="shared" si="993"/>
        <v>-31.907842827028155</v>
      </c>
    </row>
    <row r="586" spans="1:20" x14ac:dyDescent="0.25">
      <c r="A586" s="5">
        <v>44007</v>
      </c>
      <c r="B586">
        <v>5.1289999999999999E-3</v>
      </c>
      <c r="C586">
        <v>5.1339999999999997E-3</v>
      </c>
      <c r="D586">
        <v>4.751E-3</v>
      </c>
      <c r="E586">
        <v>4.7829999999999999E-3</v>
      </c>
      <c r="F586">
        <v>76734460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-0.83289817232376007</v>
      </c>
      <c r="Q586">
        <f t="shared" si="990"/>
        <v>-63911991.488250673</v>
      </c>
      <c r="R586">
        <f t="shared" si="991"/>
        <v>-3160240135.8502259</v>
      </c>
      <c r="S586">
        <f t="shared" si="992"/>
        <v>-31602.401358502259</v>
      </c>
      <c r="T586">
        <f t="shared" si="993"/>
        <v>-31.602401358502259</v>
      </c>
    </row>
    <row r="587" spans="1:20" x14ac:dyDescent="0.25">
      <c r="A587" s="5">
        <v>44006</v>
      </c>
      <c r="B587">
        <v>5.3420000000000004E-3</v>
      </c>
      <c r="C587">
        <v>5.4180000000000001E-3</v>
      </c>
      <c r="D587">
        <v>4.9969999999999997E-3</v>
      </c>
      <c r="E587">
        <v>5.13E-3</v>
      </c>
      <c r="F587">
        <v>84979261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-0.36817102137767133</v>
      </c>
      <c r="Q587">
        <f t="shared" si="990"/>
        <v>-31286901.318289712</v>
      </c>
      <c r="R587">
        <f t="shared" si="991"/>
        <v>-3096328144.3619752</v>
      </c>
      <c r="S587">
        <f t="shared" si="992"/>
        <v>-30963.281443619751</v>
      </c>
      <c r="T587">
        <f t="shared" si="993"/>
        <v>-30.963281443619753</v>
      </c>
    </row>
    <row r="588" spans="1:20" x14ac:dyDescent="0.25">
      <c r="A588" s="5">
        <v>44005</v>
      </c>
      <c r="B588">
        <v>5.2069999999999998E-3</v>
      </c>
      <c r="C588">
        <v>5.3730000000000002E-3</v>
      </c>
      <c r="D588">
        <v>5.1469999999999997E-3</v>
      </c>
      <c r="E588">
        <v>5.3439999999999998E-3</v>
      </c>
      <c r="F588">
        <v>36638680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0.74336283185840435</v>
      </c>
      <c r="Q588">
        <f t="shared" si="990"/>
        <v>27235832.920353882</v>
      </c>
      <c r="R588">
        <f t="shared" si="991"/>
        <v>-3065041243.0436854</v>
      </c>
      <c r="S588">
        <f t="shared" si="992"/>
        <v>-30650.412430436856</v>
      </c>
      <c r="T588">
        <f t="shared" si="993"/>
        <v>-30.650412430436855</v>
      </c>
    </row>
    <row r="589" spans="1:20" x14ac:dyDescent="0.25">
      <c r="A589" s="5">
        <v>44004</v>
      </c>
      <c r="B589">
        <v>5.1960000000000001E-3</v>
      </c>
      <c r="C589">
        <v>5.3309999999999998E-3</v>
      </c>
      <c r="D589">
        <v>5.1359999999999999E-3</v>
      </c>
      <c r="E589">
        <v>5.2059999999999997E-3</v>
      </c>
      <c r="F589">
        <v>138716892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-0.2820512820512841</v>
      </c>
      <c r="Q589">
        <f t="shared" si="990"/>
        <v>-39125277.230769515</v>
      </c>
      <c r="R589">
        <f t="shared" si="991"/>
        <v>-3092277075.9640393</v>
      </c>
      <c r="S589">
        <f t="shared" si="992"/>
        <v>-30922.770759640392</v>
      </c>
      <c r="T589">
        <f t="shared" si="993"/>
        <v>-30.922770759640393</v>
      </c>
    </row>
    <row r="590" spans="1:20" x14ac:dyDescent="0.25">
      <c r="A590" s="5">
        <v>44003</v>
      </c>
      <c r="B590">
        <v>5.3150000000000003E-3</v>
      </c>
      <c r="C590">
        <v>5.4460000000000003E-3</v>
      </c>
      <c r="D590">
        <v>5.1409999999999997E-3</v>
      </c>
      <c r="E590">
        <v>5.1960000000000001E-3</v>
      </c>
      <c r="F590">
        <v>220807398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-0.63934426229508023</v>
      </c>
      <c r="Q590">
        <f t="shared" si="990"/>
        <v>-141171942.98360619</v>
      </c>
      <c r="R590">
        <f t="shared" si="991"/>
        <v>-3053151798.7332697</v>
      </c>
      <c r="S590">
        <f t="shared" si="992"/>
        <v>-30531.517987332696</v>
      </c>
      <c r="T590">
        <f t="shared" si="993"/>
        <v>-30.531517987332695</v>
      </c>
    </row>
    <row r="591" spans="1:20" x14ac:dyDescent="0.25">
      <c r="A591" s="5">
        <v>44002</v>
      </c>
      <c r="B591">
        <v>5.437E-3</v>
      </c>
      <c r="C591">
        <v>5.4450000000000002E-3</v>
      </c>
      <c r="D591">
        <v>5.2529999999999999E-3</v>
      </c>
      <c r="E591">
        <v>5.3150000000000003E-3</v>
      </c>
      <c r="F591">
        <v>81947009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-0.35416666666666335</v>
      </c>
      <c r="Q591">
        <f t="shared" si="990"/>
        <v>-29022899.02083306</v>
      </c>
      <c r="R591">
        <f t="shared" si="991"/>
        <v>-2911979855.7496634</v>
      </c>
      <c r="S591">
        <f t="shared" si="992"/>
        <v>-29119.798557496633</v>
      </c>
      <c r="T591">
        <f t="shared" si="993"/>
        <v>-29.119798557496633</v>
      </c>
    </row>
    <row r="592" spans="1:20" x14ac:dyDescent="0.25">
      <c r="A592" s="5">
        <v>44001</v>
      </c>
      <c r="B592">
        <v>5.411E-3</v>
      </c>
      <c r="C592">
        <v>5.4939999999999998E-3</v>
      </c>
      <c r="D592">
        <v>5.2420000000000001E-3</v>
      </c>
      <c r="E592">
        <v>5.437E-3</v>
      </c>
      <c r="F592">
        <v>71174761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0.54761904761904889</v>
      </c>
      <c r="Q592">
        <f t="shared" si="990"/>
        <v>38976654.833333425</v>
      </c>
      <c r="R592">
        <f t="shared" si="991"/>
        <v>-2882956956.7288303</v>
      </c>
      <c r="S592">
        <f t="shared" si="992"/>
        <v>-28829.569567288305</v>
      </c>
      <c r="T592">
        <f t="shared" si="993"/>
        <v>-28.829569567288306</v>
      </c>
    </row>
    <row r="593" spans="1:20" x14ac:dyDescent="0.25">
      <c r="A593" s="5">
        <v>44000</v>
      </c>
      <c r="B593">
        <v>5.3899999999999998E-3</v>
      </c>
      <c r="C593">
        <v>5.6090000000000003E-3</v>
      </c>
      <c r="D593">
        <v>5.2599999999999999E-3</v>
      </c>
      <c r="E593">
        <v>5.424E-3</v>
      </c>
      <c r="F593">
        <v>92545210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-6.0171919770774109E-2</v>
      </c>
      <c r="Q593">
        <f t="shared" si="990"/>
        <v>-5568622.9512894414</v>
      </c>
      <c r="R593">
        <f t="shared" si="991"/>
        <v>-2921933611.5621638</v>
      </c>
      <c r="S593">
        <f t="shared" si="992"/>
        <v>-29219.336115621638</v>
      </c>
      <c r="T593">
        <f t="shared" si="993"/>
        <v>-29.219336115621637</v>
      </c>
    </row>
    <row r="594" spans="1:20" x14ac:dyDescent="0.25">
      <c r="A594" s="5">
        <v>43999</v>
      </c>
      <c r="B594">
        <v>5.5669999999999999E-3</v>
      </c>
      <c r="C594">
        <v>5.659E-3</v>
      </c>
      <c r="D594">
        <v>5.1580000000000003E-3</v>
      </c>
      <c r="E594">
        <v>5.391E-3</v>
      </c>
      <c r="F594">
        <v>159899317</v>
      </c>
      <c r="G594">
        <v>0</v>
      </c>
      <c r="L594" t="s">
        <v>7</v>
      </c>
      <c r="M594" t="s">
        <v>8</v>
      </c>
      <c r="N594" t="s">
        <v>8</v>
      </c>
      <c r="P594">
        <f t="shared" si="989"/>
        <v>-6.9860279441118417E-2</v>
      </c>
      <c r="Q594">
        <f t="shared" si="990"/>
        <v>-11170610.968063977</v>
      </c>
      <c r="R594">
        <f t="shared" si="991"/>
        <v>-2916364988.6108742</v>
      </c>
      <c r="S594">
        <f t="shared" si="992"/>
        <v>-29163.649886108742</v>
      </c>
      <c r="T594">
        <f t="shared" si="993"/>
        <v>-29.163649886108743</v>
      </c>
    </row>
    <row r="595" spans="1:20" x14ac:dyDescent="0.25">
      <c r="A595" s="5">
        <v>43998</v>
      </c>
      <c r="B595">
        <v>4.9100000000000003E-3</v>
      </c>
      <c r="C595">
        <v>5.7270000000000003E-3</v>
      </c>
      <c r="D595">
        <v>4.8659999999999997E-3</v>
      </c>
      <c r="E595">
        <v>5.5669999999999999E-3</v>
      </c>
      <c r="F595">
        <v>221367753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0.62833914053426176</v>
      </c>
      <c r="Q595">
        <f t="shared" si="990"/>
        <v>139094023.66202074</v>
      </c>
      <c r="R595">
        <f t="shared" si="991"/>
        <v>-2905194377.6428103</v>
      </c>
      <c r="S595">
        <f t="shared" si="992"/>
        <v>-29051.943776428103</v>
      </c>
      <c r="T595">
        <f t="shared" si="993"/>
        <v>-29.051943776428104</v>
      </c>
    </row>
    <row r="596" spans="1:20" x14ac:dyDescent="0.25">
      <c r="A596" s="5">
        <v>43997</v>
      </c>
      <c r="B596">
        <v>4.9719999999999999E-3</v>
      </c>
      <c r="C596">
        <v>4.9769999999999997E-3</v>
      </c>
      <c r="D596">
        <v>4.4429999999999999E-3</v>
      </c>
      <c r="E596">
        <v>4.9069999999999999E-3</v>
      </c>
      <c r="F596">
        <v>125566888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0.73782771535580605</v>
      </c>
      <c r="Q596">
        <f t="shared" si="990"/>
        <v>92646730.097378373</v>
      </c>
      <c r="R596">
        <f t="shared" si="991"/>
        <v>-3044288401.304831</v>
      </c>
      <c r="S596">
        <f t="shared" si="992"/>
        <v>-30442.884013048311</v>
      </c>
      <c r="T596">
        <f t="shared" si="993"/>
        <v>-30.44288401304831</v>
      </c>
    </row>
    <row r="597" spans="1:20" x14ac:dyDescent="0.25">
      <c r="A597" s="5">
        <v>43996</v>
      </c>
      <c r="B597">
        <v>5.2639999999999996E-3</v>
      </c>
      <c r="C597">
        <v>5.3290000000000004E-3</v>
      </c>
      <c r="D597">
        <v>4.9090000000000002E-3</v>
      </c>
      <c r="E597">
        <v>4.973E-3</v>
      </c>
      <c r="F597">
        <v>195383153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-0.69523809523809621</v>
      </c>
      <c r="Q597">
        <f t="shared" si="990"/>
        <v>-135837811.13333353</v>
      </c>
      <c r="R597">
        <f t="shared" si="991"/>
        <v>-3136935131.4022093</v>
      </c>
      <c r="S597">
        <f t="shared" si="992"/>
        <v>-31369.351314022093</v>
      </c>
      <c r="T597">
        <f t="shared" si="993"/>
        <v>-31.369351314022094</v>
      </c>
    </row>
    <row r="598" spans="1:20" x14ac:dyDescent="0.25">
      <c r="A598" s="5">
        <v>43995</v>
      </c>
      <c r="B598">
        <v>4.8729999999999997E-3</v>
      </c>
      <c r="C598">
        <v>5.3160000000000004E-3</v>
      </c>
      <c r="D598">
        <v>4.7939999999999997E-3</v>
      </c>
      <c r="E598">
        <v>5.2639999999999996E-3</v>
      </c>
      <c r="F598">
        <v>124431352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0.80076628352490131</v>
      </c>
      <c r="Q598">
        <f t="shared" si="990"/>
        <v>99640431.295018792</v>
      </c>
      <c r="R598">
        <f t="shared" si="991"/>
        <v>-3001097320.2688756</v>
      </c>
      <c r="S598">
        <f t="shared" si="992"/>
        <v>-30010.973202688758</v>
      </c>
      <c r="T598">
        <f t="shared" si="993"/>
        <v>-30.010973202688756</v>
      </c>
    </row>
    <row r="599" spans="1:20" x14ac:dyDescent="0.25">
      <c r="A599" s="5">
        <v>43994</v>
      </c>
      <c r="B599">
        <v>4.5189999999999996E-3</v>
      </c>
      <c r="C599">
        <v>4.9220000000000002E-3</v>
      </c>
      <c r="D599">
        <v>4.45E-3</v>
      </c>
      <c r="E599">
        <v>4.8729999999999997E-3</v>
      </c>
      <c r="F599">
        <v>94946067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0.79237288135593043</v>
      </c>
      <c r="Q599">
        <f t="shared" si="990"/>
        <v>75232688.682203218</v>
      </c>
      <c r="R599">
        <f t="shared" si="991"/>
        <v>-3100737751.5638943</v>
      </c>
      <c r="S599">
        <f t="shared" si="992"/>
        <v>-31007.377515638942</v>
      </c>
      <c r="T599">
        <f t="shared" si="993"/>
        <v>-31.007377515638943</v>
      </c>
    </row>
    <row r="600" spans="1:20" x14ac:dyDescent="0.25">
      <c r="A600" s="5">
        <v>43993</v>
      </c>
      <c r="B600">
        <v>5.1859999999999996E-3</v>
      </c>
      <c r="C600">
        <v>5.2110000000000004E-3</v>
      </c>
      <c r="D600">
        <v>4.4380000000000001E-3</v>
      </c>
      <c r="E600">
        <v>4.5019999999999999E-3</v>
      </c>
      <c r="F600">
        <v>161754283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-0.83441138421733563</v>
      </c>
      <c r="Q600">
        <f t="shared" si="990"/>
        <v>-134969615.18111265</v>
      </c>
      <c r="R600">
        <f t="shared" si="991"/>
        <v>-3175970440.2460976</v>
      </c>
      <c r="S600">
        <f t="shared" si="992"/>
        <v>-31759.704402460975</v>
      </c>
      <c r="T600">
        <f t="shared" si="993"/>
        <v>-31.759704402460976</v>
      </c>
    </row>
    <row r="601" spans="1:20" x14ac:dyDescent="0.25">
      <c r="A601" s="5">
        <v>43992</v>
      </c>
      <c r="B601">
        <v>5.1419999999999999E-3</v>
      </c>
      <c r="C601">
        <v>5.2909999999999997E-3</v>
      </c>
      <c r="D601">
        <v>5.0800000000000003E-3</v>
      </c>
      <c r="E601">
        <v>5.189E-3</v>
      </c>
      <c r="F601">
        <v>95737986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3.3175355450237358E-2</v>
      </c>
      <c r="Q601">
        <f t="shared" si="990"/>
        <v>3176141.7156398478</v>
      </c>
      <c r="R601">
        <f t="shared" si="991"/>
        <v>-3041000825.0649848</v>
      </c>
      <c r="S601">
        <f t="shared" si="992"/>
        <v>-30410.008250649847</v>
      </c>
      <c r="T601">
        <f t="shared" si="993"/>
        <v>-30.410008250649849</v>
      </c>
    </row>
    <row r="602" spans="1:20" x14ac:dyDescent="0.25">
      <c r="A602" s="5">
        <v>43991</v>
      </c>
      <c r="B602">
        <v>5.3860000000000002E-3</v>
      </c>
      <c r="C602">
        <v>5.4099999999999999E-3</v>
      </c>
      <c r="D602">
        <v>5.0920000000000002E-3</v>
      </c>
      <c r="E602">
        <v>5.1479999999999998E-3</v>
      </c>
      <c r="F602">
        <v>151222807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-0.64779874213836686</v>
      </c>
      <c r="Q602">
        <f t="shared" si="990"/>
        <v>-97961944.157233015</v>
      </c>
      <c r="R602">
        <f t="shared" si="991"/>
        <v>-3044176966.7806249</v>
      </c>
      <c r="S602">
        <f t="shared" si="992"/>
        <v>-30441.769667806249</v>
      </c>
      <c r="T602">
        <f t="shared" si="993"/>
        <v>-30.441769667806248</v>
      </c>
    </row>
    <row r="603" spans="1:20" x14ac:dyDescent="0.25">
      <c r="A603" s="5">
        <v>43990</v>
      </c>
      <c r="B603">
        <v>5.633E-3</v>
      </c>
      <c r="C603">
        <v>5.9170000000000004E-3</v>
      </c>
      <c r="D603">
        <v>5.2430000000000003E-3</v>
      </c>
      <c r="E603">
        <v>5.3740000000000003E-3</v>
      </c>
      <c r="F603">
        <v>242398049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-0.6112759643916913</v>
      </c>
      <c r="Q603">
        <f t="shared" si="990"/>
        <v>-148172101.16913944</v>
      </c>
      <c r="R603">
        <f t="shared" si="991"/>
        <v>-2946215022.6233916</v>
      </c>
      <c r="S603">
        <f t="shared" si="992"/>
        <v>-29462.150226233916</v>
      </c>
      <c r="T603">
        <f t="shared" si="993"/>
        <v>-29.462150226233916</v>
      </c>
    </row>
    <row r="604" spans="1:20" x14ac:dyDescent="0.25">
      <c r="A604" s="5">
        <v>43989</v>
      </c>
      <c r="B604">
        <v>5.3220000000000003E-3</v>
      </c>
      <c r="C604">
        <v>5.7400000000000003E-3</v>
      </c>
      <c r="D604">
        <v>4.9610000000000001E-3</v>
      </c>
      <c r="E604">
        <v>5.6340000000000001E-3</v>
      </c>
      <c r="F604">
        <v>289682508</v>
      </c>
      <c r="G604">
        <v>0</v>
      </c>
      <c r="L604" t="s">
        <v>8</v>
      </c>
      <c r="M604" t="s">
        <v>8</v>
      </c>
      <c r="N604" t="s">
        <v>7</v>
      </c>
      <c r="P604">
        <f t="shared" si="989"/>
        <v>0.72785622593067989</v>
      </c>
      <c r="Q604">
        <f t="shared" si="990"/>
        <v>210847216.99101397</v>
      </c>
      <c r="R604">
        <f t="shared" si="991"/>
        <v>-2798042921.4542522</v>
      </c>
      <c r="S604">
        <f t="shared" si="992"/>
        <v>-27980.429214542521</v>
      </c>
      <c r="T604">
        <f t="shared" si="993"/>
        <v>-27.980429214542522</v>
      </c>
    </row>
    <row r="605" spans="1:20" x14ac:dyDescent="0.25">
      <c r="A605" s="5">
        <v>43988</v>
      </c>
      <c r="B605">
        <v>4.6309999999999997E-3</v>
      </c>
      <c r="C605">
        <v>5.3969999999999999E-3</v>
      </c>
      <c r="D605">
        <v>4.5700000000000003E-3</v>
      </c>
      <c r="E605">
        <v>5.3220000000000003E-3</v>
      </c>
      <c r="F605">
        <v>332282252</v>
      </c>
      <c r="G605">
        <v>0</v>
      </c>
      <c r="L605" t="s">
        <v>8</v>
      </c>
      <c r="M605" t="s">
        <v>8</v>
      </c>
      <c r="N605" t="s">
        <v>7</v>
      </c>
      <c r="P605">
        <f t="shared" si="989"/>
        <v>0.81862152357920293</v>
      </c>
      <c r="Q605">
        <f t="shared" si="990"/>
        <v>272013403.39056867</v>
      </c>
      <c r="R605">
        <f t="shared" si="991"/>
        <v>-3008890138.4452662</v>
      </c>
      <c r="S605">
        <f t="shared" si="992"/>
        <v>-30088.901384452663</v>
      </c>
      <c r="T605">
        <f t="shared" si="993"/>
        <v>-30.088901384452665</v>
      </c>
    </row>
    <row r="606" spans="1:20" x14ac:dyDescent="0.25">
      <c r="A606" s="5">
        <v>43987</v>
      </c>
      <c r="B606">
        <v>4.6499999999999996E-3</v>
      </c>
      <c r="C606">
        <v>4.6979999999999999E-3</v>
      </c>
      <c r="D606">
        <v>4.5529999999999998E-3</v>
      </c>
      <c r="E606">
        <v>4.6449999999999998E-3</v>
      </c>
      <c r="F606">
        <v>96518055</v>
      </c>
      <c r="G606">
        <v>0</v>
      </c>
      <c r="L606" t="s">
        <v>7</v>
      </c>
      <c r="M606" t="s">
        <v>7</v>
      </c>
      <c r="N606" t="s">
        <v>7</v>
      </c>
      <c r="P606">
        <f t="shared" si="989"/>
        <v>0.26896551724137879</v>
      </c>
      <c r="Q606">
        <f t="shared" si="990"/>
        <v>25960028.586206846</v>
      </c>
      <c r="R606">
        <f t="shared" si="991"/>
        <v>-3280903541.835835</v>
      </c>
      <c r="S606">
        <f t="shared" si="992"/>
        <v>-32809.035418358348</v>
      </c>
      <c r="T606">
        <f t="shared" si="993"/>
        <v>-32.809035418358349</v>
      </c>
    </row>
    <row r="607" spans="1:20" x14ac:dyDescent="0.25">
      <c r="A607" s="5">
        <v>43986</v>
      </c>
      <c r="B607">
        <v>4.6319999999999998E-3</v>
      </c>
      <c r="C607">
        <v>4.6990000000000001E-3</v>
      </c>
      <c r="D607">
        <v>4.4929999999999996E-3</v>
      </c>
      <c r="E607">
        <v>4.6509999999999998E-3</v>
      </c>
      <c r="F607">
        <v>154407317</v>
      </c>
      <c r="G607">
        <v>0</v>
      </c>
      <c r="L607" t="s">
        <v>7</v>
      </c>
      <c r="M607" t="s">
        <v>7</v>
      </c>
      <c r="N607" t="s">
        <v>7</v>
      </c>
      <c r="P607">
        <f t="shared" si="989"/>
        <v>0.53398058252426994</v>
      </c>
      <c r="Q607">
        <f t="shared" si="990"/>
        <v>82450509.077669606</v>
      </c>
      <c r="R607">
        <f t="shared" si="991"/>
        <v>-3306863570.4220419</v>
      </c>
      <c r="S607">
        <f t="shared" si="992"/>
        <v>-33068.635704220418</v>
      </c>
      <c r="T607">
        <f t="shared" si="993"/>
        <v>-33.068635704220419</v>
      </c>
    </row>
    <row r="608" spans="1:20" x14ac:dyDescent="0.25">
      <c r="A608" s="5">
        <v>43985</v>
      </c>
      <c r="B608">
        <v>4.444E-3</v>
      </c>
      <c r="C608">
        <v>4.8989999999999997E-3</v>
      </c>
      <c r="D608">
        <v>4.4279999999999996E-3</v>
      </c>
      <c r="E608">
        <v>4.6189999999999998E-3</v>
      </c>
      <c r="F608">
        <v>176552283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-0.18895966029723918</v>
      </c>
      <c r="Q608">
        <f t="shared" si="990"/>
        <v>-33361259.420382034</v>
      </c>
      <c r="R608">
        <f t="shared" si="991"/>
        <v>-3389314079.4997115</v>
      </c>
      <c r="S608">
        <f t="shared" si="992"/>
        <v>-33893.140794997118</v>
      </c>
      <c r="T608">
        <f t="shared" si="993"/>
        <v>-33.893140794997116</v>
      </c>
    </row>
    <row r="609" spans="1:20" x14ac:dyDescent="0.25">
      <c r="A609" s="5">
        <v>43984</v>
      </c>
      <c r="B609">
        <v>4.8370000000000002E-3</v>
      </c>
      <c r="C609">
        <v>4.999E-3</v>
      </c>
      <c r="D609">
        <v>4.3709999999999999E-3</v>
      </c>
      <c r="E609">
        <v>4.4400000000000004E-3</v>
      </c>
      <c r="F609">
        <v>372818361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-0.78025477707006219</v>
      </c>
      <c r="Q609">
        <f t="shared" si="990"/>
        <v>-290893307.14968097</v>
      </c>
      <c r="R609">
        <f t="shared" si="991"/>
        <v>-3355952820.0793295</v>
      </c>
      <c r="S609">
        <f t="shared" si="992"/>
        <v>-33559.528200793298</v>
      </c>
      <c r="T609">
        <f t="shared" si="993"/>
        <v>-33.559528200793295</v>
      </c>
    </row>
    <row r="610" spans="1:20" x14ac:dyDescent="0.25">
      <c r="A610" s="5">
        <v>43983</v>
      </c>
      <c r="B610">
        <v>4.8729999999999997E-3</v>
      </c>
      <c r="C610">
        <v>5.4710000000000002E-3</v>
      </c>
      <c r="D610">
        <v>4.7200000000000002E-3</v>
      </c>
      <c r="E610">
        <v>4.8300000000000001E-3</v>
      </c>
      <c r="F610">
        <v>540305652</v>
      </c>
      <c r="G610">
        <v>0</v>
      </c>
      <c r="L610" t="s">
        <v>7</v>
      </c>
      <c r="M610" t="s">
        <v>7</v>
      </c>
      <c r="N610" t="s">
        <v>7</v>
      </c>
      <c r="P610">
        <f t="shared" si="989"/>
        <v>-0.70705725699067945</v>
      </c>
      <c r="Q610">
        <f t="shared" si="990"/>
        <v>-382027032.23968065</v>
      </c>
      <c r="R610">
        <f t="shared" si="991"/>
        <v>-3065059512.9296484</v>
      </c>
      <c r="S610">
        <f t="shared" si="992"/>
        <v>-30650.595129296486</v>
      </c>
      <c r="T610">
        <f t="shared" si="993"/>
        <v>-30.650595129296484</v>
      </c>
    </row>
    <row r="611" spans="1:20" x14ac:dyDescent="0.25">
      <c r="A611" s="5">
        <v>43982</v>
      </c>
      <c r="B611">
        <v>5.8989999999999997E-3</v>
      </c>
      <c r="C611">
        <v>6.3460000000000001E-3</v>
      </c>
      <c r="D611">
        <v>4.7910000000000001E-3</v>
      </c>
      <c r="E611">
        <v>4.875E-3</v>
      </c>
      <c r="F611">
        <v>536320463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-0.891961414790997</v>
      </c>
      <c r="Q611">
        <f t="shared" si="990"/>
        <v>-478377158.95884258</v>
      </c>
      <c r="R611">
        <f t="shared" si="991"/>
        <v>-2683032480.6899676</v>
      </c>
      <c r="S611">
        <f t="shared" si="992"/>
        <v>-26830.324806899676</v>
      </c>
      <c r="T611">
        <f t="shared" si="993"/>
        <v>-26.830324806899675</v>
      </c>
    </row>
    <row r="612" spans="1:20" x14ac:dyDescent="0.25">
      <c r="A612" s="5">
        <v>43981</v>
      </c>
      <c r="B612">
        <v>6.1469999999999997E-3</v>
      </c>
      <c r="C612">
        <v>6.4310000000000001E-3</v>
      </c>
      <c r="D612">
        <v>5.7120000000000001E-3</v>
      </c>
      <c r="E612">
        <v>5.9199999999999999E-3</v>
      </c>
      <c r="F612">
        <v>438665079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-0.42141863699582799</v>
      </c>
      <c r="Q612">
        <f t="shared" si="990"/>
        <v>-184861639.6898472</v>
      </c>
      <c r="R612">
        <f t="shared" si="991"/>
        <v>-2204655321.7311249</v>
      </c>
      <c r="S612">
        <f t="shared" si="992"/>
        <v>-22046.553217311248</v>
      </c>
      <c r="T612">
        <f t="shared" si="993"/>
        <v>-22.046553217311249</v>
      </c>
    </row>
    <row r="613" spans="1:20" x14ac:dyDescent="0.25">
      <c r="A613" s="5">
        <v>43980</v>
      </c>
      <c r="B613">
        <v>5.9820000000000003E-3</v>
      </c>
      <c r="C613">
        <v>6.5490000000000001E-3</v>
      </c>
      <c r="D613">
        <v>5.4000000000000003E-3</v>
      </c>
      <c r="E613">
        <v>6.1440000000000002E-3</v>
      </c>
      <c r="F613">
        <v>525248976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0.29503916449086154</v>
      </c>
      <c r="Q613">
        <f t="shared" si="990"/>
        <v>154969019.02872059</v>
      </c>
      <c r="R613">
        <f t="shared" si="991"/>
        <v>-2019793682.0412776</v>
      </c>
      <c r="S613">
        <f t="shared" si="992"/>
        <v>-20197.936820412775</v>
      </c>
      <c r="T613">
        <f t="shared" si="993"/>
        <v>-20.197936820412774</v>
      </c>
    </row>
    <row r="614" spans="1:20" x14ac:dyDescent="0.25">
      <c r="A614" s="5">
        <v>43979</v>
      </c>
      <c r="B614">
        <v>4.9049999999999996E-3</v>
      </c>
      <c r="C614">
        <v>6.3800000000000003E-3</v>
      </c>
      <c r="D614">
        <v>4.8900000000000002E-3</v>
      </c>
      <c r="E614">
        <v>5.9810000000000002E-3</v>
      </c>
      <c r="F614">
        <v>720913163</v>
      </c>
      <c r="G614">
        <v>0</v>
      </c>
      <c r="L614" t="s">
        <v>8</v>
      </c>
      <c r="M614" t="s">
        <v>8</v>
      </c>
      <c r="N614" t="s">
        <v>7</v>
      </c>
      <c r="P614">
        <f t="shared" si="989"/>
        <v>0.4644295302013422</v>
      </c>
      <c r="Q614">
        <f t="shared" si="990"/>
        <v>334813361.60805362</v>
      </c>
      <c r="R614">
        <f t="shared" si="991"/>
        <v>-2174762701.0699983</v>
      </c>
      <c r="S614">
        <f t="shared" si="992"/>
        <v>-21747.627010699984</v>
      </c>
      <c r="T614">
        <f t="shared" si="993"/>
        <v>-21.747627010699983</v>
      </c>
    </row>
    <row r="615" spans="1:20" x14ac:dyDescent="0.25">
      <c r="A615" s="5">
        <v>43978</v>
      </c>
      <c r="B615">
        <v>5.2360000000000002E-3</v>
      </c>
      <c r="C615">
        <v>5.411E-3</v>
      </c>
      <c r="D615">
        <v>4.568E-3</v>
      </c>
      <c r="E615">
        <v>4.9069999999999999E-3</v>
      </c>
      <c r="F615">
        <v>543654718</v>
      </c>
      <c r="G615">
        <v>0</v>
      </c>
      <c r="L615" t="s">
        <v>7</v>
      </c>
      <c r="M615" t="s">
        <v>7</v>
      </c>
      <c r="N615" t="s">
        <v>7</v>
      </c>
      <c r="P615">
        <f t="shared" si="989"/>
        <v>-0.1957295373665483</v>
      </c>
      <c r="Q615">
        <f t="shared" si="990"/>
        <v>-106409286.44128127</v>
      </c>
      <c r="R615">
        <f t="shared" si="991"/>
        <v>-2509576062.6780519</v>
      </c>
      <c r="S615">
        <f t="shared" si="992"/>
        <v>-25095.76062678052</v>
      </c>
      <c r="T615">
        <f t="shared" si="993"/>
        <v>-25.095760626780521</v>
      </c>
    </row>
    <row r="616" spans="1:20" x14ac:dyDescent="0.25">
      <c r="A616" s="5">
        <v>43977</v>
      </c>
      <c r="B616">
        <v>5.9290000000000002E-3</v>
      </c>
      <c r="C616">
        <v>6.0000000000000001E-3</v>
      </c>
      <c r="D616">
        <v>5.0879999999999996E-3</v>
      </c>
      <c r="E616">
        <v>5.2370000000000003E-3</v>
      </c>
      <c r="F616">
        <v>621924443</v>
      </c>
      <c r="G616">
        <v>0</v>
      </c>
      <c r="L616" t="s">
        <v>7</v>
      </c>
      <c r="M616" t="s">
        <v>7</v>
      </c>
      <c r="N616" t="s">
        <v>7</v>
      </c>
      <c r="P616">
        <f t="shared" si="989"/>
        <v>-0.67324561403508631</v>
      </c>
      <c r="Q616">
        <f t="shared" si="990"/>
        <v>-418707903.51096404</v>
      </c>
      <c r="R616">
        <f t="shared" si="991"/>
        <v>-2403166776.2367706</v>
      </c>
      <c r="S616">
        <f t="shared" si="992"/>
        <v>-24031.667762367706</v>
      </c>
      <c r="T616">
        <f t="shared" si="993"/>
        <v>-24.031667762367707</v>
      </c>
    </row>
    <row r="617" spans="1:20" x14ac:dyDescent="0.25">
      <c r="A617" s="5">
        <v>43976</v>
      </c>
      <c r="B617">
        <v>5.8979999999999996E-3</v>
      </c>
      <c r="C617">
        <v>7.6E-3</v>
      </c>
      <c r="D617">
        <v>5.4149999999999997E-3</v>
      </c>
      <c r="E617">
        <v>5.9160000000000003E-3</v>
      </c>
      <c r="F617">
        <v>1371293280</v>
      </c>
      <c r="G617">
        <v>0</v>
      </c>
      <c r="L617" t="s">
        <v>8</v>
      </c>
      <c r="M617" t="s">
        <v>7</v>
      </c>
      <c r="N617" t="s">
        <v>8</v>
      </c>
      <c r="P617">
        <f t="shared" si="989"/>
        <v>-0.54141876430205904</v>
      </c>
      <c r="Q617">
        <f t="shared" si="990"/>
        <v>-742443913.15331745</v>
      </c>
      <c r="R617">
        <f t="shared" si="991"/>
        <v>-1984458872.7258067</v>
      </c>
      <c r="S617">
        <f t="shared" si="992"/>
        <v>-19844.588727258066</v>
      </c>
      <c r="T617">
        <f t="shared" si="993"/>
        <v>-19.844588727258067</v>
      </c>
    </row>
    <row r="618" spans="1:20" x14ac:dyDescent="0.25">
      <c r="A618" s="5">
        <v>43975</v>
      </c>
      <c r="B618">
        <v>4.15E-3</v>
      </c>
      <c r="C618">
        <v>7.2899999999999996E-3</v>
      </c>
      <c r="D618">
        <v>4.15E-3</v>
      </c>
      <c r="E618">
        <v>5.8799999999999998E-3</v>
      </c>
      <c r="F618">
        <v>1428738104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0.10191082802547771</v>
      </c>
      <c r="Q618">
        <f t="shared" si="990"/>
        <v>145603883.2101911</v>
      </c>
      <c r="R618">
        <f t="shared" si="991"/>
        <v>-1242014959.5724893</v>
      </c>
      <c r="S618">
        <f t="shared" si="992"/>
        <v>-12420.149595724894</v>
      </c>
      <c r="T618">
        <f t="shared" si="993"/>
        <v>-12.420149595724894</v>
      </c>
    </row>
    <row r="619" spans="1:20" x14ac:dyDescent="0.25">
      <c r="A619" s="5">
        <v>43974</v>
      </c>
      <c r="B619">
        <v>3.4429999999999999E-3</v>
      </c>
      <c r="C619">
        <v>4.4200000000000003E-3</v>
      </c>
      <c r="D619">
        <v>3.4429999999999999E-3</v>
      </c>
      <c r="E619">
        <v>4.1679999999999998E-3</v>
      </c>
      <c r="F619">
        <v>468300837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0.48413510747185184</v>
      </c>
      <c r="Q619">
        <f t="shared" si="990"/>
        <v>226720876.05015317</v>
      </c>
      <c r="R619">
        <f t="shared" si="991"/>
        <v>-1387618842.7826803</v>
      </c>
      <c r="S619">
        <f t="shared" si="992"/>
        <v>-13876.188427826803</v>
      </c>
      <c r="T619">
        <f t="shared" si="993"/>
        <v>-13.876188427826802</v>
      </c>
    </row>
    <row r="620" spans="1:20" x14ac:dyDescent="0.25">
      <c r="A620" s="5">
        <v>43973</v>
      </c>
      <c r="B620">
        <v>3.7989999999999999E-3</v>
      </c>
      <c r="C620">
        <v>4.1000000000000003E-3</v>
      </c>
      <c r="D620">
        <v>3.3739999999999998E-3</v>
      </c>
      <c r="E620">
        <v>3.4489999999999998E-3</v>
      </c>
      <c r="F620">
        <v>444414991</v>
      </c>
      <c r="G620">
        <v>0</v>
      </c>
      <c r="L620" t="s">
        <v>7</v>
      </c>
      <c r="M620" t="s">
        <v>7</v>
      </c>
      <c r="N620" t="s">
        <v>8</v>
      </c>
      <c r="P620">
        <f t="shared" si="989"/>
        <v>-0.79338842975206636</v>
      </c>
      <c r="Q620">
        <f t="shared" si="990"/>
        <v>-352593711.8677687</v>
      </c>
      <c r="R620">
        <f t="shared" si="991"/>
        <v>-1614339718.8328335</v>
      </c>
      <c r="S620">
        <f t="shared" si="992"/>
        <v>-16143.397188328336</v>
      </c>
      <c r="T620">
        <f t="shared" si="993"/>
        <v>-16.143397188328336</v>
      </c>
    </row>
    <row r="621" spans="1:20" x14ac:dyDescent="0.25">
      <c r="A621" s="5">
        <v>43972</v>
      </c>
      <c r="B621">
        <v>3.0079999999999998E-3</v>
      </c>
      <c r="C621">
        <v>4.2579999999999996E-3</v>
      </c>
      <c r="D621">
        <v>3.0000000000000001E-3</v>
      </c>
      <c r="E621">
        <v>3.7880000000000001E-3</v>
      </c>
      <c r="F621">
        <v>536787083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0.25278219395866508</v>
      </c>
      <c r="Q621">
        <f t="shared" si="990"/>
        <v>135690216.52941206</v>
      </c>
      <c r="R621">
        <f t="shared" si="991"/>
        <v>-1261746006.9650648</v>
      </c>
      <c r="S621">
        <f t="shared" si="992"/>
        <v>-12617.460069650648</v>
      </c>
      <c r="T621">
        <f t="shared" si="993"/>
        <v>-12.617460069650647</v>
      </c>
    </row>
    <row r="622" spans="1:20" x14ac:dyDescent="0.25">
      <c r="A622" s="5">
        <v>43971</v>
      </c>
      <c r="B622">
        <v>3.192E-3</v>
      </c>
      <c r="C622">
        <v>3.2179999999999999E-3</v>
      </c>
      <c r="D622">
        <v>2.9429999999999999E-3</v>
      </c>
      <c r="E622">
        <v>3.0079999999999998E-3</v>
      </c>
      <c r="F622">
        <v>84426732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-0.52727272727272778</v>
      </c>
      <c r="Q622">
        <f t="shared" si="990"/>
        <v>-44515913.236363679</v>
      </c>
      <c r="R622">
        <f t="shared" si="991"/>
        <v>-1397436223.4944768</v>
      </c>
      <c r="S622">
        <f t="shared" si="992"/>
        <v>-13974.362234944769</v>
      </c>
      <c r="T622">
        <f t="shared" si="993"/>
        <v>-13.974362234944769</v>
      </c>
    </row>
    <row r="623" spans="1:20" x14ac:dyDescent="0.25">
      <c r="A623" s="5">
        <v>43970</v>
      </c>
      <c r="B623">
        <v>2.826E-3</v>
      </c>
      <c r="C623">
        <v>3.2139999999999998E-3</v>
      </c>
      <c r="D623">
        <v>2.7659999999999998E-3</v>
      </c>
      <c r="E623">
        <v>3.1930000000000001E-3</v>
      </c>
      <c r="F623">
        <v>126472166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0.90625000000000111</v>
      </c>
      <c r="Q623">
        <f t="shared" si="990"/>
        <v>114615400.43750013</v>
      </c>
      <c r="R623">
        <f t="shared" si="991"/>
        <v>-1352920310.2581131</v>
      </c>
      <c r="S623">
        <f t="shared" si="992"/>
        <v>-13529.203102581132</v>
      </c>
      <c r="T623">
        <f t="shared" si="993"/>
        <v>-13.529203102581132</v>
      </c>
    </row>
    <row r="624" spans="1:20" x14ac:dyDescent="0.25">
      <c r="A624" s="5">
        <v>43969</v>
      </c>
      <c r="B624">
        <v>2.8739999999999998E-3</v>
      </c>
      <c r="C624">
        <v>2.928E-3</v>
      </c>
      <c r="D624">
        <v>2.66E-3</v>
      </c>
      <c r="E624">
        <v>2.8140000000000001E-3</v>
      </c>
      <c r="F624">
        <v>98474738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0.14925373134328396</v>
      </c>
      <c r="Q624">
        <f t="shared" si="990"/>
        <v>14697722.089552276</v>
      </c>
      <c r="R624">
        <f t="shared" si="991"/>
        <v>-1467535710.6956134</v>
      </c>
      <c r="S624">
        <f t="shared" si="992"/>
        <v>-14675.357106956133</v>
      </c>
      <c r="T624">
        <f t="shared" si="993"/>
        <v>-14.675357106956133</v>
      </c>
    </row>
    <row r="625" spans="1:20" x14ac:dyDescent="0.25">
      <c r="A625" s="5">
        <v>43968</v>
      </c>
      <c r="B625">
        <v>2.9039999999999999E-3</v>
      </c>
      <c r="C625">
        <v>2.9520000000000002E-3</v>
      </c>
      <c r="D625">
        <v>2.8639999999999998E-3</v>
      </c>
      <c r="E625">
        <v>2.8639999999999998E-3</v>
      </c>
      <c r="F625">
        <v>36789242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-1</v>
      </c>
      <c r="Q625">
        <f t="shared" si="990"/>
        <v>-36789242</v>
      </c>
      <c r="R625">
        <f t="shared" si="991"/>
        <v>-1482233432.7851655</v>
      </c>
      <c r="S625">
        <f t="shared" si="992"/>
        <v>-14822.334327851655</v>
      </c>
      <c r="T625">
        <f t="shared" si="993"/>
        <v>-14.822334327851655</v>
      </c>
    </row>
    <row r="626" spans="1:20" x14ac:dyDescent="0.25">
      <c r="A626" s="5">
        <v>43967</v>
      </c>
      <c r="B626">
        <v>2.7060000000000001E-3</v>
      </c>
      <c r="C626">
        <v>2.9390000000000002E-3</v>
      </c>
      <c r="D626">
        <v>2.686E-3</v>
      </c>
      <c r="E626">
        <v>2.9069999999999999E-3</v>
      </c>
      <c r="F626">
        <v>53132953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0.74703557312252711</v>
      </c>
      <c r="Q626">
        <f t="shared" si="990"/>
        <v>39692205.996047296</v>
      </c>
      <c r="R626">
        <f t="shared" si="991"/>
        <v>-1445444190.7851655</v>
      </c>
      <c r="S626">
        <f t="shared" si="992"/>
        <v>-14454.441907851655</v>
      </c>
      <c r="T626">
        <f t="shared" si="993"/>
        <v>-14.454441907851654</v>
      </c>
    </row>
    <row r="627" spans="1:20" x14ac:dyDescent="0.25">
      <c r="A627" s="5">
        <v>43966</v>
      </c>
      <c r="B627">
        <v>2.8029999999999999E-3</v>
      </c>
      <c r="C627">
        <v>2.8419999999999999E-3</v>
      </c>
      <c r="D627">
        <v>2.6519999999999998E-3</v>
      </c>
      <c r="E627">
        <v>2.7060000000000001E-3</v>
      </c>
      <c r="F627">
        <v>52207525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-0.43157894736841884</v>
      </c>
      <c r="Q627">
        <f t="shared" si="990"/>
        <v>-22531668.684210412</v>
      </c>
      <c r="R627">
        <f t="shared" si="991"/>
        <v>-1485136396.7812128</v>
      </c>
      <c r="S627">
        <f t="shared" si="992"/>
        <v>-14851.363967812129</v>
      </c>
      <c r="T627">
        <f t="shared" si="993"/>
        <v>-14.851363967812128</v>
      </c>
    </row>
    <row r="628" spans="1:20" x14ac:dyDescent="0.25">
      <c r="A628" s="5">
        <v>43965</v>
      </c>
      <c r="B628">
        <v>2.7000000000000001E-3</v>
      </c>
      <c r="C628">
        <v>2.843E-3</v>
      </c>
      <c r="D628">
        <v>2.6840000000000002E-3</v>
      </c>
      <c r="E628">
        <v>2.8010000000000001E-3</v>
      </c>
      <c r="F628">
        <v>55020362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0.47169811320754745</v>
      </c>
      <c r="Q628">
        <f t="shared" si="990"/>
        <v>25953000.94339624</v>
      </c>
      <c r="R628">
        <f t="shared" si="991"/>
        <v>-1462604728.0970025</v>
      </c>
      <c r="S628">
        <f t="shared" si="992"/>
        <v>-14626.047280970026</v>
      </c>
      <c r="T628">
        <f t="shared" si="993"/>
        <v>-14.626047280970026</v>
      </c>
    </row>
    <row r="629" spans="1:20" x14ac:dyDescent="0.25">
      <c r="A629" s="5">
        <v>43964</v>
      </c>
      <c r="B629">
        <v>2.594E-3</v>
      </c>
      <c r="C629">
        <v>2.7009999999999998E-3</v>
      </c>
      <c r="D629">
        <v>2.5799999999999998E-3</v>
      </c>
      <c r="E629">
        <v>2.7000000000000001E-3</v>
      </c>
      <c r="F629">
        <v>30780560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0.98347107438017023</v>
      </c>
      <c r="Q629">
        <f t="shared" si="990"/>
        <v>30271790.413223293</v>
      </c>
      <c r="R629">
        <f t="shared" si="991"/>
        <v>-1488557729.0403988</v>
      </c>
      <c r="S629">
        <f t="shared" si="992"/>
        <v>-14885.577290403988</v>
      </c>
      <c r="T629">
        <f t="shared" si="993"/>
        <v>-14.885577290403988</v>
      </c>
    </row>
    <row r="630" spans="1:20" x14ac:dyDescent="0.25">
      <c r="A630" s="5">
        <v>43963</v>
      </c>
      <c r="B630">
        <v>2.4650000000000002E-3</v>
      </c>
      <c r="C630">
        <v>2.7009999999999998E-3</v>
      </c>
      <c r="D630">
        <v>2.4499999999999999E-3</v>
      </c>
      <c r="E630">
        <v>2.594E-3</v>
      </c>
      <c r="F630">
        <v>70592165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0.14741035856573767</v>
      </c>
      <c r="Q630">
        <f t="shared" si="990"/>
        <v>10406016.354581717</v>
      </c>
      <c r="R630">
        <f t="shared" si="991"/>
        <v>-1518829519.4536221</v>
      </c>
      <c r="S630">
        <f t="shared" si="992"/>
        <v>-15188.29519453622</v>
      </c>
      <c r="T630">
        <f t="shared" si="993"/>
        <v>-15.18829519453622</v>
      </c>
    </row>
    <row r="631" spans="1:20" x14ac:dyDescent="0.25">
      <c r="A631" s="5">
        <v>43962</v>
      </c>
      <c r="B631">
        <v>2.5040000000000001E-3</v>
      </c>
      <c r="C631">
        <v>2.6029999999999998E-3</v>
      </c>
      <c r="D631">
        <v>2.3040000000000001E-3</v>
      </c>
      <c r="E631">
        <v>2.4659999999999999E-3</v>
      </c>
      <c r="F631">
        <v>92463061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8.361204013377882E-2</v>
      </c>
      <c r="Q631">
        <f t="shared" si="990"/>
        <v>7731025.1672240393</v>
      </c>
      <c r="R631">
        <f t="shared" si="991"/>
        <v>-1529235535.8082039</v>
      </c>
      <c r="S631">
        <f t="shared" si="992"/>
        <v>-15292.355358082039</v>
      </c>
      <c r="T631">
        <f t="shared" si="993"/>
        <v>-15.292355358082039</v>
      </c>
    </row>
    <row r="632" spans="1:20" x14ac:dyDescent="0.25">
      <c r="A632" s="5">
        <v>43961</v>
      </c>
      <c r="B632">
        <v>2.7550000000000001E-3</v>
      </c>
      <c r="C632">
        <v>2.7620000000000001E-3</v>
      </c>
      <c r="D632">
        <v>2.287E-3</v>
      </c>
      <c r="E632">
        <v>2.5010000000000002E-3</v>
      </c>
      <c r="F632">
        <v>88981687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-9.8947368421052034E-2</v>
      </c>
      <c r="Q632">
        <f t="shared" si="990"/>
        <v>-8804503.7663157359</v>
      </c>
      <c r="R632">
        <f t="shared" si="991"/>
        <v>-1536966560.9754279</v>
      </c>
      <c r="S632">
        <f t="shared" si="992"/>
        <v>-15369.665609754278</v>
      </c>
      <c r="T632">
        <f t="shared" si="993"/>
        <v>-15.369665609754279</v>
      </c>
    </row>
    <row r="633" spans="1:20" x14ac:dyDescent="0.25">
      <c r="A633" s="5">
        <v>43960</v>
      </c>
      <c r="B633">
        <v>2.6870000000000002E-3</v>
      </c>
      <c r="C633">
        <v>2.8400000000000001E-3</v>
      </c>
      <c r="D633">
        <v>2.6610000000000002E-3</v>
      </c>
      <c r="E633">
        <v>2.7550000000000001E-3</v>
      </c>
      <c r="F633">
        <v>47354566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5.0279329608937981E-2</v>
      </c>
      <c r="Q633">
        <f t="shared" si="990"/>
        <v>2380955.8324022079</v>
      </c>
      <c r="R633">
        <f t="shared" si="991"/>
        <v>-1528162057.2091122</v>
      </c>
      <c r="S633">
        <f t="shared" si="992"/>
        <v>-15281.620572091122</v>
      </c>
      <c r="T633">
        <f t="shared" si="993"/>
        <v>-15.281620572091121</v>
      </c>
    </row>
    <row r="634" spans="1:20" x14ac:dyDescent="0.25">
      <c r="A634" s="5">
        <v>43959</v>
      </c>
      <c r="B634">
        <v>2.65E-3</v>
      </c>
      <c r="C634">
        <v>2.7100000000000002E-3</v>
      </c>
      <c r="D634">
        <v>2.594E-3</v>
      </c>
      <c r="E634">
        <v>2.6749999999999999E-3</v>
      </c>
      <c r="F634">
        <v>44704835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0.39655172413792683</v>
      </c>
      <c r="Q634">
        <f t="shared" si="990"/>
        <v>17727779.396551535</v>
      </c>
      <c r="R634">
        <f t="shared" si="991"/>
        <v>-1530543013.0415144</v>
      </c>
      <c r="S634">
        <f t="shared" si="992"/>
        <v>-15305.430130415143</v>
      </c>
      <c r="T634">
        <f t="shared" si="993"/>
        <v>-15.305430130415143</v>
      </c>
    </row>
    <row r="635" spans="1:20" x14ac:dyDescent="0.25">
      <c r="A635" s="5">
        <v>43958</v>
      </c>
      <c r="B635">
        <v>2.6380000000000002E-3</v>
      </c>
      <c r="C635">
        <v>2.6809999999999998E-3</v>
      </c>
      <c r="D635">
        <v>2.5739999999999999E-3</v>
      </c>
      <c r="E635">
        <v>2.6570000000000001E-3</v>
      </c>
      <c r="F635">
        <v>56071271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0.55140186915888334</v>
      </c>
      <c r="Q635">
        <f t="shared" si="990"/>
        <v>30917803.635514289</v>
      </c>
      <c r="R635">
        <f t="shared" si="991"/>
        <v>-1548270792.438066</v>
      </c>
      <c r="S635">
        <f t="shared" si="992"/>
        <v>-15482.70792438066</v>
      </c>
      <c r="T635">
        <f t="shared" si="993"/>
        <v>-15.48270792438066</v>
      </c>
    </row>
    <row r="636" spans="1:20" x14ac:dyDescent="0.25">
      <c r="A636" s="5">
        <v>43957</v>
      </c>
      <c r="B636">
        <v>2.6519999999999998E-3</v>
      </c>
      <c r="C636">
        <v>2.7550000000000001E-3</v>
      </c>
      <c r="D636">
        <v>2.6350000000000002E-3</v>
      </c>
      <c r="E636">
        <v>2.6359999999999999E-3</v>
      </c>
      <c r="F636">
        <v>40226269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-0.98333333333333828</v>
      </c>
      <c r="Q636">
        <f t="shared" si="990"/>
        <v>-39555831.183333531</v>
      </c>
      <c r="R636">
        <f t="shared" si="991"/>
        <v>-1579188596.0735803</v>
      </c>
      <c r="S636">
        <f t="shared" si="992"/>
        <v>-15791.885960735803</v>
      </c>
      <c r="T636">
        <f t="shared" si="993"/>
        <v>-15.791885960735803</v>
      </c>
    </row>
    <row r="637" spans="1:20" x14ac:dyDescent="0.25">
      <c r="A637" s="5">
        <v>43956</v>
      </c>
      <c r="B637">
        <v>2.4880000000000002E-3</v>
      </c>
      <c r="C637">
        <v>2.6800000000000001E-3</v>
      </c>
      <c r="D637">
        <v>2.4859999999999999E-3</v>
      </c>
      <c r="E637">
        <v>2.653E-3</v>
      </c>
      <c r="F637">
        <v>57881942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0.72164948453608158</v>
      </c>
      <c r="Q637">
        <f t="shared" si="990"/>
        <v>41770473.60824737</v>
      </c>
      <c r="R637">
        <f t="shared" si="991"/>
        <v>-1539632764.8902466</v>
      </c>
      <c r="S637">
        <f t="shared" si="992"/>
        <v>-15396.327648902467</v>
      </c>
      <c r="T637">
        <f t="shared" si="993"/>
        <v>-15.396327648902467</v>
      </c>
    </row>
    <row r="638" spans="1:20" x14ac:dyDescent="0.25">
      <c r="A638" s="5">
        <v>43955</v>
      </c>
      <c r="B638">
        <v>2.5929999999999998E-3</v>
      </c>
      <c r="C638">
        <v>2.6059999999999998E-3</v>
      </c>
      <c r="D638">
        <v>2.369E-3</v>
      </c>
      <c r="E638">
        <v>2.4880000000000002E-3</v>
      </c>
      <c r="F638">
        <v>64343698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4.2194092827028155E-3</v>
      </c>
      <c r="Q638">
        <f t="shared" si="990"/>
        <v>271492.39662462659</v>
      </c>
      <c r="R638">
        <f t="shared" si="991"/>
        <v>-1581403238.4984939</v>
      </c>
      <c r="S638">
        <f t="shared" si="992"/>
        <v>-15814.032384984939</v>
      </c>
      <c r="T638">
        <f t="shared" si="993"/>
        <v>-15.814032384984939</v>
      </c>
    </row>
    <row r="639" spans="1:20" x14ac:dyDescent="0.25">
      <c r="A639" s="5">
        <v>43954</v>
      </c>
      <c r="B639">
        <v>2.6719999999999999E-3</v>
      </c>
      <c r="C639">
        <v>2.7539999999999999E-3</v>
      </c>
      <c r="D639">
        <v>2.5349999999999999E-3</v>
      </c>
      <c r="E639">
        <v>2.594E-3</v>
      </c>
      <c r="F639">
        <v>52797938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-0.46118721461187195</v>
      </c>
      <c r="Q639">
        <f t="shared" si="990"/>
        <v>-24349733.96347031</v>
      </c>
      <c r="R639">
        <f t="shared" si="991"/>
        <v>-1581674730.8951185</v>
      </c>
      <c r="S639">
        <f t="shared" si="992"/>
        <v>-15816.747308951184</v>
      </c>
      <c r="T639">
        <f t="shared" si="993"/>
        <v>-15.816747308951184</v>
      </c>
    </row>
    <row r="640" spans="1:20" x14ac:dyDescent="0.25">
      <c r="A640" s="5">
        <v>43953</v>
      </c>
      <c r="B640">
        <v>2.598E-3</v>
      </c>
      <c r="C640">
        <v>2.7049999999999999E-3</v>
      </c>
      <c r="D640">
        <v>2.5760000000000002E-3</v>
      </c>
      <c r="E640">
        <v>2.6719999999999999E-3</v>
      </c>
      <c r="F640">
        <v>40687814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0.48837209302325424</v>
      </c>
      <c r="Q640">
        <f t="shared" si="990"/>
        <v>19870792.883720867</v>
      </c>
      <c r="R640">
        <f t="shared" si="991"/>
        <v>-1557324996.9316483</v>
      </c>
      <c r="S640">
        <f t="shared" si="992"/>
        <v>-15573.249969316483</v>
      </c>
      <c r="T640">
        <f t="shared" si="993"/>
        <v>-15.573249969316482</v>
      </c>
    </row>
    <row r="641" spans="1:20" x14ac:dyDescent="0.25">
      <c r="A641" s="5">
        <v>43952</v>
      </c>
      <c r="B641">
        <v>2.5730000000000002E-3</v>
      </c>
      <c r="C641">
        <v>2.64E-3</v>
      </c>
      <c r="D641">
        <v>2.5639999999999999E-3</v>
      </c>
      <c r="E641">
        <v>2.598E-3</v>
      </c>
      <c r="F641">
        <v>29459487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-0.10526315789473353</v>
      </c>
      <c r="Q641">
        <f t="shared" si="990"/>
        <v>-3100998.6315788501</v>
      </c>
      <c r="R641">
        <f t="shared" si="991"/>
        <v>-1577195789.8153691</v>
      </c>
      <c r="S641">
        <f t="shared" si="992"/>
        <v>-15771.957898153691</v>
      </c>
      <c r="T641">
        <f t="shared" si="993"/>
        <v>-15.771957898153691</v>
      </c>
    </row>
    <row r="642" spans="1:20" x14ac:dyDescent="0.25">
      <c r="A642" s="5">
        <v>43951</v>
      </c>
      <c r="B642">
        <v>2.6540000000000001E-3</v>
      </c>
      <c r="C642">
        <v>2.7889999999999998E-3</v>
      </c>
      <c r="D642">
        <v>2.5110000000000002E-3</v>
      </c>
      <c r="E642">
        <v>2.562E-3</v>
      </c>
      <c r="F642">
        <v>69254259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-0.63309352517985684</v>
      </c>
      <c r="Q642">
        <f t="shared" si="990"/>
        <v>-43844422.964028828</v>
      </c>
      <c r="R642">
        <f t="shared" si="991"/>
        <v>-1574094791.1837902</v>
      </c>
      <c r="S642">
        <f t="shared" si="992"/>
        <v>-15740.947911837902</v>
      </c>
      <c r="T642">
        <f t="shared" si="993"/>
        <v>-15.740947911837901</v>
      </c>
    </row>
    <row r="643" spans="1:20" x14ac:dyDescent="0.25">
      <c r="A643" s="5">
        <v>43950</v>
      </c>
      <c r="B643">
        <v>2.6150000000000001E-3</v>
      </c>
      <c r="C643">
        <v>2.712E-3</v>
      </c>
      <c r="D643">
        <v>2.395E-3</v>
      </c>
      <c r="E643">
        <v>2.6549999999999998E-3</v>
      </c>
      <c r="F643">
        <v>112503761</v>
      </c>
      <c r="G643">
        <v>0</v>
      </c>
      <c r="L643" t="s">
        <v>7</v>
      </c>
      <c r="M643" t="s">
        <v>8</v>
      </c>
      <c r="N643" t="s">
        <v>8</v>
      </c>
      <c r="P643">
        <f t="shared" si="989"/>
        <v>0.64037854889589785</v>
      </c>
      <c r="Q643">
        <f t="shared" si="990"/>
        <v>72044995.214510903</v>
      </c>
      <c r="R643">
        <f t="shared" si="991"/>
        <v>-1530250368.2197614</v>
      </c>
      <c r="S643">
        <f t="shared" si="992"/>
        <v>-15302.503682197614</v>
      </c>
      <c r="T643">
        <f t="shared" si="993"/>
        <v>-15.302503682197614</v>
      </c>
    </row>
    <row r="644" spans="1:20" x14ac:dyDescent="0.25">
      <c r="A644" s="5">
        <v>43949</v>
      </c>
      <c r="B644">
        <v>2.7169999999999998E-3</v>
      </c>
      <c r="C644">
        <v>2.7169999999999998E-3</v>
      </c>
      <c r="D644">
        <v>2.601E-3</v>
      </c>
      <c r="E644">
        <v>2.6150000000000001E-3</v>
      </c>
      <c r="F644">
        <v>27668012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-0.75862068965516982</v>
      </c>
      <c r="Q644">
        <f t="shared" si="990"/>
        <v>-20989526.344827514</v>
      </c>
      <c r="R644">
        <f t="shared" si="991"/>
        <v>-1602295363.4342723</v>
      </c>
      <c r="S644">
        <f t="shared" si="992"/>
        <v>-16022.953634342723</v>
      </c>
      <c r="T644">
        <f t="shared" si="993"/>
        <v>-16.022953634342723</v>
      </c>
    </row>
    <row r="645" spans="1:20" x14ac:dyDescent="0.25">
      <c r="A645" s="5">
        <v>43948</v>
      </c>
      <c r="B645">
        <v>2.6020000000000001E-3</v>
      </c>
      <c r="C645">
        <v>2.8180000000000002E-3</v>
      </c>
      <c r="D645">
        <v>2.5990000000000002E-3</v>
      </c>
      <c r="E645">
        <v>2.7169999999999998E-3</v>
      </c>
      <c r="F645">
        <v>63346153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7.7625570776252151E-2</v>
      </c>
      <c r="Q645">
        <f t="shared" si="990"/>
        <v>4917281.2831047978</v>
      </c>
      <c r="R645">
        <f t="shared" si="991"/>
        <v>-1581305837.0894449</v>
      </c>
      <c r="S645">
        <f t="shared" si="992"/>
        <v>-15813.058370894449</v>
      </c>
      <c r="T645">
        <f t="shared" si="993"/>
        <v>-15.813058370894449</v>
      </c>
    </row>
    <row r="646" spans="1:20" x14ac:dyDescent="0.25">
      <c r="A646" s="5">
        <v>43947</v>
      </c>
      <c r="B646">
        <v>2.5270000000000002E-3</v>
      </c>
      <c r="C646">
        <v>2.6350000000000002E-3</v>
      </c>
      <c r="D646">
        <v>2.5010000000000002E-3</v>
      </c>
      <c r="E646">
        <v>2.6029999999999998E-3</v>
      </c>
      <c r="F646">
        <v>35266923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4">IF(C646=D646,0,((E646-D646)-(C646-E646))/(C646-D646))</f>
        <v>0.52238805970148738</v>
      </c>
      <c r="Q646">
        <f t="shared" ref="Q646:Q709" si="995">F646*P646</f>
        <v>18423019.477611758</v>
      </c>
      <c r="R646">
        <f t="shared" ref="R646:R709" si="996">R647+Q646</f>
        <v>-1586223118.3725498</v>
      </c>
      <c r="S646">
        <f t="shared" ref="S646:S709" si="997">R646/100000</f>
        <v>-15862.231183725498</v>
      </c>
      <c r="T646">
        <f t="shared" ref="T646:T709" si="998">S646/1000</f>
        <v>-15.862231183725498</v>
      </c>
    </row>
    <row r="647" spans="1:20" x14ac:dyDescent="0.25">
      <c r="A647" s="5">
        <v>43946</v>
      </c>
      <c r="B647">
        <v>2.4910000000000002E-3</v>
      </c>
      <c r="C647">
        <v>2.565E-3</v>
      </c>
      <c r="D647">
        <v>2.4759999999999999E-3</v>
      </c>
      <c r="E647">
        <v>2.5170000000000001E-3</v>
      </c>
      <c r="F647">
        <v>20976219</v>
      </c>
      <c r="G647">
        <v>0</v>
      </c>
      <c r="L647" t="s">
        <v>7</v>
      </c>
      <c r="M647" t="s">
        <v>7</v>
      </c>
      <c r="N647" t="s">
        <v>8</v>
      </c>
      <c r="P647">
        <f t="shared" si="994"/>
        <v>-7.865168539325415E-2</v>
      </c>
      <c r="Q647">
        <f t="shared" si="995"/>
        <v>-1649814.9775280003</v>
      </c>
      <c r="R647">
        <f t="shared" si="996"/>
        <v>-1604646137.8501616</v>
      </c>
      <c r="S647">
        <f t="shared" si="997"/>
        <v>-16046.461378501615</v>
      </c>
      <c r="T647">
        <f t="shared" si="998"/>
        <v>-16.046461378501615</v>
      </c>
    </row>
    <row r="648" spans="1:20" x14ac:dyDescent="0.25">
      <c r="A648" s="5">
        <v>43945</v>
      </c>
      <c r="B648">
        <v>2.4250000000000001E-3</v>
      </c>
      <c r="C648">
        <v>2.5110000000000002E-3</v>
      </c>
      <c r="D648">
        <v>2.4099999999999998E-3</v>
      </c>
      <c r="E648">
        <v>2.49E-3</v>
      </c>
      <c r="F648">
        <v>33625049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0.58415841584158212</v>
      </c>
      <c r="Q648">
        <f t="shared" si="995"/>
        <v>19642355.356435575</v>
      </c>
      <c r="R648">
        <f t="shared" si="996"/>
        <v>-1602996322.8726335</v>
      </c>
      <c r="S648">
        <f t="shared" si="997"/>
        <v>-16029.963228726334</v>
      </c>
      <c r="T648">
        <f t="shared" si="998"/>
        <v>-16.029963228726334</v>
      </c>
    </row>
    <row r="649" spans="1:20" x14ac:dyDescent="0.25">
      <c r="A649" s="5">
        <v>43944</v>
      </c>
      <c r="B649">
        <v>2.3930000000000002E-3</v>
      </c>
      <c r="C649">
        <v>2.5890000000000002E-3</v>
      </c>
      <c r="D649">
        <v>2.3349999999999998E-3</v>
      </c>
      <c r="E649">
        <v>2.4229999999999998E-3</v>
      </c>
      <c r="F649">
        <v>38246182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-0.30708661417322947</v>
      </c>
      <c r="Q649">
        <f t="shared" si="995"/>
        <v>-11744890.535433114</v>
      </c>
      <c r="R649">
        <f t="shared" si="996"/>
        <v>-1622638678.229069</v>
      </c>
      <c r="S649">
        <f t="shared" si="997"/>
        <v>-16226.38678229069</v>
      </c>
      <c r="T649">
        <f t="shared" si="998"/>
        <v>-16.226386782290689</v>
      </c>
    </row>
    <row r="650" spans="1:20" x14ac:dyDescent="0.25">
      <c r="A650" s="5">
        <v>43943</v>
      </c>
      <c r="B650">
        <v>2.2989999999999998E-3</v>
      </c>
      <c r="C650">
        <v>2.4489999999999998E-3</v>
      </c>
      <c r="D650">
        <v>2.274E-3</v>
      </c>
      <c r="E650">
        <v>2.3939999999999999E-3</v>
      </c>
      <c r="F650">
        <v>55090461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0.37142857142857155</v>
      </c>
      <c r="Q650">
        <f t="shared" si="995"/>
        <v>20462171.228571434</v>
      </c>
      <c r="R650">
        <f t="shared" si="996"/>
        <v>-1610893787.6936359</v>
      </c>
      <c r="S650">
        <f t="shared" si="997"/>
        <v>-16108.937876936359</v>
      </c>
      <c r="T650">
        <f t="shared" si="998"/>
        <v>-16.108937876936359</v>
      </c>
    </row>
    <row r="651" spans="1:20" x14ac:dyDescent="0.25">
      <c r="A651" s="5">
        <v>43942</v>
      </c>
      <c r="B651">
        <v>2.359E-3</v>
      </c>
      <c r="C651">
        <v>2.3890000000000001E-3</v>
      </c>
      <c r="D651">
        <v>2.2529999999999998E-3</v>
      </c>
      <c r="E651">
        <v>2.2959999999999999E-3</v>
      </c>
      <c r="F651">
        <v>39393197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-0.36764705882352966</v>
      </c>
      <c r="Q651">
        <f t="shared" si="995"/>
        <v>-14482793.014705893</v>
      </c>
      <c r="R651">
        <f t="shared" si="996"/>
        <v>-1631355958.9222074</v>
      </c>
      <c r="S651">
        <f t="shared" si="997"/>
        <v>-16313.559589222074</v>
      </c>
      <c r="T651">
        <f t="shared" si="998"/>
        <v>-16.313559589222073</v>
      </c>
    </row>
    <row r="652" spans="1:20" x14ac:dyDescent="0.25">
      <c r="A652" s="5">
        <v>43941</v>
      </c>
      <c r="B652">
        <v>2.4659999999999999E-3</v>
      </c>
      <c r="C652">
        <v>2.529E-3</v>
      </c>
      <c r="D652">
        <v>2.3410000000000002E-3</v>
      </c>
      <c r="E652">
        <v>2.3600000000000001E-3</v>
      </c>
      <c r="F652">
        <v>31500213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-0.79787234042553257</v>
      </c>
      <c r="Q652">
        <f t="shared" si="995"/>
        <v>-25133148.670212787</v>
      </c>
      <c r="R652">
        <f t="shared" si="996"/>
        <v>-1616873165.9075015</v>
      </c>
      <c r="S652">
        <f t="shared" si="997"/>
        <v>-16168.731659075014</v>
      </c>
      <c r="T652">
        <f t="shared" si="998"/>
        <v>-16.168731659075014</v>
      </c>
    </row>
    <row r="653" spans="1:20" x14ac:dyDescent="0.25">
      <c r="A653" s="5">
        <v>43940</v>
      </c>
      <c r="B653">
        <v>2.5209999999999998E-3</v>
      </c>
      <c r="C653">
        <v>2.539E-3</v>
      </c>
      <c r="D653">
        <v>2.4269999999999999E-3</v>
      </c>
      <c r="E653">
        <v>2.467E-3</v>
      </c>
      <c r="F653">
        <v>31516762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-0.28571428571428459</v>
      </c>
      <c r="Q653">
        <f t="shared" si="995"/>
        <v>-9004789.1428571083</v>
      </c>
      <c r="R653">
        <f t="shared" si="996"/>
        <v>-1591740017.2372887</v>
      </c>
      <c r="S653">
        <f t="shared" si="997"/>
        <v>-15917.400172372887</v>
      </c>
      <c r="T653">
        <f t="shared" si="998"/>
        <v>-15.917400172372886</v>
      </c>
    </row>
    <row r="654" spans="1:20" x14ac:dyDescent="0.25">
      <c r="A654" s="5">
        <v>43939</v>
      </c>
      <c r="B654">
        <v>2.3930000000000002E-3</v>
      </c>
      <c r="C654">
        <v>2.5490000000000001E-3</v>
      </c>
      <c r="D654">
        <v>2.366E-3</v>
      </c>
      <c r="E654">
        <v>2.5140000000000002E-3</v>
      </c>
      <c r="F654">
        <v>67643469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0.61748633879781556</v>
      </c>
      <c r="Q654">
        <f t="shared" si="995"/>
        <v>41768918.016393535</v>
      </c>
      <c r="R654">
        <f t="shared" si="996"/>
        <v>-1582735228.0944316</v>
      </c>
      <c r="S654">
        <f t="shared" si="997"/>
        <v>-15827.352280944317</v>
      </c>
      <c r="T654">
        <f t="shared" si="998"/>
        <v>-15.827352280944316</v>
      </c>
    </row>
    <row r="655" spans="1:20" x14ac:dyDescent="0.25">
      <c r="A655" s="5">
        <v>43938</v>
      </c>
      <c r="B655">
        <v>2.4680000000000001E-3</v>
      </c>
      <c r="C655">
        <v>2.4680000000000001E-3</v>
      </c>
      <c r="D655">
        <v>2.3419999999999999E-3</v>
      </c>
      <c r="E655">
        <v>2.385E-3</v>
      </c>
      <c r="F655">
        <v>36344403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-0.31746031746031766</v>
      </c>
      <c r="Q655">
        <f t="shared" si="995"/>
        <v>-11537905.714285722</v>
      </c>
      <c r="R655">
        <f t="shared" si="996"/>
        <v>-1624504146.1108251</v>
      </c>
      <c r="S655">
        <f t="shared" si="997"/>
        <v>-16245.041461108251</v>
      </c>
      <c r="T655">
        <f t="shared" si="998"/>
        <v>-16.245041461108251</v>
      </c>
    </row>
    <row r="656" spans="1:20" x14ac:dyDescent="0.25">
      <c r="A656" s="5">
        <v>43937</v>
      </c>
      <c r="B656">
        <v>2.294E-3</v>
      </c>
      <c r="C656">
        <v>2.4719999999999998E-3</v>
      </c>
      <c r="D656">
        <v>2.2590000000000002E-3</v>
      </c>
      <c r="E656">
        <v>2.4650000000000002E-3</v>
      </c>
      <c r="F656">
        <v>34682612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0.93427230046948695</v>
      </c>
      <c r="Q656">
        <f t="shared" si="995"/>
        <v>32403003.699530635</v>
      </c>
      <c r="R656">
        <f t="shared" si="996"/>
        <v>-1612966240.3965394</v>
      </c>
      <c r="S656">
        <f t="shared" si="997"/>
        <v>-16129.662403965394</v>
      </c>
      <c r="T656">
        <f t="shared" si="998"/>
        <v>-16.129662403965394</v>
      </c>
    </row>
    <row r="657" spans="1:20" x14ac:dyDescent="0.25">
      <c r="A657" s="5">
        <v>43936</v>
      </c>
      <c r="B657">
        <v>2.4239999999999999E-3</v>
      </c>
      <c r="C657">
        <v>2.4239999999999999E-3</v>
      </c>
      <c r="D657">
        <v>2.2929999999999999E-3</v>
      </c>
      <c r="E657">
        <v>2.294E-3</v>
      </c>
      <c r="F657">
        <v>23123385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-0.98473282442747889</v>
      </c>
      <c r="Q657">
        <f t="shared" si="995"/>
        <v>-22770356.221373998</v>
      </c>
      <c r="R657">
        <f t="shared" si="996"/>
        <v>-1645369244.0960701</v>
      </c>
      <c r="S657">
        <f t="shared" si="997"/>
        <v>-16453.692440960702</v>
      </c>
      <c r="T657">
        <f t="shared" si="998"/>
        <v>-16.453692440960701</v>
      </c>
    </row>
    <row r="658" spans="1:20" x14ac:dyDescent="0.25">
      <c r="A658" s="5">
        <v>43935</v>
      </c>
      <c r="B658">
        <v>2.3879999999999999E-3</v>
      </c>
      <c r="C658">
        <v>2.4380000000000001E-3</v>
      </c>
      <c r="D658">
        <v>2.3609999999999998E-3</v>
      </c>
      <c r="E658">
        <v>2.4169999999999999E-3</v>
      </c>
      <c r="F658">
        <v>28435304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0.45454545454545148</v>
      </c>
      <c r="Q658">
        <f t="shared" si="995"/>
        <v>12925138.181818094</v>
      </c>
      <c r="R658">
        <f t="shared" si="996"/>
        <v>-1622598887.874696</v>
      </c>
      <c r="S658">
        <f t="shared" si="997"/>
        <v>-16225.988878746961</v>
      </c>
      <c r="T658">
        <f t="shared" si="998"/>
        <v>-16.225988878746961</v>
      </c>
    </row>
    <row r="659" spans="1:20" x14ac:dyDescent="0.25">
      <c r="A659" s="5">
        <v>43934</v>
      </c>
      <c r="B659">
        <v>2.4880000000000002E-3</v>
      </c>
      <c r="C659">
        <v>2.5019999999999999E-3</v>
      </c>
      <c r="D659">
        <v>2.333E-3</v>
      </c>
      <c r="E659">
        <v>2.3860000000000001E-3</v>
      </c>
      <c r="F659">
        <v>33537118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-0.3727810650887558</v>
      </c>
      <c r="Q659">
        <f t="shared" si="995"/>
        <v>-12502002.568047283</v>
      </c>
      <c r="R659">
        <f t="shared" si="996"/>
        <v>-1635524026.056514</v>
      </c>
      <c r="S659">
        <f t="shared" si="997"/>
        <v>-16355.24026056514</v>
      </c>
      <c r="T659">
        <f t="shared" si="998"/>
        <v>-16.355240260565139</v>
      </c>
    </row>
    <row r="660" spans="1:20" x14ac:dyDescent="0.25">
      <c r="A660" s="5">
        <v>43933</v>
      </c>
      <c r="B660">
        <v>2.3519999999999999E-3</v>
      </c>
      <c r="C660">
        <v>2.594E-3</v>
      </c>
      <c r="D660">
        <v>2.3080000000000002E-3</v>
      </c>
      <c r="E660">
        <v>2.4889999999999999E-3</v>
      </c>
      <c r="F660">
        <v>37829793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0.26573426573426479</v>
      </c>
      <c r="Q660">
        <f t="shared" si="995"/>
        <v>10052672.265734229</v>
      </c>
      <c r="R660">
        <f t="shared" si="996"/>
        <v>-1623022023.4884667</v>
      </c>
      <c r="S660">
        <f t="shared" si="997"/>
        <v>-16230.220234884668</v>
      </c>
      <c r="T660">
        <f t="shared" si="998"/>
        <v>-16.230220234884669</v>
      </c>
    </row>
    <row r="661" spans="1:20" x14ac:dyDescent="0.25">
      <c r="A661" s="5">
        <v>43932</v>
      </c>
      <c r="B661">
        <v>2.3839999999999998E-3</v>
      </c>
      <c r="C661">
        <v>2.4160000000000002E-3</v>
      </c>
      <c r="D661">
        <v>2.3419999999999999E-3</v>
      </c>
      <c r="E661">
        <v>2.3519999999999999E-3</v>
      </c>
      <c r="F661">
        <v>22658255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-0.72972972972973005</v>
      </c>
      <c r="Q661">
        <f t="shared" si="995"/>
        <v>-16534402.297297304</v>
      </c>
      <c r="R661">
        <f t="shared" si="996"/>
        <v>-1633074695.7542009</v>
      </c>
      <c r="S661">
        <f t="shared" si="997"/>
        <v>-16330.746957542009</v>
      </c>
      <c r="T661">
        <f t="shared" si="998"/>
        <v>-16.330746957542008</v>
      </c>
    </row>
    <row r="662" spans="1:20" x14ac:dyDescent="0.25">
      <c r="A662" s="5">
        <v>43931</v>
      </c>
      <c r="B662">
        <v>2.47E-3</v>
      </c>
      <c r="C662">
        <v>2.5790000000000001E-3</v>
      </c>
      <c r="D662">
        <v>2.32E-3</v>
      </c>
      <c r="E662">
        <v>2.3860000000000001E-3</v>
      </c>
      <c r="F662">
        <v>51359824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-0.49034749034748992</v>
      </c>
      <c r="Q662">
        <f t="shared" si="995"/>
        <v>-25184160.80308878</v>
      </c>
      <c r="R662">
        <f t="shared" si="996"/>
        <v>-1616540293.4569037</v>
      </c>
      <c r="S662">
        <f t="shared" si="997"/>
        <v>-16165.402934569038</v>
      </c>
      <c r="T662">
        <f t="shared" si="998"/>
        <v>-16.165402934569038</v>
      </c>
    </row>
    <row r="663" spans="1:20" x14ac:dyDescent="0.25">
      <c r="A663" s="5">
        <v>43930</v>
      </c>
      <c r="B663">
        <v>2.398E-3</v>
      </c>
      <c r="C663">
        <v>2.882E-3</v>
      </c>
      <c r="D663">
        <v>2.3449999999999999E-3</v>
      </c>
      <c r="E663">
        <v>2.4710000000000001E-3</v>
      </c>
      <c r="F663">
        <v>98921254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-0.5307262569832395</v>
      </c>
      <c r="Q663">
        <f t="shared" si="995"/>
        <v>-52500106.871508308</v>
      </c>
      <c r="R663">
        <f t="shared" si="996"/>
        <v>-1591356132.653815</v>
      </c>
      <c r="S663">
        <f t="shared" si="997"/>
        <v>-15913.561326538151</v>
      </c>
      <c r="T663">
        <f t="shared" si="998"/>
        <v>-15.913561326538151</v>
      </c>
    </row>
    <row r="664" spans="1:20" x14ac:dyDescent="0.25">
      <c r="A664" s="5">
        <v>43929</v>
      </c>
      <c r="B664">
        <v>2.3249999999999998E-3</v>
      </c>
      <c r="C664">
        <v>2.4090000000000001E-3</v>
      </c>
      <c r="D664">
        <v>2.3249999999999998E-3</v>
      </c>
      <c r="E664">
        <v>2.398E-3</v>
      </c>
      <c r="F664">
        <v>29237068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0.73809523809523525</v>
      </c>
      <c r="Q664">
        <f t="shared" si="995"/>
        <v>21579740.666666582</v>
      </c>
      <c r="R664">
        <f t="shared" si="996"/>
        <v>-1538856025.7823067</v>
      </c>
      <c r="S664">
        <f t="shared" si="997"/>
        <v>-15388.560257823066</v>
      </c>
      <c r="T664">
        <f t="shared" si="998"/>
        <v>-15.388560257823066</v>
      </c>
    </row>
    <row r="665" spans="1:20" x14ac:dyDescent="0.25">
      <c r="A665" s="5">
        <v>43928</v>
      </c>
      <c r="B665">
        <v>2.3240000000000001E-3</v>
      </c>
      <c r="C665">
        <v>2.5339999999999998E-3</v>
      </c>
      <c r="D665">
        <v>2.31E-3</v>
      </c>
      <c r="E665">
        <v>2.3259999999999999E-3</v>
      </c>
      <c r="F665">
        <v>58854140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-0.85714285714285743</v>
      </c>
      <c r="Q665">
        <f t="shared" si="995"/>
        <v>-50446405.714285731</v>
      </c>
      <c r="R665">
        <f t="shared" si="996"/>
        <v>-1560435766.4489732</v>
      </c>
      <c r="S665">
        <f t="shared" si="997"/>
        <v>-15604.357664489731</v>
      </c>
      <c r="T665">
        <f t="shared" si="998"/>
        <v>-15.604357664489731</v>
      </c>
    </row>
    <row r="666" spans="1:20" x14ac:dyDescent="0.25">
      <c r="A666" s="5">
        <v>43927</v>
      </c>
      <c r="B666">
        <v>2.1570000000000001E-3</v>
      </c>
      <c r="C666">
        <v>2.356E-3</v>
      </c>
      <c r="D666">
        <v>2.1570000000000001E-3</v>
      </c>
      <c r="E666">
        <v>2.3149999999999998E-3</v>
      </c>
      <c r="F666">
        <v>35037790</v>
      </c>
      <c r="G666">
        <v>0</v>
      </c>
      <c r="L666" t="s">
        <v>7</v>
      </c>
      <c r="M666" t="s">
        <v>8</v>
      </c>
      <c r="N666" t="s">
        <v>8</v>
      </c>
      <c r="P666">
        <f t="shared" si="994"/>
        <v>0.58793969849245986</v>
      </c>
      <c r="Q666">
        <f t="shared" si="995"/>
        <v>20600107.688442126</v>
      </c>
      <c r="R666">
        <f t="shared" si="996"/>
        <v>-1509989360.7346873</v>
      </c>
      <c r="S666">
        <f t="shared" si="997"/>
        <v>-15099.893607346874</v>
      </c>
      <c r="T666">
        <f t="shared" si="998"/>
        <v>-15.099893607346875</v>
      </c>
    </row>
    <row r="667" spans="1:20" x14ac:dyDescent="0.25">
      <c r="A667" s="5">
        <v>43926</v>
      </c>
      <c r="B667">
        <v>2.2309999999999999E-3</v>
      </c>
      <c r="C667">
        <v>2.3990000000000001E-3</v>
      </c>
      <c r="D667">
        <v>2.1299999999999999E-3</v>
      </c>
      <c r="E667">
        <v>2.1570000000000001E-3</v>
      </c>
      <c r="F667">
        <v>63369035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-0.79925650557620742</v>
      </c>
      <c r="Q667">
        <f t="shared" si="995"/>
        <v>-50648113.475836381</v>
      </c>
      <c r="R667">
        <f t="shared" si="996"/>
        <v>-1530589468.4231296</v>
      </c>
      <c r="S667">
        <f t="shared" si="997"/>
        <v>-15305.894684231296</v>
      </c>
      <c r="T667">
        <f t="shared" si="998"/>
        <v>-15.305894684231296</v>
      </c>
    </row>
    <row r="668" spans="1:20" x14ac:dyDescent="0.25">
      <c r="A668" s="5">
        <v>43925</v>
      </c>
      <c r="B668">
        <v>2.189E-3</v>
      </c>
      <c r="C668">
        <v>2.245E-3</v>
      </c>
      <c r="D668">
        <v>2.1770000000000001E-3</v>
      </c>
      <c r="E668">
        <v>2.235E-3</v>
      </c>
      <c r="F668">
        <v>4155816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0.7058823529411753</v>
      </c>
      <c r="Q668">
        <f t="shared" si="995"/>
        <v>2933517.1764705833</v>
      </c>
      <c r="R668">
        <f t="shared" si="996"/>
        <v>-1479941354.9472933</v>
      </c>
      <c r="S668">
        <f t="shared" si="997"/>
        <v>-14799.413549472933</v>
      </c>
      <c r="T668">
        <f t="shared" si="998"/>
        <v>-14.799413549472932</v>
      </c>
    </row>
    <row r="669" spans="1:20" x14ac:dyDescent="0.25">
      <c r="A669" s="5">
        <v>43924</v>
      </c>
      <c r="B669">
        <v>2.1280000000000001E-3</v>
      </c>
      <c r="C669">
        <v>2.2390000000000001E-3</v>
      </c>
      <c r="D669">
        <v>2.111E-3</v>
      </c>
      <c r="E669">
        <v>2.1909999999999998E-3</v>
      </c>
      <c r="F669">
        <v>9922815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0.24999999999999575</v>
      </c>
      <c r="Q669">
        <f t="shared" si="995"/>
        <v>2480703.7499999581</v>
      </c>
      <c r="R669">
        <f t="shared" si="996"/>
        <v>-1482874872.1237638</v>
      </c>
      <c r="S669">
        <f t="shared" si="997"/>
        <v>-14828.748721237638</v>
      </c>
      <c r="T669">
        <f t="shared" si="998"/>
        <v>-14.828748721237638</v>
      </c>
    </row>
    <row r="670" spans="1:20" x14ac:dyDescent="0.25">
      <c r="A670" s="5">
        <v>43923</v>
      </c>
      <c r="B670">
        <v>2.2200000000000002E-3</v>
      </c>
      <c r="C670">
        <v>2.3E-3</v>
      </c>
      <c r="D670">
        <v>2.0769999999999999E-3</v>
      </c>
      <c r="E670">
        <v>2.1280000000000001E-3</v>
      </c>
      <c r="F670">
        <v>29474218</v>
      </c>
      <c r="G670">
        <v>0</v>
      </c>
      <c r="L670" t="s">
        <v>7</v>
      </c>
      <c r="M670" t="s">
        <v>8</v>
      </c>
      <c r="N670" t="s">
        <v>8</v>
      </c>
      <c r="P670">
        <f t="shared" si="994"/>
        <v>-0.54260089686098445</v>
      </c>
      <c r="Q670">
        <f t="shared" si="995"/>
        <v>-15992737.121076172</v>
      </c>
      <c r="R670">
        <f t="shared" si="996"/>
        <v>-1485355575.8737638</v>
      </c>
      <c r="S670">
        <f t="shared" si="997"/>
        <v>-14853.555758737639</v>
      </c>
      <c r="T670">
        <f t="shared" si="998"/>
        <v>-14.853555758737638</v>
      </c>
    </row>
    <row r="671" spans="1:20" x14ac:dyDescent="0.25">
      <c r="A671" s="5">
        <v>43922</v>
      </c>
      <c r="B671">
        <v>2.1489999999999999E-3</v>
      </c>
      <c r="C671">
        <v>2.3289999999999999E-3</v>
      </c>
      <c r="D671">
        <v>2.0279999999999999E-3</v>
      </c>
      <c r="E671">
        <v>2.2009999999999998E-3</v>
      </c>
      <c r="F671">
        <v>10440554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0.14950166112956775</v>
      </c>
      <c r="Q671">
        <f t="shared" si="995"/>
        <v>1560880.1661129531</v>
      </c>
      <c r="R671">
        <f t="shared" si="996"/>
        <v>-1469362838.7526877</v>
      </c>
      <c r="S671">
        <f t="shared" si="997"/>
        <v>-14693.628387526876</v>
      </c>
      <c r="T671">
        <f t="shared" si="998"/>
        <v>-14.693628387526877</v>
      </c>
    </row>
    <row r="672" spans="1:20" x14ac:dyDescent="0.25">
      <c r="A672" s="5">
        <v>43921</v>
      </c>
      <c r="B672">
        <v>2.1120000000000002E-3</v>
      </c>
      <c r="C672">
        <v>2.176E-3</v>
      </c>
      <c r="D672">
        <v>2.0929999999999998E-3</v>
      </c>
      <c r="E672">
        <v>2.1489999999999999E-3</v>
      </c>
      <c r="F672">
        <v>18680279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0.34939759036144441</v>
      </c>
      <c r="Q672">
        <f t="shared" si="995"/>
        <v>6526844.4698794922</v>
      </c>
      <c r="R672">
        <f t="shared" si="996"/>
        <v>-1470923718.9188006</v>
      </c>
      <c r="S672">
        <f t="shared" si="997"/>
        <v>-14709.237189188007</v>
      </c>
      <c r="T672">
        <f t="shared" si="998"/>
        <v>-14.709237189188007</v>
      </c>
    </row>
    <row r="673" spans="1:20" x14ac:dyDescent="0.25">
      <c r="A673" s="5">
        <v>43920</v>
      </c>
      <c r="B673">
        <v>1.941E-3</v>
      </c>
      <c r="C673">
        <v>2.173E-3</v>
      </c>
      <c r="D673">
        <v>1.92E-3</v>
      </c>
      <c r="E673">
        <v>2.111E-3</v>
      </c>
      <c r="F673">
        <v>19721237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0.50988142292490124</v>
      </c>
      <c r="Q673">
        <f t="shared" si="995"/>
        <v>10055492.383399211</v>
      </c>
      <c r="R673">
        <f t="shared" si="996"/>
        <v>-1477450563.38868</v>
      </c>
      <c r="S673">
        <f t="shared" si="997"/>
        <v>-14774.5056338868</v>
      </c>
      <c r="T673">
        <f t="shared" si="998"/>
        <v>-14.7745056338868</v>
      </c>
    </row>
    <row r="674" spans="1:20" x14ac:dyDescent="0.25">
      <c r="A674" s="5">
        <v>43919</v>
      </c>
      <c r="B674">
        <v>2.0140000000000002E-3</v>
      </c>
      <c r="C674">
        <v>2.0249999999999999E-3</v>
      </c>
      <c r="D674">
        <v>1.934E-3</v>
      </c>
      <c r="E674">
        <v>1.9419999999999999E-3</v>
      </c>
      <c r="F674">
        <v>4432605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-0.82417582417582458</v>
      </c>
      <c r="Q674">
        <f t="shared" si="995"/>
        <v>-3653245.8791208807</v>
      </c>
      <c r="R674">
        <f t="shared" si="996"/>
        <v>-1487506055.7720792</v>
      </c>
      <c r="S674">
        <f t="shared" si="997"/>
        <v>-14875.060557720792</v>
      </c>
      <c r="T674">
        <f t="shared" si="998"/>
        <v>-14.875060557720792</v>
      </c>
    </row>
    <row r="675" spans="1:20" x14ac:dyDescent="0.25">
      <c r="A675" s="5">
        <v>43918</v>
      </c>
      <c r="B675">
        <v>2.137E-3</v>
      </c>
      <c r="C675">
        <v>2.137E-3</v>
      </c>
      <c r="D675">
        <v>1.916E-3</v>
      </c>
      <c r="E675">
        <v>2.0119999999999999E-3</v>
      </c>
      <c r="F675">
        <v>18623548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-0.13122171945701427</v>
      </c>
      <c r="Q675">
        <f t="shared" si="995"/>
        <v>-2443813.9909502394</v>
      </c>
      <c r="R675">
        <f t="shared" si="996"/>
        <v>-1483852809.8929584</v>
      </c>
      <c r="S675">
        <f t="shared" si="997"/>
        <v>-14838.528098929584</v>
      </c>
      <c r="T675">
        <f t="shared" si="998"/>
        <v>-14.838528098929585</v>
      </c>
    </row>
    <row r="676" spans="1:20" x14ac:dyDescent="0.25">
      <c r="A676" s="5">
        <v>43917</v>
      </c>
      <c r="B676">
        <v>2.1459999999999999E-3</v>
      </c>
      <c r="C676">
        <v>2.2729999999999998E-3</v>
      </c>
      <c r="D676">
        <v>2.0990000000000002E-3</v>
      </c>
      <c r="E676">
        <v>2.1350000000000002E-3</v>
      </c>
      <c r="F676">
        <v>12023743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-0.58620689655172331</v>
      </c>
      <c r="Q676">
        <f t="shared" si="995"/>
        <v>-7048401.0689655077</v>
      </c>
      <c r="R676">
        <f t="shared" si="996"/>
        <v>-1481408995.9020081</v>
      </c>
      <c r="S676">
        <f t="shared" si="997"/>
        <v>-14814.089959020081</v>
      </c>
      <c r="T676">
        <f t="shared" si="998"/>
        <v>-14.81408995902008</v>
      </c>
    </row>
    <row r="677" spans="1:20" x14ac:dyDescent="0.25">
      <c r="A677" s="5">
        <v>43916</v>
      </c>
      <c r="B677">
        <v>2.1229999999999999E-3</v>
      </c>
      <c r="C677">
        <v>2.1480000000000002E-3</v>
      </c>
      <c r="D677">
        <v>2.0300000000000001E-3</v>
      </c>
      <c r="E677">
        <v>2.1310000000000001E-3</v>
      </c>
      <c r="F677">
        <v>11927346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0.71186440677965968</v>
      </c>
      <c r="Q677">
        <f t="shared" si="995"/>
        <v>8490653.0847457461</v>
      </c>
      <c r="R677">
        <f t="shared" si="996"/>
        <v>-1474360594.8330426</v>
      </c>
      <c r="S677">
        <f t="shared" si="997"/>
        <v>-14743.605948330427</v>
      </c>
      <c r="T677">
        <f t="shared" si="998"/>
        <v>-14.743605948330426</v>
      </c>
    </row>
    <row r="678" spans="1:20" x14ac:dyDescent="0.25">
      <c r="A678" s="5">
        <v>43915</v>
      </c>
      <c r="B678">
        <v>2.0430000000000001E-3</v>
      </c>
      <c r="C678">
        <v>2.2290000000000001E-3</v>
      </c>
      <c r="D678">
        <v>1.9780000000000002E-3</v>
      </c>
      <c r="E678">
        <v>2.1120000000000002E-3</v>
      </c>
      <c r="F678">
        <v>16738426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6.7729083665339015E-2</v>
      </c>
      <c r="Q678">
        <f t="shared" si="995"/>
        <v>1133678.2549800859</v>
      </c>
      <c r="R678">
        <f t="shared" si="996"/>
        <v>-1482851247.9177883</v>
      </c>
      <c r="S678">
        <f t="shared" si="997"/>
        <v>-14828.512479177884</v>
      </c>
      <c r="T678">
        <f t="shared" si="998"/>
        <v>-14.828512479177883</v>
      </c>
    </row>
    <row r="679" spans="1:20" x14ac:dyDescent="0.25">
      <c r="A679" s="5">
        <v>43914</v>
      </c>
      <c r="B679">
        <v>1.99E-3</v>
      </c>
      <c r="C679">
        <v>2.2079999999999999E-3</v>
      </c>
      <c r="D679">
        <v>1.9070000000000001E-3</v>
      </c>
      <c r="E679">
        <v>2.0590000000000001E-3</v>
      </c>
      <c r="F679">
        <v>30570101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9.966777408638482E-3</v>
      </c>
      <c r="Q679">
        <f t="shared" si="995"/>
        <v>304685.39202659664</v>
      </c>
      <c r="R679">
        <f t="shared" si="996"/>
        <v>-1483984926.1727684</v>
      </c>
      <c r="S679">
        <f t="shared" si="997"/>
        <v>-14839.849261727684</v>
      </c>
      <c r="T679">
        <f t="shared" si="998"/>
        <v>-14.839849261727684</v>
      </c>
    </row>
    <row r="680" spans="1:20" x14ac:dyDescent="0.25">
      <c r="A680" s="5">
        <v>43913</v>
      </c>
      <c r="B680">
        <v>1.841E-3</v>
      </c>
      <c r="C680">
        <v>2.0590000000000001E-3</v>
      </c>
      <c r="D680">
        <v>1.799E-3</v>
      </c>
      <c r="E680">
        <v>1.967E-3</v>
      </c>
      <c r="F680">
        <v>11111964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0.29230769230769188</v>
      </c>
      <c r="Q680">
        <f t="shared" si="995"/>
        <v>3248112.5538461492</v>
      </c>
      <c r="R680">
        <f t="shared" si="996"/>
        <v>-1484289611.564795</v>
      </c>
      <c r="S680">
        <f t="shared" si="997"/>
        <v>-14842.896115647951</v>
      </c>
      <c r="T680">
        <f t="shared" si="998"/>
        <v>-14.842896115647951</v>
      </c>
    </row>
    <row r="681" spans="1:20" x14ac:dyDescent="0.25">
      <c r="A681" s="5">
        <v>43912</v>
      </c>
      <c r="B681">
        <v>2.0309999999999998E-3</v>
      </c>
      <c r="C681">
        <v>2.3999999999999998E-3</v>
      </c>
      <c r="D681">
        <v>1.8209999999999999E-3</v>
      </c>
      <c r="E681">
        <v>1.8550000000000001E-3</v>
      </c>
      <c r="F681">
        <v>20322847</v>
      </c>
      <c r="G681">
        <v>0</v>
      </c>
      <c r="L681" t="s">
        <v>8</v>
      </c>
      <c r="M681" t="s">
        <v>8</v>
      </c>
      <c r="N681" t="s">
        <v>8</v>
      </c>
      <c r="P681">
        <f t="shared" si="994"/>
        <v>-0.8825561312607938</v>
      </c>
      <c r="Q681">
        <f t="shared" si="995"/>
        <v>-17936053.224525031</v>
      </c>
      <c r="R681">
        <f t="shared" si="996"/>
        <v>-1487537724.1186411</v>
      </c>
      <c r="S681">
        <f t="shared" si="997"/>
        <v>-14875.377241186412</v>
      </c>
      <c r="T681">
        <f t="shared" si="998"/>
        <v>-14.875377241186412</v>
      </c>
    </row>
    <row r="682" spans="1:20" x14ac:dyDescent="0.25">
      <c r="A682" s="5">
        <v>43911</v>
      </c>
      <c r="B682">
        <v>2.0349999999999999E-3</v>
      </c>
      <c r="C682">
        <v>2.2160000000000001E-3</v>
      </c>
      <c r="D682">
        <v>1.8129999999999999E-3</v>
      </c>
      <c r="E682">
        <v>2.0379999999999999E-3</v>
      </c>
      <c r="F682">
        <v>26708491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0.11662531017369657</v>
      </c>
      <c r="Q682">
        <f t="shared" si="995"/>
        <v>3114886.0471463832</v>
      </c>
      <c r="R682">
        <f t="shared" si="996"/>
        <v>-1469601670.8941162</v>
      </c>
      <c r="S682">
        <f t="shared" si="997"/>
        <v>-14696.016708941163</v>
      </c>
      <c r="T682">
        <f t="shared" si="998"/>
        <v>-14.696016708941162</v>
      </c>
    </row>
    <row r="683" spans="1:20" x14ac:dyDescent="0.25">
      <c r="A683" s="5">
        <v>43910</v>
      </c>
      <c r="B683">
        <v>2.0200000000000001E-3</v>
      </c>
      <c r="C683">
        <v>2.3389999999999999E-3</v>
      </c>
      <c r="D683">
        <v>1.7730000000000001E-3</v>
      </c>
      <c r="E683">
        <v>2.039E-3</v>
      </c>
      <c r="F683">
        <v>47029009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-6.0070671378091814E-2</v>
      </c>
      <c r="Q683">
        <f t="shared" si="995"/>
        <v>-2825064.1448763222</v>
      </c>
      <c r="R683">
        <f t="shared" si="996"/>
        <v>-1472716556.9412625</v>
      </c>
      <c r="S683">
        <f t="shared" si="997"/>
        <v>-14727.165569412626</v>
      </c>
      <c r="T683">
        <f t="shared" si="998"/>
        <v>-14.727165569412625</v>
      </c>
    </row>
    <row r="684" spans="1:20" x14ac:dyDescent="0.25">
      <c r="A684" s="5">
        <v>43909</v>
      </c>
      <c r="B684">
        <v>1.678E-3</v>
      </c>
      <c r="C684">
        <v>2.0890000000000001E-3</v>
      </c>
      <c r="D684">
        <v>1.653E-3</v>
      </c>
      <c r="E684">
        <v>2.0049999999999998E-3</v>
      </c>
      <c r="F684">
        <v>23764723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0.61467889908256756</v>
      </c>
      <c r="Q684">
        <f t="shared" si="995"/>
        <v>14607673.770642173</v>
      </c>
      <c r="R684">
        <f t="shared" si="996"/>
        <v>-1469891492.7963862</v>
      </c>
      <c r="S684">
        <f t="shared" si="997"/>
        <v>-14698.914927963862</v>
      </c>
      <c r="T684">
        <f t="shared" si="998"/>
        <v>-14.698914927963862</v>
      </c>
    </row>
    <row r="685" spans="1:20" x14ac:dyDescent="0.25">
      <c r="A685" s="5">
        <v>43908</v>
      </c>
      <c r="B685">
        <v>1.6919999999999999E-3</v>
      </c>
      <c r="C685">
        <v>1.815E-3</v>
      </c>
      <c r="D685">
        <v>1.585E-3</v>
      </c>
      <c r="E685">
        <v>1.6689999999999999E-3</v>
      </c>
      <c r="F685">
        <v>32447872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-0.26956521739130529</v>
      </c>
      <c r="Q685">
        <f t="shared" si="995"/>
        <v>-8746817.6695652474</v>
      </c>
      <c r="R685">
        <f t="shared" si="996"/>
        <v>-1484499166.5670285</v>
      </c>
      <c r="S685">
        <f t="shared" si="997"/>
        <v>-14844.991665670284</v>
      </c>
      <c r="T685">
        <f t="shared" si="998"/>
        <v>-14.844991665670284</v>
      </c>
    </row>
    <row r="686" spans="1:20" x14ac:dyDescent="0.25">
      <c r="A686" s="5">
        <v>43907</v>
      </c>
      <c r="B686">
        <v>1.6540000000000001E-3</v>
      </c>
      <c r="C686">
        <v>1.815E-3</v>
      </c>
      <c r="D686">
        <v>1.6540000000000001E-3</v>
      </c>
      <c r="E686">
        <v>1.689E-3</v>
      </c>
      <c r="F686">
        <v>27015764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-0.56521739130434911</v>
      </c>
      <c r="Q686">
        <f t="shared" si="995"/>
        <v>-15269779.652173948</v>
      </c>
      <c r="R686">
        <f t="shared" si="996"/>
        <v>-1475752348.8974633</v>
      </c>
      <c r="S686">
        <f t="shared" si="997"/>
        <v>-14757.523488974633</v>
      </c>
      <c r="T686">
        <f t="shared" si="998"/>
        <v>-14.757523488974634</v>
      </c>
    </row>
    <row r="687" spans="1:20" x14ac:dyDescent="0.25">
      <c r="A687" s="5">
        <v>43906</v>
      </c>
      <c r="B687">
        <v>1.9009999999999999E-3</v>
      </c>
      <c r="C687">
        <v>1.9009999999999999E-3</v>
      </c>
      <c r="D687">
        <v>1.408E-3</v>
      </c>
      <c r="E687">
        <v>1.64E-3</v>
      </c>
      <c r="F687">
        <v>17681406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-5.8823529411764601E-2</v>
      </c>
      <c r="Q687">
        <f t="shared" si="995"/>
        <v>-1040082.705882351</v>
      </c>
      <c r="R687">
        <f t="shared" si="996"/>
        <v>-1460482569.2452893</v>
      </c>
      <c r="S687">
        <f t="shared" si="997"/>
        <v>-14604.825692452894</v>
      </c>
      <c r="T687">
        <f t="shared" si="998"/>
        <v>-14.604825692452895</v>
      </c>
    </row>
    <row r="688" spans="1:20" x14ac:dyDescent="0.25">
      <c r="A688" s="5">
        <v>43905</v>
      </c>
      <c r="B688">
        <v>1.7750000000000001E-3</v>
      </c>
      <c r="C688">
        <v>2.0379999999999999E-3</v>
      </c>
      <c r="D688">
        <v>1.704E-3</v>
      </c>
      <c r="E688">
        <v>1.923E-3</v>
      </c>
      <c r="F688">
        <v>51488120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0.3113772455089826</v>
      </c>
      <c r="Q688">
        <f t="shared" si="995"/>
        <v>16032228.982035957</v>
      </c>
      <c r="R688">
        <f t="shared" si="996"/>
        <v>-1459442486.539407</v>
      </c>
      <c r="S688">
        <f t="shared" si="997"/>
        <v>-14594.42486539407</v>
      </c>
      <c r="T688">
        <f t="shared" si="998"/>
        <v>-14.594424865394071</v>
      </c>
    </row>
    <row r="689" spans="1:20" x14ac:dyDescent="0.25">
      <c r="A689" s="5">
        <v>43904</v>
      </c>
      <c r="B689">
        <v>1.786E-3</v>
      </c>
      <c r="C689">
        <v>2.3E-3</v>
      </c>
      <c r="D689">
        <v>1.7260000000000001E-3</v>
      </c>
      <c r="E689">
        <v>1.8090000000000001E-3</v>
      </c>
      <c r="F689">
        <v>78018295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-0.71080139372822304</v>
      </c>
      <c r="Q689">
        <f t="shared" si="995"/>
        <v>-55455512.822299652</v>
      </c>
      <c r="R689">
        <f t="shared" si="996"/>
        <v>-1475474715.5214429</v>
      </c>
      <c r="S689">
        <f t="shared" si="997"/>
        <v>-14754.747155214429</v>
      </c>
      <c r="T689">
        <f t="shared" si="998"/>
        <v>-14.754747155214428</v>
      </c>
    </row>
    <row r="690" spans="1:20" x14ac:dyDescent="0.25">
      <c r="A690" s="5">
        <v>43903</v>
      </c>
      <c r="B690">
        <v>1.8029999999999999E-3</v>
      </c>
      <c r="C690">
        <v>1.9750000000000002E-3</v>
      </c>
      <c r="D690">
        <v>1.034E-3</v>
      </c>
      <c r="E690">
        <v>1.789E-3</v>
      </c>
      <c r="F690">
        <v>51868144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0.60467587672688594</v>
      </c>
      <c r="Q690">
        <f t="shared" si="995"/>
        <v>31363415.447396368</v>
      </c>
      <c r="R690">
        <f t="shared" si="996"/>
        <v>-1420019202.6991432</v>
      </c>
      <c r="S690">
        <f t="shared" si="997"/>
        <v>-14200.192026991432</v>
      </c>
      <c r="T690">
        <f t="shared" si="998"/>
        <v>-14.200192026991433</v>
      </c>
    </row>
    <row r="691" spans="1:20" x14ac:dyDescent="0.25">
      <c r="A691" s="5">
        <v>43902</v>
      </c>
      <c r="B691">
        <v>3.539E-3</v>
      </c>
      <c r="C691">
        <v>3.5409999999999999E-3</v>
      </c>
      <c r="D691">
        <v>1.407E-3</v>
      </c>
      <c r="E691">
        <v>1.8029999999999999E-3</v>
      </c>
      <c r="F691">
        <v>33963533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-0.62886597938144351</v>
      </c>
      <c r="Q691">
        <f t="shared" si="995"/>
        <v>-21358510.443298977</v>
      </c>
      <c r="R691">
        <f t="shared" si="996"/>
        <v>-1451382618.1465394</v>
      </c>
      <c r="S691">
        <f t="shared" si="997"/>
        <v>-14513.826181465394</v>
      </c>
      <c r="T691">
        <f t="shared" si="998"/>
        <v>-14.513826181465394</v>
      </c>
    </row>
    <row r="692" spans="1:20" x14ac:dyDescent="0.25">
      <c r="A692" s="5">
        <v>43901</v>
      </c>
      <c r="B692">
        <v>3.5990000000000002E-3</v>
      </c>
      <c r="C692">
        <v>3.6779999999999998E-3</v>
      </c>
      <c r="D692">
        <v>3.3479999999999998E-3</v>
      </c>
      <c r="E692">
        <v>3.539E-3</v>
      </c>
      <c r="F692">
        <v>8215122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0.15757575757575878</v>
      </c>
      <c r="Q692">
        <f t="shared" si="995"/>
        <v>1294504.0727272828</v>
      </c>
      <c r="R692">
        <f t="shared" si="996"/>
        <v>-1430024107.7032404</v>
      </c>
      <c r="S692">
        <f t="shared" si="997"/>
        <v>-14300.241077032404</v>
      </c>
      <c r="T692">
        <f t="shared" si="998"/>
        <v>-14.300241077032403</v>
      </c>
    </row>
    <row r="693" spans="1:20" x14ac:dyDescent="0.25">
      <c r="A693" s="5">
        <v>43900</v>
      </c>
      <c r="B693">
        <v>3.5379999999999999E-3</v>
      </c>
      <c r="C693">
        <v>3.833E-3</v>
      </c>
      <c r="D693">
        <v>3.4619999999999998E-3</v>
      </c>
      <c r="E693">
        <v>3.5890000000000002E-3</v>
      </c>
      <c r="F693">
        <v>27114898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-0.31536388140161564</v>
      </c>
      <c r="Q693">
        <f t="shared" si="995"/>
        <v>-8551059.4770889059</v>
      </c>
      <c r="R693">
        <f t="shared" si="996"/>
        <v>-1431318611.7759676</v>
      </c>
      <c r="S693">
        <f t="shared" si="997"/>
        <v>-14313.186117759677</v>
      </c>
      <c r="T693">
        <f t="shared" si="998"/>
        <v>-14.313186117759676</v>
      </c>
    </row>
    <row r="694" spans="1:20" x14ac:dyDescent="0.25">
      <c r="A694" s="5">
        <v>43899</v>
      </c>
      <c r="B694">
        <v>3.5500000000000002E-3</v>
      </c>
      <c r="C694">
        <v>3.588E-3</v>
      </c>
      <c r="D694">
        <v>3.3019999999999998E-3</v>
      </c>
      <c r="E694">
        <v>3.5379999999999999E-3</v>
      </c>
      <c r="F694">
        <v>10639933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0.65034965034964975</v>
      </c>
      <c r="Q694">
        <f t="shared" si="995"/>
        <v>6919676.7062937003</v>
      </c>
      <c r="R694">
        <f t="shared" si="996"/>
        <v>-1422767552.2988787</v>
      </c>
      <c r="S694">
        <f t="shared" si="997"/>
        <v>-14227.675522988786</v>
      </c>
      <c r="T694">
        <f t="shared" si="998"/>
        <v>-14.227675522988786</v>
      </c>
    </row>
    <row r="695" spans="1:20" x14ac:dyDescent="0.25">
      <c r="A695" s="5">
        <v>43898</v>
      </c>
      <c r="B695">
        <v>3.9969999999999997E-3</v>
      </c>
      <c r="C695">
        <v>4.0239999999999998E-3</v>
      </c>
      <c r="D695">
        <v>3.5260000000000001E-3</v>
      </c>
      <c r="E695">
        <v>3.5260000000000001E-3</v>
      </c>
      <c r="F695">
        <v>20167311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-1</v>
      </c>
      <c r="Q695">
        <f t="shared" si="995"/>
        <v>-20167311</v>
      </c>
      <c r="R695">
        <f t="shared" si="996"/>
        <v>-1429687229.0051723</v>
      </c>
      <c r="S695">
        <f t="shared" si="997"/>
        <v>-14296.872290051722</v>
      </c>
      <c r="T695">
        <f t="shared" si="998"/>
        <v>-14.296872290051722</v>
      </c>
    </row>
    <row r="696" spans="1:20" x14ac:dyDescent="0.25">
      <c r="A696" s="5">
        <v>43897</v>
      </c>
      <c r="B696">
        <v>4.2770000000000004E-3</v>
      </c>
      <c r="C696">
        <v>4.2770000000000004E-3</v>
      </c>
      <c r="D696">
        <v>3.9610000000000001E-3</v>
      </c>
      <c r="E696">
        <v>4.019E-3</v>
      </c>
      <c r="F696">
        <v>14272754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-0.63291139240506433</v>
      </c>
      <c r="Q696">
        <f t="shared" si="995"/>
        <v>-9033388.607594952</v>
      </c>
      <c r="R696">
        <f t="shared" si="996"/>
        <v>-1409519918.0051723</v>
      </c>
      <c r="S696">
        <f t="shared" si="997"/>
        <v>-14095.199180051723</v>
      </c>
      <c r="T696">
        <f t="shared" si="998"/>
        <v>-14.095199180051722</v>
      </c>
    </row>
    <row r="697" spans="1:20" x14ac:dyDescent="0.25">
      <c r="A697" s="5">
        <v>43896</v>
      </c>
      <c r="B697">
        <v>4.202E-3</v>
      </c>
      <c r="C697">
        <v>4.3660000000000001E-3</v>
      </c>
      <c r="D697">
        <v>4.1920000000000004E-3</v>
      </c>
      <c r="E697">
        <v>4.2690000000000002E-3</v>
      </c>
      <c r="F697">
        <v>11385475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-0.1149425287356327</v>
      </c>
      <c r="Q697">
        <f t="shared" si="995"/>
        <v>-1308675.2873563278</v>
      </c>
      <c r="R697">
        <f t="shared" si="996"/>
        <v>-1400486529.3975773</v>
      </c>
      <c r="S697">
        <f t="shared" si="997"/>
        <v>-14004.865293975772</v>
      </c>
      <c r="T697">
        <f t="shared" si="998"/>
        <v>-14.004865293975772</v>
      </c>
    </row>
    <row r="698" spans="1:20" x14ac:dyDescent="0.25">
      <c r="A698" s="5">
        <v>43895</v>
      </c>
      <c r="B698">
        <v>3.9789999999999999E-3</v>
      </c>
      <c r="C698">
        <v>4.3039999999999997E-3</v>
      </c>
      <c r="D698">
        <v>3.9610000000000001E-3</v>
      </c>
      <c r="E698">
        <v>4.1799999999999997E-3</v>
      </c>
      <c r="F698">
        <v>15406480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0.27696793002915371</v>
      </c>
      <c r="Q698">
        <f t="shared" si="995"/>
        <v>4267100.8746355558</v>
      </c>
      <c r="R698">
        <f t="shared" si="996"/>
        <v>-1399177854.1102209</v>
      </c>
      <c r="S698">
        <f t="shared" si="997"/>
        <v>-13991.778541102209</v>
      </c>
      <c r="T698">
        <f t="shared" si="998"/>
        <v>-13.991778541102208</v>
      </c>
    </row>
    <row r="699" spans="1:20" x14ac:dyDescent="0.25">
      <c r="A699" s="5">
        <v>43894</v>
      </c>
      <c r="B699">
        <v>4.0720000000000001E-3</v>
      </c>
      <c r="C699">
        <v>4.1370000000000001E-3</v>
      </c>
      <c r="D699">
        <v>3.852E-3</v>
      </c>
      <c r="E699">
        <v>3.9610000000000001E-3</v>
      </c>
      <c r="F699">
        <v>21680686</v>
      </c>
      <c r="G699">
        <v>0</v>
      </c>
      <c r="L699" t="s">
        <v>7</v>
      </c>
      <c r="M699" t="s">
        <v>7</v>
      </c>
      <c r="N699" t="s">
        <v>7</v>
      </c>
      <c r="P699">
        <f t="shared" si="994"/>
        <v>-0.23508771929824479</v>
      </c>
      <c r="Q699">
        <f t="shared" si="995"/>
        <v>-5096863.0245613856</v>
      </c>
      <c r="R699">
        <f t="shared" si="996"/>
        <v>-1403444954.9848564</v>
      </c>
      <c r="S699">
        <f t="shared" si="997"/>
        <v>-14034.449549848563</v>
      </c>
      <c r="T699">
        <f t="shared" si="998"/>
        <v>-14.034449549848564</v>
      </c>
    </row>
    <row r="700" spans="1:20" x14ac:dyDescent="0.25">
      <c r="A700" s="5">
        <v>43893</v>
      </c>
      <c r="B700">
        <v>4.2789999999999998E-3</v>
      </c>
      <c r="C700">
        <v>4.2890000000000003E-3</v>
      </c>
      <c r="D700">
        <v>4.0010000000000002E-3</v>
      </c>
      <c r="E700">
        <v>4.0769999999999999E-3</v>
      </c>
      <c r="F700">
        <v>9717681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-0.47222222222222454</v>
      </c>
      <c r="Q700">
        <f t="shared" si="995"/>
        <v>-4588904.9166666893</v>
      </c>
      <c r="R700">
        <f t="shared" si="996"/>
        <v>-1398348091.960295</v>
      </c>
      <c r="S700">
        <f t="shared" si="997"/>
        <v>-13983.480919602949</v>
      </c>
      <c r="T700">
        <f t="shared" si="998"/>
        <v>-13.983480919602949</v>
      </c>
    </row>
    <row r="701" spans="1:20" x14ac:dyDescent="0.25">
      <c r="A701" s="5">
        <v>43892</v>
      </c>
      <c r="B701">
        <v>3.9560000000000003E-3</v>
      </c>
      <c r="C701">
        <v>4.2960000000000003E-3</v>
      </c>
      <c r="D701">
        <v>3.9550000000000002E-3</v>
      </c>
      <c r="E701">
        <v>4.2849999999999997E-3</v>
      </c>
      <c r="F701">
        <v>9924566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0.93548387096773844</v>
      </c>
      <c r="Q701">
        <f t="shared" si="995"/>
        <v>9284271.4193548039</v>
      </c>
      <c r="R701">
        <f t="shared" si="996"/>
        <v>-1393759187.0436282</v>
      </c>
      <c r="S701">
        <f t="shared" si="997"/>
        <v>-13937.591870436283</v>
      </c>
      <c r="T701">
        <f t="shared" si="998"/>
        <v>-13.937591870436282</v>
      </c>
    </row>
    <row r="702" spans="1:20" x14ac:dyDescent="0.25">
      <c r="A702" s="5">
        <v>43891</v>
      </c>
      <c r="B702">
        <v>4.0309999999999999E-3</v>
      </c>
      <c r="C702">
        <v>4.1000000000000003E-3</v>
      </c>
      <c r="D702">
        <v>3.9379999999999997E-3</v>
      </c>
      <c r="E702">
        <v>3.9690000000000003E-3</v>
      </c>
      <c r="F702">
        <v>6851855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-0.61728395061727759</v>
      </c>
      <c r="Q702">
        <f t="shared" si="995"/>
        <v>-4229540.1234567463</v>
      </c>
      <c r="R702">
        <f t="shared" si="996"/>
        <v>-1403043458.4629831</v>
      </c>
      <c r="S702">
        <f t="shared" si="997"/>
        <v>-14030.434584629831</v>
      </c>
      <c r="T702">
        <f t="shared" si="998"/>
        <v>-14.03043458462983</v>
      </c>
    </row>
    <row r="703" spans="1:20" x14ac:dyDescent="0.25">
      <c r="A703" s="5">
        <v>43890</v>
      </c>
      <c r="B703">
        <v>4.1099999999999999E-3</v>
      </c>
      <c r="C703">
        <v>4.189E-3</v>
      </c>
      <c r="D703">
        <v>4.0200000000000001E-3</v>
      </c>
      <c r="E703">
        <v>4.0340000000000003E-3</v>
      </c>
      <c r="F703">
        <v>5126604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-0.83431952662721731</v>
      </c>
      <c r="Q703">
        <f t="shared" si="995"/>
        <v>-4277225.8224851992</v>
      </c>
      <c r="R703">
        <f t="shared" si="996"/>
        <v>-1398813918.3395264</v>
      </c>
      <c r="S703">
        <f t="shared" si="997"/>
        <v>-13988.139183395264</v>
      </c>
      <c r="T703">
        <f t="shared" si="998"/>
        <v>-13.988139183395264</v>
      </c>
    </row>
    <row r="704" spans="1:20" x14ac:dyDescent="0.25">
      <c r="A704" s="5">
        <v>43889</v>
      </c>
      <c r="B704">
        <v>4.2589999999999998E-3</v>
      </c>
      <c r="C704">
        <v>4.5890000000000002E-3</v>
      </c>
      <c r="D704">
        <v>4.0000000000000001E-3</v>
      </c>
      <c r="E704">
        <v>4.1190000000000003E-3</v>
      </c>
      <c r="F704">
        <v>16504951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-0.59592529711375153</v>
      </c>
      <c r="Q704">
        <f t="shared" si="995"/>
        <v>-9835717.8285229113</v>
      </c>
      <c r="R704">
        <f t="shared" si="996"/>
        <v>-1394536692.5170412</v>
      </c>
      <c r="S704">
        <f t="shared" si="997"/>
        <v>-13945.366925170412</v>
      </c>
      <c r="T704">
        <f t="shared" si="998"/>
        <v>-13.945366925170413</v>
      </c>
    </row>
    <row r="705" spans="1:20" x14ac:dyDescent="0.25">
      <c r="A705" s="5">
        <v>43888</v>
      </c>
      <c r="B705">
        <v>4.1710000000000002E-3</v>
      </c>
      <c r="C705">
        <v>4.79E-3</v>
      </c>
      <c r="D705">
        <v>4.0590000000000001E-3</v>
      </c>
      <c r="E705">
        <v>4.2490000000000002E-3</v>
      </c>
      <c r="F705">
        <v>5674716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-0.48016415868673024</v>
      </c>
      <c r="Q705">
        <f t="shared" si="995"/>
        <v>-2724795.2339261272</v>
      </c>
      <c r="R705">
        <f t="shared" si="996"/>
        <v>-1384700974.6885183</v>
      </c>
      <c r="S705">
        <f t="shared" si="997"/>
        <v>-13847.009746885184</v>
      </c>
      <c r="T705">
        <f t="shared" si="998"/>
        <v>-13.847009746885183</v>
      </c>
    </row>
    <row r="706" spans="1:20" x14ac:dyDescent="0.25">
      <c r="A706" s="5">
        <v>43887</v>
      </c>
      <c r="B706">
        <v>4.718E-3</v>
      </c>
      <c r="C706">
        <v>4.7730000000000003E-3</v>
      </c>
      <c r="D706">
        <v>4.0740000000000004E-3</v>
      </c>
      <c r="E706">
        <v>4.2199999999999998E-3</v>
      </c>
      <c r="F706">
        <v>14160295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-0.5822603719599444</v>
      </c>
      <c r="Q706">
        <f t="shared" si="995"/>
        <v>-8244978.6337625412</v>
      </c>
      <c r="R706">
        <f t="shared" si="996"/>
        <v>-1381976179.4545922</v>
      </c>
      <c r="S706">
        <f t="shared" si="997"/>
        <v>-13819.761794545922</v>
      </c>
      <c r="T706">
        <f t="shared" si="998"/>
        <v>-13.819761794545922</v>
      </c>
    </row>
    <row r="707" spans="1:20" x14ac:dyDescent="0.25">
      <c r="A707" s="5">
        <v>43886</v>
      </c>
      <c r="B707">
        <v>5.1460000000000004E-3</v>
      </c>
      <c r="C707">
        <v>5.2090000000000001E-3</v>
      </c>
      <c r="D707">
        <v>4.542E-3</v>
      </c>
      <c r="E707">
        <v>4.7010000000000003E-3</v>
      </c>
      <c r="F707">
        <v>23264026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-0.52323838080959439</v>
      </c>
      <c r="Q707">
        <f t="shared" si="995"/>
        <v>-12172631.295352304</v>
      </c>
      <c r="R707">
        <f t="shared" si="996"/>
        <v>-1373731200.8208296</v>
      </c>
      <c r="S707">
        <f t="shared" si="997"/>
        <v>-13737.312008208297</v>
      </c>
      <c r="T707">
        <f t="shared" si="998"/>
        <v>-13.737312008208297</v>
      </c>
    </row>
    <row r="708" spans="1:20" x14ac:dyDescent="0.25">
      <c r="A708" s="5">
        <v>43885</v>
      </c>
      <c r="B708">
        <v>5.1590000000000004E-3</v>
      </c>
      <c r="C708">
        <v>5.3959999999999998E-3</v>
      </c>
      <c r="D708">
        <v>4.9500000000000004E-3</v>
      </c>
      <c r="E708">
        <v>5.1440000000000001E-3</v>
      </c>
      <c r="F708">
        <v>15748198</v>
      </c>
      <c r="G708">
        <v>0</v>
      </c>
      <c r="L708" t="s">
        <v>8</v>
      </c>
      <c r="M708" t="s">
        <v>7</v>
      </c>
      <c r="N708" t="s">
        <v>7</v>
      </c>
      <c r="P708">
        <f t="shared" si="994"/>
        <v>-0.13004484304932731</v>
      </c>
      <c r="Q708">
        <f t="shared" si="995"/>
        <v>-2047971.9372197303</v>
      </c>
      <c r="R708">
        <f t="shared" si="996"/>
        <v>-1361558569.5254774</v>
      </c>
      <c r="S708">
        <f t="shared" si="997"/>
        <v>-13615.585695254775</v>
      </c>
      <c r="T708">
        <f t="shared" si="998"/>
        <v>-13.615585695254774</v>
      </c>
    </row>
    <row r="709" spans="1:20" x14ac:dyDescent="0.25">
      <c r="A709" s="5">
        <v>43884</v>
      </c>
      <c r="B709">
        <v>4.9410000000000001E-3</v>
      </c>
      <c r="C709">
        <v>5.189E-3</v>
      </c>
      <c r="D709">
        <v>4.9309999999999996E-3</v>
      </c>
      <c r="E709">
        <v>5.1549999999999999E-3</v>
      </c>
      <c r="F709">
        <v>5984380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0.73643410852713087</v>
      </c>
      <c r="Q709">
        <f t="shared" si="995"/>
        <v>4407101.5503875911</v>
      </c>
      <c r="R709">
        <f t="shared" si="996"/>
        <v>-1359510597.5882578</v>
      </c>
      <c r="S709">
        <f t="shared" si="997"/>
        <v>-13595.105975882578</v>
      </c>
      <c r="T709">
        <f t="shared" si="998"/>
        <v>-13.595105975882579</v>
      </c>
    </row>
    <row r="710" spans="1:20" x14ac:dyDescent="0.25">
      <c r="A710" s="5">
        <v>43883</v>
      </c>
      <c r="B710">
        <v>5.176E-3</v>
      </c>
      <c r="C710">
        <v>5.1980000000000004E-3</v>
      </c>
      <c r="D710">
        <v>4.8939999999999999E-3</v>
      </c>
      <c r="E710">
        <v>4.9519999999999998E-3</v>
      </c>
      <c r="F710">
        <v>8842961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-0.6184210526315802</v>
      </c>
      <c r="Q710">
        <f t="shared" ref="Q710:Q766" si="1000">F710*P710</f>
        <v>-5468673.2500000112</v>
      </c>
      <c r="R710">
        <f t="shared" ref="R710:R766" si="1001">R711+Q710</f>
        <v>-1363917699.1386454</v>
      </c>
      <c r="S710">
        <f t="shared" ref="S710:S766" si="1002">R710/100000</f>
        <v>-13639.176991386454</v>
      </c>
      <c r="T710">
        <f t="shared" ref="T710:T766" si="1003">S710/1000</f>
        <v>-13.639176991386453</v>
      </c>
    </row>
    <row r="711" spans="1:20" x14ac:dyDescent="0.25">
      <c r="A711" s="5">
        <v>43882</v>
      </c>
      <c r="B711">
        <v>4.9249999999999997E-3</v>
      </c>
      <c r="C711">
        <v>5.3930000000000002E-3</v>
      </c>
      <c r="D711">
        <v>4.8820000000000001E-3</v>
      </c>
      <c r="E711">
        <v>5.1809999999999998E-3</v>
      </c>
      <c r="F711">
        <v>18255501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0.17025440313111423</v>
      </c>
      <c r="Q711">
        <f t="shared" si="1000"/>
        <v>3108079.4266144591</v>
      </c>
      <c r="R711">
        <f t="shared" si="1001"/>
        <v>-1358449025.8886454</v>
      </c>
      <c r="S711">
        <f t="shared" si="1002"/>
        <v>-13584.490258886453</v>
      </c>
      <c r="T711">
        <f t="shared" si="1003"/>
        <v>-13.584490258886454</v>
      </c>
    </row>
    <row r="712" spans="1:20" x14ac:dyDescent="0.25">
      <c r="A712" s="5">
        <v>43881</v>
      </c>
      <c r="B712">
        <v>5.0400000000000002E-3</v>
      </c>
      <c r="C712">
        <v>5.0470000000000003E-3</v>
      </c>
      <c r="D712">
        <v>4.7710000000000001E-3</v>
      </c>
      <c r="E712">
        <v>4.9370000000000004E-3</v>
      </c>
      <c r="F712">
        <v>20813760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0.20289855072463933</v>
      </c>
      <c r="Q712">
        <f t="shared" si="1000"/>
        <v>4223081.739130469</v>
      </c>
      <c r="R712">
        <f t="shared" si="1001"/>
        <v>-1361557105.3152599</v>
      </c>
      <c r="S712">
        <f t="shared" si="1002"/>
        <v>-13615.5710531526</v>
      </c>
      <c r="T712">
        <f t="shared" si="1003"/>
        <v>-13.6155710531526</v>
      </c>
    </row>
    <row r="713" spans="1:20" x14ac:dyDescent="0.25">
      <c r="A713" s="5">
        <v>43880</v>
      </c>
      <c r="B713">
        <v>5.522E-3</v>
      </c>
      <c r="C713">
        <v>6.0000000000000001E-3</v>
      </c>
      <c r="D713">
        <v>4.9280000000000001E-3</v>
      </c>
      <c r="E713">
        <v>5.0410000000000003E-3</v>
      </c>
      <c r="F713">
        <v>69264963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-0.78917910447761153</v>
      </c>
      <c r="Q713">
        <f t="shared" si="1000"/>
        <v>-54662461.472014897</v>
      </c>
      <c r="R713">
        <f t="shared" si="1001"/>
        <v>-1365780187.0543904</v>
      </c>
      <c r="S713">
        <f t="shared" si="1002"/>
        <v>-13657.801870543904</v>
      </c>
      <c r="T713">
        <f t="shared" si="1003"/>
        <v>-13.657801870543905</v>
      </c>
    </row>
    <row r="714" spans="1:20" x14ac:dyDescent="0.25">
      <c r="A714" s="5">
        <v>43879</v>
      </c>
      <c r="B714">
        <v>5.2110000000000004E-3</v>
      </c>
      <c r="C714">
        <v>5.6030000000000003E-3</v>
      </c>
      <c r="D714">
        <v>5.1070000000000004E-3</v>
      </c>
      <c r="E714">
        <v>5.5110000000000003E-3</v>
      </c>
      <c r="F714">
        <v>3072563614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0.62903225806451579</v>
      </c>
      <c r="Q714">
        <f t="shared" si="1000"/>
        <v>1932741628.1612892</v>
      </c>
      <c r="R714">
        <f t="shared" si="1001"/>
        <v>-1311117725.5823755</v>
      </c>
      <c r="S714">
        <f t="shared" si="1002"/>
        <v>-13111.177255823755</v>
      </c>
      <c r="T714">
        <f t="shared" si="1003"/>
        <v>-13.111177255823755</v>
      </c>
    </row>
    <row r="715" spans="1:20" x14ac:dyDescent="0.25">
      <c r="A715" s="5">
        <v>43878</v>
      </c>
      <c r="B715">
        <v>5.4130000000000003E-3</v>
      </c>
      <c r="C715">
        <v>5.5999999999999999E-3</v>
      </c>
      <c r="D715">
        <v>4.8120000000000003E-3</v>
      </c>
      <c r="E715">
        <v>5.2090000000000001E-3</v>
      </c>
      <c r="F715">
        <v>900164549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7.6142131979694567E-3</v>
      </c>
      <c r="Q715">
        <f t="shared" si="1000"/>
        <v>6854044.7893400239</v>
      </c>
      <c r="R715">
        <f t="shared" si="1001"/>
        <v>-3243859353.7436647</v>
      </c>
      <c r="S715">
        <f t="shared" si="1002"/>
        <v>-32438.593537436649</v>
      </c>
      <c r="T715">
        <f t="shared" si="1003"/>
        <v>-32.438593537436653</v>
      </c>
    </row>
    <row r="716" spans="1:20" x14ac:dyDescent="0.25">
      <c r="A716" s="5">
        <v>43877</v>
      </c>
      <c r="B716">
        <v>5.6140000000000001E-3</v>
      </c>
      <c r="C716">
        <v>5.8380000000000003E-3</v>
      </c>
      <c r="D716">
        <v>5.2659999999999998E-3</v>
      </c>
      <c r="E716">
        <v>5.411E-3</v>
      </c>
      <c r="F716">
        <v>1459478897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-0.49300699300699286</v>
      </c>
      <c r="Q716">
        <f t="shared" si="1000"/>
        <v>-719533302.36713266</v>
      </c>
      <c r="R716">
        <f t="shared" si="1001"/>
        <v>-3250713398.5330048</v>
      </c>
      <c r="S716">
        <f t="shared" si="1002"/>
        <v>-32507.133985330049</v>
      </c>
      <c r="T716">
        <f t="shared" si="1003"/>
        <v>-32.50713398533005</v>
      </c>
    </row>
    <row r="717" spans="1:20" x14ac:dyDescent="0.25">
      <c r="A717" s="5">
        <v>43876</v>
      </c>
      <c r="B717">
        <v>6.2189999999999997E-3</v>
      </c>
      <c r="C717">
        <v>6.2230000000000002E-3</v>
      </c>
      <c r="D717">
        <v>5.5849999999999997E-3</v>
      </c>
      <c r="E717">
        <v>5.6140000000000001E-3</v>
      </c>
      <c r="F717">
        <v>2217020281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-0.90909090909090795</v>
      </c>
      <c r="Q717">
        <f t="shared" si="1000"/>
        <v>-2015472982.7272701</v>
      </c>
      <c r="R717">
        <f t="shared" si="1001"/>
        <v>-2531180096.1658721</v>
      </c>
      <c r="S717">
        <f t="shared" si="1002"/>
        <v>-25311.800961658722</v>
      </c>
      <c r="T717">
        <f t="shared" si="1003"/>
        <v>-25.311800961658722</v>
      </c>
    </row>
    <row r="718" spans="1:20" x14ac:dyDescent="0.25">
      <c r="A718" s="5">
        <v>43875</v>
      </c>
      <c r="B718">
        <v>6.1209999999999997E-3</v>
      </c>
      <c r="C718">
        <v>6.4140000000000004E-3</v>
      </c>
      <c r="D718">
        <v>6.0000000000000001E-3</v>
      </c>
      <c r="E718">
        <v>6.2100000000000002E-3</v>
      </c>
      <c r="F718">
        <v>1232790218</v>
      </c>
      <c r="G718">
        <v>0</v>
      </c>
      <c r="L718" t="s">
        <v>8</v>
      </c>
      <c r="M718" t="s">
        <v>7</v>
      </c>
      <c r="N718" t="s">
        <v>8</v>
      </c>
      <c r="P718">
        <f t="shared" si="999"/>
        <v>1.4492753623188224E-2</v>
      </c>
      <c r="Q718">
        <f t="shared" si="1000"/>
        <v>17866524.898550499</v>
      </c>
      <c r="R718">
        <f t="shared" si="1001"/>
        <v>-515707113.43860209</v>
      </c>
      <c r="S718">
        <f t="shared" si="1002"/>
        <v>-5157.0711343860212</v>
      </c>
      <c r="T718">
        <f t="shared" si="1003"/>
        <v>-5.1570711343860216</v>
      </c>
    </row>
    <row r="719" spans="1:20" x14ac:dyDescent="0.25">
      <c r="A719" s="5">
        <v>43874</v>
      </c>
      <c r="B719">
        <v>6.3670000000000003E-3</v>
      </c>
      <c r="C719">
        <v>6.4700000000000001E-3</v>
      </c>
      <c r="D719">
        <v>5.8149999999999999E-3</v>
      </c>
      <c r="E719">
        <v>6.1209999999999997E-3</v>
      </c>
      <c r="F719">
        <v>781799895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-6.5648854961832814E-2</v>
      </c>
      <c r="Q719">
        <f t="shared" si="1000"/>
        <v>-51324267.916031122</v>
      </c>
      <c r="R719">
        <f t="shared" si="1001"/>
        <v>-533573638.3371526</v>
      </c>
      <c r="S719">
        <f t="shared" si="1002"/>
        <v>-5335.7363833715262</v>
      </c>
      <c r="T719">
        <f t="shared" si="1003"/>
        <v>-5.3357363833715263</v>
      </c>
    </row>
    <row r="720" spans="1:20" x14ac:dyDescent="0.25">
      <c r="A720" s="5">
        <v>43873</v>
      </c>
      <c r="B720">
        <v>6.7580000000000001E-3</v>
      </c>
      <c r="C720">
        <v>7.267E-3</v>
      </c>
      <c r="D720">
        <v>6.1310000000000002E-3</v>
      </c>
      <c r="E720">
        <v>6.3619999999999996E-3</v>
      </c>
      <c r="F720">
        <v>683924186</v>
      </c>
      <c r="G720">
        <v>0</v>
      </c>
      <c r="L720" t="s">
        <v>7</v>
      </c>
      <c r="M720" t="s">
        <v>7</v>
      </c>
      <c r="N720" t="s">
        <v>8</v>
      </c>
      <c r="P720">
        <f t="shared" si="999"/>
        <v>-0.59330985915493051</v>
      </c>
      <c r="Q720">
        <f t="shared" si="1000"/>
        <v>-405778962.46831048</v>
      </c>
      <c r="R720">
        <f t="shared" si="1001"/>
        <v>-482249370.42112148</v>
      </c>
      <c r="S720">
        <f t="shared" si="1002"/>
        <v>-4822.4937042112151</v>
      </c>
      <c r="T720">
        <f t="shared" si="1003"/>
        <v>-4.8224937042112153</v>
      </c>
    </row>
    <row r="721" spans="1:20" x14ac:dyDescent="0.25">
      <c r="A721" s="5">
        <v>43872</v>
      </c>
      <c r="B721">
        <v>5.2940000000000001E-3</v>
      </c>
      <c r="C721">
        <v>7.4339999999999996E-3</v>
      </c>
      <c r="D721">
        <v>5.2300000000000003E-3</v>
      </c>
      <c r="E721">
        <v>6.7559999999999999E-3</v>
      </c>
      <c r="F721">
        <v>163110343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0.38475499092558985</v>
      </c>
      <c r="Q721">
        <f t="shared" si="1000"/>
        <v>62757518.540834844</v>
      </c>
      <c r="R721">
        <f t="shared" si="1001"/>
        <v>-76470407.952811033</v>
      </c>
      <c r="S721">
        <f t="shared" si="1002"/>
        <v>-764.70407952811036</v>
      </c>
      <c r="T721">
        <f t="shared" si="1003"/>
        <v>-0.76470407952811037</v>
      </c>
    </row>
    <row r="722" spans="1:20" x14ac:dyDescent="0.25">
      <c r="A722" s="5">
        <v>43871</v>
      </c>
      <c r="B722">
        <v>5.4050000000000001E-3</v>
      </c>
      <c r="C722">
        <v>5.4159999999999998E-3</v>
      </c>
      <c r="D722">
        <v>5.195E-3</v>
      </c>
      <c r="E722">
        <v>5.2769999999999996E-3</v>
      </c>
      <c r="F722">
        <v>2385413</v>
      </c>
      <c r="G722">
        <v>0</v>
      </c>
      <c r="L722" t="s">
        <v>8</v>
      </c>
      <c r="M722" t="s">
        <v>7</v>
      </c>
      <c r="N722" t="s">
        <v>8</v>
      </c>
      <c r="P722">
        <f t="shared" si="999"/>
        <v>-0.25791855203620212</v>
      </c>
      <c r="Q722">
        <f t="shared" si="1000"/>
        <v>-615242.26696833305</v>
      </c>
      <c r="R722">
        <f t="shared" si="1001"/>
        <v>-139227926.49364588</v>
      </c>
      <c r="S722">
        <f t="shared" si="1002"/>
        <v>-1392.2792649364587</v>
      </c>
      <c r="T722">
        <f t="shared" si="1003"/>
        <v>-1.3922792649364588</v>
      </c>
    </row>
    <row r="723" spans="1:20" x14ac:dyDescent="0.25">
      <c r="A723" s="5">
        <v>43870</v>
      </c>
      <c r="B723">
        <v>5.2300000000000003E-3</v>
      </c>
      <c r="C723">
        <v>5.4489999999999999E-3</v>
      </c>
      <c r="D723">
        <v>5.2209999999999999E-3</v>
      </c>
      <c r="E723">
        <v>5.3540000000000003E-3</v>
      </c>
      <c r="F723">
        <v>3354317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0.16666666666666985</v>
      </c>
      <c r="Q723">
        <f t="shared" si="1000"/>
        <v>559052.83333334397</v>
      </c>
      <c r="R723">
        <f t="shared" si="1001"/>
        <v>-138612684.22667754</v>
      </c>
      <c r="S723">
        <f t="shared" si="1002"/>
        <v>-1386.1268422667754</v>
      </c>
      <c r="T723">
        <f t="shared" si="1003"/>
        <v>-1.3861268422667754</v>
      </c>
    </row>
    <row r="724" spans="1:20" x14ac:dyDescent="0.25">
      <c r="A724" s="5">
        <v>43869</v>
      </c>
      <c r="B724">
        <v>5.1999999999999998E-3</v>
      </c>
      <c r="C724">
        <v>5.4549999999999998E-3</v>
      </c>
      <c r="D724">
        <v>5.0549999999999996E-3</v>
      </c>
      <c r="E724">
        <v>5.2769999999999996E-3</v>
      </c>
      <c r="F724">
        <v>3819281</v>
      </c>
      <c r="G724">
        <v>0</v>
      </c>
      <c r="L724" t="s">
        <v>8</v>
      </c>
      <c r="M724" t="s">
        <v>7</v>
      </c>
      <c r="N724" t="s">
        <v>8</v>
      </c>
      <c r="P724">
        <f t="shared" si="999"/>
        <v>0.10999999999999938</v>
      </c>
      <c r="Q724">
        <f t="shared" si="1000"/>
        <v>420120.90999999759</v>
      </c>
      <c r="R724">
        <f t="shared" si="1001"/>
        <v>-139171737.06001088</v>
      </c>
      <c r="S724">
        <f t="shared" si="1002"/>
        <v>-1391.7173706001088</v>
      </c>
      <c r="T724">
        <f t="shared" si="1003"/>
        <v>-1.3917173706001087</v>
      </c>
    </row>
    <row r="725" spans="1:20" x14ac:dyDescent="0.25">
      <c r="A725" s="5">
        <v>43868</v>
      </c>
      <c r="B725">
        <v>5.2769999999999996E-3</v>
      </c>
      <c r="C725">
        <v>5.45E-3</v>
      </c>
      <c r="D725">
        <v>4.79E-3</v>
      </c>
      <c r="E725">
        <v>5.2090000000000001E-3</v>
      </c>
      <c r="F725">
        <v>13719809</v>
      </c>
      <c r="G725">
        <v>0</v>
      </c>
      <c r="L725" t="s">
        <v>7</v>
      </c>
      <c r="M725" t="s">
        <v>7</v>
      </c>
      <c r="N725" t="s">
        <v>8</v>
      </c>
      <c r="P725">
        <f t="shared" si="999"/>
        <v>0.26969696969696999</v>
      </c>
      <c r="Q725">
        <f t="shared" si="1000"/>
        <v>3700190.9121212163</v>
      </c>
      <c r="R725">
        <f t="shared" si="1001"/>
        <v>-139591857.97001088</v>
      </c>
      <c r="S725">
        <f t="shared" si="1002"/>
        <v>-1395.9185797001087</v>
      </c>
      <c r="T725">
        <f t="shared" si="1003"/>
        <v>-1.3959185797001088</v>
      </c>
    </row>
    <row r="726" spans="1:20" x14ac:dyDescent="0.25">
      <c r="A726" s="5">
        <v>43867</v>
      </c>
      <c r="B726">
        <v>4.8260000000000004E-3</v>
      </c>
      <c r="C726">
        <v>5.7400000000000003E-3</v>
      </c>
      <c r="D726">
        <v>4.7299999999999998E-3</v>
      </c>
      <c r="E726">
        <v>5.2620000000000002E-3</v>
      </c>
      <c r="F726">
        <v>17745898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5.3465346534653665E-2</v>
      </c>
      <c r="Q726">
        <f t="shared" si="1000"/>
        <v>948790.58613861736</v>
      </c>
      <c r="R726">
        <f t="shared" si="1001"/>
        <v>-143292048.88213208</v>
      </c>
      <c r="S726">
        <f t="shared" si="1002"/>
        <v>-1432.9204888213208</v>
      </c>
      <c r="T726">
        <f t="shared" si="1003"/>
        <v>-1.4329204888213207</v>
      </c>
    </row>
    <row r="727" spans="1:20" x14ac:dyDescent="0.25">
      <c r="A727" s="5">
        <v>43866</v>
      </c>
      <c r="B727">
        <v>4.3410000000000002E-3</v>
      </c>
      <c r="C727">
        <v>5.4000000000000003E-3</v>
      </c>
      <c r="D727">
        <v>4.3410000000000002E-3</v>
      </c>
      <c r="E727">
        <v>4.8260000000000004E-3</v>
      </c>
      <c r="F727">
        <v>20137612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-8.4041548630783447E-2</v>
      </c>
      <c r="Q727">
        <f t="shared" si="1000"/>
        <v>-1692396.0982058484</v>
      </c>
      <c r="R727">
        <f t="shared" si="1001"/>
        <v>-144240839.46827069</v>
      </c>
      <c r="S727">
        <f t="shared" si="1002"/>
        <v>-1442.4083946827068</v>
      </c>
      <c r="T727">
        <f t="shared" si="1003"/>
        <v>-1.4424083946827069</v>
      </c>
    </row>
    <row r="728" spans="1:20" x14ac:dyDescent="0.25">
      <c r="A728" s="5">
        <v>43865</v>
      </c>
      <c r="B728">
        <v>4.2170000000000003E-3</v>
      </c>
      <c r="C728">
        <v>4.3819999999999996E-3</v>
      </c>
      <c r="D728">
        <v>4.1970000000000002E-3</v>
      </c>
      <c r="E728">
        <v>4.3410000000000002E-3</v>
      </c>
      <c r="F728">
        <v>6618602</v>
      </c>
      <c r="G728">
        <v>0</v>
      </c>
      <c r="L728" t="s">
        <v>8</v>
      </c>
      <c r="M728" t="s">
        <v>7</v>
      </c>
      <c r="N728" t="s">
        <v>8</v>
      </c>
      <c r="P728">
        <f t="shared" si="999"/>
        <v>0.55675675675676217</v>
      </c>
      <c r="Q728">
        <f t="shared" si="1000"/>
        <v>3684951.3837838196</v>
      </c>
      <c r="R728">
        <f t="shared" si="1001"/>
        <v>-142548443.37006485</v>
      </c>
      <c r="S728">
        <f t="shared" si="1002"/>
        <v>-1425.4844337006487</v>
      </c>
      <c r="T728">
        <f t="shared" si="1003"/>
        <v>-1.4254844337006487</v>
      </c>
    </row>
    <row r="729" spans="1:20" x14ac:dyDescent="0.25">
      <c r="A729" s="5">
        <v>43864</v>
      </c>
      <c r="B729">
        <v>4.1960000000000001E-3</v>
      </c>
      <c r="C729">
        <v>4.2750000000000002E-3</v>
      </c>
      <c r="D729">
        <v>4.0749999999999996E-3</v>
      </c>
      <c r="E729">
        <v>4.2170000000000003E-3</v>
      </c>
      <c r="F729">
        <v>5239496</v>
      </c>
      <c r="G729">
        <v>0</v>
      </c>
      <c r="L729" t="s">
        <v>7</v>
      </c>
      <c r="M729" t="s">
        <v>7</v>
      </c>
      <c r="N729" t="s">
        <v>8</v>
      </c>
      <c r="P729">
        <f t="shared" si="999"/>
        <v>0.42000000000000259</v>
      </c>
      <c r="Q729">
        <f t="shared" si="1000"/>
        <v>2200588.3200000138</v>
      </c>
      <c r="R729">
        <f t="shared" si="1001"/>
        <v>-146233394.75384867</v>
      </c>
      <c r="S729">
        <f t="shared" si="1002"/>
        <v>-1462.3339475384867</v>
      </c>
      <c r="T729">
        <f t="shared" si="1003"/>
        <v>-1.4623339475384867</v>
      </c>
    </row>
    <row r="730" spans="1:20" x14ac:dyDescent="0.25">
      <c r="A730" s="5">
        <v>43863</v>
      </c>
      <c r="B730">
        <v>4.1700000000000001E-3</v>
      </c>
      <c r="C730">
        <v>4.3E-3</v>
      </c>
      <c r="D730">
        <v>4.0879999999999996E-3</v>
      </c>
      <c r="E730">
        <v>4.1970000000000002E-3</v>
      </c>
      <c r="F730">
        <v>6014120</v>
      </c>
      <c r="G730">
        <v>0</v>
      </c>
      <c r="L730" t="s">
        <v>7</v>
      </c>
      <c r="M730" t="s">
        <v>7</v>
      </c>
      <c r="N730" t="s">
        <v>8</v>
      </c>
      <c r="P730">
        <f t="shared" si="999"/>
        <v>2.8301886792456536E-2</v>
      </c>
      <c r="Q730">
        <f t="shared" si="1000"/>
        <v>170210.94339624871</v>
      </c>
      <c r="R730">
        <f t="shared" si="1001"/>
        <v>-148433983.07384869</v>
      </c>
      <c r="S730">
        <f t="shared" si="1002"/>
        <v>-1484.3398307384869</v>
      </c>
      <c r="T730">
        <f t="shared" si="1003"/>
        <v>-1.4843398307384867</v>
      </c>
    </row>
    <row r="731" spans="1:20" x14ac:dyDescent="0.25">
      <c r="A731" s="5">
        <v>43862</v>
      </c>
      <c r="B731">
        <v>4.091E-3</v>
      </c>
      <c r="C731">
        <v>4.2709999999999996E-3</v>
      </c>
      <c r="D731">
        <v>4.0559999999999997E-3</v>
      </c>
      <c r="E731">
        <v>4.2059999999999997E-3</v>
      </c>
      <c r="F731">
        <v>3849061</v>
      </c>
      <c r="G731">
        <v>0</v>
      </c>
      <c r="L731" t="s">
        <v>7</v>
      </c>
      <c r="M731" t="s">
        <v>7</v>
      </c>
      <c r="N731" t="s">
        <v>8</v>
      </c>
      <c r="P731">
        <f t="shared" si="999"/>
        <v>0.39534883720930253</v>
      </c>
      <c r="Q731">
        <f t="shared" si="1000"/>
        <v>1521721.7906976752</v>
      </c>
      <c r="R731">
        <f t="shared" si="1001"/>
        <v>-148604194.01724494</v>
      </c>
      <c r="S731">
        <f t="shared" si="1002"/>
        <v>-1486.0419401724494</v>
      </c>
      <c r="T731">
        <f t="shared" si="1003"/>
        <v>-1.4860419401724494</v>
      </c>
    </row>
    <row r="732" spans="1:20" x14ac:dyDescent="0.25">
      <c r="A732" s="5">
        <v>43861</v>
      </c>
      <c r="B732">
        <v>4.169E-3</v>
      </c>
      <c r="C732">
        <v>4.4860000000000004E-3</v>
      </c>
      <c r="D732">
        <v>4.0140000000000002E-3</v>
      </c>
      <c r="E732">
        <v>4.1260000000000003E-3</v>
      </c>
      <c r="F732">
        <v>6758231</v>
      </c>
      <c r="G732">
        <v>0</v>
      </c>
      <c r="L732" t="s">
        <v>8</v>
      </c>
      <c r="M732" t="s">
        <v>7</v>
      </c>
      <c r="N732" t="s">
        <v>8</v>
      </c>
      <c r="P732">
        <f t="shared" si="999"/>
        <v>-0.52542372881355903</v>
      </c>
      <c r="Q732">
        <f t="shared" si="1000"/>
        <v>-3550934.9322033878</v>
      </c>
      <c r="R732">
        <f t="shared" si="1001"/>
        <v>-150125915.8079426</v>
      </c>
      <c r="S732">
        <f t="shared" si="1002"/>
        <v>-1501.259158079426</v>
      </c>
      <c r="T732">
        <f t="shared" si="1003"/>
        <v>-1.5012591580794261</v>
      </c>
    </row>
    <row r="733" spans="1:20" x14ac:dyDescent="0.25">
      <c r="A733" s="5">
        <v>43860</v>
      </c>
      <c r="B733">
        <v>4.0920000000000002E-3</v>
      </c>
      <c r="C733">
        <v>4.2459999999999998E-3</v>
      </c>
      <c r="D733">
        <v>4.0140000000000002E-3</v>
      </c>
      <c r="E733">
        <v>4.2170000000000003E-3</v>
      </c>
      <c r="F733">
        <v>5596995</v>
      </c>
      <c r="G733">
        <v>0</v>
      </c>
      <c r="L733" t="s">
        <v>7</v>
      </c>
      <c r="M733" t="s">
        <v>7</v>
      </c>
      <c r="N733" t="s">
        <v>8</v>
      </c>
      <c r="P733">
        <f t="shared" si="999"/>
        <v>0.75000000000000377</v>
      </c>
      <c r="Q733">
        <f t="shared" si="1000"/>
        <v>4197746.2500000214</v>
      </c>
      <c r="R733">
        <f t="shared" si="1001"/>
        <v>-146574980.87573922</v>
      </c>
      <c r="S733">
        <f t="shared" si="1002"/>
        <v>-1465.7498087573922</v>
      </c>
      <c r="T733">
        <f t="shared" si="1003"/>
        <v>-1.4657498087573921</v>
      </c>
    </row>
    <row r="734" spans="1:20" x14ac:dyDescent="0.25">
      <c r="A734" s="5">
        <v>43859</v>
      </c>
      <c r="B734">
        <v>4.0610000000000004E-3</v>
      </c>
      <c r="C734">
        <v>4.7320000000000001E-3</v>
      </c>
      <c r="D734">
        <v>3.9690000000000003E-3</v>
      </c>
      <c r="E734">
        <v>4.0790000000000002E-3</v>
      </c>
      <c r="F734">
        <v>6597323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-0.71166448230668444</v>
      </c>
      <c r="Q734">
        <f t="shared" si="1000"/>
        <v>-4695080.4574049823</v>
      </c>
      <c r="R734">
        <f t="shared" si="1001"/>
        <v>-150772727.12573925</v>
      </c>
      <c r="S734">
        <f t="shared" si="1002"/>
        <v>-1507.7272712573924</v>
      </c>
      <c r="T734">
        <f t="shared" si="1003"/>
        <v>-1.5077272712573924</v>
      </c>
    </row>
    <row r="735" spans="1:20" x14ac:dyDescent="0.25">
      <c r="A735" s="5">
        <v>43858</v>
      </c>
      <c r="B735">
        <v>4.0309999999999999E-3</v>
      </c>
      <c r="C735">
        <v>4.1469999999999996E-3</v>
      </c>
      <c r="D735">
        <v>3.8930000000000002E-3</v>
      </c>
      <c r="E735">
        <v>4.0390000000000001E-3</v>
      </c>
      <c r="F735">
        <v>3523437</v>
      </c>
      <c r="G735">
        <v>0</v>
      </c>
      <c r="L735" t="s">
        <v>7</v>
      </c>
      <c r="M735" t="s">
        <v>7</v>
      </c>
      <c r="N735" t="s">
        <v>8</v>
      </c>
      <c r="P735">
        <f t="shared" si="999"/>
        <v>0.14960629921259982</v>
      </c>
      <c r="Q735">
        <f t="shared" si="1000"/>
        <v>527128.37007874507</v>
      </c>
      <c r="R735">
        <f t="shared" si="1001"/>
        <v>-146077646.66833428</v>
      </c>
      <c r="S735">
        <f t="shared" si="1002"/>
        <v>-1460.7764666833427</v>
      </c>
      <c r="T735">
        <f t="shared" si="1003"/>
        <v>-1.4607764666833427</v>
      </c>
    </row>
    <row r="736" spans="1:20" x14ac:dyDescent="0.25">
      <c r="A736" s="5">
        <v>43857</v>
      </c>
      <c r="B736">
        <v>4.0159999999999996E-3</v>
      </c>
      <c r="C736">
        <v>4.1700000000000001E-3</v>
      </c>
      <c r="D736">
        <v>3.8779999999999999E-3</v>
      </c>
      <c r="E736">
        <v>4.0309999999999999E-3</v>
      </c>
      <c r="F736">
        <v>3732370</v>
      </c>
      <c r="G736">
        <v>0</v>
      </c>
      <c r="L736" t="s">
        <v>7</v>
      </c>
      <c r="M736" t="s">
        <v>7</v>
      </c>
      <c r="N736" t="s">
        <v>8</v>
      </c>
      <c r="P736">
        <f t="shared" si="999"/>
        <v>4.794520547945097E-2</v>
      </c>
      <c r="Q736">
        <f t="shared" si="1000"/>
        <v>178949.24657533842</v>
      </c>
      <c r="R736">
        <f t="shared" si="1001"/>
        <v>-146604775.03841302</v>
      </c>
      <c r="S736">
        <f t="shared" si="1002"/>
        <v>-1466.0477503841303</v>
      </c>
      <c r="T736">
        <f t="shared" si="1003"/>
        <v>-1.4660477503841303</v>
      </c>
    </row>
    <row r="737" spans="1:20" x14ac:dyDescent="0.25">
      <c r="A737" s="5">
        <v>43856</v>
      </c>
      <c r="B737">
        <v>3.8500000000000001E-3</v>
      </c>
      <c r="C737">
        <v>4.7000000000000002E-3</v>
      </c>
      <c r="D737">
        <v>3.8240000000000001E-3</v>
      </c>
      <c r="E737">
        <v>4.0159999999999996E-3</v>
      </c>
      <c r="F737">
        <v>10441823</v>
      </c>
      <c r="G737">
        <v>0</v>
      </c>
      <c r="L737" t="s">
        <v>8</v>
      </c>
      <c r="M737" t="s">
        <v>8</v>
      </c>
      <c r="N737" t="s">
        <v>8</v>
      </c>
      <c r="P737">
        <f t="shared" si="999"/>
        <v>-0.5616438356164396</v>
      </c>
      <c r="Q737">
        <f t="shared" si="1000"/>
        <v>-5864585.5205479581</v>
      </c>
      <c r="R737">
        <f t="shared" si="1001"/>
        <v>-146783724.28498834</v>
      </c>
      <c r="S737">
        <f t="shared" si="1002"/>
        <v>-1467.8372428498835</v>
      </c>
      <c r="T737">
        <f t="shared" si="1003"/>
        <v>-1.4678372428498836</v>
      </c>
    </row>
    <row r="738" spans="1:20" x14ac:dyDescent="0.25">
      <c r="A738" s="5">
        <v>43855</v>
      </c>
      <c r="B738">
        <v>3.96E-3</v>
      </c>
      <c r="C738">
        <v>3.9919999999999999E-3</v>
      </c>
      <c r="D738">
        <v>3.823E-3</v>
      </c>
      <c r="E738">
        <v>3.888E-3</v>
      </c>
      <c r="F738">
        <v>2112010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-0.23076923076923078</v>
      </c>
      <c r="Q738">
        <f t="shared" si="1000"/>
        <v>-487386.92307692312</v>
      </c>
      <c r="R738">
        <f t="shared" si="1001"/>
        <v>-140919138.76444039</v>
      </c>
      <c r="S738">
        <f t="shared" si="1002"/>
        <v>-1409.1913876444039</v>
      </c>
      <c r="T738">
        <f t="shared" si="1003"/>
        <v>-1.409191387644404</v>
      </c>
    </row>
    <row r="739" spans="1:20" x14ac:dyDescent="0.25">
      <c r="A739" s="5">
        <v>43854</v>
      </c>
      <c r="B739">
        <v>4.0229999999999997E-3</v>
      </c>
      <c r="C739">
        <v>4.5009999999999998E-3</v>
      </c>
      <c r="D739">
        <v>3.846E-3</v>
      </c>
      <c r="E739">
        <v>3.9630000000000004E-3</v>
      </c>
      <c r="F739">
        <v>193776195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-0.64274809160305224</v>
      </c>
      <c r="Q739">
        <f t="shared" si="1000"/>
        <v>-124549279.53435092</v>
      </c>
      <c r="R739">
        <f t="shared" si="1001"/>
        <v>-140431751.84136346</v>
      </c>
      <c r="S739">
        <f t="shared" si="1002"/>
        <v>-1404.3175184136346</v>
      </c>
      <c r="T739">
        <f t="shared" si="1003"/>
        <v>-1.4043175184136347</v>
      </c>
    </row>
    <row r="740" spans="1:20" x14ac:dyDescent="0.25">
      <c r="A740" s="5">
        <v>43853</v>
      </c>
      <c r="B740">
        <v>4.1910000000000003E-3</v>
      </c>
      <c r="C740">
        <v>4.1910000000000003E-3</v>
      </c>
      <c r="D740">
        <v>4.0000000000000001E-3</v>
      </c>
      <c r="E740">
        <v>4.0499999999999998E-3</v>
      </c>
      <c r="F740">
        <v>2871583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-0.47643979057591995</v>
      </c>
      <c r="Q740">
        <f t="shared" si="1000"/>
        <v>-1368136.4031413719</v>
      </c>
      <c r="R740">
        <f t="shared" si="1001"/>
        <v>-15882472.30701253</v>
      </c>
      <c r="S740">
        <f t="shared" si="1002"/>
        <v>-158.82472307012529</v>
      </c>
      <c r="T740">
        <f t="shared" si="1003"/>
        <v>-0.1588247230701253</v>
      </c>
    </row>
    <row r="741" spans="1:20" x14ac:dyDescent="0.25">
      <c r="A741" s="5">
        <v>43852</v>
      </c>
      <c r="B741">
        <v>4.3470000000000002E-3</v>
      </c>
      <c r="C741">
        <v>4.3740000000000003E-3</v>
      </c>
      <c r="D741">
        <v>4.0410000000000003E-3</v>
      </c>
      <c r="E741">
        <v>4.1219999999999998E-3</v>
      </c>
      <c r="F741">
        <v>4183121</v>
      </c>
      <c r="G741">
        <v>0</v>
      </c>
      <c r="L741" t="s">
        <v>7</v>
      </c>
      <c r="M741" t="s">
        <v>8</v>
      </c>
      <c r="N741" t="s">
        <v>8</v>
      </c>
      <c r="P741">
        <f t="shared" si="999"/>
        <v>-0.5135135135135166</v>
      </c>
      <c r="Q741">
        <f t="shared" si="1000"/>
        <v>-2148089.1621621749</v>
      </c>
      <c r="R741">
        <f t="shared" si="1001"/>
        <v>-14514335.903871158</v>
      </c>
      <c r="S741">
        <f t="shared" si="1002"/>
        <v>-145.14335903871159</v>
      </c>
      <c r="T741">
        <f t="shared" si="1003"/>
        <v>-0.14514335903871159</v>
      </c>
    </row>
    <row r="742" spans="1:20" x14ac:dyDescent="0.25">
      <c r="A742" s="5">
        <v>43851</v>
      </c>
      <c r="B742">
        <v>4.0000000000000001E-3</v>
      </c>
      <c r="C742">
        <v>4.6169999999999996E-3</v>
      </c>
      <c r="D742">
        <v>4.0000000000000001E-3</v>
      </c>
      <c r="E742">
        <v>4.3020000000000003E-3</v>
      </c>
      <c r="F742">
        <v>20603859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-2.1069692058345437E-2</v>
      </c>
      <c r="Q742">
        <f t="shared" si="1000"/>
        <v>-434116.96434356918</v>
      </c>
      <c r="R742">
        <f t="shared" si="1001"/>
        <v>-12366246.741708983</v>
      </c>
      <c r="S742">
        <f t="shared" si="1002"/>
        <v>-123.66246741708983</v>
      </c>
      <c r="T742">
        <f t="shared" si="1003"/>
        <v>-0.12366246741708983</v>
      </c>
    </row>
    <row r="743" spans="1:20" x14ac:dyDescent="0.25">
      <c r="A743" s="5">
        <v>43850</v>
      </c>
      <c r="B743">
        <v>4.0390000000000001E-3</v>
      </c>
      <c r="C743">
        <v>4.0899999999999999E-3</v>
      </c>
      <c r="D743">
        <v>4.0000000000000001E-3</v>
      </c>
      <c r="E743">
        <v>4.0000000000000001E-3</v>
      </c>
      <c r="F743">
        <v>2985154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-1</v>
      </c>
      <c r="Q743">
        <f t="shared" si="1000"/>
        <v>-2985154</v>
      </c>
      <c r="R743">
        <f t="shared" si="1001"/>
        <v>-11932129.777365414</v>
      </c>
      <c r="S743">
        <f t="shared" si="1002"/>
        <v>-119.32129777365414</v>
      </c>
      <c r="T743">
        <f t="shared" si="1003"/>
        <v>-0.11932129777365413</v>
      </c>
    </row>
    <row r="744" spans="1:20" x14ac:dyDescent="0.25">
      <c r="A744" s="5">
        <v>43849</v>
      </c>
      <c r="B744">
        <v>4.1989999999999996E-3</v>
      </c>
      <c r="C744">
        <v>4.3169999999999997E-3</v>
      </c>
      <c r="D744">
        <v>3.901E-3</v>
      </c>
      <c r="E744">
        <v>4.0899999999999999E-3</v>
      </c>
      <c r="F744">
        <v>8678638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-9.1346153846153522E-2</v>
      </c>
      <c r="Q744">
        <f t="shared" si="1000"/>
        <v>-792760.20192307408</v>
      </c>
      <c r="R744">
        <f t="shared" si="1001"/>
        <v>-8946975.7773654144</v>
      </c>
      <c r="S744">
        <f t="shared" si="1002"/>
        <v>-89.469757773654138</v>
      </c>
      <c r="T744">
        <f t="shared" si="1003"/>
        <v>-8.9469757773654138E-2</v>
      </c>
    </row>
    <row r="745" spans="1:20" x14ac:dyDescent="0.25">
      <c r="A745" s="5">
        <v>43848</v>
      </c>
      <c r="B745">
        <v>4.3020000000000003E-3</v>
      </c>
      <c r="C745">
        <v>4.3660000000000001E-3</v>
      </c>
      <c r="D745">
        <v>4.065E-3</v>
      </c>
      <c r="E745">
        <v>4.1219999999999998E-3</v>
      </c>
      <c r="F745">
        <v>3606956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-0.62126245847176242</v>
      </c>
      <c r="Q745">
        <f t="shared" si="1000"/>
        <v>-2240866.3521594745</v>
      </c>
      <c r="R745">
        <f t="shared" si="1001"/>
        <v>-8154215.5754423402</v>
      </c>
      <c r="S745">
        <f t="shared" si="1002"/>
        <v>-81.542155754423405</v>
      </c>
      <c r="T745">
        <f t="shared" si="1003"/>
        <v>-8.1542155754423404E-2</v>
      </c>
    </row>
    <row r="746" spans="1:20" x14ac:dyDescent="0.25">
      <c r="A746" s="5">
        <v>43847</v>
      </c>
      <c r="B746">
        <v>4.424E-3</v>
      </c>
      <c r="C746">
        <v>4.5059999999999996E-3</v>
      </c>
      <c r="D746">
        <v>4.2030000000000001E-3</v>
      </c>
      <c r="E746">
        <v>4.3020000000000003E-3</v>
      </c>
      <c r="F746">
        <v>5517916</v>
      </c>
      <c r="G746">
        <v>0</v>
      </c>
      <c r="L746" t="s">
        <v>7</v>
      </c>
      <c r="M746" t="s">
        <v>8</v>
      </c>
      <c r="N746" t="s">
        <v>8</v>
      </c>
      <c r="P746">
        <f t="shared" si="999"/>
        <v>-0.34653465346534451</v>
      </c>
      <c r="Q746">
        <f t="shared" si="1000"/>
        <v>-1912149.1089108798</v>
      </c>
      <c r="R746">
        <f t="shared" si="1001"/>
        <v>-5913349.2232828652</v>
      </c>
      <c r="S746">
        <f t="shared" si="1002"/>
        <v>-59.133492232828651</v>
      </c>
      <c r="T746">
        <f t="shared" si="1003"/>
        <v>-5.9133492232828648E-2</v>
      </c>
    </row>
    <row r="747" spans="1:20" x14ac:dyDescent="0.25">
      <c r="A747" s="5">
        <v>43846</v>
      </c>
      <c r="B747">
        <v>4.2199999999999998E-3</v>
      </c>
      <c r="C747">
        <v>4.6049999999999997E-3</v>
      </c>
      <c r="D747">
        <v>4.0229999999999997E-3</v>
      </c>
      <c r="E747">
        <v>4.4640000000000001E-3</v>
      </c>
      <c r="F747">
        <v>17607798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0.51546391752577447</v>
      </c>
      <c r="Q747">
        <f t="shared" si="1000"/>
        <v>9076184.5360824969</v>
      </c>
      <c r="R747">
        <f t="shared" si="1001"/>
        <v>-4001200.1143719852</v>
      </c>
      <c r="S747">
        <f t="shared" si="1002"/>
        <v>-40.01200114371985</v>
      </c>
      <c r="T747">
        <f t="shared" si="1003"/>
        <v>-4.0012001143719847E-2</v>
      </c>
    </row>
    <row r="748" spans="1:20" x14ac:dyDescent="0.25">
      <c r="A748" s="5">
        <v>43845</v>
      </c>
      <c r="B748">
        <v>3.7460000000000002E-3</v>
      </c>
      <c r="C748">
        <v>4.3E-3</v>
      </c>
      <c r="D748">
        <v>3.666E-3</v>
      </c>
      <c r="E748">
        <v>4.2199999999999998E-3</v>
      </c>
      <c r="F748">
        <v>14535237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0.74763406940063026</v>
      </c>
      <c r="Q748">
        <f t="shared" si="1000"/>
        <v>10867038.388012609</v>
      </c>
      <c r="R748">
        <f t="shared" si="1001"/>
        <v>-13077384.650454482</v>
      </c>
      <c r="S748">
        <f t="shared" si="1002"/>
        <v>-130.77384650454482</v>
      </c>
      <c r="T748">
        <f t="shared" si="1003"/>
        <v>-0.13077384650454482</v>
      </c>
    </row>
    <row r="749" spans="1:20" x14ac:dyDescent="0.25">
      <c r="A749" s="5">
        <v>43844</v>
      </c>
      <c r="B749">
        <v>3.5790000000000001E-3</v>
      </c>
      <c r="C749">
        <v>4.0499999999999998E-3</v>
      </c>
      <c r="D749">
        <v>3.4849999999999998E-3</v>
      </c>
      <c r="E749">
        <v>3.7599999999999999E-3</v>
      </c>
      <c r="F749">
        <v>19459411</v>
      </c>
      <c r="G749">
        <v>0</v>
      </c>
      <c r="L749" t="s">
        <v>7</v>
      </c>
      <c r="M749" t="s">
        <v>8</v>
      </c>
      <c r="N749" t="s">
        <v>7</v>
      </c>
      <c r="P749">
        <f t="shared" si="999"/>
        <v>-2.6548672566371369E-2</v>
      </c>
      <c r="Q749">
        <f t="shared" si="1000"/>
        <v>-516621.53097344522</v>
      </c>
      <c r="R749">
        <f t="shared" si="1001"/>
        <v>-23944423.038467091</v>
      </c>
      <c r="S749">
        <f t="shared" si="1002"/>
        <v>-239.4442303846709</v>
      </c>
      <c r="T749">
        <f t="shared" si="1003"/>
        <v>-0.23944423038467091</v>
      </c>
    </row>
    <row r="750" spans="1:20" x14ac:dyDescent="0.25">
      <c r="A750" s="5">
        <v>43843</v>
      </c>
      <c r="B750">
        <v>3.6319999999999998E-3</v>
      </c>
      <c r="C750">
        <v>4.0480000000000004E-3</v>
      </c>
      <c r="D750">
        <v>3.5660000000000002E-3</v>
      </c>
      <c r="E750">
        <v>3.581E-3</v>
      </c>
      <c r="F750">
        <v>10062652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-0.93775933609958584</v>
      </c>
      <c r="Q750">
        <f t="shared" si="1000"/>
        <v>-9436345.8589211702</v>
      </c>
      <c r="R750">
        <f t="shared" si="1001"/>
        <v>-23427801.507493645</v>
      </c>
      <c r="S750">
        <f t="shared" si="1002"/>
        <v>-234.27801507493646</v>
      </c>
      <c r="T750">
        <f t="shared" si="1003"/>
        <v>-0.23427801507493645</v>
      </c>
    </row>
    <row r="751" spans="1:20" x14ac:dyDescent="0.25">
      <c r="A751" s="5">
        <v>43842</v>
      </c>
      <c r="B751">
        <v>3.6240000000000001E-3</v>
      </c>
      <c r="C751">
        <v>3.7399999999999998E-3</v>
      </c>
      <c r="D751">
        <v>3.542E-3</v>
      </c>
      <c r="E751">
        <v>3.6350000000000002E-3</v>
      </c>
      <c r="F751">
        <v>6814369</v>
      </c>
      <c r="G751">
        <v>0</v>
      </c>
      <c r="L751" t="s">
        <v>7</v>
      </c>
      <c r="M751" t="s">
        <v>8</v>
      </c>
      <c r="N751" t="s">
        <v>7</v>
      </c>
      <c r="P751">
        <f t="shared" si="999"/>
        <v>-6.0606060606057749E-2</v>
      </c>
      <c r="Q751">
        <f t="shared" si="1000"/>
        <v>-412992.06060604111</v>
      </c>
      <c r="R751">
        <f t="shared" si="1001"/>
        <v>-13991455.648572477</v>
      </c>
      <c r="S751">
        <f t="shared" si="1002"/>
        <v>-139.91455648572477</v>
      </c>
      <c r="T751">
        <f t="shared" si="1003"/>
        <v>-0.13991455648572476</v>
      </c>
    </row>
    <row r="752" spans="1:20" x14ac:dyDescent="0.25">
      <c r="A752" s="5">
        <v>43841</v>
      </c>
      <c r="B752">
        <v>3.6570000000000001E-3</v>
      </c>
      <c r="C752">
        <v>4.0899999999999999E-3</v>
      </c>
      <c r="D752">
        <v>3.5669999999999999E-3</v>
      </c>
      <c r="E752">
        <v>3.6240000000000001E-3</v>
      </c>
      <c r="F752">
        <v>6052334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-0.78202676864244669</v>
      </c>
      <c r="Q752">
        <f t="shared" si="1000"/>
        <v>-4733087.2007648144</v>
      </c>
      <c r="R752">
        <f t="shared" si="1001"/>
        <v>-13578463.587966435</v>
      </c>
      <c r="S752">
        <f t="shared" si="1002"/>
        <v>-135.78463587966434</v>
      </c>
      <c r="T752">
        <f t="shared" si="1003"/>
        <v>-0.13578463587966433</v>
      </c>
    </row>
    <row r="753" spans="1:20" x14ac:dyDescent="0.25">
      <c r="A753" s="5">
        <v>43840</v>
      </c>
      <c r="B753">
        <v>3.4859999999999999E-3</v>
      </c>
      <c r="C753">
        <v>3.6579999999999998E-3</v>
      </c>
      <c r="D753">
        <v>3.4619999999999998E-3</v>
      </c>
      <c r="E753">
        <v>3.6519999999999999E-3</v>
      </c>
      <c r="F753">
        <v>2539403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0.93877551020408234</v>
      </c>
      <c r="Q753">
        <f t="shared" si="1000"/>
        <v>2383929.3469387772</v>
      </c>
      <c r="R753">
        <f t="shared" si="1001"/>
        <v>-8845376.3872016203</v>
      </c>
      <c r="S753">
        <f t="shared" si="1002"/>
        <v>-88.453763872016197</v>
      </c>
      <c r="T753">
        <f t="shared" si="1003"/>
        <v>-8.84537638720162E-2</v>
      </c>
    </row>
    <row r="754" spans="1:20" x14ac:dyDescent="0.25">
      <c r="A754" s="5">
        <v>43839</v>
      </c>
      <c r="B754">
        <v>3.6020000000000002E-3</v>
      </c>
      <c r="C754">
        <v>3.6449999999999998E-3</v>
      </c>
      <c r="D754">
        <v>3.4450000000000001E-3</v>
      </c>
      <c r="E754">
        <v>3.4680000000000002E-3</v>
      </c>
      <c r="F754">
        <v>2250624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-0.76999999999999946</v>
      </c>
      <c r="Q754">
        <f t="shared" si="1000"/>
        <v>-1732980.4799999988</v>
      </c>
      <c r="R754">
        <f t="shared" si="1001"/>
        <v>-11229305.734140398</v>
      </c>
      <c r="S754">
        <f t="shared" si="1002"/>
        <v>-112.29305734140398</v>
      </c>
      <c r="T754">
        <f t="shared" si="1003"/>
        <v>-0.11229305734140398</v>
      </c>
    </row>
    <row r="755" spans="1:20" x14ac:dyDescent="0.25">
      <c r="A755" s="5">
        <v>43838</v>
      </c>
      <c r="B755">
        <v>3.8409999999999998E-3</v>
      </c>
      <c r="C755">
        <v>3.8909999999999999E-3</v>
      </c>
      <c r="D755">
        <v>3.5439999999999998E-3</v>
      </c>
      <c r="E755">
        <v>3.6419999999999998E-3</v>
      </c>
      <c r="F755">
        <v>4830244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-0.43515850144092233</v>
      </c>
      <c r="Q755">
        <f t="shared" si="1000"/>
        <v>-2101921.7406340064</v>
      </c>
      <c r="R755">
        <f t="shared" si="1001"/>
        <v>-9496325.2541403994</v>
      </c>
      <c r="S755">
        <f t="shared" si="1002"/>
        <v>-94.963252541403989</v>
      </c>
      <c r="T755">
        <f t="shared" si="1003"/>
        <v>-9.4963252541403989E-2</v>
      </c>
    </row>
    <row r="756" spans="1:20" x14ac:dyDescent="0.25">
      <c r="A756" s="5">
        <v>43837</v>
      </c>
      <c r="B756">
        <v>3.7569999999999999E-3</v>
      </c>
      <c r="C756">
        <v>3.9269999999999999E-3</v>
      </c>
      <c r="D756">
        <v>3.673E-3</v>
      </c>
      <c r="E756">
        <v>3.8409999999999998E-3</v>
      </c>
      <c r="F756">
        <v>3553494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0.32283464566928993</v>
      </c>
      <c r="Q756">
        <f t="shared" si="1000"/>
        <v>1147190.9763779477</v>
      </c>
      <c r="R756">
        <f t="shared" si="1001"/>
        <v>-7394403.5135063939</v>
      </c>
      <c r="S756">
        <f t="shared" si="1002"/>
        <v>-73.944035135063942</v>
      </c>
      <c r="T756">
        <f t="shared" si="1003"/>
        <v>-7.3944035135063937E-2</v>
      </c>
    </row>
    <row r="757" spans="1:20" x14ac:dyDescent="0.25">
      <c r="A757" s="5">
        <v>43836</v>
      </c>
      <c r="B757">
        <v>3.5179999999999999E-3</v>
      </c>
      <c r="C757">
        <v>3.823E-3</v>
      </c>
      <c r="D757">
        <v>3.4970000000000001E-3</v>
      </c>
      <c r="E757">
        <v>3.7669999999999999E-3</v>
      </c>
      <c r="F757">
        <v>2968638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0.65644171779141058</v>
      </c>
      <c r="Q757">
        <f t="shared" si="1000"/>
        <v>1948737.8282208575</v>
      </c>
      <c r="R757">
        <f t="shared" si="1001"/>
        <v>-8541594.4898843411</v>
      </c>
      <c r="S757">
        <f t="shared" si="1002"/>
        <v>-85.415944898843406</v>
      </c>
      <c r="T757">
        <f t="shared" si="1003"/>
        <v>-8.541594489884341E-2</v>
      </c>
    </row>
    <row r="758" spans="1:20" x14ac:dyDescent="0.25">
      <c r="A758" s="5">
        <v>43835</v>
      </c>
      <c r="B758">
        <v>3.5490000000000001E-3</v>
      </c>
      <c r="C758">
        <v>3.6180000000000001E-3</v>
      </c>
      <c r="D758">
        <v>3.5140000000000002E-3</v>
      </c>
      <c r="E758">
        <v>3.565E-3</v>
      </c>
      <c r="F758">
        <v>978093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-1.9230769230771796E-2</v>
      </c>
      <c r="Q758">
        <f t="shared" si="1000"/>
        <v>-18809.48076923328</v>
      </c>
      <c r="R758">
        <f t="shared" si="1001"/>
        <v>-10490332.318105198</v>
      </c>
      <c r="S758">
        <f t="shared" si="1002"/>
        <v>-104.90332318105199</v>
      </c>
      <c r="T758">
        <f t="shared" si="1003"/>
        <v>-0.10490332318105199</v>
      </c>
    </row>
    <row r="759" spans="1:20" x14ac:dyDescent="0.25">
      <c r="A759" s="5">
        <v>43834</v>
      </c>
      <c r="B759">
        <v>3.4099999999999998E-3</v>
      </c>
      <c r="C759">
        <v>3.565E-3</v>
      </c>
      <c r="D759">
        <v>3.3600000000000001E-3</v>
      </c>
      <c r="E759">
        <v>3.5430000000000001E-3</v>
      </c>
      <c r="F759">
        <v>4689902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0.78536585365853762</v>
      </c>
      <c r="Q759">
        <f t="shared" si="1000"/>
        <v>3683288.8878048831</v>
      </c>
      <c r="R759">
        <f t="shared" si="1001"/>
        <v>-10471522.837335965</v>
      </c>
      <c r="S759">
        <f t="shared" si="1002"/>
        <v>-104.71522837335965</v>
      </c>
      <c r="T759">
        <f t="shared" si="1003"/>
        <v>-0.10471522837335966</v>
      </c>
    </row>
    <row r="760" spans="1:20" x14ac:dyDescent="0.25">
      <c r="A760" s="5">
        <v>43833</v>
      </c>
      <c r="B760">
        <v>3.3279999999999998E-3</v>
      </c>
      <c r="C760">
        <v>3.4220000000000001E-3</v>
      </c>
      <c r="D760">
        <v>3.2650000000000001E-3</v>
      </c>
      <c r="E760">
        <v>3.4099999999999998E-3</v>
      </c>
      <c r="F760">
        <v>1969762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0.8471337579617797</v>
      </c>
      <c r="Q760">
        <f t="shared" si="1000"/>
        <v>1668651.8853503112</v>
      </c>
      <c r="R760">
        <f t="shared" si="1001"/>
        <v>-14154811.725140847</v>
      </c>
      <c r="S760">
        <f t="shared" si="1002"/>
        <v>-141.54811725140848</v>
      </c>
      <c r="T760">
        <f t="shared" si="1003"/>
        <v>-0.14154811725140848</v>
      </c>
    </row>
    <row r="761" spans="1:20" x14ac:dyDescent="0.25">
      <c r="A761" s="5">
        <v>43832</v>
      </c>
      <c r="B761">
        <v>3.46E-3</v>
      </c>
      <c r="C761">
        <v>3.46E-3</v>
      </c>
      <c r="D761">
        <v>3.2629999999999998E-3</v>
      </c>
      <c r="E761">
        <v>3.3579999999999999E-3</v>
      </c>
      <c r="F761">
        <v>694348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-3.5532994923858162E-2</v>
      </c>
      <c r="Q761">
        <f t="shared" si="1000"/>
        <v>-24672.263959391068</v>
      </c>
      <c r="R761">
        <f t="shared" si="1001"/>
        <v>-15823463.610491158</v>
      </c>
      <c r="S761">
        <f t="shared" si="1002"/>
        <v>-158.23463610491157</v>
      </c>
      <c r="T761">
        <f t="shared" si="1003"/>
        <v>-0.15823463610491156</v>
      </c>
    </row>
    <row r="762" spans="1:20" x14ac:dyDescent="0.25">
      <c r="A762" s="5">
        <v>43831</v>
      </c>
      <c r="B762">
        <v>3.359E-3</v>
      </c>
      <c r="C762">
        <v>3.5000000000000001E-3</v>
      </c>
      <c r="D762">
        <v>3.3300000000000001E-3</v>
      </c>
      <c r="E762">
        <v>3.457E-3</v>
      </c>
      <c r="F762">
        <v>712194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0.49411764705882277</v>
      </c>
      <c r="Q762">
        <f t="shared" si="1000"/>
        <v>351907.62352941121</v>
      </c>
      <c r="R762">
        <f t="shared" si="1001"/>
        <v>-15798791.346531767</v>
      </c>
      <c r="S762">
        <f t="shared" si="1002"/>
        <v>-157.98791346531766</v>
      </c>
      <c r="T762">
        <f t="shared" si="1003"/>
        <v>-0.15798791346531765</v>
      </c>
    </row>
    <row r="763" spans="1:20" x14ac:dyDescent="0.25">
      <c r="A763" s="5">
        <v>43830</v>
      </c>
      <c r="B763">
        <v>3.4610000000000001E-3</v>
      </c>
      <c r="C763">
        <v>3.5500000000000002E-3</v>
      </c>
      <c r="D763">
        <v>3.3E-3</v>
      </c>
      <c r="E763">
        <v>3.3400000000000001E-3</v>
      </c>
      <c r="F763">
        <v>1445091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-0.67999999999999949</v>
      </c>
      <c r="Q763">
        <f t="shared" si="1000"/>
        <v>-982661.87999999931</v>
      </c>
      <c r="R763">
        <f t="shared" si="1001"/>
        <v>-16150698.970061179</v>
      </c>
      <c r="S763">
        <f t="shared" si="1002"/>
        <v>-161.5069897006118</v>
      </c>
      <c r="T763">
        <f t="shared" si="1003"/>
        <v>-0.16150698970061181</v>
      </c>
    </row>
    <row r="764" spans="1:20" x14ac:dyDescent="0.25">
      <c r="A764" s="5">
        <v>43829</v>
      </c>
      <c r="B764">
        <v>3.5000000000000001E-3</v>
      </c>
      <c r="C764">
        <v>3.5990000000000002E-3</v>
      </c>
      <c r="D764">
        <v>3.4280000000000001E-3</v>
      </c>
      <c r="E764">
        <v>3.5140000000000002E-3</v>
      </c>
      <c r="F764">
        <v>3192707</v>
      </c>
      <c r="G764">
        <v>0</v>
      </c>
      <c r="L764" t="s">
        <v>7</v>
      </c>
      <c r="M764" t="s">
        <v>8</v>
      </c>
      <c r="N764" t="s">
        <v>7</v>
      </c>
      <c r="P764">
        <f t="shared" si="999"/>
        <v>5.8479532163750406E-3</v>
      </c>
      <c r="Q764">
        <f t="shared" si="1000"/>
        <v>18670.801169593105</v>
      </c>
      <c r="R764">
        <f t="shared" si="1001"/>
        <v>-15168037.09006118</v>
      </c>
      <c r="S764">
        <f t="shared" si="1002"/>
        <v>-151.68037090061179</v>
      </c>
      <c r="T764">
        <f t="shared" si="1003"/>
        <v>-0.15168037090061179</v>
      </c>
    </row>
    <row r="765" spans="1:20" x14ac:dyDescent="0.25">
      <c r="A765" s="5">
        <v>43828</v>
      </c>
      <c r="B765">
        <v>3.5200000000000001E-3</v>
      </c>
      <c r="C765">
        <v>3.5739999999999999E-3</v>
      </c>
      <c r="D765">
        <v>3.4280000000000001E-3</v>
      </c>
      <c r="E765">
        <v>3.4499999999999999E-3</v>
      </c>
      <c r="F765">
        <v>646839</v>
      </c>
      <c r="G765">
        <v>0</v>
      </c>
      <c r="L765" t="s">
        <v>7</v>
      </c>
      <c r="M765" t="s">
        <v>8</v>
      </c>
      <c r="N765" t="s">
        <v>7</v>
      </c>
      <c r="P765">
        <f t="shared" si="999"/>
        <v>-0.69863013698630272</v>
      </c>
      <c r="Q765">
        <f t="shared" si="1000"/>
        <v>-451901.21917808306</v>
      </c>
      <c r="R765">
        <f t="shared" si="1001"/>
        <v>-15186707.891230773</v>
      </c>
      <c r="S765">
        <f t="shared" si="1002"/>
        <v>-151.86707891230773</v>
      </c>
      <c r="T765">
        <f t="shared" si="1003"/>
        <v>-0.15186707891230775</v>
      </c>
    </row>
    <row r="766" spans="1:20" x14ac:dyDescent="0.25">
      <c r="A766" s="5">
        <v>43827</v>
      </c>
      <c r="B766">
        <v>3.4759999999999999E-3</v>
      </c>
      <c r="C766">
        <v>3.5660000000000002E-3</v>
      </c>
      <c r="D766">
        <v>3.421E-3</v>
      </c>
      <c r="E766">
        <v>3.5019999999999999E-3</v>
      </c>
      <c r="F766">
        <v>1236036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0.11724137931034231</v>
      </c>
      <c r="Q766">
        <f t="shared" si="1000"/>
        <v>144914.56551723828</v>
      </c>
      <c r="R766">
        <f t="shared" si="1001"/>
        <v>-14734806.672052691</v>
      </c>
      <c r="S766">
        <f t="shared" si="1002"/>
        <v>-147.3480667205269</v>
      </c>
      <c r="T766">
        <f t="shared" si="1003"/>
        <v>-0.14734806672052689</v>
      </c>
    </row>
    <row r="767" spans="1:20" x14ac:dyDescent="0.25">
      <c r="A767" s="5">
        <v>43826</v>
      </c>
      <c r="B767">
        <v>3.542E-3</v>
      </c>
      <c r="C767">
        <v>3.6189999999999998E-3</v>
      </c>
      <c r="D767">
        <v>3.362E-3</v>
      </c>
      <c r="E767">
        <v>3.4759999999999999E-3</v>
      </c>
      <c r="F767">
        <v>1678424</v>
      </c>
      <c r="G767">
        <v>0</v>
      </c>
      <c r="L767" t="s">
        <v>7</v>
      </c>
      <c r="M767" t="s">
        <v>8</v>
      </c>
      <c r="N767" t="s">
        <v>7</v>
      </c>
      <c r="P767">
        <f t="shared" ref="P767:P810" si="1004">IF(C767=D767,0,((E767-D767)-(C767-E767))/(C767-D767))</f>
        <v>-0.11284046692606989</v>
      </c>
      <c r="Q767">
        <f t="shared" ref="Q767:Q810" si="1005">F767*P767</f>
        <v>-189394.14785992191</v>
      </c>
      <c r="R767">
        <f t="shared" ref="R767:R810" si="1006">R768+Q767</f>
        <v>-14879721.237569928</v>
      </c>
      <c r="S767">
        <f t="shared" ref="S767:S810" si="1007">R767/100000</f>
        <v>-148.79721237569927</v>
      </c>
      <c r="T767">
        <f t="shared" ref="T767:T810" si="1008">S767/1000</f>
        <v>-0.14879721237569926</v>
      </c>
    </row>
    <row r="768" spans="1:20" x14ac:dyDescent="0.25">
      <c r="A768" s="5">
        <v>43825</v>
      </c>
      <c r="B768">
        <v>3.5109999999999998E-3</v>
      </c>
      <c r="C768">
        <v>3.6159999999999999E-3</v>
      </c>
      <c r="D768">
        <v>3.437E-3</v>
      </c>
      <c r="E768">
        <v>3.5630000000000002E-3</v>
      </c>
      <c r="F768">
        <v>2283907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0.40782122905028279</v>
      </c>
      <c r="Q768">
        <f t="shared" si="1005"/>
        <v>931425.75977654418</v>
      </c>
      <c r="R768">
        <f t="shared" si="1006"/>
        <v>-14690327.089710006</v>
      </c>
      <c r="S768">
        <f t="shared" si="1007"/>
        <v>-146.90327089710007</v>
      </c>
      <c r="T768">
        <f t="shared" si="1008"/>
        <v>-0.14690327089710006</v>
      </c>
    </row>
    <row r="769" spans="1:20" x14ac:dyDescent="0.25">
      <c r="A769" s="5">
        <v>43824</v>
      </c>
      <c r="B769">
        <v>3.5370000000000002E-3</v>
      </c>
      <c r="C769">
        <v>3.6129999999999999E-3</v>
      </c>
      <c r="D769">
        <v>3.4299999999999999E-3</v>
      </c>
      <c r="E769">
        <v>3.5109999999999998E-3</v>
      </c>
      <c r="F769">
        <v>1764998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-0.11475409836065675</v>
      </c>
      <c r="Q769">
        <f t="shared" si="1005"/>
        <v>-202540.75409836243</v>
      </c>
      <c r="R769">
        <f t="shared" si="1006"/>
        <v>-15621752.84948655</v>
      </c>
      <c r="S769">
        <f t="shared" si="1007"/>
        <v>-156.21752849486549</v>
      </c>
      <c r="T769">
        <f t="shared" si="1008"/>
        <v>-0.1562175284948655</v>
      </c>
    </row>
    <row r="770" spans="1:20" x14ac:dyDescent="0.25">
      <c r="A770" s="5">
        <v>43823</v>
      </c>
      <c r="B770">
        <v>3.5999999999999999E-3</v>
      </c>
      <c r="C770">
        <v>3.6310000000000001E-3</v>
      </c>
      <c r="D770">
        <v>3.5119999999999999E-3</v>
      </c>
      <c r="E770">
        <v>3.5119999999999999E-3</v>
      </c>
      <c r="F770">
        <v>1377944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-1</v>
      </c>
      <c r="Q770">
        <f t="shared" si="1005"/>
        <v>-1377944</v>
      </c>
      <c r="R770">
        <f t="shared" si="1006"/>
        <v>-15419212.095388187</v>
      </c>
      <c r="S770">
        <f t="shared" si="1007"/>
        <v>-154.19212095388187</v>
      </c>
      <c r="T770">
        <f t="shared" si="1008"/>
        <v>-0.15419212095388188</v>
      </c>
    </row>
    <row r="771" spans="1:20" x14ac:dyDescent="0.25">
      <c r="A771" s="5">
        <v>43822</v>
      </c>
      <c r="B771">
        <v>3.6080000000000001E-3</v>
      </c>
      <c r="C771">
        <v>3.9259999999999998E-3</v>
      </c>
      <c r="D771">
        <v>3.5049999999999999E-3</v>
      </c>
      <c r="E771">
        <v>3.5999999999999999E-3</v>
      </c>
      <c r="F771">
        <v>11161863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-0.54869358669833712</v>
      </c>
      <c r="Q771">
        <f t="shared" si="1005"/>
        <v>-6124442.6437054612</v>
      </c>
      <c r="R771">
        <f t="shared" si="1006"/>
        <v>-14041268.095388187</v>
      </c>
      <c r="S771">
        <f t="shared" si="1007"/>
        <v>-140.41268095388187</v>
      </c>
      <c r="T771">
        <f t="shared" si="1008"/>
        <v>-0.14041268095388187</v>
      </c>
    </row>
    <row r="772" spans="1:20" x14ac:dyDescent="0.25">
      <c r="A772" s="5">
        <v>43821</v>
      </c>
      <c r="B772">
        <v>3.4499999999999999E-3</v>
      </c>
      <c r="C772">
        <v>3.5999999999999999E-3</v>
      </c>
      <c r="D772">
        <v>3.4169999999999999E-3</v>
      </c>
      <c r="E772">
        <v>3.5999999999999999E-3</v>
      </c>
      <c r="F772">
        <v>4643991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1</v>
      </c>
      <c r="Q772">
        <f t="shared" si="1005"/>
        <v>4643991</v>
      </c>
      <c r="R772">
        <f t="shared" si="1006"/>
        <v>-7916825.4516827259</v>
      </c>
      <c r="S772">
        <f t="shared" si="1007"/>
        <v>-79.168254516827261</v>
      </c>
      <c r="T772">
        <f t="shared" si="1008"/>
        <v>-7.9168254516827255E-2</v>
      </c>
    </row>
    <row r="773" spans="1:20" x14ac:dyDescent="0.25">
      <c r="A773" s="5">
        <v>43820</v>
      </c>
      <c r="B773">
        <v>3.591E-3</v>
      </c>
      <c r="C773">
        <v>3.7209999999999999E-3</v>
      </c>
      <c r="D773">
        <v>3.3700000000000002E-3</v>
      </c>
      <c r="E773">
        <v>3.5079999999999998E-3</v>
      </c>
      <c r="F773">
        <v>4670753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-0.213675213675215</v>
      </c>
      <c r="Q773">
        <f t="shared" si="1005"/>
        <v>-998024.14529915142</v>
      </c>
      <c r="R773">
        <f t="shared" si="1006"/>
        <v>-12560816.451682726</v>
      </c>
      <c r="S773">
        <f t="shared" si="1007"/>
        <v>-125.60816451682726</v>
      </c>
      <c r="T773">
        <f t="shared" si="1008"/>
        <v>-0.12560816451682727</v>
      </c>
    </row>
    <row r="774" spans="1:20" x14ac:dyDescent="0.25">
      <c r="A774" s="5">
        <v>43819</v>
      </c>
      <c r="B774">
        <v>3.5929999999999998E-3</v>
      </c>
      <c r="C774">
        <v>3.6350000000000002E-3</v>
      </c>
      <c r="D774">
        <v>3.5530000000000002E-3</v>
      </c>
      <c r="E774">
        <v>3.6319999999999998E-3</v>
      </c>
      <c r="F774">
        <v>975142</v>
      </c>
      <c r="G774">
        <v>0</v>
      </c>
      <c r="L774" t="s">
        <v>7</v>
      </c>
      <c r="M774" t="s">
        <v>8</v>
      </c>
      <c r="N774" t="s">
        <v>7</v>
      </c>
      <c r="P774">
        <f t="shared" si="1004"/>
        <v>0.9268292682926732</v>
      </c>
      <c r="Q774">
        <f t="shared" si="1005"/>
        <v>903790.14634145389</v>
      </c>
      <c r="R774">
        <f t="shared" si="1006"/>
        <v>-11562792.306383574</v>
      </c>
      <c r="S774">
        <f t="shared" si="1007"/>
        <v>-115.62792306383574</v>
      </c>
      <c r="T774">
        <f t="shared" si="1008"/>
        <v>-0.11562792306383574</v>
      </c>
    </row>
    <row r="775" spans="1:20" x14ac:dyDescent="0.25">
      <c r="A775" s="5">
        <v>43818</v>
      </c>
      <c r="B775">
        <v>3.5119999999999999E-3</v>
      </c>
      <c r="C775">
        <v>3.8560000000000001E-3</v>
      </c>
      <c r="D775">
        <v>3.3960000000000001E-3</v>
      </c>
      <c r="E775">
        <v>3.6519999999999999E-3</v>
      </c>
      <c r="F775">
        <v>5388707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0.11304347826086857</v>
      </c>
      <c r="Q775">
        <f t="shared" si="1005"/>
        <v>609158.18260869023</v>
      </c>
      <c r="R775">
        <f t="shared" si="1006"/>
        <v>-12466582.452725029</v>
      </c>
      <c r="S775">
        <f t="shared" si="1007"/>
        <v>-124.66582452725028</v>
      </c>
      <c r="T775">
        <f t="shared" si="1008"/>
        <v>-0.12466582452725028</v>
      </c>
    </row>
    <row r="776" spans="1:20" x14ac:dyDescent="0.25">
      <c r="A776" s="5">
        <v>43817</v>
      </c>
      <c r="B776">
        <v>3.2520000000000001E-3</v>
      </c>
      <c r="C776">
        <v>3.5539999999999999E-3</v>
      </c>
      <c r="D776">
        <v>3.0079999999999998E-3</v>
      </c>
      <c r="E776">
        <v>3.5119999999999999E-3</v>
      </c>
      <c r="F776">
        <v>3876645</v>
      </c>
      <c r="G776">
        <v>0</v>
      </c>
      <c r="L776" t="s">
        <v>8</v>
      </c>
      <c r="M776" t="s">
        <v>8</v>
      </c>
      <c r="N776" t="s">
        <v>7</v>
      </c>
      <c r="P776">
        <f t="shared" si="1004"/>
        <v>0.84615384615384637</v>
      </c>
      <c r="Q776">
        <f t="shared" si="1005"/>
        <v>3280238.0769230779</v>
      </c>
      <c r="R776">
        <f t="shared" si="1006"/>
        <v>-13075740.635333719</v>
      </c>
      <c r="S776">
        <f t="shared" si="1007"/>
        <v>-130.75740635333719</v>
      </c>
      <c r="T776">
        <f t="shared" si="1008"/>
        <v>-0.13075740635333719</v>
      </c>
    </row>
    <row r="777" spans="1:20" x14ac:dyDescent="0.25">
      <c r="A777" s="5">
        <v>43816</v>
      </c>
      <c r="B777">
        <v>3.6099999999999999E-3</v>
      </c>
      <c r="C777">
        <v>3.6679999999999998E-3</v>
      </c>
      <c r="D777">
        <v>3.0070000000000001E-3</v>
      </c>
      <c r="E777">
        <v>3.2520000000000001E-3</v>
      </c>
      <c r="F777">
        <v>4426756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-0.25869894099848684</v>
      </c>
      <c r="Q777">
        <f t="shared" si="1005"/>
        <v>-1145197.0892586976</v>
      </c>
      <c r="R777">
        <f t="shared" si="1006"/>
        <v>-16355978.712256797</v>
      </c>
      <c r="S777">
        <f t="shared" si="1007"/>
        <v>-163.55978712256797</v>
      </c>
      <c r="T777">
        <f t="shared" si="1008"/>
        <v>-0.16355978712256797</v>
      </c>
    </row>
    <row r="778" spans="1:20" x14ac:dyDescent="0.25">
      <c r="A778" s="5">
        <v>43815</v>
      </c>
      <c r="B778">
        <v>3.5400000000000002E-3</v>
      </c>
      <c r="C778">
        <v>3.7039999999999998E-3</v>
      </c>
      <c r="D778">
        <v>3.2889999999999998E-3</v>
      </c>
      <c r="E778">
        <v>3.6110000000000001E-3</v>
      </c>
      <c r="F778">
        <v>8578382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0.55180722891566381</v>
      </c>
      <c r="Q778">
        <f t="shared" si="1005"/>
        <v>4733613.2000000095</v>
      </c>
      <c r="R778">
        <f t="shared" si="1006"/>
        <v>-15210781.6229981</v>
      </c>
      <c r="S778">
        <f t="shared" si="1007"/>
        <v>-152.10781622998101</v>
      </c>
      <c r="T778">
        <f t="shared" si="1008"/>
        <v>-0.15210781622998101</v>
      </c>
    </row>
    <row r="779" spans="1:20" x14ac:dyDescent="0.25">
      <c r="A779" s="5">
        <v>43814</v>
      </c>
      <c r="B779">
        <v>3.604E-3</v>
      </c>
      <c r="C779">
        <v>3.607E-3</v>
      </c>
      <c r="D779">
        <v>3.4099999999999998E-3</v>
      </c>
      <c r="E779">
        <v>3.578E-3</v>
      </c>
      <c r="F779">
        <v>2172924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0.70558375634517845</v>
      </c>
      <c r="Q779">
        <f t="shared" si="1005"/>
        <v>1533179.8781725906</v>
      </c>
      <c r="R779">
        <f t="shared" si="1006"/>
        <v>-19944394.82299811</v>
      </c>
      <c r="S779">
        <f t="shared" si="1007"/>
        <v>-199.44394822998109</v>
      </c>
      <c r="T779">
        <f t="shared" si="1008"/>
        <v>-0.1994439482299811</v>
      </c>
    </row>
    <row r="780" spans="1:20" x14ac:dyDescent="0.25">
      <c r="A780" s="5">
        <v>43813</v>
      </c>
      <c r="B780">
        <v>3.6700000000000001E-3</v>
      </c>
      <c r="C780">
        <v>3.7690000000000002E-3</v>
      </c>
      <c r="D780">
        <v>3.46E-3</v>
      </c>
      <c r="E780">
        <v>3.607E-3</v>
      </c>
      <c r="F780">
        <v>1208348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-4.854368932038914E-2</v>
      </c>
      <c r="Q780">
        <f t="shared" si="1005"/>
        <v>-58657.669902913578</v>
      </c>
      <c r="R780">
        <f t="shared" si="1006"/>
        <v>-21477574.701170702</v>
      </c>
      <c r="S780">
        <f t="shared" si="1007"/>
        <v>-214.77574701170701</v>
      </c>
      <c r="T780">
        <f t="shared" si="1008"/>
        <v>-0.21477574701170701</v>
      </c>
    </row>
    <row r="781" spans="1:20" x14ac:dyDescent="0.25">
      <c r="A781" s="5">
        <v>43812</v>
      </c>
      <c r="B781">
        <v>3.7169999999999998E-3</v>
      </c>
      <c r="C781">
        <v>3.8730000000000001E-3</v>
      </c>
      <c r="D781">
        <v>3.5699999999999998E-3</v>
      </c>
      <c r="E781">
        <v>3.6939999999999998E-3</v>
      </c>
      <c r="F781">
        <v>2719518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-0.18151815181518252</v>
      </c>
      <c r="Q781">
        <f t="shared" si="1005"/>
        <v>-493641.88118812157</v>
      </c>
      <c r="R781">
        <f t="shared" si="1006"/>
        <v>-21418917.031267788</v>
      </c>
      <c r="S781">
        <f t="shared" si="1007"/>
        <v>-214.18917031267787</v>
      </c>
      <c r="T781">
        <f t="shared" si="1008"/>
        <v>-0.21418917031267787</v>
      </c>
    </row>
    <row r="782" spans="1:20" x14ac:dyDescent="0.25">
      <c r="A782" s="5">
        <v>43811</v>
      </c>
      <c r="B782">
        <v>3.7239999999999999E-3</v>
      </c>
      <c r="C782">
        <v>3.7369999999999999E-3</v>
      </c>
      <c r="D782">
        <v>3.5609999999999999E-3</v>
      </c>
      <c r="E782">
        <v>3.7160000000000001E-3</v>
      </c>
      <c r="F782">
        <v>933850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0.76136363636363913</v>
      </c>
      <c r="Q782">
        <f t="shared" si="1005"/>
        <v>710999.43181818444</v>
      </c>
      <c r="R782">
        <f t="shared" si="1006"/>
        <v>-20925275.150079668</v>
      </c>
      <c r="S782">
        <f t="shared" si="1007"/>
        <v>-209.25275150079668</v>
      </c>
      <c r="T782">
        <f t="shared" si="1008"/>
        <v>-0.20925275150079667</v>
      </c>
    </row>
    <row r="783" spans="1:20" x14ac:dyDescent="0.25">
      <c r="A783" s="5">
        <v>43810</v>
      </c>
      <c r="B783">
        <v>3.6120000000000002E-3</v>
      </c>
      <c r="C783">
        <v>4.0790000000000002E-3</v>
      </c>
      <c r="D783">
        <v>3.5799999999999998E-3</v>
      </c>
      <c r="E783">
        <v>3.6749999999999999E-3</v>
      </c>
      <c r="F783">
        <v>3537353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-0.61923847695390788</v>
      </c>
      <c r="Q783">
        <f t="shared" si="1005"/>
        <v>-2190465.0841683368</v>
      </c>
      <c r="R783">
        <f t="shared" si="1006"/>
        <v>-21636274.581897851</v>
      </c>
      <c r="S783">
        <f t="shared" si="1007"/>
        <v>-216.36274581897851</v>
      </c>
      <c r="T783">
        <f t="shared" si="1008"/>
        <v>-0.21636274581897852</v>
      </c>
    </row>
    <row r="784" spans="1:20" x14ac:dyDescent="0.25">
      <c r="A784" s="5">
        <v>43809</v>
      </c>
      <c r="B784">
        <v>3.9760000000000004E-3</v>
      </c>
      <c r="C784">
        <v>4.1989999999999996E-3</v>
      </c>
      <c r="D784">
        <v>3.5249999999999999E-3</v>
      </c>
      <c r="E784">
        <v>3.6120000000000002E-3</v>
      </c>
      <c r="F784">
        <v>13445978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-0.74183976261127504</v>
      </c>
      <c r="Q784">
        <f t="shared" si="1005"/>
        <v>-9974761.1275964268</v>
      </c>
      <c r="R784">
        <f t="shared" si="1006"/>
        <v>-19445809.497729514</v>
      </c>
      <c r="S784">
        <f t="shared" si="1007"/>
        <v>-194.45809497729513</v>
      </c>
      <c r="T784">
        <f t="shared" si="1008"/>
        <v>-0.19445809497729513</v>
      </c>
    </row>
    <row r="785" spans="1:20" x14ac:dyDescent="0.25">
      <c r="A785" s="5">
        <v>43808</v>
      </c>
      <c r="B785">
        <v>4.0480000000000004E-3</v>
      </c>
      <c r="C785">
        <v>4.1840000000000002E-3</v>
      </c>
      <c r="D785">
        <v>3.839E-3</v>
      </c>
      <c r="E785">
        <v>3.9769999999999996E-3</v>
      </c>
      <c r="F785">
        <v>3366412</v>
      </c>
      <c r="G785">
        <v>0</v>
      </c>
      <c r="L785" t="s">
        <v>7</v>
      </c>
      <c r="M785" t="s">
        <v>8</v>
      </c>
      <c r="N785" t="s">
        <v>7</v>
      </c>
      <c r="P785">
        <f t="shared" si="1004"/>
        <v>-0.20000000000000251</v>
      </c>
      <c r="Q785">
        <f t="shared" si="1005"/>
        <v>-673282.40000000841</v>
      </c>
      <c r="R785">
        <f t="shared" si="1006"/>
        <v>-9471048.370133087</v>
      </c>
      <c r="S785">
        <f t="shared" si="1007"/>
        <v>-94.710483701330872</v>
      </c>
      <c r="T785">
        <f t="shared" si="1008"/>
        <v>-9.4710483701330866E-2</v>
      </c>
    </row>
    <row r="786" spans="1:20" x14ac:dyDescent="0.25">
      <c r="A786" s="5">
        <v>43807</v>
      </c>
      <c r="B786">
        <v>3.9569999999999996E-3</v>
      </c>
      <c r="C786">
        <v>4.261E-3</v>
      </c>
      <c r="D786">
        <v>3.8560000000000001E-3</v>
      </c>
      <c r="E786">
        <v>4.0480000000000004E-3</v>
      </c>
      <c r="F786">
        <v>15458064</v>
      </c>
      <c r="G786">
        <v>0</v>
      </c>
      <c r="L786" t="s">
        <v>8</v>
      </c>
      <c r="M786" t="s">
        <v>8</v>
      </c>
      <c r="N786" t="s">
        <v>7</v>
      </c>
      <c r="P786">
        <f t="shared" si="1004"/>
        <v>-5.1851851851850171E-2</v>
      </c>
      <c r="Q786">
        <f t="shared" si="1005"/>
        <v>-801529.24444441847</v>
      </c>
      <c r="R786">
        <f t="shared" si="1006"/>
        <v>-8797765.9701330792</v>
      </c>
      <c r="S786">
        <f t="shared" si="1007"/>
        <v>-87.977659701330793</v>
      </c>
      <c r="T786">
        <f t="shared" si="1008"/>
        <v>-8.7977659701330799E-2</v>
      </c>
    </row>
    <row r="787" spans="1:20" x14ac:dyDescent="0.25">
      <c r="A787" s="5">
        <v>43806</v>
      </c>
      <c r="B787">
        <v>3.9569999999999996E-3</v>
      </c>
      <c r="C787">
        <v>4.0249999999999999E-3</v>
      </c>
      <c r="D787">
        <v>3.908E-3</v>
      </c>
      <c r="E787">
        <v>3.9389999999999998E-3</v>
      </c>
      <c r="F787">
        <v>5661615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-0.47008547008547352</v>
      </c>
      <c r="Q787">
        <f t="shared" si="1005"/>
        <v>-2661442.9487179681</v>
      </c>
      <c r="R787">
        <f t="shared" si="1006"/>
        <v>-7996236.7256886605</v>
      </c>
      <c r="S787">
        <f t="shared" si="1007"/>
        <v>-79.962367256886608</v>
      </c>
      <c r="T787">
        <f t="shared" si="1008"/>
        <v>-7.9962367256886602E-2</v>
      </c>
    </row>
    <row r="788" spans="1:20" x14ac:dyDescent="0.25">
      <c r="A788" s="5">
        <v>43805</v>
      </c>
      <c r="B788">
        <v>3.9290000000000002E-3</v>
      </c>
      <c r="C788">
        <v>4.0330000000000001E-3</v>
      </c>
      <c r="D788">
        <v>3.813E-3</v>
      </c>
      <c r="E788">
        <v>3.9569999999999996E-3</v>
      </c>
      <c r="F788">
        <v>9359409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0.30909090909090459</v>
      </c>
      <c r="Q788">
        <f t="shared" si="1005"/>
        <v>2892908.2363635944</v>
      </c>
      <c r="R788">
        <f t="shared" si="1006"/>
        <v>-5334793.7769706929</v>
      </c>
      <c r="S788">
        <f t="shared" si="1007"/>
        <v>-53.347937769706931</v>
      </c>
      <c r="T788">
        <f t="shared" si="1008"/>
        <v>-5.3347937769706928E-2</v>
      </c>
    </row>
    <row r="789" spans="1:20" x14ac:dyDescent="0.25">
      <c r="A789" s="5">
        <v>43804</v>
      </c>
      <c r="B789">
        <v>3.8349999999999999E-3</v>
      </c>
      <c r="C789">
        <v>4.3509999999999998E-3</v>
      </c>
      <c r="D789">
        <v>3.5109999999999998E-3</v>
      </c>
      <c r="E789">
        <v>3.9290000000000002E-3</v>
      </c>
      <c r="F789">
        <v>6824048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-4.7619047619038447E-3</v>
      </c>
      <c r="Q789">
        <f t="shared" si="1005"/>
        <v>-32495.466666660406</v>
      </c>
      <c r="R789">
        <f t="shared" si="1006"/>
        <v>-8227702.0133342873</v>
      </c>
      <c r="S789">
        <f t="shared" si="1007"/>
        <v>-82.277020133342873</v>
      </c>
      <c r="T789">
        <f t="shared" si="1008"/>
        <v>-8.2277020133342871E-2</v>
      </c>
    </row>
    <row r="790" spans="1:20" x14ac:dyDescent="0.25">
      <c r="A790" s="5">
        <v>43803</v>
      </c>
      <c r="B790">
        <v>3.9579999999999997E-3</v>
      </c>
      <c r="C790">
        <v>4.1000000000000003E-3</v>
      </c>
      <c r="D790">
        <v>3.7499999999999999E-3</v>
      </c>
      <c r="E790">
        <v>3.8119999999999999E-3</v>
      </c>
      <c r="F790">
        <v>5258344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-0.64571428571428624</v>
      </c>
      <c r="Q790">
        <f t="shared" si="1005"/>
        <v>-3395387.8400000026</v>
      </c>
      <c r="R790">
        <f t="shared" si="1006"/>
        <v>-8195206.5466676271</v>
      </c>
      <c r="S790">
        <f t="shared" si="1007"/>
        <v>-81.952065466676274</v>
      </c>
      <c r="T790">
        <f t="shared" si="1008"/>
        <v>-8.1952065466676272E-2</v>
      </c>
    </row>
    <row r="791" spans="1:20" x14ac:dyDescent="0.25">
      <c r="A791" s="5">
        <v>43802</v>
      </c>
      <c r="B791">
        <v>4.0480000000000004E-3</v>
      </c>
      <c r="C791">
        <v>4.0990000000000002E-3</v>
      </c>
      <c r="D791">
        <v>3.81E-3</v>
      </c>
      <c r="E791">
        <v>3.9560000000000003E-3</v>
      </c>
      <c r="F791">
        <v>5390517</v>
      </c>
      <c r="G791">
        <v>0</v>
      </c>
      <c r="L791" t="s">
        <v>8</v>
      </c>
      <c r="M791" t="s">
        <v>7</v>
      </c>
      <c r="N791" t="s">
        <v>7</v>
      </c>
      <c r="P791">
        <f t="shared" si="1004"/>
        <v>1.0380622837371614E-2</v>
      </c>
      <c r="Q791">
        <f t="shared" si="1005"/>
        <v>55956.923875439919</v>
      </c>
      <c r="R791">
        <f t="shared" si="1006"/>
        <v>-4799818.7066676244</v>
      </c>
      <c r="S791">
        <f t="shared" si="1007"/>
        <v>-47.998187066676245</v>
      </c>
      <c r="T791">
        <f t="shared" si="1008"/>
        <v>-4.7998187066676246E-2</v>
      </c>
    </row>
    <row r="792" spans="1:20" x14ac:dyDescent="0.25">
      <c r="A792" s="5">
        <v>43801</v>
      </c>
      <c r="B792">
        <v>4.189E-3</v>
      </c>
      <c r="C792">
        <v>4.1910000000000003E-3</v>
      </c>
      <c r="D792">
        <v>3.7009999999999999E-3</v>
      </c>
      <c r="E792">
        <v>4.065E-3</v>
      </c>
      <c r="F792">
        <v>15750607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0.48571428571428515</v>
      </c>
      <c r="Q792">
        <f t="shared" si="1005"/>
        <v>7650294.8285714202</v>
      </c>
      <c r="R792">
        <f t="shared" si="1006"/>
        <v>-4855775.6305430643</v>
      </c>
      <c r="S792">
        <f t="shared" si="1007"/>
        <v>-48.557756305430644</v>
      </c>
      <c r="T792">
        <f t="shared" si="1008"/>
        <v>-4.8557756305430647E-2</v>
      </c>
    </row>
    <row r="793" spans="1:20" x14ac:dyDescent="0.25">
      <c r="A793" s="5">
        <v>43800</v>
      </c>
      <c r="B793">
        <v>4.267E-3</v>
      </c>
      <c r="C793">
        <v>4.3140000000000001E-3</v>
      </c>
      <c r="D793">
        <v>4.0109999999999998E-3</v>
      </c>
      <c r="E793">
        <v>4.189E-3</v>
      </c>
      <c r="F793">
        <v>7059172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0.17491749174917506</v>
      </c>
      <c r="Q793">
        <f t="shared" si="1005"/>
        <v>1234772.6600660076</v>
      </c>
      <c r="R793">
        <f t="shared" si="1006"/>
        <v>-12506070.459114484</v>
      </c>
      <c r="S793">
        <f t="shared" si="1007"/>
        <v>-125.06070459114484</v>
      </c>
      <c r="T793">
        <f t="shared" si="1008"/>
        <v>-0.12506070459114485</v>
      </c>
    </row>
    <row r="794" spans="1:20" x14ac:dyDescent="0.25">
      <c r="A794" s="5">
        <v>43799</v>
      </c>
      <c r="B794">
        <v>4.6389999999999999E-3</v>
      </c>
      <c r="C794">
        <v>4.6389999999999999E-3</v>
      </c>
      <c r="D794">
        <v>4.1679999999999998E-3</v>
      </c>
      <c r="E794">
        <v>4.3420000000000004E-3</v>
      </c>
      <c r="F794">
        <v>4913148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-0.2611464968152844</v>
      </c>
      <c r="Q794">
        <f t="shared" si="1005"/>
        <v>-1283051.3885350209</v>
      </c>
      <c r="R794">
        <f t="shared" si="1006"/>
        <v>-13740843.119180493</v>
      </c>
      <c r="S794">
        <f t="shared" si="1007"/>
        <v>-137.40843119180494</v>
      </c>
      <c r="T794">
        <f t="shared" si="1008"/>
        <v>-0.13740843119180493</v>
      </c>
    </row>
    <row r="795" spans="1:20" x14ac:dyDescent="0.25">
      <c r="A795" s="5">
        <v>43798</v>
      </c>
      <c r="B795">
        <v>4.3629999999999997E-3</v>
      </c>
      <c r="C795">
        <v>4.6490000000000004E-3</v>
      </c>
      <c r="D795">
        <v>4.2719999999999998E-3</v>
      </c>
      <c r="E795">
        <v>4.6389999999999999E-3</v>
      </c>
      <c r="F795">
        <v>6965326</v>
      </c>
      <c r="G795">
        <v>0</v>
      </c>
      <c r="L795" t="s">
        <v>7</v>
      </c>
      <c r="M795" t="s">
        <v>8</v>
      </c>
      <c r="N795" t="s">
        <v>7</v>
      </c>
      <c r="P795">
        <f t="shared" si="1004"/>
        <v>0.94694960212201351</v>
      </c>
      <c r="Q795">
        <f t="shared" si="1005"/>
        <v>6595812.6843501162</v>
      </c>
      <c r="R795">
        <f t="shared" si="1006"/>
        <v>-12457791.730645472</v>
      </c>
      <c r="S795">
        <f t="shared" si="1007"/>
        <v>-124.57791730645472</v>
      </c>
      <c r="T795">
        <f t="shared" si="1008"/>
        <v>-0.12457791730645472</v>
      </c>
    </row>
    <row r="796" spans="1:20" x14ac:dyDescent="0.25">
      <c r="A796" s="5">
        <v>43797</v>
      </c>
      <c r="B796">
        <v>4.2449999999999996E-3</v>
      </c>
      <c r="C796">
        <v>4.7990000000000003E-3</v>
      </c>
      <c r="D796">
        <v>4.1720000000000004E-3</v>
      </c>
      <c r="E796">
        <v>4.3639999999999998E-3</v>
      </c>
      <c r="F796">
        <v>21103761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-0.38755980861244188</v>
      </c>
      <c r="Q796">
        <f t="shared" si="1005"/>
        <v>-8178969.5741627151</v>
      </c>
      <c r="R796">
        <f t="shared" si="1006"/>
        <v>-19053604.414995588</v>
      </c>
      <c r="S796">
        <f t="shared" si="1007"/>
        <v>-190.53604414995587</v>
      </c>
      <c r="T796">
        <f t="shared" si="1008"/>
        <v>-0.19053604414995587</v>
      </c>
    </row>
    <row r="797" spans="1:20" x14ac:dyDescent="0.25">
      <c r="A797" s="5">
        <v>43796</v>
      </c>
      <c r="B797">
        <v>4.1229999999999999E-3</v>
      </c>
      <c r="C797">
        <v>4.2979999999999997E-3</v>
      </c>
      <c r="D797">
        <v>3.7750000000000001E-3</v>
      </c>
      <c r="E797">
        <v>4.2240000000000003E-3</v>
      </c>
      <c r="F797">
        <v>4192311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0.71701720841300398</v>
      </c>
      <c r="Q797">
        <f t="shared" si="1005"/>
        <v>3005959.1300191293</v>
      </c>
      <c r="R797">
        <f t="shared" si="1006"/>
        <v>-10874634.840832874</v>
      </c>
      <c r="S797">
        <f t="shared" si="1007"/>
        <v>-108.74634840832874</v>
      </c>
      <c r="T797">
        <f t="shared" si="1008"/>
        <v>-0.10874634840832874</v>
      </c>
    </row>
    <row r="798" spans="1:20" x14ac:dyDescent="0.25">
      <c r="A798" s="5">
        <v>43795</v>
      </c>
      <c r="B798">
        <v>3.8830000000000002E-3</v>
      </c>
      <c r="C798">
        <v>4.1900000000000001E-3</v>
      </c>
      <c r="D798">
        <v>3.8080000000000002E-3</v>
      </c>
      <c r="E798">
        <v>4.1240000000000001E-3</v>
      </c>
      <c r="F798">
        <v>4929135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0.65445026178010424</v>
      </c>
      <c r="Q798">
        <f t="shared" si="1005"/>
        <v>3225873.6910994742</v>
      </c>
      <c r="R798">
        <f t="shared" si="1006"/>
        <v>-13880593.970852004</v>
      </c>
      <c r="S798">
        <f t="shared" si="1007"/>
        <v>-138.80593970852004</v>
      </c>
      <c r="T798">
        <f t="shared" si="1008"/>
        <v>-0.13880593970852004</v>
      </c>
    </row>
    <row r="799" spans="1:20" x14ac:dyDescent="0.25">
      <c r="A799" s="5">
        <v>43794</v>
      </c>
      <c r="B799">
        <v>3.6600000000000001E-3</v>
      </c>
      <c r="C799">
        <v>4.0829999999999998E-3</v>
      </c>
      <c r="D799">
        <v>3.4259999999999998E-3</v>
      </c>
      <c r="E799">
        <v>3.833E-3</v>
      </c>
      <c r="F799">
        <v>7035921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0.2389649923896506</v>
      </c>
      <c r="Q799">
        <f t="shared" si="1005"/>
        <v>1681338.8082191828</v>
      </c>
      <c r="R799">
        <f t="shared" si="1006"/>
        <v>-17106467.661951479</v>
      </c>
      <c r="S799">
        <f t="shared" si="1007"/>
        <v>-171.06467661951478</v>
      </c>
      <c r="T799">
        <f t="shared" si="1008"/>
        <v>-0.17106467661951477</v>
      </c>
    </row>
    <row r="800" spans="1:20" x14ac:dyDescent="0.25">
      <c r="A800" s="5">
        <v>43793</v>
      </c>
      <c r="B800">
        <v>4.1700000000000001E-3</v>
      </c>
      <c r="C800">
        <v>4.1720000000000004E-3</v>
      </c>
      <c r="D800">
        <v>3.65E-3</v>
      </c>
      <c r="E800">
        <v>3.6719999999999999E-3</v>
      </c>
      <c r="F800">
        <v>5443069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-0.91570881226053691</v>
      </c>
      <c r="Q800">
        <f t="shared" si="1005"/>
        <v>-4984266.2490421487</v>
      </c>
      <c r="R800">
        <f t="shared" si="1006"/>
        <v>-18787806.470170662</v>
      </c>
      <c r="S800">
        <f t="shared" si="1007"/>
        <v>-187.87806470170662</v>
      </c>
      <c r="T800">
        <f t="shared" si="1008"/>
        <v>-0.18787806470170662</v>
      </c>
    </row>
    <row r="801" spans="1:20" x14ac:dyDescent="0.25">
      <c r="A801" s="5">
        <v>43792</v>
      </c>
      <c r="B801">
        <v>3.8939999999999999E-3</v>
      </c>
      <c r="C801">
        <v>4.2220000000000001E-3</v>
      </c>
      <c r="D801">
        <v>3.7690000000000002E-3</v>
      </c>
      <c r="E801">
        <v>4.1640000000000002E-3</v>
      </c>
      <c r="F801">
        <v>4551080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0.74392935982339992</v>
      </c>
      <c r="Q801">
        <f t="shared" si="1005"/>
        <v>3385682.0309050791</v>
      </c>
      <c r="R801">
        <f t="shared" si="1006"/>
        <v>-13803540.221128512</v>
      </c>
      <c r="S801">
        <f t="shared" si="1007"/>
        <v>-138.03540221128512</v>
      </c>
      <c r="T801">
        <f t="shared" si="1008"/>
        <v>-0.13803540221128513</v>
      </c>
    </row>
    <row r="802" spans="1:20" x14ac:dyDescent="0.25">
      <c r="A802" s="5">
        <v>43791</v>
      </c>
      <c r="B802">
        <v>3.9360000000000003E-3</v>
      </c>
      <c r="C802">
        <v>4.4180000000000001E-3</v>
      </c>
      <c r="D802">
        <v>3.3249999999999998E-3</v>
      </c>
      <c r="E802">
        <v>3.8990000000000001E-3</v>
      </c>
      <c r="F802">
        <v>8209281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5.0320219579140305E-2</v>
      </c>
      <c r="Q802">
        <f t="shared" si="1005"/>
        <v>413092.8225068645</v>
      </c>
      <c r="R802">
        <f t="shared" si="1006"/>
        <v>-17189222.252033591</v>
      </c>
      <c r="S802">
        <f t="shared" si="1007"/>
        <v>-171.89222252033591</v>
      </c>
      <c r="T802">
        <f t="shared" si="1008"/>
        <v>-0.1718922225203359</v>
      </c>
    </row>
    <row r="803" spans="1:20" x14ac:dyDescent="0.25">
      <c r="A803" s="5">
        <v>43790</v>
      </c>
      <c r="B803">
        <v>4.3160000000000004E-3</v>
      </c>
      <c r="C803">
        <v>4.3530000000000001E-3</v>
      </c>
      <c r="D803">
        <v>3.8409999999999998E-3</v>
      </c>
      <c r="E803">
        <v>3.9550000000000002E-3</v>
      </c>
      <c r="F803">
        <v>2247936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-0.55468749999999878</v>
      </c>
      <c r="Q803">
        <f t="shared" si="1005"/>
        <v>-1246901.9999999972</v>
      </c>
      <c r="R803">
        <f t="shared" si="1006"/>
        <v>-17602315.074540455</v>
      </c>
      <c r="S803">
        <f t="shared" si="1007"/>
        <v>-176.02315074540454</v>
      </c>
      <c r="T803">
        <f t="shared" si="1008"/>
        <v>-0.17602315074540453</v>
      </c>
    </row>
    <row r="804" spans="1:20" x14ac:dyDescent="0.25">
      <c r="A804" s="5">
        <v>43789</v>
      </c>
      <c r="B804">
        <v>4.3420000000000004E-3</v>
      </c>
      <c r="C804">
        <v>4.3990000000000001E-3</v>
      </c>
      <c r="D804">
        <v>4.2579999999999996E-3</v>
      </c>
      <c r="E804">
        <v>4.3610000000000003E-3</v>
      </c>
      <c r="F804">
        <v>1974887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0.4609929078014226</v>
      </c>
      <c r="Q804">
        <f t="shared" si="1005"/>
        <v>910408.90070922812</v>
      </c>
      <c r="R804">
        <f t="shared" si="1006"/>
        <v>-16355413.074540457</v>
      </c>
      <c r="S804">
        <f t="shared" si="1007"/>
        <v>-163.55413074540456</v>
      </c>
      <c r="T804">
        <f t="shared" si="1008"/>
        <v>-0.16355413074540456</v>
      </c>
    </row>
    <row r="805" spans="1:20" x14ac:dyDescent="0.25">
      <c r="A805" s="5">
        <v>43788</v>
      </c>
      <c r="B805">
        <v>4.3059999999999999E-3</v>
      </c>
      <c r="C805">
        <v>4.5690000000000001E-3</v>
      </c>
      <c r="D805">
        <v>4.1000000000000003E-3</v>
      </c>
      <c r="E805">
        <v>4.3499999999999997E-3</v>
      </c>
      <c r="F805">
        <v>10251602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6.6098081023451868E-2</v>
      </c>
      <c r="Q805">
        <f t="shared" si="1005"/>
        <v>677611.21961618122</v>
      </c>
      <c r="R805">
        <f t="shared" si="1006"/>
        <v>-17265821.975249685</v>
      </c>
      <c r="S805">
        <f t="shared" si="1007"/>
        <v>-172.65821975249685</v>
      </c>
      <c r="T805">
        <f t="shared" si="1008"/>
        <v>-0.17265821975249684</v>
      </c>
    </row>
    <row r="806" spans="1:20" x14ac:dyDescent="0.25">
      <c r="A806" s="5">
        <v>43787</v>
      </c>
      <c r="B806">
        <v>4.7320000000000001E-3</v>
      </c>
      <c r="C806">
        <v>4.7320000000000001E-3</v>
      </c>
      <c r="D806">
        <v>4.2030000000000001E-3</v>
      </c>
      <c r="E806">
        <v>4.3070000000000001E-3</v>
      </c>
      <c r="F806">
        <v>3480591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-0.60680529300567132</v>
      </c>
      <c r="Q806">
        <f t="shared" si="1005"/>
        <v>-2112041.0415879027</v>
      </c>
      <c r="R806">
        <f t="shared" si="1006"/>
        <v>-17943433.194865867</v>
      </c>
      <c r="S806">
        <f t="shared" si="1007"/>
        <v>-179.43433194865867</v>
      </c>
      <c r="T806">
        <f t="shared" si="1008"/>
        <v>-0.17943433194865865</v>
      </c>
    </row>
    <row r="807" spans="1:20" x14ac:dyDescent="0.25">
      <c r="A807" s="5">
        <v>43786</v>
      </c>
      <c r="B807">
        <v>4.8129999999999996E-3</v>
      </c>
      <c r="C807">
        <v>4.8370000000000002E-3</v>
      </c>
      <c r="D807">
        <v>4.5900000000000003E-3</v>
      </c>
      <c r="E807">
        <v>4.7320000000000001E-3</v>
      </c>
      <c r="F807">
        <v>4813704</v>
      </c>
      <c r="G807">
        <v>0</v>
      </c>
      <c r="L807" t="s">
        <v>7</v>
      </c>
      <c r="M807" t="s">
        <v>7</v>
      </c>
      <c r="N807" t="s">
        <v>7</v>
      </c>
      <c r="P807">
        <f t="shared" si="1004"/>
        <v>0.14979757085020134</v>
      </c>
      <c r="Q807">
        <f t="shared" si="1005"/>
        <v>721081.16599189758</v>
      </c>
      <c r="R807">
        <f t="shared" si="1006"/>
        <v>-15831392.153277965</v>
      </c>
      <c r="S807">
        <f t="shared" si="1007"/>
        <v>-158.31392153277966</v>
      </c>
      <c r="T807">
        <f t="shared" si="1008"/>
        <v>-0.15831392153277965</v>
      </c>
    </row>
    <row r="808" spans="1:20" x14ac:dyDescent="0.25">
      <c r="A808" s="5">
        <v>43785</v>
      </c>
      <c r="B808">
        <v>4.8999999999999998E-3</v>
      </c>
      <c r="C808">
        <v>4.9659999999999999E-3</v>
      </c>
      <c r="D808">
        <v>4.7190000000000001E-3</v>
      </c>
      <c r="E808">
        <v>4.8149999999999998E-3</v>
      </c>
      <c r="F808">
        <v>8006198</v>
      </c>
      <c r="G808">
        <v>0</v>
      </c>
      <c r="L808" t="s">
        <v>8</v>
      </c>
      <c r="M808" t="s">
        <v>7</v>
      </c>
      <c r="N808" t="s">
        <v>7</v>
      </c>
      <c r="P808">
        <f t="shared" si="1004"/>
        <v>-0.22267206477732956</v>
      </c>
      <c r="Q808">
        <f t="shared" si="1005"/>
        <v>-1782756.6396761264</v>
      </c>
      <c r="R808">
        <f t="shared" si="1006"/>
        <v>-16552473.319269862</v>
      </c>
      <c r="S808">
        <f t="shared" si="1007"/>
        <v>-165.52473319269862</v>
      </c>
      <c r="T808">
        <f t="shared" si="1008"/>
        <v>-0.16552473319269861</v>
      </c>
    </row>
    <row r="809" spans="1:20" x14ac:dyDescent="0.25">
      <c r="A809" s="5">
        <v>43784</v>
      </c>
      <c r="B809">
        <v>4.6600000000000001E-3</v>
      </c>
      <c r="C809">
        <v>5.1000000000000004E-3</v>
      </c>
      <c r="D809">
        <v>4.5300000000000002E-3</v>
      </c>
      <c r="E809">
        <v>4.8999999999999998E-3</v>
      </c>
      <c r="F809">
        <v>15260184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0.29824561403508609</v>
      </c>
      <c r="Q809">
        <f t="shared" si="1005"/>
        <v>4551282.9473683964</v>
      </c>
      <c r="R809">
        <f t="shared" si="1006"/>
        <v>-14769716.679593736</v>
      </c>
      <c r="S809">
        <f t="shared" si="1007"/>
        <v>-147.69716679593736</v>
      </c>
      <c r="T809">
        <f t="shared" si="1008"/>
        <v>-0.14769716679593736</v>
      </c>
    </row>
    <row r="810" spans="1:20" x14ac:dyDescent="0.25">
      <c r="A810" s="5">
        <v>43783</v>
      </c>
      <c r="B810">
        <v>5.0600000000000003E-3</v>
      </c>
      <c r="C810">
        <v>6.6660000000000001E-3</v>
      </c>
      <c r="D810">
        <v>4.4999999999999997E-3</v>
      </c>
      <c r="E810">
        <v>4.6600000000000001E-3</v>
      </c>
      <c r="F810">
        <v>22670252</v>
      </c>
      <c r="G810">
        <v>0</v>
      </c>
      <c r="P810">
        <f t="shared" si="1004"/>
        <v>-0.85226223453370231</v>
      </c>
      <c r="Q810">
        <f t="shared" si="1005"/>
        <v>-19320999.626962133</v>
      </c>
      <c r="R810">
        <f t="shared" si="1006"/>
        <v>-19320999.626962133</v>
      </c>
      <c r="S810">
        <f t="shared" si="1007"/>
        <v>-193.20999626962131</v>
      </c>
      <c r="T810">
        <f t="shared" si="1008"/>
        <v>-0.19320999626962132</v>
      </c>
    </row>
    <row r="811" spans="1:20" x14ac:dyDescent="0.25">
      <c r="A811" s="5"/>
      <c r="C811" s="4"/>
      <c r="D811" s="4"/>
    </row>
    <row r="812" spans="1:20" x14ac:dyDescent="0.25">
      <c r="A812" s="5"/>
      <c r="C812" s="4"/>
      <c r="D812" s="4"/>
    </row>
    <row r="813" spans="1:20" x14ac:dyDescent="0.25">
      <c r="A813" s="5"/>
      <c r="C813" s="4"/>
      <c r="D813" s="4"/>
    </row>
    <row r="814" spans="1:20" x14ac:dyDescent="0.25">
      <c r="A814" s="5"/>
      <c r="C814" s="4"/>
      <c r="D814" s="4"/>
    </row>
    <row r="815" spans="1:20" x14ac:dyDescent="0.25">
      <c r="A815" s="5"/>
      <c r="C815" s="4"/>
      <c r="D815" s="4"/>
    </row>
    <row r="816" spans="1:20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T720" sqref="OT72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$A$719</v>
      </c>
      <c r="D111" s="1" t="str">
        <f>ADDRESS(C121-1,D121,1,1)</f>
        <v>$OT$719</v>
      </c>
      <c r="E111"/>
    </row>
    <row r="112" spans="1:5" x14ac:dyDescent="0.25">
      <c r="A112" s="7">
        <v>12164.144957890772</v>
      </c>
      <c r="C112" s="1" t="str">
        <f>ADDRESS(C121,1,1,1)</f>
        <v>$A$720</v>
      </c>
      <c r="D112" s="1" t="str">
        <f>ADDRESS(C121,D121-1,1,1)</f>
        <v>$OS$720</v>
      </c>
      <c r="E112"/>
    </row>
    <row r="113" spans="1:5" x14ac:dyDescent="0.25">
      <c r="A113" s="7">
        <v>11925.63231165762</v>
      </c>
      <c r="C113" s="1" t="str">
        <f>ADDRESS(C121+1,1,1,1)</f>
        <v>$A$721</v>
      </c>
      <c r="D113" s="1" t="str">
        <f>ADDRESS(C121-1,D121+1,1,1)</f>
        <v>$OU$719</v>
      </c>
    </row>
    <row r="114" spans="1:5" x14ac:dyDescent="0.25">
      <c r="A114" s="7">
        <v>11691.796383978059</v>
      </c>
      <c r="C114" s="1" t="str">
        <f>ADDRESS(C121,D121,1,1)</f>
        <v>$OT$720</v>
      </c>
      <c r="D114" s="1" t="str">
        <f>ADDRESS(C121+1,D121+1,1,1)</f>
        <v>$OU$721</v>
      </c>
    </row>
    <row r="115" spans="1:5" x14ac:dyDescent="0.25">
      <c r="A115" s="7">
        <v>11462.545474488292</v>
      </c>
      <c r="C115" s="1" t="str">
        <f>ADDRESS(C121+1,D121,1,1)</f>
        <v>$OT$721</v>
      </c>
    </row>
    <row r="116" spans="1:5" x14ac:dyDescent="0.25">
      <c r="A116" s="7">
        <v>11237.789680870874</v>
      </c>
      <c r="C116" s="1">
        <f>C117-1</f>
        <v>719</v>
      </c>
    </row>
    <row r="117" spans="1:5" x14ac:dyDescent="0.25">
      <c r="A117" s="7">
        <v>11017.440863598895</v>
      </c>
      <c r="C117" s="1">
        <f>C121</f>
        <v>720</v>
      </c>
      <c r="D117" s="1">
        <f>D121</f>
        <v>410</v>
      </c>
    </row>
    <row r="118" spans="1:5" x14ac:dyDescent="0.25">
      <c r="A118" s="7">
        <v>10801.412611371465</v>
      </c>
      <c r="C118" s="1">
        <f>C117+1</f>
        <v>721</v>
      </c>
      <c r="D118" s="1">
        <f>D117+1</f>
        <v>411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720</v>
      </c>
      <c r="D121" s="19">
        <v>410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R720</v>
      </c>
      <c r="D123" s="1" t="str">
        <f>"C"&amp;D121</f>
        <v>C410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7.1808715076963722E-2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370" x14ac:dyDescent="0.25">
      <c r="A641" s="7">
        <v>0.34323433454431179</v>
      </c>
      <c r="B641"/>
      <c r="C641"/>
      <c r="D641"/>
      <c r="E641"/>
      <c r="F641" s="27" t="s">
        <v>7</v>
      </c>
    </row>
    <row r="642" spans="1:370" x14ac:dyDescent="0.25">
      <c r="A642" s="7">
        <v>0.33650424955324681</v>
      </c>
      <c r="B642"/>
      <c r="C642"/>
      <c r="D642"/>
      <c r="E642"/>
      <c r="F642" s="27" t="s">
        <v>7</v>
      </c>
    </row>
    <row r="643" spans="1:370" x14ac:dyDescent="0.25">
      <c r="A643" s="7">
        <v>0.3299061270129871</v>
      </c>
      <c r="B643"/>
      <c r="C643"/>
      <c r="D643"/>
      <c r="E643"/>
      <c r="F643" s="27" t="s">
        <v>7</v>
      </c>
    </row>
    <row r="644" spans="1:370" x14ac:dyDescent="0.25">
      <c r="A644" s="7">
        <v>0.32343737942449713</v>
      </c>
      <c r="B644"/>
      <c r="C644"/>
      <c r="D644"/>
      <c r="E644"/>
      <c r="F644" s="27" t="s">
        <v>7</v>
      </c>
    </row>
    <row r="645" spans="1:370" x14ac:dyDescent="0.25">
      <c r="A645" s="7">
        <v>0.31709547002401678</v>
      </c>
      <c r="B645"/>
      <c r="C645"/>
      <c r="D645"/>
      <c r="E645"/>
      <c r="F645" s="27" t="s">
        <v>7</v>
      </c>
    </row>
    <row r="646" spans="1:370" x14ac:dyDescent="0.25">
      <c r="A646" s="7">
        <v>0.31087791178825175</v>
      </c>
      <c r="B646"/>
      <c r="C646"/>
      <c r="D646"/>
      <c r="E646"/>
      <c r="F646" s="27" t="s">
        <v>7</v>
      </c>
    </row>
    <row r="647" spans="1:370" x14ac:dyDescent="0.25">
      <c r="A647" s="7">
        <v>0.30478226645907036</v>
      </c>
      <c r="B647"/>
      <c r="C647"/>
      <c r="D647"/>
      <c r="E647"/>
      <c r="F647" s="27" t="s">
        <v>7</v>
      </c>
    </row>
    <row r="648" spans="1:370" x14ac:dyDescent="0.25">
      <c r="A648" s="7">
        <v>0.29880614358732388</v>
      </c>
      <c r="B648"/>
      <c r="C648"/>
      <c r="D648"/>
      <c r="E648"/>
      <c r="F648" s="27" t="s">
        <v>7</v>
      </c>
    </row>
    <row r="649" spans="1:370" x14ac:dyDescent="0.25">
      <c r="A649" s="7">
        <v>0.2929471995954156</v>
      </c>
      <c r="B649"/>
      <c r="C649"/>
      <c r="D649"/>
      <c r="E649"/>
      <c r="F649" s="27" t="s">
        <v>7</v>
      </c>
    </row>
    <row r="650" spans="1:370" x14ac:dyDescent="0.25">
      <c r="A650" s="7">
        <v>0.28720313685825055</v>
      </c>
      <c r="B650"/>
      <c r="C650"/>
      <c r="D650"/>
      <c r="E650"/>
      <c r="F650" s="27" t="s">
        <v>7</v>
      </c>
    </row>
    <row r="651" spans="1:370" x14ac:dyDescent="0.25">
      <c r="A651" s="7">
        <v>0.28157170280220645</v>
      </c>
      <c r="B651"/>
      <c r="C651"/>
      <c r="D651"/>
      <c r="E651"/>
      <c r="F651" s="27" t="s">
        <v>7</v>
      </c>
    </row>
    <row r="652" spans="1:370" x14ac:dyDescent="0.25">
      <c r="A652" s="7">
        <v>0.27605068902177105</v>
      </c>
      <c r="B652"/>
      <c r="C652"/>
      <c r="D652"/>
      <c r="E652"/>
      <c r="F652" s="27" t="s">
        <v>7</v>
      </c>
    </row>
    <row r="653" spans="1:370" x14ac:dyDescent="0.25">
      <c r="A653" s="7">
        <v>0.27063793041350104</v>
      </c>
      <c r="B653"/>
      <c r="C653"/>
      <c r="D653"/>
      <c r="E653"/>
      <c r="F653" s="27" t="s">
        <v>7</v>
      </c>
    </row>
    <row r="654" spans="1:370" x14ac:dyDescent="0.25">
      <c r="A654" s="7">
        <v>0.26533130432696184</v>
      </c>
      <c r="B654"/>
      <c r="C654"/>
      <c r="D654"/>
      <c r="E654"/>
      <c r="F654" s="27" t="s">
        <v>7</v>
      </c>
    </row>
    <row r="655" spans="1:370" x14ac:dyDescent="0.25">
      <c r="A655" s="7">
        <v>0.26012872973231554</v>
      </c>
      <c r="B655"/>
      <c r="C655"/>
      <c r="D655"/>
      <c r="E655"/>
      <c r="F655" s="27" t="s">
        <v>7</v>
      </c>
      <c r="NE655" s="27" t="s">
        <v>8</v>
      </c>
    </row>
    <row r="656" spans="1:370" x14ac:dyDescent="0.25">
      <c r="A656" s="7">
        <v>0.25502816640423093</v>
      </c>
      <c r="B656"/>
      <c r="C656"/>
      <c r="D656"/>
      <c r="E656"/>
      <c r="F656" s="27" t="s">
        <v>7</v>
      </c>
      <c r="NC656" s="27" t="s">
        <v>8</v>
      </c>
      <c r="NE656" s="27" t="s">
        <v>8</v>
      </c>
      <c r="NF656" s="27" t="s">
        <v>7</v>
      </c>
    </row>
    <row r="657" spans="1:376" x14ac:dyDescent="0.25">
      <c r="A657" s="7">
        <v>0.25002761412179503</v>
      </c>
      <c r="B657"/>
      <c r="C657"/>
      <c r="D657"/>
      <c r="E657"/>
      <c r="F657" s="27" t="s">
        <v>7</v>
      </c>
      <c r="NC657" s="27" t="s">
        <v>8</v>
      </c>
      <c r="ND657" s="27" t="s">
        <v>7</v>
      </c>
      <c r="NE657" s="27" t="s">
        <v>8</v>
      </c>
      <c r="NF657" s="27" t="s">
        <v>7</v>
      </c>
    </row>
    <row r="658" spans="1:376" x14ac:dyDescent="0.25">
      <c r="A658" s="7">
        <v>0.24512511188411276</v>
      </c>
      <c r="B658"/>
      <c r="C658"/>
      <c r="D658"/>
      <c r="E658"/>
      <c r="F658" s="27" t="s">
        <v>7</v>
      </c>
      <c r="NC658" s="27" t="s">
        <v>8</v>
      </c>
      <c r="ND658" s="27" t="s">
        <v>7</v>
      </c>
      <c r="NE658" s="27" t="s">
        <v>8</v>
      </c>
      <c r="NF658" s="27" t="s">
        <v>7</v>
      </c>
    </row>
    <row r="659" spans="1:376" x14ac:dyDescent="0.25">
      <c r="A659" s="7">
        <v>0.24031873714128701</v>
      </c>
      <c r="B659"/>
      <c r="C659"/>
      <c r="D659"/>
      <c r="E659"/>
      <c r="F659" s="27" t="s">
        <v>7</v>
      </c>
      <c r="NC659" s="27" t="s">
        <v>8</v>
      </c>
      <c r="ND659" s="27" t="s">
        <v>7</v>
      </c>
      <c r="NE659" s="27" t="s">
        <v>8</v>
      </c>
      <c r="NF659" s="27" t="s">
        <v>7</v>
      </c>
    </row>
    <row r="660" spans="1:376" x14ac:dyDescent="0.25">
      <c r="A660" s="7">
        <v>0.23560660504047748</v>
      </c>
      <c r="B660"/>
      <c r="C660"/>
      <c r="D660"/>
      <c r="E660"/>
      <c r="F660" s="27" t="s">
        <v>7</v>
      </c>
      <c r="NC660" s="27" t="s">
        <v>8</v>
      </c>
      <c r="ND660" s="27" t="s">
        <v>7</v>
      </c>
      <c r="NE660" s="27" t="s">
        <v>8</v>
      </c>
      <c r="NF660" s="27" t="s">
        <v>7</v>
      </c>
    </row>
    <row r="661" spans="1:376" x14ac:dyDescent="0.25">
      <c r="A661" s="7">
        <v>0.23098686768674265</v>
      </c>
      <c r="B661"/>
      <c r="C661"/>
      <c r="D661"/>
      <c r="E661"/>
      <c r="F661" s="27" t="s">
        <v>7</v>
      </c>
      <c r="NC661" s="27" t="s">
        <v>8</v>
      </c>
      <c r="ND661" s="27" t="s">
        <v>7</v>
      </c>
      <c r="NE661" s="27" t="s">
        <v>8</v>
      </c>
      <c r="NF661" s="27" t="s">
        <v>7</v>
      </c>
      <c r="NK661" s="27" t="s">
        <v>8</v>
      </c>
    </row>
    <row r="662" spans="1:376" x14ac:dyDescent="0.25">
      <c r="A662" s="7">
        <v>0.22645771341837515</v>
      </c>
      <c r="B662"/>
      <c r="C662"/>
      <c r="D662"/>
      <c r="E662"/>
      <c r="F662" s="27" t="s">
        <v>7</v>
      </c>
      <c r="NC662" s="27" t="s">
        <v>8</v>
      </c>
      <c r="ND662" s="27" t="s">
        <v>7</v>
      </c>
      <c r="NE662" s="27" t="s">
        <v>8</v>
      </c>
      <c r="NF662" s="27" t="s">
        <v>7</v>
      </c>
      <c r="NK662" s="27" t="s">
        <v>8</v>
      </c>
      <c r="NL662" s="27" t="s">
        <v>7</v>
      </c>
    </row>
    <row r="663" spans="1:376" x14ac:dyDescent="0.25">
      <c r="A663" s="7">
        <v>0.22201736609644623</v>
      </c>
      <c r="B663"/>
      <c r="C663"/>
      <c r="D663"/>
      <c r="E663"/>
      <c r="F663" s="27" t="s">
        <v>7</v>
      </c>
      <c r="NC663" s="27" t="s">
        <v>8</v>
      </c>
      <c r="ND663" s="27" t="s">
        <v>7</v>
      </c>
      <c r="NE663" s="27" t="s">
        <v>8</v>
      </c>
      <c r="NF663" s="27" t="s">
        <v>7</v>
      </c>
      <c r="NK663" s="27" t="s">
        <v>8</v>
      </c>
      <c r="NL663" s="27" t="s">
        <v>7</v>
      </c>
    </row>
    <row r="664" spans="1:376" x14ac:dyDescent="0.25">
      <c r="A664" s="7">
        <v>0.21766408440828061</v>
      </c>
      <c r="B664"/>
      <c r="C664"/>
      <c r="D664"/>
      <c r="E664"/>
      <c r="F664" s="27" t="s">
        <v>7</v>
      </c>
      <c r="NC664" s="27" t="s">
        <v>8</v>
      </c>
      <c r="ND664" s="27" t="s">
        <v>7</v>
      </c>
      <c r="NE664" s="27" t="s">
        <v>8</v>
      </c>
      <c r="NF664" s="27" t="s">
        <v>7</v>
      </c>
      <c r="NG664" s="27" t="s">
        <v>8</v>
      </c>
      <c r="NK664" s="27" t="s">
        <v>8</v>
      </c>
      <c r="NL664" s="27" t="s">
        <v>7</v>
      </c>
    </row>
    <row r="665" spans="1:376" x14ac:dyDescent="0.25">
      <c r="A665" s="7">
        <v>0.21339616118458882</v>
      </c>
      <c r="B665"/>
      <c r="C665"/>
      <c r="D665"/>
      <c r="E665"/>
      <c r="F665" s="27" t="s">
        <v>7</v>
      </c>
      <c r="NC665" s="27" t="s">
        <v>8</v>
      </c>
      <c r="ND665" s="27" t="s">
        <v>7</v>
      </c>
      <c r="NE665" s="27" t="s">
        <v>8</v>
      </c>
      <c r="NF665" s="27" t="s">
        <v>7</v>
      </c>
      <c r="NG665" s="27" t="s">
        <v>8</v>
      </c>
      <c r="NH665" s="27" t="s">
        <v>7</v>
      </c>
      <c r="NK665" s="27" t="s">
        <v>8</v>
      </c>
      <c r="NL665" s="27" t="s">
        <v>7</v>
      </c>
    </row>
    <row r="666" spans="1:376" x14ac:dyDescent="0.25">
      <c r="A666" s="7">
        <v>0.20921192272998904</v>
      </c>
      <c r="B666"/>
      <c r="C666"/>
      <c r="D666"/>
      <c r="E666"/>
      <c r="F666" s="27" t="s">
        <v>7</v>
      </c>
      <c r="NC666" s="27" t="s">
        <v>8</v>
      </c>
      <c r="ND666" s="27" t="s">
        <v>7</v>
      </c>
      <c r="NE666" s="27" t="s">
        <v>8</v>
      </c>
      <c r="NF666" s="27" t="s">
        <v>7</v>
      </c>
      <c r="NG666" s="27" t="s">
        <v>8</v>
      </c>
      <c r="NH666" s="27" t="s">
        <v>7</v>
      </c>
      <c r="NK666" s="27" t="s">
        <v>8</v>
      </c>
      <c r="NL666" s="27" t="s">
        <v>7</v>
      </c>
    </row>
    <row r="667" spans="1:376" x14ac:dyDescent="0.25">
      <c r="A667" s="7">
        <v>0.20510972816665593</v>
      </c>
      <c r="B667"/>
      <c r="C667"/>
      <c r="D667"/>
      <c r="E667"/>
      <c r="F667" s="27" t="s">
        <v>7</v>
      </c>
      <c r="NC667" s="27" t="s">
        <v>8</v>
      </c>
      <c r="ND667" s="27" t="s">
        <v>7</v>
      </c>
      <c r="NE667" s="27" t="s">
        <v>8</v>
      </c>
      <c r="NF667" s="27" t="s">
        <v>7</v>
      </c>
      <c r="NG667" s="27" t="s">
        <v>8</v>
      </c>
      <c r="NH667" s="27" t="s">
        <v>7</v>
      </c>
      <c r="NK667" s="27" t="s">
        <v>8</v>
      </c>
      <c r="NL667" s="27" t="s">
        <v>7</v>
      </c>
    </row>
    <row r="668" spans="1:376" x14ac:dyDescent="0.25">
      <c r="A668" s="7">
        <v>0.20108796879083912</v>
      </c>
      <c r="B668"/>
      <c r="C668"/>
      <c r="D668"/>
      <c r="E668"/>
      <c r="F668" s="27" t="s">
        <v>7</v>
      </c>
      <c r="NC668" s="27" t="s">
        <v>8</v>
      </c>
      <c r="ND668" s="27" t="s">
        <v>7</v>
      </c>
      <c r="NE668" s="27" t="s">
        <v>8</v>
      </c>
      <c r="NF668" s="27" t="s">
        <v>7</v>
      </c>
      <c r="NG668" s="27" t="s">
        <v>8</v>
      </c>
      <c r="NH668" s="27" t="s">
        <v>7</v>
      </c>
      <c r="NI668" s="27" t="s">
        <v>8</v>
      </c>
      <c r="NK668" s="27" t="s">
        <v>8</v>
      </c>
      <c r="NL668" s="27" t="s">
        <v>7</v>
      </c>
    </row>
    <row r="669" spans="1:376" x14ac:dyDescent="0.25">
      <c r="A669" s="7">
        <v>0.19714506744199917</v>
      </c>
      <c r="B669"/>
      <c r="C669"/>
      <c r="D669"/>
      <c r="E669"/>
      <c r="F669" s="27" t="s">
        <v>7</v>
      </c>
      <c r="NC669" s="27" t="s">
        <v>8</v>
      </c>
      <c r="ND669" s="27" t="s">
        <v>7</v>
      </c>
      <c r="NE669" s="27" t="s">
        <v>8</v>
      </c>
      <c r="NF669" s="27" t="s">
        <v>7</v>
      </c>
      <c r="NG669" s="27" t="s">
        <v>8</v>
      </c>
      <c r="NH669" s="27" t="s">
        <v>7</v>
      </c>
      <c r="NI669" s="27" t="s">
        <v>8</v>
      </c>
      <c r="NJ669" s="27" t="s">
        <v>7</v>
      </c>
      <c r="NK669" s="27" t="s">
        <v>8</v>
      </c>
      <c r="NL669" s="27" t="s">
        <v>7</v>
      </c>
    </row>
    <row r="670" spans="1:376" x14ac:dyDescent="0.25">
      <c r="A670" s="7">
        <v>0.19327947788431293</v>
      </c>
      <c r="B670"/>
      <c r="C670"/>
      <c r="D670"/>
      <c r="E670"/>
      <c r="F670" s="27" t="s">
        <v>7</v>
      </c>
      <c r="NC670" s="27" t="s">
        <v>8</v>
      </c>
      <c r="ND670" s="27" t="s">
        <v>7</v>
      </c>
      <c r="NE670" s="27" t="s">
        <v>8</v>
      </c>
      <c r="NF670" s="27" t="s">
        <v>7</v>
      </c>
      <c r="NG670" s="27" t="s">
        <v>8</v>
      </c>
      <c r="NH670" s="27" t="s">
        <v>7</v>
      </c>
      <c r="NI670" s="27" t="s">
        <v>8</v>
      </c>
      <c r="NJ670" s="27" t="s">
        <v>7</v>
      </c>
      <c r="NK670" s="27" t="s">
        <v>8</v>
      </c>
      <c r="NL670" s="27" t="s">
        <v>7</v>
      </c>
    </row>
    <row r="671" spans="1:376" x14ac:dyDescent="0.25">
      <c r="A671" s="7">
        <v>0.18948968420030682</v>
      </c>
      <c r="B671"/>
      <c r="C671"/>
      <c r="D671"/>
      <c r="E671"/>
      <c r="F671" s="27" t="s">
        <v>7</v>
      </c>
      <c r="NC671" s="27" t="s">
        <v>8</v>
      </c>
      <c r="ND671" s="27" t="s">
        <v>7</v>
      </c>
      <c r="NE671" s="27" t="s">
        <v>8</v>
      </c>
      <c r="NF671" s="27" t="s">
        <v>7</v>
      </c>
      <c r="NG671" s="27" t="s">
        <v>8</v>
      </c>
      <c r="NH671" s="27" t="s">
        <v>7</v>
      </c>
      <c r="NI671" s="27" t="s">
        <v>8</v>
      </c>
      <c r="NJ671" s="27" t="s">
        <v>7</v>
      </c>
      <c r="NK671" s="27" t="s">
        <v>8</v>
      </c>
      <c r="NL671" s="27" t="s">
        <v>7</v>
      </c>
    </row>
    <row r="672" spans="1:376" x14ac:dyDescent="0.25">
      <c r="A672" s="7">
        <v>0.18577420019637925</v>
      </c>
      <c r="B672"/>
      <c r="C672"/>
      <c r="D672"/>
      <c r="E672"/>
      <c r="F672" s="27" t="s">
        <v>7</v>
      </c>
      <c r="NC672" s="27" t="s">
        <v>8</v>
      </c>
      <c r="ND672" s="27" t="s">
        <v>7</v>
      </c>
      <c r="NE672" s="27" t="s">
        <v>8</v>
      </c>
      <c r="NF672" s="27" t="s">
        <v>7</v>
      </c>
      <c r="NG672" s="27" t="s">
        <v>8</v>
      </c>
      <c r="NH672" s="27" t="s">
        <v>7</v>
      </c>
      <c r="NI672" s="27" t="s">
        <v>8</v>
      </c>
      <c r="NJ672" s="27" t="s">
        <v>7</v>
      </c>
      <c r="NK672" s="27" t="s">
        <v>8</v>
      </c>
      <c r="NL672" s="27" t="s">
        <v>7</v>
      </c>
    </row>
    <row r="673" spans="1:396" x14ac:dyDescent="0.25">
      <c r="A673" s="7">
        <v>0.18213156881997963</v>
      </c>
      <c r="B673"/>
      <c r="C673"/>
      <c r="D673"/>
      <c r="E673"/>
      <c r="F673" s="27" t="s">
        <v>7</v>
      </c>
      <c r="MY673" s="27" t="s">
        <v>8</v>
      </c>
      <c r="NC673" s="27" t="s">
        <v>8</v>
      </c>
      <c r="ND673" s="27" t="s">
        <v>7</v>
      </c>
      <c r="NE673" s="27" t="s">
        <v>8</v>
      </c>
      <c r="NF673" s="27" t="s">
        <v>7</v>
      </c>
      <c r="NG673" s="27" t="s">
        <v>8</v>
      </c>
      <c r="NH673" s="27" t="s">
        <v>7</v>
      </c>
      <c r="NI673" s="27" t="s">
        <v>8</v>
      </c>
      <c r="NJ673" s="27" t="s">
        <v>7</v>
      </c>
      <c r="NK673" s="27" t="s">
        <v>8</v>
      </c>
      <c r="NL673" s="27" t="s">
        <v>7</v>
      </c>
    </row>
    <row r="674" spans="1:396" x14ac:dyDescent="0.25">
      <c r="A674" s="7">
        <v>0.17856036158821534</v>
      </c>
      <c r="B674"/>
      <c r="C674"/>
      <c r="D674"/>
      <c r="E674"/>
      <c r="F674" s="27" t="s">
        <v>7</v>
      </c>
      <c r="MY674" s="27" t="s">
        <v>8</v>
      </c>
      <c r="MZ674" s="27" t="s">
        <v>7</v>
      </c>
      <c r="NC674" s="27" t="s">
        <v>8</v>
      </c>
      <c r="ND674" s="27" t="s">
        <v>7</v>
      </c>
      <c r="NE674" s="27" t="s">
        <v>8</v>
      </c>
      <c r="NF674" s="27" t="s">
        <v>7</v>
      </c>
      <c r="NH674" s="27" t="s">
        <v>7</v>
      </c>
      <c r="NI674" s="27" t="s">
        <v>8</v>
      </c>
      <c r="NJ674" s="27" t="s">
        <v>7</v>
      </c>
      <c r="NL674" s="27" t="s">
        <v>7</v>
      </c>
    </row>
    <row r="675" spans="1:396" x14ac:dyDescent="0.25">
      <c r="A675" s="7">
        <v>0.17505917802766208</v>
      </c>
      <c r="B675"/>
      <c r="C675"/>
      <c r="D675"/>
      <c r="E675"/>
      <c r="F675" s="27" t="s">
        <v>7</v>
      </c>
      <c r="MY675" s="27" t="s">
        <v>8</v>
      </c>
      <c r="MZ675" s="27" t="s">
        <v>7</v>
      </c>
      <c r="NC675" s="27" t="s">
        <v>8</v>
      </c>
      <c r="ND675" s="27" t="s">
        <v>7</v>
      </c>
      <c r="NE675" s="27" t="s">
        <v>8</v>
      </c>
      <c r="NH675" s="27" t="s">
        <v>7</v>
      </c>
      <c r="NI675" s="27" t="s">
        <v>8</v>
      </c>
      <c r="NL675" s="27" t="s">
        <v>7</v>
      </c>
    </row>
    <row r="676" spans="1:396" x14ac:dyDescent="0.25">
      <c r="A676" s="7">
        <v>0.17162664512515888</v>
      </c>
      <c r="B676"/>
      <c r="C676"/>
      <c r="D676"/>
      <c r="E676"/>
      <c r="F676" s="27" t="s">
        <v>7</v>
      </c>
      <c r="MY676" s="27" t="s">
        <v>8</v>
      </c>
      <c r="MZ676" s="27" t="s">
        <v>7</v>
      </c>
      <c r="NC676" s="27" t="s">
        <v>8</v>
      </c>
      <c r="ND676" s="27" t="s">
        <v>7</v>
      </c>
      <c r="NE676" s="27" t="s">
        <v>8</v>
      </c>
      <c r="NH676" s="27" t="s">
        <v>7</v>
      </c>
      <c r="NI676" s="27" t="s">
        <v>8</v>
      </c>
      <c r="NL676" s="27" t="s">
        <v>7</v>
      </c>
    </row>
    <row r="677" spans="1:396" x14ac:dyDescent="0.25">
      <c r="A677" s="7">
        <v>0.16826141678937145</v>
      </c>
      <c r="B677"/>
      <c r="C677"/>
      <c r="D677"/>
      <c r="E677"/>
      <c r="F677" s="27" t="s">
        <v>7</v>
      </c>
      <c r="MY677" s="27" t="s">
        <v>8</v>
      </c>
      <c r="MZ677" s="27" t="s">
        <v>7</v>
      </c>
      <c r="NC677" s="27" t="s">
        <v>8</v>
      </c>
      <c r="ND677" s="27" t="s">
        <v>7</v>
      </c>
      <c r="NE677" s="27" t="s">
        <v>8</v>
      </c>
      <c r="NH677" s="27" t="s">
        <v>7</v>
      </c>
      <c r="NL677" s="27" t="s">
        <v>7</v>
      </c>
      <c r="NM677" s="27" t="s">
        <v>8</v>
      </c>
      <c r="NO677" s="27" t="s">
        <v>8</v>
      </c>
    </row>
    <row r="678" spans="1:396" x14ac:dyDescent="0.25">
      <c r="A678" s="7">
        <v>0.16496217332291319</v>
      </c>
      <c r="B678"/>
      <c r="C678"/>
      <c r="D678"/>
      <c r="E678"/>
      <c r="F678" s="27" t="s">
        <v>7</v>
      </c>
      <c r="MY678" s="27" t="s">
        <v>8</v>
      </c>
      <c r="MZ678" s="27" t="s">
        <v>7</v>
      </c>
      <c r="NC678" s="27" t="s">
        <v>8</v>
      </c>
      <c r="ND678" s="27" t="s">
        <v>7</v>
      </c>
      <c r="NE678" s="27" t="s">
        <v>8</v>
      </c>
      <c r="NL678" s="27" t="s">
        <v>7</v>
      </c>
      <c r="NM678" s="27" t="s">
        <v>8</v>
      </c>
      <c r="NN678" s="27" t="s">
        <v>7</v>
      </c>
      <c r="NO678" s="27" t="s">
        <v>8</v>
      </c>
      <c r="NP678" s="27" t="s">
        <v>7</v>
      </c>
    </row>
    <row r="679" spans="1:396" x14ac:dyDescent="0.25">
      <c r="A679" s="7">
        <v>0.16172762090481685</v>
      </c>
      <c r="B679"/>
      <c r="C679"/>
      <c r="D679"/>
      <c r="E679"/>
      <c r="F679" s="27" t="s">
        <v>7</v>
      </c>
      <c r="MY679" s="27" t="s">
        <v>8</v>
      </c>
      <c r="MZ679" s="27" t="s">
        <v>7</v>
      </c>
      <c r="NC679" s="27" t="s">
        <v>8</v>
      </c>
      <c r="ND679" s="27" t="s">
        <v>7</v>
      </c>
      <c r="NE679" s="27" t="s">
        <v>8</v>
      </c>
      <c r="NL679" s="27" t="s">
        <v>7</v>
      </c>
      <c r="NM679" s="27" t="s">
        <v>8</v>
      </c>
      <c r="NN679" s="27" t="s">
        <v>7</v>
      </c>
      <c r="NO679" s="27" t="s">
        <v>8</v>
      </c>
      <c r="NP679" s="27" t="s">
        <v>7</v>
      </c>
    </row>
    <row r="680" spans="1:396" x14ac:dyDescent="0.25">
      <c r="A680" s="7">
        <v>0.15855649108315376</v>
      </c>
      <c r="B680"/>
      <c r="C680"/>
      <c r="D680"/>
      <c r="E680"/>
      <c r="F680" s="27" t="s">
        <v>7</v>
      </c>
      <c r="MY680" s="27" t="s">
        <v>8</v>
      </c>
      <c r="MZ680" s="27" t="s">
        <v>7</v>
      </c>
      <c r="NC680" s="27" t="s">
        <v>8</v>
      </c>
      <c r="ND680" s="27" t="s">
        <v>7</v>
      </c>
      <c r="NE680" s="27" t="s">
        <v>8</v>
      </c>
      <c r="NL680" s="27" t="s">
        <v>7</v>
      </c>
      <c r="NM680" s="27" t="s">
        <v>8</v>
      </c>
      <c r="NN680" s="27" t="s">
        <v>7</v>
      </c>
      <c r="NO680" s="27" t="s">
        <v>8</v>
      </c>
      <c r="NP680" s="27" t="s">
        <v>7</v>
      </c>
    </row>
    <row r="681" spans="1:396" x14ac:dyDescent="0.25">
      <c r="A681" s="7">
        <v>0.15544754027760171</v>
      </c>
      <c r="B681"/>
      <c r="C681"/>
      <c r="D681"/>
      <c r="E681"/>
      <c r="F681" s="27" t="s">
        <v>7</v>
      </c>
      <c r="MY681" s="27" t="s">
        <v>8</v>
      </c>
      <c r="MZ681" s="27" t="s">
        <v>7</v>
      </c>
      <c r="NC681" s="27" t="s">
        <v>8</v>
      </c>
      <c r="ND681" s="27" t="s">
        <v>7</v>
      </c>
      <c r="NL681" s="27" t="s">
        <v>7</v>
      </c>
      <c r="NM681" s="27" t="s">
        <v>8</v>
      </c>
      <c r="NN681" s="27" t="s">
        <v>7</v>
      </c>
      <c r="NO681" s="27" t="s">
        <v>8</v>
      </c>
      <c r="NP681" s="27" t="s">
        <v>7</v>
      </c>
    </row>
    <row r="682" spans="1:396" x14ac:dyDescent="0.25">
      <c r="A682" s="7">
        <v>0.15239954929176638</v>
      </c>
      <c r="B682"/>
      <c r="C682"/>
      <c r="D682"/>
      <c r="E682"/>
      <c r="F682" s="27" t="s">
        <v>7</v>
      </c>
      <c r="MY682" s="27" t="s">
        <v>8</v>
      </c>
      <c r="MZ682" s="27" t="s">
        <v>7</v>
      </c>
      <c r="NC682" s="27" t="s">
        <v>8</v>
      </c>
      <c r="NL682" s="27" t="s">
        <v>7</v>
      </c>
      <c r="NN682" s="27" t="s">
        <v>7</v>
      </c>
      <c r="NO682" s="27" t="s">
        <v>8</v>
      </c>
      <c r="NP682" s="27" t="s">
        <v>7</v>
      </c>
      <c r="OE682" s="27" t="s">
        <v>8</v>
      </c>
    </row>
    <row r="683" spans="1:396" x14ac:dyDescent="0.25">
      <c r="A683" s="7">
        <v>0.14941132283506509</v>
      </c>
      <c r="B683"/>
      <c r="C683"/>
      <c r="D683"/>
      <c r="E683"/>
      <c r="F683" s="27" t="s">
        <v>7</v>
      </c>
      <c r="LK683" s="27" t="s">
        <v>8</v>
      </c>
      <c r="MY683" s="27" t="s">
        <v>8</v>
      </c>
      <c r="MZ683" s="27" t="s">
        <v>7</v>
      </c>
      <c r="NC683" s="27" t="s">
        <v>8</v>
      </c>
      <c r="NN683" s="27" t="s">
        <v>7</v>
      </c>
      <c r="NO683" s="27" t="s">
        <v>8</v>
      </c>
      <c r="NP683" s="27" t="s">
        <v>7</v>
      </c>
      <c r="OE683" s="27" t="s">
        <v>8</v>
      </c>
      <c r="OF683" s="27" t="s">
        <v>7</v>
      </c>
    </row>
    <row r="684" spans="1:396" x14ac:dyDescent="0.25">
      <c r="A684" s="7">
        <v>0.14648168905398537</v>
      </c>
      <c r="B684"/>
      <c r="C684"/>
      <c r="D684"/>
      <c r="E684"/>
      <c r="F684" s="27" t="s">
        <v>7</v>
      </c>
      <c r="LK684" s="27" t="s">
        <v>8</v>
      </c>
      <c r="LL684" s="27" t="s">
        <v>7</v>
      </c>
      <c r="MY684" s="27" t="s">
        <v>8</v>
      </c>
      <c r="MZ684" s="27" t="s">
        <v>7</v>
      </c>
      <c r="NC684" s="27" t="s">
        <v>8</v>
      </c>
      <c r="NN684" s="27" t="s">
        <v>7</v>
      </c>
      <c r="NO684" s="27" t="s">
        <v>8</v>
      </c>
      <c r="NP684" s="27" t="s">
        <v>7</v>
      </c>
      <c r="OE684" s="27" t="s">
        <v>8</v>
      </c>
      <c r="OF684" s="27" t="s">
        <v>7</v>
      </c>
    </row>
    <row r="685" spans="1:396" x14ac:dyDescent="0.25">
      <c r="A685" s="7">
        <v>0.14360949907253467</v>
      </c>
      <c r="B685"/>
      <c r="C685"/>
      <c r="D685"/>
      <c r="E685"/>
      <c r="F685" s="27" t="s">
        <v>7</v>
      </c>
      <c r="LK685" s="27" t="s">
        <v>8</v>
      </c>
      <c r="LL685" s="27" t="s">
        <v>7</v>
      </c>
      <c r="MY685" s="27" t="s">
        <v>8</v>
      </c>
      <c r="MZ685" s="27" t="s">
        <v>7</v>
      </c>
      <c r="NC685" s="27" t="s">
        <v>8</v>
      </c>
      <c r="NN685" s="27" t="s">
        <v>7</v>
      </c>
      <c r="NO685" s="27" t="s">
        <v>8</v>
      </c>
      <c r="NP685" s="27" t="s">
        <v>7</v>
      </c>
      <c r="NU685" s="27" t="s">
        <v>8</v>
      </c>
      <c r="OC685" s="27" t="s">
        <v>8</v>
      </c>
      <c r="OE685" s="27" t="s">
        <v>8</v>
      </c>
      <c r="OF685" s="27" t="s">
        <v>7</v>
      </c>
    </row>
    <row r="686" spans="1:396" x14ac:dyDescent="0.25">
      <c r="A686" s="7">
        <v>0.14079362654170066</v>
      </c>
      <c r="B686"/>
      <c r="C686"/>
      <c r="D686"/>
      <c r="E686"/>
      <c r="F686" s="27" t="s">
        <v>7</v>
      </c>
      <c r="LK686" s="27" t="s">
        <v>8</v>
      </c>
      <c r="LL686" s="27" t="s">
        <v>7</v>
      </c>
      <c r="MY686" s="27" t="s">
        <v>8</v>
      </c>
      <c r="MZ686" s="27" t="s">
        <v>7</v>
      </c>
      <c r="NC686" s="27" t="s">
        <v>8</v>
      </c>
      <c r="NN686" s="27" t="s">
        <v>7</v>
      </c>
      <c r="NP686" s="27" t="s">
        <v>7</v>
      </c>
      <c r="NU686" s="27" t="s">
        <v>8</v>
      </c>
      <c r="NV686" s="27" t="s">
        <v>7</v>
      </c>
      <c r="OC686" s="27" t="s">
        <v>8</v>
      </c>
      <c r="OD686" s="27" t="s">
        <v>7</v>
      </c>
      <c r="OE686" s="27" t="s">
        <v>8</v>
      </c>
      <c r="OF686" s="27" t="s">
        <v>7</v>
      </c>
    </row>
    <row r="687" spans="1:396" x14ac:dyDescent="0.25">
      <c r="A687" s="7">
        <v>0.13803296719774574</v>
      </c>
      <c r="B687"/>
      <c r="C687"/>
      <c r="D687"/>
      <c r="E687"/>
      <c r="F687" s="27" t="s">
        <v>7</v>
      </c>
      <c r="LK687" s="27" t="s">
        <v>8</v>
      </c>
      <c r="LL687" s="27" t="s">
        <v>7</v>
      </c>
      <c r="MY687" s="27" t="s">
        <v>8</v>
      </c>
      <c r="MZ687" s="27" t="s">
        <v>7</v>
      </c>
      <c r="NC687" s="27" t="s">
        <v>8</v>
      </c>
      <c r="NP687" s="27" t="s">
        <v>7</v>
      </c>
      <c r="NU687" s="27" t="s">
        <v>8</v>
      </c>
      <c r="NV687" s="27" t="s">
        <v>7</v>
      </c>
      <c r="OC687" s="27" t="s">
        <v>8</v>
      </c>
      <c r="OD687" s="27" t="s">
        <v>7</v>
      </c>
      <c r="OE687" s="27" t="s">
        <v>8</v>
      </c>
      <c r="OF687" s="27" t="s">
        <v>7</v>
      </c>
    </row>
    <row r="688" spans="1:396" x14ac:dyDescent="0.25">
      <c r="A688" s="7">
        <v>0.1353264384291625</v>
      </c>
      <c r="B688"/>
      <c r="C688"/>
      <c r="D688"/>
      <c r="E688"/>
      <c r="F688" s="27" t="s">
        <v>7</v>
      </c>
      <c r="LK688" s="27" t="s">
        <v>8</v>
      </c>
      <c r="LL688" s="27" t="s">
        <v>7</v>
      </c>
      <c r="MY688" s="27" t="s">
        <v>8</v>
      </c>
      <c r="MZ688" s="27" t="s">
        <v>7</v>
      </c>
      <c r="NC688" s="27" t="s">
        <v>8</v>
      </c>
      <c r="NP688" s="27" t="s">
        <v>7</v>
      </c>
      <c r="NU688" s="27" t="s">
        <v>8</v>
      </c>
      <c r="NV688" s="27" t="s">
        <v>7</v>
      </c>
      <c r="OC688" s="27" t="s">
        <v>8</v>
      </c>
      <c r="OD688" s="27" t="s">
        <v>7</v>
      </c>
      <c r="OE688" s="27" t="s">
        <v>8</v>
      </c>
      <c r="OF688" s="27" t="s">
        <v>7</v>
      </c>
    </row>
    <row r="689" spans="1:406" x14ac:dyDescent="0.25">
      <c r="A689" s="7">
        <v>0.13267297885212009</v>
      </c>
      <c r="B689"/>
      <c r="C689"/>
      <c r="D689"/>
      <c r="E689"/>
      <c r="F689" s="27" t="s">
        <v>7</v>
      </c>
      <c r="LK689" s="27" t="s">
        <v>8</v>
      </c>
      <c r="LL689" s="27" t="s">
        <v>7</v>
      </c>
      <c r="MY689" s="27" t="s">
        <v>8</v>
      </c>
      <c r="MZ689" s="27" t="s">
        <v>7</v>
      </c>
      <c r="NC689" s="27" t="s">
        <v>8</v>
      </c>
      <c r="NP689" s="27" t="s">
        <v>7</v>
      </c>
      <c r="NU689" s="27" t="s">
        <v>8</v>
      </c>
      <c r="NV689" s="27" t="s">
        <v>7</v>
      </c>
      <c r="OC689" s="27" t="s">
        <v>8</v>
      </c>
      <c r="OD689" s="27" t="s">
        <v>7</v>
      </c>
      <c r="OF689" s="27" t="s">
        <v>7</v>
      </c>
    </row>
    <row r="690" spans="1:406" x14ac:dyDescent="0.25">
      <c r="A690" s="7">
        <v>0.13007154789423539</v>
      </c>
      <c r="B690"/>
      <c r="C690"/>
      <c r="D690"/>
      <c r="E690"/>
      <c r="F690" s="27" t="s">
        <v>7</v>
      </c>
      <c r="LK690" s="27" t="s">
        <v>8</v>
      </c>
      <c r="LL690" s="27" t="s">
        <v>7</v>
      </c>
      <c r="MY690" s="27" t="s">
        <v>8</v>
      </c>
      <c r="MZ690" s="27" t="s">
        <v>7</v>
      </c>
      <c r="NC690" s="27" t="s">
        <v>8</v>
      </c>
      <c r="NP690" s="27" t="s">
        <v>7</v>
      </c>
      <c r="NU690" s="27" t="s">
        <v>8</v>
      </c>
      <c r="NV690" s="27" t="s">
        <v>7</v>
      </c>
      <c r="OC690" s="27" t="s">
        <v>8</v>
      </c>
      <c r="OF690" s="27" t="s">
        <v>7</v>
      </c>
      <c r="OG690" s="27" t="s">
        <v>8</v>
      </c>
    </row>
    <row r="691" spans="1:406" x14ac:dyDescent="0.25">
      <c r="A691" s="7">
        <v>0.12752112538650529</v>
      </c>
      <c r="B691"/>
      <c r="C691"/>
      <c r="D691"/>
      <c r="E691"/>
      <c r="F691" s="27" t="s">
        <v>7</v>
      </c>
      <c r="LK691" s="27" t="s">
        <v>8</v>
      </c>
      <c r="LL691" s="27" t="s">
        <v>7</v>
      </c>
      <c r="MY691" s="27" t="s">
        <v>8</v>
      </c>
      <c r="MZ691" s="27" t="s">
        <v>7</v>
      </c>
      <c r="NC691" s="27" t="s">
        <v>8</v>
      </c>
      <c r="NP691" s="27" t="s">
        <v>7</v>
      </c>
      <c r="NQ691" s="27" t="s">
        <v>8</v>
      </c>
      <c r="NU691" s="27" t="s">
        <v>8</v>
      </c>
      <c r="NV691" s="27" t="s">
        <v>7</v>
      </c>
      <c r="OA691" s="27" t="s">
        <v>8</v>
      </c>
      <c r="OC691" s="27" t="s">
        <v>8</v>
      </c>
      <c r="OF691" s="27" t="s">
        <v>7</v>
      </c>
      <c r="OG691" s="27" t="s">
        <v>8</v>
      </c>
      <c r="OH691" s="27" t="s">
        <v>7</v>
      </c>
    </row>
    <row r="692" spans="1:406" x14ac:dyDescent="0.25">
      <c r="A692" s="7">
        <v>0.12502071116324048</v>
      </c>
      <c r="B692"/>
      <c r="C692"/>
      <c r="D692"/>
      <c r="E692"/>
      <c r="F692" s="27" t="s">
        <v>7</v>
      </c>
      <c r="LK692" s="27" t="s">
        <v>8</v>
      </c>
      <c r="LL692" s="27" t="s">
        <v>7</v>
      </c>
      <c r="MY692" s="27" t="s">
        <v>8</v>
      </c>
      <c r="MZ692" s="27" t="s">
        <v>7</v>
      </c>
      <c r="NC692" s="27" t="s">
        <v>8</v>
      </c>
      <c r="NP692" s="27" t="s">
        <v>7</v>
      </c>
      <c r="NQ692" s="27" t="s">
        <v>8</v>
      </c>
      <c r="NR692" s="27" t="s">
        <v>7</v>
      </c>
      <c r="NU692" s="27" t="s">
        <v>8</v>
      </c>
      <c r="NV692" s="27" t="s">
        <v>7</v>
      </c>
      <c r="OA692" s="27" t="s">
        <v>8</v>
      </c>
      <c r="OB692" s="27" t="s">
        <v>7</v>
      </c>
      <c r="OC692" s="27" t="s">
        <v>8</v>
      </c>
      <c r="OF692" s="27" t="s">
        <v>7</v>
      </c>
      <c r="OG692" s="27" t="s">
        <v>8</v>
      </c>
      <c r="OH692" s="27" t="s">
        <v>7</v>
      </c>
    </row>
    <row r="693" spans="1:406" x14ac:dyDescent="0.25">
      <c r="A693" s="7">
        <v>0.1225693246698436</v>
      </c>
      <c r="B693"/>
      <c r="C693"/>
      <c r="D693"/>
      <c r="E693"/>
      <c r="F693" s="27" t="s">
        <v>7</v>
      </c>
      <c r="LK693" s="27" t="s">
        <v>8</v>
      </c>
      <c r="LL693" s="27" t="s">
        <v>7</v>
      </c>
      <c r="MY693" s="27" t="s">
        <v>8</v>
      </c>
      <c r="MZ693" s="27" t="s">
        <v>7</v>
      </c>
      <c r="NC693" s="27" t="s">
        <v>8</v>
      </c>
      <c r="NP693" s="27" t="s">
        <v>7</v>
      </c>
      <c r="NQ693" s="27" t="s">
        <v>8</v>
      </c>
      <c r="NR693" s="27" t="s">
        <v>7</v>
      </c>
      <c r="NS693" s="27" t="s">
        <v>8</v>
      </c>
      <c r="NU693" s="27" t="s">
        <v>8</v>
      </c>
      <c r="NV693" s="27" t="s">
        <v>7</v>
      </c>
      <c r="OA693" s="27" t="s">
        <v>8</v>
      </c>
      <c r="OB693" s="27" t="s">
        <v>7</v>
      </c>
      <c r="OC693" s="27" t="s">
        <v>8</v>
      </c>
      <c r="OF693" s="27" t="s">
        <v>7</v>
      </c>
      <c r="OG693" s="27" t="s">
        <v>8</v>
      </c>
      <c r="OH693" s="27" t="s">
        <v>7</v>
      </c>
    </row>
    <row r="694" spans="1:406" x14ac:dyDescent="0.25">
      <c r="A694" s="7">
        <v>0.12016600457827803</v>
      </c>
      <c r="B694"/>
      <c r="C694"/>
      <c r="D694"/>
      <c r="E694"/>
      <c r="F694" s="27" t="s">
        <v>7</v>
      </c>
      <c r="LK694" s="27" t="s">
        <v>8</v>
      </c>
      <c r="LL694" s="27" t="s">
        <v>7</v>
      </c>
      <c r="MY694" s="27" t="s">
        <v>8</v>
      </c>
      <c r="MZ694" s="27" t="s">
        <v>7</v>
      </c>
      <c r="NC694" s="27" t="s">
        <v>8</v>
      </c>
      <c r="NP694" s="27" t="s">
        <v>7</v>
      </c>
      <c r="NQ694" s="27" t="s">
        <v>8</v>
      </c>
      <c r="NR694" s="27" t="s">
        <v>7</v>
      </c>
      <c r="NS694" s="27" t="s">
        <v>8</v>
      </c>
      <c r="NT694" s="27" t="s">
        <v>7</v>
      </c>
      <c r="NU694" s="27" t="s">
        <v>8</v>
      </c>
      <c r="NV694" s="27" t="s">
        <v>7</v>
      </c>
      <c r="NY694" s="27" t="s">
        <v>8</v>
      </c>
      <c r="OA694" s="27" t="s">
        <v>8</v>
      </c>
      <c r="OB694" s="27" t="s">
        <v>7</v>
      </c>
      <c r="OC694" s="27" t="s">
        <v>8</v>
      </c>
      <c r="OF694" s="27" t="s">
        <v>7</v>
      </c>
      <c r="OG694" s="27" t="s">
        <v>8</v>
      </c>
      <c r="OH694" s="27" t="s">
        <v>7</v>
      </c>
    </row>
    <row r="695" spans="1:406" x14ac:dyDescent="0.25">
      <c r="A695" s="7">
        <v>0.1178098084100765</v>
      </c>
      <c r="B695"/>
      <c r="C695"/>
      <c r="D695"/>
      <c r="E695"/>
      <c r="F695" s="27" t="s">
        <v>7</v>
      </c>
      <c r="LK695" s="27" t="s">
        <v>8</v>
      </c>
      <c r="LL695" s="27" t="s">
        <v>7</v>
      </c>
      <c r="MY695" s="27" t="s">
        <v>8</v>
      </c>
      <c r="MZ695" s="27" t="s">
        <v>7</v>
      </c>
      <c r="NC695" s="27" t="s">
        <v>8</v>
      </c>
      <c r="NP695" s="27" t="s">
        <v>7</v>
      </c>
      <c r="NQ695" s="27" t="s">
        <v>8</v>
      </c>
      <c r="NR695" s="27" t="s">
        <v>7</v>
      </c>
      <c r="NS695" s="27" t="s">
        <v>8</v>
      </c>
      <c r="NT695" s="27" t="s">
        <v>7</v>
      </c>
      <c r="NU695" s="27" t="s">
        <v>8</v>
      </c>
      <c r="NV695" s="27" t="s">
        <v>7</v>
      </c>
      <c r="NW695" s="27" t="s">
        <v>8</v>
      </c>
      <c r="NY695" s="27" t="s">
        <v>8</v>
      </c>
      <c r="NZ695" s="27" t="s">
        <v>7</v>
      </c>
      <c r="OA695" s="27" t="s">
        <v>8</v>
      </c>
      <c r="OB695" s="27" t="s">
        <v>7</v>
      </c>
      <c r="OF695" s="27" t="s">
        <v>7</v>
      </c>
      <c r="OH695" s="27" t="s">
        <v>7</v>
      </c>
      <c r="OM695" s="27" t="s">
        <v>8</v>
      </c>
      <c r="OO695" s="27" t="s">
        <v>8</v>
      </c>
    </row>
    <row r="696" spans="1:406" x14ac:dyDescent="0.25">
      <c r="A696" s="7">
        <v>0.11549981216674166</v>
      </c>
      <c r="B696"/>
      <c r="C696"/>
      <c r="D696"/>
      <c r="E696"/>
      <c r="F696" s="27" t="s">
        <v>7</v>
      </c>
      <c r="LK696" s="27" t="s">
        <v>8</v>
      </c>
      <c r="LL696" s="27" t="s">
        <v>7</v>
      </c>
      <c r="MY696" s="27" t="s">
        <v>8</v>
      </c>
      <c r="MZ696" s="27" t="s">
        <v>7</v>
      </c>
      <c r="NC696" s="27" t="s">
        <v>8</v>
      </c>
      <c r="NP696" s="27" t="s">
        <v>7</v>
      </c>
      <c r="NQ696" s="27" t="s">
        <v>8</v>
      </c>
      <c r="NR696" s="27" t="s">
        <v>7</v>
      </c>
      <c r="NS696" s="27" t="s">
        <v>8</v>
      </c>
      <c r="NT696" s="27" t="s">
        <v>7</v>
      </c>
      <c r="NU696" s="27" t="s">
        <v>8</v>
      </c>
      <c r="NV696" s="27" t="s">
        <v>7</v>
      </c>
      <c r="NW696" s="27" t="s">
        <v>8</v>
      </c>
      <c r="NX696" s="27" t="s">
        <v>7</v>
      </c>
      <c r="NY696" s="27" t="s">
        <v>8</v>
      </c>
      <c r="NZ696" s="27" t="s">
        <v>7</v>
      </c>
      <c r="OA696" s="27" t="s">
        <v>8</v>
      </c>
      <c r="OH696" s="27" t="s">
        <v>7</v>
      </c>
      <c r="OM696" s="27" t="s">
        <v>8</v>
      </c>
      <c r="ON696" s="27" t="s">
        <v>7</v>
      </c>
      <c r="OO696" s="27" t="s">
        <v>8</v>
      </c>
      <c r="OP696" s="27" t="s">
        <v>7</v>
      </c>
    </row>
    <row r="697" spans="1:406" x14ac:dyDescent="0.25">
      <c r="A697" s="7">
        <v>0.11323510996739378</v>
      </c>
      <c r="B697"/>
      <c r="C697"/>
      <c r="D697"/>
      <c r="E697"/>
      <c r="F697" s="27" t="s">
        <v>7</v>
      </c>
      <c r="LK697" s="27" t="s">
        <v>8</v>
      </c>
      <c r="LL697" s="27" t="s">
        <v>7</v>
      </c>
      <c r="MY697" s="27" t="s">
        <v>8</v>
      </c>
      <c r="MZ697" s="27" t="s">
        <v>7</v>
      </c>
      <c r="NA697" s="27" t="s">
        <v>8</v>
      </c>
      <c r="NC697" s="27" t="s">
        <v>8</v>
      </c>
      <c r="NP697" s="27" t="s">
        <v>7</v>
      </c>
      <c r="NQ697" s="27" t="s">
        <v>8</v>
      </c>
      <c r="NR697" s="27" t="s">
        <v>7</v>
      </c>
      <c r="NS697" s="27" t="s">
        <v>8</v>
      </c>
      <c r="NT697" s="27" t="s">
        <v>7</v>
      </c>
      <c r="NU697" s="27" t="s">
        <v>8</v>
      </c>
      <c r="NV697" s="27" t="s">
        <v>7</v>
      </c>
      <c r="NW697" s="27" t="s">
        <v>8</v>
      </c>
      <c r="NX697" s="27" t="s">
        <v>7</v>
      </c>
      <c r="NY697" s="27" t="s">
        <v>8</v>
      </c>
      <c r="NZ697" s="27" t="s">
        <v>7</v>
      </c>
      <c r="OA697" s="27" t="s">
        <v>8</v>
      </c>
      <c r="OH697" s="27" t="s">
        <v>7</v>
      </c>
      <c r="OM697" s="27" t="s">
        <v>8</v>
      </c>
      <c r="ON697" s="27" t="s">
        <v>7</v>
      </c>
      <c r="OO697" s="27" t="s">
        <v>8</v>
      </c>
      <c r="OP697" s="27" t="s">
        <v>7</v>
      </c>
    </row>
    <row r="698" spans="1:406" x14ac:dyDescent="0.25">
      <c r="A698" s="7">
        <v>0.11101481369352331</v>
      </c>
      <c r="B698"/>
      <c r="C698"/>
      <c r="D698"/>
      <c r="E698"/>
      <c r="F698" s="27" t="s">
        <v>7</v>
      </c>
      <c r="LK698" s="27" t="s">
        <v>8</v>
      </c>
      <c r="LL698" s="27" t="s">
        <v>7</v>
      </c>
      <c r="MY698" s="27" t="s">
        <v>8</v>
      </c>
      <c r="MZ698" s="27" t="s">
        <v>7</v>
      </c>
      <c r="NA698" s="27" t="s">
        <v>8</v>
      </c>
      <c r="NB698" s="27" t="s">
        <v>7</v>
      </c>
      <c r="NC698" s="27" t="s">
        <v>8</v>
      </c>
      <c r="NP698" s="27" t="s">
        <v>7</v>
      </c>
      <c r="NR698" s="27" t="s">
        <v>7</v>
      </c>
      <c r="NS698" s="27" t="s">
        <v>8</v>
      </c>
      <c r="NT698" s="27" t="s">
        <v>7</v>
      </c>
      <c r="NU698" s="27" t="s">
        <v>8</v>
      </c>
      <c r="NV698" s="27" t="s">
        <v>7</v>
      </c>
      <c r="NW698" s="27" t="s">
        <v>8</v>
      </c>
      <c r="NX698" s="27" t="s">
        <v>7</v>
      </c>
      <c r="NZ698" s="27" t="s">
        <v>7</v>
      </c>
      <c r="OH698" s="27" t="s">
        <v>7</v>
      </c>
      <c r="OM698" s="27" t="s">
        <v>8</v>
      </c>
      <c r="ON698" s="27" t="s">
        <v>7</v>
      </c>
      <c r="OO698" s="27" t="s">
        <v>8</v>
      </c>
      <c r="OP698" s="27" t="s">
        <v>7</v>
      </c>
    </row>
    <row r="699" spans="1:406" x14ac:dyDescent="0.25">
      <c r="A699" s="7">
        <v>0.10883805264070913</v>
      </c>
      <c r="B699"/>
      <c r="C699"/>
      <c r="D699"/>
      <c r="E699"/>
      <c r="F699" s="27" t="s">
        <v>7</v>
      </c>
      <c r="LK699" s="27" t="s">
        <v>8</v>
      </c>
      <c r="LL699" s="27" t="s">
        <v>7</v>
      </c>
      <c r="MY699" s="27" t="s">
        <v>8</v>
      </c>
      <c r="MZ699" s="27" t="s">
        <v>7</v>
      </c>
      <c r="NA699" s="27" t="s">
        <v>8</v>
      </c>
      <c r="NB699" s="27" t="s">
        <v>7</v>
      </c>
      <c r="NC699" s="27" t="s">
        <v>8</v>
      </c>
      <c r="NR699" s="27" t="s">
        <v>7</v>
      </c>
      <c r="NS699" s="27" t="s">
        <v>8</v>
      </c>
      <c r="NT699" s="27" t="s">
        <v>7</v>
      </c>
      <c r="NU699" s="27" t="s">
        <v>8</v>
      </c>
      <c r="NV699" s="27" t="s">
        <v>7</v>
      </c>
      <c r="NW699" s="27" t="s">
        <v>8</v>
      </c>
      <c r="OH699" s="27" t="s">
        <v>7</v>
      </c>
      <c r="OM699" s="27" t="s">
        <v>8</v>
      </c>
      <c r="ON699" s="27" t="s">
        <v>7</v>
      </c>
      <c r="OO699" s="27" t="s">
        <v>8</v>
      </c>
      <c r="OP699" s="27" t="s">
        <v>7</v>
      </c>
    </row>
    <row r="700" spans="1:406" x14ac:dyDescent="0.25">
      <c r="A700" s="7">
        <v>0.10670397317716582</v>
      </c>
      <c r="B700"/>
      <c r="C700"/>
      <c r="D700"/>
      <c r="E700"/>
      <c r="F700" s="27" t="s">
        <v>7</v>
      </c>
      <c r="LK700" s="27" t="s">
        <v>8</v>
      </c>
      <c r="LL700" s="27" t="s">
        <v>7</v>
      </c>
      <c r="MY700" s="27" t="s">
        <v>8</v>
      </c>
      <c r="MZ700" s="27" t="s">
        <v>7</v>
      </c>
      <c r="NA700" s="27" t="s">
        <v>8</v>
      </c>
      <c r="NB700" s="27" t="s">
        <v>7</v>
      </c>
      <c r="NC700" s="27" t="s">
        <v>8</v>
      </c>
      <c r="NR700" s="27" t="s">
        <v>7</v>
      </c>
      <c r="NS700" s="27" t="s">
        <v>8</v>
      </c>
      <c r="NT700" s="27" t="s">
        <v>7</v>
      </c>
      <c r="NV700" s="27" t="s">
        <v>7</v>
      </c>
      <c r="NW700" s="27" t="s">
        <v>8</v>
      </c>
      <c r="OH700" s="27" t="s">
        <v>7</v>
      </c>
      <c r="OI700" s="27" t="s">
        <v>8</v>
      </c>
      <c r="OK700" s="27" t="s">
        <v>8</v>
      </c>
      <c r="OM700" s="27" t="s">
        <v>8</v>
      </c>
      <c r="ON700" s="27" t="s">
        <v>7</v>
      </c>
      <c r="OP700" s="27" t="s">
        <v>7</v>
      </c>
    </row>
    <row r="701" spans="1:406" x14ac:dyDescent="0.25">
      <c r="A701" s="7">
        <v>0.1046117384089861</v>
      </c>
      <c r="B701"/>
      <c r="C701"/>
      <c r="D701"/>
      <c r="E701"/>
      <c r="F701" s="27" t="s">
        <v>7</v>
      </c>
      <c r="LK701" s="27" t="s">
        <v>8</v>
      </c>
      <c r="LL701" s="27" t="s">
        <v>7</v>
      </c>
      <c r="MY701" s="27" t="s">
        <v>8</v>
      </c>
      <c r="MZ701" s="27" t="s">
        <v>7</v>
      </c>
      <c r="NB701" s="27" t="s">
        <v>7</v>
      </c>
      <c r="NC701" s="27" t="s">
        <v>8</v>
      </c>
      <c r="NR701" s="27" t="s">
        <v>7</v>
      </c>
      <c r="NS701" s="27" t="s">
        <v>8</v>
      </c>
      <c r="NV701" s="27" t="s">
        <v>7</v>
      </c>
      <c r="NW701" s="27" t="s">
        <v>8</v>
      </c>
      <c r="OH701" s="27" t="s">
        <v>7</v>
      </c>
      <c r="OI701" s="27" t="s">
        <v>8</v>
      </c>
      <c r="OJ701" s="27" t="s">
        <v>7</v>
      </c>
      <c r="OK701" s="27" t="s">
        <v>8</v>
      </c>
      <c r="OL701" s="27" t="s">
        <v>7</v>
      </c>
      <c r="OM701" s="27" t="s">
        <v>8</v>
      </c>
      <c r="OP701" s="27" t="s">
        <v>7</v>
      </c>
    </row>
    <row r="702" spans="1:406" x14ac:dyDescent="0.25">
      <c r="A702" s="7">
        <v>0.10256052785194716</v>
      </c>
      <c r="B702"/>
      <c r="C702"/>
      <c r="D702"/>
      <c r="E702"/>
      <c r="F702" s="27" t="s">
        <v>7</v>
      </c>
      <c r="LK702" s="27" t="s">
        <v>8</v>
      </c>
      <c r="LL702" s="27" t="s">
        <v>7</v>
      </c>
      <c r="MY702" s="27" t="s">
        <v>8</v>
      </c>
      <c r="NB702" s="27" t="s">
        <v>7</v>
      </c>
      <c r="NC702" s="27" t="s">
        <v>8</v>
      </c>
      <c r="NR702" s="27" t="s">
        <v>7</v>
      </c>
      <c r="NV702" s="27" t="s">
        <v>7</v>
      </c>
      <c r="OH702" s="27" t="s">
        <v>7</v>
      </c>
      <c r="OI702" s="27" t="s">
        <v>8</v>
      </c>
      <c r="OJ702" s="27" t="s">
        <v>7</v>
      </c>
      <c r="OK702" s="27" t="s">
        <v>8</v>
      </c>
      <c r="OL702" s="27" t="s">
        <v>7</v>
      </c>
      <c r="OM702" s="27" t="s">
        <v>8</v>
      </c>
      <c r="OP702" s="27" t="s">
        <v>7</v>
      </c>
    </row>
    <row r="703" spans="1:406" x14ac:dyDescent="0.25">
      <c r="A703" s="7">
        <v>0.10054953710975212</v>
      </c>
      <c r="B703"/>
      <c r="C703"/>
      <c r="D703"/>
      <c r="E703"/>
      <c r="F703" s="27" t="s">
        <v>7</v>
      </c>
      <c r="LK703" s="27" t="s">
        <v>8</v>
      </c>
      <c r="LL703" s="27" t="s">
        <v>7</v>
      </c>
      <c r="LM703" s="27" t="s">
        <v>8</v>
      </c>
      <c r="MY703" s="27" t="s">
        <v>8</v>
      </c>
      <c r="NB703" s="27" t="s">
        <v>7</v>
      </c>
      <c r="NC703" s="27" t="s">
        <v>8</v>
      </c>
      <c r="OH703" s="27" t="s">
        <v>7</v>
      </c>
      <c r="OI703" s="27" t="s">
        <v>8</v>
      </c>
      <c r="OJ703" s="27" t="s">
        <v>7</v>
      </c>
      <c r="OK703" s="27" t="s">
        <v>8</v>
      </c>
      <c r="OL703" s="27" t="s">
        <v>7</v>
      </c>
      <c r="OM703" s="27" t="s">
        <v>8</v>
      </c>
      <c r="OP703" s="27" t="s">
        <v>7</v>
      </c>
    </row>
    <row r="704" spans="1:406" x14ac:dyDescent="0.25">
      <c r="A704" s="7">
        <v>9.8577977558580512E-2</v>
      </c>
      <c r="B704"/>
      <c r="C704"/>
      <c r="D704"/>
      <c r="E704"/>
      <c r="F704" s="27" t="s">
        <v>7</v>
      </c>
      <c r="LK704" s="27" t="s">
        <v>8</v>
      </c>
      <c r="LL704" s="27" t="s">
        <v>7</v>
      </c>
      <c r="LM704" s="27" t="s">
        <v>8</v>
      </c>
      <c r="LN704" s="27" t="s">
        <v>7</v>
      </c>
      <c r="MY704" s="27" t="s">
        <v>8</v>
      </c>
      <c r="NB704" s="27" t="s">
        <v>7</v>
      </c>
      <c r="OH704" s="27" t="s">
        <v>7</v>
      </c>
      <c r="OI704" s="27" t="s">
        <v>8</v>
      </c>
      <c r="OJ704" s="27" t="s">
        <v>7</v>
      </c>
      <c r="OK704" s="27" t="s">
        <v>8</v>
      </c>
      <c r="OL704" s="27" t="s">
        <v>7</v>
      </c>
      <c r="OP704" s="27" t="s">
        <v>7</v>
      </c>
    </row>
    <row r="705" spans="1:410" x14ac:dyDescent="0.25">
      <c r="A705" s="7">
        <v>9.6645076037824032E-2</v>
      </c>
      <c r="B705"/>
      <c r="C705"/>
      <c r="D705"/>
      <c r="E705"/>
      <c r="F705" s="27" t="s">
        <v>7</v>
      </c>
      <c r="LK705" s="27" t="s">
        <v>8</v>
      </c>
      <c r="LL705" s="27" t="s">
        <v>7</v>
      </c>
      <c r="LM705" s="27" t="s">
        <v>8</v>
      </c>
      <c r="LN705" s="27" t="s">
        <v>7</v>
      </c>
      <c r="MY705" s="27" t="s">
        <v>8</v>
      </c>
      <c r="OH705" s="27" t="s">
        <v>7</v>
      </c>
      <c r="OJ705" s="27" t="s">
        <v>7</v>
      </c>
      <c r="OK705" s="27" t="s">
        <v>8</v>
      </c>
      <c r="OP705" s="27" t="s">
        <v>7</v>
      </c>
    </row>
    <row r="706" spans="1:410" x14ac:dyDescent="0.25">
      <c r="A706" s="7">
        <v>9.4750074546886304E-2</v>
      </c>
      <c r="B706"/>
      <c r="C706"/>
      <c r="D706"/>
      <c r="E706"/>
      <c r="F706" s="27" t="s">
        <v>7</v>
      </c>
      <c r="LK706" s="27" t="s">
        <v>8</v>
      </c>
      <c r="LL706" s="27" t="s">
        <v>7</v>
      </c>
      <c r="LM706" s="27" t="s">
        <v>8</v>
      </c>
      <c r="LN706" s="27" t="s">
        <v>7</v>
      </c>
      <c r="MY706" s="27" t="s">
        <v>8</v>
      </c>
      <c r="OJ706" s="27" t="s">
        <v>7</v>
      </c>
      <c r="OP706" s="27" t="s">
        <v>7</v>
      </c>
    </row>
    <row r="707" spans="1:410" x14ac:dyDescent="0.25">
      <c r="A707" s="7">
        <v>9.2892229947927743E-2</v>
      </c>
      <c r="B707"/>
      <c r="C707"/>
      <c r="D707"/>
      <c r="E707"/>
      <c r="F707" s="27" t="s">
        <v>7</v>
      </c>
      <c r="LK707" s="27" t="s">
        <v>8</v>
      </c>
      <c r="LL707" s="27" t="s">
        <v>7</v>
      </c>
      <c r="LM707" s="27" t="s">
        <v>8</v>
      </c>
      <c r="LN707" s="27" t="s">
        <v>7</v>
      </c>
      <c r="MY707" s="27" t="s">
        <v>8</v>
      </c>
      <c r="OP707" s="27" t="s">
        <v>7</v>
      </c>
    </row>
    <row r="708" spans="1:410" x14ac:dyDescent="0.25">
      <c r="A708" s="7">
        <v>9.1070813674438963E-2</v>
      </c>
      <c r="B708"/>
      <c r="C708"/>
      <c r="D708"/>
      <c r="E708"/>
      <c r="F708" s="27" t="s">
        <v>7</v>
      </c>
      <c r="LK708" s="27" t="s">
        <v>8</v>
      </c>
      <c r="LL708" s="27" t="s">
        <v>7</v>
      </c>
      <c r="LM708" s="27" t="s">
        <v>8</v>
      </c>
      <c r="LN708" s="27" t="s">
        <v>7</v>
      </c>
      <c r="LQ708" s="27" t="s">
        <v>8</v>
      </c>
      <c r="LS708" s="27" t="s">
        <v>8</v>
      </c>
      <c r="MY708" s="27" t="s">
        <v>8</v>
      </c>
      <c r="OP708" s="27" t="s">
        <v>7</v>
      </c>
    </row>
    <row r="709" spans="1:410" x14ac:dyDescent="0.25">
      <c r="A709" s="7">
        <v>8.9285111445528392E-2</v>
      </c>
      <c r="B709"/>
      <c r="C709"/>
      <c r="D709"/>
      <c r="E709"/>
      <c r="F709" s="27" t="s">
        <v>7</v>
      </c>
      <c r="LK709" s="27" t="s">
        <v>8</v>
      </c>
      <c r="LL709" s="27" t="s">
        <v>7</v>
      </c>
      <c r="LM709" s="27" t="s">
        <v>8</v>
      </c>
      <c r="LN709" s="27" t="s">
        <v>7</v>
      </c>
      <c r="LQ709" s="27" t="s">
        <v>8</v>
      </c>
      <c r="LR709" s="27" t="s">
        <v>7</v>
      </c>
      <c r="LS709" s="27" t="s">
        <v>8</v>
      </c>
      <c r="LT709" s="27" t="s">
        <v>7</v>
      </c>
      <c r="MY709" s="27" t="s">
        <v>8</v>
      </c>
      <c r="OP709" s="27" t="s">
        <v>7</v>
      </c>
    </row>
    <row r="710" spans="1:410" x14ac:dyDescent="0.25">
      <c r="A710" s="7">
        <v>8.7534422985812155E-2</v>
      </c>
      <c r="B710"/>
      <c r="C710"/>
      <c r="D710"/>
      <c r="E710"/>
      <c r="F710" s="27" t="s">
        <v>7</v>
      </c>
      <c r="LK710" s="27" t="s">
        <v>8</v>
      </c>
      <c r="LL710" s="27" t="s">
        <v>7</v>
      </c>
      <c r="LM710" s="27" t="s">
        <v>8</v>
      </c>
      <c r="LN710" s="27" t="s">
        <v>7</v>
      </c>
      <c r="LQ710" s="27" t="s">
        <v>8</v>
      </c>
      <c r="LR710" s="27" t="s">
        <v>7</v>
      </c>
      <c r="LS710" s="27" t="s">
        <v>8</v>
      </c>
      <c r="LT710" s="27" t="s">
        <v>7</v>
      </c>
      <c r="MY710" s="27" t="s">
        <v>8</v>
      </c>
      <c r="OP710" s="27" t="s">
        <v>7</v>
      </c>
    </row>
    <row r="711" spans="1:410" x14ac:dyDescent="0.25">
      <c r="A711" s="7">
        <v>8.5818061750796232E-2</v>
      </c>
      <c r="B711"/>
      <c r="C711"/>
      <c r="D711"/>
      <c r="E711"/>
      <c r="F711" s="27" t="s">
        <v>7</v>
      </c>
      <c r="LK711" s="27" t="s">
        <v>8</v>
      </c>
      <c r="LL711" s="27" t="s">
        <v>7</v>
      </c>
      <c r="LM711" s="27" t="s">
        <v>8</v>
      </c>
      <c r="LN711" s="27" t="s">
        <v>7</v>
      </c>
      <c r="LO711" s="27" t="s">
        <v>8</v>
      </c>
      <c r="LQ711" s="27" t="s">
        <v>8</v>
      </c>
      <c r="LR711" s="27" t="s">
        <v>7</v>
      </c>
      <c r="LS711" s="27" t="s">
        <v>8</v>
      </c>
      <c r="LT711" s="27" t="s">
        <v>7</v>
      </c>
      <c r="MY711" s="27" t="s">
        <v>8</v>
      </c>
      <c r="OP711" s="27" t="s">
        <v>7</v>
      </c>
    </row>
    <row r="712" spans="1:410" x14ac:dyDescent="0.25">
      <c r="A712" s="7">
        <v>8.4135354657643366E-2</v>
      </c>
      <c r="B712"/>
      <c r="C712"/>
      <c r="D712"/>
      <c r="E712"/>
      <c r="F712" s="27" t="s">
        <v>7</v>
      </c>
      <c r="JO712" s="27" t="s">
        <v>8</v>
      </c>
      <c r="LK712" s="27" t="s">
        <v>8</v>
      </c>
      <c r="LL712" s="27" t="s">
        <v>7</v>
      </c>
      <c r="LM712" s="27" t="s">
        <v>8</v>
      </c>
      <c r="LN712" s="27" t="s">
        <v>7</v>
      </c>
      <c r="LO712" s="27" t="s">
        <v>8</v>
      </c>
      <c r="LP712" s="27" t="s">
        <v>7</v>
      </c>
      <c r="LQ712" s="27" t="s">
        <v>8</v>
      </c>
      <c r="LR712" s="27" t="s">
        <v>7</v>
      </c>
      <c r="LS712" s="27" t="s">
        <v>8</v>
      </c>
      <c r="LT712" s="27" t="s">
        <v>7</v>
      </c>
      <c r="MI712" s="27" t="s">
        <v>8</v>
      </c>
      <c r="MY712" s="27" t="s">
        <v>8</v>
      </c>
      <c r="OP712" s="27" t="s">
        <v>7</v>
      </c>
    </row>
    <row r="713" spans="1:410" x14ac:dyDescent="0.25">
      <c r="A713" s="7">
        <v>8.248564182121898E-2</v>
      </c>
      <c r="B713"/>
      <c r="C713"/>
      <c r="D713"/>
      <c r="E713"/>
      <c r="F713" s="27" t="s">
        <v>7</v>
      </c>
      <c r="JO713" s="27" t="s">
        <v>8</v>
      </c>
      <c r="JP713" s="27" t="s">
        <v>7</v>
      </c>
      <c r="LK713" s="27" t="s">
        <v>8</v>
      </c>
      <c r="LL713" s="27" t="s">
        <v>7</v>
      </c>
      <c r="LN713" s="27" t="s">
        <v>7</v>
      </c>
      <c r="LO713" s="27" t="s">
        <v>8</v>
      </c>
      <c r="LP713" s="27" t="s">
        <v>7</v>
      </c>
      <c r="LQ713" s="27" t="s">
        <v>8</v>
      </c>
      <c r="LR713" s="27" t="s">
        <v>7</v>
      </c>
      <c r="LS713" s="27" t="s">
        <v>8</v>
      </c>
      <c r="LT713" s="27" t="s">
        <v>7</v>
      </c>
      <c r="MI713" s="27" t="s">
        <v>8</v>
      </c>
      <c r="MJ713" s="27" t="s">
        <v>7</v>
      </c>
      <c r="MY713" s="27" t="s">
        <v>8</v>
      </c>
      <c r="OP713" s="27" t="s">
        <v>7</v>
      </c>
    </row>
    <row r="714" spans="1:410" x14ac:dyDescent="0.25">
      <c r="A714" s="7">
        <v>8.0868276295312735E-2</v>
      </c>
      <c r="B714"/>
      <c r="C714"/>
      <c r="D714"/>
      <c r="E714"/>
      <c r="F714" s="27" t="s">
        <v>7</v>
      </c>
      <c r="JO714" s="27" t="s">
        <v>8</v>
      </c>
      <c r="JP714" s="27" t="s">
        <v>7</v>
      </c>
      <c r="LK714" s="27" t="s">
        <v>8</v>
      </c>
      <c r="LN714" s="27" t="s">
        <v>7</v>
      </c>
      <c r="LO714" s="27" t="s">
        <v>8</v>
      </c>
      <c r="LP714" s="27" t="s">
        <v>7</v>
      </c>
      <c r="LQ714" s="27" t="s">
        <v>8</v>
      </c>
      <c r="LR714" s="27" t="s">
        <v>7</v>
      </c>
      <c r="LS714" s="27" t="s">
        <v>8</v>
      </c>
      <c r="LT714" s="27" t="s">
        <v>7</v>
      </c>
      <c r="MI714" s="27" t="s">
        <v>8</v>
      </c>
      <c r="MJ714" s="27" t="s">
        <v>7</v>
      </c>
      <c r="MY714" s="27" t="s">
        <v>8</v>
      </c>
      <c r="OP714" s="27" t="s">
        <v>7</v>
      </c>
    </row>
    <row r="715" spans="1:410" x14ac:dyDescent="0.25">
      <c r="A715" s="7">
        <v>7.9282623818934056E-2</v>
      </c>
      <c r="B715"/>
      <c r="C715"/>
      <c r="D715"/>
      <c r="E715"/>
      <c r="F715" s="27" t="s">
        <v>7</v>
      </c>
      <c r="JO715" s="27" t="s">
        <v>8</v>
      </c>
      <c r="JP715" s="27" t="s">
        <v>7</v>
      </c>
      <c r="LK715" s="27" t="s">
        <v>8</v>
      </c>
      <c r="LN715" s="27" t="s">
        <v>7</v>
      </c>
      <c r="LO715" s="27" t="s">
        <v>8</v>
      </c>
      <c r="LP715" s="27" t="s">
        <v>7</v>
      </c>
      <c r="LQ715" s="27" t="s">
        <v>8</v>
      </c>
      <c r="LR715" s="27" t="s">
        <v>7</v>
      </c>
      <c r="LS715" s="27" t="s">
        <v>8</v>
      </c>
      <c r="LT715" s="27" t="s">
        <v>7</v>
      </c>
      <c r="MI715" s="27" t="s">
        <v>8</v>
      </c>
      <c r="MJ715" s="27" t="s">
        <v>7</v>
      </c>
      <c r="MY715" s="27" t="s">
        <v>8</v>
      </c>
      <c r="OP715" s="27" t="s">
        <v>7</v>
      </c>
      <c r="OS715" s="27" t="s">
        <v>8</v>
      </c>
    </row>
    <row r="716" spans="1:410" x14ac:dyDescent="0.25">
      <c r="A716" s="7">
        <v>7.7728062567582412E-2</v>
      </c>
      <c r="B716"/>
      <c r="C716"/>
      <c r="D716"/>
      <c r="E716"/>
      <c r="F716" s="27" t="s">
        <v>7</v>
      </c>
      <c r="JO716" s="27" t="s">
        <v>8</v>
      </c>
      <c r="JP716" s="27" t="s">
        <v>7</v>
      </c>
      <c r="LK716" s="27" t="s">
        <v>8</v>
      </c>
      <c r="LN716" s="27" t="s">
        <v>7</v>
      </c>
      <c r="LO716" s="27" t="s">
        <v>8</v>
      </c>
      <c r="LP716" s="27" t="s">
        <v>7</v>
      </c>
      <c r="LQ716" s="27" t="s">
        <v>8</v>
      </c>
      <c r="LR716" s="27" t="s">
        <v>7</v>
      </c>
      <c r="LS716" s="27" t="s">
        <v>8</v>
      </c>
      <c r="LT716" s="27" t="s">
        <v>7</v>
      </c>
      <c r="MI716" s="27" t="s">
        <v>8</v>
      </c>
      <c r="MJ716" s="27" t="s">
        <v>7</v>
      </c>
      <c r="MY716" s="27" t="s">
        <v>8</v>
      </c>
      <c r="OP716" s="27" t="s">
        <v>7</v>
      </c>
      <c r="OS716" s="27" t="s">
        <v>8</v>
      </c>
      <c r="OT716" s="27" t="s">
        <v>7</v>
      </c>
    </row>
    <row r="717" spans="1:410" x14ac:dyDescent="0.25">
      <c r="A717" s="7">
        <v>7.6203982909394521E-2</v>
      </c>
      <c r="B717"/>
      <c r="C717"/>
      <c r="D717"/>
      <c r="E717"/>
      <c r="F717" s="27" t="s">
        <v>7</v>
      </c>
      <c r="JO717" s="27" t="s">
        <v>8</v>
      </c>
      <c r="JP717" s="27" t="s">
        <v>7</v>
      </c>
      <c r="LK717" s="27" t="s">
        <v>8</v>
      </c>
      <c r="LN717" s="27" t="s">
        <v>7</v>
      </c>
      <c r="LO717" s="27" t="s">
        <v>8</v>
      </c>
      <c r="LP717" s="27" t="s">
        <v>7</v>
      </c>
      <c r="LQ717" s="27" t="s">
        <v>8</v>
      </c>
      <c r="LR717" s="27" t="s">
        <v>7</v>
      </c>
      <c r="LS717" s="27" t="s">
        <v>8</v>
      </c>
      <c r="LT717" s="27" t="s">
        <v>7</v>
      </c>
      <c r="MI717" s="27" t="s">
        <v>8</v>
      </c>
      <c r="MJ717" s="27" t="s">
        <v>7</v>
      </c>
      <c r="MK717" s="27" t="s">
        <v>8</v>
      </c>
      <c r="MW717" s="27" t="s">
        <v>8</v>
      </c>
      <c r="MY717" s="27" t="s">
        <v>8</v>
      </c>
      <c r="OP717" s="27" t="s">
        <v>7</v>
      </c>
      <c r="OS717" s="27" t="s">
        <v>8</v>
      </c>
      <c r="OT717" s="27" t="s">
        <v>7</v>
      </c>
    </row>
    <row r="718" spans="1:410" x14ac:dyDescent="0.25">
      <c r="A718" s="7">
        <v>7.4709787166073058E-2</v>
      </c>
      <c r="B718"/>
      <c r="C718"/>
      <c r="D718"/>
      <c r="E718"/>
      <c r="F718" s="27" t="s">
        <v>7</v>
      </c>
      <c r="JO718" s="27" t="s">
        <v>8</v>
      </c>
      <c r="JP718" s="27" t="s">
        <v>7</v>
      </c>
      <c r="LK718" s="27" t="s">
        <v>8</v>
      </c>
      <c r="LN718" s="27" t="s">
        <v>7</v>
      </c>
      <c r="LO718" s="27" t="s">
        <v>8</v>
      </c>
      <c r="LP718" s="27" t="s">
        <v>7</v>
      </c>
      <c r="LQ718" s="27" t="s">
        <v>8</v>
      </c>
      <c r="LR718" s="27" t="s">
        <v>7</v>
      </c>
      <c r="LS718" s="27" t="s">
        <v>8</v>
      </c>
      <c r="LT718" s="27" t="s">
        <v>7</v>
      </c>
      <c r="MC718" s="27" t="s">
        <v>8</v>
      </c>
      <c r="MI718" s="27" t="s">
        <v>8</v>
      </c>
      <c r="MJ718" s="27" t="s">
        <v>7</v>
      </c>
      <c r="MK718" s="27" t="s">
        <v>8</v>
      </c>
      <c r="ML718" s="27" t="s">
        <v>7</v>
      </c>
      <c r="MW718" s="27" t="s">
        <v>8</v>
      </c>
      <c r="MX718" s="27" t="s">
        <v>7</v>
      </c>
      <c r="MY718" s="27" t="s">
        <v>8</v>
      </c>
      <c r="OP718" s="27" t="s">
        <v>7</v>
      </c>
      <c r="OQ718" s="27" t="s">
        <v>8</v>
      </c>
      <c r="OS718" s="27" t="s">
        <v>8</v>
      </c>
      <c r="OT718" s="27" t="s">
        <v>7</v>
      </c>
    </row>
    <row r="719" spans="1:410" x14ac:dyDescent="0.25">
      <c r="A719" s="7">
        <v>7.3244889378503E-2</v>
      </c>
      <c r="B719"/>
      <c r="C719"/>
      <c r="D719"/>
      <c r="E719"/>
      <c r="F719" s="27" t="s">
        <v>7</v>
      </c>
      <c r="JO719" s="27" t="s">
        <v>8</v>
      </c>
      <c r="JP719" s="27" t="s">
        <v>7</v>
      </c>
      <c r="LK719" s="27" t="s">
        <v>8</v>
      </c>
      <c r="LN719" s="27" t="s">
        <v>7</v>
      </c>
      <c r="LO719" s="27" t="s">
        <v>8</v>
      </c>
      <c r="LP719" s="27" t="s">
        <v>7</v>
      </c>
      <c r="LQ719" s="27" t="s">
        <v>8</v>
      </c>
      <c r="LR719" s="27" t="s">
        <v>7</v>
      </c>
      <c r="LS719" s="27" t="s">
        <v>8</v>
      </c>
      <c r="LT719" s="27" t="s">
        <v>7</v>
      </c>
      <c r="LU719" s="27" t="s">
        <v>8</v>
      </c>
      <c r="MC719" s="27" t="s">
        <v>8</v>
      </c>
      <c r="MD719" s="27" t="s">
        <v>7</v>
      </c>
      <c r="MI719" s="27" t="s">
        <v>8</v>
      </c>
      <c r="MJ719" s="27" t="s">
        <v>7</v>
      </c>
      <c r="MK719" s="27" t="s">
        <v>8</v>
      </c>
      <c r="ML719" s="27" t="s">
        <v>7</v>
      </c>
      <c r="MO719" s="27" t="s">
        <v>8</v>
      </c>
      <c r="MW719" s="27" t="s">
        <v>8</v>
      </c>
      <c r="MX719" s="27" t="s">
        <v>7</v>
      </c>
      <c r="MY719" s="27" t="s">
        <v>8</v>
      </c>
      <c r="OP719" s="27" t="s">
        <v>7</v>
      </c>
      <c r="OQ719" s="27" t="s">
        <v>8</v>
      </c>
      <c r="OR719" s="27" t="s">
        <v>7</v>
      </c>
      <c r="OS719" s="27" t="s">
        <v>8</v>
      </c>
      <c r="OT719" s="27" t="s">
        <v>7</v>
      </c>
    </row>
    <row r="720" spans="1:410" x14ac:dyDescent="0.25">
      <c r="A720" s="7">
        <v>7.1808715076963722E-2</v>
      </c>
      <c r="B720"/>
      <c r="C720"/>
      <c r="D720"/>
      <c r="E720"/>
      <c r="F720" s="27" t="s">
        <v>7</v>
      </c>
      <c r="JO720" s="27" t="s">
        <v>8</v>
      </c>
      <c r="JP720" s="27" t="s">
        <v>7</v>
      </c>
      <c r="LK720" s="27" t="s">
        <v>8</v>
      </c>
      <c r="LN720" s="27" t="s">
        <v>7</v>
      </c>
      <c r="LP720" s="27" t="s">
        <v>7</v>
      </c>
      <c r="LQ720" s="27" t="s">
        <v>8</v>
      </c>
      <c r="LR720" s="27" t="s">
        <v>7</v>
      </c>
      <c r="LT720" s="27" t="s">
        <v>7</v>
      </c>
      <c r="LU720" s="27" t="s">
        <v>8</v>
      </c>
      <c r="LV720" s="27" t="s">
        <v>7</v>
      </c>
      <c r="MC720" s="27" t="s">
        <v>8</v>
      </c>
      <c r="MD720" s="27" t="s">
        <v>7</v>
      </c>
      <c r="MI720" s="27" t="s">
        <v>8</v>
      </c>
      <c r="MJ720" s="27" t="s">
        <v>7</v>
      </c>
      <c r="MK720" s="27" t="s">
        <v>8</v>
      </c>
      <c r="ML720" s="27" t="s">
        <v>7</v>
      </c>
      <c r="MO720" s="27" t="s">
        <v>8</v>
      </c>
      <c r="MP720" s="27" t="s">
        <v>7</v>
      </c>
      <c r="MQ720" s="27" t="s">
        <v>8</v>
      </c>
      <c r="MS720" s="27" t="s">
        <v>8</v>
      </c>
      <c r="MW720" s="27" t="s">
        <v>8</v>
      </c>
      <c r="MX720" s="27" t="s">
        <v>7</v>
      </c>
      <c r="MY720" s="27" t="s">
        <v>8</v>
      </c>
      <c r="OP720" s="27" t="s">
        <v>7</v>
      </c>
      <c r="OQ720" s="27" t="s">
        <v>8</v>
      </c>
      <c r="OR720" s="27" t="s">
        <v>7</v>
      </c>
      <c r="OS720" s="27" t="s">
        <v>8</v>
      </c>
      <c r="OT720" s="27" t="s">
        <v>7</v>
      </c>
    </row>
    <row r="721" spans="1:409" x14ac:dyDescent="0.25">
      <c r="A721" s="7">
        <v>7.0400701055846782E-2</v>
      </c>
      <c r="B721"/>
      <c r="C721"/>
      <c r="D721"/>
      <c r="E721"/>
      <c r="F721" s="27" t="s">
        <v>7</v>
      </c>
      <c r="JO721" s="27" t="s">
        <v>8</v>
      </c>
      <c r="JP721" s="27" t="s">
        <v>7</v>
      </c>
      <c r="LK721" s="27" t="s">
        <v>8</v>
      </c>
      <c r="LP721" s="27" t="s">
        <v>7</v>
      </c>
      <c r="LT721" s="27" t="s">
        <v>7</v>
      </c>
      <c r="LU721" s="27" t="s">
        <v>8</v>
      </c>
      <c r="LV721" s="27" t="s">
        <v>7</v>
      </c>
      <c r="LY721" s="27" t="s">
        <v>8</v>
      </c>
      <c r="MC721" s="27" t="s">
        <v>8</v>
      </c>
      <c r="MD721" s="27" t="s">
        <v>7</v>
      </c>
      <c r="MI721" s="27" t="s">
        <v>8</v>
      </c>
      <c r="MJ721" s="27" t="s">
        <v>7</v>
      </c>
      <c r="MK721" s="27" t="s">
        <v>8</v>
      </c>
      <c r="ML721" s="27" t="s">
        <v>7</v>
      </c>
      <c r="MM721" s="27" t="s">
        <v>8</v>
      </c>
      <c r="MO721" s="27" t="s">
        <v>8</v>
      </c>
      <c r="MP721" s="27" t="s">
        <v>7</v>
      </c>
      <c r="MQ721" s="27" t="s">
        <v>8</v>
      </c>
      <c r="MR721" s="27" t="s">
        <v>7</v>
      </c>
      <c r="MS721" s="27" t="s">
        <v>8</v>
      </c>
      <c r="MT721" s="27" t="s">
        <v>7</v>
      </c>
      <c r="MU721" s="27" t="s">
        <v>8</v>
      </c>
      <c r="MW721" s="27" t="s">
        <v>8</v>
      </c>
      <c r="MX721" s="27" t="s">
        <v>7</v>
      </c>
      <c r="MY721" s="27" t="s">
        <v>8</v>
      </c>
      <c r="OP721" s="27" t="s">
        <v>7</v>
      </c>
      <c r="OQ721" s="27" t="s">
        <v>8</v>
      </c>
      <c r="OR721" s="27" t="s">
        <v>7</v>
      </c>
      <c r="OS721" s="27" t="s">
        <v>8</v>
      </c>
    </row>
    <row r="722" spans="1:409" x14ac:dyDescent="0.25">
      <c r="A722" s="7">
        <v>6.9020295152790956E-2</v>
      </c>
      <c r="B722"/>
      <c r="C722"/>
      <c r="D722"/>
      <c r="E722"/>
      <c r="F722" s="27" t="s">
        <v>7</v>
      </c>
      <c r="JO722" s="27" t="s">
        <v>8</v>
      </c>
      <c r="JP722" s="27" t="s">
        <v>7</v>
      </c>
      <c r="LK722" s="27" t="s">
        <v>8</v>
      </c>
      <c r="LT722" s="27" t="s">
        <v>7</v>
      </c>
      <c r="LU722" s="27" t="s">
        <v>8</v>
      </c>
      <c r="LV722" s="27" t="s">
        <v>7</v>
      </c>
      <c r="LY722" s="27" t="s">
        <v>8</v>
      </c>
      <c r="LZ722" s="27" t="s">
        <v>7</v>
      </c>
      <c r="MC722" s="27" t="s">
        <v>8</v>
      </c>
      <c r="MD722" s="27" t="s">
        <v>7</v>
      </c>
      <c r="MI722" s="27" t="s">
        <v>8</v>
      </c>
      <c r="MJ722" s="27" t="s">
        <v>7</v>
      </c>
      <c r="MK722" s="27" t="s">
        <v>8</v>
      </c>
      <c r="ML722" s="27" t="s">
        <v>7</v>
      </c>
      <c r="MM722" s="27" t="s">
        <v>8</v>
      </c>
      <c r="MN722" s="27" t="s">
        <v>7</v>
      </c>
      <c r="MO722" s="27" t="s">
        <v>8</v>
      </c>
      <c r="MP722" s="27" t="s">
        <v>7</v>
      </c>
      <c r="MQ722" s="27" t="s">
        <v>8</v>
      </c>
      <c r="MR722" s="27" t="s">
        <v>7</v>
      </c>
      <c r="MS722" s="27" t="s">
        <v>8</v>
      </c>
      <c r="MT722" s="27" t="s">
        <v>7</v>
      </c>
      <c r="MU722" s="27" t="s">
        <v>8</v>
      </c>
      <c r="MV722" s="27" t="s">
        <v>7</v>
      </c>
      <c r="MW722" s="27" t="s">
        <v>8</v>
      </c>
      <c r="MX722" s="27" t="s">
        <v>7</v>
      </c>
      <c r="MY722" s="27" t="s">
        <v>8</v>
      </c>
      <c r="OP722" s="27" t="s">
        <v>7</v>
      </c>
      <c r="OQ722" s="27" t="s">
        <v>8</v>
      </c>
      <c r="OR722" s="27" t="s">
        <v>7</v>
      </c>
      <c r="OS722" s="27" t="s">
        <v>8</v>
      </c>
    </row>
    <row r="723" spans="1:409" x14ac:dyDescent="0.25">
      <c r="A723" s="7">
        <v>6.7666956032147993E-2</v>
      </c>
      <c r="B723"/>
      <c r="C723"/>
      <c r="D723"/>
      <c r="E723"/>
      <c r="F723" s="27" t="s">
        <v>7</v>
      </c>
      <c r="JO723" s="27" t="s">
        <v>8</v>
      </c>
      <c r="JP723" s="27" t="s">
        <v>7</v>
      </c>
      <c r="LK723" s="27" t="s">
        <v>8</v>
      </c>
      <c r="LT723" s="27" t="s">
        <v>7</v>
      </c>
      <c r="LU723" s="27" t="s">
        <v>8</v>
      </c>
      <c r="LV723" s="27" t="s">
        <v>7</v>
      </c>
      <c r="LY723" s="27" t="s">
        <v>8</v>
      </c>
      <c r="LZ723" s="27" t="s">
        <v>7</v>
      </c>
      <c r="MC723" s="27" t="s">
        <v>8</v>
      </c>
      <c r="MD723" s="27" t="s">
        <v>7</v>
      </c>
      <c r="MI723" s="27" t="s">
        <v>8</v>
      </c>
      <c r="MJ723" s="27" t="s">
        <v>7</v>
      </c>
      <c r="ML723" s="27" t="s">
        <v>7</v>
      </c>
      <c r="MM723" s="27" t="s">
        <v>8</v>
      </c>
      <c r="MN723" s="27" t="s">
        <v>7</v>
      </c>
      <c r="MO723" s="27" t="s">
        <v>8</v>
      </c>
      <c r="MP723" s="27" t="s">
        <v>7</v>
      </c>
      <c r="MQ723" s="27" t="s">
        <v>8</v>
      </c>
      <c r="MR723" s="27" t="s">
        <v>7</v>
      </c>
      <c r="MT723" s="27" t="s">
        <v>7</v>
      </c>
      <c r="MU723" s="27" t="s">
        <v>8</v>
      </c>
      <c r="MV723" s="27" t="s">
        <v>7</v>
      </c>
      <c r="MW723" s="27" t="s">
        <v>8</v>
      </c>
      <c r="MX723" s="27" t="s">
        <v>7</v>
      </c>
      <c r="OP723" s="27" t="s">
        <v>7</v>
      </c>
      <c r="OQ723" s="27" t="s">
        <v>8</v>
      </c>
      <c r="OR723" s="27" t="s">
        <v>7</v>
      </c>
      <c r="OS723" s="27" t="s">
        <v>8</v>
      </c>
    </row>
    <row r="724" spans="1:409" x14ac:dyDescent="0.25">
      <c r="A724" s="7">
        <v>6.6340152972694105E-2</v>
      </c>
      <c r="B724"/>
      <c r="C724"/>
      <c r="D724"/>
      <c r="E724"/>
      <c r="F724" s="27" t="s">
        <v>7</v>
      </c>
      <c r="JO724" s="27" t="s">
        <v>8</v>
      </c>
      <c r="JP724" s="27" t="s">
        <v>7</v>
      </c>
      <c r="JQ724" s="27" t="s">
        <v>8</v>
      </c>
      <c r="LK724" s="27" t="s">
        <v>8</v>
      </c>
      <c r="LT724" s="27" t="s">
        <v>7</v>
      </c>
      <c r="LU724" s="27" t="s">
        <v>8</v>
      </c>
      <c r="LV724" s="27" t="s">
        <v>7</v>
      </c>
      <c r="LW724" s="27" t="s">
        <v>8</v>
      </c>
      <c r="LY724" s="27" t="s">
        <v>8</v>
      </c>
      <c r="LZ724" s="27" t="s">
        <v>7</v>
      </c>
      <c r="MC724" s="27" t="s">
        <v>8</v>
      </c>
      <c r="MD724" s="27" t="s">
        <v>7</v>
      </c>
      <c r="MG724" s="27" t="s">
        <v>8</v>
      </c>
      <c r="MI724" s="27" t="s">
        <v>8</v>
      </c>
      <c r="ML724" s="27" t="s">
        <v>7</v>
      </c>
      <c r="MN724" s="27" t="s">
        <v>7</v>
      </c>
      <c r="MP724" s="27" t="s">
        <v>7</v>
      </c>
      <c r="MQ724" s="27" t="s">
        <v>8</v>
      </c>
      <c r="MT724" s="27" t="s">
        <v>7</v>
      </c>
      <c r="MU724" s="27" t="s">
        <v>8</v>
      </c>
      <c r="MV724" s="27" t="s">
        <v>7</v>
      </c>
      <c r="MW724" s="27" t="s">
        <v>8</v>
      </c>
      <c r="OP724" s="27" t="s">
        <v>7</v>
      </c>
      <c r="OQ724" s="27" t="s">
        <v>8</v>
      </c>
      <c r="OR724" s="27" t="s">
        <v>7</v>
      </c>
      <c r="OS724" s="27" t="s">
        <v>8</v>
      </c>
    </row>
    <row r="725" spans="1:409" x14ac:dyDescent="0.25">
      <c r="A725" s="7">
        <v>6.5039365659504023E-2</v>
      </c>
      <c r="B725"/>
      <c r="C725"/>
      <c r="D725"/>
      <c r="E725"/>
      <c r="F725" s="27" t="s">
        <v>7</v>
      </c>
      <c r="JO725" s="27" t="s">
        <v>8</v>
      </c>
      <c r="JP725" s="27" t="s">
        <v>7</v>
      </c>
      <c r="JQ725" s="27" t="s">
        <v>8</v>
      </c>
      <c r="JR725" s="27" t="s">
        <v>7</v>
      </c>
      <c r="LK725" s="27" t="s">
        <v>8</v>
      </c>
      <c r="LT725" s="27" t="s">
        <v>7</v>
      </c>
      <c r="LU725" s="27" t="s">
        <v>8</v>
      </c>
      <c r="LV725" s="27" t="s">
        <v>7</v>
      </c>
      <c r="LW725" s="27" t="s">
        <v>8</v>
      </c>
      <c r="LX725" s="27" t="s">
        <v>7</v>
      </c>
      <c r="LY725" s="27" t="s">
        <v>8</v>
      </c>
      <c r="LZ725" s="27" t="s">
        <v>7</v>
      </c>
      <c r="MC725" s="27" t="s">
        <v>8</v>
      </c>
      <c r="MD725" s="27" t="s">
        <v>7</v>
      </c>
      <c r="ME725" s="27" t="s">
        <v>8</v>
      </c>
      <c r="MG725" s="27" t="s">
        <v>8</v>
      </c>
      <c r="MH725" s="27" t="s">
        <v>7</v>
      </c>
      <c r="MI725" s="27" t="s">
        <v>8</v>
      </c>
      <c r="MP725" s="27" t="s">
        <v>7</v>
      </c>
      <c r="MQ725" s="27" t="s">
        <v>8</v>
      </c>
      <c r="MT725" s="27" t="s">
        <v>7</v>
      </c>
      <c r="MU725" s="27" t="s">
        <v>8</v>
      </c>
      <c r="MV725" s="27" t="s">
        <v>7</v>
      </c>
      <c r="MW725" s="27" t="s">
        <v>8</v>
      </c>
      <c r="OP725" s="27" t="s">
        <v>7</v>
      </c>
      <c r="OR725" s="27" t="s">
        <v>7</v>
      </c>
      <c r="OS725" s="27" t="s">
        <v>8</v>
      </c>
    </row>
    <row r="726" spans="1:409" x14ac:dyDescent="0.25">
      <c r="A726" s="7">
        <v>6.3764083979905906E-2</v>
      </c>
      <c r="B726"/>
      <c r="C726"/>
      <c r="D726"/>
      <c r="E726"/>
      <c r="F726" s="27" t="s">
        <v>7</v>
      </c>
      <c r="JO726" s="27" t="s">
        <v>8</v>
      </c>
      <c r="JP726" s="27" t="s">
        <v>7</v>
      </c>
      <c r="JQ726" s="27" t="s">
        <v>8</v>
      </c>
      <c r="JR726" s="27" t="s">
        <v>7</v>
      </c>
      <c r="LK726" s="27" t="s">
        <v>8</v>
      </c>
      <c r="LT726" s="27" t="s">
        <v>7</v>
      </c>
      <c r="LU726" s="27" t="s">
        <v>8</v>
      </c>
      <c r="LV726" s="27" t="s">
        <v>7</v>
      </c>
      <c r="LW726" s="27" t="s">
        <v>8</v>
      </c>
      <c r="LX726" s="27" t="s">
        <v>7</v>
      </c>
      <c r="LY726" s="27" t="s">
        <v>8</v>
      </c>
      <c r="LZ726" s="27" t="s">
        <v>7</v>
      </c>
      <c r="MC726" s="27" t="s">
        <v>8</v>
      </c>
      <c r="MD726" s="27" t="s">
        <v>7</v>
      </c>
      <c r="ME726" s="27" t="s">
        <v>8</v>
      </c>
      <c r="MF726" s="27" t="s">
        <v>7</v>
      </c>
      <c r="MG726" s="27" t="s">
        <v>8</v>
      </c>
      <c r="MH726" s="27" t="s">
        <v>7</v>
      </c>
      <c r="MI726" s="27" t="s">
        <v>8</v>
      </c>
      <c r="MP726" s="27" t="s">
        <v>7</v>
      </c>
      <c r="MT726" s="27" t="s">
        <v>7</v>
      </c>
      <c r="MV726" s="27" t="s">
        <v>7</v>
      </c>
      <c r="MW726" s="27" t="s">
        <v>8</v>
      </c>
      <c r="OR726" s="27" t="s">
        <v>7</v>
      </c>
    </row>
    <row r="727" spans="1:409" x14ac:dyDescent="0.25">
      <c r="A727" s="7">
        <v>6.251380782343717E-2</v>
      </c>
      <c r="B727"/>
      <c r="C727"/>
      <c r="D727"/>
      <c r="E727"/>
      <c r="F727" s="27" t="s">
        <v>7</v>
      </c>
      <c r="JO727" s="27" t="s">
        <v>8</v>
      </c>
      <c r="JP727" s="27" t="s">
        <v>7</v>
      </c>
      <c r="JQ727" s="27" t="s">
        <v>8</v>
      </c>
      <c r="JR727" s="27" t="s">
        <v>7</v>
      </c>
      <c r="LK727" s="27" t="s">
        <v>8</v>
      </c>
      <c r="LT727" s="27" t="s">
        <v>7</v>
      </c>
      <c r="LU727" s="27" t="s">
        <v>8</v>
      </c>
      <c r="LV727" s="27" t="s">
        <v>7</v>
      </c>
      <c r="LW727" s="27" t="s">
        <v>8</v>
      </c>
      <c r="LX727" s="27" t="s">
        <v>7</v>
      </c>
      <c r="LY727" s="27" t="s">
        <v>8</v>
      </c>
      <c r="LZ727" s="27" t="s">
        <v>7</v>
      </c>
      <c r="MC727" s="27" t="s">
        <v>8</v>
      </c>
      <c r="MD727" s="27" t="s">
        <v>7</v>
      </c>
      <c r="ME727" s="27" t="s">
        <v>8</v>
      </c>
      <c r="MF727" s="27" t="s">
        <v>7</v>
      </c>
      <c r="MG727" s="27" t="s">
        <v>8</v>
      </c>
      <c r="MH727" s="27" t="s">
        <v>7</v>
      </c>
      <c r="MI727" s="27" t="s">
        <v>8</v>
      </c>
      <c r="MV727" s="27" t="s">
        <v>7</v>
      </c>
      <c r="MW727" s="27" t="s">
        <v>8</v>
      </c>
    </row>
    <row r="728" spans="1:409" x14ac:dyDescent="0.25">
      <c r="A728" s="7">
        <v>6.1288046885722716E-2</v>
      </c>
      <c r="B728"/>
      <c r="C728"/>
      <c r="D728"/>
      <c r="E728"/>
      <c r="F728" s="27" t="s">
        <v>7</v>
      </c>
      <c r="JO728" s="27" t="s">
        <v>8</v>
      </c>
      <c r="JP728" s="27" t="s">
        <v>7</v>
      </c>
      <c r="JR728" s="27" t="s">
        <v>7</v>
      </c>
      <c r="LK728" s="27" t="s">
        <v>8</v>
      </c>
      <c r="LT728" s="27" t="s">
        <v>7</v>
      </c>
      <c r="LU728" s="27" t="s">
        <v>8</v>
      </c>
      <c r="LV728" s="27" t="s">
        <v>7</v>
      </c>
      <c r="LX728" s="27" t="s">
        <v>7</v>
      </c>
      <c r="LY728" s="27" t="s">
        <v>8</v>
      </c>
      <c r="LZ728" s="27" t="s">
        <v>7</v>
      </c>
      <c r="MC728" s="27" t="s">
        <v>8</v>
      </c>
      <c r="MD728" s="27" t="s">
        <v>7</v>
      </c>
      <c r="ME728" s="27" t="s">
        <v>8</v>
      </c>
      <c r="MF728" s="27" t="s">
        <v>7</v>
      </c>
      <c r="MG728" s="27" t="s">
        <v>8</v>
      </c>
      <c r="MH728" s="27" t="s">
        <v>7</v>
      </c>
      <c r="MI728" s="27" t="s">
        <v>8</v>
      </c>
      <c r="MV728" s="27" t="s">
        <v>7</v>
      </c>
      <c r="MW728" s="27" t="s">
        <v>8</v>
      </c>
    </row>
    <row r="729" spans="1:409" x14ac:dyDescent="0.25">
      <c r="A729" s="7">
        <v>6.0086320476198739E-2</v>
      </c>
      <c r="B729"/>
      <c r="C729"/>
      <c r="D729"/>
      <c r="E729"/>
      <c r="F729" s="27" t="s">
        <v>7</v>
      </c>
      <c r="JO729" s="27" t="s">
        <v>8</v>
      </c>
      <c r="JR729" s="27" t="s">
        <v>7</v>
      </c>
      <c r="LK729" s="27" t="s">
        <v>8</v>
      </c>
      <c r="LT729" s="27" t="s">
        <v>7</v>
      </c>
      <c r="LU729" s="27" t="s">
        <v>8</v>
      </c>
      <c r="LX729" s="27" t="s">
        <v>7</v>
      </c>
      <c r="LY729" s="27" t="s">
        <v>8</v>
      </c>
      <c r="LZ729" s="27" t="s">
        <v>7</v>
      </c>
      <c r="MC729" s="27" t="s">
        <v>8</v>
      </c>
      <c r="MD729" s="27" t="s">
        <v>7</v>
      </c>
      <c r="ME729" s="27" t="s">
        <v>8</v>
      </c>
      <c r="MF729" s="27" t="s">
        <v>7</v>
      </c>
      <c r="MH729" s="27" t="s">
        <v>7</v>
      </c>
      <c r="MV729" s="27" t="s">
        <v>7</v>
      </c>
      <c r="MW729" s="27" t="s">
        <v>8</v>
      </c>
    </row>
    <row r="730" spans="1:409" x14ac:dyDescent="0.25">
      <c r="A730" s="7">
        <v>5.8908157329606609E-2</v>
      </c>
      <c r="B730"/>
      <c r="C730"/>
      <c r="D730"/>
      <c r="E730"/>
      <c r="F730" s="27" t="s">
        <v>7</v>
      </c>
      <c r="JO730" s="27" t="s">
        <v>8</v>
      </c>
      <c r="JR730" s="27" t="s">
        <v>7</v>
      </c>
      <c r="LK730" s="27" t="s">
        <v>8</v>
      </c>
      <c r="LT730" s="27" t="s">
        <v>7</v>
      </c>
      <c r="LU730" s="27" t="s">
        <v>8</v>
      </c>
      <c r="LX730" s="27" t="s">
        <v>7</v>
      </c>
      <c r="LZ730" s="27" t="s">
        <v>7</v>
      </c>
      <c r="MC730" s="27" t="s">
        <v>8</v>
      </c>
      <c r="MD730" s="27" t="s">
        <v>7</v>
      </c>
      <c r="ME730" s="27" t="s">
        <v>8</v>
      </c>
      <c r="MV730" s="27" t="s">
        <v>7</v>
      </c>
    </row>
    <row r="731" spans="1:409" x14ac:dyDescent="0.25">
      <c r="A731" s="7">
        <v>5.7753095421182947E-2</v>
      </c>
      <c r="B731"/>
      <c r="C731"/>
      <c r="D731"/>
      <c r="E731"/>
      <c r="F731" s="27" t="s">
        <v>7</v>
      </c>
      <c r="JO731" s="27" t="s">
        <v>8</v>
      </c>
      <c r="JR731" s="27" t="s">
        <v>7</v>
      </c>
      <c r="LK731" s="27" t="s">
        <v>8</v>
      </c>
      <c r="LT731" s="27" t="s">
        <v>7</v>
      </c>
      <c r="LU731" s="27" t="s">
        <v>8</v>
      </c>
      <c r="LZ731" s="27" t="s">
        <v>7</v>
      </c>
      <c r="MC731" s="27" t="s">
        <v>8</v>
      </c>
      <c r="MD731" s="27" t="s">
        <v>7</v>
      </c>
      <c r="ME731" s="27" t="s">
        <v>8</v>
      </c>
    </row>
    <row r="732" spans="1:409" x14ac:dyDescent="0.25">
      <c r="A732" s="7">
        <v>5.6620681785473484E-2</v>
      </c>
      <c r="B732"/>
      <c r="C732"/>
      <c r="D732"/>
      <c r="E732"/>
      <c r="F732" s="27" t="s">
        <v>7</v>
      </c>
      <c r="IM732" s="27" t="s">
        <v>8</v>
      </c>
      <c r="IW732" s="27" t="s">
        <v>8</v>
      </c>
      <c r="JA732" s="27" t="s">
        <v>8</v>
      </c>
      <c r="JO732" s="27" t="s">
        <v>8</v>
      </c>
      <c r="JR732" s="27" t="s">
        <v>7</v>
      </c>
      <c r="LK732" s="27" t="s">
        <v>8</v>
      </c>
      <c r="LT732" s="27" t="s">
        <v>7</v>
      </c>
      <c r="LU732" s="27" t="s">
        <v>8</v>
      </c>
      <c r="LZ732" s="27" t="s">
        <v>7</v>
      </c>
      <c r="MA732" s="27" t="s">
        <v>8</v>
      </c>
      <c r="MC732" s="27" t="s">
        <v>8</v>
      </c>
      <c r="MD732" s="27" t="s">
        <v>7</v>
      </c>
    </row>
    <row r="733" spans="1:409" x14ac:dyDescent="0.25">
      <c r="A733" s="7">
        <v>5.5510472338699497E-2</v>
      </c>
      <c r="B733"/>
      <c r="C733"/>
      <c r="D733"/>
      <c r="E733"/>
      <c r="F733" s="27" t="s">
        <v>7</v>
      </c>
      <c r="IM733" s="27" t="s">
        <v>8</v>
      </c>
      <c r="IN733" s="27" t="s">
        <v>7</v>
      </c>
      <c r="IW733" s="27" t="s">
        <v>8</v>
      </c>
      <c r="IX733" s="27" t="s">
        <v>7</v>
      </c>
      <c r="JA733" s="27" t="s">
        <v>8</v>
      </c>
      <c r="JB733" s="27" t="s">
        <v>7</v>
      </c>
      <c r="JO733" s="27" t="s">
        <v>8</v>
      </c>
      <c r="JR733" s="27" t="s">
        <v>7</v>
      </c>
      <c r="JS733" s="27" t="s">
        <v>8</v>
      </c>
      <c r="LK733" s="27" t="s">
        <v>8</v>
      </c>
      <c r="LT733" s="27" t="s">
        <v>7</v>
      </c>
      <c r="LU733" s="27" t="s">
        <v>8</v>
      </c>
      <c r="LZ733" s="27" t="s">
        <v>7</v>
      </c>
      <c r="MA733" s="27" t="s">
        <v>8</v>
      </c>
      <c r="MB733" s="27" t="s">
        <v>7</v>
      </c>
      <c r="MC733" s="27" t="s">
        <v>8</v>
      </c>
    </row>
    <row r="734" spans="1:409" x14ac:dyDescent="0.25">
      <c r="A734" s="7">
        <v>5.4422031704607354E-2</v>
      </c>
      <c r="B734"/>
      <c r="C734"/>
      <c r="D734"/>
      <c r="E734"/>
      <c r="F734" s="27" t="s">
        <v>7</v>
      </c>
      <c r="IM734" s="27" t="s">
        <v>8</v>
      </c>
      <c r="IN734" s="27" t="s">
        <v>7</v>
      </c>
      <c r="IW734" s="27" t="s">
        <v>8</v>
      </c>
      <c r="IX734" s="27" t="s">
        <v>7</v>
      </c>
      <c r="JA734" s="27" t="s">
        <v>8</v>
      </c>
      <c r="JB734" s="27" t="s">
        <v>7</v>
      </c>
      <c r="JC734" s="27" t="s">
        <v>8</v>
      </c>
      <c r="JO734" s="27" t="s">
        <v>8</v>
      </c>
      <c r="JR734" s="27" t="s">
        <v>7</v>
      </c>
      <c r="JS734" s="27" t="s">
        <v>8</v>
      </c>
      <c r="JT734" s="27" t="s">
        <v>7</v>
      </c>
      <c r="LK734" s="27" t="s">
        <v>8</v>
      </c>
      <c r="LT734" s="27" t="s">
        <v>7</v>
      </c>
      <c r="LU734" s="27" t="s">
        <v>8</v>
      </c>
      <c r="LZ734" s="27" t="s">
        <v>7</v>
      </c>
      <c r="MA734" s="27" t="s">
        <v>8</v>
      </c>
      <c r="MB734" s="27" t="s">
        <v>7</v>
      </c>
      <c r="MC734" s="27" t="s">
        <v>8</v>
      </c>
    </row>
    <row r="735" spans="1:409" x14ac:dyDescent="0.25">
      <c r="A735" s="7">
        <v>5.3354933043732705E-2</v>
      </c>
      <c r="B735"/>
      <c r="C735"/>
      <c r="D735"/>
      <c r="E735"/>
      <c r="F735" s="27" t="s">
        <v>7</v>
      </c>
      <c r="IM735" s="27" t="s">
        <v>8</v>
      </c>
      <c r="IN735" s="27" t="s">
        <v>7</v>
      </c>
      <c r="IW735" s="27" t="s">
        <v>8</v>
      </c>
      <c r="IX735" s="27" t="s">
        <v>7</v>
      </c>
      <c r="IY735" s="27" t="s">
        <v>8</v>
      </c>
      <c r="JA735" s="27" t="s">
        <v>8</v>
      </c>
      <c r="JB735" s="27" t="s">
        <v>7</v>
      </c>
      <c r="JC735" s="27" t="s">
        <v>8</v>
      </c>
      <c r="JD735" s="27" t="s">
        <v>7</v>
      </c>
      <c r="JO735" s="27" t="s">
        <v>8</v>
      </c>
      <c r="JR735" s="27" t="s">
        <v>7</v>
      </c>
      <c r="JS735" s="27" t="s">
        <v>8</v>
      </c>
      <c r="JT735" s="27" t="s">
        <v>7</v>
      </c>
      <c r="LK735" s="27" t="s">
        <v>8</v>
      </c>
      <c r="LT735" s="27" t="s">
        <v>7</v>
      </c>
      <c r="LZ735" s="27" t="s">
        <v>7</v>
      </c>
      <c r="MA735" s="27" t="s">
        <v>8</v>
      </c>
      <c r="MB735" s="27" t="s">
        <v>7</v>
      </c>
      <c r="MC735" s="27" t="s">
        <v>8</v>
      </c>
    </row>
    <row r="736" spans="1:409" x14ac:dyDescent="0.25">
      <c r="A736" s="7">
        <v>5.2308757886012455E-2</v>
      </c>
      <c r="B736"/>
      <c r="C736"/>
      <c r="D736"/>
      <c r="E736"/>
      <c r="F736" s="27" t="s">
        <v>7</v>
      </c>
      <c r="IM736" s="27" t="s">
        <v>8</v>
      </c>
      <c r="IN736" s="27" t="s">
        <v>7</v>
      </c>
      <c r="IW736" s="27" t="s">
        <v>8</v>
      </c>
      <c r="IX736" s="27" t="s">
        <v>7</v>
      </c>
      <c r="IY736" s="27" t="s">
        <v>8</v>
      </c>
      <c r="IZ736" s="27" t="s">
        <v>7</v>
      </c>
      <c r="JA736" s="27" t="s">
        <v>8</v>
      </c>
      <c r="JB736" s="27" t="s">
        <v>7</v>
      </c>
      <c r="JC736" s="27" t="s">
        <v>8</v>
      </c>
      <c r="JD736" s="27" t="s">
        <v>7</v>
      </c>
      <c r="JE736" s="27" t="s">
        <v>8</v>
      </c>
      <c r="JM736" s="27" t="s">
        <v>8</v>
      </c>
      <c r="JO736" s="27" t="s">
        <v>8</v>
      </c>
      <c r="JR736" s="27" t="s">
        <v>7</v>
      </c>
      <c r="JS736" s="27" t="s">
        <v>8</v>
      </c>
      <c r="JT736" s="27" t="s">
        <v>7</v>
      </c>
      <c r="LK736" s="27" t="s">
        <v>8</v>
      </c>
      <c r="LZ736" s="27" t="s">
        <v>7</v>
      </c>
      <c r="MA736" s="27" t="s">
        <v>8</v>
      </c>
      <c r="MB736" s="27" t="s">
        <v>7</v>
      </c>
      <c r="MC736" s="27" t="s">
        <v>8</v>
      </c>
    </row>
    <row r="737" spans="1:341" x14ac:dyDescent="0.25">
      <c r="A737" s="7">
        <v>5.1283095966678877E-2</v>
      </c>
      <c r="B737"/>
      <c r="C737"/>
      <c r="D737"/>
      <c r="E737"/>
      <c r="F737" s="27" t="s">
        <v>7</v>
      </c>
      <c r="IM737" s="27" t="s">
        <v>8</v>
      </c>
      <c r="IN737" s="27" t="s">
        <v>7</v>
      </c>
      <c r="IW737" s="27" t="s">
        <v>8</v>
      </c>
      <c r="IX737" s="27" t="s">
        <v>7</v>
      </c>
      <c r="IY737" s="27" t="s">
        <v>8</v>
      </c>
      <c r="IZ737" s="27" t="s">
        <v>7</v>
      </c>
      <c r="JA737" s="27" t="s">
        <v>8</v>
      </c>
      <c r="JB737" s="27" t="s">
        <v>7</v>
      </c>
      <c r="JC737" s="27" t="s">
        <v>8</v>
      </c>
      <c r="JD737" s="27" t="s">
        <v>7</v>
      </c>
      <c r="JE737" s="27" t="s">
        <v>8</v>
      </c>
      <c r="JF737" s="27" t="s">
        <v>7</v>
      </c>
      <c r="JM737" s="27" t="s">
        <v>8</v>
      </c>
      <c r="JN737" s="27" t="s">
        <v>7</v>
      </c>
      <c r="JO737" s="27" t="s">
        <v>8</v>
      </c>
      <c r="JR737" s="27" t="s">
        <v>7</v>
      </c>
      <c r="JT737" s="27" t="s">
        <v>7</v>
      </c>
      <c r="LK737" s="27" t="s">
        <v>8</v>
      </c>
      <c r="LZ737" s="27" t="s">
        <v>7</v>
      </c>
      <c r="MA737" s="27" t="s">
        <v>8</v>
      </c>
      <c r="MB737" s="27" t="s">
        <v>7</v>
      </c>
      <c r="MC737" s="27" t="s">
        <v>8</v>
      </c>
    </row>
    <row r="738" spans="1:341" x14ac:dyDescent="0.25">
      <c r="A738" s="7">
        <v>5.0277545065371444E-2</v>
      </c>
      <c r="B738"/>
      <c r="C738"/>
      <c r="D738"/>
      <c r="E738"/>
      <c r="F738" s="27" t="s">
        <v>7</v>
      </c>
      <c r="IM738" s="27" t="s">
        <v>8</v>
      </c>
      <c r="IN738" s="27" t="s">
        <v>7</v>
      </c>
      <c r="IW738" s="27" t="s">
        <v>8</v>
      </c>
      <c r="IX738" s="27" t="s">
        <v>7</v>
      </c>
      <c r="IY738" s="27" t="s">
        <v>8</v>
      </c>
      <c r="IZ738" s="27" t="s">
        <v>7</v>
      </c>
      <c r="JA738" s="27" t="s">
        <v>8</v>
      </c>
      <c r="JB738" s="27" t="s">
        <v>7</v>
      </c>
      <c r="JC738" s="27" t="s">
        <v>8</v>
      </c>
      <c r="JD738" s="27" t="s">
        <v>7</v>
      </c>
      <c r="JE738" s="27" t="s">
        <v>8</v>
      </c>
      <c r="JF738" s="27" t="s">
        <v>7</v>
      </c>
      <c r="JM738" s="27" t="s">
        <v>8</v>
      </c>
      <c r="JN738" s="27" t="s">
        <v>7</v>
      </c>
      <c r="JO738" s="27" t="s">
        <v>8</v>
      </c>
      <c r="JT738" s="27" t="s">
        <v>7</v>
      </c>
      <c r="LK738" s="27" t="s">
        <v>8</v>
      </c>
      <c r="LZ738" s="27" t="s">
        <v>7</v>
      </c>
      <c r="MA738" s="27" t="s">
        <v>8</v>
      </c>
      <c r="MB738" s="27" t="s">
        <v>7</v>
      </c>
      <c r="MC738" s="27" t="s">
        <v>8</v>
      </c>
    </row>
    <row r="739" spans="1:341" x14ac:dyDescent="0.25">
      <c r="A739" s="7">
        <v>4.9291710848403378E-2</v>
      </c>
      <c r="B739"/>
      <c r="C739"/>
      <c r="D739"/>
      <c r="E739"/>
      <c r="F739" s="27" t="s">
        <v>7</v>
      </c>
      <c r="IM739" s="27" t="s">
        <v>8</v>
      </c>
      <c r="IN739" s="27" t="s">
        <v>7</v>
      </c>
      <c r="IO739" s="27" t="s">
        <v>8</v>
      </c>
      <c r="IQ739" s="27" t="s">
        <v>8</v>
      </c>
      <c r="IU739" s="27" t="s">
        <v>8</v>
      </c>
      <c r="IW739" s="27" t="s">
        <v>8</v>
      </c>
      <c r="IX739" s="27" t="s">
        <v>7</v>
      </c>
      <c r="IZ739" s="27" t="s">
        <v>7</v>
      </c>
      <c r="JA739" s="27" t="s">
        <v>8</v>
      </c>
      <c r="JB739" s="27" t="s">
        <v>7</v>
      </c>
      <c r="JC739" s="27" t="s">
        <v>8</v>
      </c>
      <c r="JD739" s="27" t="s">
        <v>7</v>
      </c>
      <c r="JE739" s="27" t="s">
        <v>8</v>
      </c>
      <c r="JF739" s="27" t="s">
        <v>7</v>
      </c>
      <c r="JM739" s="27" t="s">
        <v>8</v>
      </c>
      <c r="JN739" s="27" t="s">
        <v>7</v>
      </c>
      <c r="JO739" s="27" t="s">
        <v>8</v>
      </c>
      <c r="JT739" s="27" t="s">
        <v>7</v>
      </c>
      <c r="LK739" s="27" t="s">
        <v>8</v>
      </c>
      <c r="LZ739" s="27" t="s">
        <v>7</v>
      </c>
      <c r="MA739" s="27" t="s">
        <v>8</v>
      </c>
      <c r="MB739" s="27" t="s">
        <v>7</v>
      </c>
    </row>
    <row r="740" spans="1:341" x14ac:dyDescent="0.25">
      <c r="A740" s="7">
        <v>4.8325206714120959E-2</v>
      </c>
      <c r="B740"/>
      <c r="C740"/>
      <c r="D740"/>
      <c r="E740"/>
      <c r="F740" s="27" t="s">
        <v>7</v>
      </c>
      <c r="IM740" s="27" t="s">
        <v>8</v>
      </c>
      <c r="IN740" s="27" t="s">
        <v>7</v>
      </c>
      <c r="IO740" s="27" t="s">
        <v>8</v>
      </c>
      <c r="IP740" s="27" t="s">
        <v>7</v>
      </c>
      <c r="IQ740" s="27" t="s">
        <v>8</v>
      </c>
      <c r="IR740" s="27" t="s">
        <v>7</v>
      </c>
      <c r="IU740" s="27" t="s">
        <v>8</v>
      </c>
      <c r="IV740" s="27" t="s">
        <v>7</v>
      </c>
      <c r="IW740" s="27" t="s">
        <v>8</v>
      </c>
      <c r="IZ740" s="27" t="s">
        <v>7</v>
      </c>
      <c r="JA740" s="27" t="s">
        <v>8</v>
      </c>
      <c r="JB740" s="27" t="s">
        <v>7</v>
      </c>
      <c r="JC740" s="27" t="s">
        <v>8</v>
      </c>
      <c r="JD740" s="27" t="s">
        <v>7</v>
      </c>
      <c r="JF740" s="27" t="s">
        <v>7</v>
      </c>
      <c r="JM740" s="27" t="s">
        <v>8</v>
      </c>
      <c r="JN740" s="27" t="s">
        <v>7</v>
      </c>
      <c r="JO740" s="27" t="s">
        <v>8</v>
      </c>
      <c r="JT740" s="27" t="s">
        <v>7</v>
      </c>
      <c r="JW740" s="27" t="s">
        <v>8</v>
      </c>
      <c r="LK740" s="27" t="s">
        <v>8</v>
      </c>
      <c r="LZ740" s="27" t="s">
        <v>7</v>
      </c>
    </row>
    <row r="741" spans="1:341" x14ac:dyDescent="0.25">
      <c r="A741" s="7">
        <v>4.7377653641295057E-2</v>
      </c>
      <c r="B741"/>
      <c r="C741"/>
      <c r="D741"/>
      <c r="E741"/>
      <c r="F741" s="27" t="s">
        <v>7</v>
      </c>
      <c r="IM741" s="27" t="s">
        <v>8</v>
      </c>
      <c r="IN741" s="27" t="s">
        <v>7</v>
      </c>
      <c r="IO741" s="27" t="s">
        <v>8</v>
      </c>
      <c r="IP741" s="27" t="s">
        <v>7</v>
      </c>
      <c r="IQ741" s="27" t="s">
        <v>8</v>
      </c>
      <c r="IR741" s="27" t="s">
        <v>7</v>
      </c>
      <c r="IU741" s="27" t="s">
        <v>8</v>
      </c>
      <c r="IV741" s="27" t="s">
        <v>7</v>
      </c>
      <c r="IW741" s="27" t="s">
        <v>8</v>
      </c>
      <c r="IZ741" s="27" t="s">
        <v>7</v>
      </c>
      <c r="JA741" s="27" t="s">
        <v>8</v>
      </c>
      <c r="JB741" s="27" t="s">
        <v>7</v>
      </c>
      <c r="JC741" s="27" t="s">
        <v>8</v>
      </c>
      <c r="JF741" s="27" t="s">
        <v>7</v>
      </c>
      <c r="JM741" s="27" t="s">
        <v>8</v>
      </c>
      <c r="JN741" s="27" t="s">
        <v>7</v>
      </c>
      <c r="JO741" s="27" t="s">
        <v>8</v>
      </c>
      <c r="JT741" s="27" t="s">
        <v>7</v>
      </c>
      <c r="JU741" s="27" t="s">
        <v>8</v>
      </c>
      <c r="JW741" s="27" t="s">
        <v>8</v>
      </c>
      <c r="JX741" s="27" t="s">
        <v>7</v>
      </c>
      <c r="LK741" s="27" t="s">
        <v>8</v>
      </c>
    </row>
    <row r="742" spans="1:341" x14ac:dyDescent="0.25">
      <c r="A742" s="7">
        <v>4.644868004048535E-2</v>
      </c>
      <c r="B742"/>
      <c r="C742"/>
      <c r="D742"/>
      <c r="E742"/>
      <c r="F742" s="27" t="s">
        <v>7</v>
      </c>
      <c r="IM742" s="27" t="s">
        <v>8</v>
      </c>
      <c r="IN742" s="27" t="s">
        <v>7</v>
      </c>
      <c r="IO742" s="27" t="s">
        <v>8</v>
      </c>
      <c r="IP742" s="27" t="s">
        <v>7</v>
      </c>
      <c r="IQ742" s="27" t="s">
        <v>8</v>
      </c>
      <c r="IR742" s="27" t="s">
        <v>7</v>
      </c>
      <c r="IU742" s="27" t="s">
        <v>8</v>
      </c>
      <c r="IV742" s="27" t="s">
        <v>7</v>
      </c>
      <c r="IW742" s="27" t="s">
        <v>8</v>
      </c>
      <c r="IZ742" s="27" t="s">
        <v>7</v>
      </c>
      <c r="JA742" s="27" t="s">
        <v>8</v>
      </c>
      <c r="JB742" s="27" t="s">
        <v>7</v>
      </c>
      <c r="JF742" s="27" t="s">
        <v>7</v>
      </c>
      <c r="JG742" s="27" t="s">
        <v>8</v>
      </c>
      <c r="JM742" s="27" t="s">
        <v>8</v>
      </c>
      <c r="JN742" s="27" t="s">
        <v>7</v>
      </c>
      <c r="JO742" s="27" t="s">
        <v>8</v>
      </c>
      <c r="JT742" s="27" t="s">
        <v>7</v>
      </c>
      <c r="JU742" s="27" t="s">
        <v>8</v>
      </c>
      <c r="JV742" s="27" t="s">
        <v>7</v>
      </c>
      <c r="JW742" s="27" t="s">
        <v>8</v>
      </c>
      <c r="JX742" s="27" t="s">
        <v>7</v>
      </c>
      <c r="LK742" s="27" t="s">
        <v>8</v>
      </c>
    </row>
    <row r="743" spans="1:341" x14ac:dyDescent="0.25">
      <c r="A743" s="7">
        <v>4.5537921608318974E-2</v>
      </c>
      <c r="B743"/>
      <c r="C743"/>
      <c r="D743"/>
      <c r="E743"/>
      <c r="F743" s="27" t="s">
        <v>7</v>
      </c>
      <c r="IM743" s="27" t="s">
        <v>8</v>
      </c>
      <c r="IN743" s="27" t="s">
        <v>7</v>
      </c>
      <c r="IO743" s="27" t="s">
        <v>8</v>
      </c>
      <c r="IP743" s="27" t="s">
        <v>7</v>
      </c>
      <c r="IQ743" s="27" t="s">
        <v>8</v>
      </c>
      <c r="IR743" s="27" t="s">
        <v>7</v>
      </c>
      <c r="IU743" s="27" t="s">
        <v>8</v>
      </c>
      <c r="IV743" s="27" t="s">
        <v>7</v>
      </c>
      <c r="IW743" s="27" t="s">
        <v>8</v>
      </c>
      <c r="IZ743" s="27" t="s">
        <v>7</v>
      </c>
      <c r="JA743" s="27" t="s">
        <v>8</v>
      </c>
      <c r="JF743" s="27" t="s">
        <v>7</v>
      </c>
      <c r="JG743" s="27" t="s">
        <v>8</v>
      </c>
      <c r="JH743" s="27" t="s">
        <v>7</v>
      </c>
      <c r="JM743" s="27" t="s">
        <v>8</v>
      </c>
      <c r="JN743" s="27" t="s">
        <v>7</v>
      </c>
      <c r="JO743" s="27" t="s">
        <v>8</v>
      </c>
      <c r="JT743" s="27" t="s">
        <v>7</v>
      </c>
      <c r="JU743" s="27" t="s">
        <v>8</v>
      </c>
      <c r="JV743" s="27" t="s">
        <v>7</v>
      </c>
      <c r="JW743" s="27" t="s">
        <v>8</v>
      </c>
      <c r="JX743" s="27" t="s">
        <v>7</v>
      </c>
      <c r="LK743" s="27" t="s">
        <v>8</v>
      </c>
    </row>
    <row r="744" spans="1:341" x14ac:dyDescent="0.25">
      <c r="A744" s="7">
        <v>4.4645021184626446E-2</v>
      </c>
      <c r="B744"/>
      <c r="C744"/>
      <c r="D744"/>
      <c r="E744"/>
      <c r="F744" s="27" t="s">
        <v>7</v>
      </c>
      <c r="IM744" s="27" t="s">
        <v>8</v>
      </c>
      <c r="IN744" s="27" t="s">
        <v>7</v>
      </c>
      <c r="IO744" s="27" t="s">
        <v>8</v>
      </c>
      <c r="IP744" s="27" t="s">
        <v>7</v>
      </c>
      <c r="IQ744" s="27" t="s">
        <v>8</v>
      </c>
      <c r="IR744" s="27" t="s">
        <v>7</v>
      </c>
      <c r="IU744" s="27" t="s">
        <v>8</v>
      </c>
      <c r="IV744" s="27" t="s">
        <v>7</v>
      </c>
      <c r="IW744" s="27" t="s">
        <v>8</v>
      </c>
      <c r="IZ744" s="27" t="s">
        <v>7</v>
      </c>
      <c r="JA744" s="27" t="s">
        <v>8</v>
      </c>
      <c r="JF744" s="27" t="s">
        <v>7</v>
      </c>
      <c r="JG744" s="27" t="s">
        <v>8</v>
      </c>
      <c r="JH744" s="27" t="s">
        <v>7</v>
      </c>
      <c r="JI744" s="27" t="s">
        <v>8</v>
      </c>
      <c r="JM744" s="27" t="s">
        <v>8</v>
      </c>
      <c r="JN744" s="27" t="s">
        <v>7</v>
      </c>
      <c r="JT744" s="27" t="s">
        <v>7</v>
      </c>
      <c r="JU744" s="27" t="s">
        <v>8</v>
      </c>
      <c r="JV744" s="27" t="s">
        <v>7</v>
      </c>
      <c r="JW744" s="27" t="s">
        <v>8</v>
      </c>
      <c r="JX744" s="27" t="s">
        <v>7</v>
      </c>
      <c r="LK744" s="27" t="s">
        <v>8</v>
      </c>
    </row>
    <row r="745" spans="1:341" x14ac:dyDescent="0.25">
      <c r="A745" s="7">
        <v>4.3769628612378868E-2</v>
      </c>
      <c r="B745"/>
      <c r="C745"/>
      <c r="D745"/>
      <c r="E745"/>
      <c r="F745" s="27" t="s">
        <v>7</v>
      </c>
      <c r="IK745" s="27" t="s">
        <v>8</v>
      </c>
      <c r="IM745" s="27" t="s">
        <v>8</v>
      </c>
      <c r="IN745" s="27" t="s">
        <v>7</v>
      </c>
      <c r="IO745" s="27" t="s">
        <v>8</v>
      </c>
      <c r="IP745" s="27" t="s">
        <v>7</v>
      </c>
      <c r="IR745" s="27" t="s">
        <v>7</v>
      </c>
      <c r="IU745" s="27" t="s">
        <v>8</v>
      </c>
      <c r="IV745" s="27" t="s">
        <v>7</v>
      </c>
      <c r="IZ745" s="27" t="s">
        <v>7</v>
      </c>
      <c r="JF745" s="27" t="s">
        <v>7</v>
      </c>
      <c r="JG745" s="27" t="s">
        <v>8</v>
      </c>
      <c r="JH745" s="27" t="s">
        <v>7</v>
      </c>
      <c r="JI745" s="27" t="s">
        <v>8</v>
      </c>
      <c r="JJ745" s="27" t="s">
        <v>7</v>
      </c>
      <c r="JM745" s="27" t="s">
        <v>8</v>
      </c>
      <c r="JT745" s="27" t="s">
        <v>7</v>
      </c>
      <c r="JU745" s="27" t="s">
        <v>8</v>
      </c>
      <c r="JV745" s="27" t="s">
        <v>7</v>
      </c>
      <c r="JW745" s="27" t="s">
        <v>8</v>
      </c>
      <c r="JX745" s="27" t="s">
        <v>7</v>
      </c>
      <c r="LK745" s="27" t="s">
        <v>8</v>
      </c>
    </row>
    <row r="746" spans="1:341" x14ac:dyDescent="0.25">
      <c r="A746" s="7">
        <v>4.2911400600371442E-2</v>
      </c>
      <c r="B746"/>
      <c r="C746"/>
      <c r="D746"/>
      <c r="E746"/>
      <c r="F746" s="27" t="s">
        <v>7</v>
      </c>
      <c r="IK746" s="27" t="s">
        <v>8</v>
      </c>
      <c r="IL746" s="27" t="s">
        <v>7</v>
      </c>
      <c r="IM746" s="27" t="s">
        <v>8</v>
      </c>
      <c r="IN746" s="27" t="s">
        <v>7</v>
      </c>
      <c r="IO746" s="27" t="s">
        <v>8</v>
      </c>
      <c r="IR746" s="27" t="s">
        <v>7</v>
      </c>
      <c r="IU746" s="27" t="s">
        <v>8</v>
      </c>
      <c r="JF746" s="27" t="s">
        <v>7</v>
      </c>
      <c r="JG746" s="27" t="s">
        <v>8</v>
      </c>
      <c r="JH746" s="27" t="s">
        <v>7</v>
      </c>
      <c r="JI746" s="27" t="s">
        <v>8</v>
      </c>
      <c r="JJ746" s="27" t="s">
        <v>7</v>
      </c>
      <c r="JM746" s="27" t="s">
        <v>8</v>
      </c>
      <c r="JT746" s="27" t="s">
        <v>7</v>
      </c>
      <c r="JU746" s="27" t="s">
        <v>8</v>
      </c>
      <c r="JV746" s="27" t="s">
        <v>7</v>
      </c>
      <c r="JX746" s="27" t="s">
        <v>7</v>
      </c>
      <c r="JY746" s="27" t="s">
        <v>8</v>
      </c>
      <c r="LK746" s="27" t="s">
        <v>8</v>
      </c>
    </row>
    <row r="747" spans="1:341" x14ac:dyDescent="0.25">
      <c r="A747" s="7">
        <v>4.2070000588599457E-2</v>
      </c>
      <c r="B747"/>
      <c r="C747"/>
      <c r="D747"/>
      <c r="E747"/>
      <c r="F747" s="27" t="s">
        <v>7</v>
      </c>
      <c r="IK747" s="27" t="s">
        <v>8</v>
      </c>
      <c r="IL747" s="27" t="s">
        <v>7</v>
      </c>
      <c r="IM747" s="27" t="s">
        <v>8</v>
      </c>
      <c r="IN747" s="27" t="s">
        <v>7</v>
      </c>
      <c r="IO747" s="27" t="s">
        <v>8</v>
      </c>
      <c r="IR747" s="27" t="s">
        <v>7</v>
      </c>
      <c r="IU747" s="27" t="s">
        <v>8</v>
      </c>
      <c r="JF747" s="27" t="s">
        <v>7</v>
      </c>
      <c r="JG747" s="27" t="s">
        <v>8</v>
      </c>
      <c r="JH747" s="27" t="s">
        <v>7</v>
      </c>
      <c r="JI747" s="27" t="s">
        <v>8</v>
      </c>
      <c r="JJ747" s="27" t="s">
        <v>7</v>
      </c>
      <c r="JM747" s="27" t="s">
        <v>8</v>
      </c>
      <c r="JT747" s="27" t="s">
        <v>7</v>
      </c>
      <c r="JU747" s="27" t="s">
        <v>8</v>
      </c>
      <c r="JX747" s="27" t="s">
        <v>7</v>
      </c>
      <c r="JY747" s="27" t="s">
        <v>8</v>
      </c>
      <c r="JZ747" s="27" t="s">
        <v>7</v>
      </c>
      <c r="LK747" s="27" t="s">
        <v>8</v>
      </c>
    </row>
    <row r="748" spans="1:341" x14ac:dyDescent="0.25">
      <c r="A748" s="7">
        <v>4.1245098616273977E-2</v>
      </c>
      <c r="B748"/>
      <c r="C748"/>
      <c r="D748"/>
      <c r="E748"/>
      <c r="F748" s="27" t="s">
        <v>7</v>
      </c>
      <c r="IK748" s="27" t="s">
        <v>8</v>
      </c>
      <c r="IL748" s="27" t="s">
        <v>7</v>
      </c>
      <c r="IM748" s="27" t="s">
        <v>8</v>
      </c>
      <c r="IN748" s="27" t="s">
        <v>7</v>
      </c>
      <c r="IO748" s="27" t="s">
        <v>8</v>
      </c>
      <c r="IR748" s="27" t="s">
        <v>7</v>
      </c>
      <c r="IS748" s="27" t="s">
        <v>8</v>
      </c>
      <c r="IU748" s="27" t="s">
        <v>8</v>
      </c>
      <c r="JF748" s="27" t="s">
        <v>7</v>
      </c>
      <c r="JG748" s="27" t="s">
        <v>8</v>
      </c>
      <c r="JH748" s="27" t="s">
        <v>7</v>
      </c>
      <c r="JI748" s="27" t="s">
        <v>8</v>
      </c>
      <c r="JJ748" s="27" t="s">
        <v>7</v>
      </c>
      <c r="JM748" s="27" t="s">
        <v>8</v>
      </c>
      <c r="JT748" s="27" t="s">
        <v>7</v>
      </c>
      <c r="JU748" s="27" t="s">
        <v>8</v>
      </c>
      <c r="JX748" s="27" t="s">
        <v>7</v>
      </c>
      <c r="JY748" s="27" t="s">
        <v>8</v>
      </c>
      <c r="JZ748" s="27" t="s">
        <v>7</v>
      </c>
      <c r="LK748" s="27" t="s">
        <v>8</v>
      </c>
    </row>
    <row r="749" spans="1:341" x14ac:dyDescent="0.25">
      <c r="A749" s="7">
        <v>4.043637119242547E-2</v>
      </c>
      <c r="B749"/>
      <c r="C749"/>
      <c r="D749"/>
      <c r="E749"/>
      <c r="F749" s="27" t="s">
        <v>7</v>
      </c>
      <c r="IK749" s="27" t="s">
        <v>8</v>
      </c>
      <c r="IL749" s="27" t="s">
        <v>7</v>
      </c>
      <c r="IM749" s="27" t="s">
        <v>8</v>
      </c>
      <c r="IN749" s="27" t="s">
        <v>7</v>
      </c>
      <c r="IO749" s="27" t="s">
        <v>8</v>
      </c>
      <c r="IR749" s="27" t="s">
        <v>7</v>
      </c>
      <c r="IS749" s="27" t="s">
        <v>8</v>
      </c>
      <c r="IT749" s="27" t="s">
        <v>7</v>
      </c>
      <c r="IU749" s="27" t="s">
        <v>8</v>
      </c>
      <c r="JF749" s="27" t="s">
        <v>7</v>
      </c>
      <c r="JG749" s="27" t="s">
        <v>8</v>
      </c>
      <c r="JH749" s="27" t="s">
        <v>7</v>
      </c>
      <c r="JJ749" s="27" t="s">
        <v>7</v>
      </c>
      <c r="JM749" s="27" t="s">
        <v>8</v>
      </c>
      <c r="JT749" s="27" t="s">
        <v>7</v>
      </c>
      <c r="JX749" s="27" t="s">
        <v>7</v>
      </c>
      <c r="JY749" s="27" t="s">
        <v>8</v>
      </c>
      <c r="JZ749" s="27" t="s">
        <v>7</v>
      </c>
      <c r="KA749" s="27" t="s">
        <v>8</v>
      </c>
      <c r="LK749" s="27" t="s">
        <v>8</v>
      </c>
    </row>
    <row r="750" spans="1:341" x14ac:dyDescent="0.25">
      <c r="A750" s="7">
        <v>3.9643501169044582E-2</v>
      </c>
      <c r="B750"/>
      <c r="C750"/>
      <c r="D750"/>
      <c r="E750"/>
      <c r="F750" s="27" t="s">
        <v>7</v>
      </c>
      <c r="IK750" s="27" t="s">
        <v>8</v>
      </c>
      <c r="IL750" s="27" t="s">
        <v>7</v>
      </c>
      <c r="IM750" s="27" t="s">
        <v>8</v>
      </c>
      <c r="IN750" s="27" t="s">
        <v>7</v>
      </c>
      <c r="IR750" s="27" t="s">
        <v>7</v>
      </c>
      <c r="IS750" s="27" t="s">
        <v>8</v>
      </c>
      <c r="IT750" s="27" t="s">
        <v>7</v>
      </c>
      <c r="IU750" s="27" t="s">
        <v>8</v>
      </c>
      <c r="JF750" s="27" t="s">
        <v>7</v>
      </c>
      <c r="JJ750" s="27" t="s">
        <v>7</v>
      </c>
      <c r="JM750" s="27" t="s">
        <v>8</v>
      </c>
      <c r="JX750" s="27" t="s">
        <v>7</v>
      </c>
      <c r="JY750" s="27" t="s">
        <v>8</v>
      </c>
      <c r="JZ750" s="27" t="s">
        <v>7</v>
      </c>
      <c r="KA750" s="27" t="s">
        <v>8</v>
      </c>
      <c r="KB750" s="27" t="s">
        <v>7</v>
      </c>
      <c r="LK750" s="27" t="s">
        <v>8</v>
      </c>
    </row>
    <row r="751" spans="1:341" x14ac:dyDescent="0.25">
      <c r="A751" s="7">
        <v>3.8866177616710372E-2</v>
      </c>
      <c r="B751"/>
      <c r="C751"/>
      <c r="D751"/>
      <c r="E751"/>
      <c r="F751" s="27" t="s">
        <v>7</v>
      </c>
      <c r="IK751" s="27" t="s">
        <v>8</v>
      </c>
      <c r="IL751" s="27" t="s">
        <v>7</v>
      </c>
      <c r="IM751" s="27" t="s">
        <v>8</v>
      </c>
      <c r="IR751" s="27" t="s">
        <v>7</v>
      </c>
      <c r="IS751" s="27" t="s">
        <v>8</v>
      </c>
      <c r="IT751" s="27" t="s">
        <v>7</v>
      </c>
      <c r="JJ751" s="27" t="s">
        <v>7</v>
      </c>
      <c r="JM751" s="27" t="s">
        <v>8</v>
      </c>
      <c r="JX751" s="27" t="s">
        <v>7</v>
      </c>
      <c r="JZ751" s="27" t="s">
        <v>7</v>
      </c>
      <c r="KA751" s="27" t="s">
        <v>8</v>
      </c>
      <c r="KB751" s="27" t="s">
        <v>7</v>
      </c>
      <c r="LK751" s="27" t="s">
        <v>8</v>
      </c>
    </row>
    <row r="752" spans="1:341" x14ac:dyDescent="0.25">
      <c r="A752" s="7">
        <v>3.8104095702657229E-2</v>
      </c>
      <c r="B752"/>
      <c r="C752"/>
      <c r="D752"/>
      <c r="E752"/>
      <c r="F752" s="27" t="s">
        <v>7</v>
      </c>
      <c r="IK752" s="27" t="s">
        <v>8</v>
      </c>
      <c r="IL752" s="27" t="s">
        <v>7</v>
      </c>
      <c r="IM752" s="27" t="s">
        <v>8</v>
      </c>
      <c r="IR752" s="27" t="s">
        <v>7</v>
      </c>
      <c r="IS752" s="27" t="s">
        <v>8</v>
      </c>
      <c r="JJ752" s="27" t="s">
        <v>7</v>
      </c>
      <c r="JK752" s="27" t="s">
        <v>8</v>
      </c>
      <c r="JM752" s="27" t="s">
        <v>8</v>
      </c>
      <c r="JZ752" s="27" t="s">
        <v>7</v>
      </c>
      <c r="KA752" s="27" t="s">
        <v>8</v>
      </c>
      <c r="KB752" s="27" t="s">
        <v>7</v>
      </c>
      <c r="LK752" s="27" t="s">
        <v>8</v>
      </c>
    </row>
    <row r="753" spans="1:323" x14ac:dyDescent="0.25">
      <c r="A753" s="7">
        <v>3.7356956571232579E-2</v>
      </c>
      <c r="B753"/>
      <c r="C753"/>
      <c r="D753"/>
      <c r="E753"/>
      <c r="F753" s="27" t="s">
        <v>7</v>
      </c>
      <c r="HS753" s="27" t="s">
        <v>8</v>
      </c>
      <c r="IK753" s="27" t="s">
        <v>8</v>
      </c>
      <c r="IL753" s="27" t="s">
        <v>7</v>
      </c>
      <c r="IM753" s="27" t="s">
        <v>8</v>
      </c>
      <c r="IR753" s="27" t="s">
        <v>7</v>
      </c>
      <c r="IS753" s="27" t="s">
        <v>8</v>
      </c>
      <c r="JJ753" s="27" t="s">
        <v>7</v>
      </c>
      <c r="JK753" s="27" t="s">
        <v>8</v>
      </c>
      <c r="JL753" s="27" t="s">
        <v>7</v>
      </c>
      <c r="JM753" s="27" t="s">
        <v>8</v>
      </c>
      <c r="JZ753" s="27" t="s">
        <v>7</v>
      </c>
      <c r="KA753" s="27" t="s">
        <v>8</v>
      </c>
      <c r="KB753" s="27" t="s">
        <v>7</v>
      </c>
      <c r="KC753" s="27" t="s">
        <v>8</v>
      </c>
      <c r="LK753" s="27" t="s">
        <v>8</v>
      </c>
    </row>
    <row r="754" spans="1:323" x14ac:dyDescent="0.25">
      <c r="A754" s="7">
        <v>3.6624467226698605E-2</v>
      </c>
      <c r="B754"/>
      <c r="C754"/>
      <c r="D754"/>
      <c r="E754"/>
      <c r="F754" s="27" t="s">
        <v>7</v>
      </c>
      <c r="HS754" s="27" t="s">
        <v>8</v>
      </c>
      <c r="HT754" s="27" t="s">
        <v>7</v>
      </c>
      <c r="IK754" s="27" t="s">
        <v>8</v>
      </c>
      <c r="IL754" s="27" t="s">
        <v>7</v>
      </c>
      <c r="IM754" s="27" t="s">
        <v>8</v>
      </c>
      <c r="IR754" s="27" t="s">
        <v>7</v>
      </c>
      <c r="IS754" s="27" t="s">
        <v>8</v>
      </c>
      <c r="JJ754" s="27" t="s">
        <v>7</v>
      </c>
      <c r="JK754" s="27" t="s">
        <v>8</v>
      </c>
      <c r="JL754" s="27" t="s">
        <v>7</v>
      </c>
      <c r="JM754" s="27" t="s">
        <v>8</v>
      </c>
      <c r="JZ754" s="27" t="s">
        <v>7</v>
      </c>
      <c r="KA754" s="27" t="s">
        <v>8</v>
      </c>
      <c r="KB754" s="27" t="s">
        <v>7</v>
      </c>
      <c r="KC754" s="27" t="s">
        <v>8</v>
      </c>
      <c r="KD754" s="27" t="s">
        <v>7</v>
      </c>
      <c r="KE754" s="27" t="s">
        <v>8</v>
      </c>
      <c r="LK754" s="27" t="s">
        <v>8</v>
      </c>
    </row>
    <row r="755" spans="1:323" x14ac:dyDescent="0.25">
      <c r="A755" s="7">
        <v>3.5906340418331961E-2</v>
      </c>
      <c r="B755"/>
      <c r="C755"/>
      <c r="D755"/>
      <c r="E755"/>
      <c r="F755" s="27" t="s">
        <v>7</v>
      </c>
      <c r="HS755" s="27" t="s">
        <v>8</v>
      </c>
      <c r="HT755" s="27" t="s">
        <v>7</v>
      </c>
      <c r="IK755" s="27" t="s">
        <v>8</v>
      </c>
      <c r="IL755" s="27" t="s">
        <v>7</v>
      </c>
      <c r="IM755" s="27" t="s">
        <v>8</v>
      </c>
      <c r="IR755" s="27" t="s">
        <v>7</v>
      </c>
      <c r="JJ755" s="27" t="s">
        <v>7</v>
      </c>
      <c r="JK755" s="27" t="s">
        <v>8</v>
      </c>
      <c r="JL755" s="27" t="s">
        <v>7</v>
      </c>
      <c r="JM755" s="27" t="s">
        <v>8</v>
      </c>
      <c r="JZ755" s="27" t="s">
        <v>7</v>
      </c>
      <c r="KA755" s="27" t="s">
        <v>8</v>
      </c>
      <c r="KB755" s="27" t="s">
        <v>7</v>
      </c>
      <c r="KC755" s="27" t="s">
        <v>8</v>
      </c>
      <c r="KD755" s="27" t="s">
        <v>7</v>
      </c>
      <c r="KE755" s="27" t="s">
        <v>8</v>
      </c>
      <c r="KF755" s="27" t="s">
        <v>7</v>
      </c>
      <c r="LK755" s="27" t="s">
        <v>8</v>
      </c>
    </row>
    <row r="756" spans="1:323" x14ac:dyDescent="0.25">
      <c r="A756" s="7">
        <v>3.5202294527776436E-2</v>
      </c>
      <c r="B756"/>
      <c r="C756"/>
      <c r="D756"/>
      <c r="E756"/>
      <c r="F756" s="27" t="s">
        <v>7</v>
      </c>
      <c r="HS756" s="27" t="s">
        <v>8</v>
      </c>
      <c r="HT756" s="27" t="s">
        <v>7</v>
      </c>
      <c r="IK756" s="27" t="s">
        <v>8</v>
      </c>
      <c r="IL756" s="27" t="s">
        <v>7</v>
      </c>
      <c r="IM756" s="27" t="s">
        <v>8</v>
      </c>
      <c r="JJ756" s="27" t="s">
        <v>7</v>
      </c>
      <c r="JK756" s="27" t="s">
        <v>8</v>
      </c>
      <c r="JL756" s="27" t="s">
        <v>7</v>
      </c>
      <c r="JM756" s="27" t="s">
        <v>8</v>
      </c>
      <c r="JZ756" s="27" t="s">
        <v>7</v>
      </c>
      <c r="KA756" s="27" t="s">
        <v>8</v>
      </c>
      <c r="KB756" s="27" t="s">
        <v>7</v>
      </c>
      <c r="KC756" s="27" t="s">
        <v>8</v>
      </c>
      <c r="KD756" s="27" t="s">
        <v>7</v>
      </c>
      <c r="KE756" s="27" t="s">
        <v>8</v>
      </c>
      <c r="KF756" s="27" t="s">
        <v>7</v>
      </c>
      <c r="LK756" s="27" t="s">
        <v>8</v>
      </c>
    </row>
    <row r="757" spans="1:323" x14ac:dyDescent="0.25">
      <c r="A757" s="7">
        <v>3.451205345860435E-2</v>
      </c>
      <c r="B757"/>
      <c r="C757"/>
      <c r="D757"/>
      <c r="E757"/>
      <c r="F757" s="27" t="s">
        <v>7</v>
      </c>
      <c r="HS757" s="27" t="s">
        <v>8</v>
      </c>
      <c r="HT757" s="27" t="s">
        <v>7</v>
      </c>
      <c r="IK757" s="27" t="s">
        <v>8</v>
      </c>
      <c r="IL757" s="27" t="s">
        <v>7</v>
      </c>
      <c r="IM757" s="27" t="s">
        <v>8</v>
      </c>
      <c r="JJ757" s="27" t="s">
        <v>7</v>
      </c>
      <c r="JK757" s="27" t="s">
        <v>8</v>
      </c>
      <c r="JL757" s="27" t="s">
        <v>7</v>
      </c>
      <c r="JM757" s="27" t="s">
        <v>8</v>
      </c>
      <c r="JZ757" s="27" t="s">
        <v>7</v>
      </c>
      <c r="KA757" s="27" t="s">
        <v>8</v>
      </c>
      <c r="KB757" s="27" t="s">
        <v>7</v>
      </c>
      <c r="KC757" s="27" t="s">
        <v>8</v>
      </c>
      <c r="KD757" s="27" t="s">
        <v>7</v>
      </c>
      <c r="KE757" s="27" t="s">
        <v>8</v>
      </c>
      <c r="KF757" s="27" t="s">
        <v>7</v>
      </c>
      <c r="LK757" s="27" t="s">
        <v>8</v>
      </c>
    </row>
    <row r="758" spans="1:323" x14ac:dyDescent="0.25">
      <c r="A758" s="7">
        <v>3.3835346528043479E-2</v>
      </c>
      <c r="B758"/>
      <c r="C758"/>
      <c r="D758"/>
      <c r="E758"/>
      <c r="F758" s="27" t="s">
        <v>7</v>
      </c>
      <c r="HS758" s="27" t="s">
        <v>8</v>
      </c>
      <c r="HT758" s="27" t="s">
        <v>7</v>
      </c>
      <c r="IK758" s="27" t="s">
        <v>8</v>
      </c>
      <c r="IL758" s="27" t="s">
        <v>7</v>
      </c>
      <c r="JJ758" s="27" t="s">
        <v>7</v>
      </c>
      <c r="JK758" s="27" t="s">
        <v>8</v>
      </c>
      <c r="JL758" s="27" t="s">
        <v>7</v>
      </c>
      <c r="JM758" s="27" t="s">
        <v>8</v>
      </c>
      <c r="JZ758" s="27" t="s">
        <v>7</v>
      </c>
      <c r="KA758" s="27" t="s">
        <v>8</v>
      </c>
      <c r="KB758" s="27" t="s">
        <v>7</v>
      </c>
      <c r="KC758" s="27" t="s">
        <v>8</v>
      </c>
      <c r="KD758" s="27" t="s">
        <v>7</v>
      </c>
      <c r="KE758" s="27" t="s">
        <v>8</v>
      </c>
      <c r="KF758" s="27" t="s">
        <v>7</v>
      </c>
      <c r="LK758" s="27" t="s">
        <v>8</v>
      </c>
    </row>
    <row r="759" spans="1:323" x14ac:dyDescent="0.25">
      <c r="A759" s="7">
        <v>3.3171908360826938E-2</v>
      </c>
      <c r="B759"/>
      <c r="C759"/>
      <c r="D759"/>
      <c r="E759"/>
      <c r="F759" s="27" t="s">
        <v>7</v>
      </c>
      <c r="HS759" s="27" t="s">
        <v>8</v>
      </c>
      <c r="HT759" s="27" t="s">
        <v>7</v>
      </c>
      <c r="IK759" s="27" t="s">
        <v>8</v>
      </c>
      <c r="JJ759" s="27" t="s">
        <v>7</v>
      </c>
      <c r="JK759" s="27" t="s">
        <v>8</v>
      </c>
      <c r="JL759" s="27" t="s">
        <v>7</v>
      </c>
      <c r="JM759" s="27" t="s">
        <v>8</v>
      </c>
      <c r="JZ759" s="27" t="s">
        <v>7</v>
      </c>
      <c r="KA759" s="27" t="s">
        <v>8</v>
      </c>
      <c r="KB759" s="27" t="s">
        <v>7</v>
      </c>
      <c r="KC759" s="27" t="s">
        <v>8</v>
      </c>
      <c r="KD759" s="27" t="s">
        <v>7</v>
      </c>
      <c r="KE759" s="27" t="s">
        <v>8</v>
      </c>
      <c r="KF759" s="27" t="s">
        <v>7</v>
      </c>
      <c r="LK759" s="27" t="s">
        <v>8</v>
      </c>
    </row>
    <row r="760" spans="1:323" x14ac:dyDescent="0.25">
      <c r="A760" s="7">
        <v>3.2521478785124451E-2</v>
      </c>
      <c r="B760"/>
      <c r="C760"/>
      <c r="D760"/>
      <c r="E760"/>
      <c r="F760" s="27" t="s">
        <v>7</v>
      </c>
      <c r="HS760" s="27" t="s">
        <v>8</v>
      </c>
      <c r="HT760" s="27" t="s">
        <v>7</v>
      </c>
      <c r="IK760" s="27" t="s">
        <v>8</v>
      </c>
      <c r="JJ760" s="27" t="s">
        <v>7</v>
      </c>
      <c r="JK760" s="27" t="s">
        <v>8</v>
      </c>
      <c r="JL760" s="27" t="s">
        <v>7</v>
      </c>
      <c r="JM760" s="27" t="s">
        <v>8</v>
      </c>
      <c r="JZ760" s="27" t="s">
        <v>7</v>
      </c>
      <c r="KA760" s="27" t="s">
        <v>8</v>
      </c>
      <c r="KB760" s="27" t="s">
        <v>7</v>
      </c>
      <c r="KC760" s="27" t="s">
        <v>8</v>
      </c>
      <c r="KD760" s="27" t="s">
        <v>7</v>
      </c>
      <c r="KE760" s="27" t="s">
        <v>8</v>
      </c>
      <c r="KF760" s="27" t="s">
        <v>7</v>
      </c>
      <c r="LK760" s="27" t="s">
        <v>8</v>
      </c>
    </row>
    <row r="761" spans="1:323" x14ac:dyDescent="0.25">
      <c r="A761" s="7">
        <v>3.1883802730514173E-2</v>
      </c>
      <c r="B761"/>
      <c r="C761"/>
      <c r="D761"/>
      <c r="E761"/>
      <c r="F761" s="27" t="s">
        <v>7</v>
      </c>
      <c r="HS761" s="27" t="s">
        <v>8</v>
      </c>
      <c r="HT761" s="27" t="s">
        <v>7</v>
      </c>
      <c r="HY761" s="27" t="s">
        <v>8</v>
      </c>
      <c r="IG761" s="27" t="s">
        <v>8</v>
      </c>
      <c r="IK761" s="27" t="s">
        <v>8</v>
      </c>
      <c r="JJ761" s="27" t="s">
        <v>7</v>
      </c>
      <c r="JL761" s="27" t="s">
        <v>7</v>
      </c>
      <c r="JZ761" s="27" t="s">
        <v>7</v>
      </c>
      <c r="KA761" s="27" t="s">
        <v>8</v>
      </c>
      <c r="KB761" s="27" t="s">
        <v>7</v>
      </c>
      <c r="KC761" s="27" t="s">
        <v>8</v>
      </c>
      <c r="KD761" s="27" t="s">
        <v>7</v>
      </c>
      <c r="KF761" s="27" t="s">
        <v>7</v>
      </c>
      <c r="LK761" s="27" t="s">
        <v>8</v>
      </c>
    </row>
    <row r="762" spans="1:323" x14ac:dyDescent="0.25">
      <c r="A762" s="7">
        <v>3.1258630127955073E-2</v>
      </c>
      <c r="B762"/>
      <c r="C762"/>
      <c r="D762"/>
      <c r="E762"/>
      <c r="F762" s="27" t="s">
        <v>7</v>
      </c>
      <c r="HS762" s="27" t="s">
        <v>8</v>
      </c>
      <c r="HT762" s="27" t="s">
        <v>7</v>
      </c>
      <c r="HY762" s="27" t="s">
        <v>8</v>
      </c>
      <c r="HZ762" s="27" t="s">
        <v>7</v>
      </c>
      <c r="IG762" s="27" t="s">
        <v>8</v>
      </c>
      <c r="IH762" s="27" t="s">
        <v>7</v>
      </c>
      <c r="IK762" s="27" t="s">
        <v>8</v>
      </c>
      <c r="JZ762" s="27" t="s">
        <v>7</v>
      </c>
      <c r="KA762" s="27" t="s">
        <v>8</v>
      </c>
      <c r="KB762" s="27" t="s">
        <v>7</v>
      </c>
      <c r="KC762" s="27" t="s">
        <v>8</v>
      </c>
      <c r="KF762" s="27" t="s">
        <v>7</v>
      </c>
      <c r="LK762" s="27" t="s">
        <v>8</v>
      </c>
    </row>
    <row r="763" spans="1:323" x14ac:dyDescent="0.25">
      <c r="A763" s="7">
        <v>3.064571581172066E-2</v>
      </c>
      <c r="B763"/>
      <c r="C763"/>
      <c r="D763"/>
      <c r="E763"/>
      <c r="F763" s="27" t="s">
        <v>7</v>
      </c>
      <c r="HS763" s="27" t="s">
        <v>8</v>
      </c>
      <c r="HT763" s="27" t="s">
        <v>7</v>
      </c>
      <c r="HY763" s="27" t="s">
        <v>8</v>
      </c>
      <c r="HZ763" s="27" t="s">
        <v>7</v>
      </c>
      <c r="IG763" s="27" t="s">
        <v>8</v>
      </c>
      <c r="IH763" s="27" t="s">
        <v>7</v>
      </c>
      <c r="IK763" s="27" t="s">
        <v>8</v>
      </c>
      <c r="JZ763" s="27" t="s">
        <v>7</v>
      </c>
      <c r="KA763" s="27" t="s">
        <v>8</v>
      </c>
      <c r="KB763" s="27" t="s">
        <v>7</v>
      </c>
      <c r="KC763" s="27" t="s">
        <v>8</v>
      </c>
      <c r="KF763" s="27" t="s">
        <v>7</v>
      </c>
      <c r="LK763" s="27" t="s">
        <v>8</v>
      </c>
    </row>
    <row r="764" spans="1:323" x14ac:dyDescent="0.25">
      <c r="A764" s="7">
        <v>3.0044819423255549E-2</v>
      </c>
      <c r="B764"/>
      <c r="C764"/>
      <c r="D764"/>
      <c r="E764"/>
      <c r="F764" s="27" t="s">
        <v>7</v>
      </c>
      <c r="HS764" s="27" t="s">
        <v>8</v>
      </c>
      <c r="HT764" s="27" t="s">
        <v>7</v>
      </c>
      <c r="HY764" s="27" t="s">
        <v>8</v>
      </c>
      <c r="HZ764" s="27" t="s">
        <v>7</v>
      </c>
      <c r="IG764" s="27" t="s">
        <v>8</v>
      </c>
      <c r="IH764" s="27" t="s">
        <v>7</v>
      </c>
      <c r="IK764" s="27" t="s">
        <v>8</v>
      </c>
      <c r="JZ764" s="27" t="s">
        <v>7</v>
      </c>
      <c r="KA764" s="27" t="s">
        <v>8</v>
      </c>
      <c r="KB764" s="27" t="s">
        <v>7</v>
      </c>
      <c r="KC764" s="27" t="s">
        <v>8</v>
      </c>
      <c r="KF764" s="27" t="s">
        <v>7</v>
      </c>
      <c r="LK764" s="27" t="s">
        <v>8</v>
      </c>
    </row>
    <row r="765" spans="1:323" x14ac:dyDescent="0.25">
      <c r="A765" s="7">
        <v>2.9455705316917203E-2</v>
      </c>
      <c r="B765"/>
      <c r="C765"/>
      <c r="D765"/>
      <c r="E765"/>
      <c r="F765" s="27" t="s">
        <v>7</v>
      </c>
      <c r="HS765" s="27" t="s">
        <v>8</v>
      </c>
      <c r="HT765" s="27" t="s">
        <v>7</v>
      </c>
      <c r="HU765" s="27" t="s">
        <v>8</v>
      </c>
      <c r="HY765" s="27" t="s">
        <v>8</v>
      </c>
      <c r="HZ765" s="27" t="s">
        <v>7</v>
      </c>
      <c r="IG765" s="27" t="s">
        <v>8</v>
      </c>
      <c r="IH765" s="27" t="s">
        <v>7</v>
      </c>
      <c r="IK765" s="27" t="s">
        <v>8</v>
      </c>
      <c r="JZ765" s="27" t="s">
        <v>7</v>
      </c>
      <c r="KA765" s="27" t="s">
        <v>8</v>
      </c>
      <c r="KB765" s="27" t="s">
        <v>7</v>
      </c>
      <c r="KC765" s="27" t="s">
        <v>8</v>
      </c>
      <c r="KF765" s="27" t="s">
        <v>7</v>
      </c>
      <c r="LK765" s="27" t="s">
        <v>8</v>
      </c>
    </row>
    <row r="766" spans="1:323" x14ac:dyDescent="0.25">
      <c r="A766" s="7">
        <v>2.8878142467565884E-2</v>
      </c>
      <c r="B766"/>
      <c r="C766"/>
      <c r="D766"/>
      <c r="E766"/>
      <c r="F766" s="27" t="s">
        <v>7</v>
      </c>
      <c r="HS766" s="27" t="s">
        <v>8</v>
      </c>
      <c r="HT766" s="27" t="s">
        <v>7</v>
      </c>
      <c r="HU766" s="27" t="s">
        <v>8</v>
      </c>
      <c r="HV766" s="27" t="s">
        <v>7</v>
      </c>
      <c r="HW766" s="27" t="s">
        <v>8</v>
      </c>
      <c r="HY766" s="27" t="s">
        <v>8</v>
      </c>
      <c r="HZ766" s="27" t="s">
        <v>7</v>
      </c>
      <c r="IE766" s="27" t="s">
        <v>8</v>
      </c>
      <c r="IG766" s="27" t="s">
        <v>8</v>
      </c>
      <c r="IH766" s="27" t="s">
        <v>7</v>
      </c>
      <c r="IK766" s="27" t="s">
        <v>8</v>
      </c>
      <c r="JZ766" s="27" t="s">
        <v>7</v>
      </c>
      <c r="KA766" s="27" t="s">
        <v>8</v>
      </c>
      <c r="KB766" s="27" t="s">
        <v>7</v>
      </c>
      <c r="KC766" s="27" t="s">
        <v>8</v>
      </c>
      <c r="KF766" s="27" t="s">
        <v>7</v>
      </c>
      <c r="KK766" s="27" t="s">
        <v>8</v>
      </c>
      <c r="LK766" s="27" t="s">
        <v>8</v>
      </c>
    </row>
    <row r="767" spans="1:323" x14ac:dyDescent="0.25">
      <c r="A767" s="7">
        <v>2.8311904379966554E-2</v>
      </c>
      <c r="B767"/>
      <c r="C767"/>
      <c r="D767"/>
      <c r="E767"/>
      <c r="F767" s="27" t="s">
        <v>7</v>
      </c>
      <c r="HS767" s="27" t="s">
        <v>8</v>
      </c>
      <c r="HT767" s="27" t="s">
        <v>7</v>
      </c>
      <c r="HU767" s="27" t="s">
        <v>8</v>
      </c>
      <c r="HV767" s="27" t="s">
        <v>7</v>
      </c>
      <c r="HW767" s="27" t="s">
        <v>8</v>
      </c>
      <c r="HX767" s="27" t="s">
        <v>7</v>
      </c>
      <c r="HY767" s="27" t="s">
        <v>8</v>
      </c>
      <c r="HZ767" s="27" t="s">
        <v>7</v>
      </c>
      <c r="IE767" s="27" t="s">
        <v>8</v>
      </c>
      <c r="IF767" s="27" t="s">
        <v>7</v>
      </c>
      <c r="IG767" s="27" t="s">
        <v>8</v>
      </c>
      <c r="IH767" s="27" t="s">
        <v>7</v>
      </c>
      <c r="II767" s="27" t="s">
        <v>8</v>
      </c>
      <c r="IK767" s="27" t="s">
        <v>8</v>
      </c>
      <c r="JZ767" s="27" t="s">
        <v>7</v>
      </c>
      <c r="KA767" s="27" t="s">
        <v>8</v>
      </c>
      <c r="KB767" s="27" t="s">
        <v>7</v>
      </c>
      <c r="KC767" s="27" t="s">
        <v>8</v>
      </c>
      <c r="KF767" s="27" t="s">
        <v>7</v>
      </c>
      <c r="KI767" s="27" t="s">
        <v>8</v>
      </c>
      <c r="KK767" s="27" t="s">
        <v>8</v>
      </c>
      <c r="KL767" s="27" t="s">
        <v>7</v>
      </c>
      <c r="KM767" s="27" t="s">
        <v>8</v>
      </c>
      <c r="LK767" s="27" t="s">
        <v>8</v>
      </c>
    </row>
    <row r="768" spans="1:323" x14ac:dyDescent="0.25">
      <c r="A768" s="7">
        <v>2.7756768999967207E-2</v>
      </c>
      <c r="B768"/>
      <c r="C768"/>
      <c r="D768"/>
      <c r="E768"/>
      <c r="F768" s="27" t="s">
        <v>7</v>
      </c>
      <c r="HS768" s="27" t="s">
        <v>8</v>
      </c>
      <c r="HT768" s="27" t="s">
        <v>7</v>
      </c>
      <c r="HU768" s="27" t="s">
        <v>8</v>
      </c>
      <c r="HV768" s="27" t="s">
        <v>7</v>
      </c>
      <c r="HW768" s="27" t="s">
        <v>8</v>
      </c>
      <c r="HX768" s="27" t="s">
        <v>7</v>
      </c>
      <c r="HY768" s="27" t="s">
        <v>8</v>
      </c>
      <c r="HZ768" s="27" t="s">
        <v>7</v>
      </c>
      <c r="IE768" s="27" t="s">
        <v>8</v>
      </c>
      <c r="IF768" s="27" t="s">
        <v>7</v>
      </c>
      <c r="IG768" s="27" t="s">
        <v>8</v>
      </c>
      <c r="IH768" s="27" t="s">
        <v>7</v>
      </c>
      <c r="II768" s="27" t="s">
        <v>8</v>
      </c>
      <c r="IJ768" s="27" t="s">
        <v>7</v>
      </c>
      <c r="IK768" s="27" t="s">
        <v>8</v>
      </c>
      <c r="JZ768" s="27" t="s">
        <v>7</v>
      </c>
      <c r="KA768" s="27" t="s">
        <v>8</v>
      </c>
      <c r="KB768" s="27" t="s">
        <v>7</v>
      </c>
      <c r="KC768" s="27" t="s">
        <v>8</v>
      </c>
      <c r="KF768" s="27" t="s">
        <v>7</v>
      </c>
      <c r="KG768" s="27" t="s">
        <v>8</v>
      </c>
      <c r="KI768" s="27" t="s">
        <v>8</v>
      </c>
      <c r="KJ768" s="27" t="s">
        <v>7</v>
      </c>
      <c r="KK768" s="27" t="s">
        <v>8</v>
      </c>
      <c r="KL768" s="27" t="s">
        <v>7</v>
      </c>
      <c r="KM768" s="27" t="s">
        <v>8</v>
      </c>
      <c r="KN768" s="27" t="s">
        <v>7</v>
      </c>
      <c r="LK768" s="27" t="s">
        <v>8</v>
      </c>
    </row>
    <row r="769" spans="1:323" x14ac:dyDescent="0.25">
      <c r="A769" s="7">
        <v>2.7212518627418834E-2</v>
      </c>
      <c r="B769"/>
      <c r="C769"/>
      <c r="D769"/>
      <c r="E769"/>
      <c r="F769" s="27" t="s">
        <v>7</v>
      </c>
      <c r="HS769" s="27" t="s">
        <v>8</v>
      </c>
      <c r="HT769" s="27" t="s">
        <v>7</v>
      </c>
      <c r="HU769" s="27" t="s">
        <v>8</v>
      </c>
      <c r="HV769" s="27" t="s">
        <v>7</v>
      </c>
      <c r="HW769" s="27" t="s">
        <v>8</v>
      </c>
      <c r="HX769" s="27" t="s">
        <v>7</v>
      </c>
      <c r="HY769" s="27" t="s">
        <v>8</v>
      </c>
      <c r="HZ769" s="27" t="s">
        <v>7</v>
      </c>
      <c r="IE769" s="27" t="s">
        <v>8</v>
      </c>
      <c r="IF769" s="27" t="s">
        <v>7</v>
      </c>
      <c r="IG769" s="27" t="s">
        <v>8</v>
      </c>
      <c r="IH769" s="27" t="s">
        <v>7</v>
      </c>
      <c r="II769" s="27" t="s">
        <v>8</v>
      </c>
      <c r="IJ769" s="27" t="s">
        <v>7</v>
      </c>
      <c r="IK769" s="27" t="s">
        <v>8</v>
      </c>
      <c r="JZ769" s="27" t="s">
        <v>7</v>
      </c>
      <c r="KA769" s="27" t="s">
        <v>8</v>
      </c>
      <c r="KB769" s="27" t="s">
        <v>7</v>
      </c>
      <c r="KC769" s="27" t="s">
        <v>8</v>
      </c>
      <c r="KF769" s="27" t="s">
        <v>7</v>
      </c>
      <c r="KG769" s="27" t="s">
        <v>8</v>
      </c>
      <c r="KH769" s="27" t="s">
        <v>7</v>
      </c>
      <c r="KI769" s="27" t="s">
        <v>8</v>
      </c>
      <c r="KJ769" s="27" t="s">
        <v>7</v>
      </c>
      <c r="KK769" s="27" t="s">
        <v>8</v>
      </c>
      <c r="KL769" s="27" t="s">
        <v>7</v>
      </c>
      <c r="KM769" s="27" t="s">
        <v>8</v>
      </c>
      <c r="KN769" s="27" t="s">
        <v>7</v>
      </c>
      <c r="LK769" s="27" t="s">
        <v>8</v>
      </c>
    </row>
    <row r="770" spans="1:323" x14ac:dyDescent="0.25">
      <c r="A770" s="7">
        <v>2.6678939830802779E-2</v>
      </c>
      <c r="B770"/>
      <c r="C770"/>
      <c r="D770"/>
      <c r="E770"/>
      <c r="F770" s="27" t="s">
        <v>7</v>
      </c>
      <c r="HS770" s="27" t="s">
        <v>8</v>
      </c>
      <c r="HT770" s="27" t="s">
        <v>7</v>
      </c>
      <c r="HU770" s="27" t="s">
        <v>8</v>
      </c>
      <c r="HV770" s="27" t="s">
        <v>7</v>
      </c>
      <c r="HW770" s="27" t="s">
        <v>8</v>
      </c>
      <c r="HX770" s="27" t="s">
        <v>7</v>
      </c>
      <c r="HY770" s="27" t="s">
        <v>8</v>
      </c>
      <c r="HZ770" s="27" t="s">
        <v>7</v>
      </c>
      <c r="IE770" s="27" t="s">
        <v>8</v>
      </c>
      <c r="IF770" s="27" t="s">
        <v>7</v>
      </c>
      <c r="IG770" s="27" t="s">
        <v>8</v>
      </c>
      <c r="IH770" s="27" t="s">
        <v>7</v>
      </c>
      <c r="II770" s="27" t="s">
        <v>8</v>
      </c>
      <c r="IJ770" s="27" t="s">
        <v>7</v>
      </c>
      <c r="JZ770" s="27" t="s">
        <v>7</v>
      </c>
      <c r="KA770" s="27" t="s">
        <v>8</v>
      </c>
      <c r="KB770" s="27" t="s">
        <v>7</v>
      </c>
      <c r="KC770" s="27" t="s">
        <v>8</v>
      </c>
      <c r="KF770" s="27" t="s">
        <v>7</v>
      </c>
      <c r="KG770" s="27" t="s">
        <v>8</v>
      </c>
      <c r="KH770" s="27" t="s">
        <v>7</v>
      </c>
      <c r="KI770" s="27" t="s">
        <v>8</v>
      </c>
      <c r="KJ770" s="27" t="s">
        <v>7</v>
      </c>
      <c r="KK770" s="27" t="s">
        <v>8</v>
      </c>
      <c r="KL770" s="27" t="s">
        <v>7</v>
      </c>
      <c r="KM770" s="27" t="s">
        <v>8</v>
      </c>
      <c r="KN770" s="27" t="s">
        <v>7</v>
      </c>
      <c r="LK770" s="27" t="s">
        <v>8</v>
      </c>
    </row>
    <row r="771" spans="1:323" x14ac:dyDescent="0.25">
      <c r="A771" s="7">
        <v>2.615582336353214E-2</v>
      </c>
      <c r="B771"/>
      <c r="C771"/>
      <c r="D771"/>
      <c r="E771"/>
      <c r="F771" s="27" t="s">
        <v>7</v>
      </c>
      <c r="HS771" s="27" t="s">
        <v>8</v>
      </c>
      <c r="HT771" s="27" t="s">
        <v>7</v>
      </c>
      <c r="HU771" s="27" t="s">
        <v>8</v>
      </c>
      <c r="HV771" s="27" t="s">
        <v>7</v>
      </c>
      <c r="HW771" s="27" t="s">
        <v>8</v>
      </c>
      <c r="HX771" s="27" t="s">
        <v>7</v>
      </c>
      <c r="HY771" s="27" t="s">
        <v>8</v>
      </c>
      <c r="HZ771" s="27" t="s">
        <v>7</v>
      </c>
      <c r="IE771" s="27" t="s">
        <v>8</v>
      </c>
      <c r="IF771" s="27" t="s">
        <v>7</v>
      </c>
      <c r="IG771" s="27" t="s">
        <v>8</v>
      </c>
      <c r="IH771" s="27" t="s">
        <v>7</v>
      </c>
      <c r="II771" s="27" t="s">
        <v>8</v>
      </c>
      <c r="JZ771" s="27" t="s">
        <v>7</v>
      </c>
      <c r="KA771" s="27" t="s">
        <v>8</v>
      </c>
      <c r="KB771" s="27" t="s">
        <v>7</v>
      </c>
      <c r="KC771" s="27" t="s">
        <v>8</v>
      </c>
      <c r="KF771" s="27" t="s">
        <v>7</v>
      </c>
      <c r="KG771" s="27" t="s">
        <v>8</v>
      </c>
      <c r="KH771" s="27" t="s">
        <v>7</v>
      </c>
      <c r="KI771" s="27" t="s">
        <v>8</v>
      </c>
      <c r="KJ771" s="27" t="s">
        <v>7</v>
      </c>
      <c r="KK771" s="27" t="s">
        <v>8</v>
      </c>
      <c r="KL771" s="27" t="s">
        <v>7</v>
      </c>
      <c r="KM771" s="27" t="s">
        <v>8</v>
      </c>
      <c r="KN771" s="27" t="s">
        <v>7</v>
      </c>
      <c r="KO771" s="27" t="s">
        <v>8</v>
      </c>
      <c r="LK771" s="27" t="s">
        <v>8</v>
      </c>
    </row>
    <row r="772" spans="1:323" x14ac:dyDescent="0.25">
      <c r="A772" s="7">
        <v>2.5642964081894253E-2</v>
      </c>
      <c r="B772"/>
      <c r="C772"/>
      <c r="D772"/>
      <c r="E772"/>
      <c r="F772" s="27" t="s">
        <v>7</v>
      </c>
      <c r="HS772" s="27" t="s">
        <v>8</v>
      </c>
      <c r="HT772" s="27" t="s">
        <v>7</v>
      </c>
      <c r="HU772" s="27" t="s">
        <v>8</v>
      </c>
      <c r="HV772" s="27" t="s">
        <v>7</v>
      </c>
      <c r="HW772" s="27" t="s">
        <v>8</v>
      </c>
      <c r="HX772" s="27" t="s">
        <v>7</v>
      </c>
      <c r="HY772" s="27" t="s">
        <v>8</v>
      </c>
      <c r="HZ772" s="27" t="s">
        <v>7</v>
      </c>
      <c r="IC772" s="27" t="s">
        <v>8</v>
      </c>
      <c r="IE772" s="27" t="s">
        <v>8</v>
      </c>
      <c r="IF772" s="27" t="s">
        <v>7</v>
      </c>
      <c r="IG772" s="27" t="s">
        <v>8</v>
      </c>
      <c r="IH772" s="27" t="s">
        <v>7</v>
      </c>
      <c r="JZ772" s="27" t="s">
        <v>7</v>
      </c>
      <c r="KA772" s="27" t="s">
        <v>8</v>
      </c>
      <c r="KB772" s="27" t="s">
        <v>7</v>
      </c>
      <c r="KC772" s="27" t="s">
        <v>8</v>
      </c>
      <c r="KF772" s="27" t="s">
        <v>7</v>
      </c>
      <c r="KG772" s="27" t="s">
        <v>8</v>
      </c>
      <c r="KH772" s="27" t="s">
        <v>7</v>
      </c>
      <c r="KI772" s="27" t="s">
        <v>8</v>
      </c>
      <c r="KJ772" s="27" t="s">
        <v>7</v>
      </c>
      <c r="KK772" s="27" t="s">
        <v>8</v>
      </c>
      <c r="KL772" s="27" t="s">
        <v>7</v>
      </c>
      <c r="KM772" s="27" t="s">
        <v>8</v>
      </c>
      <c r="KN772" s="27" t="s">
        <v>7</v>
      </c>
      <c r="KO772" s="27" t="s">
        <v>8</v>
      </c>
      <c r="KP772" s="27" t="s">
        <v>7</v>
      </c>
      <c r="LK772" s="27" t="s">
        <v>8</v>
      </c>
    </row>
    <row r="773" spans="1:323" x14ac:dyDescent="0.25">
      <c r="A773" s="7">
        <v>2.5140160864602207E-2</v>
      </c>
      <c r="B773"/>
      <c r="C773"/>
      <c r="D773"/>
      <c r="E773"/>
      <c r="F773" s="27" t="s">
        <v>7</v>
      </c>
      <c r="HS773" s="27" t="s">
        <v>8</v>
      </c>
      <c r="HT773" s="27" t="s">
        <v>7</v>
      </c>
      <c r="HU773" s="27" t="s">
        <v>8</v>
      </c>
      <c r="HV773" s="27" t="s">
        <v>7</v>
      </c>
      <c r="HW773" s="27" t="s">
        <v>8</v>
      </c>
      <c r="HX773" s="27" t="s">
        <v>7</v>
      </c>
      <c r="HY773" s="27" t="s">
        <v>8</v>
      </c>
      <c r="HZ773" s="27" t="s">
        <v>7</v>
      </c>
      <c r="IC773" s="27" t="s">
        <v>8</v>
      </c>
      <c r="ID773" s="27" t="s">
        <v>7</v>
      </c>
      <c r="IE773" s="27" t="s">
        <v>8</v>
      </c>
      <c r="IF773" s="27" t="s">
        <v>7</v>
      </c>
      <c r="IG773" s="27" t="s">
        <v>8</v>
      </c>
      <c r="JZ773" s="27" t="s">
        <v>7</v>
      </c>
      <c r="KA773" s="27" t="s">
        <v>8</v>
      </c>
      <c r="KB773" s="27" t="s">
        <v>7</v>
      </c>
      <c r="KF773" s="27" t="s">
        <v>7</v>
      </c>
      <c r="KH773" s="27" t="s">
        <v>7</v>
      </c>
      <c r="KJ773" s="27" t="s">
        <v>7</v>
      </c>
      <c r="KK773" s="27" t="s">
        <v>8</v>
      </c>
      <c r="KL773" s="27" t="s">
        <v>7</v>
      </c>
      <c r="KM773" s="27" t="s">
        <v>8</v>
      </c>
      <c r="KN773" s="27" t="s">
        <v>7</v>
      </c>
      <c r="KO773" s="27" t="s">
        <v>8</v>
      </c>
      <c r="KP773" s="27" t="s">
        <v>7</v>
      </c>
      <c r="LK773" s="27" t="s">
        <v>8</v>
      </c>
    </row>
    <row r="774" spans="1:323" x14ac:dyDescent="0.25">
      <c r="A774" s="7">
        <v>2.4647216533923735E-2</v>
      </c>
      <c r="B774"/>
      <c r="C774"/>
      <c r="D774"/>
      <c r="E774"/>
      <c r="F774" s="27" t="s">
        <v>7</v>
      </c>
      <c r="HS774" s="27" t="s">
        <v>8</v>
      </c>
      <c r="HT774" s="27" t="s">
        <v>7</v>
      </c>
      <c r="HV774" s="27" t="s">
        <v>7</v>
      </c>
      <c r="HW774" s="27" t="s">
        <v>8</v>
      </c>
      <c r="HX774" s="27" t="s">
        <v>7</v>
      </c>
      <c r="HY774" s="27" t="s">
        <v>8</v>
      </c>
      <c r="HZ774" s="27" t="s">
        <v>7</v>
      </c>
      <c r="IC774" s="27" t="s">
        <v>8</v>
      </c>
      <c r="ID774" s="27" t="s">
        <v>7</v>
      </c>
      <c r="IE774" s="27" t="s">
        <v>8</v>
      </c>
      <c r="IF774" s="27" t="s">
        <v>7</v>
      </c>
      <c r="IG774" s="27" t="s">
        <v>8</v>
      </c>
      <c r="JZ774" s="27" t="s">
        <v>7</v>
      </c>
      <c r="KA774" s="27" t="s">
        <v>8</v>
      </c>
      <c r="KJ774" s="27" t="s">
        <v>7</v>
      </c>
      <c r="KL774" s="27" t="s">
        <v>7</v>
      </c>
      <c r="KM774" s="27" t="s">
        <v>8</v>
      </c>
      <c r="KN774" s="27" t="s">
        <v>7</v>
      </c>
      <c r="KO774" s="27" t="s">
        <v>8</v>
      </c>
      <c r="KP774" s="27" t="s">
        <v>7</v>
      </c>
      <c r="LI774" s="27" t="s">
        <v>8</v>
      </c>
      <c r="LK774" s="27" t="s">
        <v>8</v>
      </c>
    </row>
    <row r="775" spans="1:323" x14ac:dyDescent="0.25">
      <c r="A775" s="7">
        <v>2.4163937778356601E-2</v>
      </c>
      <c r="B775"/>
      <c r="C775"/>
      <c r="D775"/>
      <c r="E775"/>
      <c r="F775" s="27" t="s">
        <v>7</v>
      </c>
      <c r="HS775" s="27" t="s">
        <v>8</v>
      </c>
      <c r="HV775" s="27" t="s">
        <v>7</v>
      </c>
      <c r="HW775" s="27" t="s">
        <v>8</v>
      </c>
      <c r="HX775" s="27" t="s">
        <v>7</v>
      </c>
      <c r="HY775" s="27" t="s">
        <v>8</v>
      </c>
      <c r="HZ775" s="27" t="s">
        <v>7</v>
      </c>
      <c r="IC775" s="27" t="s">
        <v>8</v>
      </c>
      <c r="ID775" s="27" t="s">
        <v>7</v>
      </c>
      <c r="IE775" s="27" t="s">
        <v>8</v>
      </c>
      <c r="IF775" s="27" t="s">
        <v>7</v>
      </c>
      <c r="IG775" s="27" t="s">
        <v>8</v>
      </c>
      <c r="JZ775" s="27" t="s">
        <v>7</v>
      </c>
      <c r="KA775" s="27" t="s">
        <v>8</v>
      </c>
      <c r="KL775" s="27" t="s">
        <v>7</v>
      </c>
      <c r="KM775" s="27" t="s">
        <v>8</v>
      </c>
      <c r="KN775" s="27" t="s">
        <v>7</v>
      </c>
      <c r="KO775" s="27" t="s">
        <v>8</v>
      </c>
      <c r="KP775" s="27" t="s">
        <v>7</v>
      </c>
      <c r="LI775" s="27" t="s">
        <v>8</v>
      </c>
      <c r="LJ775" s="27" t="s">
        <v>7</v>
      </c>
      <c r="LK775" s="27" t="s">
        <v>8</v>
      </c>
    </row>
    <row r="776" spans="1:323" x14ac:dyDescent="0.25">
      <c r="A776" s="7">
        <v>2.3690135076820197E-2</v>
      </c>
      <c r="B776"/>
      <c r="C776"/>
      <c r="D776"/>
      <c r="E776"/>
      <c r="F776" s="27" t="s">
        <v>7</v>
      </c>
      <c r="HS776" s="27" t="s">
        <v>8</v>
      </c>
      <c r="HV776" s="27" t="s">
        <v>7</v>
      </c>
      <c r="HW776" s="27" t="s">
        <v>8</v>
      </c>
      <c r="HX776" s="27" t="s">
        <v>7</v>
      </c>
      <c r="HZ776" s="27" t="s">
        <v>7</v>
      </c>
      <c r="IA776" s="27" t="s">
        <v>8</v>
      </c>
      <c r="IC776" s="27" t="s">
        <v>8</v>
      </c>
      <c r="ID776" s="27" t="s">
        <v>7</v>
      </c>
      <c r="IE776" s="27" t="s">
        <v>8</v>
      </c>
      <c r="IF776" s="27" t="s">
        <v>7</v>
      </c>
      <c r="JZ776" s="27" t="s">
        <v>7</v>
      </c>
      <c r="KA776" s="27" t="s">
        <v>8</v>
      </c>
      <c r="KL776" s="27" t="s">
        <v>7</v>
      </c>
      <c r="KM776" s="27" t="s">
        <v>8</v>
      </c>
      <c r="KN776" s="27" t="s">
        <v>7</v>
      </c>
      <c r="KO776" s="27" t="s">
        <v>8</v>
      </c>
      <c r="KP776" s="27" t="s">
        <v>7</v>
      </c>
      <c r="LI776" s="27" t="s">
        <v>8</v>
      </c>
      <c r="LJ776" s="27" t="s">
        <v>7</v>
      </c>
      <c r="LK776" s="27" t="s">
        <v>8</v>
      </c>
    </row>
    <row r="777" spans="1:323" x14ac:dyDescent="0.25">
      <c r="A777" s="7">
        <v>2.3225622624333527E-2</v>
      </c>
      <c r="B777"/>
      <c r="C777"/>
      <c r="D777"/>
      <c r="E777"/>
      <c r="F777" s="27" t="s">
        <v>7</v>
      </c>
      <c r="HS777" s="27" t="s">
        <v>8</v>
      </c>
      <c r="HV777" s="27" t="s">
        <v>7</v>
      </c>
      <c r="HW777" s="27" t="s">
        <v>8</v>
      </c>
      <c r="HZ777" s="27" t="s">
        <v>7</v>
      </c>
      <c r="IA777" s="27" t="s">
        <v>8</v>
      </c>
      <c r="IB777" s="27" t="s">
        <v>7</v>
      </c>
      <c r="IC777" s="27" t="s">
        <v>8</v>
      </c>
      <c r="ID777" s="27" t="s">
        <v>7</v>
      </c>
      <c r="IE777" s="27" t="s">
        <v>8</v>
      </c>
      <c r="JZ777" s="27" t="s">
        <v>7</v>
      </c>
      <c r="KA777" s="27" t="s">
        <v>8</v>
      </c>
      <c r="KL777" s="27" t="s">
        <v>7</v>
      </c>
      <c r="KM777" s="27" t="s">
        <v>8</v>
      </c>
      <c r="KN777" s="27" t="s">
        <v>7</v>
      </c>
      <c r="KO777" s="27" t="s">
        <v>8</v>
      </c>
      <c r="KP777" s="27" t="s">
        <v>7</v>
      </c>
      <c r="LI777" s="27" t="s">
        <v>8</v>
      </c>
      <c r="LJ777" s="27" t="s">
        <v>7</v>
      </c>
      <c r="LK777" s="27" t="s">
        <v>8</v>
      </c>
    </row>
    <row r="778" spans="1:323" x14ac:dyDescent="0.25">
      <c r="A778" s="7">
        <v>2.2770218259150519E-2</v>
      </c>
      <c r="B778"/>
      <c r="C778"/>
      <c r="D778"/>
      <c r="E778"/>
      <c r="F778" s="27" t="s">
        <v>7</v>
      </c>
      <c r="HS778" s="27" t="s">
        <v>8</v>
      </c>
      <c r="HV778" s="27" t="s">
        <v>7</v>
      </c>
      <c r="HW778" s="27" t="s">
        <v>8</v>
      </c>
      <c r="HZ778" s="27" t="s">
        <v>7</v>
      </c>
      <c r="IA778" s="27" t="s">
        <v>8</v>
      </c>
      <c r="IB778" s="27" t="s">
        <v>7</v>
      </c>
      <c r="IC778" s="27" t="s">
        <v>8</v>
      </c>
      <c r="ID778" s="27" t="s">
        <v>7</v>
      </c>
      <c r="IE778" s="27" t="s">
        <v>8</v>
      </c>
      <c r="JZ778" s="27" t="s">
        <v>7</v>
      </c>
      <c r="KA778" s="27" t="s">
        <v>8</v>
      </c>
      <c r="KL778" s="27" t="s">
        <v>7</v>
      </c>
      <c r="KM778" s="27" t="s">
        <v>8</v>
      </c>
      <c r="KN778" s="27" t="s">
        <v>7</v>
      </c>
      <c r="KO778" s="27" t="s">
        <v>8</v>
      </c>
      <c r="KP778" s="27" t="s">
        <v>7</v>
      </c>
      <c r="KS778" s="27" t="s">
        <v>8</v>
      </c>
      <c r="KU778" s="27" t="s">
        <v>8</v>
      </c>
      <c r="LI778" s="27" t="s">
        <v>8</v>
      </c>
      <c r="LJ778" s="27" t="s">
        <v>7</v>
      </c>
      <c r="LK778" s="27" t="s">
        <v>8</v>
      </c>
    </row>
    <row r="779" spans="1:323" x14ac:dyDescent="0.25">
      <c r="A779" s="7">
        <v>2.2323743391324039E-2</v>
      </c>
      <c r="B779"/>
      <c r="C779"/>
      <c r="D779"/>
      <c r="E779"/>
      <c r="F779" s="27" t="s">
        <v>7</v>
      </c>
      <c r="HS779" s="27" t="s">
        <v>8</v>
      </c>
      <c r="HV779" s="27" t="s">
        <v>7</v>
      </c>
      <c r="HW779" s="27" t="s">
        <v>8</v>
      </c>
      <c r="HZ779" s="27" t="s">
        <v>7</v>
      </c>
      <c r="IA779" s="27" t="s">
        <v>8</v>
      </c>
      <c r="IB779" s="27" t="s">
        <v>7</v>
      </c>
      <c r="IC779" s="27" t="s">
        <v>8</v>
      </c>
      <c r="ID779" s="27" t="s">
        <v>7</v>
      </c>
      <c r="IE779" s="27" t="s">
        <v>8</v>
      </c>
      <c r="JZ779" s="27" t="s">
        <v>7</v>
      </c>
      <c r="KA779" s="27" t="s">
        <v>8</v>
      </c>
      <c r="KL779" s="27" t="s">
        <v>7</v>
      </c>
      <c r="KM779" s="27" t="s">
        <v>8</v>
      </c>
      <c r="KN779" s="27" t="s">
        <v>7</v>
      </c>
      <c r="KO779" s="27" t="s">
        <v>8</v>
      </c>
      <c r="KP779" s="27" t="s">
        <v>7</v>
      </c>
      <c r="KS779" s="27" t="s">
        <v>8</v>
      </c>
      <c r="KT779" s="27" t="s">
        <v>7</v>
      </c>
      <c r="KU779" s="27" t="s">
        <v>8</v>
      </c>
      <c r="KV779" s="27" t="s">
        <v>7</v>
      </c>
      <c r="LI779" s="27" t="s">
        <v>8</v>
      </c>
      <c r="LJ779" s="27" t="s">
        <v>7</v>
      </c>
      <c r="LK779" s="27" t="s">
        <v>8</v>
      </c>
    </row>
    <row r="780" spans="1:323" x14ac:dyDescent="0.25">
      <c r="A780" s="7">
        <v>2.188602293267063E-2</v>
      </c>
      <c r="B780"/>
      <c r="C780"/>
      <c r="D780"/>
      <c r="E780"/>
      <c r="F780" s="27" t="s">
        <v>7</v>
      </c>
      <c r="HS780" s="27" t="s">
        <v>8</v>
      </c>
      <c r="HV780" s="27" t="s">
        <v>7</v>
      </c>
      <c r="HW780" s="27" t="s">
        <v>8</v>
      </c>
      <c r="HZ780" s="27" t="s">
        <v>7</v>
      </c>
      <c r="IA780" s="27" t="s">
        <v>8</v>
      </c>
      <c r="IB780" s="27" t="s">
        <v>7</v>
      </c>
      <c r="IC780" s="27" t="s">
        <v>8</v>
      </c>
      <c r="ID780" s="27" t="s">
        <v>7</v>
      </c>
      <c r="IE780" s="27" t="s">
        <v>8</v>
      </c>
      <c r="JZ780" s="27" t="s">
        <v>7</v>
      </c>
      <c r="KA780" s="27" t="s">
        <v>8</v>
      </c>
      <c r="KL780" s="27" t="s">
        <v>7</v>
      </c>
      <c r="KM780" s="27" t="s">
        <v>8</v>
      </c>
      <c r="KN780" s="27" t="s">
        <v>7</v>
      </c>
      <c r="KO780" s="27" t="s">
        <v>8</v>
      </c>
      <c r="KP780" s="27" t="s">
        <v>7</v>
      </c>
      <c r="KS780" s="27" t="s">
        <v>8</v>
      </c>
      <c r="KT780" s="27" t="s">
        <v>7</v>
      </c>
      <c r="KU780" s="27" t="s">
        <v>8</v>
      </c>
      <c r="KV780" s="27" t="s">
        <v>7</v>
      </c>
      <c r="LA780" s="27" t="s">
        <v>8</v>
      </c>
      <c r="LI780" s="27" t="s">
        <v>8</v>
      </c>
      <c r="LJ780" s="27" t="s">
        <v>7</v>
      </c>
      <c r="LK780" s="27" t="s">
        <v>8</v>
      </c>
    </row>
    <row r="781" spans="1:323" x14ac:dyDescent="0.25">
      <c r="A781" s="7">
        <v>2.1456885228108461E-2</v>
      </c>
      <c r="B781"/>
      <c r="C781"/>
      <c r="D781"/>
      <c r="E781"/>
      <c r="F781" s="27" t="s">
        <v>7</v>
      </c>
      <c r="HS781" s="27" t="s">
        <v>8</v>
      </c>
      <c r="HV781" s="27" t="s">
        <v>7</v>
      </c>
      <c r="HW781" s="27" t="s">
        <v>8</v>
      </c>
      <c r="HZ781" s="27" t="s">
        <v>7</v>
      </c>
      <c r="IA781" s="27" t="s">
        <v>8</v>
      </c>
      <c r="IB781" s="27" t="s">
        <v>7</v>
      </c>
      <c r="IC781" s="27" t="s">
        <v>8</v>
      </c>
      <c r="ID781" s="27" t="s">
        <v>7</v>
      </c>
      <c r="IE781" s="27" t="s">
        <v>8</v>
      </c>
      <c r="JZ781" s="27" t="s">
        <v>7</v>
      </c>
      <c r="KA781" s="27" t="s">
        <v>8</v>
      </c>
      <c r="KL781" s="27" t="s">
        <v>7</v>
      </c>
      <c r="KN781" s="27" t="s">
        <v>7</v>
      </c>
      <c r="KP781" s="27" t="s">
        <v>7</v>
      </c>
      <c r="KS781" s="27" t="s">
        <v>8</v>
      </c>
      <c r="KT781" s="27" t="s">
        <v>7</v>
      </c>
      <c r="KU781" s="27" t="s">
        <v>8</v>
      </c>
      <c r="KV781" s="27" t="s">
        <v>7</v>
      </c>
      <c r="LA781" s="27" t="s">
        <v>8</v>
      </c>
      <c r="LB781" s="27" t="s">
        <v>7</v>
      </c>
      <c r="LI781" s="27" t="s">
        <v>8</v>
      </c>
      <c r="LJ781" s="27" t="s">
        <v>7</v>
      </c>
    </row>
    <row r="782" spans="1:323" x14ac:dyDescent="0.25">
      <c r="A782" s="7">
        <v>2.1036161988341632E-2</v>
      </c>
      <c r="B782"/>
      <c r="C782"/>
      <c r="D782"/>
      <c r="E782"/>
      <c r="F782" s="27" t="s">
        <v>7</v>
      </c>
      <c r="HS782" s="27" t="s">
        <v>8</v>
      </c>
      <c r="HV782" s="27" t="s">
        <v>7</v>
      </c>
      <c r="HZ782" s="27" t="s">
        <v>7</v>
      </c>
      <c r="IA782" s="27" t="s">
        <v>8</v>
      </c>
      <c r="IB782" s="27" t="s">
        <v>7</v>
      </c>
      <c r="IC782" s="27" t="s">
        <v>8</v>
      </c>
      <c r="ID782" s="27" t="s">
        <v>7</v>
      </c>
      <c r="IE782" s="27" t="s">
        <v>8</v>
      </c>
      <c r="JZ782" s="27" t="s">
        <v>7</v>
      </c>
      <c r="KA782" s="27" t="s">
        <v>8</v>
      </c>
      <c r="KP782" s="27" t="s">
        <v>7</v>
      </c>
      <c r="KS782" s="27" t="s">
        <v>8</v>
      </c>
      <c r="KT782" s="27" t="s">
        <v>7</v>
      </c>
      <c r="KU782" s="27" t="s">
        <v>8</v>
      </c>
      <c r="KV782" s="27" t="s">
        <v>7</v>
      </c>
      <c r="LA782" s="27" t="s">
        <v>8</v>
      </c>
      <c r="LB782" s="27" t="s">
        <v>7</v>
      </c>
      <c r="LC782" s="27" t="s">
        <v>8</v>
      </c>
      <c r="LE782" s="27" t="s">
        <v>8</v>
      </c>
      <c r="LG782" s="27" t="s">
        <v>8</v>
      </c>
      <c r="LI782" s="27" t="s">
        <v>8</v>
      </c>
    </row>
    <row r="783" spans="1:323" x14ac:dyDescent="0.25">
      <c r="A783" s="7">
        <v>2.0623688223864345E-2</v>
      </c>
      <c r="B783"/>
      <c r="C783"/>
      <c r="D783"/>
      <c r="E783"/>
      <c r="F783" s="27" t="s">
        <v>7</v>
      </c>
      <c r="HS783" s="27" t="s">
        <v>8</v>
      </c>
      <c r="HZ783" s="27" t="s">
        <v>7</v>
      </c>
      <c r="IA783" s="27" t="s">
        <v>8</v>
      </c>
      <c r="IB783" s="27" t="s">
        <v>7</v>
      </c>
      <c r="IC783" s="27" t="s">
        <v>8</v>
      </c>
      <c r="ID783" s="27" t="s">
        <v>7</v>
      </c>
      <c r="IE783" s="27" t="s">
        <v>8</v>
      </c>
      <c r="JZ783" s="27" t="s">
        <v>7</v>
      </c>
      <c r="KP783" s="27" t="s">
        <v>7</v>
      </c>
      <c r="KS783" s="27" t="s">
        <v>8</v>
      </c>
      <c r="KT783" s="27" t="s">
        <v>7</v>
      </c>
      <c r="KU783" s="27" t="s">
        <v>8</v>
      </c>
      <c r="KV783" s="27" t="s">
        <v>7</v>
      </c>
      <c r="LA783" s="27" t="s">
        <v>8</v>
      </c>
      <c r="LB783" s="27" t="s">
        <v>7</v>
      </c>
      <c r="LC783" s="27" t="s">
        <v>8</v>
      </c>
      <c r="LD783" s="27" t="s">
        <v>7</v>
      </c>
      <c r="LE783" s="27" t="s">
        <v>8</v>
      </c>
      <c r="LF783" s="27" t="s">
        <v>7</v>
      </c>
      <c r="LG783" s="27" t="s">
        <v>8</v>
      </c>
      <c r="LH783" s="27" t="s">
        <v>7</v>
      </c>
      <c r="LI783" s="27" t="s">
        <v>8</v>
      </c>
    </row>
    <row r="784" spans="1:323" x14ac:dyDescent="0.25">
      <c r="A784" s="7">
        <v>2.021930218025916E-2</v>
      </c>
      <c r="B784"/>
      <c r="C784"/>
      <c r="D784"/>
      <c r="E784"/>
      <c r="F784" s="27" t="s">
        <v>7</v>
      </c>
      <c r="HS784" s="27" t="s">
        <v>8</v>
      </c>
      <c r="HZ784" s="27" t="s">
        <v>7</v>
      </c>
      <c r="IA784" s="27" t="s">
        <v>8</v>
      </c>
      <c r="IB784" s="27" t="s">
        <v>7</v>
      </c>
      <c r="IC784" s="27" t="s">
        <v>8</v>
      </c>
      <c r="ID784" s="27" t="s">
        <v>7</v>
      </c>
      <c r="IE784" s="27" t="s">
        <v>8</v>
      </c>
      <c r="KP784" s="27" t="s">
        <v>7</v>
      </c>
      <c r="KS784" s="27" t="s">
        <v>8</v>
      </c>
      <c r="KT784" s="27" t="s">
        <v>7</v>
      </c>
      <c r="KU784" s="27" t="s">
        <v>8</v>
      </c>
      <c r="KV784" s="27" t="s">
        <v>7</v>
      </c>
      <c r="KW784" s="27" t="s">
        <v>8</v>
      </c>
      <c r="LA784" s="27" t="s">
        <v>8</v>
      </c>
      <c r="LB784" s="27" t="s">
        <v>7</v>
      </c>
      <c r="LC784" s="27" t="s">
        <v>8</v>
      </c>
      <c r="LD784" s="27" t="s">
        <v>7</v>
      </c>
      <c r="LE784" s="27" t="s">
        <v>8</v>
      </c>
      <c r="LF784" s="27" t="s">
        <v>7</v>
      </c>
      <c r="LG784" s="27" t="s">
        <v>8</v>
      </c>
      <c r="LH784" s="27" t="s">
        <v>7</v>
      </c>
      <c r="LI784" s="27" t="s">
        <v>8</v>
      </c>
    </row>
    <row r="785" spans="1:321" x14ac:dyDescent="0.25">
      <c r="A785" s="7">
        <v>1.9822845274763884E-2</v>
      </c>
      <c r="B785"/>
      <c r="C785"/>
      <c r="D785"/>
      <c r="E785"/>
      <c r="F785" s="27" t="s">
        <v>7</v>
      </c>
      <c r="HS785" s="27" t="s">
        <v>8</v>
      </c>
      <c r="HZ785" s="27" t="s">
        <v>7</v>
      </c>
      <c r="IA785" s="27" t="s">
        <v>8</v>
      </c>
      <c r="IB785" s="27" t="s">
        <v>7</v>
      </c>
      <c r="IC785" s="27" t="s">
        <v>8</v>
      </c>
      <c r="ID785" s="27" t="s">
        <v>7</v>
      </c>
      <c r="IE785" s="27" t="s">
        <v>8</v>
      </c>
      <c r="KP785" s="27" t="s">
        <v>7</v>
      </c>
      <c r="KS785" s="27" t="s">
        <v>8</v>
      </c>
      <c r="KT785" s="27" t="s">
        <v>7</v>
      </c>
      <c r="KU785" s="27" t="s">
        <v>8</v>
      </c>
      <c r="KV785" s="27" t="s">
        <v>7</v>
      </c>
      <c r="KW785" s="27" t="s">
        <v>8</v>
      </c>
      <c r="KX785" s="27" t="s">
        <v>7</v>
      </c>
      <c r="KY785" s="27" t="s">
        <v>8</v>
      </c>
      <c r="LA785" s="27" t="s">
        <v>8</v>
      </c>
      <c r="LB785" s="27" t="s">
        <v>7</v>
      </c>
      <c r="LC785" s="27" t="s">
        <v>8</v>
      </c>
      <c r="LD785" s="27" t="s">
        <v>7</v>
      </c>
      <c r="LE785" s="27" t="s">
        <v>8</v>
      </c>
      <c r="LF785" s="27" t="s">
        <v>7</v>
      </c>
      <c r="LG785" s="27" t="s">
        <v>8</v>
      </c>
      <c r="LH785" s="27" t="s">
        <v>7</v>
      </c>
      <c r="LI785" s="27" t="s">
        <v>8</v>
      </c>
    </row>
    <row r="786" spans="1:321" x14ac:dyDescent="0.25">
      <c r="A786" s="7">
        <v>1.9434162034082238E-2</v>
      </c>
      <c r="B786"/>
      <c r="C786"/>
      <c r="D786"/>
      <c r="E786"/>
      <c r="F786" s="27" t="s">
        <v>7</v>
      </c>
      <c r="HS786" s="27" t="s">
        <v>8</v>
      </c>
      <c r="HZ786" s="27" t="s">
        <v>7</v>
      </c>
      <c r="IB786" s="27" t="s">
        <v>7</v>
      </c>
      <c r="ID786" s="27" t="s">
        <v>7</v>
      </c>
      <c r="IE786" s="27" t="s">
        <v>8</v>
      </c>
      <c r="KP786" s="27" t="s">
        <v>7</v>
      </c>
      <c r="KS786" s="27" t="s">
        <v>8</v>
      </c>
      <c r="KT786" s="27" t="s">
        <v>7</v>
      </c>
      <c r="KU786" s="27" t="s">
        <v>8</v>
      </c>
      <c r="KV786" s="27" t="s">
        <v>7</v>
      </c>
      <c r="KW786" s="27" t="s">
        <v>8</v>
      </c>
      <c r="KX786" s="27" t="s">
        <v>7</v>
      </c>
      <c r="KY786" s="27" t="s">
        <v>8</v>
      </c>
      <c r="KZ786" s="27" t="s">
        <v>7</v>
      </c>
      <c r="LA786" s="27" t="s">
        <v>8</v>
      </c>
      <c r="LB786" s="27" t="s">
        <v>7</v>
      </c>
      <c r="LC786" s="27" t="s">
        <v>8</v>
      </c>
      <c r="LD786" s="27" t="s">
        <v>7</v>
      </c>
      <c r="LE786" s="27" t="s">
        <v>8</v>
      </c>
      <c r="LF786" s="27" t="s">
        <v>7</v>
      </c>
      <c r="LG786" s="27" t="s">
        <v>8</v>
      </c>
      <c r="LH786" s="27" t="s">
        <v>7</v>
      </c>
    </row>
    <row r="787" spans="1:321" x14ac:dyDescent="0.25">
      <c r="A787" s="7">
        <v>1.9053100033413959E-2</v>
      </c>
      <c r="B787"/>
      <c r="C787"/>
      <c r="D787"/>
      <c r="E787"/>
      <c r="F787" s="27" t="s">
        <v>7</v>
      </c>
      <c r="HS787" s="27" t="s">
        <v>8</v>
      </c>
      <c r="ID787" s="27" t="s">
        <v>7</v>
      </c>
      <c r="KP787" s="27" t="s">
        <v>7</v>
      </c>
      <c r="KS787" s="27" t="s">
        <v>8</v>
      </c>
      <c r="KT787" s="27" t="s">
        <v>7</v>
      </c>
      <c r="KU787" s="27" t="s">
        <v>8</v>
      </c>
      <c r="KV787" s="27" t="s">
        <v>7</v>
      </c>
      <c r="KW787" s="27" t="s">
        <v>8</v>
      </c>
      <c r="KX787" s="27" t="s">
        <v>7</v>
      </c>
      <c r="KY787" s="27" t="s">
        <v>8</v>
      </c>
      <c r="KZ787" s="27" t="s">
        <v>7</v>
      </c>
      <c r="LA787" s="27" t="s">
        <v>8</v>
      </c>
      <c r="LB787" s="27" t="s">
        <v>7</v>
      </c>
      <c r="LC787" s="27" t="s">
        <v>8</v>
      </c>
      <c r="LD787" s="27" t="s">
        <v>7</v>
      </c>
      <c r="LF787" s="27" t="s">
        <v>7</v>
      </c>
      <c r="LG787" s="27" t="s">
        <v>8</v>
      </c>
    </row>
    <row r="788" spans="1:321" x14ac:dyDescent="0.25">
      <c r="A788" s="7">
        <v>1.867950983668035E-2</v>
      </c>
      <c r="B788"/>
      <c r="C788"/>
      <c r="D788"/>
      <c r="E788"/>
      <c r="F788" s="27" t="s">
        <v>7</v>
      </c>
      <c r="HS788" s="27" t="s">
        <v>8</v>
      </c>
      <c r="KP788" s="27" t="s">
        <v>7</v>
      </c>
      <c r="KS788" s="27" t="s">
        <v>8</v>
      </c>
      <c r="KT788" s="27" t="s">
        <v>7</v>
      </c>
      <c r="KU788" s="27" t="s">
        <v>8</v>
      </c>
      <c r="KV788" s="27" t="s">
        <v>7</v>
      </c>
      <c r="KW788" s="27" t="s">
        <v>8</v>
      </c>
      <c r="KX788" s="27" t="s">
        <v>7</v>
      </c>
      <c r="KY788" s="27" t="s">
        <v>8</v>
      </c>
      <c r="KZ788" s="27" t="s">
        <v>7</v>
      </c>
      <c r="LA788" s="27" t="s">
        <v>8</v>
      </c>
      <c r="LB788" s="27" t="s">
        <v>7</v>
      </c>
      <c r="LC788" s="27" t="s">
        <v>8</v>
      </c>
      <c r="LF788" s="27" t="s">
        <v>7</v>
      </c>
    </row>
    <row r="789" spans="1:321" x14ac:dyDescent="0.25">
      <c r="A789" s="7">
        <v>1.8313244937921913E-2</v>
      </c>
      <c r="B789"/>
      <c r="C789"/>
      <c r="D789"/>
      <c r="E789"/>
      <c r="F789" s="27" t="s">
        <v>7</v>
      </c>
      <c r="HS789" s="27" t="s">
        <v>8</v>
      </c>
      <c r="KP789" s="27" t="s">
        <v>7</v>
      </c>
      <c r="KS789" s="27" t="s">
        <v>8</v>
      </c>
      <c r="KT789" s="27" t="s">
        <v>7</v>
      </c>
      <c r="KU789" s="27" t="s">
        <v>8</v>
      </c>
      <c r="KV789" s="27" t="s">
        <v>7</v>
      </c>
      <c r="KW789" s="27" t="s">
        <v>8</v>
      </c>
      <c r="KX789" s="27" t="s">
        <v>7</v>
      </c>
      <c r="KZ789" s="27" t="s">
        <v>7</v>
      </c>
      <c r="LA789" s="27" t="s">
        <v>8</v>
      </c>
      <c r="LB789" s="27" t="s">
        <v>7</v>
      </c>
      <c r="LC789" s="27" t="s">
        <v>8</v>
      </c>
    </row>
    <row r="790" spans="1:321" x14ac:dyDescent="0.25">
      <c r="A790" s="7">
        <v>1.7954161703845013E-2</v>
      </c>
      <c r="B790"/>
      <c r="C790"/>
      <c r="D790"/>
      <c r="E790"/>
      <c r="F790" s="27" t="s">
        <v>7</v>
      </c>
      <c r="HS790" s="27" t="s">
        <v>8</v>
      </c>
      <c r="KP790" s="27" t="s">
        <v>7</v>
      </c>
      <c r="KS790" s="27" t="s">
        <v>8</v>
      </c>
      <c r="KT790" s="27" t="s">
        <v>7</v>
      </c>
      <c r="KV790" s="27" t="s">
        <v>7</v>
      </c>
      <c r="KW790" s="27" t="s">
        <v>8</v>
      </c>
      <c r="KZ790" s="27" t="s">
        <v>7</v>
      </c>
      <c r="LA790" s="27" t="s">
        <v>8</v>
      </c>
      <c r="LB790" s="27" t="s">
        <v>7</v>
      </c>
      <c r="LC790" s="27" t="s">
        <v>8</v>
      </c>
    </row>
    <row r="791" spans="1:321" x14ac:dyDescent="0.25">
      <c r="A791" s="7">
        <v>1.7602119317495109E-2</v>
      </c>
      <c r="B791"/>
      <c r="C791"/>
      <c r="D791"/>
      <c r="E791"/>
      <c r="F791" s="27" t="s">
        <v>7</v>
      </c>
      <c r="HS791" s="27" t="s">
        <v>8</v>
      </c>
      <c r="KP791" s="27" t="s">
        <v>7</v>
      </c>
      <c r="KS791" s="27" t="s">
        <v>8</v>
      </c>
      <c r="KV791" s="27" t="s">
        <v>7</v>
      </c>
      <c r="KW791" s="27" t="s">
        <v>8</v>
      </c>
      <c r="KZ791" s="27" t="s">
        <v>7</v>
      </c>
      <c r="LA791" s="27" t="s">
        <v>8</v>
      </c>
      <c r="LB791" s="18" t="s">
        <v>7</v>
      </c>
      <c r="LC791" s="27" t="s">
        <v>8</v>
      </c>
    </row>
    <row r="792" spans="1:321" x14ac:dyDescent="0.25">
      <c r="A792" s="7">
        <v>1.7256979723034419E-2</v>
      </c>
      <c r="B792"/>
      <c r="C792"/>
      <c r="D792"/>
      <c r="E792"/>
      <c r="F792" s="27" t="s">
        <v>7</v>
      </c>
      <c r="HS792" s="27" t="s">
        <v>8</v>
      </c>
      <c r="KP792" s="27" t="s">
        <v>7</v>
      </c>
      <c r="KS792" s="27" t="s">
        <v>8</v>
      </c>
      <c r="KV792" s="27" t="s">
        <v>7</v>
      </c>
      <c r="KW792" s="27" t="s">
        <v>8</v>
      </c>
      <c r="KZ792" s="27" t="s">
        <v>7</v>
      </c>
      <c r="LB792" s="27" t="s">
        <v>7</v>
      </c>
      <c r="LC792" s="27" t="s">
        <v>8</v>
      </c>
    </row>
    <row r="793" spans="1:321" x14ac:dyDescent="0.25">
      <c r="A793" s="7">
        <v>1.6918607571602372E-2</v>
      </c>
      <c r="B793"/>
      <c r="C793"/>
      <c r="D793"/>
      <c r="E793"/>
      <c r="F793" s="27" t="s">
        <v>7</v>
      </c>
      <c r="HS793" s="27" t="s">
        <v>8</v>
      </c>
      <c r="KP793" s="27" t="s">
        <v>7</v>
      </c>
      <c r="KS793" s="27" t="s">
        <v>8</v>
      </c>
      <c r="KV793" s="27" t="s">
        <v>7</v>
      </c>
      <c r="LB793" s="27" t="s">
        <v>7</v>
      </c>
      <c r="LC793" s="27" t="s">
        <v>8</v>
      </c>
    </row>
    <row r="794" spans="1:321" x14ac:dyDescent="0.25">
      <c r="A794" s="7">
        <v>1.6586870168237622E-2</v>
      </c>
      <c r="B794"/>
      <c r="C794"/>
      <c r="D794"/>
      <c r="E794"/>
      <c r="F794" s="27" t="s">
        <v>7</v>
      </c>
      <c r="HS794" s="27" t="s">
        <v>8</v>
      </c>
      <c r="KP794" s="27" t="s">
        <v>7</v>
      </c>
      <c r="KQ794" s="27" t="s">
        <v>8</v>
      </c>
      <c r="KS794" s="27" t="s">
        <v>8</v>
      </c>
      <c r="LB794" s="27" t="s">
        <v>7</v>
      </c>
      <c r="LC794" s="27" t="s">
        <v>8</v>
      </c>
    </row>
    <row r="795" spans="1:321" x14ac:dyDescent="0.25">
      <c r="A795" s="7">
        <v>1.6261637419840807E-2</v>
      </c>
      <c r="B795"/>
      <c r="C795"/>
      <c r="D795"/>
      <c r="E795"/>
      <c r="F795" s="27" t="s">
        <v>7</v>
      </c>
      <c r="HQ795" s="27" t="s">
        <v>8</v>
      </c>
      <c r="HS795" s="27" t="s">
        <v>8</v>
      </c>
      <c r="KP795" s="27" t="s">
        <v>7</v>
      </c>
      <c r="KQ795" s="27" t="s">
        <v>8</v>
      </c>
      <c r="KR795" s="27" t="s">
        <v>7</v>
      </c>
      <c r="KS795" s="27" t="s">
        <v>8</v>
      </c>
      <c r="LB795" s="27" t="s">
        <v>7</v>
      </c>
    </row>
    <row r="796" spans="1:321" x14ac:dyDescent="0.25">
      <c r="A796" s="7">
        <v>1.5942781784157655E-2</v>
      </c>
      <c r="B796"/>
      <c r="C796"/>
      <c r="D796"/>
      <c r="E796"/>
      <c r="F796" s="27" t="s">
        <v>7</v>
      </c>
      <c r="HQ796" s="27" t="s">
        <v>8</v>
      </c>
      <c r="HR796" s="27" t="s">
        <v>7</v>
      </c>
      <c r="HS796" s="27" t="s">
        <v>8</v>
      </c>
      <c r="KP796" s="27" t="s">
        <v>7</v>
      </c>
      <c r="KQ796" s="27" t="s">
        <v>8</v>
      </c>
      <c r="KR796" s="27" t="s">
        <v>7</v>
      </c>
      <c r="KS796" s="27" t="s">
        <v>8</v>
      </c>
    </row>
    <row r="797" spans="1:321" x14ac:dyDescent="0.25">
      <c r="A797" s="7">
        <v>1.5630178219762408E-2</v>
      </c>
      <c r="B797"/>
      <c r="C797"/>
      <c r="D797"/>
      <c r="E797"/>
      <c r="F797" s="27" t="s">
        <v>7</v>
      </c>
      <c r="HQ797" s="27" t="s">
        <v>8</v>
      </c>
      <c r="HR797" s="27" t="s">
        <v>7</v>
      </c>
      <c r="HS797" s="27" t="s">
        <v>8</v>
      </c>
      <c r="KP797" s="27" t="s">
        <v>7</v>
      </c>
      <c r="KQ797" s="27" t="s">
        <v>8</v>
      </c>
      <c r="KR797" s="27" t="s">
        <v>7</v>
      </c>
      <c r="KS797" s="27" t="s">
        <v>8</v>
      </c>
    </row>
    <row r="798" spans="1:321" x14ac:dyDescent="0.25">
      <c r="A798" s="7">
        <v>1.5323704137021967E-2</v>
      </c>
      <c r="B798"/>
      <c r="C798"/>
      <c r="D798"/>
      <c r="E798"/>
      <c r="F798" s="27" t="s">
        <v>7</v>
      </c>
      <c r="HQ798" s="27" t="s">
        <v>8</v>
      </c>
      <c r="HR798" s="27" t="s">
        <v>7</v>
      </c>
      <c r="HS798" s="27" t="s">
        <v>8</v>
      </c>
      <c r="KP798" s="27" t="s">
        <v>7</v>
      </c>
      <c r="KQ798" s="27" t="s">
        <v>8</v>
      </c>
      <c r="KR798" s="27" t="s">
        <v>7</v>
      </c>
      <c r="KS798" s="27" t="s">
        <v>8</v>
      </c>
    </row>
    <row r="799" spans="1:321" x14ac:dyDescent="0.25">
      <c r="A799" s="7">
        <v>1.5023239350021535E-2</v>
      </c>
      <c r="B799"/>
      <c r="C799"/>
      <c r="D799"/>
      <c r="E799"/>
      <c r="F799" s="27" t="s">
        <v>7</v>
      </c>
      <c r="HQ799" s="27" t="s">
        <v>8</v>
      </c>
      <c r="HR799" s="27" t="s">
        <v>7</v>
      </c>
      <c r="HS799" s="27" t="s">
        <v>8</v>
      </c>
      <c r="KP799" s="27" t="s">
        <v>7</v>
      </c>
      <c r="KQ799" s="27" t="s">
        <v>8</v>
      </c>
      <c r="KR799" s="27" t="s">
        <v>7</v>
      </c>
      <c r="KS799" s="27" t="s">
        <v>8</v>
      </c>
    </row>
    <row r="800" spans="1:321" x14ac:dyDescent="0.25">
      <c r="A800" s="7">
        <v>1.4728666029432878E-2</v>
      </c>
      <c r="B800"/>
      <c r="C800"/>
      <c r="D800"/>
      <c r="E800"/>
      <c r="F800" s="27" t="s">
        <v>7</v>
      </c>
      <c r="HQ800" s="27" t="s">
        <v>8</v>
      </c>
      <c r="HR800" s="27" t="s">
        <v>7</v>
      </c>
      <c r="HS800" s="27" t="s">
        <v>8</v>
      </c>
      <c r="KP800" s="27" t="s">
        <v>7</v>
      </c>
      <c r="KQ800" s="27" t="s">
        <v>8</v>
      </c>
      <c r="KR800" s="27" t="s">
        <v>7</v>
      </c>
      <c r="KS800" s="27" t="s">
        <v>8</v>
      </c>
    </row>
    <row r="801" spans="1:305" x14ac:dyDescent="0.25">
      <c r="A801" s="7">
        <v>1.4439868656306743E-2</v>
      </c>
      <c r="B801"/>
      <c r="C801"/>
      <c r="D801"/>
      <c r="E801"/>
      <c r="F801" s="27" t="s">
        <v>7</v>
      </c>
      <c r="HQ801" s="27" t="s">
        <v>8</v>
      </c>
      <c r="HR801" s="27" t="s">
        <v>7</v>
      </c>
      <c r="HS801" s="27" t="s">
        <v>8</v>
      </c>
      <c r="KP801" s="27" t="s">
        <v>7</v>
      </c>
      <c r="KQ801" s="27" t="s">
        <v>8</v>
      </c>
      <c r="KR801" s="27" t="s">
        <v>7</v>
      </c>
      <c r="KS801" s="27" t="s">
        <v>8</v>
      </c>
    </row>
    <row r="802" spans="1:305" x14ac:dyDescent="0.25">
      <c r="A802" s="7">
        <v>1.4156733976771318E-2</v>
      </c>
      <c r="B802"/>
      <c r="C802"/>
      <c r="D802"/>
      <c r="E802"/>
      <c r="F802" s="27" t="s">
        <v>7</v>
      </c>
      <c r="HK802" s="27" t="s">
        <v>8</v>
      </c>
      <c r="HQ802" s="27" t="s">
        <v>8</v>
      </c>
      <c r="HR802" s="27" t="s">
        <v>7</v>
      </c>
      <c r="HS802" s="27" t="s">
        <v>8</v>
      </c>
      <c r="KP802" s="27" t="s">
        <v>7</v>
      </c>
      <c r="KQ802" s="27" t="s">
        <v>8</v>
      </c>
      <c r="KR802" s="27" t="s">
        <v>7</v>
      </c>
      <c r="KS802" s="27" t="s">
        <v>8</v>
      </c>
    </row>
    <row r="803" spans="1:305" x14ac:dyDescent="0.25">
      <c r="A803" s="7">
        <v>1.3879150957618939E-2</v>
      </c>
      <c r="B803"/>
      <c r="C803"/>
      <c r="D803"/>
      <c r="E803"/>
      <c r="F803" s="27" t="s">
        <v>7</v>
      </c>
      <c r="HK803" s="27" t="s">
        <v>8</v>
      </c>
      <c r="HL803" s="27" t="s">
        <v>7</v>
      </c>
      <c r="HQ803" s="27" t="s">
        <v>8</v>
      </c>
      <c r="HR803" s="27" t="s">
        <v>7</v>
      </c>
      <c r="HS803" s="27" t="s">
        <v>8</v>
      </c>
      <c r="KP803" s="27" t="s">
        <v>7</v>
      </c>
      <c r="KQ803" s="27" t="s">
        <v>8</v>
      </c>
      <c r="KR803" s="27" t="s">
        <v>7</v>
      </c>
    </row>
    <row r="804" spans="1:305" x14ac:dyDescent="0.25">
      <c r="A804" s="7">
        <v>1.3607010742763666E-2</v>
      </c>
      <c r="B804"/>
      <c r="C804"/>
      <c r="D804"/>
      <c r="E804"/>
      <c r="F804" s="27" t="s">
        <v>7</v>
      </c>
      <c r="HK804" s="27" t="s">
        <v>8</v>
      </c>
      <c r="HL804" s="27" t="s">
        <v>7</v>
      </c>
      <c r="HQ804" s="27" t="s">
        <v>8</v>
      </c>
      <c r="HR804" s="27" t="s">
        <v>7</v>
      </c>
      <c r="HS804" s="27" t="s">
        <v>8</v>
      </c>
      <c r="KP804" s="27" t="s">
        <v>7</v>
      </c>
      <c r="KQ804" s="27" t="s">
        <v>8</v>
      </c>
    </row>
    <row r="805" spans="1:305" x14ac:dyDescent="0.25">
      <c r="A805" s="7">
        <v>1.3340206610552614E-2</v>
      </c>
      <c r="B805"/>
      <c r="C805"/>
      <c r="D805"/>
      <c r="E805"/>
      <c r="F805" s="27" t="s">
        <v>7</v>
      </c>
      <c r="HK805" s="27" t="s">
        <v>8</v>
      </c>
      <c r="HL805" s="27" t="s">
        <v>7</v>
      </c>
      <c r="HQ805" s="27" t="s">
        <v>8</v>
      </c>
      <c r="HR805" s="27" t="s">
        <v>7</v>
      </c>
      <c r="HS805" s="27" t="s">
        <v>8</v>
      </c>
      <c r="KP805" s="27" t="s">
        <v>7</v>
      </c>
      <c r="KQ805" s="27" t="s">
        <v>8</v>
      </c>
    </row>
    <row r="806" spans="1:305" x14ac:dyDescent="0.25">
      <c r="A806" s="7">
        <v>1.3078633931914328E-2</v>
      </c>
      <c r="B806"/>
      <c r="C806"/>
      <c r="D806"/>
      <c r="E806"/>
      <c r="F806" s="27" t="s">
        <v>7</v>
      </c>
      <c r="HK806" s="27" t="s">
        <v>8</v>
      </c>
      <c r="HL806" s="27" t="s">
        <v>7</v>
      </c>
      <c r="HQ806" s="27" t="s">
        <v>8</v>
      </c>
      <c r="HR806" s="27" t="s">
        <v>7</v>
      </c>
      <c r="HS806" s="27" t="s">
        <v>8</v>
      </c>
      <c r="KP806" s="27" t="s">
        <v>7</v>
      </c>
    </row>
    <row r="807" spans="1:305" x14ac:dyDescent="0.25">
      <c r="A807" s="7">
        <v>1.2822190129327771E-2</v>
      </c>
      <c r="B807"/>
      <c r="C807"/>
      <c r="D807"/>
      <c r="E807"/>
      <c r="F807" s="27" t="s">
        <v>7</v>
      </c>
      <c r="HK807" s="27" t="s">
        <v>8</v>
      </c>
      <c r="HL807" s="27" t="s">
        <v>7</v>
      </c>
      <c r="HM807" s="27" t="s">
        <v>8</v>
      </c>
      <c r="HQ807" s="27" t="s">
        <v>8</v>
      </c>
      <c r="HR807" s="27" t="s">
        <v>7</v>
      </c>
    </row>
    <row r="808" spans="1:305" x14ac:dyDescent="0.25">
      <c r="A808" s="7">
        <v>1.2570774636595854E-2</v>
      </c>
      <c r="B808"/>
      <c r="C808"/>
      <c r="D808"/>
      <c r="E808"/>
      <c r="F808" s="27" t="s">
        <v>7</v>
      </c>
      <c r="EM808" s="27" t="s">
        <v>8</v>
      </c>
      <c r="HK808" s="27" t="s">
        <v>8</v>
      </c>
      <c r="HL808" s="27" t="s">
        <v>7</v>
      </c>
      <c r="HM808" s="27" t="s">
        <v>8</v>
      </c>
      <c r="HN808" s="27" t="s">
        <v>7</v>
      </c>
      <c r="HO808" s="27" t="s">
        <v>8</v>
      </c>
      <c r="HQ808" s="27" t="s">
        <v>8</v>
      </c>
    </row>
    <row r="809" spans="1:305" x14ac:dyDescent="0.25">
      <c r="A809" s="7">
        <v>1.23242888594077E-2</v>
      </c>
      <c r="B809"/>
      <c r="C809"/>
      <c r="D809"/>
      <c r="E809"/>
      <c r="F809" s="27" t="s">
        <v>7</v>
      </c>
      <c r="EM809" s="27" t="s">
        <v>8</v>
      </c>
      <c r="EN809" s="27" t="s">
        <v>7</v>
      </c>
      <c r="ES809" s="27" t="s">
        <v>8</v>
      </c>
      <c r="HK809" s="27" t="s">
        <v>8</v>
      </c>
      <c r="HL809" s="27" t="s">
        <v>7</v>
      </c>
      <c r="HM809" s="27" t="s">
        <v>8</v>
      </c>
      <c r="HN809" s="27" t="s">
        <v>7</v>
      </c>
      <c r="HO809" s="27" t="s">
        <v>8</v>
      </c>
      <c r="HP809" s="27" t="s">
        <v>7</v>
      </c>
      <c r="HQ809" s="27" t="s">
        <v>8</v>
      </c>
    </row>
    <row r="810" spans="1:305" x14ac:dyDescent="0.25">
      <c r="A810" s="7">
        <v>1.2082636136674216E-2</v>
      </c>
      <c r="B810"/>
      <c r="C810"/>
      <c r="D810"/>
      <c r="E810"/>
      <c r="F810" s="27" t="s">
        <v>7</v>
      </c>
      <c r="EM810" s="27" t="s">
        <v>8</v>
      </c>
      <c r="EN810" s="27" t="s">
        <v>7</v>
      </c>
      <c r="ES810" s="27" t="s">
        <v>8</v>
      </c>
      <c r="ET810" s="27" t="s">
        <v>7</v>
      </c>
      <c r="HK810" s="27" t="s">
        <v>8</v>
      </c>
      <c r="HL810" s="27" t="s">
        <v>7</v>
      </c>
      <c r="HM810" s="27" t="s">
        <v>8</v>
      </c>
      <c r="HN810" s="27" t="s">
        <v>7</v>
      </c>
      <c r="HO810" s="27" t="s">
        <v>8</v>
      </c>
      <c r="HP810" s="27" t="s">
        <v>7</v>
      </c>
      <c r="HQ810" s="27" t="s">
        <v>8</v>
      </c>
    </row>
    <row r="811" spans="1:305" x14ac:dyDescent="0.25">
      <c r="A811" s="7">
        <v>1.184572170262178E-2</v>
      </c>
      <c r="B811"/>
      <c r="C811"/>
      <c r="D811"/>
      <c r="E811"/>
      <c r="F811" s="27" t="s">
        <v>7</v>
      </c>
      <c r="EM811" s="27" t="s">
        <v>8</v>
      </c>
      <c r="EN811" s="27" t="s">
        <v>7</v>
      </c>
      <c r="EQ811" s="27" t="s">
        <v>8</v>
      </c>
      <c r="ES811" s="27" t="s">
        <v>8</v>
      </c>
      <c r="ET811" s="27" t="s">
        <v>7</v>
      </c>
      <c r="HK811" s="27" t="s">
        <v>8</v>
      </c>
      <c r="HL811" s="27" t="s">
        <v>7</v>
      </c>
      <c r="HM811" s="27" t="s">
        <v>8</v>
      </c>
      <c r="HN811" s="27" t="s">
        <v>7</v>
      </c>
      <c r="HO811" s="27" t="s">
        <v>8</v>
      </c>
      <c r="HP811" s="27" t="s">
        <v>7</v>
      </c>
      <c r="HQ811" s="27" t="s">
        <v>8</v>
      </c>
    </row>
    <row r="812" spans="1:305" x14ac:dyDescent="0.25">
      <c r="A812" s="7">
        <v>1.1613452649629196E-2</v>
      </c>
      <c r="B812"/>
      <c r="C812"/>
      <c r="D812"/>
      <c r="E812"/>
      <c r="F812" s="27" t="s">
        <v>7</v>
      </c>
      <c r="EM812" s="27" t="s">
        <v>8</v>
      </c>
      <c r="EN812" s="27" t="s">
        <v>7</v>
      </c>
      <c r="EQ812" s="27" t="s">
        <v>8</v>
      </c>
      <c r="ER812" s="27" t="s">
        <v>7</v>
      </c>
      <c r="ES812" s="27" t="s">
        <v>8</v>
      </c>
      <c r="ET812" s="27" t="s">
        <v>7</v>
      </c>
      <c r="HK812" s="27" t="s">
        <v>8</v>
      </c>
      <c r="HL812" s="27" t="s">
        <v>7</v>
      </c>
      <c r="HM812" s="27" t="s">
        <v>8</v>
      </c>
      <c r="HN812" s="27" t="s">
        <v>7</v>
      </c>
      <c r="HO812" s="27" t="s">
        <v>8</v>
      </c>
      <c r="HP812" s="27" t="s">
        <v>7</v>
      </c>
      <c r="HQ812" s="27" t="s">
        <v>8</v>
      </c>
    </row>
    <row r="813" spans="1:305" x14ac:dyDescent="0.25">
      <c r="A813" s="7">
        <v>1.138573789179333E-2</v>
      </c>
      <c r="B813"/>
      <c r="C813"/>
      <c r="D813"/>
      <c r="E813"/>
      <c r="F813" s="27" t="s">
        <v>7</v>
      </c>
      <c r="EM813" s="27" t="s">
        <v>8</v>
      </c>
      <c r="EN813" s="27" t="s">
        <v>7</v>
      </c>
      <c r="EQ813" s="27" t="s">
        <v>8</v>
      </c>
      <c r="ER813" s="27" t="s">
        <v>7</v>
      </c>
      <c r="ES813" s="27" t="s">
        <v>8</v>
      </c>
      <c r="ET813" s="27" t="s">
        <v>7</v>
      </c>
      <c r="HK813" s="27" t="s">
        <v>8</v>
      </c>
      <c r="HL813" s="27" t="s">
        <v>7</v>
      </c>
      <c r="HM813" s="27" t="s">
        <v>8</v>
      </c>
      <c r="HN813" s="27" t="s">
        <v>7</v>
      </c>
      <c r="HO813" s="27" t="s">
        <v>8</v>
      </c>
      <c r="HP813" s="27" t="s">
        <v>7</v>
      </c>
    </row>
    <row r="814" spans="1:305" x14ac:dyDescent="0.25">
      <c r="A814" s="7">
        <v>1.1162488129209149E-2</v>
      </c>
      <c r="B814"/>
      <c r="C814"/>
      <c r="D814"/>
      <c r="E814"/>
      <c r="F814" s="27" t="s">
        <v>7</v>
      </c>
      <c r="EM814" s="27" t="s">
        <v>8</v>
      </c>
      <c r="EN814" s="27" t="s">
        <v>7</v>
      </c>
      <c r="EQ814" s="27" t="s">
        <v>8</v>
      </c>
      <c r="ER814" s="27" t="s">
        <v>7</v>
      </c>
      <c r="ES814" s="27" t="s">
        <v>8</v>
      </c>
      <c r="ET814" s="27" t="s">
        <v>7</v>
      </c>
      <c r="HK814" s="27" t="s">
        <v>8</v>
      </c>
      <c r="HL814" s="27" t="s">
        <v>7</v>
      </c>
      <c r="HM814" s="27" t="s">
        <v>8</v>
      </c>
      <c r="HN814" s="27" t="s">
        <v>7</v>
      </c>
      <c r="HO814" s="27" t="s">
        <v>8</v>
      </c>
    </row>
    <row r="815" spans="1:305" x14ac:dyDescent="0.25">
      <c r="A815" s="7">
        <v>1.0943615812950145E-2</v>
      </c>
      <c r="B815"/>
      <c r="C815"/>
      <c r="D815"/>
      <c r="E815"/>
      <c r="F815" s="27" t="s">
        <v>7</v>
      </c>
      <c r="EM815" s="27" t="s">
        <v>8</v>
      </c>
      <c r="EN815" s="27" t="s">
        <v>7</v>
      </c>
      <c r="EQ815" s="27" t="s">
        <v>8</v>
      </c>
      <c r="ER815" s="27" t="s">
        <v>7</v>
      </c>
      <c r="ES815" s="27" t="s">
        <v>8</v>
      </c>
      <c r="ET815" s="27" t="s">
        <v>7</v>
      </c>
      <c r="EU815" s="27" t="s">
        <v>8</v>
      </c>
      <c r="HI815" s="27" t="s">
        <v>8</v>
      </c>
      <c r="HK815" s="27" t="s">
        <v>8</v>
      </c>
      <c r="HL815" s="27" t="s">
        <v>7</v>
      </c>
      <c r="HM815" s="27" t="s">
        <v>8</v>
      </c>
      <c r="HN815" s="27" t="s">
        <v>7</v>
      </c>
    </row>
    <row r="816" spans="1:305" x14ac:dyDescent="0.25">
      <c r="A816" s="7">
        <v>1.0729035110735436E-2</v>
      </c>
      <c r="B816"/>
      <c r="C816"/>
      <c r="D816"/>
      <c r="E816"/>
      <c r="F816" s="27" t="s">
        <v>7</v>
      </c>
      <c r="EM816" s="27" t="s">
        <v>8</v>
      </c>
      <c r="EN816" s="27" t="s">
        <v>7</v>
      </c>
      <c r="EQ816" s="27" t="s">
        <v>8</v>
      </c>
      <c r="ER816" s="27" t="s">
        <v>7</v>
      </c>
      <c r="ES816" s="27" t="s">
        <v>8</v>
      </c>
      <c r="ET816" s="27" t="s">
        <v>7</v>
      </c>
      <c r="EU816" s="27" t="s">
        <v>8</v>
      </c>
      <c r="EV816" s="27" t="s">
        <v>7</v>
      </c>
      <c r="HI816" s="27" t="s">
        <v>8</v>
      </c>
      <c r="HJ816" s="27" t="s">
        <v>7</v>
      </c>
      <c r="HK816" s="27" t="s">
        <v>8</v>
      </c>
      <c r="HL816" s="27" t="s">
        <v>7</v>
      </c>
    </row>
    <row r="817" spans="1:219" x14ac:dyDescent="0.25">
      <c r="A817" s="7">
        <v>1.0518661873270036E-2</v>
      </c>
      <c r="B817"/>
      <c r="C817"/>
      <c r="D817"/>
      <c r="E817"/>
      <c r="F817" s="27" t="s">
        <v>7</v>
      </c>
      <c r="EM817" s="27" t="s">
        <v>8</v>
      </c>
      <c r="EN817" s="27" t="s">
        <v>7</v>
      </c>
      <c r="EQ817" s="27" t="s">
        <v>8</v>
      </c>
      <c r="ER817" s="27" t="s">
        <v>7</v>
      </c>
      <c r="ES817" s="27" t="s">
        <v>8</v>
      </c>
      <c r="ET817" s="27" t="s">
        <v>7</v>
      </c>
      <c r="EU817" s="27" t="s">
        <v>8</v>
      </c>
      <c r="EV817" s="27" t="s">
        <v>7</v>
      </c>
      <c r="HI817" s="27" t="s">
        <v>8</v>
      </c>
      <c r="HJ817" s="27" t="s">
        <v>7</v>
      </c>
      <c r="HK817" s="27" t="s">
        <v>8</v>
      </c>
    </row>
    <row r="818" spans="1:219" x14ac:dyDescent="0.25">
      <c r="A818" s="7">
        <v>1.0312413601245135E-2</v>
      </c>
      <c r="B818"/>
      <c r="C818"/>
      <c r="D818"/>
      <c r="E818"/>
      <c r="F818" s="27" t="s">
        <v>7</v>
      </c>
      <c r="EM818" s="27" t="s">
        <v>8</v>
      </c>
      <c r="EN818" s="27" t="s">
        <v>7</v>
      </c>
      <c r="EQ818" s="27" t="s">
        <v>8</v>
      </c>
      <c r="ER818" s="27" t="s">
        <v>7</v>
      </c>
      <c r="ES818" s="27" t="s">
        <v>8</v>
      </c>
      <c r="ET818" s="27" t="s">
        <v>7</v>
      </c>
      <c r="EU818" s="27" t="s">
        <v>8</v>
      </c>
      <c r="EV818" s="27" t="s">
        <v>7</v>
      </c>
      <c r="HI818" s="27" t="s">
        <v>8</v>
      </c>
      <c r="HJ818" s="27" t="s">
        <v>7</v>
      </c>
      <c r="HK818" s="27" t="s">
        <v>8</v>
      </c>
    </row>
    <row r="819" spans="1:219" x14ac:dyDescent="0.25">
      <c r="A819" s="7">
        <v>1.0110209412985426E-2</v>
      </c>
      <c r="B819"/>
      <c r="C819"/>
      <c r="D819"/>
      <c r="E819"/>
      <c r="F819" s="27" t="s">
        <v>7</v>
      </c>
      <c r="EM819" s="27" t="s">
        <v>8</v>
      </c>
      <c r="EN819" s="27" t="s">
        <v>7</v>
      </c>
      <c r="EO819" s="27" t="s">
        <v>8</v>
      </c>
      <c r="EQ819" s="27" t="s">
        <v>8</v>
      </c>
      <c r="ER819" s="27" t="s">
        <v>7</v>
      </c>
      <c r="ET819" s="27" t="s">
        <v>7</v>
      </c>
      <c r="EU819" s="27" t="s">
        <v>8</v>
      </c>
      <c r="EV819" s="27" t="s">
        <v>7</v>
      </c>
      <c r="HA819" s="27" t="s">
        <v>8</v>
      </c>
      <c r="HI819" s="27" t="s">
        <v>8</v>
      </c>
      <c r="HJ819" s="27" t="s">
        <v>7</v>
      </c>
      <c r="HK819" s="27" t="s">
        <v>8</v>
      </c>
    </row>
    <row r="820" spans="1:219" x14ac:dyDescent="0.25">
      <c r="A820" s="7">
        <v>9.9119700127308103E-3</v>
      </c>
      <c r="B820"/>
      <c r="C820"/>
      <c r="D820"/>
      <c r="E820"/>
      <c r="F820" s="27" t="s">
        <v>7</v>
      </c>
      <c r="EM820" s="27" t="s">
        <v>8</v>
      </c>
      <c r="EN820" s="27" t="s">
        <v>7</v>
      </c>
      <c r="EO820" s="27" t="s">
        <v>8</v>
      </c>
      <c r="EP820" s="27" t="s">
        <v>7</v>
      </c>
      <c r="EQ820" s="27" t="s">
        <v>8</v>
      </c>
      <c r="ET820" s="27" t="s">
        <v>7</v>
      </c>
      <c r="EU820" s="27" t="s">
        <v>8</v>
      </c>
      <c r="EV820" s="27" t="s">
        <v>7</v>
      </c>
      <c r="HA820" s="27" t="s">
        <v>8</v>
      </c>
      <c r="HB820" s="27" t="s">
        <v>7</v>
      </c>
      <c r="HI820" s="27" t="s">
        <v>8</v>
      </c>
      <c r="HJ820" s="27" t="s">
        <v>7</v>
      </c>
      <c r="HK820" s="27" t="s">
        <v>8</v>
      </c>
    </row>
    <row r="821" spans="1:219" x14ac:dyDescent="0.25">
      <c r="A821" s="7">
        <v>9.717617659540009E-3</v>
      </c>
      <c r="B821"/>
      <c r="C821"/>
      <c r="D821"/>
      <c r="E821"/>
      <c r="F821" s="27" t="s">
        <v>7</v>
      </c>
      <c r="EG821" s="27" t="s">
        <v>8</v>
      </c>
      <c r="EI821" s="27" t="s">
        <v>8</v>
      </c>
      <c r="EM821" s="27" t="s">
        <v>8</v>
      </c>
      <c r="EN821" s="27" t="s">
        <v>7</v>
      </c>
      <c r="EO821" s="27" t="s">
        <v>8</v>
      </c>
      <c r="EP821" s="27" t="s">
        <v>7</v>
      </c>
      <c r="EQ821" s="27" t="s">
        <v>8</v>
      </c>
      <c r="ET821" s="27" t="s">
        <v>7</v>
      </c>
      <c r="EU821" s="27" t="s">
        <v>8</v>
      </c>
      <c r="EV821" s="27" t="s">
        <v>7</v>
      </c>
      <c r="EW821" s="27" t="s">
        <v>8</v>
      </c>
      <c r="EY821" s="27" t="s">
        <v>8</v>
      </c>
      <c r="HA821" s="27" t="s">
        <v>8</v>
      </c>
      <c r="HB821" s="27" t="s">
        <v>7</v>
      </c>
      <c r="HG821" s="27" t="s">
        <v>8</v>
      </c>
      <c r="HI821" s="27" t="s">
        <v>8</v>
      </c>
      <c r="HJ821" s="27" t="s">
        <v>7</v>
      </c>
      <c r="HK821" s="27" t="s">
        <v>8</v>
      </c>
    </row>
    <row r="822" spans="1:219" x14ac:dyDescent="0.25">
      <c r="A822" s="7">
        <v>9.5270761368039299E-3</v>
      </c>
      <c r="B822"/>
      <c r="C822"/>
      <c r="D822"/>
      <c r="E822"/>
      <c r="F822" s="27" t="s">
        <v>7</v>
      </c>
      <c r="EG822" s="27" t="s">
        <v>8</v>
      </c>
      <c r="EH822" s="27" t="s">
        <v>7</v>
      </c>
      <c r="EI822" s="27" t="s">
        <v>8</v>
      </c>
      <c r="EJ822" s="27" t="s">
        <v>7</v>
      </c>
      <c r="EM822" s="27" t="s">
        <v>8</v>
      </c>
      <c r="EN822" s="27" t="s">
        <v>7</v>
      </c>
      <c r="EO822" s="27" t="s">
        <v>8</v>
      </c>
      <c r="EP822" s="27" t="s">
        <v>7</v>
      </c>
      <c r="EQ822" s="27" t="s">
        <v>8</v>
      </c>
      <c r="ET822" s="27" t="s">
        <v>7</v>
      </c>
      <c r="EV822" s="27" t="s">
        <v>7</v>
      </c>
      <c r="EW822" s="27" t="s">
        <v>8</v>
      </c>
      <c r="EX822" s="27" t="s">
        <v>7</v>
      </c>
      <c r="EY822" s="27" t="s">
        <v>8</v>
      </c>
      <c r="EZ822" s="27" t="s">
        <v>7</v>
      </c>
      <c r="HA822" s="27" t="s">
        <v>8</v>
      </c>
      <c r="HB822" s="27" t="s">
        <v>7</v>
      </c>
      <c r="HE822" s="27" t="s">
        <v>8</v>
      </c>
      <c r="HG822" s="27" t="s">
        <v>8</v>
      </c>
      <c r="HH822" s="27" t="s">
        <v>7</v>
      </c>
      <c r="HI822" s="27" t="s">
        <v>8</v>
      </c>
      <c r="HJ822" s="27" t="s">
        <v>7</v>
      </c>
      <c r="HK822" s="27" t="s">
        <v>8</v>
      </c>
    </row>
    <row r="823" spans="1:219" x14ac:dyDescent="0.25">
      <c r="A823" s="7">
        <v>9.3402707223567936E-3</v>
      </c>
      <c r="B823"/>
      <c r="C823"/>
      <c r="D823"/>
      <c r="E823"/>
      <c r="F823" s="27" t="s">
        <v>7</v>
      </c>
      <c r="EE823" s="27" t="s">
        <v>8</v>
      </c>
      <c r="EG823" s="27" t="s">
        <v>8</v>
      </c>
      <c r="EH823" s="27" t="s">
        <v>7</v>
      </c>
      <c r="EI823" s="27" t="s">
        <v>8</v>
      </c>
      <c r="EJ823" s="27" t="s">
        <v>7</v>
      </c>
      <c r="EM823" s="27" t="s">
        <v>8</v>
      </c>
      <c r="EN823" s="27" t="s">
        <v>7</v>
      </c>
      <c r="EO823" s="27" t="s">
        <v>8</v>
      </c>
      <c r="EP823" s="27" t="s">
        <v>7</v>
      </c>
      <c r="EQ823" s="27" t="s">
        <v>8</v>
      </c>
      <c r="EV823" s="27" t="s">
        <v>7</v>
      </c>
      <c r="EW823" s="27" t="s">
        <v>8</v>
      </c>
      <c r="EX823" s="27" t="s">
        <v>7</v>
      </c>
      <c r="EY823" s="27" t="s">
        <v>8</v>
      </c>
      <c r="EZ823" s="27" t="s">
        <v>7</v>
      </c>
      <c r="HA823" s="27" t="s">
        <v>8</v>
      </c>
      <c r="HB823" s="27" t="s">
        <v>7</v>
      </c>
      <c r="HE823" s="27" t="s">
        <v>8</v>
      </c>
      <c r="HF823" s="27" t="s">
        <v>7</v>
      </c>
      <c r="HG823" s="27" t="s">
        <v>8</v>
      </c>
      <c r="HH823" s="27" t="s">
        <v>7</v>
      </c>
      <c r="HI823" s="27" t="s">
        <v>8</v>
      </c>
      <c r="HJ823" s="27" t="s">
        <v>7</v>
      </c>
      <c r="HK823" s="27" t="s">
        <v>8</v>
      </c>
    </row>
    <row r="824" spans="1:219" x14ac:dyDescent="0.25">
      <c r="A824" s="7">
        <v>9.1571281591733261E-3</v>
      </c>
      <c r="B824"/>
      <c r="C824"/>
      <c r="D824"/>
      <c r="E824"/>
      <c r="F824" s="27" t="s">
        <v>7</v>
      </c>
      <c r="EE824" s="27" t="s">
        <v>8</v>
      </c>
      <c r="EF824" s="27" t="s">
        <v>7</v>
      </c>
      <c r="EG824" s="27" t="s">
        <v>8</v>
      </c>
      <c r="EH824" s="27" t="s">
        <v>7</v>
      </c>
      <c r="EI824" s="27" t="s">
        <v>8</v>
      </c>
      <c r="EJ824" s="27" t="s">
        <v>7</v>
      </c>
      <c r="EM824" s="27" t="s">
        <v>8</v>
      </c>
      <c r="EN824" s="27" t="s">
        <v>7</v>
      </c>
      <c r="EO824" s="27" t="s">
        <v>8</v>
      </c>
      <c r="EP824" s="27" t="s">
        <v>7</v>
      </c>
      <c r="EQ824" s="27" t="s">
        <v>8</v>
      </c>
      <c r="EV824" s="27" t="s">
        <v>7</v>
      </c>
      <c r="EW824" s="27" t="s">
        <v>8</v>
      </c>
      <c r="EX824" s="27" t="s">
        <v>7</v>
      </c>
      <c r="EY824" s="27" t="s">
        <v>8</v>
      </c>
      <c r="EZ824" s="27" t="s">
        <v>7</v>
      </c>
      <c r="GE824" s="27" t="s">
        <v>8</v>
      </c>
      <c r="HA824" s="27" t="s">
        <v>8</v>
      </c>
      <c r="HB824" s="27" t="s">
        <v>7</v>
      </c>
      <c r="HE824" s="27" t="s">
        <v>8</v>
      </c>
      <c r="HF824" s="27" t="s">
        <v>7</v>
      </c>
      <c r="HG824" s="27" t="s">
        <v>8</v>
      </c>
      <c r="HH824" s="27" t="s">
        <v>7</v>
      </c>
      <c r="HI824" s="27" t="s">
        <v>8</v>
      </c>
      <c r="HJ824" s="27" t="s">
        <v>7</v>
      </c>
    </row>
    <row r="825" spans="1:219" x14ac:dyDescent="0.25">
      <c r="A825" s="7">
        <v>8.9775766266405148E-3</v>
      </c>
      <c r="B825"/>
      <c r="C825"/>
      <c r="D825"/>
      <c r="E825"/>
      <c r="F825" s="27" t="s">
        <v>7</v>
      </c>
      <c r="EE825" s="27" t="s">
        <v>8</v>
      </c>
      <c r="EF825" s="27" t="s">
        <v>7</v>
      </c>
      <c r="EG825" s="27" t="s">
        <v>8</v>
      </c>
      <c r="EH825" s="27" t="s">
        <v>7</v>
      </c>
      <c r="EJ825" s="27" t="s">
        <v>7</v>
      </c>
      <c r="EM825" s="27" t="s">
        <v>8</v>
      </c>
      <c r="EN825" s="27" t="s">
        <v>7</v>
      </c>
      <c r="EO825" s="27" t="s">
        <v>8</v>
      </c>
      <c r="EP825" s="27" t="s">
        <v>7</v>
      </c>
      <c r="EQ825" s="27" t="s">
        <v>8</v>
      </c>
      <c r="EV825" s="27" t="s">
        <v>7</v>
      </c>
      <c r="EW825" s="27" t="s">
        <v>8</v>
      </c>
      <c r="EX825" s="27" t="s">
        <v>7</v>
      </c>
      <c r="EY825" s="27" t="s">
        <v>8</v>
      </c>
      <c r="EZ825" s="27" t="s">
        <v>7</v>
      </c>
      <c r="GE825" s="27" t="s">
        <v>8</v>
      </c>
      <c r="GF825" s="27" t="s">
        <v>7</v>
      </c>
      <c r="HA825" s="27" t="s">
        <v>8</v>
      </c>
      <c r="HB825" s="27" t="s">
        <v>7</v>
      </c>
      <c r="HE825" s="27" t="s">
        <v>8</v>
      </c>
      <c r="HF825" s="27" t="s">
        <v>7</v>
      </c>
      <c r="HG825" s="27" t="s">
        <v>8</v>
      </c>
      <c r="HH825" s="27" t="s">
        <v>7</v>
      </c>
      <c r="HI825" s="27" t="s">
        <v>8</v>
      </c>
    </row>
    <row r="826" spans="1:219" x14ac:dyDescent="0.25">
      <c r="A826" s="7">
        <v>8.8015457123926614E-3</v>
      </c>
      <c r="B826"/>
      <c r="C826"/>
      <c r="D826"/>
      <c r="E826"/>
      <c r="F826" s="27" t="s">
        <v>7</v>
      </c>
      <c r="EE826" s="27" t="s">
        <v>8</v>
      </c>
      <c r="EF826" s="27" t="s">
        <v>7</v>
      </c>
      <c r="EG826" s="27" t="s">
        <v>8</v>
      </c>
      <c r="EJ826" s="27" t="s">
        <v>7</v>
      </c>
      <c r="EM826" s="27" t="s">
        <v>8</v>
      </c>
      <c r="EN826" s="27" t="s">
        <v>7</v>
      </c>
      <c r="EO826" s="27" t="s">
        <v>8</v>
      </c>
      <c r="EP826" s="27" t="s">
        <v>7</v>
      </c>
      <c r="EQ826" s="27" t="s">
        <v>8</v>
      </c>
      <c r="EV826" s="27" t="s">
        <v>7</v>
      </c>
      <c r="EX826" s="27" t="s">
        <v>7</v>
      </c>
      <c r="EY826" s="27" t="s">
        <v>8</v>
      </c>
      <c r="EZ826" s="27" t="s">
        <v>7</v>
      </c>
      <c r="FC826" s="27" t="s">
        <v>8</v>
      </c>
      <c r="GE826" s="27" t="s">
        <v>8</v>
      </c>
      <c r="GF826" s="27" t="s">
        <v>7</v>
      </c>
      <c r="HA826" s="27" t="s">
        <v>8</v>
      </c>
      <c r="HB826" s="27" t="s">
        <v>7</v>
      </c>
      <c r="HE826" s="27" t="s">
        <v>8</v>
      </c>
      <c r="HF826" s="27" t="s">
        <v>7</v>
      </c>
      <c r="HG826" s="27" t="s">
        <v>8</v>
      </c>
      <c r="HH826" s="27" t="s">
        <v>7</v>
      </c>
      <c r="HI826" s="27" t="s">
        <v>8</v>
      </c>
    </row>
    <row r="827" spans="1:219" x14ac:dyDescent="0.25">
      <c r="A827" s="7">
        <v>8.6289663846986879E-3</v>
      </c>
      <c r="B827"/>
      <c r="C827"/>
      <c r="D827"/>
      <c r="E827"/>
      <c r="F827" s="27" t="s">
        <v>7</v>
      </c>
      <c r="DY827" s="27" t="s">
        <v>8</v>
      </c>
      <c r="EE827" s="27" t="s">
        <v>8</v>
      </c>
      <c r="EF827" s="27" t="s">
        <v>7</v>
      </c>
      <c r="EG827" s="27" t="s">
        <v>8</v>
      </c>
      <c r="EJ827" s="27" t="s">
        <v>7</v>
      </c>
      <c r="EK827" s="27" t="s">
        <v>8</v>
      </c>
      <c r="EM827" s="27" t="s">
        <v>8</v>
      </c>
      <c r="EN827" s="27" t="s">
        <v>7</v>
      </c>
      <c r="EO827" s="27" t="s">
        <v>8</v>
      </c>
      <c r="EP827" s="27" t="s">
        <v>7</v>
      </c>
      <c r="EQ827" s="27" t="s">
        <v>8</v>
      </c>
      <c r="EX827" s="27" t="s">
        <v>7</v>
      </c>
      <c r="EY827" s="27" t="s">
        <v>8</v>
      </c>
      <c r="EZ827" s="27" t="s">
        <v>7</v>
      </c>
      <c r="FC827" s="27" t="s">
        <v>8</v>
      </c>
      <c r="FD827" s="27" t="s">
        <v>7</v>
      </c>
      <c r="GE827" s="27" t="s">
        <v>8</v>
      </c>
      <c r="GF827" s="27" t="s">
        <v>7</v>
      </c>
      <c r="HA827" s="27" t="s">
        <v>8</v>
      </c>
      <c r="HB827" s="27" t="s">
        <v>7</v>
      </c>
      <c r="HE827" s="27" t="s">
        <v>8</v>
      </c>
      <c r="HF827" s="27" t="s">
        <v>7</v>
      </c>
      <c r="HG827" s="27" t="s">
        <v>8</v>
      </c>
      <c r="HH827" s="27" t="s">
        <v>7</v>
      </c>
      <c r="HI827" s="27" t="s">
        <v>8</v>
      </c>
    </row>
    <row r="828" spans="1:219" x14ac:dyDescent="0.25">
      <c r="A828" s="7">
        <v>8.4597709653908715E-3</v>
      </c>
      <c r="B828"/>
      <c r="C828"/>
      <c r="D828"/>
      <c r="E828"/>
      <c r="F828" s="27" t="s">
        <v>7</v>
      </c>
      <c r="DY828" s="27" t="s">
        <v>8</v>
      </c>
      <c r="DZ828" s="27" t="s">
        <v>7</v>
      </c>
      <c r="EE828" s="27" t="s">
        <v>8</v>
      </c>
      <c r="EF828" s="27" t="s">
        <v>7</v>
      </c>
      <c r="EG828" s="27" t="s">
        <v>8</v>
      </c>
      <c r="EJ828" s="27" t="s">
        <v>7</v>
      </c>
      <c r="EK828" s="27" t="s">
        <v>8</v>
      </c>
      <c r="EL828" s="27" t="s">
        <v>7</v>
      </c>
      <c r="EM828" s="27" t="s">
        <v>8</v>
      </c>
      <c r="EN828" s="27" t="s">
        <v>7</v>
      </c>
      <c r="EO828" s="27" t="s">
        <v>8</v>
      </c>
      <c r="EP828" s="27" t="s">
        <v>7</v>
      </c>
      <c r="EQ828" s="27" t="s">
        <v>8</v>
      </c>
      <c r="EX828" s="27" t="s">
        <v>7</v>
      </c>
      <c r="EY828" s="27" t="s">
        <v>8</v>
      </c>
      <c r="EZ828" s="27" t="s">
        <v>7</v>
      </c>
      <c r="FA828" s="27" t="s">
        <v>8</v>
      </c>
      <c r="FC828" s="27" t="s">
        <v>8</v>
      </c>
      <c r="FD828" s="27" t="s">
        <v>7</v>
      </c>
      <c r="FE828" s="27" t="s">
        <v>8</v>
      </c>
      <c r="GA828" s="27" t="s">
        <v>8</v>
      </c>
      <c r="GE828" s="27" t="s">
        <v>8</v>
      </c>
      <c r="GF828" s="27" t="s">
        <v>7</v>
      </c>
      <c r="HA828" s="27" t="s">
        <v>8</v>
      </c>
      <c r="HB828" s="27" t="s">
        <v>7</v>
      </c>
      <c r="HE828" s="27" t="s">
        <v>8</v>
      </c>
      <c r="HF828" s="27" t="s">
        <v>7</v>
      </c>
      <c r="HG828" s="27" t="s">
        <v>8</v>
      </c>
      <c r="HH828" s="27" t="s">
        <v>7</v>
      </c>
      <c r="HI828" s="27" t="s">
        <v>8</v>
      </c>
    </row>
    <row r="829" spans="1:219" x14ac:dyDescent="0.25">
      <c r="A829" s="7">
        <v>8.2938931033243839E-3</v>
      </c>
      <c r="B829"/>
      <c r="C829"/>
      <c r="D829"/>
      <c r="E829"/>
      <c r="F829" s="27" t="s">
        <v>7</v>
      </c>
      <c r="DY829" s="27" t="s">
        <v>8</v>
      </c>
      <c r="DZ829" s="27" t="s">
        <v>7</v>
      </c>
      <c r="EE829" s="27" t="s">
        <v>8</v>
      </c>
      <c r="EF829" s="27" t="s">
        <v>7</v>
      </c>
      <c r="EG829" s="27" t="s">
        <v>8</v>
      </c>
      <c r="EJ829" s="27" t="s">
        <v>7</v>
      </c>
      <c r="EK829" s="27" t="s">
        <v>8</v>
      </c>
      <c r="EL829" s="27" t="s">
        <v>7</v>
      </c>
      <c r="EM829" s="27" t="s">
        <v>8</v>
      </c>
      <c r="EN829" s="27" t="s">
        <v>7</v>
      </c>
      <c r="EO829" s="27" t="s">
        <v>8</v>
      </c>
      <c r="EP829" s="27" t="s">
        <v>7</v>
      </c>
      <c r="EQ829" s="27" t="s">
        <v>8</v>
      </c>
      <c r="EX829" s="27" t="s">
        <v>7</v>
      </c>
      <c r="EY829" s="27" t="s">
        <v>8</v>
      </c>
      <c r="EZ829" s="27" t="s">
        <v>7</v>
      </c>
      <c r="FA829" s="27" t="s">
        <v>8</v>
      </c>
      <c r="FB829" s="27" t="s">
        <v>7</v>
      </c>
      <c r="FC829" s="27" t="s">
        <v>8</v>
      </c>
      <c r="FD829" s="27" t="s">
        <v>7</v>
      </c>
      <c r="FE829" s="27" t="s">
        <v>8</v>
      </c>
      <c r="FF829" s="27" t="s">
        <v>7</v>
      </c>
      <c r="FY829" s="27" t="s">
        <v>8</v>
      </c>
      <c r="GA829" s="27" t="s">
        <v>8</v>
      </c>
      <c r="GB829" s="27" t="s">
        <v>7</v>
      </c>
      <c r="GE829" s="27" t="s">
        <v>8</v>
      </c>
      <c r="GF829" s="27" t="s">
        <v>7</v>
      </c>
      <c r="HA829" s="27" t="s">
        <v>8</v>
      </c>
      <c r="HB829" s="27" t="s">
        <v>7</v>
      </c>
      <c r="HE829" s="27" t="s">
        <v>8</v>
      </c>
      <c r="HF829" s="27" t="s">
        <v>7</v>
      </c>
      <c r="HG829" s="27" t="s">
        <v>8</v>
      </c>
      <c r="HH829" s="27" t="s">
        <v>7</v>
      </c>
      <c r="HI829" s="27" t="s">
        <v>8</v>
      </c>
    </row>
    <row r="830" spans="1:219" x14ac:dyDescent="0.25">
      <c r="A830" s="7">
        <v>8.1312677483572383E-3</v>
      </c>
      <c r="B830"/>
      <c r="C830"/>
      <c r="D830"/>
      <c r="E830"/>
      <c r="F830" s="27" t="s">
        <v>7</v>
      </c>
      <c r="DY830" s="27" t="s">
        <v>8</v>
      </c>
      <c r="DZ830" s="27" t="s">
        <v>7</v>
      </c>
      <c r="EE830" s="27" t="s">
        <v>8</v>
      </c>
      <c r="EF830" s="27" t="s">
        <v>7</v>
      </c>
      <c r="EJ830" s="27" t="s">
        <v>7</v>
      </c>
      <c r="EL830" s="27" t="s">
        <v>7</v>
      </c>
      <c r="EM830" s="27" t="s">
        <v>8</v>
      </c>
      <c r="EN830" s="27" t="s">
        <v>7</v>
      </c>
      <c r="EO830" s="27" t="s">
        <v>8</v>
      </c>
      <c r="EP830" s="27" t="s">
        <v>7</v>
      </c>
      <c r="EQ830" s="27" t="s">
        <v>8</v>
      </c>
      <c r="EX830" s="27" t="s">
        <v>7</v>
      </c>
      <c r="EZ830" s="27" t="s">
        <v>7</v>
      </c>
      <c r="FA830" s="27" t="s">
        <v>8</v>
      </c>
      <c r="FB830" s="27" t="s">
        <v>7</v>
      </c>
      <c r="FC830" s="27" t="s">
        <v>8</v>
      </c>
      <c r="FD830" s="27" t="s">
        <v>7</v>
      </c>
      <c r="FE830" s="27" t="s">
        <v>8</v>
      </c>
      <c r="FF830" s="27" t="s">
        <v>7</v>
      </c>
      <c r="FY830" s="27" t="s">
        <v>8</v>
      </c>
      <c r="FZ830" s="27" t="s">
        <v>7</v>
      </c>
      <c r="GA830" s="27" t="s">
        <v>8</v>
      </c>
      <c r="GB830" s="27" t="s">
        <v>7</v>
      </c>
      <c r="GC830" s="27" t="s">
        <v>8</v>
      </c>
      <c r="GE830" s="27" t="s">
        <v>8</v>
      </c>
      <c r="GF830" s="27" t="s">
        <v>7</v>
      </c>
      <c r="GG830" s="27" t="s">
        <v>8</v>
      </c>
      <c r="GI830" s="27" t="s">
        <v>8</v>
      </c>
      <c r="GQ830" s="27" t="s">
        <v>8</v>
      </c>
      <c r="HA830" s="27" t="s">
        <v>8</v>
      </c>
      <c r="HB830" s="27" t="s">
        <v>7</v>
      </c>
      <c r="HE830" s="27" t="s">
        <v>8</v>
      </c>
      <c r="HF830" s="27" t="s">
        <v>7</v>
      </c>
      <c r="HG830" s="27" t="s">
        <v>8</v>
      </c>
      <c r="HH830" s="27" t="s">
        <v>7</v>
      </c>
      <c r="HI830" s="27" t="s">
        <v>8</v>
      </c>
    </row>
    <row r="831" spans="1:219" x14ac:dyDescent="0.25">
      <c r="A831" s="7">
        <v>7.9718311258404305E-3</v>
      </c>
      <c r="B831"/>
      <c r="C831"/>
      <c r="D831"/>
      <c r="E831"/>
      <c r="F831" s="27" t="s">
        <v>7</v>
      </c>
      <c r="DY831" s="27" t="s">
        <v>8</v>
      </c>
      <c r="DZ831" s="27" t="s">
        <v>7</v>
      </c>
      <c r="EE831" s="27" t="s">
        <v>8</v>
      </c>
      <c r="EL831" s="27" t="s">
        <v>7</v>
      </c>
      <c r="EN831" s="27" t="s">
        <v>7</v>
      </c>
      <c r="EO831" s="27" t="s">
        <v>8</v>
      </c>
      <c r="EP831" s="27" t="s">
        <v>7</v>
      </c>
      <c r="EQ831" s="27" t="s">
        <v>8</v>
      </c>
      <c r="EZ831" s="27" t="s">
        <v>7</v>
      </c>
      <c r="FA831" s="27" t="s">
        <v>8</v>
      </c>
      <c r="FB831" s="27" t="s">
        <v>7</v>
      </c>
      <c r="FC831" s="27" t="s">
        <v>8</v>
      </c>
      <c r="FD831" s="27" t="s">
        <v>7</v>
      </c>
      <c r="FE831" s="27" t="s">
        <v>8</v>
      </c>
      <c r="FF831" s="27" t="s">
        <v>7</v>
      </c>
      <c r="FY831" s="27" t="s">
        <v>8</v>
      </c>
      <c r="FZ831" s="27" t="s">
        <v>7</v>
      </c>
      <c r="GA831" s="27" t="s">
        <v>8</v>
      </c>
      <c r="GB831" s="27" t="s">
        <v>7</v>
      </c>
      <c r="GC831" s="27" t="s">
        <v>8</v>
      </c>
      <c r="GD831" s="27" t="s">
        <v>7</v>
      </c>
      <c r="GE831" s="27" t="s">
        <v>8</v>
      </c>
      <c r="GF831" s="27" t="s">
        <v>7</v>
      </c>
      <c r="GG831" s="27" t="s">
        <v>8</v>
      </c>
      <c r="GH831" s="27" t="s">
        <v>7</v>
      </c>
      <c r="GI831" s="27" t="s">
        <v>8</v>
      </c>
      <c r="GJ831" s="27" t="s">
        <v>7</v>
      </c>
      <c r="GQ831" s="27" t="s">
        <v>8</v>
      </c>
      <c r="GR831" s="27" t="s">
        <v>7</v>
      </c>
      <c r="HA831" s="27" t="s">
        <v>8</v>
      </c>
      <c r="HB831" s="27" t="s">
        <v>7</v>
      </c>
      <c r="HE831" s="27" t="s">
        <v>8</v>
      </c>
      <c r="HF831" s="27" t="s">
        <v>7</v>
      </c>
      <c r="HG831" s="27" t="s">
        <v>8</v>
      </c>
      <c r="HH831" s="27" t="s">
        <v>7</v>
      </c>
      <c r="HI831" s="27" t="s">
        <v>8</v>
      </c>
    </row>
    <row r="832" spans="1:219" x14ac:dyDescent="0.25">
      <c r="A832" s="7">
        <v>7.8155207116082648E-3</v>
      </c>
      <c r="B832"/>
      <c r="C832"/>
      <c r="D832"/>
      <c r="E832"/>
      <c r="F832" s="27" t="s">
        <v>7</v>
      </c>
      <c r="DY832" s="27" t="s">
        <v>8</v>
      </c>
      <c r="DZ832" s="27" t="s">
        <v>7</v>
      </c>
      <c r="EE832" s="27" t="s">
        <v>8</v>
      </c>
      <c r="EN832" s="27" t="s">
        <v>7</v>
      </c>
      <c r="EO832" s="27" t="s">
        <v>8</v>
      </c>
      <c r="EP832" s="27" t="s">
        <v>7</v>
      </c>
      <c r="EZ832" s="27" t="s">
        <v>7</v>
      </c>
      <c r="FA832" s="27" t="s">
        <v>8</v>
      </c>
      <c r="FB832" s="27" t="s">
        <v>7</v>
      </c>
      <c r="FD832" s="27" t="s">
        <v>7</v>
      </c>
      <c r="FF832" s="27" t="s">
        <v>7</v>
      </c>
      <c r="FS832" s="27" t="s">
        <v>8</v>
      </c>
      <c r="FW832" s="27" t="s">
        <v>8</v>
      </c>
      <c r="FY832" s="27" t="s">
        <v>8</v>
      </c>
      <c r="FZ832" s="27" t="s">
        <v>7</v>
      </c>
      <c r="GA832" s="27" t="s">
        <v>8</v>
      </c>
      <c r="GB832" s="27" t="s">
        <v>7</v>
      </c>
      <c r="GC832" s="27" t="s">
        <v>8</v>
      </c>
      <c r="GD832" s="27" t="s">
        <v>7</v>
      </c>
      <c r="GE832" s="27" t="s">
        <v>8</v>
      </c>
      <c r="GF832" s="27" t="s">
        <v>7</v>
      </c>
      <c r="GG832" s="27" t="s">
        <v>8</v>
      </c>
      <c r="GH832" s="27" t="s">
        <v>7</v>
      </c>
      <c r="GI832" s="27" t="s">
        <v>8</v>
      </c>
      <c r="GJ832" s="27" t="s">
        <v>7</v>
      </c>
      <c r="GQ832" s="27" t="s">
        <v>8</v>
      </c>
      <c r="GR832" s="27" t="s">
        <v>7</v>
      </c>
      <c r="HA832" s="27" t="s">
        <v>8</v>
      </c>
      <c r="HB832" s="27" t="s">
        <v>7</v>
      </c>
      <c r="HE832" s="27" t="s">
        <v>8</v>
      </c>
      <c r="HF832" s="27" t="s">
        <v>7</v>
      </c>
      <c r="HG832" s="27" t="s">
        <v>8</v>
      </c>
      <c r="HH832" s="27" t="s">
        <v>7</v>
      </c>
      <c r="HI832" s="27" t="s">
        <v>8</v>
      </c>
    </row>
    <row r="833" spans="1:217" x14ac:dyDescent="0.25">
      <c r="A833" s="7">
        <v>7.6622752074590825E-3</v>
      </c>
      <c r="B833"/>
      <c r="C833"/>
      <c r="D833"/>
      <c r="E833"/>
      <c r="F833" s="27" t="s">
        <v>7</v>
      </c>
      <c r="DY833" s="27" t="s">
        <v>8</v>
      </c>
      <c r="DZ833" s="27" t="s">
        <v>7</v>
      </c>
      <c r="EE833" s="27" t="s">
        <v>8</v>
      </c>
      <c r="EN833" s="27" t="s">
        <v>7</v>
      </c>
      <c r="EO833" s="27" t="s">
        <v>8</v>
      </c>
      <c r="EZ833" s="27" t="s">
        <v>7</v>
      </c>
      <c r="FA833" s="27" t="s">
        <v>8</v>
      </c>
      <c r="FF833" s="27" t="s">
        <v>7</v>
      </c>
      <c r="FQ833" s="27" t="s">
        <v>8</v>
      </c>
      <c r="FS833" s="27" t="s">
        <v>8</v>
      </c>
      <c r="FT833" s="27" t="s">
        <v>7</v>
      </c>
      <c r="FU833" s="27" t="s">
        <v>8</v>
      </c>
      <c r="FW833" s="27" t="s">
        <v>8</v>
      </c>
      <c r="FX833" s="27" t="s">
        <v>7</v>
      </c>
      <c r="FY833" s="27" t="s">
        <v>8</v>
      </c>
      <c r="FZ833" s="27" t="s">
        <v>7</v>
      </c>
      <c r="GA833" s="27" t="s">
        <v>8</v>
      </c>
      <c r="GB833" s="27" t="s">
        <v>7</v>
      </c>
      <c r="GC833" s="27" t="s">
        <v>8</v>
      </c>
      <c r="GD833" s="27" t="s">
        <v>7</v>
      </c>
      <c r="GF833" s="27" t="s">
        <v>7</v>
      </c>
      <c r="GG833" s="27" t="s">
        <v>8</v>
      </c>
      <c r="GH833" s="27" t="s">
        <v>7</v>
      </c>
      <c r="GI833" s="27" t="s">
        <v>8</v>
      </c>
      <c r="GJ833" s="27" t="s">
        <v>7</v>
      </c>
      <c r="GQ833" s="27" t="s">
        <v>8</v>
      </c>
      <c r="GR833" s="27" t="s">
        <v>7</v>
      </c>
      <c r="GY833" s="27" t="s">
        <v>8</v>
      </c>
      <c r="HA833" s="27" t="s">
        <v>8</v>
      </c>
      <c r="HB833" s="27" t="s">
        <v>7</v>
      </c>
      <c r="HE833" s="27" t="s">
        <v>8</v>
      </c>
      <c r="HF833" s="27" t="s">
        <v>7</v>
      </c>
      <c r="HG833" s="27" t="s">
        <v>8</v>
      </c>
      <c r="HH833" s="27" t="s">
        <v>7</v>
      </c>
      <c r="HI833" s="27" t="s">
        <v>8</v>
      </c>
    </row>
    <row r="834" spans="1:217" x14ac:dyDescent="0.25">
      <c r="A834" s="7">
        <v>7.5120345171167469E-3</v>
      </c>
      <c r="B834"/>
      <c r="C834"/>
      <c r="D834"/>
      <c r="E834"/>
      <c r="F834" s="27" t="s">
        <v>7</v>
      </c>
      <c r="CY834" s="27" t="s">
        <v>8</v>
      </c>
      <c r="DY834" s="27" t="s">
        <v>8</v>
      </c>
      <c r="DZ834" s="27" t="s">
        <v>7</v>
      </c>
      <c r="EA834" s="27" t="s">
        <v>8</v>
      </c>
      <c r="EE834" s="27" t="s">
        <v>8</v>
      </c>
      <c r="EN834" s="27" t="s">
        <v>7</v>
      </c>
      <c r="EZ834" s="27" t="s">
        <v>7</v>
      </c>
      <c r="FA834" s="27" t="s">
        <v>8</v>
      </c>
      <c r="FF834" s="27" t="s">
        <v>7</v>
      </c>
      <c r="FQ834" s="27" t="s">
        <v>8</v>
      </c>
      <c r="FR834" s="27" t="s">
        <v>7</v>
      </c>
      <c r="FS834" s="27" t="s">
        <v>8</v>
      </c>
      <c r="FT834" s="27" t="s">
        <v>7</v>
      </c>
      <c r="FU834" s="27" t="s">
        <v>8</v>
      </c>
      <c r="FV834" s="27" t="s">
        <v>7</v>
      </c>
      <c r="FW834" s="27" t="s">
        <v>8</v>
      </c>
      <c r="FX834" s="27" t="s">
        <v>7</v>
      </c>
      <c r="FY834" s="27" t="s">
        <v>8</v>
      </c>
      <c r="FZ834" s="27" t="s">
        <v>7</v>
      </c>
      <c r="GA834" s="27" t="s">
        <v>8</v>
      </c>
      <c r="GB834" s="27" t="s">
        <v>7</v>
      </c>
      <c r="GC834" s="27" t="s">
        <v>8</v>
      </c>
      <c r="GF834" s="27" t="s">
        <v>7</v>
      </c>
      <c r="GG834" s="27" t="s">
        <v>8</v>
      </c>
      <c r="GH834" s="27" t="s">
        <v>7</v>
      </c>
      <c r="GJ834" s="27" t="s">
        <v>7</v>
      </c>
      <c r="GK834" s="27" t="s">
        <v>8</v>
      </c>
      <c r="GQ834" s="27" t="s">
        <v>8</v>
      </c>
      <c r="GR834" s="27" t="s">
        <v>7</v>
      </c>
      <c r="GY834" s="27" t="s">
        <v>8</v>
      </c>
      <c r="GZ834" s="27" t="s">
        <v>7</v>
      </c>
      <c r="HA834" s="27" t="s">
        <v>8</v>
      </c>
      <c r="HB834" s="27" t="s">
        <v>7</v>
      </c>
      <c r="HE834" s="27" t="s">
        <v>8</v>
      </c>
      <c r="HF834" s="27" t="s">
        <v>7</v>
      </c>
      <c r="HH834" s="27" t="s">
        <v>7</v>
      </c>
    </row>
    <row r="835" spans="1:217" x14ac:dyDescent="0.25">
      <c r="A835" s="7">
        <v>7.3647397226634772E-3</v>
      </c>
      <c r="B835"/>
      <c r="C835"/>
      <c r="D835"/>
      <c r="E835"/>
      <c r="F835" s="27" t="s">
        <v>7</v>
      </c>
      <c r="AQ835" s="27" t="s">
        <v>8</v>
      </c>
      <c r="CY835" s="27" t="s">
        <v>8</v>
      </c>
      <c r="CZ835" s="27" t="s">
        <v>7</v>
      </c>
      <c r="DY835" s="27" t="s">
        <v>8</v>
      </c>
      <c r="DZ835" s="27" t="s">
        <v>7</v>
      </c>
      <c r="EA835" s="27" t="s">
        <v>8</v>
      </c>
      <c r="EB835" s="27" t="s">
        <v>7</v>
      </c>
      <c r="EC835" s="27" t="s">
        <v>8</v>
      </c>
      <c r="EE835" s="27" t="s">
        <v>8</v>
      </c>
      <c r="EZ835" s="27" t="s">
        <v>7</v>
      </c>
      <c r="FF835" s="27" t="s">
        <v>7</v>
      </c>
      <c r="FG835" s="27" t="s">
        <v>8</v>
      </c>
      <c r="FI835" s="27" t="s">
        <v>8</v>
      </c>
      <c r="FK835" s="27" t="s">
        <v>8</v>
      </c>
      <c r="FQ835" s="27" t="s">
        <v>8</v>
      </c>
      <c r="FR835" s="27" t="s">
        <v>7</v>
      </c>
      <c r="FS835" s="27" t="s">
        <v>8</v>
      </c>
      <c r="FT835" s="27" t="s">
        <v>7</v>
      </c>
      <c r="FU835" s="27" t="s">
        <v>8</v>
      </c>
      <c r="FV835" s="27" t="s">
        <v>7</v>
      </c>
      <c r="FW835" s="27" t="s">
        <v>8</v>
      </c>
      <c r="FX835" s="27" t="s">
        <v>7</v>
      </c>
      <c r="FY835" s="27" t="s">
        <v>8</v>
      </c>
      <c r="FZ835" s="27" t="s">
        <v>7</v>
      </c>
      <c r="GB835" s="27" t="s">
        <v>7</v>
      </c>
      <c r="GC835" s="27" t="s">
        <v>8</v>
      </c>
      <c r="GF835" s="27" t="s">
        <v>7</v>
      </c>
      <c r="GG835" s="27" t="s">
        <v>8</v>
      </c>
      <c r="GJ835" s="27" t="s">
        <v>7</v>
      </c>
      <c r="GK835" s="27" t="s">
        <v>8</v>
      </c>
      <c r="GL835" s="27" t="s">
        <v>7</v>
      </c>
      <c r="GM835" s="27" t="s">
        <v>8</v>
      </c>
      <c r="GO835" s="27" t="s">
        <v>8</v>
      </c>
      <c r="GQ835" s="27" t="s">
        <v>8</v>
      </c>
      <c r="GR835" s="27" t="s">
        <v>7</v>
      </c>
      <c r="GY835" s="27" t="s">
        <v>8</v>
      </c>
      <c r="GZ835" s="27" t="s">
        <v>7</v>
      </c>
      <c r="HA835" s="27" t="s">
        <v>8</v>
      </c>
      <c r="HB835" s="27" t="s">
        <v>7</v>
      </c>
      <c r="HC835" s="27" t="s">
        <v>8</v>
      </c>
      <c r="HE835" s="27" t="s">
        <v>8</v>
      </c>
    </row>
    <row r="836" spans="1:217" x14ac:dyDescent="0.25">
      <c r="A836" s="7">
        <v>7.2203330614347815E-3</v>
      </c>
      <c r="B836"/>
      <c r="C836"/>
      <c r="D836"/>
      <c r="E836"/>
      <c r="F836" s="27" t="s">
        <v>7</v>
      </c>
      <c r="AQ836" s="27" t="s">
        <v>8</v>
      </c>
      <c r="AR836" s="27" t="s">
        <v>7</v>
      </c>
      <c r="CY836" s="27" t="s">
        <v>8</v>
      </c>
      <c r="CZ836" s="27" t="s">
        <v>7</v>
      </c>
      <c r="DY836" s="27" t="s">
        <v>8</v>
      </c>
      <c r="DZ836" s="27" t="s">
        <v>7</v>
      </c>
      <c r="EA836" s="27" t="s">
        <v>8</v>
      </c>
      <c r="EB836" s="27" t="s">
        <v>7</v>
      </c>
      <c r="EC836" s="27" t="s">
        <v>8</v>
      </c>
      <c r="ED836" s="27" t="s">
        <v>7</v>
      </c>
      <c r="EE836" s="27" t="s">
        <v>8</v>
      </c>
      <c r="FF836" s="27" t="s">
        <v>7</v>
      </c>
      <c r="FG836" s="27" t="s">
        <v>8</v>
      </c>
      <c r="FH836" s="27" t="s">
        <v>7</v>
      </c>
      <c r="FI836" s="27" t="s">
        <v>8</v>
      </c>
      <c r="FJ836" s="27" t="s">
        <v>7</v>
      </c>
      <c r="FK836" s="27" t="s">
        <v>8</v>
      </c>
      <c r="FL836" s="27" t="s">
        <v>7</v>
      </c>
      <c r="FM836" s="27" t="s">
        <v>8</v>
      </c>
      <c r="FQ836" s="27" t="s">
        <v>8</v>
      </c>
      <c r="FR836" s="27" t="s">
        <v>7</v>
      </c>
      <c r="FS836" s="27" t="s">
        <v>8</v>
      </c>
      <c r="FT836" s="27" t="s">
        <v>7</v>
      </c>
      <c r="FU836" s="27" t="s">
        <v>8</v>
      </c>
      <c r="FV836" s="27" t="s">
        <v>7</v>
      </c>
      <c r="FW836" s="27" t="s">
        <v>8</v>
      </c>
      <c r="FX836" s="27" t="s">
        <v>7</v>
      </c>
      <c r="FY836" s="27" t="s">
        <v>8</v>
      </c>
      <c r="GB836" s="27" t="s">
        <v>7</v>
      </c>
      <c r="GF836" s="27" t="s">
        <v>7</v>
      </c>
      <c r="GG836" s="27" t="s">
        <v>8</v>
      </c>
      <c r="GJ836" s="27" t="s">
        <v>7</v>
      </c>
      <c r="GK836" s="27" t="s">
        <v>8</v>
      </c>
      <c r="GL836" s="27" t="s">
        <v>7</v>
      </c>
      <c r="GM836" s="27" t="s">
        <v>8</v>
      </c>
      <c r="GN836" s="27" t="s">
        <v>7</v>
      </c>
      <c r="GO836" s="27" t="s">
        <v>8</v>
      </c>
      <c r="GP836" s="27" t="s">
        <v>7</v>
      </c>
      <c r="GQ836" s="27" t="s">
        <v>8</v>
      </c>
      <c r="GR836" s="27" t="s">
        <v>7</v>
      </c>
      <c r="GS836" s="27" t="s">
        <v>8</v>
      </c>
      <c r="GY836" s="27" t="s">
        <v>8</v>
      </c>
      <c r="GZ836" s="27" t="s">
        <v>7</v>
      </c>
      <c r="HA836" s="27" t="s">
        <v>8</v>
      </c>
      <c r="HB836" s="27" t="s">
        <v>7</v>
      </c>
      <c r="HC836" s="27" t="s">
        <v>8</v>
      </c>
      <c r="HD836" s="27" t="s">
        <v>7</v>
      </c>
      <c r="HE836" s="27" t="s">
        <v>8</v>
      </c>
    </row>
    <row r="837" spans="1:217" x14ac:dyDescent="0.25">
      <c r="A837" s="7">
        <v>7.0787579033674327E-3</v>
      </c>
      <c r="B837"/>
      <c r="C837"/>
      <c r="D837"/>
      <c r="E837"/>
      <c r="F837" s="27" t="s">
        <v>7</v>
      </c>
      <c r="AQ837" s="27" t="s">
        <v>8</v>
      </c>
      <c r="AR837" s="27" t="s">
        <v>7</v>
      </c>
      <c r="CY837" s="27" t="s">
        <v>8</v>
      </c>
      <c r="CZ837" s="27" t="s">
        <v>7</v>
      </c>
      <c r="DS837" s="27" t="s">
        <v>8</v>
      </c>
      <c r="DY837" s="27" t="s">
        <v>8</v>
      </c>
      <c r="DZ837" s="27" t="s">
        <v>7</v>
      </c>
      <c r="EA837" s="27" t="s">
        <v>8</v>
      </c>
      <c r="EB837" s="27" t="s">
        <v>7</v>
      </c>
      <c r="EC837" s="27" t="s">
        <v>8</v>
      </c>
      <c r="ED837" s="27" t="s">
        <v>7</v>
      </c>
      <c r="EE837" s="27" t="s">
        <v>8</v>
      </c>
      <c r="FF837" s="27" t="s">
        <v>7</v>
      </c>
      <c r="FG837" s="27" t="s">
        <v>8</v>
      </c>
      <c r="FH837" s="27" t="s">
        <v>7</v>
      </c>
      <c r="FI837" s="27" t="s">
        <v>8</v>
      </c>
      <c r="FJ837" s="27" t="s">
        <v>7</v>
      </c>
      <c r="FK837" s="27" t="s">
        <v>8</v>
      </c>
      <c r="FL837" s="27" t="s">
        <v>7</v>
      </c>
      <c r="FM837" s="27" t="s">
        <v>8</v>
      </c>
      <c r="FN837" s="27" t="s">
        <v>7</v>
      </c>
      <c r="FQ837" s="27" t="s">
        <v>8</v>
      </c>
      <c r="FR837" s="27" t="s">
        <v>7</v>
      </c>
      <c r="FS837" s="27" t="s">
        <v>8</v>
      </c>
      <c r="FT837" s="27" t="s">
        <v>7</v>
      </c>
      <c r="FU837" s="27" t="s">
        <v>8</v>
      </c>
      <c r="FV837" s="27" t="s">
        <v>7</v>
      </c>
      <c r="FW837" s="27" t="s">
        <v>8</v>
      </c>
      <c r="FX837" s="27" t="s">
        <v>7</v>
      </c>
      <c r="FY837" s="27" t="s">
        <v>8</v>
      </c>
      <c r="GF837" s="27" t="s">
        <v>7</v>
      </c>
      <c r="GG837" s="27" t="s">
        <v>8</v>
      </c>
      <c r="GJ837" s="27" t="s">
        <v>7</v>
      </c>
      <c r="GL837" s="27" t="s">
        <v>7</v>
      </c>
      <c r="GM837" s="27" t="s">
        <v>8</v>
      </c>
      <c r="GN837" s="27" t="s">
        <v>7</v>
      </c>
      <c r="GO837" s="27" t="s">
        <v>8</v>
      </c>
      <c r="GP837" s="27" t="s">
        <v>7</v>
      </c>
      <c r="GQ837" s="27" t="s">
        <v>8</v>
      </c>
      <c r="GR837" s="27" t="s">
        <v>7</v>
      </c>
      <c r="GS837" s="27" t="s">
        <v>8</v>
      </c>
      <c r="GT837" s="27" t="s">
        <v>7</v>
      </c>
      <c r="GU837" s="27" t="s">
        <v>8</v>
      </c>
      <c r="GY837" s="27" t="s">
        <v>8</v>
      </c>
      <c r="GZ837" s="27" t="s">
        <v>7</v>
      </c>
      <c r="HA837" s="27" t="s">
        <v>8</v>
      </c>
      <c r="HB837" s="27" t="s">
        <v>7</v>
      </c>
      <c r="HC837" s="27" t="s">
        <v>8</v>
      </c>
      <c r="HD837" s="27" t="s">
        <v>7</v>
      </c>
      <c r="HE837" s="27" t="s">
        <v>8</v>
      </c>
    </row>
    <row r="838" spans="1:217" x14ac:dyDescent="0.25">
      <c r="A838" s="7">
        <v>6.9399587287916013E-3</v>
      </c>
      <c r="B838"/>
      <c r="C838"/>
      <c r="D838"/>
      <c r="E838"/>
      <c r="F838" s="27" t="s">
        <v>7</v>
      </c>
      <c r="AQ838" s="27" t="s">
        <v>8</v>
      </c>
      <c r="AR838" s="27" t="s">
        <v>7</v>
      </c>
      <c r="CY838" s="27" t="s">
        <v>8</v>
      </c>
      <c r="CZ838" s="27" t="s">
        <v>7</v>
      </c>
      <c r="DS838" s="27" t="s">
        <v>8</v>
      </c>
      <c r="DT838" s="27" t="s">
        <v>7</v>
      </c>
      <c r="DY838" s="27" t="s">
        <v>8</v>
      </c>
      <c r="DZ838" s="27" t="s">
        <v>7</v>
      </c>
      <c r="EA838" s="27" t="s">
        <v>8</v>
      </c>
      <c r="EB838" s="27" t="s">
        <v>7</v>
      </c>
      <c r="ED838" s="27" t="s">
        <v>7</v>
      </c>
      <c r="EE838" s="27" t="s">
        <v>8</v>
      </c>
      <c r="FF838" s="27" t="s">
        <v>7</v>
      </c>
      <c r="FG838" s="27" t="s">
        <v>8</v>
      </c>
      <c r="FH838" s="27" t="s">
        <v>7</v>
      </c>
      <c r="FI838" s="27" t="s">
        <v>8</v>
      </c>
      <c r="FJ838" s="27" t="s">
        <v>7</v>
      </c>
      <c r="FK838" s="27" t="s">
        <v>8</v>
      </c>
      <c r="FL838" s="27" t="s">
        <v>7</v>
      </c>
      <c r="FM838" s="27" t="s">
        <v>8</v>
      </c>
      <c r="FN838" s="27" t="s">
        <v>7</v>
      </c>
      <c r="FO838" s="27" t="s">
        <v>8</v>
      </c>
      <c r="FQ838" s="27" t="s">
        <v>8</v>
      </c>
      <c r="FR838" s="27" t="s">
        <v>7</v>
      </c>
      <c r="FS838" s="27" t="s">
        <v>8</v>
      </c>
      <c r="FT838" s="27" t="s">
        <v>7</v>
      </c>
      <c r="FU838" s="27" t="s">
        <v>8</v>
      </c>
      <c r="FV838" s="27" t="s">
        <v>7</v>
      </c>
      <c r="FX838" s="27" t="s">
        <v>7</v>
      </c>
      <c r="GF838" s="27" t="s">
        <v>7</v>
      </c>
      <c r="GL838" s="27" t="s">
        <v>7</v>
      </c>
      <c r="GM838" s="27" t="s">
        <v>8</v>
      </c>
      <c r="GN838" s="27" t="s">
        <v>7</v>
      </c>
      <c r="GO838" s="27" t="s">
        <v>8</v>
      </c>
      <c r="GP838" s="27" t="s">
        <v>7</v>
      </c>
      <c r="GQ838" s="27" t="s">
        <v>8</v>
      </c>
      <c r="GR838" s="27" t="s">
        <v>7</v>
      </c>
      <c r="GS838" s="27" t="s">
        <v>8</v>
      </c>
      <c r="GT838" s="27" t="s">
        <v>7</v>
      </c>
      <c r="GU838" s="27" t="s">
        <v>8</v>
      </c>
      <c r="GV838" s="27" t="s">
        <v>7</v>
      </c>
      <c r="GY838" s="27" t="s">
        <v>8</v>
      </c>
      <c r="GZ838" s="27" t="s">
        <v>7</v>
      </c>
      <c r="HA838" s="27" t="s">
        <v>8</v>
      </c>
      <c r="HB838" s="27" t="s">
        <v>7</v>
      </c>
      <c r="HC838" s="27" t="s">
        <v>8</v>
      </c>
      <c r="HD838" s="27" t="s">
        <v>7</v>
      </c>
      <c r="HE838" s="27" t="s">
        <v>8</v>
      </c>
    </row>
    <row r="839" spans="1:217" x14ac:dyDescent="0.25">
      <c r="A839" s="7">
        <v>6.8038811066584333E-3</v>
      </c>
      <c r="B839"/>
      <c r="C839"/>
      <c r="D839"/>
      <c r="E839"/>
      <c r="F839" s="27" t="s">
        <v>7</v>
      </c>
      <c r="AQ839" s="27" t="s">
        <v>8</v>
      </c>
      <c r="AR839" s="27" t="s">
        <v>7</v>
      </c>
      <c r="CY839" s="27" t="s">
        <v>8</v>
      </c>
      <c r="CZ839" s="27" t="s">
        <v>7</v>
      </c>
      <c r="DS839" s="27" t="s">
        <v>8</v>
      </c>
      <c r="DT839" s="27" t="s">
        <v>7</v>
      </c>
      <c r="DY839" s="27" t="s">
        <v>8</v>
      </c>
      <c r="DZ839" s="27" t="s">
        <v>7</v>
      </c>
      <c r="EA839" s="27" t="s">
        <v>8</v>
      </c>
      <c r="ED839" s="27" t="s">
        <v>7</v>
      </c>
      <c r="EE839" s="27" t="s">
        <v>8</v>
      </c>
      <c r="FF839" s="27" t="s">
        <v>7</v>
      </c>
      <c r="FH839" s="27" t="s">
        <v>7</v>
      </c>
      <c r="FI839" s="27" t="s">
        <v>8</v>
      </c>
      <c r="FJ839" s="27" t="s">
        <v>7</v>
      </c>
      <c r="FK839" s="27" t="s">
        <v>8</v>
      </c>
      <c r="FL839" s="27" t="s">
        <v>7</v>
      </c>
      <c r="FN839" s="27" t="s">
        <v>7</v>
      </c>
      <c r="FO839" s="27" t="s">
        <v>8</v>
      </c>
      <c r="FP839" s="27" t="s">
        <v>7</v>
      </c>
      <c r="FQ839" s="27" t="s">
        <v>8</v>
      </c>
      <c r="FR839" s="27" t="s">
        <v>7</v>
      </c>
      <c r="FT839" s="27" t="s">
        <v>7</v>
      </c>
      <c r="FU839" s="27" t="s">
        <v>8</v>
      </c>
      <c r="GL839" s="27" t="s">
        <v>7</v>
      </c>
      <c r="GM839" s="27" t="s">
        <v>8</v>
      </c>
      <c r="GN839" s="27" t="s">
        <v>7</v>
      </c>
      <c r="GO839" s="27" t="s">
        <v>8</v>
      </c>
      <c r="GP839" s="27" t="s">
        <v>7</v>
      </c>
      <c r="GR839" s="27" t="s">
        <v>7</v>
      </c>
      <c r="GT839" s="27" t="s">
        <v>7</v>
      </c>
      <c r="GU839" s="27" t="s">
        <v>8</v>
      </c>
      <c r="GV839" s="27" t="s">
        <v>7</v>
      </c>
      <c r="GW839" s="27" t="s">
        <v>8</v>
      </c>
      <c r="GY839" s="27" t="s">
        <v>8</v>
      </c>
      <c r="GZ839" s="27" t="s">
        <v>7</v>
      </c>
      <c r="HA839" s="27" t="s">
        <v>8</v>
      </c>
      <c r="HB839" s="27" t="s">
        <v>7</v>
      </c>
      <c r="HC839" s="27" t="s">
        <v>8</v>
      </c>
      <c r="HD839" s="27" t="s">
        <v>7</v>
      </c>
      <c r="HE839" s="27" t="s">
        <v>8</v>
      </c>
    </row>
    <row r="840" spans="1:217" x14ac:dyDescent="0.25">
      <c r="A840" s="7">
        <v>6.6704716731945425E-3</v>
      </c>
      <c r="B840"/>
      <c r="C840"/>
      <c r="D840"/>
      <c r="E840"/>
      <c r="F840" s="27" t="s">
        <v>7</v>
      </c>
      <c r="AQ840" s="27" t="s">
        <v>8</v>
      </c>
      <c r="AR840" s="27" t="s">
        <v>7</v>
      </c>
      <c r="CY840" s="27" t="s">
        <v>8</v>
      </c>
      <c r="CZ840" s="27" t="s">
        <v>7</v>
      </c>
      <c r="DS840" s="27" t="s">
        <v>8</v>
      </c>
      <c r="DT840" s="27" t="s">
        <v>7</v>
      </c>
      <c r="DU840" s="27" t="s">
        <v>8</v>
      </c>
      <c r="DW840" s="27" t="s">
        <v>8</v>
      </c>
      <c r="DY840" s="27" t="s">
        <v>8</v>
      </c>
      <c r="DZ840" s="27" t="s">
        <v>7</v>
      </c>
      <c r="EA840" s="27" t="s">
        <v>8</v>
      </c>
      <c r="ED840" s="27" t="s">
        <v>7</v>
      </c>
      <c r="EE840" s="27" t="s">
        <v>8</v>
      </c>
      <c r="FH840" s="27" t="s">
        <v>7</v>
      </c>
      <c r="FJ840" s="27" t="s">
        <v>7</v>
      </c>
      <c r="FK840" s="27" t="s">
        <v>8</v>
      </c>
      <c r="FN840" s="27" t="s">
        <v>7</v>
      </c>
      <c r="FO840" s="27" t="s">
        <v>8</v>
      </c>
      <c r="FP840" s="27" t="s">
        <v>7</v>
      </c>
      <c r="FQ840" s="27" t="s">
        <v>8</v>
      </c>
      <c r="FT840" s="27" t="s">
        <v>7</v>
      </c>
      <c r="FU840" s="27" t="s">
        <v>8</v>
      </c>
      <c r="GL840" s="27" t="s">
        <v>7</v>
      </c>
      <c r="GM840" s="27" t="s">
        <v>8</v>
      </c>
      <c r="GN840" s="27" t="s">
        <v>7</v>
      </c>
      <c r="GO840" s="27" t="s">
        <v>8</v>
      </c>
      <c r="GT840" s="27" t="s">
        <v>7</v>
      </c>
      <c r="GU840" s="27" t="s">
        <v>8</v>
      </c>
      <c r="GV840" s="27" t="s">
        <v>7</v>
      </c>
      <c r="GW840" s="27" t="s">
        <v>8</v>
      </c>
      <c r="GX840" s="27" t="s">
        <v>7</v>
      </c>
      <c r="GY840" s="27" t="s">
        <v>8</v>
      </c>
      <c r="GZ840" s="27" t="s">
        <v>7</v>
      </c>
      <c r="HB840" s="27" t="s">
        <v>7</v>
      </c>
      <c r="HC840" s="27" t="s">
        <v>8</v>
      </c>
      <c r="HD840" s="27" t="s">
        <v>7</v>
      </c>
    </row>
    <row r="841" spans="1:217" x14ac:dyDescent="0.25">
      <c r="A841" s="7">
        <v>6.5396781109750427E-3</v>
      </c>
      <c r="B841"/>
      <c r="C841"/>
      <c r="D841"/>
      <c r="E841"/>
      <c r="F841" s="27" t="s">
        <v>7</v>
      </c>
      <c r="AQ841" s="27" t="s">
        <v>8</v>
      </c>
      <c r="AR841" s="27" t="s">
        <v>7</v>
      </c>
      <c r="CY841" s="27" t="s">
        <v>8</v>
      </c>
      <c r="CZ841" s="27" t="s">
        <v>7</v>
      </c>
      <c r="DA841" s="27" t="s">
        <v>8</v>
      </c>
      <c r="DS841" s="27" t="s">
        <v>8</v>
      </c>
      <c r="DT841" s="27" t="s">
        <v>7</v>
      </c>
      <c r="DU841" s="27" t="s">
        <v>8</v>
      </c>
      <c r="DV841" s="27" t="s">
        <v>7</v>
      </c>
      <c r="DW841" s="27" t="s">
        <v>8</v>
      </c>
      <c r="DX841" s="27" t="s">
        <v>7</v>
      </c>
      <c r="DY841" s="27" t="s">
        <v>8</v>
      </c>
      <c r="DZ841" s="27" t="s">
        <v>7</v>
      </c>
      <c r="EA841" s="27" t="s">
        <v>8</v>
      </c>
      <c r="ED841" s="27" t="s">
        <v>7</v>
      </c>
      <c r="FJ841" s="27" t="s">
        <v>7</v>
      </c>
      <c r="FN841" s="27" t="s">
        <v>7</v>
      </c>
      <c r="FO841" s="27" t="s">
        <v>8</v>
      </c>
      <c r="FP841" s="27" t="s">
        <v>7</v>
      </c>
      <c r="FQ841" s="27" t="s">
        <v>8</v>
      </c>
      <c r="FT841" s="27" t="s">
        <v>7</v>
      </c>
      <c r="FU841" s="27" t="s">
        <v>8</v>
      </c>
      <c r="GL841" s="27" t="s">
        <v>7</v>
      </c>
      <c r="GN841" s="27" t="s">
        <v>7</v>
      </c>
      <c r="GO841" s="27" t="s">
        <v>8</v>
      </c>
      <c r="GT841" s="27" t="s">
        <v>7</v>
      </c>
      <c r="GU841" s="27" t="s">
        <v>8</v>
      </c>
      <c r="GV841" s="27" t="s">
        <v>7</v>
      </c>
      <c r="GW841" s="27" t="s">
        <v>8</v>
      </c>
      <c r="GX841" s="27" t="s">
        <v>7</v>
      </c>
      <c r="GY841" s="27" t="s">
        <v>8</v>
      </c>
      <c r="HB841" s="27" t="s">
        <v>7</v>
      </c>
      <c r="HC841" s="27" t="s">
        <v>8</v>
      </c>
    </row>
    <row r="842" spans="1:217" x14ac:dyDescent="0.25">
      <c r="A842" s="7">
        <v>6.4114491284069045E-3</v>
      </c>
      <c r="B842"/>
      <c r="C842"/>
      <c r="D842"/>
      <c r="E842"/>
      <c r="F842" s="27" t="s">
        <v>7</v>
      </c>
      <c r="AQ842" s="27" t="s">
        <v>8</v>
      </c>
      <c r="AR842" s="27" t="s">
        <v>7</v>
      </c>
      <c r="AS842" s="27" t="s">
        <v>8</v>
      </c>
      <c r="CY842" s="27" t="s">
        <v>8</v>
      </c>
      <c r="CZ842" s="27" t="s">
        <v>7</v>
      </c>
      <c r="DA842" s="27" t="s">
        <v>8</v>
      </c>
      <c r="DB842" s="27" t="s">
        <v>7</v>
      </c>
      <c r="DS842" s="27" t="s">
        <v>8</v>
      </c>
      <c r="DT842" s="27" t="s">
        <v>7</v>
      </c>
      <c r="DU842" s="27" t="s">
        <v>8</v>
      </c>
      <c r="DV842" s="27" t="s">
        <v>7</v>
      </c>
      <c r="DW842" s="27" t="s">
        <v>8</v>
      </c>
      <c r="DX842" s="27" t="s">
        <v>7</v>
      </c>
      <c r="DY842" s="27" t="s">
        <v>8</v>
      </c>
      <c r="DZ842" s="27" t="s">
        <v>7</v>
      </c>
      <c r="FN842" s="27" t="s">
        <v>7</v>
      </c>
      <c r="FO842" s="27" t="s">
        <v>8</v>
      </c>
      <c r="FP842" s="27" t="s">
        <v>7</v>
      </c>
      <c r="FQ842" s="27" t="s">
        <v>8</v>
      </c>
      <c r="FT842" s="27" t="s">
        <v>7</v>
      </c>
      <c r="GN842" s="27" t="s">
        <v>7</v>
      </c>
      <c r="GT842" s="27" t="s">
        <v>7</v>
      </c>
      <c r="GU842" s="27" t="s">
        <v>8</v>
      </c>
      <c r="GV842" s="27" t="s">
        <v>7</v>
      </c>
      <c r="GW842" s="27" t="s">
        <v>8</v>
      </c>
      <c r="GX842" s="27" t="s">
        <v>7</v>
      </c>
      <c r="GY842" s="27" t="s">
        <v>8</v>
      </c>
      <c r="HB842" s="27" t="s">
        <v>7</v>
      </c>
      <c r="HC842" s="27" t="s">
        <v>8</v>
      </c>
    </row>
    <row r="843" spans="1:217" x14ac:dyDescent="0.25">
      <c r="A843" s="7">
        <v>6.2857344396146115E-3</v>
      </c>
      <c r="B843"/>
      <c r="C843"/>
      <c r="D843"/>
      <c r="E843"/>
      <c r="F843" s="27" t="s">
        <v>7</v>
      </c>
      <c r="AQ843" s="27" t="s">
        <v>8</v>
      </c>
      <c r="AR843" s="27" t="s">
        <v>7</v>
      </c>
      <c r="AS843" s="27" t="s">
        <v>8</v>
      </c>
      <c r="AT843" s="27" t="s">
        <v>7</v>
      </c>
      <c r="CY843" s="27" t="s">
        <v>8</v>
      </c>
      <c r="CZ843" s="27" t="s">
        <v>7</v>
      </c>
      <c r="DA843" s="27" t="s">
        <v>8</v>
      </c>
      <c r="DB843" s="27" t="s">
        <v>7</v>
      </c>
      <c r="DS843" s="27" t="s">
        <v>8</v>
      </c>
      <c r="DT843" s="27" t="s">
        <v>7</v>
      </c>
      <c r="DV843" s="27" t="s">
        <v>7</v>
      </c>
      <c r="DW843" s="27" t="s">
        <v>8</v>
      </c>
      <c r="DX843" s="27" t="s">
        <v>7</v>
      </c>
      <c r="FN843" s="27" t="s">
        <v>7</v>
      </c>
      <c r="FO843" s="27" t="s">
        <v>8</v>
      </c>
      <c r="FP843" s="27" t="s">
        <v>7</v>
      </c>
      <c r="FQ843" s="27" t="s">
        <v>8</v>
      </c>
      <c r="GT843" s="27" t="s">
        <v>7</v>
      </c>
      <c r="GU843" s="27" t="s">
        <v>8</v>
      </c>
      <c r="GV843" s="27" t="s">
        <v>7</v>
      </c>
      <c r="GW843" s="27" t="s">
        <v>8</v>
      </c>
      <c r="GX843" s="27" t="s">
        <v>7</v>
      </c>
      <c r="GY843" s="27" t="s">
        <v>8</v>
      </c>
      <c r="HB843" s="27" t="s">
        <v>7</v>
      </c>
    </row>
    <row r="844" spans="1:217" x14ac:dyDescent="0.25">
      <c r="A844" s="7">
        <v>6.1624847447202076E-3</v>
      </c>
      <c r="B844"/>
      <c r="C844"/>
      <c r="D844"/>
      <c r="E844"/>
      <c r="F844" s="27" t="s">
        <v>7</v>
      </c>
      <c r="AQ844" s="27" t="s">
        <v>8</v>
      </c>
      <c r="AR844" s="27" t="s">
        <v>7</v>
      </c>
      <c r="AS844" s="27" t="s">
        <v>8</v>
      </c>
      <c r="AT844" s="27" t="s">
        <v>7</v>
      </c>
      <c r="CY844" s="27" t="s">
        <v>8</v>
      </c>
      <c r="CZ844" s="27" t="s">
        <v>7</v>
      </c>
      <c r="DA844" s="27" t="s">
        <v>8</v>
      </c>
      <c r="DB844" s="27" t="s">
        <v>7</v>
      </c>
      <c r="DQ844" s="27" t="s">
        <v>8</v>
      </c>
      <c r="DS844" s="27" t="s">
        <v>8</v>
      </c>
      <c r="DV844" s="27" t="s">
        <v>7</v>
      </c>
      <c r="DW844" s="27" t="s">
        <v>8</v>
      </c>
      <c r="FN844" s="27" t="s">
        <v>7</v>
      </c>
      <c r="FO844" s="27" t="s">
        <v>8</v>
      </c>
      <c r="FP844" s="27" t="s">
        <v>7</v>
      </c>
      <c r="FQ844" s="27" t="s">
        <v>8</v>
      </c>
      <c r="GT844" s="27" t="s">
        <v>7</v>
      </c>
      <c r="GU844" s="27" t="s">
        <v>8</v>
      </c>
      <c r="GV844" s="27" t="s">
        <v>7</v>
      </c>
      <c r="GX844" s="27" t="s">
        <v>7</v>
      </c>
      <c r="GY844" s="27" t="s">
        <v>8</v>
      </c>
    </row>
    <row r="845" spans="1:217" x14ac:dyDescent="0.25">
      <c r="A845" s="7">
        <v>6.0416517105100079E-3</v>
      </c>
      <c r="B845"/>
      <c r="C845"/>
      <c r="D845"/>
      <c r="E845"/>
      <c r="F845" s="27" t="s">
        <v>7</v>
      </c>
      <c r="AQ845" s="27" t="s">
        <v>8</v>
      </c>
      <c r="AR845" s="27" t="s">
        <v>7</v>
      </c>
      <c r="AS845" s="27" t="s">
        <v>8</v>
      </c>
      <c r="AT845" s="27" t="s">
        <v>7</v>
      </c>
      <c r="CY845" s="27" t="s">
        <v>8</v>
      </c>
      <c r="CZ845" s="27" t="s">
        <v>7</v>
      </c>
      <c r="DA845" s="27" t="s">
        <v>8</v>
      </c>
      <c r="DB845" s="27" t="s">
        <v>7</v>
      </c>
      <c r="DQ845" s="27" t="s">
        <v>8</v>
      </c>
      <c r="DR845" s="27" t="s">
        <v>7</v>
      </c>
      <c r="DS845" s="27" t="s">
        <v>8</v>
      </c>
      <c r="DV845" s="27" t="s">
        <v>7</v>
      </c>
      <c r="DW845" s="27" t="s">
        <v>8</v>
      </c>
      <c r="FN845" s="27" t="s">
        <v>7</v>
      </c>
      <c r="FO845" s="27" t="s">
        <v>8</v>
      </c>
      <c r="FP845" s="27" t="s">
        <v>7</v>
      </c>
      <c r="FQ845" s="27" t="s">
        <v>8</v>
      </c>
      <c r="GT845" s="27" t="s">
        <v>7</v>
      </c>
      <c r="GU845" s="27" t="s">
        <v>8</v>
      </c>
      <c r="GX845" s="27" t="s">
        <v>7</v>
      </c>
    </row>
    <row r="846" spans="1:217" x14ac:dyDescent="0.25">
      <c r="A846" s="7">
        <v>5.9231879514803996E-3</v>
      </c>
      <c r="B846"/>
      <c r="C846"/>
      <c r="D846"/>
      <c r="E846"/>
      <c r="F846" s="27" t="s">
        <v>7</v>
      </c>
      <c r="AQ846" s="27" t="s">
        <v>8</v>
      </c>
      <c r="AR846" s="27" t="s">
        <v>7</v>
      </c>
      <c r="AT846" s="27" t="s">
        <v>7</v>
      </c>
      <c r="AU846" s="27" t="s">
        <v>8</v>
      </c>
      <c r="CY846" s="27" t="s">
        <v>8</v>
      </c>
      <c r="CZ846" s="27" t="s">
        <v>7</v>
      </c>
      <c r="DA846" s="27" t="s">
        <v>8</v>
      </c>
      <c r="DB846" s="27" t="s">
        <v>7</v>
      </c>
      <c r="DO846" s="27" t="s">
        <v>8</v>
      </c>
      <c r="DQ846" s="27" t="s">
        <v>8</v>
      </c>
      <c r="DR846" s="27" t="s">
        <v>7</v>
      </c>
      <c r="DS846" s="27" t="s">
        <v>8</v>
      </c>
      <c r="DV846" s="27" t="s">
        <v>7</v>
      </c>
      <c r="FN846" s="27" t="s">
        <v>7</v>
      </c>
      <c r="FO846" s="27" t="s">
        <v>8</v>
      </c>
      <c r="FP846" s="27" t="s">
        <v>7</v>
      </c>
      <c r="FQ846" s="27" t="s">
        <v>8</v>
      </c>
      <c r="GT846" s="27" t="s">
        <v>7</v>
      </c>
      <c r="GU846" s="27" t="s">
        <v>8</v>
      </c>
    </row>
    <row r="847" spans="1:217" x14ac:dyDescent="0.25">
      <c r="A847" s="7">
        <v>5.8070470112552936E-3</v>
      </c>
      <c r="B847"/>
      <c r="C847"/>
      <c r="D847"/>
      <c r="E847"/>
      <c r="F847" s="27" t="s">
        <v>7</v>
      </c>
      <c r="AQ847" s="27" t="s">
        <v>8</v>
      </c>
      <c r="AT847" s="27" t="s">
        <v>7</v>
      </c>
      <c r="AU847" s="27" t="s">
        <v>8</v>
      </c>
      <c r="AV847" s="27" t="s">
        <v>7</v>
      </c>
      <c r="CY847" s="27" t="s">
        <v>8</v>
      </c>
      <c r="CZ847" s="27" t="s">
        <v>7</v>
      </c>
      <c r="DA847" s="27" t="s">
        <v>8</v>
      </c>
      <c r="DB847" s="27" t="s">
        <v>7</v>
      </c>
      <c r="DE847" s="27" t="s">
        <v>8</v>
      </c>
      <c r="DO847" s="27" t="s">
        <v>8</v>
      </c>
      <c r="DP847" s="27" t="s">
        <v>7</v>
      </c>
      <c r="DQ847" s="27" t="s">
        <v>8</v>
      </c>
      <c r="DR847" s="27" t="s">
        <v>7</v>
      </c>
      <c r="DS847" s="27" t="s">
        <v>8</v>
      </c>
      <c r="FN847" s="27" t="s">
        <v>7</v>
      </c>
      <c r="FO847" s="27" t="s">
        <v>8</v>
      </c>
      <c r="FP847" s="27" t="s">
        <v>7</v>
      </c>
      <c r="GT847" s="27" t="s">
        <v>7</v>
      </c>
    </row>
    <row r="848" spans="1:217" x14ac:dyDescent="0.25">
      <c r="A848" s="7">
        <v>5.6931833443679353E-3</v>
      </c>
      <c r="B848"/>
      <c r="C848"/>
      <c r="D848"/>
      <c r="E848"/>
      <c r="F848" s="27" t="s">
        <v>7</v>
      </c>
      <c r="AO848" s="27" t="s">
        <v>8</v>
      </c>
      <c r="AQ848" s="27" t="s">
        <v>8</v>
      </c>
      <c r="AT848" s="27" t="s">
        <v>7</v>
      </c>
      <c r="AU848" s="27" t="s">
        <v>8</v>
      </c>
      <c r="AV848" s="27" t="s">
        <v>7</v>
      </c>
      <c r="CY848" s="27" t="s">
        <v>8</v>
      </c>
      <c r="CZ848" s="27" t="s">
        <v>7</v>
      </c>
      <c r="DA848" s="27" t="s">
        <v>8</v>
      </c>
      <c r="DB848" s="27" t="s">
        <v>7</v>
      </c>
      <c r="DE848" s="27" t="s">
        <v>8</v>
      </c>
      <c r="DF848" s="27" t="s">
        <v>7</v>
      </c>
      <c r="DI848" s="27" t="s">
        <v>8</v>
      </c>
      <c r="DO848" s="27" t="s">
        <v>8</v>
      </c>
      <c r="DP848" s="27" t="s">
        <v>7</v>
      </c>
      <c r="DQ848" s="27" t="s">
        <v>8</v>
      </c>
      <c r="DR848" s="27" t="s">
        <v>7</v>
      </c>
      <c r="DS848" s="27" t="s">
        <v>8</v>
      </c>
      <c r="FN848" s="27" t="s">
        <v>7</v>
      </c>
      <c r="FO848" s="27" t="s">
        <v>8</v>
      </c>
    </row>
    <row r="849" spans="1:170" x14ac:dyDescent="0.25">
      <c r="A849" s="7">
        <v>5.5815522983999367E-3</v>
      </c>
      <c r="B849"/>
      <c r="C849"/>
      <c r="D849"/>
      <c r="E849"/>
      <c r="F849" s="27" t="s">
        <v>7</v>
      </c>
      <c r="AO849" s="27" t="s">
        <v>8</v>
      </c>
      <c r="AP849" s="27" t="s">
        <v>7</v>
      </c>
      <c r="AQ849" s="27" t="s">
        <v>8</v>
      </c>
      <c r="AT849" s="27" t="s">
        <v>7</v>
      </c>
      <c r="AU849" s="27" t="s">
        <v>8</v>
      </c>
      <c r="AV849" s="27" t="s">
        <v>7</v>
      </c>
      <c r="CY849" s="27" t="s">
        <v>8</v>
      </c>
      <c r="CZ849" s="27" t="s">
        <v>7</v>
      </c>
      <c r="DA849" s="27" t="s">
        <v>8</v>
      </c>
      <c r="DB849" s="27" t="s">
        <v>7</v>
      </c>
      <c r="DE849" s="27" t="s">
        <v>8</v>
      </c>
      <c r="DF849" s="27" t="s">
        <v>7</v>
      </c>
      <c r="DI849" s="27" t="s">
        <v>8</v>
      </c>
      <c r="DJ849" s="27" t="s">
        <v>7</v>
      </c>
      <c r="DK849" s="27" t="s">
        <v>8</v>
      </c>
      <c r="DO849" s="27" t="s">
        <v>8</v>
      </c>
      <c r="DP849" s="27" t="s">
        <v>7</v>
      </c>
      <c r="DQ849" s="27" t="s">
        <v>8</v>
      </c>
      <c r="DR849" s="27" t="s">
        <v>7</v>
      </c>
      <c r="FN849" s="27" t="s">
        <v>7</v>
      </c>
    </row>
    <row r="850" spans="1:170" x14ac:dyDescent="0.25">
      <c r="A850" s="7">
        <v>5.4721100964705257E-3</v>
      </c>
      <c r="B850"/>
      <c r="C850"/>
      <c r="D850"/>
      <c r="E850"/>
      <c r="F850" s="27" t="s">
        <v>7</v>
      </c>
      <c r="AO850" s="27" t="s">
        <v>8</v>
      </c>
      <c r="AP850" s="27" t="s">
        <v>7</v>
      </c>
      <c r="AQ850" s="27" t="s">
        <v>8</v>
      </c>
      <c r="AT850" s="27" t="s">
        <v>7</v>
      </c>
      <c r="AU850" s="27" t="s">
        <v>8</v>
      </c>
      <c r="AV850" s="27" t="s">
        <v>7</v>
      </c>
      <c r="CY850" s="27" t="s">
        <v>8</v>
      </c>
      <c r="CZ850" s="27" t="s">
        <v>7</v>
      </c>
      <c r="DA850" s="27" t="s">
        <v>8</v>
      </c>
      <c r="DB850" s="27" t="s">
        <v>7</v>
      </c>
      <c r="DE850" s="27" t="s">
        <v>8</v>
      </c>
      <c r="DF850" s="27" t="s">
        <v>7</v>
      </c>
      <c r="DI850" s="27" t="s">
        <v>8</v>
      </c>
      <c r="DJ850" s="27" t="s">
        <v>7</v>
      </c>
      <c r="DK850" s="27" t="s">
        <v>8</v>
      </c>
      <c r="DL850" s="27" t="s">
        <v>7</v>
      </c>
      <c r="DO850" s="27" t="s">
        <v>8</v>
      </c>
      <c r="DP850" s="27" t="s">
        <v>7</v>
      </c>
      <c r="DQ850" s="27" t="s">
        <v>8</v>
      </c>
    </row>
    <row r="851" spans="1:170" x14ac:dyDescent="0.25">
      <c r="A851" s="7">
        <v>5.3648138200691423E-3</v>
      </c>
      <c r="B851"/>
      <c r="C851"/>
      <c r="D851"/>
      <c r="E851"/>
      <c r="F851" s="27" t="s">
        <v>7</v>
      </c>
      <c r="AO851" s="27" t="s">
        <v>8</v>
      </c>
      <c r="AP851" s="27" t="s">
        <v>7</v>
      </c>
      <c r="AQ851" s="27" t="s">
        <v>8</v>
      </c>
      <c r="AT851" s="27" t="s">
        <v>7</v>
      </c>
      <c r="AU851" s="27" t="s">
        <v>8</v>
      </c>
      <c r="AV851" s="27" t="s">
        <v>7</v>
      </c>
      <c r="AW851" s="27" t="s">
        <v>8</v>
      </c>
      <c r="AY851" s="27" t="s">
        <v>8</v>
      </c>
      <c r="CY851" s="27" t="s">
        <v>8</v>
      </c>
      <c r="CZ851" s="27" t="s">
        <v>7</v>
      </c>
      <c r="DA851" s="27" t="s">
        <v>8</v>
      </c>
      <c r="DB851" s="27" t="s">
        <v>7</v>
      </c>
      <c r="DE851" s="27" t="s">
        <v>8</v>
      </c>
      <c r="DF851" s="27" t="s">
        <v>7</v>
      </c>
      <c r="DI851" s="27" t="s">
        <v>8</v>
      </c>
      <c r="DJ851" s="27" t="s">
        <v>7</v>
      </c>
      <c r="DK851" s="27" t="s">
        <v>8</v>
      </c>
      <c r="DL851" s="27" t="s">
        <v>7</v>
      </c>
      <c r="DO851" s="27" t="s">
        <v>8</v>
      </c>
      <c r="DP851" s="27" t="s">
        <v>7</v>
      </c>
      <c r="DQ851" s="27" t="s">
        <v>8</v>
      </c>
    </row>
    <row r="852" spans="1:170" x14ac:dyDescent="0.25">
      <c r="A852" s="7">
        <v>5.2596213922246494E-3</v>
      </c>
      <c r="B852"/>
      <c r="C852"/>
      <c r="D852"/>
      <c r="E852"/>
      <c r="F852" s="27" t="s">
        <v>7</v>
      </c>
      <c r="AO852" s="27" t="s">
        <v>8</v>
      </c>
      <c r="AP852" s="27" t="s">
        <v>7</v>
      </c>
      <c r="AQ852" s="27" t="s">
        <v>8</v>
      </c>
      <c r="AT852" s="27" t="s">
        <v>7</v>
      </c>
      <c r="AU852" s="27" t="s">
        <v>8</v>
      </c>
      <c r="AV852" s="27" t="s">
        <v>7</v>
      </c>
      <c r="AW852" s="27" t="s">
        <v>8</v>
      </c>
      <c r="AX852" s="27" t="s">
        <v>7</v>
      </c>
      <c r="AY852" s="27" t="s">
        <v>8</v>
      </c>
      <c r="AZ852" s="27" t="s">
        <v>7</v>
      </c>
      <c r="CY852" s="27" t="s">
        <v>8</v>
      </c>
      <c r="CZ852" s="27" t="s">
        <v>7</v>
      </c>
      <c r="DA852" s="27" t="s">
        <v>8</v>
      </c>
      <c r="DB852" s="27" t="s">
        <v>7</v>
      </c>
      <c r="DE852" s="27" t="s">
        <v>8</v>
      </c>
      <c r="DF852" s="27" t="s">
        <v>7</v>
      </c>
      <c r="DG852" s="27" t="s">
        <v>8</v>
      </c>
      <c r="DI852" s="27" t="s">
        <v>8</v>
      </c>
      <c r="DJ852" s="27" t="s">
        <v>7</v>
      </c>
      <c r="DL852" s="27" t="s">
        <v>7</v>
      </c>
      <c r="DO852" s="27" t="s">
        <v>8</v>
      </c>
      <c r="DP852" s="27" t="s">
        <v>7</v>
      </c>
    </row>
    <row r="853" spans="1:170" x14ac:dyDescent="0.25">
      <c r="A853" s="7">
        <v>5.1564915610045588E-3</v>
      </c>
      <c r="B853"/>
      <c r="C853"/>
      <c r="D853"/>
      <c r="E853"/>
      <c r="F853" s="27" t="s">
        <v>7</v>
      </c>
      <c r="AO853" s="27" t="s">
        <v>8</v>
      </c>
      <c r="AP853" s="27" t="s">
        <v>7</v>
      </c>
      <c r="AQ853" s="27" t="s">
        <v>8</v>
      </c>
      <c r="AT853" s="27" t="s">
        <v>7</v>
      </c>
      <c r="AU853" s="27" t="s">
        <v>8</v>
      </c>
      <c r="AV853" s="27" t="s">
        <v>7</v>
      </c>
      <c r="AW853" s="27" t="s">
        <v>8</v>
      </c>
      <c r="AX853" s="27" t="s">
        <v>7</v>
      </c>
      <c r="AY853" s="27" t="s">
        <v>8</v>
      </c>
      <c r="AZ853" s="27" t="s">
        <v>7</v>
      </c>
      <c r="CY853" s="27" t="s">
        <v>8</v>
      </c>
      <c r="CZ853" s="27" t="s">
        <v>7</v>
      </c>
      <c r="DA853" s="27" t="s">
        <v>8</v>
      </c>
      <c r="DB853" s="27" t="s">
        <v>7</v>
      </c>
      <c r="DE853" s="27" t="s">
        <v>8</v>
      </c>
      <c r="DF853" s="27" t="s">
        <v>7</v>
      </c>
      <c r="DG853" s="27" t="s">
        <v>8</v>
      </c>
      <c r="DH853" s="27" t="s">
        <v>7</v>
      </c>
      <c r="DI853" s="27" t="s">
        <v>8</v>
      </c>
      <c r="DL853" s="27" t="s">
        <v>7</v>
      </c>
      <c r="DO853" s="27" t="s">
        <v>8</v>
      </c>
    </row>
    <row r="854" spans="1:170" x14ac:dyDescent="0.25">
      <c r="A854" s="7">
        <v>5.0553838833378023E-3</v>
      </c>
      <c r="B854"/>
      <c r="C854"/>
      <c r="D854"/>
      <c r="E854"/>
      <c r="F854" s="27" t="s">
        <v>7</v>
      </c>
      <c r="AO854" s="27" t="s">
        <v>8</v>
      </c>
      <c r="AP854" s="27" t="s">
        <v>7</v>
      </c>
      <c r="AQ854" s="27" t="s">
        <v>8</v>
      </c>
      <c r="AT854" s="27" t="s">
        <v>7</v>
      </c>
      <c r="AU854" s="27" t="s">
        <v>8</v>
      </c>
      <c r="AV854" s="27" t="s">
        <v>7</v>
      </c>
      <c r="AW854" s="27" t="s">
        <v>8</v>
      </c>
      <c r="AX854" s="27" t="s">
        <v>7</v>
      </c>
      <c r="AY854" s="27" t="s">
        <v>8</v>
      </c>
      <c r="AZ854" s="27" t="s">
        <v>7</v>
      </c>
      <c r="CY854" s="27" t="s">
        <v>8</v>
      </c>
      <c r="CZ854" s="27" t="s">
        <v>7</v>
      </c>
      <c r="DA854" s="27" t="s">
        <v>8</v>
      </c>
      <c r="DB854" s="27" t="s">
        <v>7</v>
      </c>
      <c r="DE854" s="27" t="s">
        <v>8</v>
      </c>
      <c r="DF854" s="27" t="s">
        <v>7</v>
      </c>
      <c r="DG854" s="27" t="s">
        <v>8</v>
      </c>
      <c r="DH854" s="27" t="s">
        <v>7</v>
      </c>
      <c r="DI854" s="27" t="s">
        <v>8</v>
      </c>
      <c r="DL854" s="27" t="s">
        <v>7</v>
      </c>
      <c r="DO854" s="27" t="s">
        <v>8</v>
      </c>
    </row>
    <row r="855" spans="1:170" x14ac:dyDescent="0.25">
      <c r="A855" s="7">
        <v>4.9562587091547079E-3</v>
      </c>
      <c r="B855"/>
      <c r="C855"/>
      <c r="D855"/>
      <c r="E855"/>
      <c r="F855" s="27" t="s">
        <v>7</v>
      </c>
      <c r="G855" s="27" t="s">
        <v>8</v>
      </c>
      <c r="AO855" s="27" t="s">
        <v>8</v>
      </c>
      <c r="AP855" s="27" t="s">
        <v>7</v>
      </c>
      <c r="AQ855" s="27" t="s">
        <v>8</v>
      </c>
      <c r="AT855" s="27" t="s">
        <v>7</v>
      </c>
      <c r="AU855" s="27" t="s">
        <v>8</v>
      </c>
      <c r="AV855" s="27" t="s">
        <v>7</v>
      </c>
      <c r="AW855" s="27" t="s">
        <v>8</v>
      </c>
      <c r="AX855" s="27" t="s">
        <v>7</v>
      </c>
      <c r="AZ855" s="27" t="s">
        <v>7</v>
      </c>
      <c r="CY855" s="27" t="s">
        <v>8</v>
      </c>
      <c r="CZ855" s="27" t="s">
        <v>7</v>
      </c>
      <c r="DA855" s="27" t="s">
        <v>8</v>
      </c>
      <c r="DB855" s="27" t="s">
        <v>7</v>
      </c>
      <c r="DE855" s="27" t="s">
        <v>8</v>
      </c>
      <c r="DF855" s="27" t="s">
        <v>7</v>
      </c>
      <c r="DG855" s="27" t="s">
        <v>8</v>
      </c>
      <c r="DH855" s="27" t="s">
        <v>7</v>
      </c>
      <c r="DI855" s="27" t="s">
        <v>8</v>
      </c>
      <c r="DL855" s="27" t="s">
        <v>7</v>
      </c>
      <c r="DO855" s="27" t="s">
        <v>8</v>
      </c>
    </row>
    <row r="856" spans="1:170" x14ac:dyDescent="0.25">
      <c r="A856" s="7">
        <v>4.8590771658379491E-3</v>
      </c>
      <c r="B856"/>
      <c r="C856"/>
      <c r="D856"/>
      <c r="E856"/>
      <c r="F856" s="27" t="s">
        <v>7</v>
      </c>
      <c r="G856" s="27" t="s">
        <v>8</v>
      </c>
      <c r="H856" s="27" t="s">
        <v>7</v>
      </c>
      <c r="AO856" s="27" t="s">
        <v>8</v>
      </c>
      <c r="AP856" s="27" t="s">
        <v>7</v>
      </c>
      <c r="AT856" s="27" t="s">
        <v>7</v>
      </c>
      <c r="AV856" s="27" t="s">
        <v>7</v>
      </c>
      <c r="AZ856" s="27" t="s">
        <v>7</v>
      </c>
      <c r="CY856" s="27" t="s">
        <v>8</v>
      </c>
      <c r="CZ856" s="27" t="s">
        <v>7</v>
      </c>
      <c r="DA856" s="27" t="s">
        <v>8</v>
      </c>
      <c r="DB856" s="27" t="s">
        <v>7</v>
      </c>
      <c r="DC856" s="27" t="s">
        <v>8</v>
      </c>
      <c r="DE856" s="27" t="s">
        <v>8</v>
      </c>
      <c r="DF856" s="27" t="s">
        <v>7</v>
      </c>
      <c r="DG856" s="27" t="s">
        <v>8</v>
      </c>
      <c r="DH856" s="27" t="s">
        <v>7</v>
      </c>
      <c r="DI856" s="27" t="s">
        <v>8</v>
      </c>
      <c r="DL856" s="27" t="s">
        <v>7</v>
      </c>
      <c r="DM856" s="27" t="s">
        <v>8</v>
      </c>
      <c r="DO856" s="27" t="s">
        <v>8</v>
      </c>
    </row>
    <row r="857" spans="1:170" x14ac:dyDescent="0.25">
      <c r="A857" s="7">
        <v>4.7638011429783815E-3</v>
      </c>
      <c r="B857"/>
      <c r="C857"/>
      <c r="D857"/>
      <c r="E857"/>
      <c r="F857" s="27" t="s">
        <v>7</v>
      </c>
      <c r="G857" s="27" t="s">
        <v>8</v>
      </c>
      <c r="H857" s="27" t="s">
        <v>7</v>
      </c>
      <c r="K857" s="27" t="s">
        <v>8</v>
      </c>
      <c r="AO857" s="27" t="s">
        <v>8</v>
      </c>
      <c r="AZ857" s="27" t="s">
        <v>7</v>
      </c>
      <c r="CY857" s="27" t="s">
        <v>8</v>
      </c>
      <c r="CZ857" s="27" t="s">
        <v>7</v>
      </c>
      <c r="DA857" s="27" t="s">
        <v>8</v>
      </c>
      <c r="DB857" s="27" t="s">
        <v>7</v>
      </c>
      <c r="DC857" s="27" t="s">
        <v>8</v>
      </c>
      <c r="DD857" s="27" t="s">
        <v>7</v>
      </c>
      <c r="DE857" s="27" t="s">
        <v>8</v>
      </c>
      <c r="DF857" s="27" t="s">
        <v>7</v>
      </c>
      <c r="DG857" s="27" t="s">
        <v>8</v>
      </c>
      <c r="DH857" s="27" t="s">
        <v>7</v>
      </c>
      <c r="DI857" s="27" t="s">
        <v>8</v>
      </c>
      <c r="DL857" s="27" t="s">
        <v>7</v>
      </c>
      <c r="DM857" s="27" t="s">
        <v>8</v>
      </c>
      <c r="DN857" s="27" t="s">
        <v>7</v>
      </c>
      <c r="DO857" s="27" t="s">
        <v>8</v>
      </c>
    </row>
    <row r="858" spans="1:170" x14ac:dyDescent="0.25">
      <c r="A858" s="7">
        <v>4.6703932774297859E-3</v>
      </c>
      <c r="B858"/>
      <c r="C858"/>
      <c r="D858"/>
      <c r="E858"/>
      <c r="F858" s="27" t="s">
        <v>7</v>
      </c>
      <c r="G858" s="27" t="s">
        <v>8</v>
      </c>
      <c r="H858" s="27" t="s">
        <v>7</v>
      </c>
      <c r="K858" s="27" t="s">
        <v>8</v>
      </c>
      <c r="L858" s="27" t="s">
        <v>7</v>
      </c>
      <c r="AI858" s="27" t="s">
        <v>8</v>
      </c>
      <c r="AK858" s="27" t="s">
        <v>8</v>
      </c>
      <c r="AO858" s="27" t="s">
        <v>8</v>
      </c>
      <c r="AZ858" s="27" t="s">
        <v>7</v>
      </c>
      <c r="CY858" s="27" t="s">
        <v>8</v>
      </c>
      <c r="CZ858" s="27" t="s">
        <v>7</v>
      </c>
      <c r="DA858" s="27" t="s">
        <v>8</v>
      </c>
      <c r="DB858" s="27" t="s">
        <v>7</v>
      </c>
      <c r="DC858" s="27" t="s">
        <v>8</v>
      </c>
      <c r="DD858" s="27" t="s">
        <v>7</v>
      </c>
      <c r="DE858" s="27" t="s">
        <v>8</v>
      </c>
      <c r="DF858" s="27" t="s">
        <v>7</v>
      </c>
      <c r="DG858" s="27" t="s">
        <v>8</v>
      </c>
      <c r="DH858" s="27" t="s">
        <v>7</v>
      </c>
      <c r="DI858" s="27" t="s">
        <v>8</v>
      </c>
      <c r="DL858" s="27" t="s">
        <v>7</v>
      </c>
      <c r="DM858" s="27" t="s">
        <v>8</v>
      </c>
      <c r="DN858" s="27" t="s">
        <v>7</v>
      </c>
      <c r="DO858" s="27" t="s">
        <v>8</v>
      </c>
    </row>
    <row r="859" spans="1:170" x14ac:dyDescent="0.25">
      <c r="A859" s="7">
        <v>4.5788169386566527E-3</v>
      </c>
      <c r="B859"/>
      <c r="C859"/>
      <c r="D859"/>
      <c r="E859"/>
      <c r="F859" s="27" t="s">
        <v>7</v>
      </c>
      <c r="H859" s="27" t="s">
        <v>7</v>
      </c>
      <c r="K859" s="27" t="s">
        <v>8</v>
      </c>
      <c r="L859" s="27" t="s">
        <v>7</v>
      </c>
      <c r="AE859" s="27" t="s">
        <v>8</v>
      </c>
      <c r="AG859" s="27" t="s">
        <v>8</v>
      </c>
      <c r="AI859" s="27" t="s">
        <v>8</v>
      </c>
      <c r="AJ859" s="27" t="s">
        <v>7</v>
      </c>
      <c r="AK859" s="27" t="s">
        <v>8</v>
      </c>
      <c r="AL859" s="27" t="s">
        <v>7</v>
      </c>
      <c r="AO859" s="27" t="s">
        <v>8</v>
      </c>
      <c r="AZ859" s="27" t="s">
        <v>7</v>
      </c>
      <c r="BA859" s="27" t="s">
        <v>8</v>
      </c>
      <c r="CY859" s="27" t="s">
        <v>8</v>
      </c>
      <c r="CZ859" s="27" t="s">
        <v>7</v>
      </c>
      <c r="DB859" s="27" t="s">
        <v>7</v>
      </c>
      <c r="DC859" s="27" t="s">
        <v>8</v>
      </c>
      <c r="DD859" s="27" t="s">
        <v>7</v>
      </c>
      <c r="DF859" s="27" t="s">
        <v>7</v>
      </c>
      <c r="DG859" s="27" t="s">
        <v>8</v>
      </c>
      <c r="DH859" s="27" t="s">
        <v>7</v>
      </c>
      <c r="DI859" s="27" t="s">
        <v>8</v>
      </c>
      <c r="DL859" s="27" t="s">
        <v>7</v>
      </c>
      <c r="DM859" s="27" t="s">
        <v>8</v>
      </c>
      <c r="DN859" s="27" t="s">
        <v>7</v>
      </c>
    </row>
    <row r="860" spans="1:170" x14ac:dyDescent="0.25">
      <c r="A860" s="7">
        <v>4.4890362143692672E-3</v>
      </c>
      <c r="B860"/>
      <c r="C860"/>
      <c r="D860"/>
      <c r="E860"/>
      <c r="H860" s="27" t="s">
        <v>7</v>
      </c>
      <c r="K860" s="27" t="s">
        <v>8</v>
      </c>
      <c r="L860" s="27" t="s">
        <v>7</v>
      </c>
      <c r="AE860" s="27" t="s">
        <v>8</v>
      </c>
      <c r="AF860" s="27" t="s">
        <v>7</v>
      </c>
      <c r="AG860" s="27" t="s">
        <v>8</v>
      </c>
      <c r="AH860" s="27" t="s">
        <v>7</v>
      </c>
      <c r="AI860" s="27" t="s">
        <v>8</v>
      </c>
      <c r="AJ860" s="27" t="s">
        <v>7</v>
      </c>
      <c r="AK860" s="27" t="s">
        <v>8</v>
      </c>
      <c r="AL860" s="27" t="s">
        <v>7</v>
      </c>
      <c r="AO860" s="27" t="s">
        <v>8</v>
      </c>
      <c r="AZ860" s="27" t="s">
        <v>7</v>
      </c>
      <c r="BA860" s="27" t="s">
        <v>8</v>
      </c>
      <c r="BB860" s="27" t="s">
        <v>7</v>
      </c>
      <c r="CY860" s="27" t="s">
        <v>8</v>
      </c>
      <c r="DB860" s="27" t="s">
        <v>7</v>
      </c>
      <c r="DC860" s="27" t="s">
        <v>8</v>
      </c>
      <c r="DF860" s="27" t="s">
        <v>7</v>
      </c>
      <c r="DH860" s="27" t="s">
        <v>7</v>
      </c>
      <c r="DL860" s="27" t="s">
        <v>7</v>
      </c>
    </row>
    <row r="861" spans="1:170" x14ac:dyDescent="0.25">
      <c r="A861" s="7">
        <v>4.4010158964404578E-3</v>
      </c>
      <c r="B861"/>
      <c r="C861"/>
      <c r="D861"/>
      <c r="E861"/>
      <c r="H861" s="27" t="s">
        <v>7</v>
      </c>
      <c r="K861" s="27" t="s">
        <v>8</v>
      </c>
      <c r="L861" s="27" t="s">
        <v>7</v>
      </c>
      <c r="AE861" s="27" t="s">
        <v>8</v>
      </c>
      <c r="AF861" s="27" t="s">
        <v>7</v>
      </c>
      <c r="AG861" s="27" t="s">
        <v>8</v>
      </c>
      <c r="AH861" s="27" t="s">
        <v>7</v>
      </c>
      <c r="AI861" s="27" t="s">
        <v>8</v>
      </c>
      <c r="AJ861" s="27" t="s">
        <v>7</v>
      </c>
      <c r="AK861" s="27" t="s">
        <v>8</v>
      </c>
      <c r="AL861" s="27" t="s">
        <v>7</v>
      </c>
      <c r="AM861" s="27" t="s">
        <v>8</v>
      </c>
      <c r="AO861" s="27" t="s">
        <v>8</v>
      </c>
      <c r="AZ861" s="27" t="s">
        <v>7</v>
      </c>
      <c r="BA861" s="27" t="s">
        <v>8</v>
      </c>
      <c r="BB861" s="27" t="s">
        <v>7</v>
      </c>
      <c r="CY861" s="27" t="s">
        <v>8</v>
      </c>
      <c r="DB861" s="27" t="s">
        <v>7</v>
      </c>
    </row>
    <row r="862" spans="1:170" x14ac:dyDescent="0.25">
      <c r="A862" s="7">
        <v>4.314721467098488E-3</v>
      </c>
      <c r="B862"/>
      <c r="C862"/>
      <c r="D862"/>
      <c r="E862"/>
      <c r="H862" s="27" t="s">
        <v>7</v>
      </c>
      <c r="K862" s="27" t="s">
        <v>8</v>
      </c>
      <c r="L862" s="27" t="s">
        <v>7</v>
      </c>
      <c r="AE862" s="27" t="s">
        <v>8</v>
      </c>
      <c r="AF862" s="27" t="s">
        <v>7</v>
      </c>
      <c r="AG862" s="27" t="s">
        <v>8</v>
      </c>
      <c r="AH862" s="27" t="s">
        <v>7</v>
      </c>
      <c r="AI862" s="27" t="s">
        <v>8</v>
      </c>
      <c r="AJ862" s="27" t="s">
        <v>7</v>
      </c>
      <c r="AK862" s="27" t="s">
        <v>8</v>
      </c>
      <c r="AL862" s="27" t="s">
        <v>7</v>
      </c>
      <c r="AM862" s="27" t="s">
        <v>8</v>
      </c>
      <c r="AN862" s="27" t="s">
        <v>7</v>
      </c>
      <c r="AO862" s="27" t="s">
        <v>8</v>
      </c>
      <c r="AZ862" s="27" t="s">
        <v>7</v>
      </c>
      <c r="BA862" s="27" t="s">
        <v>8</v>
      </c>
      <c r="BB862" s="27" t="s">
        <v>7</v>
      </c>
      <c r="BE862" s="27" t="s">
        <v>8</v>
      </c>
      <c r="CY862" s="27" t="s">
        <v>8</v>
      </c>
    </row>
    <row r="863" spans="1:170" x14ac:dyDescent="0.25">
      <c r="A863" s="7">
        <v>4.2301190853906746E-3</v>
      </c>
      <c r="B863"/>
      <c r="C863"/>
      <c r="D863"/>
      <c r="E863"/>
      <c r="H863" s="27" t="s">
        <v>7</v>
      </c>
      <c r="K863" s="27" t="s">
        <v>8</v>
      </c>
      <c r="L863" s="27" t="s">
        <v>7</v>
      </c>
      <c r="O863" s="27" t="s">
        <v>8</v>
      </c>
      <c r="AE863" s="27" t="s">
        <v>8</v>
      </c>
      <c r="AF863" s="27" t="s">
        <v>7</v>
      </c>
      <c r="AG863" s="27" t="s">
        <v>8</v>
      </c>
      <c r="AH863" s="27" t="s">
        <v>7</v>
      </c>
      <c r="AI863" s="27" t="s">
        <v>8</v>
      </c>
      <c r="AJ863" s="27" t="s">
        <v>7</v>
      </c>
      <c r="AK863" s="27" t="s">
        <v>8</v>
      </c>
      <c r="AL863" s="27" t="s">
        <v>7</v>
      </c>
      <c r="AM863" s="27" t="s">
        <v>8</v>
      </c>
      <c r="AN863" s="27" t="s">
        <v>7</v>
      </c>
      <c r="AO863" s="27" t="s">
        <v>8</v>
      </c>
      <c r="AZ863" s="27" t="s">
        <v>7</v>
      </c>
      <c r="BA863" s="27" t="s">
        <v>8</v>
      </c>
      <c r="BB863" s="27" t="s">
        <v>7</v>
      </c>
      <c r="BC863" s="27" t="s">
        <v>8</v>
      </c>
      <c r="BE863" s="27" t="s">
        <v>8</v>
      </c>
      <c r="BF863" s="27" t="s">
        <v>7</v>
      </c>
      <c r="CW863" s="27" t="s">
        <v>8</v>
      </c>
      <c r="CY863" s="27" t="s">
        <v>8</v>
      </c>
    </row>
    <row r="864" spans="1:170" x14ac:dyDescent="0.25">
      <c r="A864" s="7">
        <v>4.1471755739124266E-3</v>
      </c>
      <c r="B864"/>
      <c r="C864"/>
      <c r="D864"/>
      <c r="E864"/>
      <c r="H864" s="27" t="s">
        <v>7</v>
      </c>
      <c r="I864" s="27" t="s">
        <v>8</v>
      </c>
      <c r="K864" s="27" t="s">
        <v>8</v>
      </c>
      <c r="L864" s="27" t="s">
        <v>7</v>
      </c>
      <c r="O864" s="27" t="s">
        <v>8</v>
      </c>
      <c r="P864" s="27" t="s">
        <v>7</v>
      </c>
      <c r="AE864" s="27" t="s">
        <v>8</v>
      </c>
      <c r="AF864" s="27" t="s">
        <v>7</v>
      </c>
      <c r="AG864" s="27" t="s">
        <v>8</v>
      </c>
      <c r="AH864" s="27" t="s">
        <v>7</v>
      </c>
      <c r="AI864" s="27" t="s">
        <v>8</v>
      </c>
      <c r="AJ864" s="27" t="s">
        <v>7</v>
      </c>
      <c r="AK864" s="27" t="s">
        <v>8</v>
      </c>
      <c r="AL864" s="27" t="s">
        <v>7</v>
      </c>
      <c r="AM864" s="27" t="s">
        <v>8</v>
      </c>
      <c r="AN864" s="27" t="s">
        <v>7</v>
      </c>
      <c r="AO864" s="27" t="s">
        <v>8</v>
      </c>
      <c r="AZ864" s="27" t="s">
        <v>7</v>
      </c>
      <c r="BA864" s="27" t="s">
        <v>8</v>
      </c>
      <c r="BB864" s="27" t="s">
        <v>7</v>
      </c>
      <c r="BC864" s="27" t="s">
        <v>8</v>
      </c>
      <c r="BD864" s="27" t="s">
        <v>7</v>
      </c>
      <c r="BE864" s="27" t="s">
        <v>8</v>
      </c>
      <c r="BF864" s="27" t="s">
        <v>7</v>
      </c>
      <c r="CW864" s="27" t="s">
        <v>8</v>
      </c>
      <c r="CX864" s="27" t="s">
        <v>7</v>
      </c>
      <c r="CY864" s="27" t="s">
        <v>8</v>
      </c>
    </row>
    <row r="865" spans="1:103" x14ac:dyDescent="0.25">
      <c r="A865" s="7">
        <v>4.0658584057964966E-3</v>
      </c>
      <c r="B865"/>
      <c r="C865"/>
      <c r="D865"/>
      <c r="E865"/>
      <c r="H865" s="27" t="s">
        <v>7</v>
      </c>
      <c r="I865" s="27" t="s">
        <v>8</v>
      </c>
      <c r="J865" s="27" t="s">
        <v>7</v>
      </c>
      <c r="K865" s="27" t="s">
        <v>8</v>
      </c>
      <c r="L865" s="27" t="s">
        <v>7</v>
      </c>
      <c r="M865" s="27" t="s">
        <v>8</v>
      </c>
      <c r="O865" s="27" t="s">
        <v>8</v>
      </c>
      <c r="P865" s="27" t="s">
        <v>7</v>
      </c>
      <c r="Q865" s="27" t="s">
        <v>8</v>
      </c>
      <c r="AA865" s="27" t="s">
        <v>8</v>
      </c>
      <c r="AE865" s="27" t="s">
        <v>8</v>
      </c>
      <c r="AF865" s="27" t="s">
        <v>7</v>
      </c>
      <c r="AG865" s="27" t="s">
        <v>8</v>
      </c>
      <c r="AH865" s="27" t="s">
        <v>7</v>
      </c>
      <c r="AI865" s="27" t="s">
        <v>8</v>
      </c>
      <c r="AJ865" s="27" t="s">
        <v>7</v>
      </c>
      <c r="AK865" s="27" t="s">
        <v>8</v>
      </c>
      <c r="AL865" s="27" t="s">
        <v>7</v>
      </c>
      <c r="AN865" s="27" t="s">
        <v>7</v>
      </c>
      <c r="AZ865" s="27" t="s">
        <v>7</v>
      </c>
      <c r="BB865" s="27" t="s">
        <v>7</v>
      </c>
      <c r="BC865" s="27" t="s">
        <v>8</v>
      </c>
      <c r="BD865" s="27" t="s">
        <v>7</v>
      </c>
      <c r="BE865" s="27" t="s">
        <v>8</v>
      </c>
      <c r="BF865" s="27" t="s">
        <v>7</v>
      </c>
      <c r="CW865" s="27" t="s">
        <v>8</v>
      </c>
      <c r="CX865" s="27" t="s">
        <v>7</v>
      </c>
      <c r="CY865" s="27" t="s">
        <v>8</v>
      </c>
    </row>
    <row r="866" spans="1:103" x14ac:dyDescent="0.25">
      <c r="A866" s="7">
        <v>3.9861356919573491E-3</v>
      </c>
      <c r="B866"/>
      <c r="C866"/>
      <c r="D866"/>
      <c r="E866"/>
      <c r="H866" s="27" t="s">
        <v>7</v>
      </c>
      <c r="I866" s="27" t="s">
        <v>8</v>
      </c>
      <c r="J866" s="27" t="s">
        <v>7</v>
      </c>
      <c r="K866" s="27" t="s">
        <v>8</v>
      </c>
      <c r="L866" s="27" t="s">
        <v>7</v>
      </c>
      <c r="M866" s="27" t="s">
        <v>8</v>
      </c>
      <c r="N866" s="27" t="s">
        <v>7</v>
      </c>
      <c r="O866" s="27" t="s">
        <v>8</v>
      </c>
      <c r="P866" s="27" t="s">
        <v>7</v>
      </c>
      <c r="Q866" s="27" t="s">
        <v>8</v>
      </c>
      <c r="R866" s="27" t="s">
        <v>7</v>
      </c>
      <c r="AA866" s="27" t="s">
        <v>8</v>
      </c>
      <c r="AB866" s="27" t="s">
        <v>7</v>
      </c>
      <c r="AC866" s="27" t="s">
        <v>8</v>
      </c>
      <c r="AE866" s="27" t="s">
        <v>8</v>
      </c>
      <c r="AF866" s="27" t="s">
        <v>7</v>
      </c>
      <c r="AG866" s="27" t="s">
        <v>8</v>
      </c>
      <c r="AH866" s="27" t="s">
        <v>7</v>
      </c>
      <c r="AI866" s="27" t="s">
        <v>8</v>
      </c>
      <c r="AJ866" s="27" t="s">
        <v>7</v>
      </c>
      <c r="AK866" s="27" t="s">
        <v>8</v>
      </c>
      <c r="BB866" s="27" t="s">
        <v>7</v>
      </c>
      <c r="BD866" s="27" t="s">
        <v>7</v>
      </c>
      <c r="BE866" s="27" t="s">
        <v>8</v>
      </c>
      <c r="BF866" s="27" t="s">
        <v>7</v>
      </c>
      <c r="CW866" s="27" t="s">
        <v>8</v>
      </c>
      <c r="CX866" s="27" t="s">
        <v>7</v>
      </c>
      <c r="CY866" s="27" t="s">
        <v>8</v>
      </c>
    </row>
    <row r="867" spans="1:103" x14ac:dyDescent="0.25">
      <c r="A867" s="7">
        <v>3.9079761685856364E-3</v>
      </c>
      <c r="B867"/>
      <c r="C867"/>
      <c r="D867"/>
      <c r="E867"/>
      <c r="H867" s="27" t="s">
        <v>7</v>
      </c>
      <c r="I867" s="27" t="s">
        <v>8</v>
      </c>
      <c r="J867" s="27" t="s">
        <v>7</v>
      </c>
      <c r="K867" s="27" t="s">
        <v>8</v>
      </c>
      <c r="L867" s="27" t="s">
        <v>7</v>
      </c>
      <c r="M867" s="27" t="s">
        <v>8</v>
      </c>
      <c r="N867" s="27" t="s">
        <v>7</v>
      </c>
      <c r="O867" s="27" t="s">
        <v>8</v>
      </c>
      <c r="P867" s="27" t="s">
        <v>7</v>
      </c>
      <c r="Q867" s="27" t="s">
        <v>8</v>
      </c>
      <c r="R867" s="27" t="s">
        <v>7</v>
      </c>
      <c r="W867" s="27" t="s">
        <v>8</v>
      </c>
      <c r="Y867" s="27" t="s">
        <v>8</v>
      </c>
      <c r="AA867" s="27" t="s">
        <v>8</v>
      </c>
      <c r="AB867" s="27" t="s">
        <v>7</v>
      </c>
      <c r="AC867" s="27" t="s">
        <v>8</v>
      </c>
      <c r="AD867" s="27" t="s">
        <v>7</v>
      </c>
      <c r="AE867" s="27" t="s">
        <v>8</v>
      </c>
      <c r="AF867" s="27" t="s">
        <v>7</v>
      </c>
      <c r="AH867" s="27" t="s">
        <v>7</v>
      </c>
      <c r="AI867" s="27" t="s">
        <v>8</v>
      </c>
      <c r="AJ867" s="27" t="s">
        <v>7</v>
      </c>
      <c r="BD867" s="27" t="s">
        <v>7</v>
      </c>
      <c r="BF867" s="27" t="s">
        <v>7</v>
      </c>
      <c r="CW867" s="27" t="s">
        <v>8</v>
      </c>
      <c r="CX867" s="27" t="s">
        <v>7</v>
      </c>
      <c r="CY867" s="27" t="s">
        <v>8</v>
      </c>
    </row>
    <row r="868" spans="1:103" x14ac:dyDescent="0.25">
      <c r="A868" s="7">
        <v>3.8313491848878793E-3</v>
      </c>
      <c r="B868"/>
      <c r="C868"/>
      <c r="D868"/>
      <c r="E868"/>
      <c r="H868" s="27" t="s">
        <v>7</v>
      </c>
      <c r="I868" s="27" t="s">
        <v>8</v>
      </c>
      <c r="J868" s="27" t="s">
        <v>7</v>
      </c>
      <c r="K868" s="27" t="s">
        <v>8</v>
      </c>
      <c r="L868" s="27" t="s">
        <v>7</v>
      </c>
      <c r="M868" s="27" t="s">
        <v>8</v>
      </c>
      <c r="N868" s="27" t="s">
        <v>7</v>
      </c>
      <c r="O868" s="27" t="s">
        <v>8</v>
      </c>
      <c r="P868" s="27" t="s">
        <v>7</v>
      </c>
      <c r="Q868" s="27" t="s">
        <v>8</v>
      </c>
      <c r="R868" s="27" t="s">
        <v>7</v>
      </c>
      <c r="S868" s="27" t="s">
        <v>8</v>
      </c>
      <c r="U868" s="27" t="s">
        <v>8</v>
      </c>
      <c r="W868" s="27" t="s">
        <v>8</v>
      </c>
      <c r="X868" s="27" t="s">
        <v>7</v>
      </c>
      <c r="Y868" s="27" t="s">
        <v>8</v>
      </c>
      <c r="Z868" s="27" t="s">
        <v>7</v>
      </c>
      <c r="AA868" s="27" t="s">
        <v>8</v>
      </c>
      <c r="AB868" s="27" t="s">
        <v>7</v>
      </c>
      <c r="AC868" s="27" t="s">
        <v>8</v>
      </c>
      <c r="AD868" s="27" t="s">
        <v>7</v>
      </c>
      <c r="AE868" s="27" t="s">
        <v>8</v>
      </c>
      <c r="AH868" s="27" t="s">
        <v>7</v>
      </c>
      <c r="BF868" s="27" t="s">
        <v>7</v>
      </c>
      <c r="BG868" s="27" t="s">
        <v>8</v>
      </c>
      <c r="CW868" s="27" t="s">
        <v>8</v>
      </c>
      <c r="CX868" s="27" t="s">
        <v>7</v>
      </c>
      <c r="CY868" s="27" t="s">
        <v>8</v>
      </c>
    </row>
    <row r="869" spans="1:103" x14ac:dyDescent="0.25">
      <c r="A869" s="7">
        <v>3.7562246910665485E-3</v>
      </c>
      <c r="B869"/>
      <c r="C869"/>
      <c r="D869"/>
      <c r="E869"/>
      <c r="H869" s="27" t="s">
        <v>7</v>
      </c>
      <c r="I869" s="27" t="s">
        <v>8</v>
      </c>
      <c r="J869" s="27" t="s">
        <v>7</v>
      </c>
      <c r="K869" s="27" t="s">
        <v>8</v>
      </c>
      <c r="L869" s="27" t="s">
        <v>7</v>
      </c>
      <c r="N869" s="27" t="s">
        <v>7</v>
      </c>
      <c r="O869" s="27" t="s">
        <v>8</v>
      </c>
      <c r="P869" s="27" t="s">
        <v>7</v>
      </c>
      <c r="Q869" s="27" t="s">
        <v>8</v>
      </c>
      <c r="R869" s="27" t="s">
        <v>7</v>
      </c>
      <c r="S869" s="27" t="s">
        <v>8</v>
      </c>
      <c r="T869" s="27" t="s">
        <v>7</v>
      </c>
      <c r="U869" s="27" t="s">
        <v>8</v>
      </c>
      <c r="V869" s="27" t="s">
        <v>7</v>
      </c>
      <c r="W869" s="27" t="s">
        <v>8</v>
      </c>
      <c r="X869" s="27" t="s">
        <v>7</v>
      </c>
      <c r="Y869" s="27" t="s">
        <v>8</v>
      </c>
      <c r="Z869" s="27" t="s">
        <v>7</v>
      </c>
      <c r="AA869" s="27" t="s">
        <v>8</v>
      </c>
      <c r="AB869" s="27" t="s">
        <v>7</v>
      </c>
      <c r="AC869" s="27" t="s">
        <v>8</v>
      </c>
      <c r="AD869" s="27" t="s">
        <v>7</v>
      </c>
      <c r="AE869" s="27" t="s">
        <v>8</v>
      </c>
      <c r="BF869" s="27" t="s">
        <v>7</v>
      </c>
      <c r="BG869" s="27" t="s">
        <v>8</v>
      </c>
      <c r="BH869" s="27" t="s">
        <v>7</v>
      </c>
      <c r="CW869" s="27" t="s">
        <v>8</v>
      </c>
      <c r="CX869" s="27" t="s">
        <v>7</v>
      </c>
      <c r="CY869" s="27" t="s">
        <v>8</v>
      </c>
    </row>
    <row r="870" spans="1:103" x14ac:dyDescent="0.25">
      <c r="A870" s="7">
        <v>3.6825732265358315E-3</v>
      </c>
      <c r="B870"/>
      <c r="C870"/>
      <c r="D870"/>
      <c r="E870"/>
      <c r="H870" s="27" t="s">
        <v>7</v>
      </c>
      <c r="I870" s="27" t="s">
        <v>8</v>
      </c>
      <c r="J870" s="27" t="s">
        <v>7</v>
      </c>
      <c r="K870" s="27" t="s">
        <v>8</v>
      </c>
      <c r="N870" s="27" t="s">
        <v>7</v>
      </c>
      <c r="O870" s="27" t="s">
        <v>8</v>
      </c>
      <c r="P870" s="27" t="s">
        <v>7</v>
      </c>
      <c r="Q870" s="27" t="s">
        <v>8</v>
      </c>
      <c r="R870" s="27" t="s">
        <v>7</v>
      </c>
      <c r="S870" s="27" t="s">
        <v>8</v>
      </c>
      <c r="T870" s="27" t="s">
        <v>7</v>
      </c>
      <c r="U870" s="27" t="s">
        <v>8</v>
      </c>
      <c r="V870" s="27" t="s">
        <v>7</v>
      </c>
      <c r="W870" s="27" t="s">
        <v>8</v>
      </c>
      <c r="X870" s="27" t="s">
        <v>7</v>
      </c>
      <c r="Y870" s="27" t="s">
        <v>8</v>
      </c>
      <c r="Z870" s="27" t="s">
        <v>7</v>
      </c>
      <c r="AA870" s="27" t="s">
        <v>8</v>
      </c>
      <c r="AB870" s="27" t="s">
        <v>7</v>
      </c>
      <c r="AC870" s="27" t="s">
        <v>8</v>
      </c>
      <c r="AD870" s="27" t="s">
        <v>7</v>
      </c>
      <c r="AE870" s="27" t="s">
        <v>8</v>
      </c>
      <c r="BF870" s="27" t="s">
        <v>7</v>
      </c>
      <c r="BG870" s="27" t="s">
        <v>8</v>
      </c>
      <c r="BH870" s="27" t="s">
        <v>7</v>
      </c>
      <c r="CW870" s="27" t="s">
        <v>8</v>
      </c>
      <c r="CX870" s="27" t="s">
        <v>7</v>
      </c>
      <c r="CY870" s="27" t="s">
        <v>8</v>
      </c>
    </row>
    <row r="871" spans="1:103" x14ac:dyDescent="0.25">
      <c r="A871" s="7">
        <v>3.6103659083684624E-3</v>
      </c>
      <c r="B871"/>
      <c r="C871"/>
      <c r="D871"/>
      <c r="E871"/>
      <c r="H871" s="27" t="s">
        <v>7</v>
      </c>
      <c r="I871" s="27" t="s">
        <v>8</v>
      </c>
      <c r="J871" s="27" t="s">
        <v>7</v>
      </c>
      <c r="K871" s="27" t="s">
        <v>8</v>
      </c>
      <c r="N871" s="27" t="s">
        <v>7</v>
      </c>
      <c r="O871" s="27" t="s">
        <v>8</v>
      </c>
      <c r="P871" s="27" t="s">
        <v>7</v>
      </c>
      <c r="Q871" s="27" t="s">
        <v>8</v>
      </c>
      <c r="R871" s="27" t="s">
        <v>7</v>
      </c>
      <c r="T871" s="27" t="s">
        <v>7</v>
      </c>
      <c r="U871" s="27" t="s">
        <v>8</v>
      </c>
      <c r="V871" s="27" t="s">
        <v>7</v>
      </c>
      <c r="W871" s="27" t="s">
        <v>8</v>
      </c>
      <c r="X871" s="27" t="s">
        <v>7</v>
      </c>
      <c r="Y871" s="27" t="s">
        <v>8</v>
      </c>
      <c r="Z871" s="27" t="s">
        <v>7</v>
      </c>
      <c r="AA871" s="27" t="s">
        <v>8</v>
      </c>
      <c r="AB871" s="27" t="s">
        <v>7</v>
      </c>
      <c r="AD871" s="27" t="s">
        <v>7</v>
      </c>
      <c r="AE871" s="27" t="s">
        <v>8</v>
      </c>
      <c r="BF871" s="27" t="s">
        <v>7</v>
      </c>
      <c r="BG871" s="27" t="s">
        <v>8</v>
      </c>
      <c r="BH871" s="27" t="s">
        <v>7</v>
      </c>
      <c r="CW871" s="27" t="s">
        <v>8</v>
      </c>
      <c r="CX871" s="27" t="s">
        <v>7</v>
      </c>
      <c r="CY871" s="27" t="s">
        <v>8</v>
      </c>
    </row>
    <row r="872" spans="1:103" x14ac:dyDescent="0.25">
      <c r="A872" s="7">
        <v>3.539574419969081E-3</v>
      </c>
      <c r="B872"/>
      <c r="C872"/>
      <c r="D872"/>
      <c r="E872"/>
      <c r="H872" s="27" t="s">
        <v>7</v>
      </c>
      <c r="I872" s="27" t="s">
        <v>8</v>
      </c>
      <c r="J872" s="27" t="s">
        <v>7</v>
      </c>
      <c r="K872" s="27" t="s">
        <v>8</v>
      </c>
      <c r="N872" s="27" t="s">
        <v>7</v>
      </c>
      <c r="P872" s="27" t="s">
        <v>7</v>
      </c>
      <c r="T872" s="27" t="s">
        <v>7</v>
      </c>
      <c r="U872" s="27" t="s">
        <v>8</v>
      </c>
      <c r="V872" s="27" t="s">
        <v>7</v>
      </c>
      <c r="W872" s="27" t="s">
        <v>8</v>
      </c>
      <c r="X872" s="27" t="s">
        <v>7</v>
      </c>
      <c r="Y872" s="27" t="s">
        <v>8</v>
      </c>
      <c r="Z872" s="27" t="s">
        <v>7</v>
      </c>
      <c r="AA872" s="27" t="s">
        <v>8</v>
      </c>
      <c r="AD872" s="27" t="s">
        <v>7</v>
      </c>
      <c r="BF872" s="27" t="s">
        <v>7</v>
      </c>
      <c r="BG872" s="27" t="s">
        <v>8</v>
      </c>
      <c r="BH872" s="27" t="s">
        <v>7</v>
      </c>
      <c r="CW872" s="27" t="s">
        <v>8</v>
      </c>
      <c r="CX872" s="27" t="s">
        <v>7</v>
      </c>
      <c r="CY872" s="27" t="s">
        <v>8</v>
      </c>
    </row>
    <row r="873" spans="1:103" x14ac:dyDescent="0.25">
      <c r="A873" s="7">
        <v>3.4701709999696872E-3</v>
      </c>
      <c r="B873"/>
      <c r="C873"/>
      <c r="D873"/>
      <c r="E873"/>
      <c r="H873" s="27" t="s">
        <v>7</v>
      </c>
      <c r="I873" s="27" t="s">
        <v>8</v>
      </c>
      <c r="J873" s="27" t="s">
        <v>7</v>
      </c>
      <c r="T873" s="27" t="s">
        <v>7</v>
      </c>
      <c r="U873" s="27" t="s">
        <v>8</v>
      </c>
      <c r="V873" s="27" t="s">
        <v>7</v>
      </c>
      <c r="W873" s="27" t="s">
        <v>8</v>
      </c>
      <c r="X873" s="27" t="s">
        <v>7</v>
      </c>
      <c r="Y873" s="27" t="s">
        <v>8</v>
      </c>
      <c r="Z873" s="27" t="s">
        <v>7</v>
      </c>
      <c r="BF873" s="27" t="s">
        <v>7</v>
      </c>
      <c r="BG873" s="27" t="s">
        <v>8</v>
      </c>
      <c r="BH873" s="27" t="s">
        <v>7</v>
      </c>
      <c r="CW873" s="27" t="s">
        <v>8</v>
      </c>
      <c r="CX873" s="27" t="s">
        <v>7</v>
      </c>
      <c r="CY873" s="27" t="s">
        <v>8</v>
      </c>
    </row>
    <row r="874" spans="1:103" x14ac:dyDescent="0.25">
      <c r="A874" s="7">
        <v>3.4021284313428307E-3</v>
      </c>
      <c r="B874"/>
      <c r="C874"/>
      <c r="D874"/>
      <c r="E874"/>
      <c r="H874" s="27" t="s">
        <v>7</v>
      </c>
      <c r="I874" s="27" t="s">
        <v>8</v>
      </c>
      <c r="T874" s="27" t="s">
        <v>7</v>
      </c>
      <c r="U874" s="27" t="s">
        <v>8</v>
      </c>
      <c r="V874" s="27" t="s">
        <v>7</v>
      </c>
      <c r="X874" s="27" t="s">
        <v>7</v>
      </c>
      <c r="Y874" s="27" t="s">
        <v>8</v>
      </c>
      <c r="BF874" s="27" t="s">
        <v>7</v>
      </c>
      <c r="BG874" s="27" t="s">
        <v>8</v>
      </c>
      <c r="BH874" s="27" t="s">
        <v>7</v>
      </c>
      <c r="CW874" s="27" t="s">
        <v>8</v>
      </c>
      <c r="CX874" s="27" t="s">
        <v>7</v>
      </c>
    </row>
    <row r="875" spans="1:103" x14ac:dyDescent="0.25">
      <c r="A875" s="7">
        <v>3.3354200307282654E-3</v>
      </c>
      <c r="B875"/>
      <c r="C875"/>
      <c r="D875"/>
      <c r="E875"/>
      <c r="H875" s="27" t="s">
        <v>7</v>
      </c>
      <c r="T875" s="27" t="s">
        <v>7</v>
      </c>
      <c r="U875" s="27" t="s">
        <v>8</v>
      </c>
      <c r="X875" s="27" t="s">
        <v>7</v>
      </c>
      <c r="Y875" s="27" t="s">
        <v>8</v>
      </c>
      <c r="BF875" s="27" t="s">
        <v>7</v>
      </c>
      <c r="BH875" s="27" t="s">
        <v>7</v>
      </c>
      <c r="CW875" s="27" t="s">
        <v>8</v>
      </c>
    </row>
    <row r="876" spans="1:103" x14ac:dyDescent="0.25">
      <c r="A876" s="7">
        <v>3.2700196379688881E-3</v>
      </c>
      <c r="B876"/>
      <c r="C876"/>
      <c r="D876"/>
      <c r="E876"/>
      <c r="T876" s="27" t="s">
        <v>7</v>
      </c>
      <c r="U876" s="27" t="s">
        <v>8</v>
      </c>
      <c r="X876" s="27" t="s">
        <v>7</v>
      </c>
      <c r="BH876" s="27" t="s">
        <v>7</v>
      </c>
      <c r="CW876" s="27" t="s">
        <v>8</v>
      </c>
    </row>
    <row r="877" spans="1:103" x14ac:dyDescent="0.25">
      <c r="A877" s="7">
        <v>3.205901605851851E-3</v>
      </c>
      <c r="B877"/>
      <c r="C877"/>
      <c r="D877"/>
      <c r="E877"/>
      <c r="T877" s="27" t="s">
        <v>7</v>
      </c>
      <c r="U877" s="27" t="s">
        <v>8</v>
      </c>
      <c r="BH877" s="27" t="s">
        <v>7</v>
      </c>
      <c r="CU877" s="27" t="s">
        <v>8</v>
      </c>
      <c r="CW877" s="27" t="s">
        <v>8</v>
      </c>
    </row>
    <row r="878" spans="1:103" x14ac:dyDescent="0.25">
      <c r="A878" s="7">
        <v>3.1430407900508344E-3</v>
      </c>
      <c r="B878"/>
      <c r="C878"/>
      <c r="D878"/>
      <c r="E878"/>
      <c r="T878" s="27" t="s">
        <v>7</v>
      </c>
      <c r="U878" s="27" t="s">
        <v>8</v>
      </c>
      <c r="BH878" s="27" t="s">
        <v>7</v>
      </c>
      <c r="CU878" s="27" t="s">
        <v>8</v>
      </c>
      <c r="CV878" s="27" t="s">
        <v>7</v>
      </c>
      <c r="CW878" s="27" t="s">
        <v>8</v>
      </c>
    </row>
    <row r="879" spans="1:103" x14ac:dyDescent="0.25">
      <c r="A879" s="7">
        <v>3.0814125392655241E-3</v>
      </c>
      <c r="B879"/>
      <c r="C879"/>
      <c r="D879"/>
      <c r="E879"/>
      <c r="T879" s="27" t="s">
        <v>7</v>
      </c>
      <c r="U879" s="27" t="s">
        <v>8</v>
      </c>
      <c r="BH879" s="27" t="s">
        <v>7</v>
      </c>
      <c r="CU879" s="27" t="s">
        <v>8</v>
      </c>
      <c r="CV879" s="27" t="s">
        <v>7</v>
      </c>
      <c r="CW879" s="27" t="s">
        <v>8</v>
      </c>
    </row>
    <row r="880" spans="1:103" x14ac:dyDescent="0.25">
      <c r="A880" s="7">
        <v>3.0209926855544354E-3</v>
      </c>
      <c r="B880"/>
      <c r="C880"/>
      <c r="D880"/>
      <c r="E880"/>
      <c r="T880" s="27" t="s">
        <v>7</v>
      </c>
      <c r="BH880" s="27" t="s">
        <v>7</v>
      </c>
      <c r="CU880" s="27" t="s">
        <v>8</v>
      </c>
      <c r="CV880" s="27" t="s">
        <v>7</v>
      </c>
      <c r="CW880" s="27" t="s">
        <v>8</v>
      </c>
    </row>
    <row r="881" spans="1:100" x14ac:dyDescent="0.25">
      <c r="A881" s="7">
        <v>2.9617575348572897E-3</v>
      </c>
      <c r="B881"/>
      <c r="C881"/>
      <c r="D881"/>
      <c r="E881"/>
      <c r="BH881" s="27" t="s">
        <v>7</v>
      </c>
      <c r="CU881" s="27" t="s">
        <v>8</v>
      </c>
      <c r="CV881" s="27" t="s">
        <v>7</v>
      </c>
    </row>
    <row r="882" spans="1:100" x14ac:dyDescent="0.25">
      <c r="A882" s="7">
        <v>2.9036838577032251E-3</v>
      </c>
      <c r="B882"/>
      <c r="C882"/>
      <c r="D882"/>
      <c r="E882"/>
      <c r="BH882" s="27" t="s">
        <v>7</v>
      </c>
      <c r="CS882" s="27" t="s">
        <v>8</v>
      </c>
      <c r="CU882" s="27" t="s">
        <v>8</v>
      </c>
    </row>
    <row r="883" spans="1:100" x14ac:dyDescent="0.25">
      <c r="A883" s="7">
        <v>2.8467488801012012E-3</v>
      </c>
      <c r="B883"/>
      <c r="C883"/>
      <c r="D883"/>
      <c r="E883"/>
      <c r="BH883" s="27" t="s">
        <v>7</v>
      </c>
      <c r="CA883" s="27" t="s">
        <v>8</v>
      </c>
      <c r="CS883" s="27" t="s">
        <v>8</v>
      </c>
      <c r="CT883" s="27" t="s">
        <v>7</v>
      </c>
      <c r="CU883" s="27" t="s">
        <v>8</v>
      </c>
    </row>
    <row r="884" spans="1:100" x14ac:dyDescent="0.25">
      <c r="A884" s="7">
        <v>2.7909302746090209E-3</v>
      </c>
      <c r="B884"/>
      <c r="C884"/>
      <c r="D884"/>
      <c r="E884"/>
      <c r="BH884" s="27" t="s">
        <v>7</v>
      </c>
      <c r="CA884" s="27" t="s">
        <v>8</v>
      </c>
      <c r="CB884" s="27" t="s">
        <v>7</v>
      </c>
      <c r="CI884" s="27" t="s">
        <v>8</v>
      </c>
      <c r="CQ884" s="27" t="s">
        <v>8</v>
      </c>
      <c r="CS884" s="27" t="s">
        <v>8</v>
      </c>
      <c r="CT884" s="27" t="s">
        <v>7</v>
      </c>
      <c r="CU884" s="27" t="s">
        <v>8</v>
      </c>
    </row>
    <row r="885" spans="1:100" x14ac:dyDescent="0.25">
      <c r="A885" s="7">
        <v>2.7362061515774716E-3</v>
      </c>
      <c r="B885"/>
      <c r="C885"/>
      <c r="D885"/>
      <c r="E885"/>
      <c r="BH885" s="27" t="s">
        <v>7</v>
      </c>
      <c r="CA885" s="27" t="s">
        <v>8</v>
      </c>
      <c r="CB885" s="27" t="s">
        <v>7</v>
      </c>
      <c r="CI885" s="27" t="s">
        <v>8</v>
      </c>
      <c r="CJ885" s="27" t="s">
        <v>7</v>
      </c>
      <c r="CK885" s="27" t="s">
        <v>8</v>
      </c>
      <c r="CM885" s="27" t="s">
        <v>8</v>
      </c>
      <c r="CO885" s="27" t="s">
        <v>8</v>
      </c>
      <c r="CQ885" s="27" t="s">
        <v>8</v>
      </c>
      <c r="CR885" s="27" t="s">
        <v>7</v>
      </c>
      <c r="CS885" s="27" t="s">
        <v>8</v>
      </c>
      <c r="CT885" s="27" t="s">
        <v>7</v>
      </c>
      <c r="CU885" s="27" t="s">
        <v>8</v>
      </c>
    </row>
    <row r="886" spans="1:100" x14ac:dyDescent="0.25">
      <c r="A886" s="7">
        <v>2.6825550505661486E-3</v>
      </c>
      <c r="B886"/>
      <c r="C886"/>
      <c r="D886"/>
      <c r="E886"/>
      <c r="BH886" s="27" t="s">
        <v>7</v>
      </c>
      <c r="CA886" s="27" t="s">
        <v>8</v>
      </c>
      <c r="CB886" s="27" t="s">
        <v>7</v>
      </c>
      <c r="CI886" s="27" t="s">
        <v>8</v>
      </c>
      <c r="CJ886" s="27" t="s">
        <v>7</v>
      </c>
      <c r="CK886" s="27" t="s">
        <v>8</v>
      </c>
      <c r="CL886" s="27" t="s">
        <v>7</v>
      </c>
      <c r="CM886" s="27" t="s">
        <v>8</v>
      </c>
      <c r="CN886" s="27" t="s">
        <v>7</v>
      </c>
      <c r="CO886" s="27" t="s">
        <v>8</v>
      </c>
      <c r="CP886" s="27" t="s">
        <v>7</v>
      </c>
      <c r="CQ886" s="27" t="s">
        <v>8</v>
      </c>
      <c r="CR886" s="27" t="s">
        <v>7</v>
      </c>
      <c r="CS886" s="27" t="s">
        <v>8</v>
      </c>
      <c r="CT886" s="27" t="s">
        <v>7</v>
      </c>
    </row>
    <row r="887" spans="1:100" x14ac:dyDescent="0.25">
      <c r="A887" s="7">
        <v>2.6299559319275965E-3</v>
      </c>
      <c r="B887"/>
      <c r="C887"/>
      <c r="D887"/>
      <c r="E887"/>
      <c r="BH887" s="27" t="s">
        <v>7</v>
      </c>
      <c r="CA887" s="27" t="s">
        <v>8</v>
      </c>
      <c r="CB887" s="27" t="s">
        <v>7</v>
      </c>
      <c r="CI887" s="27" t="s">
        <v>8</v>
      </c>
      <c r="CJ887" s="27" t="s">
        <v>7</v>
      </c>
      <c r="CK887" s="27" t="s">
        <v>8</v>
      </c>
      <c r="CL887" s="27" t="s">
        <v>7</v>
      </c>
      <c r="CM887" s="27" t="s">
        <v>8</v>
      </c>
      <c r="CN887" s="27" t="s">
        <v>7</v>
      </c>
      <c r="CO887" s="27" t="s">
        <v>8</v>
      </c>
      <c r="CP887" s="27" t="s">
        <v>7</v>
      </c>
      <c r="CQ887" s="27" t="s">
        <v>8</v>
      </c>
      <c r="CR887" s="27" t="s">
        <v>7</v>
      </c>
      <c r="CS887" s="27" t="s">
        <v>8</v>
      </c>
    </row>
    <row r="888" spans="1:100" x14ac:dyDescent="0.25">
      <c r="A888" s="7">
        <v>2.578388168556467E-3</v>
      </c>
      <c r="B888"/>
      <c r="C888"/>
      <c r="D888"/>
      <c r="E888"/>
      <c r="BH888" s="27" t="s">
        <v>7</v>
      </c>
      <c r="CA888" s="27" t="s">
        <v>8</v>
      </c>
      <c r="CB888" s="27" t="s">
        <v>7</v>
      </c>
      <c r="CC888" s="27" t="s">
        <v>8</v>
      </c>
      <c r="CG888" s="27" t="s">
        <v>8</v>
      </c>
      <c r="CI888" s="27" t="s">
        <v>8</v>
      </c>
      <c r="CJ888" s="27" t="s">
        <v>7</v>
      </c>
      <c r="CK888" s="27" t="s">
        <v>8</v>
      </c>
      <c r="CL888" s="27" t="s">
        <v>7</v>
      </c>
      <c r="CN888" s="27" t="s">
        <v>7</v>
      </c>
      <c r="CO888" s="27" t="s">
        <v>8</v>
      </c>
      <c r="CP888" s="27" t="s">
        <v>7</v>
      </c>
      <c r="CR888" s="27" t="s">
        <v>7</v>
      </c>
      <c r="CS888" s="27" t="s">
        <v>8</v>
      </c>
    </row>
    <row r="889" spans="1:100" x14ac:dyDescent="0.25">
      <c r="A889" s="7">
        <v>2.5278315378004577E-3</v>
      </c>
      <c r="B889"/>
      <c r="C889"/>
      <c r="D889"/>
      <c r="E889"/>
      <c r="BH889" s="27" t="s">
        <v>7</v>
      </c>
      <c r="BY889" s="27" t="s">
        <v>8</v>
      </c>
      <c r="CA889" s="27" t="s">
        <v>8</v>
      </c>
      <c r="CB889" s="27" t="s">
        <v>7</v>
      </c>
      <c r="CC889" s="27" t="s">
        <v>8</v>
      </c>
      <c r="CD889" s="27" t="s">
        <v>7</v>
      </c>
      <c r="CE889" s="27" t="s">
        <v>8</v>
      </c>
      <c r="CG889" s="27" t="s">
        <v>8</v>
      </c>
      <c r="CH889" s="27" t="s">
        <v>7</v>
      </c>
      <c r="CI889" s="27" t="s">
        <v>8</v>
      </c>
      <c r="CJ889" s="27" t="s">
        <v>7</v>
      </c>
      <c r="CK889" s="27" t="s">
        <v>8</v>
      </c>
      <c r="CN889" s="27" t="s">
        <v>7</v>
      </c>
      <c r="CO889" s="27" t="s">
        <v>8</v>
      </c>
      <c r="CR889" s="27" t="s">
        <v>7</v>
      </c>
      <c r="CS889" s="27" t="s">
        <v>8</v>
      </c>
    </row>
    <row r="890" spans="1:100" x14ac:dyDescent="0.25">
      <c r="A890" s="7">
        <v>2.4782662135298603E-3</v>
      </c>
      <c r="B890"/>
      <c r="C890"/>
      <c r="D890"/>
      <c r="E890"/>
      <c r="BH890" s="27" t="s">
        <v>7</v>
      </c>
      <c r="BY890" s="27" t="s">
        <v>8</v>
      </c>
      <c r="BZ890" s="27" t="s">
        <v>7</v>
      </c>
      <c r="CA890" s="27" t="s">
        <v>8</v>
      </c>
      <c r="CB890" s="27" t="s">
        <v>7</v>
      </c>
      <c r="CC890" s="27" t="s">
        <v>8</v>
      </c>
      <c r="CD890" s="27" t="s">
        <v>7</v>
      </c>
      <c r="CE890" s="27" t="s">
        <v>8</v>
      </c>
      <c r="CF890" s="27" t="s">
        <v>7</v>
      </c>
      <c r="CG890" s="27" t="s">
        <v>8</v>
      </c>
      <c r="CH890" s="27" t="s">
        <v>7</v>
      </c>
      <c r="CI890" s="27" t="s">
        <v>8</v>
      </c>
      <c r="CJ890" s="27" t="s">
        <v>7</v>
      </c>
      <c r="CK890" s="27" t="s">
        <v>8</v>
      </c>
      <c r="CN890" s="27" t="s">
        <v>7</v>
      </c>
      <c r="CO890" s="27" t="s">
        <v>8</v>
      </c>
      <c r="CR890" s="27" t="s">
        <v>7</v>
      </c>
      <c r="CS890" s="27" t="s">
        <v>8</v>
      </c>
    </row>
    <row r="891" spans="1:100" x14ac:dyDescent="0.25">
      <c r="A891" s="7">
        <v>2.4296727583626083E-3</v>
      </c>
      <c r="B891"/>
      <c r="C891"/>
      <c r="D891"/>
      <c r="E891"/>
      <c r="BH891" s="27" t="s">
        <v>7</v>
      </c>
      <c r="BY891" s="27" t="s">
        <v>8</v>
      </c>
      <c r="BZ891" s="27" t="s">
        <v>7</v>
      </c>
      <c r="CA891" s="27" t="s">
        <v>8</v>
      </c>
      <c r="CB891" s="27" t="s">
        <v>7</v>
      </c>
      <c r="CC891" s="27" t="s">
        <v>8</v>
      </c>
      <c r="CD891" s="27" t="s">
        <v>7</v>
      </c>
      <c r="CE891" s="27" t="s">
        <v>8</v>
      </c>
      <c r="CF891" s="27" t="s">
        <v>7</v>
      </c>
      <c r="CG891" s="27" t="s">
        <v>8</v>
      </c>
      <c r="CH891" s="27" t="s">
        <v>7</v>
      </c>
      <c r="CJ891" s="27" t="s">
        <v>7</v>
      </c>
      <c r="CN891" s="27" t="s">
        <v>7</v>
      </c>
      <c r="CO891" s="27" t="s">
        <v>8</v>
      </c>
      <c r="CR891" s="27" t="s">
        <v>7</v>
      </c>
      <c r="CS891" s="27" t="s">
        <v>8</v>
      </c>
    </row>
    <row r="892" spans="1:100" x14ac:dyDescent="0.25">
      <c r="A892" s="7">
        <v>2.3820321160417726E-3</v>
      </c>
      <c r="B892"/>
      <c r="C892"/>
      <c r="D892"/>
      <c r="E892"/>
      <c r="BH892" s="27" t="s">
        <v>7</v>
      </c>
      <c r="BO892" s="27" t="s">
        <v>8</v>
      </c>
      <c r="BW892" s="27" t="s">
        <v>8</v>
      </c>
      <c r="BY892" s="27" t="s">
        <v>8</v>
      </c>
      <c r="BZ892" s="27" t="s">
        <v>7</v>
      </c>
      <c r="CA892" s="27" t="s">
        <v>8</v>
      </c>
      <c r="CB892" s="27" t="s">
        <v>7</v>
      </c>
      <c r="CC892" s="27" t="s">
        <v>8</v>
      </c>
      <c r="CD892" s="27" t="s">
        <v>7</v>
      </c>
      <c r="CE892" s="27" t="s">
        <v>8</v>
      </c>
      <c r="CF892" s="27" t="s">
        <v>7</v>
      </c>
      <c r="CG892" s="27" t="s">
        <v>8</v>
      </c>
      <c r="CN892" s="27" t="s">
        <v>7</v>
      </c>
      <c r="CR892" s="27" t="s">
        <v>7</v>
      </c>
      <c r="CS892" s="27" t="s">
        <v>8</v>
      </c>
    </row>
    <row r="893" spans="1:100" x14ac:dyDescent="0.25">
      <c r="A893" s="7">
        <v>2.3353256039625224E-3</v>
      </c>
      <c r="B893"/>
      <c r="C893"/>
      <c r="D893"/>
      <c r="E893"/>
      <c r="BH893" s="27" t="s">
        <v>7</v>
      </c>
      <c r="BM893" s="27" t="s">
        <v>8</v>
      </c>
      <c r="BO893" s="27" t="s">
        <v>8</v>
      </c>
      <c r="BP893" s="27" t="s">
        <v>7</v>
      </c>
      <c r="BW893" s="27" t="s">
        <v>8</v>
      </c>
      <c r="BX893" s="27" t="s">
        <v>7</v>
      </c>
      <c r="BY893" s="27" t="s">
        <v>8</v>
      </c>
      <c r="BZ893" s="27" t="s">
        <v>7</v>
      </c>
      <c r="CB893" s="27" t="s">
        <v>7</v>
      </c>
      <c r="CD893" s="27" t="s">
        <v>7</v>
      </c>
      <c r="CE893" s="27" t="s">
        <v>8</v>
      </c>
      <c r="CF893" s="27" t="s">
        <v>7</v>
      </c>
      <c r="CG893" s="27" t="s">
        <v>8</v>
      </c>
      <c r="CR893" s="27" t="s">
        <v>7</v>
      </c>
      <c r="CS893" s="27" t="s">
        <v>8</v>
      </c>
    </row>
    <row r="894" spans="1:100" x14ac:dyDescent="0.25">
      <c r="A894" s="7">
        <v>2.2895349058456101E-3</v>
      </c>
      <c r="B894"/>
      <c r="C894"/>
      <c r="D894"/>
      <c r="E894"/>
      <c r="BH894" s="27" t="s">
        <v>7</v>
      </c>
      <c r="BI894" s="27" t="s">
        <v>8</v>
      </c>
      <c r="BM894" s="27" t="s">
        <v>8</v>
      </c>
      <c r="BN894" s="27" t="s">
        <v>7</v>
      </c>
      <c r="BO894" s="27" t="s">
        <v>8</v>
      </c>
      <c r="BP894" s="27" t="s">
        <v>7</v>
      </c>
      <c r="BU894" s="27" t="s">
        <v>8</v>
      </c>
      <c r="BW894" s="27" t="s">
        <v>8</v>
      </c>
      <c r="BX894" s="27" t="s">
        <v>7</v>
      </c>
      <c r="BY894" s="27" t="s">
        <v>8</v>
      </c>
      <c r="CD894" s="27" t="s">
        <v>7</v>
      </c>
      <c r="CF894" s="27" t="s">
        <v>7</v>
      </c>
      <c r="CR894" s="27" t="s">
        <v>7</v>
      </c>
    </row>
    <row r="895" spans="1:100" x14ac:dyDescent="0.25">
      <c r="A895" s="7">
        <v>2.24464206455452E-3</v>
      </c>
      <c r="B895"/>
      <c r="C895"/>
      <c r="D895"/>
      <c r="E895"/>
      <c r="BH895" s="27" t="s">
        <v>7</v>
      </c>
      <c r="BI895" s="27" t="s">
        <v>8</v>
      </c>
      <c r="BJ895" s="27" t="s">
        <v>7</v>
      </c>
      <c r="BM895" s="27" t="s">
        <v>8</v>
      </c>
      <c r="BN895" s="27" t="s">
        <v>7</v>
      </c>
      <c r="BO895" s="27" t="s">
        <v>8</v>
      </c>
      <c r="BP895" s="27" t="s">
        <v>7</v>
      </c>
      <c r="BS895" s="27" t="s">
        <v>8</v>
      </c>
      <c r="BU895" s="27" t="s">
        <v>8</v>
      </c>
      <c r="BV895" s="27" t="s">
        <v>7</v>
      </c>
      <c r="BW895" s="27" t="s">
        <v>8</v>
      </c>
      <c r="BX895" s="27" t="s">
        <v>7</v>
      </c>
      <c r="BY895" s="27" t="s">
        <v>8</v>
      </c>
    </row>
    <row r="896" spans="1:100" x14ac:dyDescent="0.25">
      <c r="A896" s="7">
        <v>2.200629475053451E-3</v>
      </c>
      <c r="B896"/>
      <c r="C896"/>
      <c r="D896"/>
      <c r="E896"/>
      <c r="BH896" s="27" t="s">
        <v>7</v>
      </c>
      <c r="BI896" s="27" t="s">
        <v>8</v>
      </c>
      <c r="BJ896" s="27" t="s">
        <v>7</v>
      </c>
      <c r="BM896" s="27" t="s">
        <v>8</v>
      </c>
      <c r="BN896" s="27" t="s">
        <v>7</v>
      </c>
      <c r="BO896" s="27" t="s">
        <v>8</v>
      </c>
      <c r="BP896" s="27" t="s">
        <v>7</v>
      </c>
      <c r="BQ896" s="27" t="s">
        <v>8</v>
      </c>
      <c r="BS896" s="27" t="s">
        <v>8</v>
      </c>
      <c r="BT896" s="27" t="s">
        <v>7</v>
      </c>
      <c r="BU896" s="27" t="s">
        <v>8</v>
      </c>
      <c r="BV896" s="27" t="s">
        <v>7</v>
      </c>
      <c r="BW896" s="27" t="s">
        <v>8</v>
      </c>
      <c r="BX896" s="27" t="s">
        <v>7</v>
      </c>
      <c r="BY896" s="27" t="s">
        <v>8</v>
      </c>
    </row>
    <row r="897" spans="1:76" x14ac:dyDescent="0.25">
      <c r="A897" s="7">
        <v>2.1574798775033832E-3</v>
      </c>
      <c r="B897"/>
      <c r="C897"/>
      <c r="D897"/>
      <c r="E897"/>
      <c r="BH897" s="27" t="s">
        <v>7</v>
      </c>
      <c r="BI897" s="27" t="s">
        <v>8</v>
      </c>
      <c r="BJ897" s="27" t="s">
        <v>7</v>
      </c>
      <c r="BM897" s="27" t="s">
        <v>8</v>
      </c>
      <c r="BN897" s="27" t="s">
        <v>7</v>
      </c>
      <c r="BO897" s="27" t="s">
        <v>8</v>
      </c>
      <c r="BP897" s="27" t="s">
        <v>7</v>
      </c>
      <c r="BQ897" s="27" t="s">
        <v>8</v>
      </c>
      <c r="BR897" s="27" t="s">
        <v>7</v>
      </c>
      <c r="BS897" s="27" t="s">
        <v>8</v>
      </c>
      <c r="BT897" s="27" t="s">
        <v>7</v>
      </c>
      <c r="BU897" s="27" t="s">
        <v>8</v>
      </c>
      <c r="BV897" s="27" t="s">
        <v>7</v>
      </c>
      <c r="BW897" s="27" t="s">
        <v>8</v>
      </c>
      <c r="BX897" s="27" t="s">
        <v>7</v>
      </c>
    </row>
    <row r="898" spans="1:76" x14ac:dyDescent="0.25">
      <c r="A898" s="7">
        <v>2.115176350493513E-3</v>
      </c>
      <c r="B898"/>
      <c r="C898"/>
      <c r="D898"/>
      <c r="E898"/>
      <c r="BH898" s="27" t="s">
        <v>7</v>
      </c>
      <c r="BI898" s="27" t="s">
        <v>8</v>
      </c>
      <c r="BJ898" s="27" t="s">
        <v>7</v>
      </c>
      <c r="BM898" s="27" t="s">
        <v>8</v>
      </c>
      <c r="BN898" s="27" t="s">
        <v>7</v>
      </c>
      <c r="BO898" s="27" t="s">
        <v>8</v>
      </c>
      <c r="BP898" s="27" t="s">
        <v>7</v>
      </c>
      <c r="BQ898" s="27" t="s">
        <v>8</v>
      </c>
      <c r="BR898" s="27" t="s">
        <v>7</v>
      </c>
      <c r="BS898" s="27" t="s">
        <v>8</v>
      </c>
      <c r="BT898" s="27" t="s">
        <v>7</v>
      </c>
      <c r="BU898" s="27" t="s">
        <v>8</v>
      </c>
      <c r="BV898" s="27" t="s">
        <v>7</v>
      </c>
    </row>
    <row r="899" spans="1:76" x14ac:dyDescent="0.25">
      <c r="A899" s="7">
        <v>2.0737023044054047E-3</v>
      </c>
      <c r="B899"/>
      <c r="C899"/>
      <c r="D899"/>
      <c r="E899"/>
      <c r="BH899" s="27" t="s">
        <v>7</v>
      </c>
      <c r="BI899" s="27" t="s">
        <v>8</v>
      </c>
      <c r="BJ899" s="27" t="s">
        <v>7</v>
      </c>
      <c r="BM899" s="27" t="s">
        <v>8</v>
      </c>
      <c r="BN899" s="27" t="s">
        <v>7</v>
      </c>
      <c r="BO899" s="27" t="s">
        <v>8</v>
      </c>
      <c r="BP899" s="27" t="s">
        <v>7</v>
      </c>
      <c r="BQ899" s="27" t="s">
        <v>8</v>
      </c>
      <c r="BR899" s="27" t="s">
        <v>7</v>
      </c>
      <c r="BS899" s="27" t="s">
        <v>8</v>
      </c>
      <c r="BT899" s="27" t="s">
        <v>7</v>
      </c>
      <c r="BU899" s="27" t="s">
        <v>8</v>
      </c>
    </row>
    <row r="900" spans="1:76" x14ac:dyDescent="0.25">
      <c r="A900" s="7">
        <v>2.0330414749072595E-3</v>
      </c>
      <c r="B900"/>
      <c r="C900"/>
      <c r="D900"/>
      <c r="E900"/>
      <c r="BH900" s="27" t="s">
        <v>7</v>
      </c>
      <c r="BI900" s="27" t="s">
        <v>8</v>
      </c>
      <c r="BJ900" s="27" t="s">
        <v>7</v>
      </c>
      <c r="BM900" s="27" t="s">
        <v>8</v>
      </c>
      <c r="BN900" s="27" t="s">
        <v>7</v>
      </c>
      <c r="BO900" s="27" t="s">
        <v>8</v>
      </c>
      <c r="BP900" s="27" t="s">
        <v>7</v>
      </c>
      <c r="BQ900" s="27" t="s">
        <v>8</v>
      </c>
      <c r="BR900" s="27" t="s">
        <v>7</v>
      </c>
      <c r="BS900" s="27" t="s">
        <v>8</v>
      </c>
      <c r="BT900" s="27" t="s">
        <v>7</v>
      </c>
      <c r="BU900" s="27" t="s">
        <v>8</v>
      </c>
    </row>
    <row r="901" spans="1:76" x14ac:dyDescent="0.25">
      <c r="A901" s="7">
        <v>1.9931779165757446E-3</v>
      </c>
      <c r="B901"/>
      <c r="C901"/>
      <c r="D901"/>
      <c r="E901"/>
      <c r="BH901" s="27" t="s">
        <v>7</v>
      </c>
      <c r="BI901" s="27" t="s">
        <v>8</v>
      </c>
      <c r="BJ901" s="27" t="s">
        <v>7</v>
      </c>
      <c r="BM901" s="27" t="s">
        <v>8</v>
      </c>
      <c r="BN901" s="27" t="s">
        <v>7</v>
      </c>
      <c r="BO901" s="27" t="s">
        <v>8</v>
      </c>
      <c r="BP901" s="27" t="s">
        <v>7</v>
      </c>
      <c r="BQ901" s="27" t="s">
        <v>8</v>
      </c>
      <c r="BR901" s="27" t="s">
        <v>7</v>
      </c>
      <c r="BT901" s="27" t="s">
        <v>7</v>
      </c>
      <c r="BU901" s="27" t="s">
        <v>8</v>
      </c>
    </row>
    <row r="902" spans="1:76" x14ac:dyDescent="0.25">
      <c r="A902" s="7">
        <v>1.954095996642887E-3</v>
      </c>
      <c r="B902"/>
      <c r="C902"/>
      <c r="D902"/>
      <c r="E902"/>
      <c r="BH902" s="27" t="s">
        <v>7</v>
      </c>
      <c r="BI902" s="27" t="s">
        <v>8</v>
      </c>
      <c r="BJ902" s="27" t="s">
        <v>7</v>
      </c>
      <c r="BM902" s="27" t="s">
        <v>8</v>
      </c>
      <c r="BN902" s="27" t="s">
        <v>7</v>
      </c>
      <c r="BO902" s="27" t="s">
        <v>8</v>
      </c>
      <c r="BP902" s="27" t="s">
        <v>7</v>
      </c>
      <c r="BQ902" s="27" t="s">
        <v>8</v>
      </c>
      <c r="BT902" s="27" t="s">
        <v>7</v>
      </c>
    </row>
    <row r="903" spans="1:76" x14ac:dyDescent="0.25">
      <c r="A903" s="7">
        <v>1.9157803888655755E-3</v>
      </c>
      <c r="B903"/>
      <c r="C903"/>
      <c r="D903"/>
      <c r="E903"/>
      <c r="BH903" s="27" t="s">
        <v>7</v>
      </c>
      <c r="BI903" s="27" t="s">
        <v>8</v>
      </c>
      <c r="BJ903" s="27" t="s">
        <v>7</v>
      </c>
      <c r="BM903" s="27" t="s">
        <v>8</v>
      </c>
      <c r="BN903" s="27" t="s">
        <v>7</v>
      </c>
      <c r="BO903" s="27" t="s">
        <v>8</v>
      </c>
      <c r="BP903" s="27" t="s">
        <v>7</v>
      </c>
      <c r="BQ903" s="27" t="s">
        <v>8</v>
      </c>
    </row>
    <row r="904" spans="1:76" x14ac:dyDescent="0.25">
      <c r="A904" s="7">
        <v>1.8782160675152703E-3</v>
      </c>
      <c r="B904"/>
      <c r="C904"/>
      <c r="D904"/>
      <c r="E904"/>
      <c r="BH904" s="27" t="s">
        <v>7</v>
      </c>
      <c r="BI904" s="27" t="s">
        <v>8</v>
      </c>
      <c r="BJ904" s="27" t="s">
        <v>7</v>
      </c>
      <c r="BM904" s="27" t="s">
        <v>8</v>
      </c>
      <c r="BN904" s="27" t="s">
        <v>7</v>
      </c>
      <c r="BO904" s="27" t="s">
        <v>8</v>
      </c>
      <c r="BP904" s="27" t="s">
        <v>7</v>
      </c>
      <c r="BQ904" s="27" t="s">
        <v>8</v>
      </c>
    </row>
    <row r="905" spans="1:76" x14ac:dyDescent="0.25">
      <c r="A905" s="7">
        <v>1.8413883014855592E-3</v>
      </c>
      <c r="B905"/>
      <c r="C905"/>
      <c r="D905"/>
      <c r="E905"/>
      <c r="BH905" s="27" t="s">
        <v>7</v>
      </c>
      <c r="BI905" s="27" t="s">
        <v>8</v>
      </c>
      <c r="BJ905" s="27" t="s">
        <v>7</v>
      </c>
      <c r="BM905" s="27" t="s">
        <v>8</v>
      </c>
      <c r="BN905" s="27" t="s">
        <v>7</v>
      </c>
      <c r="BP905" s="27" t="s">
        <v>7</v>
      </c>
      <c r="BQ905" s="27" t="s">
        <v>8</v>
      </c>
    </row>
    <row r="906" spans="1:76" x14ac:dyDescent="0.25">
      <c r="A906" s="7">
        <v>1.8052826485152542E-3</v>
      </c>
      <c r="B906"/>
      <c r="C906"/>
      <c r="D906"/>
      <c r="E906"/>
      <c r="BH906" s="27" t="s">
        <v>7</v>
      </c>
      <c r="BI906" s="27" t="s">
        <v>8</v>
      </c>
      <c r="BJ906" s="27" t="s">
        <v>7</v>
      </c>
      <c r="BK906" s="27" t="s">
        <v>8</v>
      </c>
      <c r="BM906" s="27" t="s">
        <v>8</v>
      </c>
      <c r="BP906" s="27" t="s">
        <v>7</v>
      </c>
    </row>
    <row r="907" spans="1:76" x14ac:dyDescent="0.25">
      <c r="A907" s="7">
        <v>1.7698849495247592E-3</v>
      </c>
      <c r="B907"/>
      <c r="C907"/>
      <c r="D907"/>
      <c r="E907"/>
      <c r="BH907" s="27" t="s">
        <v>7</v>
      </c>
      <c r="BI907" s="27" t="s">
        <v>8</v>
      </c>
      <c r="BJ907" s="27" t="s">
        <v>7</v>
      </c>
      <c r="BK907" s="27" t="s">
        <v>8</v>
      </c>
      <c r="BL907" s="27" t="s">
        <v>7</v>
      </c>
      <c r="BM907" s="27" t="s">
        <v>8</v>
      </c>
    </row>
    <row r="908" spans="1:76" x14ac:dyDescent="0.25">
      <c r="A908" s="7">
        <v>1.7351813230634893E-3</v>
      </c>
      <c r="B908"/>
      <c r="C908"/>
      <c r="D908"/>
      <c r="E908"/>
      <c r="BH908" s="27" t="s">
        <v>7</v>
      </c>
      <c r="BI908" s="27" t="s">
        <v>8</v>
      </c>
      <c r="BJ908" s="27" t="s">
        <v>7</v>
      </c>
      <c r="BK908" s="27" t="s">
        <v>8</v>
      </c>
      <c r="BL908" s="27" t="s">
        <v>7</v>
      </c>
      <c r="BM908" s="27" t="s">
        <v>8</v>
      </c>
    </row>
    <row r="909" spans="1:76" x14ac:dyDescent="0.25">
      <c r="A909" s="7">
        <v>1.701158159866166E-3</v>
      </c>
      <c r="B909"/>
      <c r="C909"/>
      <c r="D909"/>
      <c r="E909"/>
      <c r="BH909" s="27" t="s">
        <v>7</v>
      </c>
      <c r="BI909" s="27" t="s">
        <v>8</v>
      </c>
      <c r="BJ909" s="27" t="s">
        <v>7</v>
      </c>
      <c r="BK909" s="27" t="s">
        <v>8</v>
      </c>
      <c r="BL909" s="27" t="s">
        <v>7</v>
      </c>
      <c r="BM909" s="27" t="s">
        <v>8</v>
      </c>
    </row>
    <row r="910" spans="1:76" x14ac:dyDescent="0.25">
      <c r="A910" s="7">
        <v>1.6678021175158492E-3</v>
      </c>
      <c r="B910"/>
      <c r="C910"/>
      <c r="D910"/>
      <c r="E910"/>
      <c r="BH910" s="27" t="s">
        <v>7</v>
      </c>
      <c r="BI910" s="27" t="s">
        <v>8</v>
      </c>
      <c r="BJ910" s="27" t="s">
        <v>7</v>
      </c>
      <c r="BK910" s="27" t="s">
        <v>8</v>
      </c>
      <c r="BL910" s="27" t="s">
        <v>7</v>
      </c>
      <c r="BM910" s="27" t="s">
        <v>8</v>
      </c>
    </row>
    <row r="911" spans="1:76" x14ac:dyDescent="0.25">
      <c r="A911" s="7">
        <v>1.6351001152116167E-3</v>
      </c>
      <c r="B911"/>
      <c r="C911"/>
      <c r="D911"/>
      <c r="E911"/>
      <c r="BH911" s="27" t="s">
        <v>7</v>
      </c>
      <c r="BI911" s="27" t="s">
        <v>8</v>
      </c>
      <c r="BJ911" s="27" t="s">
        <v>7</v>
      </c>
      <c r="BK911" s="27" t="s">
        <v>8</v>
      </c>
      <c r="BL911" s="27" t="s">
        <v>7</v>
      </c>
      <c r="BM911" s="27" t="s">
        <v>8</v>
      </c>
    </row>
    <row r="912" spans="1:76" x14ac:dyDescent="0.25">
      <c r="A912" s="7">
        <v>1.60303932863884E-3</v>
      </c>
      <c r="B912"/>
      <c r="C912"/>
      <c r="D912"/>
      <c r="E912"/>
      <c r="BH912" s="27" t="s">
        <v>7</v>
      </c>
      <c r="BI912" s="27" t="s">
        <v>8</v>
      </c>
      <c r="BJ912" s="27" t="s">
        <v>7</v>
      </c>
      <c r="BK912" s="27" t="s">
        <v>8</v>
      </c>
      <c r="BL912" s="27" t="s">
        <v>7</v>
      </c>
    </row>
    <row r="913" spans="1:63" x14ac:dyDescent="0.25">
      <c r="A913" s="7">
        <v>1.5716071849400392E-3</v>
      </c>
      <c r="B913"/>
      <c r="C913"/>
      <c r="D913"/>
      <c r="E913"/>
      <c r="BH913" s="27" t="s">
        <v>7</v>
      </c>
      <c r="BI913" s="27" t="s">
        <v>8</v>
      </c>
      <c r="BJ913" s="27" t="s">
        <v>7</v>
      </c>
      <c r="BK913" s="27" t="s">
        <v>8</v>
      </c>
    </row>
    <row r="914" spans="1:63" x14ac:dyDescent="0.25">
      <c r="A914" s="7">
        <v>1.5407913577843522E-3</v>
      </c>
      <c r="B914"/>
      <c r="C914"/>
      <c r="D914"/>
      <c r="E914"/>
      <c r="BH914" s="27" t="s">
        <v>7</v>
      </c>
      <c r="BI914" s="27" t="s">
        <v>8</v>
      </c>
      <c r="BJ914" s="27" t="s">
        <v>7</v>
      </c>
      <c r="BK914" s="27" t="s">
        <v>8</v>
      </c>
    </row>
    <row r="915" spans="1:63" x14ac:dyDescent="0.25">
      <c r="A915" s="7">
        <v>1.5105797625336785E-3</v>
      </c>
      <c r="B915"/>
      <c r="C915"/>
      <c r="D915"/>
      <c r="E915"/>
      <c r="BH915" s="27" t="s">
        <v>7</v>
      </c>
      <c r="BI915" s="27" t="s">
        <v>8</v>
      </c>
      <c r="BJ915" s="27" t="s">
        <v>7</v>
      </c>
      <c r="BK915" s="27" t="s">
        <v>8</v>
      </c>
    </row>
    <row r="916" spans="1:63" x14ac:dyDescent="0.25">
      <c r="A916" s="7">
        <v>1.4809605515036064E-3</v>
      </c>
      <c r="B916"/>
      <c r="C916"/>
      <c r="D916"/>
      <c r="E916"/>
      <c r="BH916" s="27" t="s">
        <v>7</v>
      </c>
      <c r="BI916" s="27" t="s">
        <v>8</v>
      </c>
      <c r="BJ916" s="27" t="s">
        <v>7</v>
      </c>
      <c r="BK916" s="27" t="s">
        <v>8</v>
      </c>
    </row>
    <row r="917" spans="1:63" x14ac:dyDescent="0.25">
      <c r="A917" s="7">
        <v>1.4519221093172612E-3</v>
      </c>
      <c r="B917"/>
      <c r="C917"/>
      <c r="D917"/>
      <c r="E917"/>
      <c r="BH917" s="27" t="s">
        <v>7</v>
      </c>
      <c r="BI917" s="27" t="s">
        <v>8</v>
      </c>
      <c r="BJ917" s="27" t="s">
        <v>7</v>
      </c>
      <c r="BK917" s="27" t="s">
        <v>8</v>
      </c>
    </row>
    <row r="918" spans="1:63" x14ac:dyDescent="0.25">
      <c r="A918" s="7">
        <v>1.423453048350256E-3</v>
      </c>
      <c r="B918"/>
      <c r="C918"/>
      <c r="D918"/>
      <c r="E918"/>
      <c r="BH918" s="27" t="s">
        <v>7</v>
      </c>
      <c r="BI918" s="27" t="s">
        <v>8</v>
      </c>
      <c r="BJ918" s="27" t="s">
        <v>7</v>
      </c>
    </row>
    <row r="919" spans="1:63" x14ac:dyDescent="0.25">
      <c r="A919" s="7">
        <v>1.3955422042649568E-3</v>
      </c>
      <c r="B919"/>
      <c r="C919"/>
      <c r="D919"/>
      <c r="E919"/>
      <c r="BH919" s="27" t="s">
        <v>7</v>
      </c>
      <c r="BI919" s="27" t="s">
        <v>8</v>
      </c>
    </row>
    <row r="920" spans="1:63" x14ac:dyDescent="0.25">
      <c r="A920" s="7">
        <v>1.3681786316323105E-3</v>
      </c>
      <c r="B920"/>
      <c r="C920"/>
      <c r="D920"/>
      <c r="E920"/>
      <c r="BH920" s="27" t="s">
        <v>7</v>
      </c>
      <c r="BI920" s="27" t="s">
        <v>8</v>
      </c>
    </row>
    <row r="921" spans="1:63" x14ac:dyDescent="0.25">
      <c r="A921" s="7">
        <v>1.3413515996395203E-3</v>
      </c>
      <c r="B921"/>
      <c r="C921"/>
      <c r="D921"/>
      <c r="E921"/>
      <c r="BH921" s="27" t="s">
        <v>7</v>
      </c>
      <c r="BI921" s="27" t="s">
        <v>8</v>
      </c>
    </row>
    <row r="922" spans="1:63" x14ac:dyDescent="0.25">
      <c r="A922" s="7">
        <v>1.3150505878818826E-3</v>
      </c>
      <c r="B922"/>
      <c r="C922"/>
      <c r="D922"/>
      <c r="E922"/>
      <c r="BH922" s="27" t="s">
        <v>7</v>
      </c>
      <c r="BI922" s="27" t="s">
        <v>8</v>
      </c>
    </row>
    <row r="923" spans="1:63" x14ac:dyDescent="0.25">
      <c r="A923" s="7">
        <v>1.2892652822371396E-3</v>
      </c>
      <c r="B923"/>
      <c r="C923"/>
      <c r="D923"/>
      <c r="E923"/>
      <c r="BH923" s="27" t="s">
        <v>7</v>
      </c>
      <c r="BI923" s="27" t="s">
        <v>8</v>
      </c>
    </row>
    <row r="924" spans="1:63" x14ac:dyDescent="0.25">
      <c r="A924" s="7">
        <v>1.2639855708207251E-3</v>
      </c>
      <c r="B924"/>
      <c r="C924"/>
      <c r="D924"/>
      <c r="E924"/>
      <c r="BH924" s="27" t="s">
        <v>7</v>
      </c>
      <c r="BI924" s="27" t="s">
        <v>8</v>
      </c>
    </row>
    <row r="925" spans="1:63" x14ac:dyDescent="0.25">
      <c r="A925" s="7">
        <v>1.2392015400203187E-3</v>
      </c>
      <c r="B925"/>
      <c r="C925"/>
      <c r="D925"/>
      <c r="E925"/>
      <c r="BH925" s="27" t="s">
        <v>7</v>
      </c>
      <c r="BI925" s="27" t="s">
        <v>8</v>
      </c>
    </row>
    <row r="926" spans="1:63" x14ac:dyDescent="0.25">
      <c r="A926" s="7">
        <v>1.2149034706081556E-3</v>
      </c>
      <c r="B926"/>
      <c r="C926"/>
      <c r="D926"/>
      <c r="E926"/>
      <c r="BH926" s="27" t="s">
        <v>7</v>
      </c>
      <c r="BI926" s="27" t="s">
        <v>8</v>
      </c>
    </row>
    <row r="927" spans="1:63" x14ac:dyDescent="0.25">
      <c r="A927" s="7">
        <v>1.1910818339295644E-3</v>
      </c>
      <c r="B927"/>
      <c r="C927"/>
      <c r="D927"/>
      <c r="E927"/>
      <c r="BH927" s="27" t="s">
        <v>7</v>
      </c>
      <c r="BI927" s="27" t="s">
        <v>8</v>
      </c>
    </row>
    <row r="928" spans="1:63" x14ac:dyDescent="0.25">
      <c r="A928" s="7">
        <v>1.1677272881662395E-3</v>
      </c>
      <c r="B928"/>
      <c r="C928"/>
      <c r="D928"/>
      <c r="E928"/>
      <c r="BH928" s="27" t="s">
        <v>7</v>
      </c>
      <c r="BI928" s="27" t="s">
        <v>8</v>
      </c>
    </row>
    <row r="929" spans="1:61" x14ac:dyDescent="0.25">
      <c r="A929" s="7">
        <v>1.1448306746727837E-3</v>
      </c>
      <c r="B929"/>
      <c r="C929"/>
      <c r="D929"/>
      <c r="E929"/>
      <c r="BH929" s="27" t="s">
        <v>7</v>
      </c>
      <c r="BI929" s="27" t="s">
        <v>8</v>
      </c>
    </row>
    <row r="930" spans="1:61" x14ac:dyDescent="0.25">
      <c r="A930" s="7">
        <v>1.1223830143850821E-3</v>
      </c>
      <c r="B930"/>
      <c r="C930"/>
      <c r="D930"/>
      <c r="E930"/>
      <c r="BH930" s="27" t="s">
        <v>7</v>
      </c>
      <c r="BI930" s="27" t="s">
        <v>8</v>
      </c>
    </row>
    <row r="931" spans="1:61" x14ac:dyDescent="0.25">
      <c r="A931" s="7">
        <v>1.1003755042991001E-3</v>
      </c>
      <c r="B931"/>
      <c r="C931"/>
      <c r="D931"/>
      <c r="E931"/>
      <c r="BH931" s="27" t="s">
        <v>7</v>
      </c>
      <c r="BI931" s="27" t="s">
        <v>8</v>
      </c>
    </row>
    <row r="932" spans="1:61" x14ac:dyDescent="0.25">
      <c r="A932" s="7">
        <v>1.0787995140187257E-3</v>
      </c>
      <c r="B932"/>
      <c r="C932"/>
      <c r="D932"/>
      <c r="E932"/>
      <c r="BH932" s="27" t="s">
        <v>7</v>
      </c>
      <c r="BI932" s="27" t="s">
        <v>8</v>
      </c>
    </row>
    <row r="933" spans="1:61" x14ac:dyDescent="0.25">
      <c r="A933" s="7">
        <v>1.0576465823712996E-3</v>
      </c>
      <c r="B933"/>
      <c r="C933"/>
      <c r="D933"/>
      <c r="E933"/>
      <c r="BH933" s="27" t="s">
        <v>7</v>
      </c>
      <c r="BI933" s="27" t="s">
        <v>8</v>
      </c>
    </row>
    <row r="934" spans="1:61" x14ac:dyDescent="0.25">
      <c r="A934" s="7">
        <v>1.0369084140895094E-3</v>
      </c>
      <c r="B934"/>
      <c r="C934"/>
      <c r="D934"/>
      <c r="E934"/>
      <c r="BH934" s="27" t="s">
        <v>7</v>
      </c>
    </row>
    <row r="935" spans="1:61" x14ac:dyDescent="0.25">
      <c r="A935" s="7">
        <v>1.0165768765583426E-3</v>
      </c>
      <c r="B935"/>
      <c r="C935"/>
      <c r="D935"/>
      <c r="E935"/>
    </row>
    <row r="936" spans="1:61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11" operator="equal">
      <formula>$U$1</formula>
    </cfRule>
    <cfRule type="cellIs" dxfId="89" priority="1212" operator="equal">
      <formula>$S$1</formula>
    </cfRule>
  </conditionalFormatting>
  <conditionalFormatting sqref="D27">
    <cfRule type="cellIs" dxfId="88" priority="1209" operator="equal">
      <formula>$S$1</formula>
    </cfRule>
    <cfRule type="cellIs" dxfId="87" priority="1210" operator="equal">
      <formula>$U$1</formula>
    </cfRule>
  </conditionalFormatting>
  <conditionalFormatting sqref="C164">
    <cfRule type="cellIs" dxfId="86" priority="1207" operator="equal">
      <formula>$U$1</formula>
    </cfRule>
    <cfRule type="cellIs" dxfId="85" priority="1208" operator="equal">
      <formula>$S$1</formula>
    </cfRule>
  </conditionalFormatting>
  <conditionalFormatting sqref="D164">
    <cfRule type="cellIs" dxfId="84" priority="1205" operator="equal">
      <formula>$S$1</formula>
    </cfRule>
    <cfRule type="cellIs" dxfId="83" priority="1206" operator="equal">
      <formula>$U$1</formula>
    </cfRule>
  </conditionalFormatting>
  <conditionalFormatting sqref="C55">
    <cfRule type="cellIs" dxfId="82" priority="1203" operator="equal">
      <formula>$U$1</formula>
    </cfRule>
    <cfRule type="cellIs" dxfId="81" priority="1204" operator="equal">
      <formula>$S$1</formula>
    </cfRule>
  </conditionalFormatting>
  <conditionalFormatting sqref="D55">
    <cfRule type="cellIs" dxfId="80" priority="1201" operator="equal">
      <formula>$S$1</formula>
    </cfRule>
    <cfRule type="cellIs" dxfId="79" priority="1202" operator="equal">
      <formula>$U$1</formula>
    </cfRule>
  </conditionalFormatting>
  <conditionalFormatting sqref="C89">
    <cfRule type="cellIs" dxfId="78" priority="1199" operator="equal">
      <formula>$U$1</formula>
    </cfRule>
    <cfRule type="cellIs" dxfId="77" priority="1200" operator="equal">
      <formula>$S$1</formula>
    </cfRule>
  </conditionalFormatting>
  <conditionalFormatting sqref="D89">
    <cfRule type="cellIs" dxfId="76" priority="1197" operator="equal">
      <formula>$S$1</formula>
    </cfRule>
    <cfRule type="cellIs" dxfId="75" priority="1198" operator="equal">
      <formula>$U$1</formula>
    </cfRule>
  </conditionalFormatting>
  <conditionalFormatting sqref="C136">
    <cfRule type="cellIs" dxfId="74" priority="1195" operator="equal">
      <formula>$U$1</formula>
    </cfRule>
    <cfRule type="cellIs" dxfId="73" priority="1196" operator="equal">
      <formula>$S$1</formula>
    </cfRule>
  </conditionalFormatting>
  <conditionalFormatting sqref="D136">
    <cfRule type="cellIs" dxfId="72" priority="1193" operator="equal">
      <formula>$S$1</formula>
    </cfRule>
    <cfRule type="cellIs" dxfId="71" priority="1194" operator="equal">
      <formula>$U$1</formula>
    </cfRule>
  </conditionalFormatting>
  <conditionalFormatting sqref="C1">
    <cfRule type="cellIs" dxfId="70" priority="119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96" zoomScale="90" zoomScaleNormal="90" workbookViewId="0">
      <pane xSplit="4" topLeftCell="DG1" activePane="topRight" state="frozen"/>
      <selection activeCell="A109" sqref="A109"/>
      <selection pane="topRight" activeCell="GM292" sqref="GM29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$A$291</v>
      </c>
      <c r="D111" s="1" t="str">
        <f>ADDRESS(C121-1,D121,1,1)</f>
        <v>$GM$291</v>
      </c>
      <c r="E111"/>
    </row>
    <row r="112" spans="1:5" x14ac:dyDescent="0.25">
      <c r="A112" s="30">
        <v>515.50191262726139</v>
      </c>
      <c r="C112" s="1" t="str">
        <f>ADDRESS(C121,1,1,1)</f>
        <v>$A$292</v>
      </c>
      <c r="D112" s="1" t="str">
        <f>ADDRESS(C121,D121-1,1,1)</f>
        <v>$GL$292</v>
      </c>
      <c r="E112"/>
    </row>
    <row r="113" spans="1:5" x14ac:dyDescent="0.25">
      <c r="A113" s="30">
        <v>490.95420250215363</v>
      </c>
      <c r="C113" s="1" t="str">
        <f>ADDRESS(C121+1,1,1,1)</f>
        <v>$A$293</v>
      </c>
      <c r="D113" s="1" t="str">
        <f>ADDRESS(C121-1,D121+1,1,1)</f>
        <v>$GN$291</v>
      </c>
    </row>
    <row r="114" spans="1:5" x14ac:dyDescent="0.25">
      <c r="A114" s="30">
        <v>467.57543095443202</v>
      </c>
      <c r="C114" s="1" t="str">
        <f>ADDRESS(C121,D121,1,1)</f>
        <v>$GM$292</v>
      </c>
      <c r="D114" s="1" t="str">
        <f>ADDRESS(C121+1,D121+1,1,1)</f>
        <v>$GN$293</v>
      </c>
    </row>
    <row r="115" spans="1:5" x14ac:dyDescent="0.25">
      <c r="A115" s="30">
        <v>445.30993424231622</v>
      </c>
      <c r="C115" s="1" t="str">
        <f>ADDRESS(C121+1,D121,1,1)</f>
        <v>$GM$293</v>
      </c>
    </row>
    <row r="116" spans="1:5" x14ac:dyDescent="0.25">
      <c r="A116" s="30">
        <v>424.10469927839637</v>
      </c>
      <c r="C116" s="1">
        <f>C117-1</f>
        <v>291</v>
      </c>
    </row>
    <row r="117" spans="1:5" x14ac:dyDescent="0.25">
      <c r="A117" s="30">
        <v>403.9092374079965</v>
      </c>
      <c r="C117" s="1">
        <f>C121</f>
        <v>292</v>
      </c>
      <c r="D117" s="1">
        <f>D121</f>
        <v>195</v>
      </c>
    </row>
    <row r="118" spans="1:5" x14ac:dyDescent="0.25">
      <c r="A118" s="30">
        <v>384.6754641980919</v>
      </c>
      <c r="C118" s="1">
        <f>C117+1</f>
        <v>293</v>
      </c>
      <c r="D118" s="1">
        <f>D117+1</f>
        <v>196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292</v>
      </c>
      <c r="D121" s="19">
        <v>195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R292</v>
      </c>
      <c r="D123" s="1" t="str">
        <f>"C"&amp;D121</f>
        <v>C195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7.9096350995354961E-2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82" x14ac:dyDescent="0.25">
      <c r="A257" s="30">
        <v>0.43629668761085438</v>
      </c>
      <c r="B257"/>
      <c r="C257"/>
      <c r="D257"/>
      <c r="E257"/>
      <c r="F257" s="27" t="s">
        <v>7</v>
      </c>
    </row>
    <row r="258" spans="1:182" x14ac:dyDescent="0.25">
      <c r="A258" s="30">
        <v>0.41552065486748019</v>
      </c>
      <c r="B258"/>
      <c r="C258"/>
      <c r="D258"/>
      <c r="E258"/>
      <c r="F258" s="27" t="s">
        <v>7</v>
      </c>
    </row>
    <row r="259" spans="1:182" x14ac:dyDescent="0.25">
      <c r="A259" s="30">
        <v>0.39573395701664765</v>
      </c>
      <c r="B259"/>
      <c r="C259"/>
      <c r="D259"/>
      <c r="E259"/>
      <c r="F259" s="27" t="s">
        <v>7</v>
      </c>
    </row>
    <row r="260" spans="1:182" x14ac:dyDescent="0.25">
      <c r="A260" s="30">
        <v>0.37688948287299762</v>
      </c>
      <c r="B260"/>
      <c r="C260"/>
      <c r="D260"/>
      <c r="E260"/>
      <c r="F260" s="27" t="s">
        <v>7</v>
      </c>
    </row>
    <row r="261" spans="1:182" x14ac:dyDescent="0.25">
      <c r="A261" s="30">
        <v>0.35894236464094997</v>
      </c>
      <c r="B261"/>
      <c r="C261"/>
      <c r="D261"/>
      <c r="E261"/>
      <c r="F261" s="27" t="s">
        <v>7</v>
      </c>
    </row>
    <row r="262" spans="1:182" x14ac:dyDescent="0.25">
      <c r="A262" s="30">
        <v>0.34184987108661891</v>
      </c>
      <c r="B262"/>
      <c r="C262"/>
      <c r="D262"/>
      <c r="E262"/>
      <c r="F262" s="27" t="s">
        <v>7</v>
      </c>
    </row>
    <row r="263" spans="1:182" x14ac:dyDescent="0.25">
      <c r="A263" s="30">
        <v>0.32557130579677979</v>
      </c>
      <c r="B263"/>
      <c r="C263"/>
      <c r="D263"/>
      <c r="E263"/>
      <c r="F263" s="27" t="s">
        <v>7</v>
      </c>
    </row>
    <row r="264" spans="1:182" x14ac:dyDescent="0.25">
      <c r="A264" s="30">
        <v>0.3100679102826473</v>
      </c>
      <c r="B264"/>
      <c r="C264"/>
      <c r="D264"/>
      <c r="E264"/>
      <c r="F264" s="27" t="s">
        <v>7</v>
      </c>
    </row>
    <row r="265" spans="1:182" x14ac:dyDescent="0.25">
      <c r="A265" s="30">
        <v>0.2953027716977592</v>
      </c>
      <c r="B265"/>
      <c r="C265"/>
      <c r="D265"/>
      <c r="E265"/>
      <c r="F265" s="27" t="s">
        <v>7</v>
      </c>
    </row>
    <row r="266" spans="1:182" x14ac:dyDescent="0.25">
      <c r="A266" s="30">
        <v>0.28124073495024676</v>
      </c>
      <c r="B266"/>
      <c r="C266"/>
      <c r="D266"/>
      <c r="E266"/>
      <c r="F266" s="27" t="s">
        <v>7</v>
      </c>
    </row>
    <row r="267" spans="1:182" x14ac:dyDescent="0.25">
      <c r="A267" s="30">
        <v>0.26784831900023492</v>
      </c>
      <c r="B267"/>
      <c r="C267"/>
      <c r="D267"/>
      <c r="E267"/>
      <c r="F267" s="27" t="s">
        <v>7</v>
      </c>
    </row>
    <row r="268" spans="1:182" x14ac:dyDescent="0.25">
      <c r="A268" s="30">
        <v>0.25509363714308075</v>
      </c>
      <c r="B268"/>
      <c r="C268"/>
      <c r="D268"/>
      <c r="E268"/>
      <c r="F268" s="27" t="s">
        <v>7</v>
      </c>
      <c r="FS268" s="27" t="s">
        <v>8</v>
      </c>
      <c r="FU268" s="27" t="s">
        <v>8</v>
      </c>
    </row>
    <row r="269" spans="1:182" x14ac:dyDescent="0.25">
      <c r="A269" s="30">
        <v>0.24294632108864825</v>
      </c>
      <c r="B269"/>
      <c r="C269"/>
      <c r="D269"/>
      <c r="E269"/>
      <c r="F269" s="27" t="s">
        <v>7</v>
      </c>
      <c r="FS269" s="27" t="s">
        <v>8</v>
      </c>
      <c r="FT269" s="27" t="s">
        <v>7</v>
      </c>
      <c r="FU269" s="27" t="s">
        <v>8</v>
      </c>
      <c r="FV269" s="27" t="s">
        <v>7</v>
      </c>
    </row>
    <row r="270" spans="1:182" x14ac:dyDescent="0.25">
      <c r="A270" s="30">
        <v>0.23137744865585538</v>
      </c>
      <c r="B270"/>
      <c r="C270"/>
      <c r="D270"/>
      <c r="E270"/>
      <c r="F270" s="27" t="s">
        <v>7</v>
      </c>
      <c r="FS270" s="27" t="s">
        <v>8</v>
      </c>
      <c r="FT270" s="27" t="s">
        <v>7</v>
      </c>
      <c r="FU270" s="27" t="s">
        <v>8</v>
      </c>
      <c r="FV270" s="27" t="s">
        <v>7</v>
      </c>
      <c r="FY270" s="27" t="s">
        <v>8</v>
      </c>
    </row>
    <row r="271" spans="1:182" x14ac:dyDescent="0.25">
      <c r="A271" s="30">
        <v>0.22035947491033836</v>
      </c>
      <c r="B271"/>
      <c r="C271"/>
      <c r="D271"/>
      <c r="E271"/>
      <c r="F271" s="27" t="s">
        <v>7</v>
      </c>
      <c r="FS271" s="27" t="s">
        <v>8</v>
      </c>
      <c r="FT271" s="27" t="s">
        <v>7</v>
      </c>
      <c r="FU271" s="27" t="s">
        <v>8</v>
      </c>
      <c r="FV271" s="27" t="s">
        <v>7</v>
      </c>
      <c r="FY271" s="27" t="s">
        <v>8</v>
      </c>
      <c r="FZ271" s="27" t="s">
        <v>7</v>
      </c>
    </row>
    <row r="272" spans="1:182" x14ac:dyDescent="0.25">
      <c r="A272" s="30">
        <v>0.20986616658127455</v>
      </c>
      <c r="B272"/>
      <c r="C272"/>
      <c r="D272"/>
      <c r="E272"/>
      <c r="F272" s="27" t="s">
        <v>7</v>
      </c>
      <c r="FS272" s="27" t="s">
        <v>8</v>
      </c>
      <c r="FT272" s="27" t="s">
        <v>7</v>
      </c>
      <c r="FU272" s="27" t="s">
        <v>8</v>
      </c>
      <c r="FV272" s="27" t="s">
        <v>7</v>
      </c>
      <c r="FW272" s="27" t="s">
        <v>8</v>
      </c>
      <c r="FY272" s="27" t="s">
        <v>8</v>
      </c>
      <c r="FZ272" s="27" t="s">
        <v>7</v>
      </c>
    </row>
    <row r="273" spans="1:192" x14ac:dyDescent="0.25">
      <c r="A273" s="30">
        <v>0.19987253960121379</v>
      </c>
      <c r="B273"/>
      <c r="C273"/>
      <c r="D273"/>
      <c r="E273"/>
      <c r="F273" s="27" t="s">
        <v>7</v>
      </c>
      <c r="FS273" s="27" t="s">
        <v>8</v>
      </c>
      <c r="FT273" s="27" t="s">
        <v>7</v>
      </c>
      <c r="FU273" s="27" t="s">
        <v>8</v>
      </c>
      <c r="FV273" s="27" t="s">
        <v>7</v>
      </c>
      <c r="FW273" s="27" t="s">
        <v>8</v>
      </c>
      <c r="FX273" s="27" t="s">
        <v>7</v>
      </c>
      <c r="FY273" s="27" t="s">
        <v>8</v>
      </c>
      <c r="FZ273" s="27" t="s">
        <v>7</v>
      </c>
    </row>
    <row r="274" spans="1:192" x14ac:dyDescent="0.25">
      <c r="A274" s="30">
        <v>0.19035479962020352</v>
      </c>
      <c r="B274"/>
      <c r="C274"/>
      <c r="D274"/>
      <c r="E274"/>
      <c r="F274" s="27" t="s">
        <v>7</v>
      </c>
      <c r="FS274" s="27" t="s">
        <v>8</v>
      </c>
      <c r="FT274" s="27" t="s">
        <v>7</v>
      </c>
      <c r="FU274" s="27" t="s">
        <v>8</v>
      </c>
      <c r="FV274" s="27" t="s">
        <v>7</v>
      </c>
      <c r="FW274" s="27" t="s">
        <v>8</v>
      </c>
      <c r="FX274" s="27" t="s">
        <v>7</v>
      </c>
      <c r="FY274" s="27" t="s">
        <v>8</v>
      </c>
      <c r="FZ274" s="27" t="s">
        <v>7</v>
      </c>
    </row>
    <row r="275" spans="1:192" x14ac:dyDescent="0.25">
      <c r="A275" s="30">
        <v>0.18129028535257471</v>
      </c>
      <c r="B275"/>
      <c r="C275"/>
      <c r="D275"/>
      <c r="E275"/>
      <c r="F275" s="27" t="s">
        <v>7</v>
      </c>
      <c r="FQ275" s="27" t="s">
        <v>8</v>
      </c>
      <c r="FS275" s="27" t="s">
        <v>8</v>
      </c>
      <c r="FT275" s="27" t="s">
        <v>7</v>
      </c>
      <c r="FU275" s="27" t="s">
        <v>8</v>
      </c>
      <c r="FV275" s="27" t="s">
        <v>7</v>
      </c>
      <c r="FX275" s="27" t="s">
        <v>7</v>
      </c>
      <c r="FY275" s="27" t="s">
        <v>8</v>
      </c>
      <c r="FZ275" s="27" t="s">
        <v>7</v>
      </c>
    </row>
    <row r="276" spans="1:192" x14ac:dyDescent="0.25">
      <c r="A276" s="30">
        <v>0.17265741462149967</v>
      </c>
      <c r="B276"/>
      <c r="C276"/>
      <c r="D276"/>
      <c r="E276"/>
      <c r="F276" s="27" t="s">
        <v>7</v>
      </c>
      <c r="FQ276" s="27" t="s">
        <v>8</v>
      </c>
      <c r="FR276" s="27" t="s">
        <v>7</v>
      </c>
      <c r="FS276" s="27" t="s">
        <v>8</v>
      </c>
      <c r="FT276" s="27" t="s">
        <v>7</v>
      </c>
      <c r="FU276" s="27" t="s">
        <v>8</v>
      </c>
      <c r="FX276" s="27" t="s">
        <v>7</v>
      </c>
      <c r="FZ276" s="27" t="s">
        <v>7</v>
      </c>
    </row>
    <row r="277" spans="1:192" x14ac:dyDescent="0.25">
      <c r="A277" s="30">
        <v>0.16443563297285677</v>
      </c>
      <c r="B277"/>
      <c r="C277"/>
      <c r="D277"/>
      <c r="E277"/>
      <c r="F277" s="27" t="s">
        <v>7</v>
      </c>
      <c r="FQ277" s="27" t="s">
        <v>8</v>
      </c>
      <c r="FR277" s="27" t="s">
        <v>7</v>
      </c>
      <c r="FS277" s="27" t="s">
        <v>8</v>
      </c>
      <c r="FT277" s="27" t="s">
        <v>7</v>
      </c>
      <c r="FU277" s="27" t="s">
        <v>8</v>
      </c>
      <c r="FZ277" s="27" t="s">
        <v>7</v>
      </c>
      <c r="GA277" s="27" t="s">
        <v>8</v>
      </c>
    </row>
    <row r="278" spans="1:192" x14ac:dyDescent="0.25">
      <c r="A278" s="30">
        <v>0.15660536473605399</v>
      </c>
      <c r="B278"/>
      <c r="C278"/>
      <c r="D278"/>
      <c r="E278"/>
      <c r="F278" s="27" t="s">
        <v>7</v>
      </c>
      <c r="FQ278" s="27" t="s">
        <v>8</v>
      </c>
      <c r="FR278" s="27" t="s">
        <v>7</v>
      </c>
      <c r="FS278" s="27" t="s">
        <v>8</v>
      </c>
      <c r="FT278" s="27" t="s">
        <v>7</v>
      </c>
      <c r="FZ278" s="27" t="s">
        <v>7</v>
      </c>
      <c r="GA278" s="27" t="s">
        <v>8</v>
      </c>
      <c r="GB278" s="27" t="s">
        <v>7</v>
      </c>
    </row>
    <row r="279" spans="1:192" x14ac:dyDescent="0.25">
      <c r="A279" s="30">
        <v>0.14914796641528946</v>
      </c>
      <c r="B279"/>
      <c r="C279"/>
      <c r="D279"/>
      <c r="E279"/>
      <c r="F279" s="27" t="s">
        <v>7</v>
      </c>
      <c r="EY279" s="27" t="s">
        <v>8</v>
      </c>
      <c r="FQ279" s="27" t="s">
        <v>8</v>
      </c>
      <c r="FR279" s="27" t="s">
        <v>7</v>
      </c>
      <c r="FS279" s="27" t="s">
        <v>8</v>
      </c>
      <c r="FZ279" s="27" t="s">
        <v>7</v>
      </c>
      <c r="GA279" s="27" t="s">
        <v>8</v>
      </c>
      <c r="GB279" s="27" t="s">
        <v>7</v>
      </c>
      <c r="GG279" s="27" t="s">
        <v>8</v>
      </c>
    </row>
    <row r="280" spans="1:192" x14ac:dyDescent="0.25">
      <c r="A280" s="30">
        <v>0.14204568230027562</v>
      </c>
      <c r="B280"/>
      <c r="C280"/>
      <c r="D280"/>
      <c r="E280"/>
      <c r="F280" s="27" t="s">
        <v>7</v>
      </c>
      <c r="EY280" s="27" t="s">
        <v>8</v>
      </c>
      <c r="EZ280" s="27" t="s">
        <v>7</v>
      </c>
      <c r="FQ280" s="27" t="s">
        <v>8</v>
      </c>
      <c r="FR280" s="27" t="s">
        <v>7</v>
      </c>
      <c r="FS280" s="27" t="s">
        <v>8</v>
      </c>
      <c r="FZ280" s="27" t="s">
        <v>7</v>
      </c>
      <c r="GB280" s="27" t="s">
        <v>7</v>
      </c>
      <c r="GE280" s="27" t="s">
        <v>8</v>
      </c>
      <c r="GG280" s="27" t="s">
        <v>8</v>
      </c>
      <c r="GH280" s="27" t="s">
        <v>7</v>
      </c>
    </row>
    <row r="281" spans="1:192" x14ac:dyDescent="0.25">
      <c r="A281" s="30">
        <v>0.13528160219073862</v>
      </c>
      <c r="B281"/>
      <c r="C281"/>
      <c r="D281"/>
      <c r="E281"/>
      <c r="F281" s="27" t="s">
        <v>7</v>
      </c>
      <c r="EY281" s="27" t="s">
        <v>8</v>
      </c>
      <c r="EZ281" s="27" t="s">
        <v>7</v>
      </c>
      <c r="FQ281" s="27" t="s">
        <v>8</v>
      </c>
      <c r="FR281" s="27" t="s">
        <v>7</v>
      </c>
      <c r="FS281" s="27" t="s">
        <v>8</v>
      </c>
      <c r="GB281" s="27" t="s">
        <v>7</v>
      </c>
      <c r="GE281" s="27" t="s">
        <v>8</v>
      </c>
      <c r="GF281" s="27" t="s">
        <v>7</v>
      </c>
      <c r="GG281" s="27" t="s">
        <v>8</v>
      </c>
      <c r="GH281" s="27" t="s">
        <v>7</v>
      </c>
    </row>
    <row r="282" spans="1:192" x14ac:dyDescent="0.25">
      <c r="A282" s="30">
        <v>0.12883962113403674</v>
      </c>
      <c r="B282"/>
      <c r="C282"/>
      <c r="D282"/>
      <c r="E282"/>
      <c r="F282" s="27" t="s">
        <v>7</v>
      </c>
      <c r="EY282" s="27" t="s">
        <v>8</v>
      </c>
      <c r="EZ282" s="27" t="s">
        <v>7</v>
      </c>
      <c r="FQ282" s="27" t="s">
        <v>8</v>
      </c>
      <c r="FR282" s="27" t="s">
        <v>7</v>
      </c>
      <c r="FS282" s="27" t="s">
        <v>8</v>
      </c>
      <c r="GB282" s="27" t="s">
        <v>7</v>
      </c>
      <c r="GC282" s="27" t="s">
        <v>8</v>
      </c>
      <c r="GE282" s="27" t="s">
        <v>8</v>
      </c>
      <c r="GF282" s="27" t="s">
        <v>7</v>
      </c>
      <c r="GG282" s="27" t="s">
        <v>8</v>
      </c>
      <c r="GH282" s="27" t="s">
        <v>7</v>
      </c>
    </row>
    <row r="283" spans="1:192" x14ac:dyDescent="0.25">
      <c r="A283" s="30">
        <v>0.12270440108003494</v>
      </c>
      <c r="B283"/>
      <c r="C283"/>
      <c r="D283"/>
      <c r="E283"/>
      <c r="F283" s="27" t="s">
        <v>7</v>
      </c>
      <c r="EY283" s="27" t="s">
        <v>8</v>
      </c>
      <c r="EZ283" s="27" t="s">
        <v>7</v>
      </c>
      <c r="FQ283" s="27" t="s">
        <v>8</v>
      </c>
      <c r="FR283" s="27" t="s">
        <v>7</v>
      </c>
      <c r="FS283" s="27" t="s">
        <v>8</v>
      </c>
      <c r="GB283" s="27" t="s">
        <v>7</v>
      </c>
      <c r="GC283" s="27" t="s">
        <v>8</v>
      </c>
      <c r="GD283" s="27" t="s">
        <v>7</v>
      </c>
      <c r="GE283" s="27" t="s">
        <v>8</v>
      </c>
      <c r="GF283" s="27" t="s">
        <v>7</v>
      </c>
      <c r="GG283" s="27" t="s">
        <v>8</v>
      </c>
      <c r="GH283" s="27" t="s">
        <v>7</v>
      </c>
    </row>
    <row r="284" spans="1:192" x14ac:dyDescent="0.25">
      <c r="A284" s="30">
        <v>0.11686133436193799</v>
      </c>
      <c r="B284"/>
      <c r="C284"/>
      <c r="D284"/>
      <c r="E284"/>
      <c r="F284" s="27" t="s">
        <v>7</v>
      </c>
      <c r="EY284" s="27" t="s">
        <v>8</v>
      </c>
      <c r="EZ284" s="27" t="s">
        <v>7</v>
      </c>
      <c r="FQ284" s="27" t="s">
        <v>8</v>
      </c>
      <c r="FR284" s="27" t="s">
        <v>7</v>
      </c>
      <c r="FS284" s="27" t="s">
        <v>8</v>
      </c>
      <c r="GB284" s="27" t="s">
        <v>7</v>
      </c>
      <c r="GC284" s="27" t="s">
        <v>8</v>
      </c>
      <c r="GD284" s="27" t="s">
        <v>7</v>
      </c>
      <c r="GE284" s="27" t="s">
        <v>8</v>
      </c>
      <c r="GF284" s="27" t="s">
        <v>7</v>
      </c>
      <c r="GG284" s="27" t="s">
        <v>8</v>
      </c>
      <c r="GH284" s="27" t="s">
        <v>7</v>
      </c>
      <c r="GI284" s="27" t="s">
        <v>8</v>
      </c>
    </row>
    <row r="285" spans="1:192" x14ac:dyDescent="0.25">
      <c r="A285" s="30">
        <v>0.11129650891613138</v>
      </c>
      <c r="B285"/>
      <c r="C285"/>
      <c r="D285"/>
      <c r="E285"/>
      <c r="F285" s="27" t="s">
        <v>7</v>
      </c>
      <c r="EY285" s="27" t="s">
        <v>8</v>
      </c>
      <c r="EZ285" s="27" t="s">
        <v>7</v>
      </c>
      <c r="FQ285" s="27" t="s">
        <v>8</v>
      </c>
      <c r="FR285" s="27" t="s">
        <v>7</v>
      </c>
      <c r="FS285" s="27" t="s">
        <v>8</v>
      </c>
      <c r="GB285" s="27" t="s">
        <v>7</v>
      </c>
      <c r="GD285" s="27" t="s">
        <v>7</v>
      </c>
      <c r="GE285" s="27" t="s">
        <v>8</v>
      </c>
      <c r="GF285" s="27" t="s">
        <v>7</v>
      </c>
      <c r="GG285" s="27" t="s">
        <v>8</v>
      </c>
      <c r="GH285" s="27" t="s">
        <v>7</v>
      </c>
      <c r="GI285" s="27" t="s">
        <v>8</v>
      </c>
      <c r="GJ285" s="27" t="s">
        <v>7</v>
      </c>
    </row>
    <row r="286" spans="1:192" x14ac:dyDescent="0.25">
      <c r="A286" s="30">
        <v>0.10599667515822032</v>
      </c>
      <c r="B286"/>
      <c r="C286"/>
      <c r="D286"/>
      <c r="E286"/>
      <c r="F286" s="27" t="s">
        <v>7</v>
      </c>
      <c r="EY286" s="27" t="s">
        <v>8</v>
      </c>
      <c r="EZ286" s="27" t="s">
        <v>7</v>
      </c>
      <c r="FQ286" s="27" t="s">
        <v>8</v>
      </c>
      <c r="FR286" s="27" t="s">
        <v>7</v>
      </c>
      <c r="FS286" s="27" t="s">
        <v>8</v>
      </c>
      <c r="GD286" s="27" t="s">
        <v>7</v>
      </c>
      <c r="GF286" s="27" t="s">
        <v>7</v>
      </c>
      <c r="GH286" s="27" t="s">
        <v>7</v>
      </c>
      <c r="GI286" s="27" t="s">
        <v>8</v>
      </c>
      <c r="GJ286" s="27" t="s">
        <v>7</v>
      </c>
    </row>
    <row r="287" spans="1:192" x14ac:dyDescent="0.25">
      <c r="A287" s="30">
        <v>0.10094921443640027</v>
      </c>
      <c r="B287"/>
      <c r="C287"/>
      <c r="D287"/>
      <c r="E287"/>
      <c r="F287" s="27" t="s">
        <v>7</v>
      </c>
      <c r="EY287" s="27" t="s">
        <v>8</v>
      </c>
      <c r="EZ287" s="27" t="s">
        <v>7</v>
      </c>
      <c r="FA287" s="27" t="s">
        <v>8</v>
      </c>
      <c r="FQ287" s="27" t="s">
        <v>8</v>
      </c>
      <c r="FR287" s="27" t="s">
        <v>7</v>
      </c>
      <c r="GH287" s="27" t="s">
        <v>7</v>
      </c>
      <c r="GI287" s="27" t="s">
        <v>8</v>
      </c>
      <c r="GJ287" s="27" t="s">
        <v>7</v>
      </c>
    </row>
    <row r="288" spans="1:192" x14ac:dyDescent="0.25">
      <c r="A288" s="30">
        <v>9.6142108987047836E-2</v>
      </c>
      <c r="B288"/>
      <c r="C288"/>
      <c r="D288"/>
      <c r="E288"/>
      <c r="F288" s="27" t="s">
        <v>7</v>
      </c>
      <c r="EY288" s="27" t="s">
        <v>8</v>
      </c>
      <c r="EZ288" s="27" t="s">
        <v>7</v>
      </c>
      <c r="FA288" s="27" t="s">
        <v>8</v>
      </c>
      <c r="FB288" s="27" t="s">
        <v>7</v>
      </c>
      <c r="FQ288" s="27" t="s">
        <v>8</v>
      </c>
      <c r="GH288" s="27" t="s">
        <v>7</v>
      </c>
      <c r="GJ288" s="27" t="s">
        <v>7</v>
      </c>
    </row>
    <row r="289" spans="1:195" x14ac:dyDescent="0.25">
      <c r="A289" s="30">
        <v>9.1563913320997906E-2</v>
      </c>
      <c r="B289"/>
      <c r="C289"/>
      <c r="D289"/>
      <c r="E289"/>
      <c r="F289" s="27" t="s">
        <v>7</v>
      </c>
      <c r="EY289" s="27" t="s">
        <v>8</v>
      </c>
      <c r="EZ289" s="27" t="s">
        <v>7</v>
      </c>
      <c r="FA289" s="27" t="s">
        <v>8</v>
      </c>
      <c r="FB289" s="27" t="s">
        <v>7</v>
      </c>
      <c r="FE289" s="27" t="s">
        <v>8</v>
      </c>
      <c r="FQ289" s="27" t="s">
        <v>8</v>
      </c>
      <c r="GJ289" s="27" t="s">
        <v>7</v>
      </c>
    </row>
    <row r="290" spans="1:195" x14ac:dyDescent="0.25">
      <c r="A290" s="30">
        <v>8.7203726972378923E-2</v>
      </c>
      <c r="B290"/>
      <c r="C290"/>
      <c r="D290"/>
      <c r="E290"/>
      <c r="F290" s="27" t="s">
        <v>7</v>
      </c>
      <c r="EY290" s="27" t="s">
        <v>8</v>
      </c>
      <c r="EZ290" s="27" t="s">
        <v>7</v>
      </c>
      <c r="FA290" s="27" t="s">
        <v>8</v>
      </c>
      <c r="FB290" s="27" t="s">
        <v>7</v>
      </c>
      <c r="FE290" s="27" t="s">
        <v>8</v>
      </c>
      <c r="FF290" s="27" t="s">
        <v>7</v>
      </c>
      <c r="FG290" s="27" t="s">
        <v>8</v>
      </c>
      <c r="FQ290" s="27" t="s">
        <v>8</v>
      </c>
      <c r="GJ290" s="27" t="s">
        <v>7</v>
      </c>
    </row>
    <row r="291" spans="1:195" x14ac:dyDescent="0.25">
      <c r="A291" s="30">
        <v>8.3051168545122747E-2</v>
      </c>
      <c r="B291"/>
      <c r="C291"/>
      <c r="D291"/>
      <c r="E291"/>
      <c r="F291" s="27" t="s">
        <v>7</v>
      </c>
      <c r="EC291" s="27" t="s">
        <v>8</v>
      </c>
      <c r="EY291" s="27" t="s">
        <v>8</v>
      </c>
      <c r="EZ291" s="27" t="s">
        <v>7</v>
      </c>
      <c r="FB291" s="27" t="s">
        <v>7</v>
      </c>
      <c r="FC291" s="27" t="s">
        <v>8</v>
      </c>
      <c r="FE291" s="27" t="s">
        <v>8</v>
      </c>
      <c r="FF291" s="27" t="s">
        <v>7</v>
      </c>
      <c r="FG291" s="27" t="s">
        <v>8</v>
      </c>
      <c r="FH291" s="27" t="s">
        <v>7</v>
      </c>
      <c r="FO291" s="27" t="s">
        <v>8</v>
      </c>
      <c r="FQ291" s="27" t="s">
        <v>8</v>
      </c>
      <c r="GJ291" s="27" t="s">
        <v>7</v>
      </c>
    </row>
    <row r="292" spans="1:195" x14ac:dyDescent="0.25">
      <c r="A292" s="30">
        <v>7.9096350995354961E-2</v>
      </c>
      <c r="B292"/>
      <c r="C292"/>
      <c r="D292"/>
      <c r="E292"/>
      <c r="F292" s="27" t="s">
        <v>7</v>
      </c>
      <c r="EC292" s="27" t="s">
        <v>8</v>
      </c>
      <c r="ED292" s="27" t="s">
        <v>7</v>
      </c>
      <c r="EY292" s="27" t="s">
        <v>8</v>
      </c>
      <c r="FB292" s="27" t="s">
        <v>7</v>
      </c>
      <c r="FC292" s="27" t="s">
        <v>8</v>
      </c>
      <c r="FD292" s="27" t="s">
        <v>7</v>
      </c>
      <c r="FE292" s="27" t="s">
        <v>8</v>
      </c>
      <c r="FF292" s="27" t="s">
        <v>7</v>
      </c>
      <c r="FG292" s="27" t="s">
        <v>8</v>
      </c>
      <c r="FH292" s="27" t="s">
        <v>7</v>
      </c>
      <c r="FO292" s="27" t="s">
        <v>8</v>
      </c>
      <c r="FP292" s="27" t="s">
        <v>7</v>
      </c>
      <c r="FQ292" s="27" t="s">
        <v>8</v>
      </c>
      <c r="GJ292" s="27" t="s">
        <v>7</v>
      </c>
      <c r="GM292" s="27" t="s">
        <v>8</v>
      </c>
    </row>
    <row r="293" spans="1:195" x14ac:dyDescent="0.25">
      <c r="A293" s="30">
        <v>7.5329858090814217E-2</v>
      </c>
      <c r="B293"/>
      <c r="C293"/>
      <c r="D293"/>
      <c r="E293"/>
      <c r="F293" s="27" t="s">
        <v>7</v>
      </c>
      <c r="EC293" s="27" t="s">
        <v>8</v>
      </c>
      <c r="ED293" s="27" t="s">
        <v>7</v>
      </c>
      <c r="EY293" s="27" t="s">
        <v>8</v>
      </c>
      <c r="FB293" s="27" t="s">
        <v>7</v>
      </c>
      <c r="FC293" s="27" t="s">
        <v>8</v>
      </c>
      <c r="FD293" s="27" t="s">
        <v>7</v>
      </c>
      <c r="FE293" s="27" t="s">
        <v>8</v>
      </c>
      <c r="FF293" s="27" t="s">
        <v>7</v>
      </c>
      <c r="FG293" s="27" t="s">
        <v>8</v>
      </c>
      <c r="FH293" s="27" t="s">
        <v>7</v>
      </c>
      <c r="FM293" s="27" t="s">
        <v>8</v>
      </c>
      <c r="FO293" s="27" t="s">
        <v>8</v>
      </c>
      <c r="FP293" s="27" t="s">
        <v>7</v>
      </c>
      <c r="FQ293" s="27" t="s">
        <v>8</v>
      </c>
      <c r="GJ293" s="27" t="s">
        <v>7</v>
      </c>
      <c r="GK293" s="27" t="s">
        <v>8</v>
      </c>
      <c r="GM293" s="27" t="s">
        <v>8</v>
      </c>
    </row>
    <row r="294" spans="1:195" x14ac:dyDescent="0.25">
      <c r="A294" s="30">
        <v>7.1742721991251604E-2</v>
      </c>
      <c r="B294"/>
      <c r="C294"/>
      <c r="D294"/>
      <c r="E294"/>
      <c r="F294" s="27" t="s">
        <v>7</v>
      </c>
      <c r="EC294" s="27" t="s">
        <v>8</v>
      </c>
      <c r="ED294" s="27" t="s">
        <v>7</v>
      </c>
      <c r="EY294" s="27" t="s">
        <v>8</v>
      </c>
      <c r="FB294" s="27" t="s">
        <v>7</v>
      </c>
      <c r="FD294" s="27" t="s">
        <v>7</v>
      </c>
      <c r="FF294" s="27" t="s">
        <v>7</v>
      </c>
      <c r="FH294" s="27" t="s">
        <v>7</v>
      </c>
      <c r="FI294" s="27" t="s">
        <v>8</v>
      </c>
      <c r="FK294" s="27" t="s">
        <v>8</v>
      </c>
      <c r="FM294" s="27" t="s">
        <v>8</v>
      </c>
      <c r="FN294" s="27" t="s">
        <v>7</v>
      </c>
      <c r="FO294" s="27" t="s">
        <v>8</v>
      </c>
      <c r="FP294" s="27" t="s">
        <v>7</v>
      </c>
      <c r="FQ294" s="27" t="s">
        <v>8</v>
      </c>
      <c r="GJ294" s="27" t="s">
        <v>7</v>
      </c>
      <c r="GK294" s="27" t="s">
        <v>8</v>
      </c>
      <c r="GL294" s="27" t="s">
        <v>7</v>
      </c>
      <c r="GM294" s="27" t="s">
        <v>8</v>
      </c>
    </row>
    <row r="295" spans="1:195" x14ac:dyDescent="0.25">
      <c r="A295" s="30">
        <v>6.8326401896430078E-2</v>
      </c>
      <c r="B295"/>
      <c r="C295"/>
      <c r="D295"/>
      <c r="E295"/>
      <c r="F295" s="27" t="s">
        <v>7</v>
      </c>
      <c r="EC295" s="27" t="s">
        <v>8</v>
      </c>
      <c r="ED295" s="27" t="s">
        <v>7</v>
      </c>
      <c r="EY295" s="27" t="s">
        <v>8</v>
      </c>
      <c r="FH295" s="27" t="s">
        <v>7</v>
      </c>
      <c r="FI295" s="27" t="s">
        <v>8</v>
      </c>
      <c r="FJ295" s="27" t="s">
        <v>7</v>
      </c>
      <c r="FK295" s="27" t="s">
        <v>8</v>
      </c>
      <c r="FL295" s="27" t="s">
        <v>7</v>
      </c>
      <c r="FM295" s="27" t="s">
        <v>8</v>
      </c>
      <c r="FN295" s="27" t="s">
        <v>7</v>
      </c>
      <c r="FO295" s="27" t="s">
        <v>8</v>
      </c>
      <c r="FP295" s="27" t="s">
        <v>7</v>
      </c>
      <c r="FQ295" s="27" t="s">
        <v>8</v>
      </c>
      <c r="GJ295" s="27" t="s">
        <v>7</v>
      </c>
      <c r="GK295" s="27" t="s">
        <v>8</v>
      </c>
      <c r="GL295" s="27" t="s">
        <v>7</v>
      </c>
      <c r="GM295" s="27" t="s">
        <v>8</v>
      </c>
    </row>
    <row r="296" spans="1:195" x14ac:dyDescent="0.25">
      <c r="A296" s="30">
        <v>6.5072763710885759E-2</v>
      </c>
      <c r="B296"/>
      <c r="C296"/>
      <c r="D296"/>
      <c r="E296"/>
      <c r="F296" s="27" t="s">
        <v>7</v>
      </c>
      <c r="EC296" s="27" t="s">
        <v>8</v>
      </c>
      <c r="ED296" s="27" t="s">
        <v>7</v>
      </c>
      <c r="EY296" s="27" t="s">
        <v>8</v>
      </c>
      <c r="FH296" s="27" t="s">
        <v>7</v>
      </c>
      <c r="FI296" s="27" t="s">
        <v>8</v>
      </c>
      <c r="FJ296" s="27" t="s">
        <v>7</v>
      </c>
      <c r="FK296" s="27" t="s">
        <v>8</v>
      </c>
      <c r="FL296" s="27" t="s">
        <v>7</v>
      </c>
      <c r="FM296" s="27" t="s">
        <v>8</v>
      </c>
      <c r="FN296" s="27" t="s">
        <v>7</v>
      </c>
      <c r="FO296" s="27" t="s">
        <v>8</v>
      </c>
      <c r="FP296" s="27" t="s">
        <v>7</v>
      </c>
      <c r="FQ296" s="27" t="s">
        <v>8</v>
      </c>
      <c r="GJ296" s="27" t="s">
        <v>7</v>
      </c>
      <c r="GL296" s="27" t="s">
        <v>7</v>
      </c>
    </row>
    <row r="297" spans="1:195" x14ac:dyDescent="0.25">
      <c r="A297" s="30">
        <v>6.197406067703403E-2</v>
      </c>
      <c r="B297"/>
      <c r="C297"/>
      <c r="D297"/>
      <c r="E297"/>
      <c r="F297" s="27" t="s">
        <v>7</v>
      </c>
      <c r="EC297" s="27" t="s">
        <v>8</v>
      </c>
      <c r="ED297" s="27" t="s">
        <v>7</v>
      </c>
      <c r="EY297" s="27" t="s">
        <v>8</v>
      </c>
      <c r="FH297" s="27" t="s">
        <v>7</v>
      </c>
      <c r="FI297" s="27" t="s">
        <v>8</v>
      </c>
      <c r="FJ297" s="27" t="s">
        <v>7</v>
      </c>
      <c r="FK297" s="27" t="s">
        <v>8</v>
      </c>
      <c r="FL297" s="27" t="s">
        <v>7</v>
      </c>
      <c r="FM297" s="27" t="s">
        <v>8</v>
      </c>
      <c r="FN297" s="27" t="s">
        <v>7</v>
      </c>
      <c r="FO297" s="27" t="s">
        <v>8</v>
      </c>
      <c r="FP297" s="27" t="s">
        <v>7</v>
      </c>
      <c r="FQ297" s="27" t="s">
        <v>8</v>
      </c>
    </row>
    <row r="298" spans="1:195" x14ac:dyDescent="0.25">
      <c r="A298" s="30">
        <v>5.9022914930508576E-2</v>
      </c>
      <c r="B298"/>
      <c r="C298"/>
      <c r="D298"/>
      <c r="E298"/>
      <c r="F298" s="27" t="s">
        <v>7</v>
      </c>
      <c r="EC298" s="27" t="s">
        <v>8</v>
      </c>
      <c r="ED298" s="27" t="s">
        <v>7</v>
      </c>
      <c r="EY298" s="27" t="s">
        <v>8</v>
      </c>
      <c r="FH298" s="27" t="s">
        <v>7</v>
      </c>
      <c r="FI298" s="27" t="s">
        <v>8</v>
      </c>
      <c r="FJ298" s="27" t="s">
        <v>7</v>
      </c>
      <c r="FL298" s="27" t="s">
        <v>7</v>
      </c>
      <c r="FM298" s="27" t="s">
        <v>8</v>
      </c>
      <c r="FN298" s="27" t="s">
        <v>7</v>
      </c>
      <c r="FO298" s="27" t="s">
        <v>8</v>
      </c>
      <c r="FP298" s="27" t="s">
        <v>7</v>
      </c>
      <c r="FQ298" s="27" t="s">
        <v>8</v>
      </c>
    </row>
    <row r="299" spans="1:195" x14ac:dyDescent="0.25">
      <c r="A299" s="30">
        <v>5.6212299933817669E-2</v>
      </c>
      <c r="B299"/>
      <c r="C299"/>
      <c r="D299"/>
      <c r="E299"/>
      <c r="F299" s="27" t="s">
        <v>7</v>
      </c>
      <c r="DO299" s="27" t="s">
        <v>8</v>
      </c>
      <c r="DS299" s="27" t="s">
        <v>8</v>
      </c>
      <c r="DU299" s="27" t="s">
        <v>8</v>
      </c>
      <c r="EC299" s="27" t="s">
        <v>8</v>
      </c>
      <c r="ED299" s="27" t="s">
        <v>7</v>
      </c>
      <c r="EY299" s="27" t="s">
        <v>8</v>
      </c>
      <c r="FH299" s="27" t="s">
        <v>7</v>
      </c>
      <c r="FI299" s="27" t="s">
        <v>8</v>
      </c>
      <c r="FL299" s="27" t="s">
        <v>7</v>
      </c>
      <c r="FM299" s="27" t="s">
        <v>8</v>
      </c>
      <c r="FN299" s="27" t="s">
        <v>7</v>
      </c>
      <c r="FP299" s="27" t="s">
        <v>7</v>
      </c>
    </row>
    <row r="300" spans="1:195" x14ac:dyDescent="0.25">
      <c r="A300" s="30">
        <v>5.3535523746492994E-2</v>
      </c>
      <c r="B300"/>
      <c r="C300"/>
      <c r="D300"/>
      <c r="E300"/>
      <c r="F300" s="27" t="s">
        <v>7</v>
      </c>
      <c r="DO300" s="27" t="s">
        <v>8</v>
      </c>
      <c r="DP300" s="27" t="s">
        <v>7</v>
      </c>
      <c r="DS300" s="27" t="s">
        <v>8</v>
      </c>
      <c r="DT300" s="27" t="s">
        <v>7</v>
      </c>
      <c r="DU300" s="27" t="s">
        <v>8</v>
      </c>
      <c r="DV300" s="27" t="s">
        <v>7</v>
      </c>
      <c r="DW300" s="27" t="s">
        <v>8</v>
      </c>
      <c r="EC300" s="27" t="s">
        <v>8</v>
      </c>
      <c r="ED300" s="27" t="s">
        <v>7</v>
      </c>
      <c r="EY300" s="27" t="s">
        <v>8</v>
      </c>
      <c r="FH300" s="27" t="s">
        <v>7</v>
      </c>
      <c r="FL300" s="27" t="s">
        <v>7</v>
      </c>
      <c r="FM300" s="27" t="s">
        <v>8</v>
      </c>
    </row>
    <row r="301" spans="1:195" x14ac:dyDescent="0.25">
      <c r="A301" s="30">
        <v>5.0986213091898068E-2</v>
      </c>
      <c r="B301"/>
      <c r="C301"/>
      <c r="D301"/>
      <c r="E301"/>
      <c r="F301" s="27" t="s">
        <v>7</v>
      </c>
      <c r="DO301" s="27" t="s">
        <v>8</v>
      </c>
      <c r="DP301" s="27" t="s">
        <v>7</v>
      </c>
      <c r="DQ301" s="27" t="s">
        <v>8</v>
      </c>
      <c r="DS301" s="27" t="s">
        <v>8</v>
      </c>
      <c r="DT301" s="27" t="s">
        <v>7</v>
      </c>
      <c r="DU301" s="27" t="s">
        <v>8</v>
      </c>
      <c r="DV301" s="27" t="s">
        <v>7</v>
      </c>
      <c r="DW301" s="27" t="s">
        <v>8</v>
      </c>
      <c r="DX301" s="27" t="s">
        <v>7</v>
      </c>
      <c r="EC301" s="27" t="s">
        <v>8</v>
      </c>
      <c r="ED301" s="27" t="s">
        <v>7</v>
      </c>
      <c r="EY301" s="27" t="s">
        <v>8</v>
      </c>
      <c r="FL301" s="27" t="s">
        <v>7</v>
      </c>
      <c r="FM301" s="27" t="s">
        <v>8</v>
      </c>
    </row>
    <row r="302" spans="1:195" x14ac:dyDescent="0.25">
      <c r="A302" s="30">
        <v>4.8558298182760043E-2</v>
      </c>
      <c r="B302"/>
      <c r="C302"/>
      <c r="D302"/>
      <c r="E302"/>
      <c r="F302" s="27" t="s">
        <v>7</v>
      </c>
      <c r="DO302" s="27" t="s">
        <v>8</v>
      </c>
      <c r="DP302" s="27" t="s">
        <v>7</v>
      </c>
      <c r="DQ302" s="27" t="s">
        <v>8</v>
      </c>
      <c r="DR302" s="27" t="s">
        <v>7</v>
      </c>
      <c r="DS302" s="27" t="s">
        <v>8</v>
      </c>
      <c r="DT302" s="27" t="s">
        <v>7</v>
      </c>
      <c r="DU302" s="27" t="s">
        <v>8</v>
      </c>
      <c r="DV302" s="27" t="s">
        <v>7</v>
      </c>
      <c r="DW302" s="27" t="s">
        <v>8</v>
      </c>
      <c r="DX302" s="27" t="s">
        <v>7</v>
      </c>
      <c r="EC302" s="27" t="s">
        <v>8</v>
      </c>
      <c r="ED302" s="27" t="s">
        <v>7</v>
      </c>
      <c r="EE302" s="27" t="s">
        <v>8</v>
      </c>
      <c r="EY302" s="27" t="s">
        <v>8</v>
      </c>
      <c r="FL302" s="27" t="s">
        <v>7</v>
      </c>
    </row>
    <row r="303" spans="1:195" x14ac:dyDescent="0.25">
      <c r="A303" s="30">
        <v>4.6245998269295263E-2</v>
      </c>
      <c r="B303"/>
      <c r="C303"/>
      <c r="D303"/>
      <c r="E303"/>
      <c r="F303" s="27" t="s">
        <v>7</v>
      </c>
      <c r="DO303" s="27" t="s">
        <v>8</v>
      </c>
      <c r="DP303" s="27" t="s">
        <v>7</v>
      </c>
      <c r="DQ303" s="27" t="s">
        <v>8</v>
      </c>
      <c r="DR303" s="27" t="s">
        <v>7</v>
      </c>
      <c r="DS303" s="27" t="s">
        <v>8</v>
      </c>
      <c r="DT303" s="27" t="s">
        <v>7</v>
      </c>
      <c r="DU303" s="27" t="s">
        <v>8</v>
      </c>
      <c r="DV303" s="27" t="s">
        <v>7</v>
      </c>
      <c r="DX303" s="27" t="s">
        <v>7</v>
      </c>
      <c r="DY303" s="27" t="s">
        <v>8</v>
      </c>
      <c r="EC303" s="27" t="s">
        <v>8</v>
      </c>
      <c r="ED303" s="27" t="s">
        <v>7</v>
      </c>
      <c r="EE303" s="27" t="s">
        <v>8</v>
      </c>
      <c r="EF303" s="27" t="s">
        <v>7</v>
      </c>
      <c r="EY303" s="27" t="s">
        <v>8</v>
      </c>
    </row>
    <row r="304" spans="1:195" x14ac:dyDescent="0.25">
      <c r="A304" s="30">
        <v>4.4043807875519279E-2</v>
      </c>
      <c r="B304"/>
      <c r="C304"/>
      <c r="D304"/>
      <c r="E304"/>
      <c r="F304" s="27" t="s">
        <v>7</v>
      </c>
      <c r="DM304" s="27" t="s">
        <v>8</v>
      </c>
      <c r="DO304" s="27" t="s">
        <v>8</v>
      </c>
      <c r="DP304" s="27" t="s">
        <v>7</v>
      </c>
      <c r="DQ304" s="27" t="s">
        <v>8</v>
      </c>
      <c r="DR304" s="27" t="s">
        <v>7</v>
      </c>
      <c r="DS304" s="27" t="s">
        <v>8</v>
      </c>
      <c r="DT304" s="27" t="s">
        <v>7</v>
      </c>
      <c r="DX304" s="27" t="s">
        <v>7</v>
      </c>
      <c r="DY304" s="27" t="s">
        <v>8</v>
      </c>
      <c r="DZ304" s="27" t="s">
        <v>7</v>
      </c>
      <c r="EC304" s="27" t="s">
        <v>8</v>
      </c>
      <c r="ED304" s="27" t="s">
        <v>7</v>
      </c>
      <c r="EE304" s="27" t="s">
        <v>8</v>
      </c>
      <c r="EF304" s="27" t="s">
        <v>7</v>
      </c>
      <c r="EY304" s="27" t="s">
        <v>8</v>
      </c>
    </row>
    <row r="305" spans="1:167" x14ac:dyDescent="0.25">
      <c r="A305" s="30">
        <v>4.1946483690970725E-2</v>
      </c>
      <c r="B305"/>
      <c r="C305"/>
      <c r="D305"/>
      <c r="E305"/>
      <c r="F305" s="27" t="s">
        <v>7</v>
      </c>
      <c r="DM305" s="27" t="s">
        <v>8</v>
      </c>
      <c r="DN305" s="27" t="s">
        <v>7</v>
      </c>
      <c r="DO305" s="27" t="s">
        <v>8</v>
      </c>
      <c r="DP305" s="27" t="s">
        <v>7</v>
      </c>
      <c r="DQ305" s="27" t="s">
        <v>8</v>
      </c>
      <c r="DR305" s="27" t="s">
        <v>7</v>
      </c>
      <c r="DS305" s="27" t="s">
        <v>8</v>
      </c>
      <c r="DX305" s="27" t="s">
        <v>7</v>
      </c>
      <c r="DY305" s="27" t="s">
        <v>8</v>
      </c>
      <c r="DZ305" s="27" t="s">
        <v>7</v>
      </c>
      <c r="EC305" s="27" t="s">
        <v>8</v>
      </c>
      <c r="ED305" s="27" t="s">
        <v>7</v>
      </c>
      <c r="EF305" s="27" t="s">
        <v>7</v>
      </c>
      <c r="EY305" s="27" t="s">
        <v>8</v>
      </c>
    </row>
    <row r="306" spans="1:167" x14ac:dyDescent="0.25">
      <c r="A306" s="30">
        <v>3.9949032086638768E-2</v>
      </c>
      <c r="B306"/>
      <c r="C306"/>
      <c r="D306"/>
      <c r="E306"/>
      <c r="F306" s="27" t="s">
        <v>7</v>
      </c>
      <c r="DM306" s="27" t="s">
        <v>8</v>
      </c>
      <c r="DN306" s="27" t="s">
        <v>7</v>
      </c>
      <c r="DO306" s="27" t="s">
        <v>8</v>
      </c>
      <c r="DP306" s="27" t="s">
        <v>7</v>
      </c>
      <c r="DR306" s="27" t="s">
        <v>7</v>
      </c>
      <c r="DS306" s="27" t="s">
        <v>8</v>
      </c>
      <c r="DX306" s="27" t="s">
        <v>7</v>
      </c>
      <c r="DZ306" s="27" t="s">
        <v>7</v>
      </c>
      <c r="EC306" s="27" t="s">
        <v>8</v>
      </c>
      <c r="EF306" s="27" t="s">
        <v>7</v>
      </c>
      <c r="EG306" s="27" t="s">
        <v>8</v>
      </c>
      <c r="EY306" s="27" t="s">
        <v>8</v>
      </c>
    </row>
    <row r="307" spans="1:167" x14ac:dyDescent="0.25">
      <c r="A307" s="30">
        <v>3.8046697225370241E-2</v>
      </c>
      <c r="B307"/>
      <c r="C307"/>
      <c r="D307"/>
      <c r="E307"/>
      <c r="F307" s="27" t="s">
        <v>7</v>
      </c>
      <c r="DM307" s="27" t="s">
        <v>8</v>
      </c>
      <c r="DN307" s="27" t="s">
        <v>7</v>
      </c>
      <c r="DO307" s="27" t="s">
        <v>8</v>
      </c>
      <c r="DR307" s="27" t="s">
        <v>7</v>
      </c>
      <c r="DS307" s="27" t="s">
        <v>8</v>
      </c>
      <c r="DZ307" s="27" t="s">
        <v>7</v>
      </c>
      <c r="EA307" s="27" t="s">
        <v>8</v>
      </c>
      <c r="EC307" s="27" t="s">
        <v>8</v>
      </c>
      <c r="EF307" s="27" t="s">
        <v>7</v>
      </c>
      <c r="EG307" s="27" t="s">
        <v>8</v>
      </c>
      <c r="EH307" s="27" t="s">
        <v>7</v>
      </c>
      <c r="EY307" s="27" t="s">
        <v>8</v>
      </c>
    </row>
    <row r="308" spans="1:167" x14ac:dyDescent="0.25">
      <c r="A308" s="30">
        <v>3.6234949738447833E-2</v>
      </c>
      <c r="B308"/>
      <c r="C308"/>
      <c r="D308"/>
      <c r="E308"/>
      <c r="F308" s="27" t="s">
        <v>7</v>
      </c>
      <c r="CY308" s="27" t="s">
        <v>8</v>
      </c>
      <c r="DM308" s="27" t="s">
        <v>8</v>
      </c>
      <c r="DN308" s="27" t="s">
        <v>7</v>
      </c>
      <c r="DO308" s="27" t="s">
        <v>8</v>
      </c>
      <c r="DR308" s="27" t="s">
        <v>7</v>
      </c>
      <c r="DZ308" s="27" t="s">
        <v>7</v>
      </c>
      <c r="EA308" s="27" t="s">
        <v>8</v>
      </c>
      <c r="EB308" s="27" t="s">
        <v>7</v>
      </c>
      <c r="EC308" s="27" t="s">
        <v>8</v>
      </c>
      <c r="EF308" s="27" t="s">
        <v>7</v>
      </c>
      <c r="EG308" s="27" t="s">
        <v>8</v>
      </c>
      <c r="EH308" s="27" t="s">
        <v>7</v>
      </c>
      <c r="EI308" s="27" t="s">
        <v>8</v>
      </c>
      <c r="EY308" s="27" t="s">
        <v>8</v>
      </c>
    </row>
    <row r="309" spans="1:167" x14ac:dyDescent="0.25">
      <c r="A309" s="30">
        <v>3.4509475941378875E-2</v>
      </c>
      <c r="B309"/>
      <c r="C309"/>
      <c r="D309"/>
      <c r="E309"/>
      <c r="F309" s="27" t="s">
        <v>7</v>
      </c>
      <c r="CY309" s="27" t="s">
        <v>8</v>
      </c>
      <c r="CZ309" s="27" t="s">
        <v>7</v>
      </c>
      <c r="DM309" s="27" t="s">
        <v>8</v>
      </c>
      <c r="DN309" s="27" t="s">
        <v>7</v>
      </c>
      <c r="DZ309" s="27" t="s">
        <v>7</v>
      </c>
      <c r="EA309" s="27" t="s">
        <v>8</v>
      </c>
      <c r="EB309" s="27" t="s">
        <v>7</v>
      </c>
      <c r="EC309" s="27" t="s">
        <v>8</v>
      </c>
      <c r="EF309" s="27" t="s">
        <v>7</v>
      </c>
      <c r="EG309" s="27" t="s">
        <v>8</v>
      </c>
      <c r="EH309" s="27" t="s">
        <v>7</v>
      </c>
      <c r="EI309" s="27" t="s">
        <v>8</v>
      </c>
      <c r="EJ309" s="27" t="s">
        <v>7</v>
      </c>
      <c r="EY309" s="27" t="s">
        <v>8</v>
      </c>
    </row>
    <row r="310" spans="1:167" x14ac:dyDescent="0.25">
      <c r="A310" s="30">
        <v>3.286616756321796E-2</v>
      </c>
      <c r="B310"/>
      <c r="C310"/>
      <c r="D310"/>
      <c r="E310"/>
      <c r="F310" s="27" t="s">
        <v>7</v>
      </c>
      <c r="CY310" s="27" t="s">
        <v>8</v>
      </c>
      <c r="CZ310" s="27" t="s">
        <v>7</v>
      </c>
      <c r="DM310" s="27" t="s">
        <v>8</v>
      </c>
      <c r="DZ310" s="27" t="s">
        <v>7</v>
      </c>
      <c r="EB310" s="27" t="s">
        <v>7</v>
      </c>
      <c r="EF310" s="27" t="s">
        <v>7</v>
      </c>
      <c r="EG310" s="27" t="s">
        <v>8</v>
      </c>
      <c r="EH310" s="27" t="s">
        <v>7</v>
      </c>
      <c r="EI310" s="27" t="s">
        <v>8</v>
      </c>
      <c r="EJ310" s="27" t="s">
        <v>7</v>
      </c>
      <c r="EY310" s="27" t="s">
        <v>8</v>
      </c>
    </row>
    <row r="311" spans="1:167" x14ac:dyDescent="0.25">
      <c r="A311" s="30">
        <v>3.1301111964969472E-2</v>
      </c>
      <c r="B311"/>
      <c r="C311"/>
      <c r="D311"/>
      <c r="E311"/>
      <c r="F311" s="27" t="s">
        <v>7</v>
      </c>
      <c r="CY311" s="27" t="s">
        <v>8</v>
      </c>
      <c r="CZ311" s="27" t="s">
        <v>7</v>
      </c>
      <c r="DC311" s="27" t="s">
        <v>8</v>
      </c>
      <c r="DK311" s="27" t="s">
        <v>8</v>
      </c>
      <c r="DM311" s="27" t="s">
        <v>8</v>
      </c>
      <c r="EF311" s="27" t="s">
        <v>7</v>
      </c>
      <c r="EG311" s="27" t="s">
        <v>8</v>
      </c>
      <c r="EH311" s="27" t="s">
        <v>7</v>
      </c>
      <c r="EI311" s="27" t="s">
        <v>8</v>
      </c>
      <c r="EJ311" s="27" t="s">
        <v>7</v>
      </c>
      <c r="EY311" s="27" t="s">
        <v>8</v>
      </c>
      <c r="FK311" s="31"/>
    </row>
    <row r="312" spans="1:167" x14ac:dyDescent="0.25">
      <c r="A312" s="30">
        <v>2.9810582823780438E-2</v>
      </c>
      <c r="B312"/>
      <c r="C312"/>
      <c r="D312"/>
      <c r="E312"/>
      <c r="F312" s="27" t="s">
        <v>7</v>
      </c>
      <c r="CY312" s="27" t="s">
        <v>8</v>
      </c>
      <c r="CZ312" s="27" t="s">
        <v>7</v>
      </c>
      <c r="DC312" s="27" t="s">
        <v>8</v>
      </c>
      <c r="DD312" s="27" t="s">
        <v>7</v>
      </c>
      <c r="DK312" s="27" t="s">
        <v>8</v>
      </c>
      <c r="DL312" s="27" t="s">
        <v>7</v>
      </c>
      <c r="DM312" s="27" t="s">
        <v>8</v>
      </c>
      <c r="EF312" s="27" t="s">
        <v>7</v>
      </c>
      <c r="EG312" s="27" t="s">
        <v>8</v>
      </c>
      <c r="EH312" s="27" t="s">
        <v>7</v>
      </c>
      <c r="EI312" s="27" t="s">
        <v>8</v>
      </c>
      <c r="EJ312" s="27" t="s">
        <v>7</v>
      </c>
      <c r="EY312" s="27" t="s">
        <v>8</v>
      </c>
      <c r="FJ312" s="31"/>
    </row>
    <row r="313" spans="1:167" x14ac:dyDescent="0.25">
      <c r="A313" s="30">
        <v>2.8391031260743264E-2</v>
      </c>
      <c r="B313"/>
      <c r="C313"/>
      <c r="D313"/>
      <c r="E313"/>
      <c r="F313" s="27" t="s">
        <v>7</v>
      </c>
      <c r="CY313" s="27" t="s">
        <v>8</v>
      </c>
      <c r="CZ313" s="27" t="s">
        <v>7</v>
      </c>
      <c r="DA313" s="27" t="s">
        <v>8</v>
      </c>
      <c r="DC313" s="27" t="s">
        <v>8</v>
      </c>
      <c r="DD313" s="27" t="s">
        <v>7</v>
      </c>
      <c r="DI313" s="27" t="s">
        <v>8</v>
      </c>
      <c r="DK313" s="27" t="s">
        <v>8</v>
      </c>
      <c r="DL313" s="27" t="s">
        <v>7</v>
      </c>
      <c r="DM313" s="27" t="s">
        <v>8</v>
      </c>
      <c r="EF313" s="27" t="s">
        <v>7</v>
      </c>
      <c r="EG313" s="27" t="s">
        <v>8</v>
      </c>
      <c r="EH313" s="27" t="s">
        <v>7</v>
      </c>
      <c r="EI313" s="27" t="s">
        <v>8</v>
      </c>
      <c r="EJ313" s="27" t="s">
        <v>7</v>
      </c>
      <c r="EK313" s="27" t="s">
        <v>8</v>
      </c>
      <c r="EY313" s="27" t="s">
        <v>8</v>
      </c>
      <c r="FI313" s="31"/>
    </row>
    <row r="314" spans="1:167" x14ac:dyDescent="0.25">
      <c r="A314" s="30">
        <v>2.7039077391184052E-2</v>
      </c>
      <c r="B314"/>
      <c r="C314"/>
      <c r="D314"/>
      <c r="E314"/>
      <c r="F314" s="27" t="s">
        <v>7</v>
      </c>
      <c r="CY314" s="27" t="s">
        <v>8</v>
      </c>
      <c r="CZ314" s="27" t="s">
        <v>7</v>
      </c>
      <c r="DA314" s="27" t="s">
        <v>8</v>
      </c>
      <c r="DB314" s="27" t="s">
        <v>7</v>
      </c>
      <c r="DC314" s="27" t="s">
        <v>8</v>
      </c>
      <c r="DD314" s="27" t="s">
        <v>7</v>
      </c>
      <c r="DI314" s="27" t="s">
        <v>8</v>
      </c>
      <c r="DJ314" s="27" t="s">
        <v>7</v>
      </c>
      <c r="DK314" s="27" t="s">
        <v>8</v>
      </c>
      <c r="DL314" s="27" t="s">
        <v>7</v>
      </c>
      <c r="DM314" s="27" t="s">
        <v>8</v>
      </c>
      <c r="EF314" s="27" t="s">
        <v>7</v>
      </c>
      <c r="EG314" s="27" t="s">
        <v>8</v>
      </c>
      <c r="EH314" s="27" t="s">
        <v>7</v>
      </c>
      <c r="EI314" s="27" t="s">
        <v>8</v>
      </c>
      <c r="EJ314" s="27" t="s">
        <v>7</v>
      </c>
      <c r="EK314" s="27" t="s">
        <v>8</v>
      </c>
      <c r="EL314" s="27" t="s">
        <v>7</v>
      </c>
      <c r="EY314" s="27" t="s">
        <v>8</v>
      </c>
      <c r="FH314" s="31"/>
    </row>
    <row r="315" spans="1:167" x14ac:dyDescent="0.25">
      <c r="A315" s="30">
        <v>2.5751502277318133E-2</v>
      </c>
      <c r="B315"/>
      <c r="C315"/>
      <c r="D315"/>
      <c r="E315"/>
      <c r="F315" s="27" t="s">
        <v>7</v>
      </c>
      <c r="CY315" s="27" t="s">
        <v>8</v>
      </c>
      <c r="CZ315" s="27" t="s">
        <v>7</v>
      </c>
      <c r="DA315" s="27" t="s">
        <v>8</v>
      </c>
      <c r="DB315" s="27" t="s">
        <v>7</v>
      </c>
      <c r="DC315" s="27" t="s">
        <v>8</v>
      </c>
      <c r="DD315" s="27" t="s">
        <v>7</v>
      </c>
      <c r="DG315" s="27" t="s">
        <v>8</v>
      </c>
      <c r="DI315" s="27" t="s">
        <v>8</v>
      </c>
      <c r="DJ315" s="27" t="s">
        <v>7</v>
      </c>
      <c r="DK315" s="27" t="s">
        <v>8</v>
      </c>
      <c r="DL315" s="27" t="s">
        <v>7</v>
      </c>
      <c r="EF315" s="27" t="s">
        <v>7</v>
      </c>
      <c r="EG315" s="27" t="s">
        <v>8</v>
      </c>
      <c r="EH315" s="27" t="s">
        <v>7</v>
      </c>
      <c r="EJ315" s="27" t="s">
        <v>7</v>
      </c>
      <c r="EK315" s="27" t="s">
        <v>8</v>
      </c>
      <c r="EL315" s="27" t="s">
        <v>7</v>
      </c>
      <c r="EM315" s="27" t="s">
        <v>8</v>
      </c>
      <c r="EY315" s="27" t="s">
        <v>8</v>
      </c>
      <c r="FG315" s="31"/>
    </row>
    <row r="316" spans="1:167" x14ac:dyDescent="0.25">
      <c r="A316" s="30">
        <v>2.4525240264112496E-2</v>
      </c>
      <c r="B316"/>
      <c r="C316"/>
      <c r="D316"/>
      <c r="E316"/>
      <c r="F316" s="27" t="s">
        <v>7</v>
      </c>
      <c r="CY316" s="27" t="s">
        <v>8</v>
      </c>
      <c r="CZ316" s="27" t="s">
        <v>7</v>
      </c>
      <c r="DA316" s="27" t="s">
        <v>8</v>
      </c>
      <c r="DB316" s="27" t="s">
        <v>7</v>
      </c>
      <c r="DD316" s="27" t="s">
        <v>7</v>
      </c>
      <c r="DG316" s="27" t="s">
        <v>8</v>
      </c>
      <c r="DH316" s="27" t="s">
        <v>7</v>
      </c>
      <c r="DI316" s="27" t="s">
        <v>8</v>
      </c>
      <c r="DJ316" s="27" t="s">
        <v>7</v>
      </c>
      <c r="DK316" s="27" t="s">
        <v>8</v>
      </c>
      <c r="EF316" s="27" t="s">
        <v>7</v>
      </c>
      <c r="EG316" s="27" t="s">
        <v>8</v>
      </c>
      <c r="EJ316" s="27" t="s">
        <v>7</v>
      </c>
      <c r="EK316" s="27" t="s">
        <v>8</v>
      </c>
      <c r="EL316" s="27" t="s">
        <v>7</v>
      </c>
      <c r="EM316" s="27" t="s">
        <v>8</v>
      </c>
      <c r="EN316" s="27" t="s">
        <v>7</v>
      </c>
      <c r="EY316" s="27" t="s">
        <v>8</v>
      </c>
      <c r="FF316" s="31"/>
    </row>
    <row r="317" spans="1:167" x14ac:dyDescent="0.25">
      <c r="A317" s="30">
        <v>2.3357371680107129E-2</v>
      </c>
      <c r="B317"/>
      <c r="C317"/>
      <c r="D317"/>
      <c r="E317"/>
      <c r="F317" s="27" t="s">
        <v>7</v>
      </c>
      <c r="CY317" s="27" t="s">
        <v>8</v>
      </c>
      <c r="CZ317" s="27" t="s">
        <v>7</v>
      </c>
      <c r="DA317" s="27" t="s">
        <v>8</v>
      </c>
      <c r="DD317" s="27" t="s">
        <v>7</v>
      </c>
      <c r="DE317" s="27" t="s">
        <v>8</v>
      </c>
      <c r="DG317" s="27" t="s">
        <v>8</v>
      </c>
      <c r="DH317" s="27" t="s">
        <v>7</v>
      </c>
      <c r="DI317" s="27" t="s">
        <v>8</v>
      </c>
      <c r="DJ317" s="27" t="s">
        <v>7</v>
      </c>
      <c r="EF317" s="27" t="s">
        <v>7</v>
      </c>
      <c r="EG317" s="27" t="s">
        <v>8</v>
      </c>
      <c r="EJ317" s="27" t="s">
        <v>7</v>
      </c>
      <c r="EK317" s="27" t="s">
        <v>8</v>
      </c>
      <c r="EL317" s="27" t="s">
        <v>7</v>
      </c>
      <c r="EM317" s="27" t="s">
        <v>8</v>
      </c>
      <c r="EN317" s="27" t="s">
        <v>7</v>
      </c>
      <c r="EY317" s="27" t="s">
        <v>8</v>
      </c>
      <c r="FE317" s="31"/>
    </row>
    <row r="318" spans="1:167" x14ac:dyDescent="0.25">
      <c r="A318" s="30">
        <v>2.2245115885816305E-2</v>
      </c>
      <c r="B318"/>
      <c r="C318"/>
      <c r="D318"/>
      <c r="E318"/>
      <c r="F318" s="27" t="s">
        <v>7</v>
      </c>
      <c r="CY318" s="27" t="s">
        <v>8</v>
      </c>
      <c r="CZ318" s="27" t="s">
        <v>7</v>
      </c>
      <c r="DA318" s="27" t="s">
        <v>8</v>
      </c>
      <c r="DD318" s="27" t="s">
        <v>7</v>
      </c>
      <c r="DE318" s="27" t="s">
        <v>8</v>
      </c>
      <c r="DF318" s="27" t="s">
        <v>7</v>
      </c>
      <c r="DG318" s="27" t="s">
        <v>8</v>
      </c>
      <c r="DH318" s="27" t="s">
        <v>7</v>
      </c>
      <c r="DI318" s="27" t="s">
        <v>8</v>
      </c>
      <c r="EF318" s="27" t="s">
        <v>7</v>
      </c>
      <c r="EG318" s="27" t="s">
        <v>8</v>
      </c>
      <c r="EJ318" s="27" t="s">
        <v>7</v>
      </c>
      <c r="EL318" s="27" t="s">
        <v>7</v>
      </c>
      <c r="EN318" s="27" t="s">
        <v>7</v>
      </c>
      <c r="EQ318" s="27" t="s">
        <v>8</v>
      </c>
      <c r="ES318" s="27" t="s">
        <v>8</v>
      </c>
      <c r="EY318" s="27" t="s">
        <v>8</v>
      </c>
      <c r="FD318" s="31"/>
    </row>
    <row r="319" spans="1:167" x14ac:dyDescent="0.25">
      <c r="A319" s="30">
        <v>2.1185824653158377E-2</v>
      </c>
      <c r="B319"/>
      <c r="C319"/>
      <c r="D319"/>
      <c r="E319"/>
      <c r="F319" s="27" t="s">
        <v>7</v>
      </c>
      <c r="CY319" s="27" t="s">
        <v>8</v>
      </c>
      <c r="CZ319" s="27" t="s">
        <v>7</v>
      </c>
      <c r="DD319" s="27" t="s">
        <v>7</v>
      </c>
      <c r="DE319" s="27" t="s">
        <v>8</v>
      </c>
      <c r="DF319" s="27" t="s">
        <v>7</v>
      </c>
      <c r="DG319" s="27" t="s">
        <v>8</v>
      </c>
      <c r="DH319" s="27" t="s">
        <v>7</v>
      </c>
      <c r="DI319" s="27" t="s">
        <v>8</v>
      </c>
      <c r="EF319" s="27" t="s">
        <v>7</v>
      </c>
      <c r="EN319" s="27" t="s">
        <v>7</v>
      </c>
      <c r="EQ319" s="27" t="s">
        <v>8</v>
      </c>
      <c r="ER319" s="27" t="s">
        <v>7</v>
      </c>
      <c r="ES319" s="27" t="s">
        <v>8</v>
      </c>
      <c r="ET319" s="27" t="s">
        <v>7</v>
      </c>
      <c r="EW319" s="27" t="s">
        <v>8</v>
      </c>
      <c r="EY319" s="27" t="s">
        <v>8</v>
      </c>
      <c r="FC319" s="31"/>
    </row>
    <row r="320" spans="1:167" x14ac:dyDescent="0.25">
      <c r="A320" s="30">
        <v>2.0176975860150829E-2</v>
      </c>
      <c r="B320"/>
      <c r="C320"/>
      <c r="D320"/>
      <c r="E320"/>
      <c r="F320" s="27" t="s">
        <v>7</v>
      </c>
      <c r="CY320" s="27" t="s">
        <v>8</v>
      </c>
      <c r="DD320" s="27" t="s">
        <v>7</v>
      </c>
      <c r="DE320" s="27" t="s">
        <v>8</v>
      </c>
      <c r="DF320" s="27" t="s">
        <v>7</v>
      </c>
      <c r="DG320" s="27" t="s">
        <v>8</v>
      </c>
      <c r="DH320" s="27" t="s">
        <v>7</v>
      </c>
      <c r="DI320" s="27" t="s">
        <v>8</v>
      </c>
      <c r="EN320" s="27" t="s">
        <v>7</v>
      </c>
      <c r="EQ320" s="27" t="s">
        <v>8</v>
      </c>
      <c r="ER320" s="27" t="s">
        <v>7</v>
      </c>
      <c r="ES320" s="27" t="s">
        <v>8</v>
      </c>
      <c r="ET320" s="27" t="s">
        <v>7</v>
      </c>
      <c r="EU320" s="27" t="s">
        <v>8</v>
      </c>
      <c r="EW320" s="27" t="s">
        <v>8</v>
      </c>
      <c r="EX320" s="27" t="s">
        <v>7</v>
      </c>
      <c r="EY320" s="27" t="s">
        <v>8</v>
      </c>
      <c r="FB320" s="31"/>
    </row>
    <row r="321" spans="1:157" x14ac:dyDescent="0.25">
      <c r="A321" s="30">
        <v>1.9216167485857926E-2</v>
      </c>
      <c r="B321"/>
      <c r="C321"/>
      <c r="D321"/>
      <c r="E321"/>
      <c r="F321" s="27" t="s">
        <v>7</v>
      </c>
      <c r="CY321" s="27" t="s">
        <v>8</v>
      </c>
      <c r="DD321" s="27" t="s">
        <v>7</v>
      </c>
      <c r="DF321" s="27" t="s">
        <v>7</v>
      </c>
      <c r="DH321" s="27" t="s">
        <v>7</v>
      </c>
      <c r="EN321" s="27" t="s">
        <v>7</v>
      </c>
      <c r="EQ321" s="27" t="s">
        <v>8</v>
      </c>
      <c r="ER321" s="27" t="s">
        <v>7</v>
      </c>
      <c r="ES321" s="27" t="s">
        <v>8</v>
      </c>
      <c r="ET321" s="27" t="s">
        <v>7</v>
      </c>
      <c r="EU321" s="27" t="s">
        <v>8</v>
      </c>
      <c r="EV321" s="27" t="s">
        <v>7</v>
      </c>
      <c r="EW321" s="27" t="s">
        <v>8</v>
      </c>
      <c r="EX321" s="27" t="s">
        <v>7</v>
      </c>
      <c r="EY321" s="27" t="s">
        <v>8</v>
      </c>
      <c r="FA321" s="31"/>
    </row>
    <row r="322" spans="1:157" x14ac:dyDescent="0.25">
      <c r="A322" s="30">
        <v>1.8301111891293256E-2</v>
      </c>
      <c r="B322"/>
      <c r="C322"/>
      <c r="D322"/>
      <c r="E322"/>
      <c r="F322" s="27" t="s">
        <v>7</v>
      </c>
      <c r="CY322" s="27" t="s">
        <v>8</v>
      </c>
      <c r="EN322" s="27" t="s">
        <v>7</v>
      </c>
      <c r="EQ322" s="27" t="s">
        <v>8</v>
      </c>
      <c r="ER322" s="27" t="s">
        <v>7</v>
      </c>
      <c r="ET322" s="27" t="s">
        <v>7</v>
      </c>
      <c r="EU322" s="27" t="s">
        <v>8</v>
      </c>
      <c r="EV322" s="27" t="s">
        <v>7</v>
      </c>
      <c r="EW322" s="27" t="s">
        <v>8</v>
      </c>
      <c r="EX322" s="18" t="s">
        <v>7</v>
      </c>
      <c r="EY322" s="27" t="s">
        <v>8</v>
      </c>
      <c r="EZ322" s="31"/>
    </row>
    <row r="323" spans="1:157" x14ac:dyDescent="0.25">
      <c r="A323" s="30">
        <v>1.7429630372660238E-2</v>
      </c>
      <c r="B323"/>
      <c r="C323"/>
      <c r="D323"/>
      <c r="E323"/>
      <c r="F323" s="27" t="s">
        <v>7</v>
      </c>
      <c r="CY323" s="27" t="s">
        <v>8</v>
      </c>
      <c r="EN323" s="27" t="s">
        <v>7</v>
      </c>
      <c r="EQ323" s="27" t="s">
        <v>8</v>
      </c>
      <c r="ET323" s="27" t="s">
        <v>7</v>
      </c>
      <c r="EV323" s="27" t="s">
        <v>7</v>
      </c>
      <c r="EX323" s="27" t="s">
        <v>7</v>
      </c>
      <c r="EY323" s="31" t="s">
        <v>8</v>
      </c>
    </row>
    <row r="324" spans="1:157" x14ac:dyDescent="0.25">
      <c r="A324" s="30">
        <v>1.6599647973962125E-2</v>
      </c>
      <c r="B324"/>
      <c r="C324"/>
      <c r="D324"/>
      <c r="E324"/>
      <c r="F324" s="27" t="s">
        <v>7</v>
      </c>
      <c r="CY324" s="27" t="s">
        <v>8</v>
      </c>
      <c r="EN324" s="27" t="s">
        <v>7</v>
      </c>
      <c r="EO324" s="27" t="s">
        <v>8</v>
      </c>
      <c r="EQ324" s="27" t="s">
        <v>8</v>
      </c>
      <c r="EX324" s="31" t="s">
        <v>7</v>
      </c>
    </row>
    <row r="325" spans="1:157" x14ac:dyDescent="0.25">
      <c r="A325" s="30">
        <v>1.580918854663059E-2</v>
      </c>
      <c r="B325"/>
      <c r="C325"/>
      <c r="D325"/>
      <c r="E325"/>
      <c r="F325" s="27" t="s">
        <v>7</v>
      </c>
      <c r="CW325" s="27" t="s">
        <v>8</v>
      </c>
      <c r="CY325" s="27" t="s">
        <v>8</v>
      </c>
      <c r="EN325" s="27" t="s">
        <v>7</v>
      </c>
      <c r="EO325" s="27" t="s">
        <v>8</v>
      </c>
      <c r="EP325" s="27" t="s">
        <v>7</v>
      </c>
      <c r="EQ325" s="27" t="s">
        <v>8</v>
      </c>
    </row>
    <row r="326" spans="1:157" x14ac:dyDescent="0.25">
      <c r="A326" s="30">
        <v>1.5056370044410079E-2</v>
      </c>
      <c r="B326"/>
      <c r="C326"/>
      <c r="D326"/>
      <c r="E326"/>
      <c r="F326" s="27" t="s">
        <v>7</v>
      </c>
      <c r="CW326" s="27" t="s">
        <v>8</v>
      </c>
      <c r="CX326" s="27" t="s">
        <v>7</v>
      </c>
      <c r="CY326" s="27" t="s">
        <v>8</v>
      </c>
      <c r="EN326" s="27" t="s">
        <v>7</v>
      </c>
      <c r="EO326" s="27" t="s">
        <v>8</v>
      </c>
      <c r="EP326" s="27" t="s">
        <v>7</v>
      </c>
      <c r="EQ326" s="27" t="s">
        <v>8</v>
      </c>
    </row>
    <row r="327" spans="1:157" x14ac:dyDescent="0.25">
      <c r="A327" s="30">
        <v>1.4339400042295308E-2</v>
      </c>
      <c r="B327"/>
      <c r="C327"/>
      <c r="D327"/>
      <c r="E327"/>
      <c r="F327" s="27" t="s">
        <v>7</v>
      </c>
      <c r="CU327" s="27" t="s">
        <v>8</v>
      </c>
      <c r="CW327" s="27" t="s">
        <v>8</v>
      </c>
      <c r="CX327" s="27" t="s">
        <v>7</v>
      </c>
      <c r="CY327" s="27" t="s">
        <v>8</v>
      </c>
      <c r="EN327" s="27" t="s">
        <v>7</v>
      </c>
      <c r="EO327" s="27" t="s">
        <v>8</v>
      </c>
      <c r="EP327" s="27" t="s">
        <v>7</v>
      </c>
    </row>
    <row r="328" spans="1:157" x14ac:dyDescent="0.25">
      <c r="A328" s="30">
        <v>1.365657146885267E-2</v>
      </c>
      <c r="B328"/>
      <c r="C328"/>
      <c r="D328"/>
      <c r="E328"/>
      <c r="F328" s="27" t="s">
        <v>7</v>
      </c>
      <c r="CU328" s="27" t="s">
        <v>8</v>
      </c>
      <c r="CV328" s="27" t="s">
        <v>7</v>
      </c>
      <c r="CW328" s="27" t="s">
        <v>8</v>
      </c>
      <c r="CX328" s="27" t="s">
        <v>7</v>
      </c>
      <c r="CY328" s="27" t="s">
        <v>8</v>
      </c>
      <c r="EN328" s="27" t="s">
        <v>7</v>
      </c>
      <c r="EO328" s="27" t="s">
        <v>8</v>
      </c>
    </row>
    <row r="329" spans="1:157" x14ac:dyDescent="0.25">
      <c r="A329" s="30">
        <v>1.3006258541764442E-2</v>
      </c>
      <c r="B329"/>
      <c r="C329"/>
      <c r="D329"/>
      <c r="E329"/>
      <c r="F329" s="27" t="s">
        <v>7</v>
      </c>
      <c r="CU329" s="27" t="s">
        <v>8</v>
      </c>
      <c r="CV329" s="27" t="s">
        <v>7</v>
      </c>
      <c r="CW329" s="27" t="s">
        <v>8</v>
      </c>
      <c r="CX329" s="27" t="s">
        <v>7</v>
      </c>
      <c r="EN329" s="27" t="s">
        <v>7</v>
      </c>
    </row>
    <row r="330" spans="1:157" x14ac:dyDescent="0.25">
      <c r="A330" s="30">
        <v>1.2386912896918512E-2</v>
      </c>
      <c r="B330"/>
      <c r="C330"/>
      <c r="D330"/>
      <c r="E330"/>
      <c r="F330" s="27" t="s">
        <v>7</v>
      </c>
      <c r="BI330" s="27" t="s">
        <v>8</v>
      </c>
      <c r="BO330" s="27" t="s">
        <v>8</v>
      </c>
      <c r="CU330" s="27" t="s">
        <v>8</v>
      </c>
      <c r="CV330" s="27" t="s">
        <v>7</v>
      </c>
      <c r="CW330" s="27" t="s">
        <v>8</v>
      </c>
    </row>
    <row r="331" spans="1:157" x14ac:dyDescent="0.25">
      <c r="A331" s="30">
        <v>1.179705990182715E-2</v>
      </c>
      <c r="B331"/>
      <c r="C331"/>
      <c r="D331"/>
      <c r="E331"/>
      <c r="F331" s="27" t="s">
        <v>7</v>
      </c>
      <c r="BI331" s="27" t="s">
        <v>8</v>
      </c>
      <c r="BJ331" s="27" t="s">
        <v>7</v>
      </c>
      <c r="BM331" s="27" t="s">
        <v>8</v>
      </c>
      <c r="BO331" s="27" t="s">
        <v>8</v>
      </c>
      <c r="BP331" s="27" t="s">
        <v>7</v>
      </c>
      <c r="CU331" s="27" t="s">
        <v>8</v>
      </c>
      <c r="CV331" s="27" t="s">
        <v>7</v>
      </c>
      <c r="CW331" s="27" t="s">
        <v>8</v>
      </c>
    </row>
    <row r="332" spans="1:157" x14ac:dyDescent="0.25">
      <c r="A332" s="30">
        <v>1.1235295144597281E-2</v>
      </c>
      <c r="B332"/>
      <c r="C332"/>
      <c r="D332"/>
      <c r="E332"/>
      <c r="F332" s="27" t="s">
        <v>7</v>
      </c>
      <c r="BI332" s="27" t="s">
        <v>8</v>
      </c>
      <c r="BJ332" s="27" t="s">
        <v>7</v>
      </c>
      <c r="BM332" s="27" t="s">
        <v>8</v>
      </c>
      <c r="BN332" s="27" t="s">
        <v>7</v>
      </c>
      <c r="BO332" s="27" t="s">
        <v>8</v>
      </c>
      <c r="BP332" s="27" t="s">
        <v>7</v>
      </c>
      <c r="CS332" s="27" t="s">
        <v>8</v>
      </c>
      <c r="CU332" s="27" t="s">
        <v>8</v>
      </c>
      <c r="CV332" s="27" t="s">
        <v>7</v>
      </c>
      <c r="CW332" s="27" t="s">
        <v>8</v>
      </c>
    </row>
    <row r="333" spans="1:157" x14ac:dyDescent="0.25">
      <c r="A333" s="30">
        <v>1.0700281090092644E-2</v>
      </c>
      <c r="B333"/>
      <c r="C333"/>
      <c r="D333"/>
      <c r="E333"/>
      <c r="F333" s="27" t="s">
        <v>7</v>
      </c>
      <c r="BI333" s="27" t="s">
        <v>8</v>
      </c>
      <c r="BJ333" s="27" t="s">
        <v>7</v>
      </c>
      <c r="BM333" s="27" t="s">
        <v>8</v>
      </c>
      <c r="BN333" s="27" t="s">
        <v>7</v>
      </c>
      <c r="BO333" s="27" t="s">
        <v>8</v>
      </c>
      <c r="BP333" s="27" t="s">
        <v>7</v>
      </c>
      <c r="CS333" s="27" t="s">
        <v>8</v>
      </c>
      <c r="CT333" s="27" t="s">
        <v>7</v>
      </c>
      <c r="CU333" s="27" t="s">
        <v>8</v>
      </c>
      <c r="CV333" s="27" t="s">
        <v>7</v>
      </c>
    </row>
    <row r="334" spans="1:157" x14ac:dyDescent="0.25">
      <c r="A334" s="30">
        <v>1.0190743895326324E-2</v>
      </c>
      <c r="B334"/>
      <c r="C334"/>
      <c r="D334"/>
      <c r="E334"/>
      <c r="F334" s="27" t="s">
        <v>7</v>
      </c>
      <c r="BI334" s="27" t="s">
        <v>8</v>
      </c>
      <c r="BJ334" s="27" t="s">
        <v>7</v>
      </c>
      <c r="BK334" s="27" t="s">
        <v>8</v>
      </c>
      <c r="BM334" s="27" t="s">
        <v>8</v>
      </c>
      <c r="BN334" s="27" t="s">
        <v>7</v>
      </c>
      <c r="BP334" s="27" t="s">
        <v>7</v>
      </c>
      <c r="CM334" s="27" t="s">
        <v>8</v>
      </c>
      <c r="CS334" s="27" t="s">
        <v>8</v>
      </c>
      <c r="CT334" s="27" t="s">
        <v>7</v>
      </c>
      <c r="CU334" s="27" t="s">
        <v>8</v>
      </c>
    </row>
    <row r="335" spans="1:157" x14ac:dyDescent="0.25">
      <c r="A335" s="30">
        <v>9.7054703765012563E-3</v>
      </c>
      <c r="B335"/>
      <c r="C335"/>
      <c r="D335"/>
      <c r="E335"/>
      <c r="F335" s="27" t="s">
        <v>7</v>
      </c>
      <c r="BG335" s="27" t="s">
        <v>8</v>
      </c>
      <c r="BI335" s="27" t="s">
        <v>8</v>
      </c>
      <c r="BJ335" s="27" t="s">
        <v>7</v>
      </c>
      <c r="BK335" s="27" t="s">
        <v>8</v>
      </c>
      <c r="BL335" s="27" t="s">
        <v>7</v>
      </c>
      <c r="BM335" s="27" t="s">
        <v>8</v>
      </c>
      <c r="BP335" s="27" t="s">
        <v>7</v>
      </c>
      <c r="BQ335" s="27" t="s">
        <v>8</v>
      </c>
      <c r="CM335" s="27" t="s">
        <v>8</v>
      </c>
      <c r="CN335" s="27" t="s">
        <v>7</v>
      </c>
      <c r="CQ335" s="27" t="s">
        <v>8</v>
      </c>
      <c r="CS335" s="27" t="s">
        <v>8</v>
      </c>
      <c r="CT335" s="27" t="s">
        <v>7</v>
      </c>
      <c r="CU335" s="27" t="s">
        <v>8</v>
      </c>
    </row>
    <row r="336" spans="1:157" x14ac:dyDescent="0.25">
      <c r="A336" s="30">
        <v>9.2433051204773835E-3</v>
      </c>
      <c r="B336"/>
      <c r="C336"/>
      <c r="D336"/>
      <c r="E336"/>
      <c r="F336" s="27" t="s">
        <v>7</v>
      </c>
      <c r="BG336" s="27" t="s">
        <v>8</v>
      </c>
      <c r="BH336" s="27" t="s">
        <v>7</v>
      </c>
      <c r="BI336" s="27" t="s">
        <v>8</v>
      </c>
      <c r="BJ336" s="27" t="s">
        <v>7</v>
      </c>
      <c r="BK336" s="27" t="s">
        <v>8</v>
      </c>
      <c r="BL336" s="27" t="s">
        <v>7</v>
      </c>
      <c r="BM336" s="27" t="s">
        <v>8</v>
      </c>
      <c r="BP336" s="27" t="s">
        <v>7</v>
      </c>
      <c r="BQ336" s="27" t="s">
        <v>8</v>
      </c>
      <c r="BR336" s="27" t="s">
        <v>7</v>
      </c>
      <c r="CA336" s="27" t="s">
        <v>8</v>
      </c>
      <c r="CM336" s="27" t="s">
        <v>8</v>
      </c>
      <c r="CN336" s="27" t="s">
        <v>7</v>
      </c>
      <c r="CO336" s="27" t="s">
        <v>8</v>
      </c>
      <c r="CQ336" s="27" t="s">
        <v>8</v>
      </c>
      <c r="CR336" s="27" t="s">
        <v>7</v>
      </c>
      <c r="CS336" s="27" t="s">
        <v>8</v>
      </c>
      <c r="CT336" s="27" t="s">
        <v>7</v>
      </c>
    </row>
    <row r="337" spans="1:97" x14ac:dyDescent="0.25">
      <c r="A337" s="30">
        <v>8.8031477337879808E-3</v>
      </c>
      <c r="B337"/>
      <c r="C337"/>
      <c r="D337"/>
      <c r="E337"/>
      <c r="F337" s="27" t="s">
        <v>7</v>
      </c>
      <c r="BG337" s="27" t="s">
        <v>8</v>
      </c>
      <c r="BH337" s="27" t="s">
        <v>7</v>
      </c>
      <c r="BI337" s="27" t="s">
        <v>8</v>
      </c>
      <c r="BJ337" s="27" t="s">
        <v>7</v>
      </c>
      <c r="BK337" s="27" t="s">
        <v>8</v>
      </c>
      <c r="BL337" s="27" t="s">
        <v>7</v>
      </c>
      <c r="BM337" s="27" t="s">
        <v>8</v>
      </c>
      <c r="BP337" s="27" t="s">
        <v>7</v>
      </c>
      <c r="BQ337" s="27" t="s">
        <v>8</v>
      </c>
      <c r="BR337" s="27" t="s">
        <v>7</v>
      </c>
      <c r="BS337" s="27" t="s">
        <v>8</v>
      </c>
      <c r="CA337" s="27" t="s">
        <v>8</v>
      </c>
      <c r="CB337" s="27" t="s">
        <v>7</v>
      </c>
      <c r="CM337" s="27" t="s">
        <v>8</v>
      </c>
      <c r="CN337" s="27" t="s">
        <v>7</v>
      </c>
      <c r="CO337" s="27" t="s">
        <v>8</v>
      </c>
      <c r="CP337" s="27" t="s">
        <v>7</v>
      </c>
      <c r="CQ337" s="27" t="s">
        <v>8</v>
      </c>
      <c r="CR337" s="27" t="s">
        <v>7</v>
      </c>
      <c r="CS337" s="27" t="s">
        <v>8</v>
      </c>
    </row>
    <row r="338" spans="1:97" x14ac:dyDescent="0.25">
      <c r="A338" s="30">
        <v>8.3839502226552166E-3</v>
      </c>
      <c r="B338"/>
      <c r="C338"/>
      <c r="D338"/>
      <c r="E338"/>
      <c r="F338" s="27" t="s">
        <v>7</v>
      </c>
      <c r="BE338" s="27" t="s">
        <v>8</v>
      </c>
      <c r="BG338" s="27" t="s">
        <v>8</v>
      </c>
      <c r="BH338" s="27" t="s">
        <v>7</v>
      </c>
      <c r="BI338" s="27" t="s">
        <v>8</v>
      </c>
      <c r="BJ338" s="27" t="s">
        <v>7</v>
      </c>
      <c r="BK338" s="27" t="s">
        <v>8</v>
      </c>
      <c r="BL338" s="27" t="s">
        <v>7</v>
      </c>
      <c r="BM338" s="27" t="s">
        <v>8</v>
      </c>
      <c r="BP338" s="27" t="s">
        <v>7</v>
      </c>
      <c r="BR338" s="27" t="s">
        <v>7</v>
      </c>
      <c r="BS338" s="27" t="s">
        <v>8</v>
      </c>
      <c r="BT338" s="27" t="s">
        <v>7</v>
      </c>
      <c r="BY338" s="27" t="s">
        <v>8</v>
      </c>
      <c r="CA338" s="27" t="s">
        <v>8</v>
      </c>
      <c r="CB338" s="27" t="s">
        <v>7</v>
      </c>
      <c r="CE338" s="27" t="s">
        <v>8</v>
      </c>
      <c r="CM338" s="27" t="s">
        <v>8</v>
      </c>
      <c r="CN338" s="27" t="s">
        <v>7</v>
      </c>
      <c r="CO338" s="27" t="s">
        <v>8</v>
      </c>
      <c r="CP338" s="27" t="s">
        <v>7</v>
      </c>
      <c r="CQ338" s="27" t="s">
        <v>8</v>
      </c>
      <c r="CR338" s="27" t="s">
        <v>7</v>
      </c>
      <c r="CS338" s="27" t="s">
        <v>8</v>
      </c>
    </row>
    <row r="339" spans="1:97" x14ac:dyDescent="0.25">
      <c r="A339" s="30">
        <v>7.9847144977668698E-3</v>
      </c>
      <c r="B339"/>
      <c r="C339"/>
      <c r="D339"/>
      <c r="E339"/>
      <c r="F339" s="27" t="s">
        <v>7</v>
      </c>
      <c r="BE339" s="27" t="s">
        <v>8</v>
      </c>
      <c r="BF339" s="27" t="s">
        <v>7</v>
      </c>
      <c r="BG339" s="27" t="s">
        <v>8</v>
      </c>
      <c r="BH339" s="27" t="s">
        <v>7</v>
      </c>
      <c r="BJ339" s="27" t="s">
        <v>7</v>
      </c>
      <c r="BK339" s="27" t="s">
        <v>8</v>
      </c>
      <c r="BL339" s="27" t="s">
        <v>7</v>
      </c>
      <c r="BR339" s="27" t="s">
        <v>7</v>
      </c>
      <c r="BS339" s="27" t="s">
        <v>8</v>
      </c>
      <c r="BT339" s="27" t="s">
        <v>7</v>
      </c>
      <c r="BY339" s="27" t="s">
        <v>8</v>
      </c>
      <c r="BZ339" s="27" t="s">
        <v>7</v>
      </c>
      <c r="CA339" s="27" t="s">
        <v>8</v>
      </c>
      <c r="CB339" s="27" t="s">
        <v>7</v>
      </c>
      <c r="CC339" s="27" t="s">
        <v>8</v>
      </c>
      <c r="CE339" s="27" t="s">
        <v>8</v>
      </c>
      <c r="CF339" s="27" t="s">
        <v>7</v>
      </c>
      <c r="CG339" s="27" t="s">
        <v>8</v>
      </c>
      <c r="CM339" s="27" t="s">
        <v>8</v>
      </c>
      <c r="CN339" s="27" t="s">
        <v>7</v>
      </c>
      <c r="CO339" s="27" t="s">
        <v>8</v>
      </c>
      <c r="CP339" s="27" t="s">
        <v>7</v>
      </c>
      <c r="CQ339" s="27" t="s">
        <v>8</v>
      </c>
      <c r="CR339" s="27" t="s">
        <v>7</v>
      </c>
      <c r="CS339" s="27" t="s">
        <v>8</v>
      </c>
    </row>
    <row r="340" spans="1:97" x14ac:dyDescent="0.25">
      <c r="A340" s="30">
        <v>7.6044899978732058E-3</v>
      </c>
      <c r="B340"/>
      <c r="C340"/>
      <c r="D340"/>
      <c r="E340"/>
      <c r="F340" s="27" t="s">
        <v>7</v>
      </c>
      <c r="BE340" s="27" t="s">
        <v>8</v>
      </c>
      <c r="BF340" s="27" t="s">
        <v>7</v>
      </c>
      <c r="BG340" s="27" t="s">
        <v>8</v>
      </c>
      <c r="BJ340" s="27" t="s">
        <v>7</v>
      </c>
      <c r="BR340" s="27" t="s">
        <v>7</v>
      </c>
      <c r="BS340" s="27" t="s">
        <v>8</v>
      </c>
      <c r="BT340" s="27" t="s">
        <v>7</v>
      </c>
      <c r="BW340" s="27" t="s">
        <v>8</v>
      </c>
      <c r="BY340" s="27" t="s">
        <v>8</v>
      </c>
      <c r="BZ340" s="27" t="s">
        <v>7</v>
      </c>
      <c r="CA340" s="27" t="s">
        <v>8</v>
      </c>
      <c r="CB340" s="27" t="s">
        <v>7</v>
      </c>
      <c r="CC340" s="27" t="s">
        <v>8</v>
      </c>
      <c r="CD340" s="27" t="s">
        <v>7</v>
      </c>
      <c r="CE340" s="27" t="s">
        <v>8</v>
      </c>
      <c r="CF340" s="27" t="s">
        <v>7</v>
      </c>
      <c r="CG340" s="27" t="s">
        <v>8</v>
      </c>
      <c r="CH340" s="27" t="s">
        <v>7</v>
      </c>
      <c r="CK340" s="27" t="s">
        <v>8</v>
      </c>
      <c r="CM340" s="27" t="s">
        <v>8</v>
      </c>
      <c r="CN340" s="27" t="s">
        <v>7</v>
      </c>
      <c r="CO340" s="27" t="s">
        <v>8</v>
      </c>
      <c r="CP340" s="27" t="s">
        <v>7</v>
      </c>
      <c r="CR340" s="27" t="s">
        <v>7</v>
      </c>
    </row>
    <row r="341" spans="1:97" x14ac:dyDescent="0.25">
      <c r="A341" s="30">
        <v>7.2423714265459072E-3</v>
      </c>
      <c r="B341"/>
      <c r="C341"/>
      <c r="D341"/>
      <c r="E341"/>
      <c r="F341" s="27" t="s">
        <v>7</v>
      </c>
      <c r="W341" s="27" t="s">
        <v>8</v>
      </c>
      <c r="AO341" s="27" t="s">
        <v>8</v>
      </c>
      <c r="BE341" s="27" t="s">
        <v>8</v>
      </c>
      <c r="BF341" s="27" t="s">
        <v>7</v>
      </c>
      <c r="BG341" s="27" t="s">
        <v>8</v>
      </c>
      <c r="BR341" s="27" t="s">
        <v>7</v>
      </c>
      <c r="BT341" s="27" t="s">
        <v>7</v>
      </c>
      <c r="BW341" s="27" t="s">
        <v>8</v>
      </c>
      <c r="BX341" s="27" t="s">
        <v>7</v>
      </c>
      <c r="BY341" s="27" t="s">
        <v>8</v>
      </c>
      <c r="BZ341" s="27" t="s">
        <v>7</v>
      </c>
      <c r="CB341" s="27" t="s">
        <v>7</v>
      </c>
      <c r="CC341" s="27" t="s">
        <v>8</v>
      </c>
      <c r="CD341" s="27" t="s">
        <v>7</v>
      </c>
      <c r="CE341" s="27" t="s">
        <v>8</v>
      </c>
      <c r="CF341" s="27" t="s">
        <v>7</v>
      </c>
      <c r="CG341" s="27" t="s">
        <v>8</v>
      </c>
      <c r="CH341" s="27" t="s">
        <v>7</v>
      </c>
      <c r="CI341" s="27" t="s">
        <v>8</v>
      </c>
      <c r="CK341" s="27" t="s">
        <v>8</v>
      </c>
      <c r="CL341" s="27" t="s">
        <v>7</v>
      </c>
      <c r="CM341" s="27" t="s">
        <v>8</v>
      </c>
      <c r="CN341" s="27" t="s">
        <v>7</v>
      </c>
      <c r="CO341" s="27" t="s">
        <v>8</v>
      </c>
    </row>
    <row r="342" spans="1:97" x14ac:dyDescent="0.25">
      <c r="A342" s="30">
        <v>6.8974965967103846E-3</v>
      </c>
      <c r="B342"/>
      <c r="C342"/>
      <c r="D342"/>
      <c r="E342"/>
      <c r="F342" s="27" t="s">
        <v>7</v>
      </c>
      <c r="W342" s="27" t="s">
        <v>8</v>
      </c>
      <c r="X342" s="27" t="s">
        <v>7</v>
      </c>
      <c r="AO342" s="27" t="s">
        <v>8</v>
      </c>
      <c r="AP342" s="27" t="s">
        <v>7</v>
      </c>
      <c r="BC342" s="27" t="s">
        <v>8</v>
      </c>
      <c r="BE342" s="27" t="s">
        <v>8</v>
      </c>
      <c r="BF342" s="27" t="s">
        <v>7</v>
      </c>
      <c r="BG342" s="27" t="s">
        <v>8</v>
      </c>
      <c r="BT342" s="27" t="s">
        <v>7</v>
      </c>
      <c r="BU342" s="27" t="s">
        <v>8</v>
      </c>
      <c r="BW342" s="27" t="s">
        <v>8</v>
      </c>
      <c r="BX342" s="27" t="s">
        <v>7</v>
      </c>
      <c r="BY342" s="27" t="s">
        <v>8</v>
      </c>
      <c r="CB342" s="27" t="s">
        <v>7</v>
      </c>
      <c r="CD342" s="27" t="s">
        <v>7</v>
      </c>
      <c r="CE342" s="27" t="s">
        <v>8</v>
      </c>
      <c r="CF342" s="27" t="s">
        <v>7</v>
      </c>
      <c r="CH342" s="27" t="s">
        <v>7</v>
      </c>
      <c r="CI342" s="27" t="s">
        <v>8</v>
      </c>
      <c r="CJ342" s="27" t="s">
        <v>7</v>
      </c>
      <c r="CK342" s="27" t="s">
        <v>8</v>
      </c>
      <c r="CL342" s="27" t="s">
        <v>7</v>
      </c>
      <c r="CM342" s="27" t="s">
        <v>8</v>
      </c>
      <c r="CN342" s="27" t="s">
        <v>7</v>
      </c>
      <c r="CO342" s="27" t="s">
        <v>8</v>
      </c>
    </row>
    <row r="343" spans="1:97" x14ac:dyDescent="0.25">
      <c r="A343" s="30">
        <v>6.5690443778194116E-3</v>
      </c>
      <c r="B343"/>
      <c r="C343"/>
      <c r="D343"/>
      <c r="E343"/>
      <c r="F343" s="27" t="s">
        <v>7</v>
      </c>
      <c r="W343" s="27" t="s">
        <v>8</v>
      </c>
      <c r="X343" s="27" t="s">
        <v>7</v>
      </c>
      <c r="AO343" s="27" t="s">
        <v>8</v>
      </c>
      <c r="AP343" s="27" t="s">
        <v>7</v>
      </c>
      <c r="BC343" s="27" t="s">
        <v>8</v>
      </c>
      <c r="BD343" s="27" t="s">
        <v>7</v>
      </c>
      <c r="BE343" s="27" t="s">
        <v>8</v>
      </c>
      <c r="BF343" s="27" t="s">
        <v>7</v>
      </c>
      <c r="BT343" s="27" t="s">
        <v>7</v>
      </c>
      <c r="BU343" s="27" t="s">
        <v>8</v>
      </c>
      <c r="BV343" s="27" t="s">
        <v>7</v>
      </c>
      <c r="BW343" s="27" t="s">
        <v>8</v>
      </c>
      <c r="BX343" s="27" t="s">
        <v>7</v>
      </c>
      <c r="CD343" s="27" t="s">
        <v>7</v>
      </c>
      <c r="CH343" s="27" t="s">
        <v>7</v>
      </c>
      <c r="CI343" s="27" t="s">
        <v>8</v>
      </c>
      <c r="CJ343" s="27" t="s">
        <v>7</v>
      </c>
      <c r="CK343" s="27" t="s">
        <v>8</v>
      </c>
      <c r="CL343" s="27" t="s">
        <v>7</v>
      </c>
      <c r="CN343" s="27" t="s">
        <v>7</v>
      </c>
      <c r="CO343" s="27" t="s">
        <v>8</v>
      </c>
    </row>
    <row r="344" spans="1:97" x14ac:dyDescent="0.25">
      <c r="A344" s="30">
        <v>6.2562327407803897E-3</v>
      </c>
      <c r="B344"/>
      <c r="C344"/>
      <c r="D344"/>
      <c r="E344"/>
      <c r="F344" s="27" t="s">
        <v>7</v>
      </c>
      <c r="W344" s="27" t="s">
        <v>8</v>
      </c>
      <c r="X344" s="27" t="s">
        <v>7</v>
      </c>
      <c r="AO344" s="27" t="s">
        <v>8</v>
      </c>
      <c r="AP344" s="27" t="s">
        <v>7</v>
      </c>
      <c r="AQ344" s="27" t="s">
        <v>8</v>
      </c>
      <c r="AS344" s="27" t="s">
        <v>8</v>
      </c>
      <c r="BC344" s="27" t="s">
        <v>8</v>
      </c>
      <c r="BD344" s="27" t="s">
        <v>7</v>
      </c>
      <c r="BE344" s="27" t="s">
        <v>8</v>
      </c>
      <c r="BT344" s="27" t="s">
        <v>7</v>
      </c>
      <c r="BU344" s="27" t="s">
        <v>8</v>
      </c>
      <c r="BV344" s="27" t="s">
        <v>7</v>
      </c>
      <c r="BW344" s="27" t="s">
        <v>8</v>
      </c>
      <c r="CH344" s="27" t="s">
        <v>7</v>
      </c>
      <c r="CI344" s="27" t="s">
        <v>8</v>
      </c>
      <c r="CJ344" s="27" t="s">
        <v>7</v>
      </c>
      <c r="CN344" s="27" t="s">
        <v>7</v>
      </c>
    </row>
    <row r="345" spans="1:97" x14ac:dyDescent="0.25">
      <c r="A345" s="30">
        <v>5.9583168959813212E-3</v>
      </c>
      <c r="B345"/>
      <c r="C345"/>
      <c r="D345"/>
      <c r="E345"/>
      <c r="F345" s="27" t="s">
        <v>7</v>
      </c>
      <c r="W345" s="27" t="s">
        <v>8</v>
      </c>
      <c r="X345" s="27" t="s">
        <v>7</v>
      </c>
      <c r="Y345" s="27" t="s">
        <v>8</v>
      </c>
      <c r="AO345" s="27" t="s">
        <v>8</v>
      </c>
      <c r="AP345" s="27" t="s">
        <v>7</v>
      </c>
      <c r="AQ345" s="27" t="s">
        <v>8</v>
      </c>
      <c r="AR345" s="27" t="s">
        <v>7</v>
      </c>
      <c r="AS345" s="27" t="s">
        <v>8</v>
      </c>
      <c r="AT345" s="27" t="s">
        <v>7</v>
      </c>
      <c r="BC345" s="27" t="s">
        <v>8</v>
      </c>
      <c r="BD345" s="27" t="s">
        <v>7</v>
      </c>
      <c r="BT345" s="27" t="s">
        <v>7</v>
      </c>
      <c r="BU345" s="27" t="s">
        <v>8</v>
      </c>
      <c r="BV345" s="27" t="s">
        <v>7</v>
      </c>
      <c r="CH345" s="27" t="s">
        <v>7</v>
      </c>
    </row>
    <row r="346" spans="1:97" x14ac:dyDescent="0.25">
      <c r="A346" s="30">
        <v>5.6745875199822084E-3</v>
      </c>
      <c r="B346"/>
      <c r="C346"/>
      <c r="D346"/>
      <c r="E346"/>
      <c r="F346" s="27" t="s">
        <v>7</v>
      </c>
      <c r="U346" s="27" t="s">
        <v>8</v>
      </c>
      <c r="W346" s="27" t="s">
        <v>8</v>
      </c>
      <c r="X346" s="27" t="s">
        <v>7</v>
      </c>
      <c r="Y346" s="27" t="s">
        <v>8</v>
      </c>
      <c r="Z346" s="27" t="s">
        <v>7</v>
      </c>
      <c r="AO346" s="27" t="s">
        <v>8</v>
      </c>
      <c r="AP346" s="27" t="s">
        <v>7</v>
      </c>
      <c r="AQ346" s="27" t="s">
        <v>8</v>
      </c>
      <c r="AR346" s="27" t="s">
        <v>7</v>
      </c>
      <c r="AS346" s="27" t="s">
        <v>8</v>
      </c>
      <c r="AT346" s="27" t="s">
        <v>7</v>
      </c>
      <c r="AU346" s="27" t="s">
        <v>8</v>
      </c>
      <c r="AY346" s="27" t="s">
        <v>8</v>
      </c>
      <c r="BC346" s="27" t="s">
        <v>8</v>
      </c>
      <c r="BT346" s="27" t="s">
        <v>7</v>
      </c>
    </row>
    <row r="347" spans="1:97" x14ac:dyDescent="0.25">
      <c r="A347" s="30">
        <v>5.4043690666497205E-3</v>
      </c>
      <c r="B347"/>
      <c r="C347"/>
      <c r="D347"/>
      <c r="E347"/>
      <c r="F347" s="27" t="s">
        <v>7</v>
      </c>
      <c r="U347" s="27" t="s">
        <v>8</v>
      </c>
      <c r="V347" s="27" t="s">
        <v>7</v>
      </c>
      <c r="W347" s="27" t="s">
        <v>8</v>
      </c>
      <c r="X347" s="27" t="s">
        <v>7</v>
      </c>
      <c r="Y347" s="27" t="s">
        <v>8</v>
      </c>
      <c r="Z347" s="27" t="s">
        <v>7</v>
      </c>
      <c r="AO347" s="27" t="s">
        <v>8</v>
      </c>
      <c r="AP347" s="27" t="s">
        <v>7</v>
      </c>
      <c r="AQ347" s="27" t="s">
        <v>8</v>
      </c>
      <c r="AR347" s="27" t="s">
        <v>7</v>
      </c>
      <c r="AT347" s="27" t="s">
        <v>7</v>
      </c>
      <c r="AU347" s="27" t="s">
        <v>8</v>
      </c>
      <c r="AV347" s="27" t="s">
        <v>7</v>
      </c>
      <c r="AY347" s="27" t="s">
        <v>8</v>
      </c>
      <c r="AZ347" s="27" t="s">
        <v>7</v>
      </c>
      <c r="BA347" s="27" t="s">
        <v>8</v>
      </c>
      <c r="BC347" s="27" t="s">
        <v>8</v>
      </c>
    </row>
    <row r="348" spans="1:97" x14ac:dyDescent="0.25">
      <c r="A348" s="30">
        <v>5.1470181587140174E-3</v>
      </c>
      <c r="B348"/>
      <c r="C348"/>
      <c r="D348"/>
      <c r="E348"/>
      <c r="F348" s="27" t="s">
        <v>7</v>
      </c>
      <c r="U348" s="27" t="s">
        <v>8</v>
      </c>
      <c r="V348" s="27" t="s">
        <v>7</v>
      </c>
      <c r="W348" s="27" t="s">
        <v>8</v>
      </c>
      <c r="X348" s="27" t="s">
        <v>7</v>
      </c>
      <c r="Y348" s="27" t="s">
        <v>8</v>
      </c>
      <c r="Z348" s="27" t="s">
        <v>7</v>
      </c>
      <c r="AO348" s="27" t="s">
        <v>8</v>
      </c>
      <c r="AP348" s="27" t="s">
        <v>7</v>
      </c>
      <c r="AQ348" s="27" t="s">
        <v>8</v>
      </c>
      <c r="AT348" s="27" t="s">
        <v>7</v>
      </c>
      <c r="AU348" s="27" t="s">
        <v>8</v>
      </c>
      <c r="AV348" s="27" t="s">
        <v>7</v>
      </c>
      <c r="AW348" s="27" t="s">
        <v>8</v>
      </c>
      <c r="AY348" s="27" t="s">
        <v>8</v>
      </c>
      <c r="AZ348" s="27" t="s">
        <v>7</v>
      </c>
      <c r="BA348" s="27" t="s">
        <v>8</v>
      </c>
      <c r="BB348" s="27" t="s">
        <v>7</v>
      </c>
      <c r="BC348" s="27" t="s">
        <v>8</v>
      </c>
    </row>
    <row r="349" spans="1:97" x14ac:dyDescent="0.25">
      <c r="A349" s="30">
        <v>4.9019220559181099E-3</v>
      </c>
      <c r="B349"/>
      <c r="C349"/>
      <c r="D349"/>
      <c r="E349"/>
      <c r="F349" s="27" t="s">
        <v>7</v>
      </c>
      <c r="U349" s="27" t="s">
        <v>8</v>
      </c>
      <c r="V349" s="27" t="s">
        <v>7</v>
      </c>
      <c r="X349" s="27" t="s">
        <v>7</v>
      </c>
      <c r="Z349" s="27" t="s">
        <v>7</v>
      </c>
      <c r="AO349" s="27" t="s">
        <v>8</v>
      </c>
      <c r="AP349" s="27" t="s">
        <v>7</v>
      </c>
      <c r="AQ349" s="27" t="s">
        <v>8</v>
      </c>
      <c r="AT349" s="27" t="s">
        <v>7</v>
      </c>
      <c r="AU349" s="27" t="s">
        <v>8</v>
      </c>
      <c r="AV349" s="27" t="s">
        <v>7</v>
      </c>
      <c r="AW349" s="27" t="s">
        <v>8</v>
      </c>
      <c r="AX349" s="27" t="s">
        <v>7</v>
      </c>
      <c r="AY349" s="27" t="s">
        <v>8</v>
      </c>
      <c r="AZ349" s="27" t="s">
        <v>7</v>
      </c>
      <c r="BA349" s="27" t="s">
        <v>8</v>
      </c>
      <c r="BB349" s="27" t="s">
        <v>7</v>
      </c>
      <c r="BC349" s="27" t="s">
        <v>8</v>
      </c>
    </row>
    <row r="350" spans="1:97" x14ac:dyDescent="0.25">
      <c r="A350" s="30">
        <v>4.6684971961124836E-3</v>
      </c>
      <c r="B350"/>
      <c r="C350"/>
      <c r="D350"/>
      <c r="E350"/>
      <c r="F350" s="27" t="s">
        <v>7</v>
      </c>
      <c r="I350" s="27" t="s">
        <v>8</v>
      </c>
      <c r="Q350" s="27" t="s">
        <v>8</v>
      </c>
      <c r="S350" s="27" t="s">
        <v>8</v>
      </c>
      <c r="U350" s="27" t="s">
        <v>8</v>
      </c>
      <c r="Z350" s="27" t="s">
        <v>7</v>
      </c>
      <c r="AO350" s="27" t="s">
        <v>8</v>
      </c>
      <c r="AP350" s="27" t="s">
        <v>7</v>
      </c>
      <c r="AT350" s="27" t="s">
        <v>7</v>
      </c>
      <c r="AU350" s="27" t="s">
        <v>8</v>
      </c>
      <c r="AV350" s="27" t="s">
        <v>7</v>
      </c>
      <c r="AW350" s="27" t="s">
        <v>8</v>
      </c>
      <c r="AX350" s="27" t="s">
        <v>7</v>
      </c>
      <c r="AY350" s="27" t="s">
        <v>8</v>
      </c>
      <c r="AZ350" s="27" t="s">
        <v>7</v>
      </c>
      <c r="BB350" s="27" t="s">
        <v>7</v>
      </c>
    </row>
    <row r="351" spans="1:97" x14ac:dyDescent="0.25">
      <c r="A351" s="30">
        <v>4.4461878058214112E-3</v>
      </c>
      <c r="B351"/>
      <c r="C351"/>
      <c r="D351"/>
      <c r="E351"/>
      <c r="F351" s="27" t="s">
        <v>7</v>
      </c>
      <c r="I351" s="27" t="s">
        <v>8</v>
      </c>
      <c r="J351" s="27" t="s">
        <v>7</v>
      </c>
      <c r="O351" s="27" t="s">
        <v>8</v>
      </c>
      <c r="Q351" s="27" t="s">
        <v>8</v>
      </c>
      <c r="R351" s="27" t="s">
        <v>7</v>
      </c>
      <c r="S351" s="27" t="s">
        <v>8</v>
      </c>
      <c r="T351" s="27" t="s">
        <v>7</v>
      </c>
      <c r="U351" s="27" t="s">
        <v>8</v>
      </c>
      <c r="Z351" s="27" t="s">
        <v>7</v>
      </c>
      <c r="AO351" s="27" t="s">
        <v>8</v>
      </c>
      <c r="AT351" s="27" t="s">
        <v>7</v>
      </c>
      <c r="AV351" s="27" t="s">
        <v>7</v>
      </c>
      <c r="AX351" s="27" t="s">
        <v>7</v>
      </c>
    </row>
    <row r="352" spans="1:97" x14ac:dyDescent="0.25">
      <c r="A352" s="30">
        <v>4.2344645769727711E-3</v>
      </c>
      <c r="B352"/>
      <c r="C352"/>
      <c r="D352"/>
      <c r="E352"/>
      <c r="F352" s="27" t="s">
        <v>7</v>
      </c>
      <c r="I352" s="27" t="s">
        <v>8</v>
      </c>
      <c r="J352" s="27" t="s">
        <v>7</v>
      </c>
      <c r="K352" s="27" t="s">
        <v>8</v>
      </c>
      <c r="O352" s="27" t="s">
        <v>8</v>
      </c>
      <c r="P352" s="27" t="s">
        <v>7</v>
      </c>
      <c r="Q352" s="27" t="s">
        <v>8</v>
      </c>
      <c r="R352" s="27" t="s">
        <v>7</v>
      </c>
      <c r="S352" s="27" t="s">
        <v>8</v>
      </c>
      <c r="T352" s="27" t="s">
        <v>7</v>
      </c>
      <c r="U352" s="27" t="s">
        <v>8</v>
      </c>
      <c r="Z352" s="27" t="s">
        <v>7</v>
      </c>
      <c r="AM352" s="27" t="s">
        <v>8</v>
      </c>
      <c r="AO352" s="27" t="s">
        <v>8</v>
      </c>
    </row>
    <row r="353" spans="1:41" x14ac:dyDescent="0.25">
      <c r="A353" s="30">
        <v>4.0328234066407329E-3</v>
      </c>
      <c r="B353"/>
      <c r="C353"/>
      <c r="D353"/>
      <c r="E353"/>
      <c r="F353" s="27" t="s">
        <v>7</v>
      </c>
      <c r="G353" s="27" t="s">
        <v>8</v>
      </c>
      <c r="I353" s="27" t="s">
        <v>8</v>
      </c>
      <c r="J353" s="27" t="s">
        <v>7</v>
      </c>
      <c r="K353" s="27" t="s">
        <v>8</v>
      </c>
      <c r="L353" s="27" t="s">
        <v>7</v>
      </c>
      <c r="O353" s="27" t="s">
        <v>8</v>
      </c>
      <c r="P353" s="27" t="s">
        <v>7</v>
      </c>
      <c r="Q353" s="27" t="s">
        <v>8</v>
      </c>
      <c r="R353" s="27" t="s">
        <v>7</v>
      </c>
      <c r="T353" s="27" t="s">
        <v>7</v>
      </c>
      <c r="Z353" s="27" t="s">
        <v>7</v>
      </c>
      <c r="AM353" s="27" t="s">
        <v>8</v>
      </c>
      <c r="AN353" s="27" t="s">
        <v>7</v>
      </c>
      <c r="AO353" s="27" t="s">
        <v>8</v>
      </c>
    </row>
    <row r="354" spans="1:41" x14ac:dyDescent="0.25">
      <c r="A354" s="30">
        <v>3.8407841968006963E-3</v>
      </c>
      <c r="B354"/>
      <c r="C354"/>
      <c r="D354"/>
      <c r="E354"/>
      <c r="F354" s="27" t="s">
        <v>7</v>
      </c>
      <c r="G354" s="27" t="s">
        <v>8</v>
      </c>
      <c r="H354" s="27" t="s">
        <v>7</v>
      </c>
      <c r="I354" s="27" t="s">
        <v>8</v>
      </c>
      <c r="J354" s="27" t="s">
        <v>7</v>
      </c>
      <c r="K354" s="27" t="s">
        <v>8</v>
      </c>
      <c r="L354" s="27" t="s">
        <v>7</v>
      </c>
      <c r="M354" s="27" t="s">
        <v>8</v>
      </c>
      <c r="O354" s="27" t="s">
        <v>8</v>
      </c>
      <c r="P354" s="27" t="s">
        <v>7</v>
      </c>
      <c r="Z354" s="27" t="s">
        <v>7</v>
      </c>
      <c r="AM354" s="27" t="s">
        <v>8</v>
      </c>
      <c r="AN354" s="27" t="s">
        <v>7</v>
      </c>
      <c r="AO354" s="27" t="s">
        <v>8</v>
      </c>
    </row>
    <row r="355" spans="1:41" x14ac:dyDescent="0.25">
      <c r="A355" s="30">
        <v>3.6578897112387568E-3</v>
      </c>
      <c r="B355"/>
      <c r="C355"/>
      <c r="D355"/>
      <c r="E355"/>
      <c r="F355" s="27" t="s">
        <v>7</v>
      </c>
      <c r="G355" s="27" t="s">
        <v>8</v>
      </c>
      <c r="H355" s="27" t="s">
        <v>7</v>
      </c>
      <c r="I355" s="27" t="s">
        <v>8</v>
      </c>
      <c r="J355" s="27" t="s">
        <v>7</v>
      </c>
      <c r="L355" s="27" t="s">
        <v>7</v>
      </c>
      <c r="M355" s="27" t="s">
        <v>8</v>
      </c>
      <c r="N355" s="27" t="s">
        <v>7</v>
      </c>
      <c r="O355" s="27" t="s">
        <v>8</v>
      </c>
      <c r="Z355" s="27" t="s">
        <v>7</v>
      </c>
      <c r="AM355" s="27" t="s">
        <v>8</v>
      </c>
      <c r="AN355" s="27" t="s">
        <v>7</v>
      </c>
      <c r="AO355" s="27" t="s">
        <v>8</v>
      </c>
    </row>
    <row r="356" spans="1:41" x14ac:dyDescent="0.25">
      <c r="A356" s="30">
        <v>3.4837044868940526E-3</v>
      </c>
      <c r="B356"/>
      <c r="C356"/>
      <c r="D356"/>
      <c r="E356"/>
      <c r="F356" s="27" t="s">
        <v>7</v>
      </c>
      <c r="H356" s="27" t="s">
        <v>7</v>
      </c>
      <c r="L356" s="27" t="s">
        <v>7</v>
      </c>
      <c r="M356" s="27" t="s">
        <v>8</v>
      </c>
      <c r="N356" s="27" t="s">
        <v>7</v>
      </c>
      <c r="O356" s="27" t="s">
        <v>8</v>
      </c>
      <c r="Z356" s="27" t="s">
        <v>7</v>
      </c>
      <c r="AM356" s="27" t="s">
        <v>8</v>
      </c>
      <c r="AN356" s="27" t="s">
        <v>7</v>
      </c>
    </row>
    <row r="357" spans="1:41" x14ac:dyDescent="0.25">
      <c r="A357" s="30">
        <v>3.3178137970419535E-3</v>
      </c>
      <c r="B357"/>
      <c r="C357"/>
      <c r="D357"/>
      <c r="E357"/>
      <c r="L357" s="27" t="s">
        <v>7</v>
      </c>
      <c r="M357" s="27" t="s">
        <v>8</v>
      </c>
      <c r="N357" s="27" t="s">
        <v>7</v>
      </c>
      <c r="Z357" s="27" t="s">
        <v>7</v>
      </c>
      <c r="AM357" s="27" t="s">
        <v>8</v>
      </c>
    </row>
    <row r="358" spans="1:41" x14ac:dyDescent="0.25">
      <c r="A358" s="30">
        <v>3.1598226638494781E-3</v>
      </c>
      <c r="B358"/>
      <c r="C358"/>
      <c r="D358"/>
      <c r="E358"/>
      <c r="L358" s="27" t="s">
        <v>7</v>
      </c>
      <c r="M358" s="27" t="s">
        <v>8</v>
      </c>
      <c r="Z358" s="27" t="s">
        <v>7</v>
      </c>
      <c r="AM358" s="27" t="s">
        <v>8</v>
      </c>
    </row>
    <row r="359" spans="1:41" x14ac:dyDescent="0.25">
      <c r="A359" s="30">
        <v>3.0093549179518826E-3</v>
      </c>
      <c r="B359"/>
      <c r="C359"/>
      <c r="D359"/>
      <c r="E359"/>
      <c r="L359" s="27" t="s">
        <v>7</v>
      </c>
      <c r="Z359" s="27" t="s">
        <v>7</v>
      </c>
      <c r="AM359" s="27" t="s">
        <v>8</v>
      </c>
    </row>
    <row r="360" spans="1:41" x14ac:dyDescent="0.25">
      <c r="A360" s="30">
        <v>2.8660523028113155E-3</v>
      </c>
      <c r="B360"/>
      <c r="C360"/>
      <c r="D360"/>
      <c r="E360"/>
      <c r="Z360" s="27" t="s">
        <v>7</v>
      </c>
      <c r="AI360" s="27" t="s">
        <v>8</v>
      </c>
      <c r="AM360" s="27" t="s">
        <v>8</v>
      </c>
    </row>
    <row r="361" spans="1:41" x14ac:dyDescent="0.25">
      <c r="A361" s="30">
        <v>2.7295736217250611E-3</v>
      </c>
      <c r="B361"/>
      <c r="C361"/>
      <c r="D361"/>
      <c r="E361"/>
      <c r="Z361" s="27" t="s">
        <v>7</v>
      </c>
      <c r="AI361" s="27" t="s">
        <v>8</v>
      </c>
      <c r="AJ361" s="27" t="s">
        <v>7</v>
      </c>
      <c r="AK361" s="27" t="s">
        <v>8</v>
      </c>
      <c r="AM361" s="27" t="s">
        <v>8</v>
      </c>
    </row>
    <row r="362" spans="1:41" x14ac:dyDescent="0.25">
      <c r="A362" s="30">
        <v>2.5995939254524381E-3</v>
      </c>
      <c r="B362"/>
      <c r="C362"/>
      <c r="D362"/>
      <c r="E362"/>
      <c r="Z362" s="27" t="s">
        <v>7</v>
      </c>
      <c r="AI362" s="27" t="s">
        <v>8</v>
      </c>
      <c r="AJ362" s="27" t="s">
        <v>7</v>
      </c>
      <c r="AK362" s="27" t="s">
        <v>8</v>
      </c>
      <c r="AL362" s="27" t="s">
        <v>7</v>
      </c>
      <c r="AM362" s="27" t="s">
        <v>8</v>
      </c>
    </row>
    <row r="363" spans="1:41" x14ac:dyDescent="0.25">
      <c r="A363" s="30">
        <v>2.4758037385261304E-3</v>
      </c>
      <c r="B363"/>
      <c r="C363"/>
      <c r="D363"/>
      <c r="E363"/>
      <c r="Z363" s="27" t="s">
        <v>7</v>
      </c>
      <c r="AI363" s="27" t="s">
        <v>8</v>
      </c>
      <c r="AJ363" s="27" t="s">
        <v>7</v>
      </c>
      <c r="AK363" s="27" t="s">
        <v>8</v>
      </c>
      <c r="AL363" s="27" t="s">
        <v>7</v>
      </c>
      <c r="AM363" s="27" t="s">
        <v>8</v>
      </c>
    </row>
    <row r="364" spans="1:41" x14ac:dyDescent="0.25">
      <c r="A364" s="30">
        <v>2.3579083224058374E-3</v>
      </c>
      <c r="B364"/>
      <c r="C364"/>
      <c r="D364"/>
      <c r="E364"/>
      <c r="Z364" s="27" t="s">
        <v>7</v>
      </c>
      <c r="AE364" s="27" t="s">
        <v>8</v>
      </c>
      <c r="AI364" s="27" t="s">
        <v>8</v>
      </c>
      <c r="AJ364" s="27" t="s">
        <v>7</v>
      </c>
      <c r="AL364" s="27" t="s">
        <v>7</v>
      </c>
    </row>
    <row r="365" spans="1:41" x14ac:dyDescent="0.25">
      <c r="A365" s="30">
        <v>2.245626973719844E-3</v>
      </c>
      <c r="B365"/>
      <c r="C365"/>
      <c r="D365"/>
      <c r="E365"/>
      <c r="Z365" s="27" t="s">
        <v>7</v>
      </c>
      <c r="AA365" s="27" t="s">
        <v>8</v>
      </c>
      <c r="AC365" s="27" t="s">
        <v>8</v>
      </c>
      <c r="AE365" s="27" t="s">
        <v>8</v>
      </c>
      <c r="AF365" s="27" t="s">
        <v>7</v>
      </c>
      <c r="AG365" s="27" t="s">
        <v>8</v>
      </c>
      <c r="AI365" s="27" t="s">
        <v>8</v>
      </c>
    </row>
    <row r="366" spans="1:41" x14ac:dyDescent="0.25">
      <c r="A366" s="30">
        <v>2.1386923559236601E-3</v>
      </c>
      <c r="B366"/>
      <c r="C366"/>
      <c r="D366"/>
      <c r="E366"/>
      <c r="Z366" s="27" t="s">
        <v>7</v>
      </c>
      <c r="AA366" s="27" t="s">
        <v>8</v>
      </c>
      <c r="AB366" s="27" t="s">
        <v>7</v>
      </c>
      <c r="AC366" s="27" t="s">
        <v>8</v>
      </c>
      <c r="AD366" s="27" t="s">
        <v>7</v>
      </c>
      <c r="AE366" s="27" t="s">
        <v>8</v>
      </c>
      <c r="AF366" s="27" t="s">
        <v>7</v>
      </c>
      <c r="AG366" s="27" t="s">
        <v>8</v>
      </c>
      <c r="AH366" s="27" t="s">
        <v>7</v>
      </c>
      <c r="AI366" s="27" t="s">
        <v>8</v>
      </c>
    </row>
    <row r="367" spans="1:41" x14ac:dyDescent="0.25">
      <c r="A367" s="30">
        <v>2.0368498627844375E-3</v>
      </c>
      <c r="B367"/>
      <c r="C367"/>
      <c r="D367"/>
      <c r="E367"/>
      <c r="Z367" s="27" t="s">
        <v>7</v>
      </c>
      <c r="AA367" s="27" t="s">
        <v>8</v>
      </c>
      <c r="AB367" s="27" t="s">
        <v>7</v>
      </c>
      <c r="AC367" s="27" t="s">
        <v>8</v>
      </c>
      <c r="AD367" s="27" t="s">
        <v>7</v>
      </c>
      <c r="AE367" s="27" t="s">
        <v>8</v>
      </c>
      <c r="AF367" s="27" t="s">
        <v>7</v>
      </c>
      <c r="AG367" s="27" t="s">
        <v>8</v>
      </c>
      <c r="AH367" s="27" t="s">
        <v>7</v>
      </c>
      <c r="AI367" s="27" t="s">
        <v>8</v>
      </c>
    </row>
    <row r="368" spans="1:41" x14ac:dyDescent="0.25">
      <c r="A368" s="30">
        <v>1.9398570121756541E-3</v>
      </c>
      <c r="B368"/>
      <c r="C368"/>
      <c r="D368"/>
      <c r="E368"/>
      <c r="Z368" s="27" t="s">
        <v>7</v>
      </c>
      <c r="AA368" s="27" t="s">
        <v>8</v>
      </c>
      <c r="AB368" s="27" t="s">
        <v>7</v>
      </c>
      <c r="AC368" s="27" t="s">
        <v>8</v>
      </c>
      <c r="AD368" s="27" t="s">
        <v>7</v>
      </c>
      <c r="AE368" s="27" t="s">
        <v>8</v>
      </c>
      <c r="AF368" s="27" t="s">
        <v>7</v>
      </c>
      <c r="AG368" s="27" t="s">
        <v>8</v>
      </c>
      <c r="AH368" s="27" t="s">
        <v>7</v>
      </c>
    </row>
    <row r="369" spans="1:32" x14ac:dyDescent="0.25">
      <c r="A369" s="30">
        <v>1.8474828687387174E-3</v>
      </c>
      <c r="B369"/>
      <c r="C369"/>
      <c r="D369"/>
      <c r="E369"/>
      <c r="Z369" s="27" t="s">
        <v>7</v>
      </c>
      <c r="AA369" s="27" t="s">
        <v>8</v>
      </c>
      <c r="AB369" s="27" t="s">
        <v>7</v>
      </c>
      <c r="AC369" s="27" t="s">
        <v>8</v>
      </c>
      <c r="AD369" s="27" t="s">
        <v>7</v>
      </c>
      <c r="AF369" s="27" t="s">
        <v>7</v>
      </c>
    </row>
    <row r="370" spans="1:32" x14ac:dyDescent="0.25">
      <c r="A370" s="30">
        <v>1.759507494036873E-3</v>
      </c>
      <c r="B370"/>
      <c r="C370"/>
      <c r="D370"/>
      <c r="E370"/>
      <c r="Z370" s="27" t="s">
        <v>7</v>
      </c>
      <c r="AA370" s="27" t="s">
        <v>8</v>
      </c>
      <c r="AB370" s="27" t="s">
        <v>7</v>
      </c>
      <c r="AC370" s="27" t="s">
        <v>8</v>
      </c>
    </row>
    <row r="371" spans="1:32" x14ac:dyDescent="0.25">
      <c r="A371" s="30">
        <v>1.6757214228922594E-3</v>
      </c>
      <c r="B371"/>
      <c r="C371"/>
      <c r="D371"/>
      <c r="E371"/>
      <c r="Z371" s="27" t="s">
        <v>7</v>
      </c>
      <c r="AA371" s="27" t="s">
        <v>8</v>
      </c>
      <c r="AB371" s="27" t="s">
        <v>7</v>
      </c>
      <c r="AC371" s="27" t="s">
        <v>8</v>
      </c>
    </row>
    <row r="372" spans="1:32" x14ac:dyDescent="0.25">
      <c r="A372" s="30">
        <v>1.595925164659294E-3</v>
      </c>
      <c r="B372"/>
      <c r="C372"/>
      <c r="D372"/>
      <c r="E372"/>
      <c r="Z372" s="27" t="s">
        <v>7</v>
      </c>
      <c r="AA372" s="27" t="s">
        <v>8</v>
      </c>
      <c r="AB372" s="27" t="s">
        <v>7</v>
      </c>
      <c r="AC372" s="27" t="s">
        <v>8</v>
      </c>
    </row>
    <row r="373" spans="1:32" x14ac:dyDescent="0.25">
      <c r="A373" s="30">
        <v>1.5199287282469461E-3</v>
      </c>
      <c r="B373"/>
      <c r="C373"/>
      <c r="D373"/>
      <c r="E373"/>
      <c r="Z373" s="27" t="s">
        <v>7</v>
      </c>
      <c r="AA373" s="27" t="s">
        <v>8</v>
      </c>
      <c r="AB373" s="27" t="s">
        <v>7</v>
      </c>
      <c r="AC373" s="27" t="s">
        <v>8</v>
      </c>
    </row>
    <row r="374" spans="1:32" x14ac:dyDescent="0.25">
      <c r="A374" s="30">
        <v>1.4475511697589958E-3</v>
      </c>
      <c r="B374"/>
      <c r="C374"/>
      <c r="D374"/>
      <c r="E374"/>
      <c r="Z374" s="27" t="s">
        <v>7</v>
      </c>
      <c r="AA374" s="27" t="s">
        <v>8</v>
      </c>
      <c r="AB374" s="27" t="s">
        <v>7</v>
      </c>
    </row>
    <row r="375" spans="1:32" x14ac:dyDescent="0.25">
      <c r="A375" s="30">
        <v>1.3786201616752334E-3</v>
      </c>
      <c r="B375"/>
      <c r="C375"/>
      <c r="D375"/>
      <c r="E375"/>
      <c r="Z375" s="27" t="s">
        <v>7</v>
      </c>
      <c r="AA375" s="27" t="s">
        <v>8</v>
      </c>
    </row>
    <row r="376" spans="1:32" x14ac:dyDescent="0.25">
      <c r="A376" s="30">
        <v>1.3129715825478407E-3</v>
      </c>
      <c r="B376"/>
      <c r="C376"/>
      <c r="D376"/>
      <c r="E376"/>
      <c r="Z376" s="27" t="s">
        <v>7</v>
      </c>
      <c r="AA376" s="27" t="s">
        <v>8</v>
      </c>
    </row>
    <row r="377" spans="1:32" x14ac:dyDescent="0.25">
      <c r="A377" s="30">
        <v>1.2504491262360382E-3</v>
      </c>
      <c r="B377"/>
      <c r="C377"/>
      <c r="D377"/>
      <c r="E377"/>
      <c r="Z377" s="27" t="s">
        <v>7</v>
      </c>
      <c r="AA377" s="27" t="s">
        <v>8</v>
      </c>
    </row>
    <row r="378" spans="1:32" x14ac:dyDescent="0.25">
      <c r="A378" s="30">
        <v>1.1909039297486072E-3</v>
      </c>
      <c r="B378"/>
      <c r="C378"/>
      <c r="D378"/>
      <c r="E378"/>
      <c r="Z378" s="27" t="s">
        <v>7</v>
      </c>
      <c r="AA378" s="27" t="s">
        <v>8</v>
      </c>
    </row>
    <row r="379" spans="1:32" x14ac:dyDescent="0.25">
      <c r="A379" s="30">
        <v>1.1341942188081969E-3</v>
      </c>
      <c r="B379"/>
      <c r="C379"/>
      <c r="D379"/>
      <c r="E379"/>
      <c r="Z379" s="27" t="s">
        <v>7</v>
      </c>
      <c r="AA379" s="27" t="s">
        <v>8</v>
      </c>
    </row>
    <row r="380" spans="1:32" x14ac:dyDescent="0.25">
      <c r="A380" s="30">
        <v>1.0801849702935203E-3</v>
      </c>
      <c r="B380"/>
      <c r="C380"/>
      <c r="D380"/>
      <c r="E380"/>
      <c r="Z380" s="27" t="s">
        <v>7</v>
      </c>
    </row>
    <row r="381" spans="1:32" x14ac:dyDescent="0.25">
      <c r="A381" s="30">
        <v>1.0287475907557332E-3</v>
      </c>
      <c r="B381"/>
      <c r="C381"/>
      <c r="D381"/>
      <c r="E381"/>
    </row>
    <row r="382" spans="1:32" x14ac:dyDescent="0.25">
      <c r="A382" s="30">
        <v>9.7731021121794646E-4</v>
      </c>
    </row>
    <row r="383" spans="1:32" x14ac:dyDescent="0.25">
      <c r="A383" s="30">
        <v>9.2844470065704904E-4</v>
      </c>
    </row>
    <row r="384" spans="1:32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26" operator="equal">
      <formula>$U$1</formula>
    </cfRule>
    <cfRule type="cellIs" dxfId="67" priority="1227" operator="equal">
      <formula>$S$1</formula>
    </cfRule>
  </conditionalFormatting>
  <conditionalFormatting sqref="D136">
    <cfRule type="cellIs" dxfId="66" priority="1224" operator="equal">
      <formula>$S$1</formula>
    </cfRule>
    <cfRule type="cellIs" dxfId="65" priority="1225" operator="equal">
      <formula>$U$1</formula>
    </cfRule>
  </conditionalFormatting>
  <conditionalFormatting sqref="C162">
    <cfRule type="cellIs" dxfId="64" priority="1222" operator="equal">
      <formula>$U$1</formula>
    </cfRule>
    <cfRule type="cellIs" dxfId="63" priority="1223" operator="equal">
      <formula>$S$1</formula>
    </cfRule>
  </conditionalFormatting>
  <conditionalFormatting sqref="D162">
    <cfRule type="cellIs" dxfId="62" priority="1220" operator="equal">
      <formula>$S$1</formula>
    </cfRule>
    <cfRule type="cellIs" dxfId="61" priority="1221" operator="equal">
      <formula>$U$1</formula>
    </cfRule>
  </conditionalFormatting>
  <conditionalFormatting sqref="C187">
    <cfRule type="cellIs" dxfId="60" priority="1218" operator="equal">
      <formula>$U$1</formula>
    </cfRule>
    <cfRule type="cellIs" dxfId="59" priority="1219" operator="equal">
      <formula>$S$1</formula>
    </cfRule>
  </conditionalFormatting>
  <conditionalFormatting sqref="D187">
    <cfRule type="cellIs" dxfId="58" priority="1216" operator="equal">
      <formula>$S$1</formula>
    </cfRule>
    <cfRule type="cellIs" dxfId="57" priority="1217" operator="equal">
      <formula>$U$1</formula>
    </cfRule>
  </conditionalFormatting>
  <conditionalFormatting sqref="C212">
    <cfRule type="cellIs" dxfId="56" priority="1214" operator="equal">
      <formula>$U$1</formula>
    </cfRule>
    <cfRule type="cellIs" dxfId="55" priority="1215" operator="equal">
      <formula>$S$1</formula>
    </cfRule>
  </conditionalFormatting>
  <conditionalFormatting sqref="D212">
    <cfRule type="cellIs" dxfId="54" priority="1212" operator="equal">
      <formula>$S$1</formula>
    </cfRule>
    <cfRule type="cellIs" dxfId="53" priority="1213" operator="equal">
      <formula>$U$1</formula>
    </cfRule>
  </conditionalFormatting>
  <conditionalFormatting sqref="C237">
    <cfRule type="cellIs" dxfId="52" priority="1210" operator="equal">
      <formula>$U$1</formula>
    </cfRule>
    <cfRule type="cellIs" dxfId="51" priority="1211" operator="equal">
      <formula>$S$1</formula>
    </cfRule>
  </conditionalFormatting>
  <conditionalFormatting sqref="D237">
    <cfRule type="cellIs" dxfId="50" priority="1208" operator="equal">
      <formula>$S$1</formula>
    </cfRule>
    <cfRule type="cellIs" dxfId="49" priority="1209" operator="equal">
      <formula>$U$1</formula>
    </cfRule>
  </conditionalFormatting>
  <conditionalFormatting sqref="C106">
    <cfRule type="cellIs" dxfId="48" priority="1206" operator="equal">
      <formula>$U$1</formula>
    </cfRule>
    <cfRule type="cellIs" dxfId="47" priority="1207" operator="equal">
      <formula>$S$1</formula>
    </cfRule>
  </conditionalFormatting>
  <conditionalFormatting sqref="D106">
    <cfRule type="cellIs" dxfId="46" priority="1204" operator="equal">
      <formula>$S$1</formula>
    </cfRule>
    <cfRule type="cellIs" dxfId="45" priority="1205" operator="equal">
      <formula>$U$1</formula>
    </cfRule>
  </conditionalFormatting>
  <conditionalFormatting sqref="C81">
    <cfRule type="cellIs" dxfId="44" priority="1202" operator="equal">
      <formula>$U$1</formula>
    </cfRule>
    <cfRule type="cellIs" dxfId="43" priority="1203" operator="equal">
      <formula>$S$1</formula>
    </cfRule>
  </conditionalFormatting>
  <conditionalFormatting sqref="D81">
    <cfRule type="cellIs" dxfId="42" priority="1200" operator="equal">
      <formula>$S$1</formula>
    </cfRule>
    <cfRule type="cellIs" dxfId="41" priority="1201" operator="equal">
      <formula>$U$1</formula>
    </cfRule>
  </conditionalFormatting>
  <conditionalFormatting sqref="C56">
    <cfRule type="cellIs" dxfId="40" priority="1198" operator="equal">
      <formula>$U$1</formula>
    </cfRule>
    <cfRule type="cellIs" dxfId="39" priority="1199" operator="equal">
      <formula>$S$1</formula>
    </cfRule>
  </conditionalFormatting>
  <conditionalFormatting sqref="D56">
    <cfRule type="cellIs" dxfId="38" priority="1196" operator="equal">
      <formula>$S$1</formula>
    </cfRule>
    <cfRule type="cellIs" dxfId="37" priority="1197" operator="equal">
      <formula>$U$1</formula>
    </cfRule>
  </conditionalFormatting>
  <conditionalFormatting sqref="C31">
    <cfRule type="cellIs" dxfId="36" priority="1194" operator="equal">
      <formula>$U$1</formula>
    </cfRule>
    <cfRule type="cellIs" dxfId="35" priority="1195" operator="equal">
      <formula>$S$1</formula>
    </cfRule>
  </conditionalFormatting>
  <conditionalFormatting sqref="D31">
    <cfRule type="cellIs" dxfId="34" priority="1192" operator="equal">
      <formula>$S$1</formula>
    </cfRule>
    <cfRule type="cellIs" dxfId="33" priority="119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41" zoomScale="90" zoomScaleNormal="90" workbookViewId="0">
      <pane xSplit="4" topLeftCell="G1" activePane="topRight" state="frozen"/>
      <selection activeCell="A109" sqref="A109"/>
      <selection pane="topRight" activeCell="AZ150" sqref="AZ15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$A$149</v>
      </c>
      <c r="D111" s="1" t="str">
        <f>ADDRESS(C121-1,D121,1,1)</f>
        <v>$AZ$149</v>
      </c>
      <c r="E111"/>
    </row>
    <row r="112" spans="1:5" x14ac:dyDescent="0.25">
      <c r="A112" s="30">
        <v>2.3579476910000019</v>
      </c>
      <c r="C112" s="1" t="str">
        <f>ADDRESS(C121,1,1,1)</f>
        <v>$A$150</v>
      </c>
      <c r="D112" s="1" t="str">
        <f>ADDRESS(C121,D121-1,1,1)</f>
        <v>$AY$150</v>
      </c>
      <c r="E112"/>
    </row>
    <row r="113" spans="1:6" x14ac:dyDescent="0.25">
      <c r="A113" s="30">
        <v>2.1435888100000016</v>
      </c>
      <c r="C113" s="1" t="str">
        <f>ADDRESS(C121+1,1,1,1)</f>
        <v>$A$151</v>
      </c>
      <c r="D113" s="1" t="str">
        <f>ADDRESS(C121-1,D121+1,1,1)</f>
        <v>$BA$149</v>
      </c>
    </row>
    <row r="114" spans="1:6" x14ac:dyDescent="0.25">
      <c r="A114" s="30">
        <v>1.9487171000000014</v>
      </c>
      <c r="C114" s="1" t="str">
        <f>ADDRESS(C121,D121,1,1)</f>
        <v>$AZ$150</v>
      </c>
      <c r="D114" s="1" t="str">
        <f>ADDRESS(C121+1,D121+1,1,1)</f>
        <v>$BA$151</v>
      </c>
    </row>
    <row r="115" spans="1:6" x14ac:dyDescent="0.25">
      <c r="A115" s="30">
        <v>1.7715610000000011</v>
      </c>
      <c r="C115" s="1" t="str">
        <f>ADDRESS(C121+1,D121,1,1)</f>
        <v>$AZ$151</v>
      </c>
    </row>
    <row r="116" spans="1:6" x14ac:dyDescent="0.25">
      <c r="A116" s="30">
        <v>1.6105100000000008</v>
      </c>
      <c r="C116" s="1">
        <f>C117-1</f>
        <v>149</v>
      </c>
    </row>
    <row r="117" spans="1:6" x14ac:dyDescent="0.25">
      <c r="A117" s="30">
        <v>1.4641000000000006</v>
      </c>
      <c r="C117" s="1">
        <f>C121</f>
        <v>150</v>
      </c>
      <c r="D117" s="1">
        <f>D121</f>
        <v>52</v>
      </c>
    </row>
    <row r="118" spans="1:6" x14ac:dyDescent="0.25">
      <c r="A118" s="30">
        <v>1.3310000000000004</v>
      </c>
      <c r="C118" s="1">
        <f>C117+1</f>
        <v>151</v>
      </c>
      <c r="D118" s="1">
        <f>D117+1</f>
        <v>53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150</v>
      </c>
      <c r="D121" s="19">
        <v>52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R150</v>
      </c>
      <c r="D123" s="1" t="str">
        <f>"C"&amp;D121</f>
        <v>C52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6.3039408631284613E-2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5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52" x14ac:dyDescent="0.25">
      <c r="A130" s="30">
        <v>0.42409761837248428</v>
      </c>
      <c r="C130" s="6"/>
      <c r="D130" s="6"/>
      <c r="E130"/>
      <c r="F130" s="27" t="s">
        <v>7</v>
      </c>
    </row>
    <row r="131" spans="1:52" x14ac:dyDescent="0.25">
      <c r="A131" s="30">
        <v>0.38554328942953109</v>
      </c>
      <c r="E131"/>
      <c r="F131" s="27" t="s">
        <v>7</v>
      </c>
    </row>
    <row r="132" spans="1:52" x14ac:dyDescent="0.25">
      <c r="A132" s="30">
        <v>0.35049389948139187</v>
      </c>
      <c r="C132" s="1" t="s">
        <v>13</v>
      </c>
      <c r="E132"/>
      <c r="F132" s="27" t="s">
        <v>7</v>
      </c>
    </row>
    <row r="133" spans="1:52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52" x14ac:dyDescent="0.25">
      <c r="A134" s="30">
        <v>0.28966437973668741</v>
      </c>
      <c r="C134"/>
      <c r="D134"/>
      <c r="E134"/>
      <c r="F134" s="27" t="s">
        <v>7</v>
      </c>
    </row>
    <row r="135" spans="1:52" x14ac:dyDescent="0.25">
      <c r="A135" s="30">
        <v>0.2633312543060794</v>
      </c>
      <c r="C135" s="1" t="s">
        <v>14</v>
      </c>
      <c r="E135"/>
      <c r="F135" s="27" t="s">
        <v>7</v>
      </c>
    </row>
    <row r="136" spans="1:5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U136" s="27" t="s">
        <v>8</v>
      </c>
      <c r="AW136" s="27" t="s">
        <v>8</v>
      </c>
    </row>
    <row r="137" spans="1:52" x14ac:dyDescent="0.25">
      <c r="A137" s="30">
        <v>0.2176291357901482</v>
      </c>
      <c r="E137"/>
      <c r="F137" s="27" t="s">
        <v>7</v>
      </c>
      <c r="AU137" s="27" t="s">
        <v>8</v>
      </c>
      <c r="AV137" s="27" t="s">
        <v>7</v>
      </c>
      <c r="AW137" s="27" t="s">
        <v>8</v>
      </c>
      <c r="AX137" s="27" t="s">
        <v>7</v>
      </c>
    </row>
    <row r="138" spans="1:5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U138" s="27" t="s">
        <v>8</v>
      </c>
      <c r="AV138" s="27" t="s">
        <v>7</v>
      </c>
      <c r="AW138" s="27" t="s">
        <v>8</v>
      </c>
      <c r="AX138" s="27" t="s">
        <v>7</v>
      </c>
    </row>
    <row r="139" spans="1:52" x14ac:dyDescent="0.25">
      <c r="A139" s="30">
        <v>0.17985878990921333</v>
      </c>
      <c r="E139"/>
      <c r="F139" s="27" t="s">
        <v>7</v>
      </c>
      <c r="AS139" s="27" t="s">
        <v>8</v>
      </c>
      <c r="AU139" s="27" t="s">
        <v>8</v>
      </c>
      <c r="AV139" s="27" t="s">
        <v>7</v>
      </c>
      <c r="AW139" s="27" t="s">
        <v>8</v>
      </c>
      <c r="AX139" s="27" t="s">
        <v>7</v>
      </c>
    </row>
    <row r="140" spans="1:52" x14ac:dyDescent="0.25">
      <c r="A140" s="30">
        <v>0.16350799082655756</v>
      </c>
      <c r="C140" s="1">
        <v>0</v>
      </c>
      <c r="E140"/>
      <c r="F140" s="27" t="s">
        <v>7</v>
      </c>
      <c r="AS140" s="27" t="s">
        <v>8</v>
      </c>
      <c r="AT140" s="27" t="s">
        <v>7</v>
      </c>
      <c r="AU140" s="27" t="s">
        <v>8</v>
      </c>
      <c r="AV140" s="27" t="s">
        <v>7</v>
      </c>
      <c r="AX140" s="27" t="s">
        <v>7</v>
      </c>
    </row>
    <row r="141" spans="1:52" x14ac:dyDescent="0.25">
      <c r="A141" s="30">
        <v>0.14864362802414322</v>
      </c>
      <c r="C141" s="1">
        <v>1</v>
      </c>
      <c r="E141"/>
      <c r="F141" s="27" t="s">
        <v>7</v>
      </c>
      <c r="AO141" s="27" t="s">
        <v>8</v>
      </c>
      <c r="AS141" s="27" t="s">
        <v>8</v>
      </c>
      <c r="AT141" s="27" t="s">
        <v>7</v>
      </c>
      <c r="AU141" s="27" t="s">
        <v>8</v>
      </c>
      <c r="AX141" s="27" t="s">
        <v>7</v>
      </c>
      <c r="AY141" s="27" t="s">
        <v>8</v>
      </c>
    </row>
    <row r="142" spans="1:52" x14ac:dyDescent="0.25">
      <c r="A142" s="30">
        <v>0.13513057093103928</v>
      </c>
      <c r="C142" s="1">
        <v>2</v>
      </c>
      <c r="E142"/>
      <c r="F142" s="27" t="s">
        <v>7</v>
      </c>
      <c r="AO142" s="27" t="s">
        <v>8</v>
      </c>
      <c r="AP142" s="27" t="s">
        <v>7</v>
      </c>
      <c r="AS142" s="27" t="s">
        <v>8</v>
      </c>
      <c r="AT142" s="27" t="s">
        <v>7</v>
      </c>
      <c r="AU142" s="27" t="s">
        <v>8</v>
      </c>
      <c r="AX142" s="27" t="s">
        <v>7</v>
      </c>
      <c r="AY142" s="27" t="s">
        <v>8</v>
      </c>
      <c r="AZ142" s="27" t="s">
        <v>7</v>
      </c>
    </row>
    <row r="143" spans="1:52" x14ac:dyDescent="0.25">
      <c r="A143" s="30">
        <v>0.12284597357367205</v>
      </c>
      <c r="C143" s="1">
        <v>3</v>
      </c>
      <c r="E143"/>
      <c r="F143" s="27" t="s">
        <v>7</v>
      </c>
      <c r="AO143" s="27" t="s">
        <v>8</v>
      </c>
      <c r="AP143" s="27" t="s">
        <v>7</v>
      </c>
      <c r="AS143" s="27" t="s">
        <v>8</v>
      </c>
      <c r="AT143" s="27" t="s">
        <v>7</v>
      </c>
      <c r="AU143" s="27" t="s">
        <v>8</v>
      </c>
      <c r="AX143" s="27" t="s">
        <v>7</v>
      </c>
      <c r="AY143" s="27" t="s">
        <v>8</v>
      </c>
      <c r="AZ143" s="27" t="s">
        <v>7</v>
      </c>
    </row>
    <row r="144" spans="1:52" x14ac:dyDescent="0.25">
      <c r="A144" s="30">
        <v>0.11167815779424731</v>
      </c>
      <c r="C144" s="1">
        <v>4</v>
      </c>
      <c r="E144"/>
      <c r="F144" s="27" t="s">
        <v>7</v>
      </c>
      <c r="AO144" s="27" t="s">
        <v>8</v>
      </c>
      <c r="AP144" s="27" t="s">
        <v>7</v>
      </c>
      <c r="AS144" s="27" t="s">
        <v>8</v>
      </c>
      <c r="AT144" s="27" t="s">
        <v>7</v>
      </c>
      <c r="AU144" s="27" t="s">
        <v>8</v>
      </c>
      <c r="AX144" s="27" t="s">
        <v>7</v>
      </c>
      <c r="AZ144" s="27" t="s">
        <v>7</v>
      </c>
    </row>
    <row r="145" spans="1:52" x14ac:dyDescent="0.25">
      <c r="A145" s="30">
        <v>0.10152559799477026</v>
      </c>
      <c r="B145"/>
      <c r="C145"/>
      <c r="D145"/>
      <c r="E145"/>
      <c r="F145" s="27" t="s">
        <v>7</v>
      </c>
      <c r="AO145" s="27" t="s">
        <v>8</v>
      </c>
      <c r="AP145" s="27" t="s">
        <v>7</v>
      </c>
      <c r="AS145" s="27" t="s">
        <v>8</v>
      </c>
      <c r="AT145" s="27" t="s">
        <v>7</v>
      </c>
      <c r="AZ145" s="27" t="s">
        <v>7</v>
      </c>
    </row>
    <row r="146" spans="1:52" x14ac:dyDescent="0.25">
      <c r="A146" s="30">
        <v>9.2295998177063854E-2</v>
      </c>
      <c r="B146"/>
      <c r="C146"/>
      <c r="D146"/>
      <c r="E146"/>
      <c r="F146" s="27" t="s">
        <v>7</v>
      </c>
      <c r="AO146" s="27" t="s">
        <v>8</v>
      </c>
      <c r="AP146" s="27" t="s">
        <v>7</v>
      </c>
      <c r="AS146" s="27" t="s">
        <v>8</v>
      </c>
      <c r="AZ146" s="27" t="s">
        <v>7</v>
      </c>
    </row>
    <row r="147" spans="1:52" x14ac:dyDescent="0.25">
      <c r="A147" s="30">
        <v>8.3905452888239848E-2</v>
      </c>
      <c r="B147"/>
      <c r="C147"/>
      <c r="D147"/>
      <c r="E147"/>
      <c r="F147" s="27" t="s">
        <v>7</v>
      </c>
      <c r="AG147" s="27" t="s">
        <v>8</v>
      </c>
      <c r="AO147" s="27" t="s">
        <v>8</v>
      </c>
      <c r="AP147" s="27" t="s">
        <v>7</v>
      </c>
      <c r="AQ147" s="27" t="s">
        <v>8</v>
      </c>
      <c r="AS147" s="27" t="s">
        <v>8</v>
      </c>
      <c r="AZ147" s="27" t="s">
        <v>7</v>
      </c>
    </row>
    <row r="148" spans="1:52" x14ac:dyDescent="0.25">
      <c r="A148" s="30">
        <v>7.6277684443854396E-2</v>
      </c>
      <c r="B148"/>
      <c r="C148"/>
      <c r="D148"/>
      <c r="E148"/>
      <c r="F148" s="27" t="s">
        <v>7</v>
      </c>
      <c r="AG148" s="27" t="s">
        <v>8</v>
      </c>
      <c r="AH148" s="27" t="s">
        <v>7</v>
      </c>
      <c r="AO148" s="27" t="s">
        <v>8</v>
      </c>
      <c r="AP148" s="27" t="s">
        <v>7</v>
      </c>
      <c r="AQ148" s="27" t="s">
        <v>8</v>
      </c>
      <c r="AR148" s="27" t="s">
        <v>7</v>
      </c>
      <c r="AS148" s="27" t="s">
        <v>8</v>
      </c>
      <c r="AZ148" s="27" t="s">
        <v>7</v>
      </c>
    </row>
    <row r="149" spans="1:52" x14ac:dyDescent="0.25">
      <c r="A149" s="30">
        <v>6.9343349494413078E-2</v>
      </c>
      <c r="B149"/>
      <c r="C149"/>
      <c r="D149"/>
      <c r="E149"/>
      <c r="F149" s="27" t="s">
        <v>7</v>
      </c>
      <c r="AG149" s="27" t="s">
        <v>8</v>
      </c>
      <c r="AH149" s="27" t="s">
        <v>7</v>
      </c>
      <c r="AO149" s="27" t="s">
        <v>8</v>
      </c>
      <c r="AP149" s="27" t="s">
        <v>7</v>
      </c>
      <c r="AQ149" s="27" t="s">
        <v>8</v>
      </c>
      <c r="AR149" s="27" t="s">
        <v>7</v>
      </c>
      <c r="AS149" s="27" t="s">
        <v>8</v>
      </c>
      <c r="AZ149" s="27" t="s">
        <v>7</v>
      </c>
    </row>
    <row r="150" spans="1:52" x14ac:dyDescent="0.25">
      <c r="A150" s="30">
        <v>6.3039408631284613E-2</v>
      </c>
      <c r="B150"/>
      <c r="C150"/>
      <c r="D150"/>
      <c r="E150"/>
      <c r="F150" s="27" t="s">
        <v>7</v>
      </c>
      <c r="AG150" s="27" t="s">
        <v>8</v>
      </c>
      <c r="AH150" s="27" t="s">
        <v>7</v>
      </c>
      <c r="AO150" s="27" t="s">
        <v>8</v>
      </c>
      <c r="AP150" s="27" t="s">
        <v>7</v>
      </c>
      <c r="AQ150" s="27" t="s">
        <v>8</v>
      </c>
      <c r="AR150" s="27" t="s">
        <v>7</v>
      </c>
      <c r="AS150" s="27" t="s">
        <v>8</v>
      </c>
      <c r="AZ150" s="27" t="s">
        <v>7</v>
      </c>
    </row>
    <row r="151" spans="1:52" x14ac:dyDescent="0.25">
      <c r="A151" s="30">
        <v>5.7308553301167818E-2</v>
      </c>
      <c r="B151"/>
      <c r="C151"/>
      <c r="D151"/>
      <c r="E151"/>
      <c r="F151" s="27" t="s">
        <v>7</v>
      </c>
      <c r="AE151" s="27" t="s">
        <v>8</v>
      </c>
      <c r="AG151" s="27" t="s">
        <v>8</v>
      </c>
      <c r="AH151" s="27" t="s">
        <v>7</v>
      </c>
      <c r="AO151" s="27" t="s">
        <v>8</v>
      </c>
      <c r="AP151" s="27" t="s">
        <v>7</v>
      </c>
      <c r="AQ151" s="27" t="s">
        <v>8</v>
      </c>
      <c r="AR151" s="27" t="s">
        <v>7</v>
      </c>
    </row>
    <row r="152" spans="1:52" x14ac:dyDescent="0.25">
      <c r="A152" s="30">
        <v>5.2098684819243464E-2</v>
      </c>
      <c r="B152"/>
      <c r="C152"/>
      <c r="D152"/>
      <c r="E152"/>
      <c r="F152" s="27" t="s">
        <v>7</v>
      </c>
      <c r="AC152" s="27" t="s">
        <v>8</v>
      </c>
      <c r="AE152" s="27" t="s">
        <v>8</v>
      </c>
      <c r="AF152" s="27" t="s">
        <v>7</v>
      </c>
      <c r="AG152" s="27" t="s">
        <v>8</v>
      </c>
      <c r="AH152" s="27" t="s">
        <v>7</v>
      </c>
      <c r="AO152" s="27" t="s">
        <v>8</v>
      </c>
      <c r="AP152" s="27" t="s">
        <v>7</v>
      </c>
    </row>
    <row r="153" spans="1:52" x14ac:dyDescent="0.25">
      <c r="A153" s="30">
        <v>4.7362440744766775E-2</v>
      </c>
      <c r="B153"/>
      <c r="C153"/>
      <c r="D153"/>
      <c r="E153"/>
      <c r="F153" s="27" t="s">
        <v>7</v>
      </c>
      <c r="AC153" s="27" t="s">
        <v>8</v>
      </c>
      <c r="AD153" s="27" t="s">
        <v>7</v>
      </c>
      <c r="AE153" s="27" t="s">
        <v>8</v>
      </c>
      <c r="AF153" s="27" t="s">
        <v>7</v>
      </c>
      <c r="AG153" s="27" t="s">
        <v>8</v>
      </c>
      <c r="AH153" s="27" t="s">
        <v>7</v>
      </c>
      <c r="AO153" s="27" t="s">
        <v>8</v>
      </c>
    </row>
    <row r="154" spans="1:52" x14ac:dyDescent="0.25">
      <c r="A154" s="30">
        <v>4.3056764313424332E-2</v>
      </c>
      <c r="B154"/>
      <c r="C154"/>
      <c r="D154"/>
      <c r="E154"/>
      <c r="F154" s="27" t="s">
        <v>7</v>
      </c>
      <c r="AC154" s="27" t="s">
        <v>8</v>
      </c>
      <c r="AD154" s="27" t="s">
        <v>7</v>
      </c>
      <c r="AE154" s="27" t="s">
        <v>8</v>
      </c>
      <c r="AF154" s="27" t="s">
        <v>7</v>
      </c>
      <c r="AG154" s="27" t="s">
        <v>8</v>
      </c>
      <c r="AH154" s="27" t="s">
        <v>7</v>
      </c>
      <c r="AO154" s="27" t="s">
        <v>8</v>
      </c>
    </row>
    <row r="155" spans="1:52" x14ac:dyDescent="0.25">
      <c r="A155" s="30">
        <v>3.9142513012203929E-2</v>
      </c>
      <c r="B155"/>
      <c r="C155"/>
      <c r="D155"/>
      <c r="E155"/>
      <c r="F155" s="27" t="s">
        <v>7</v>
      </c>
      <c r="AC155" s="27" t="s">
        <v>8</v>
      </c>
      <c r="AD155" s="27" t="s">
        <v>7</v>
      </c>
      <c r="AF155" s="27" t="s">
        <v>7</v>
      </c>
      <c r="AG155" s="27" t="s">
        <v>8</v>
      </c>
      <c r="AH155" s="27" t="s">
        <v>7</v>
      </c>
      <c r="AI155" s="27" t="s">
        <v>8</v>
      </c>
      <c r="AO155" s="27" t="s">
        <v>8</v>
      </c>
    </row>
    <row r="156" spans="1:52" x14ac:dyDescent="0.25">
      <c r="A156" s="30">
        <v>3.55841027383672E-2</v>
      </c>
      <c r="B156"/>
      <c r="C156"/>
      <c r="D156"/>
      <c r="E156"/>
      <c r="F156" s="27" t="s">
        <v>7</v>
      </c>
      <c r="Y156" s="27" t="s">
        <v>8</v>
      </c>
      <c r="AC156" s="27" t="s">
        <v>8</v>
      </c>
      <c r="AF156" s="27" t="s">
        <v>7</v>
      </c>
      <c r="AG156" s="27" t="s">
        <v>8</v>
      </c>
      <c r="AH156" s="27" t="s">
        <v>7</v>
      </c>
      <c r="AI156" s="27" t="s">
        <v>8</v>
      </c>
      <c r="AJ156" s="27" t="s">
        <v>7</v>
      </c>
      <c r="AK156" s="27" t="s">
        <v>8</v>
      </c>
      <c r="AO156" s="27" t="s">
        <v>8</v>
      </c>
    </row>
    <row r="157" spans="1:52" x14ac:dyDescent="0.25">
      <c r="A157" s="30">
        <v>3.2349184307606541E-2</v>
      </c>
      <c r="B157"/>
      <c r="C157"/>
      <c r="D157"/>
      <c r="E157"/>
      <c r="F157" s="27" t="s">
        <v>7</v>
      </c>
      <c r="Y157" s="27" t="s">
        <v>8</v>
      </c>
      <c r="Z157" s="27" t="s">
        <v>7</v>
      </c>
      <c r="AC157" s="27" t="s">
        <v>8</v>
      </c>
      <c r="AF157" s="27" t="s">
        <v>7</v>
      </c>
      <c r="AH157" s="27" t="s">
        <v>7</v>
      </c>
      <c r="AI157" s="27" t="s">
        <v>8</v>
      </c>
      <c r="AJ157" s="27" t="s">
        <v>7</v>
      </c>
      <c r="AK157" s="27" t="s">
        <v>8</v>
      </c>
      <c r="AL157" s="27" t="s">
        <v>7</v>
      </c>
      <c r="AO157" s="27" t="s">
        <v>8</v>
      </c>
    </row>
    <row r="158" spans="1:52" x14ac:dyDescent="0.25">
      <c r="A158" s="30">
        <v>2.9408349370551395E-2</v>
      </c>
      <c r="B158"/>
      <c r="C158"/>
      <c r="D158"/>
      <c r="E158"/>
      <c r="F158" s="27" t="s">
        <v>7</v>
      </c>
      <c r="Y158" s="27" t="s">
        <v>8</v>
      </c>
      <c r="Z158" s="27" t="s">
        <v>7</v>
      </c>
      <c r="AC158" s="27" t="s">
        <v>8</v>
      </c>
      <c r="AH158" s="27" t="s">
        <v>7</v>
      </c>
      <c r="AI158" s="27" t="s">
        <v>8</v>
      </c>
      <c r="AJ158" s="27" t="s">
        <v>7</v>
      </c>
      <c r="AK158" s="27" t="s">
        <v>8</v>
      </c>
      <c r="AL158" s="27" t="s">
        <v>7</v>
      </c>
      <c r="AO158" s="27" t="s">
        <v>8</v>
      </c>
    </row>
    <row r="159" spans="1:52" x14ac:dyDescent="0.25">
      <c r="A159" s="30">
        <v>2.6734863064137627E-2</v>
      </c>
      <c r="B159"/>
      <c r="C159"/>
      <c r="D159"/>
      <c r="E159"/>
      <c r="F159" s="27" t="s">
        <v>7</v>
      </c>
      <c r="Y159" s="27" t="s">
        <v>8</v>
      </c>
      <c r="Z159" s="27" t="s">
        <v>7</v>
      </c>
      <c r="AA159" s="27" t="s">
        <v>8</v>
      </c>
      <c r="AC159" s="27" t="s">
        <v>8</v>
      </c>
      <c r="AH159" s="27" t="s">
        <v>7</v>
      </c>
      <c r="AI159" s="27" t="s">
        <v>8</v>
      </c>
      <c r="AJ159" s="27" t="s">
        <v>7</v>
      </c>
      <c r="AL159" s="27" t="s">
        <v>7</v>
      </c>
      <c r="AO159" s="27" t="s">
        <v>8</v>
      </c>
    </row>
    <row r="160" spans="1:52" x14ac:dyDescent="0.25">
      <c r="A160" s="30">
        <v>2.4304420967397839E-2</v>
      </c>
      <c r="B160"/>
      <c r="C160"/>
      <c r="D160"/>
      <c r="E160"/>
      <c r="F160" s="27" t="s">
        <v>7</v>
      </c>
      <c r="Y160" s="27" t="s">
        <v>8</v>
      </c>
      <c r="Z160" s="27" t="s">
        <v>7</v>
      </c>
      <c r="AA160" s="27" t="s">
        <v>8</v>
      </c>
      <c r="AB160" s="27" t="s">
        <v>7</v>
      </c>
      <c r="AC160" s="27" t="s">
        <v>8</v>
      </c>
      <c r="AH160" s="27" t="s">
        <v>7</v>
      </c>
      <c r="AI160" s="27" t="s">
        <v>8</v>
      </c>
      <c r="AL160" s="27" t="s">
        <v>7</v>
      </c>
      <c r="AO160" s="27" t="s">
        <v>8</v>
      </c>
    </row>
    <row r="161" spans="1:41" x14ac:dyDescent="0.25">
      <c r="A161" s="30">
        <v>2.2094928152179852E-2</v>
      </c>
      <c r="B161"/>
      <c r="C161"/>
      <c r="D161"/>
      <c r="E161"/>
      <c r="F161" s="27" t="s">
        <v>7</v>
      </c>
      <c r="Y161" s="27" t="s">
        <v>8</v>
      </c>
      <c r="Z161" s="27" t="s">
        <v>7</v>
      </c>
      <c r="AA161" s="27" t="s">
        <v>8</v>
      </c>
      <c r="AB161" s="27" t="s">
        <v>7</v>
      </c>
      <c r="AC161" s="27" t="s">
        <v>8</v>
      </c>
      <c r="AH161" s="27" t="s">
        <v>7</v>
      </c>
      <c r="AL161" s="27" t="s">
        <v>7</v>
      </c>
      <c r="AM161" s="18" t="s">
        <v>8</v>
      </c>
      <c r="AO161" s="27" t="s">
        <v>8</v>
      </c>
    </row>
    <row r="162" spans="1:41" x14ac:dyDescent="0.25">
      <c r="A162" s="30">
        <v>2.0086298320163499E-2</v>
      </c>
      <c r="B162"/>
      <c r="C162"/>
      <c r="D162"/>
      <c r="E162"/>
      <c r="F162" s="27" t="s">
        <v>7</v>
      </c>
      <c r="Y162" s="27" t="s">
        <v>8</v>
      </c>
      <c r="Z162" s="27" t="s">
        <v>7</v>
      </c>
      <c r="AB162" s="27" t="s">
        <v>7</v>
      </c>
      <c r="AL162" s="27" t="s">
        <v>7</v>
      </c>
      <c r="AM162" s="27" t="s">
        <v>8</v>
      </c>
      <c r="AN162" s="27" t="s">
        <v>7</v>
      </c>
      <c r="AO162" s="27" t="s">
        <v>8</v>
      </c>
    </row>
    <row r="163" spans="1:41" x14ac:dyDescent="0.25">
      <c r="A163" s="30">
        <v>1.8260271200148632E-2</v>
      </c>
      <c r="B163"/>
      <c r="C163"/>
      <c r="D163"/>
      <c r="E163"/>
      <c r="F163" s="27" t="s">
        <v>7</v>
      </c>
      <c r="Y163" s="27" t="s">
        <v>8</v>
      </c>
      <c r="AL163" s="31" t="s">
        <v>7</v>
      </c>
      <c r="AM163" s="27" t="s">
        <v>8</v>
      </c>
      <c r="AN163" s="27" t="s">
        <v>7</v>
      </c>
      <c r="AO163" s="27" t="s">
        <v>8</v>
      </c>
    </row>
    <row r="164" spans="1:41" x14ac:dyDescent="0.25">
      <c r="A164" s="30">
        <v>1.6600246545589663E-2</v>
      </c>
      <c r="B164"/>
      <c r="C164"/>
      <c r="D164"/>
      <c r="E164"/>
      <c r="F164" s="27" t="s">
        <v>7</v>
      </c>
      <c r="Y164" s="27" t="s">
        <v>8</v>
      </c>
      <c r="AK164" s="31"/>
      <c r="AL164" s="27" t="s">
        <v>7</v>
      </c>
      <c r="AM164" s="27" t="s">
        <v>8</v>
      </c>
      <c r="AN164" s="27" t="s">
        <v>7</v>
      </c>
    </row>
    <row r="165" spans="1:41" x14ac:dyDescent="0.25">
      <c r="A165" s="30">
        <v>1.5091133223263328E-2</v>
      </c>
      <c r="B165"/>
      <c r="C165"/>
      <c r="D165"/>
      <c r="E165"/>
      <c r="F165" s="27" t="s">
        <v>7</v>
      </c>
      <c r="Y165" s="27" t="s">
        <v>8</v>
      </c>
      <c r="AJ165" s="31"/>
      <c r="AL165" s="27" t="s">
        <v>7</v>
      </c>
      <c r="AM165" s="27" t="s">
        <v>8</v>
      </c>
    </row>
    <row r="166" spans="1:41" x14ac:dyDescent="0.25">
      <c r="A166" s="30">
        <v>1.3719212021148477E-2</v>
      </c>
      <c r="B166"/>
      <c r="C166"/>
      <c r="D166"/>
      <c r="E166"/>
      <c r="F166" s="27" t="s">
        <v>7</v>
      </c>
      <c r="Y166" s="27" t="s">
        <v>8</v>
      </c>
      <c r="AI166" s="31"/>
      <c r="AL166" s="27" t="s">
        <v>7</v>
      </c>
    </row>
    <row r="167" spans="1:41" x14ac:dyDescent="0.25">
      <c r="A167" s="30">
        <v>1.2472010928316795E-2</v>
      </c>
      <c r="B167"/>
      <c r="C167"/>
      <c r="D167"/>
      <c r="E167"/>
      <c r="F167" s="27" t="s">
        <v>7</v>
      </c>
      <c r="Q167" s="27" t="s">
        <v>8</v>
      </c>
      <c r="S167" s="27" t="s">
        <v>8</v>
      </c>
      <c r="Y167" s="27" t="s">
        <v>8</v>
      </c>
      <c r="AH167" s="31"/>
    </row>
    <row r="168" spans="1:41" x14ac:dyDescent="0.25">
      <c r="A168" s="30">
        <v>1.1338191753015267E-2</v>
      </c>
      <c r="B168"/>
      <c r="C168"/>
      <c r="D168"/>
      <c r="E168"/>
      <c r="F168" s="27" t="s">
        <v>7</v>
      </c>
      <c r="Q168" s="27" t="s">
        <v>8</v>
      </c>
      <c r="R168" s="27" t="s">
        <v>7</v>
      </c>
      <c r="S168" s="27" t="s">
        <v>8</v>
      </c>
      <c r="T168" s="27" t="s">
        <v>7</v>
      </c>
      <c r="Y168" s="27" t="s">
        <v>8</v>
      </c>
      <c r="AG168" s="31"/>
    </row>
    <row r="169" spans="1:41" x14ac:dyDescent="0.25">
      <c r="A169" s="30">
        <v>1.0307447048195697E-2</v>
      </c>
      <c r="B169"/>
      <c r="C169"/>
      <c r="D169"/>
      <c r="E169"/>
      <c r="F169" s="27" t="s">
        <v>7</v>
      </c>
      <c r="Q169" s="27" t="s">
        <v>8</v>
      </c>
      <c r="R169" s="27" t="s">
        <v>7</v>
      </c>
      <c r="S169" s="27" t="s">
        <v>8</v>
      </c>
      <c r="T169" s="27" t="s">
        <v>7</v>
      </c>
      <c r="Y169" s="27" t="s">
        <v>8</v>
      </c>
      <c r="AF169" s="31"/>
    </row>
    <row r="170" spans="1:41" x14ac:dyDescent="0.25">
      <c r="A170" s="30">
        <v>9.3704064074506318E-3</v>
      </c>
      <c r="B170"/>
      <c r="C170"/>
      <c r="D170"/>
      <c r="E170"/>
      <c r="F170" s="27" t="s">
        <v>7</v>
      </c>
      <c r="Q170" s="27" t="s">
        <v>8</v>
      </c>
      <c r="R170" s="27" t="s">
        <v>7</v>
      </c>
      <c r="S170" s="27" t="s">
        <v>8</v>
      </c>
      <c r="T170" s="27" t="s">
        <v>7</v>
      </c>
      <c r="W170" s="27" t="s">
        <v>8</v>
      </c>
      <c r="Y170" s="27" t="s">
        <v>8</v>
      </c>
      <c r="AE170" s="31"/>
    </row>
    <row r="171" spans="1:41" x14ac:dyDescent="0.25">
      <c r="A171" s="30">
        <v>8.5185512795005747E-3</v>
      </c>
      <c r="F171" s="27" t="s">
        <v>7</v>
      </c>
      <c r="O171" s="27" t="s">
        <v>8</v>
      </c>
      <c r="Q171" s="27" t="s">
        <v>8</v>
      </c>
      <c r="R171" s="27" t="s">
        <v>7</v>
      </c>
      <c r="S171" s="27" t="s">
        <v>8</v>
      </c>
      <c r="T171" s="27" t="s">
        <v>7</v>
      </c>
      <c r="U171" s="27" t="s">
        <v>8</v>
      </c>
      <c r="W171" s="27" t="s">
        <v>8</v>
      </c>
      <c r="X171" s="27" t="s">
        <v>7</v>
      </c>
      <c r="Y171" s="27" t="s">
        <v>8</v>
      </c>
      <c r="AD171" s="31"/>
    </row>
    <row r="172" spans="1:41" x14ac:dyDescent="0.25">
      <c r="A172" s="30">
        <v>7.744137526818704E-3</v>
      </c>
      <c r="F172" s="27" t="s">
        <v>7</v>
      </c>
      <c r="O172" s="27" t="s">
        <v>8</v>
      </c>
      <c r="P172" s="27" t="s">
        <v>7</v>
      </c>
      <c r="Q172" s="27" t="s">
        <v>8</v>
      </c>
      <c r="R172" s="27" t="s">
        <v>7</v>
      </c>
      <c r="T172" s="27" t="s">
        <v>7</v>
      </c>
      <c r="U172" s="27" t="s">
        <v>8</v>
      </c>
      <c r="V172" s="27" t="s">
        <v>7</v>
      </c>
      <c r="W172" s="27" t="s">
        <v>8</v>
      </c>
      <c r="X172" s="27" t="s">
        <v>7</v>
      </c>
      <c r="Y172" s="27" t="s">
        <v>8</v>
      </c>
      <c r="AC172" s="31"/>
    </row>
    <row r="173" spans="1:41" x14ac:dyDescent="0.25">
      <c r="A173" s="30">
        <v>7.0401250243806394E-3</v>
      </c>
      <c r="F173" s="27" t="s">
        <v>7</v>
      </c>
      <c r="G173" s="27" t="s">
        <v>8</v>
      </c>
      <c r="K173" s="27" t="s">
        <v>8</v>
      </c>
      <c r="O173" s="27" t="s">
        <v>8</v>
      </c>
      <c r="P173" s="27" t="s">
        <v>7</v>
      </c>
      <c r="Q173" s="27" t="s">
        <v>8</v>
      </c>
      <c r="T173" s="27" t="s">
        <v>7</v>
      </c>
      <c r="U173" s="27" t="s">
        <v>8</v>
      </c>
      <c r="V173" s="27" t="s">
        <v>7</v>
      </c>
      <c r="W173" s="27" t="s">
        <v>8</v>
      </c>
      <c r="X173" s="27" t="s">
        <v>7</v>
      </c>
      <c r="Y173" s="27" t="s">
        <v>8</v>
      </c>
      <c r="AB173" s="31"/>
    </row>
    <row r="174" spans="1:41" x14ac:dyDescent="0.25">
      <c r="A174" s="30">
        <v>6.4001136585278536E-3</v>
      </c>
      <c r="F174" s="27" t="s">
        <v>7</v>
      </c>
      <c r="G174" s="27" t="s">
        <v>8</v>
      </c>
      <c r="H174" s="27" t="s">
        <v>7</v>
      </c>
      <c r="K174" s="27" t="s">
        <v>8</v>
      </c>
      <c r="L174" s="27" t="s">
        <v>7</v>
      </c>
      <c r="M174" s="27" t="s">
        <v>8</v>
      </c>
      <c r="O174" s="27" t="s">
        <v>8</v>
      </c>
      <c r="P174" s="27" t="s">
        <v>7</v>
      </c>
      <c r="T174" s="27" t="s">
        <v>7</v>
      </c>
      <c r="U174" s="27" t="s">
        <v>8</v>
      </c>
      <c r="V174" s="27" t="s">
        <v>7</v>
      </c>
      <c r="W174" s="27" t="s">
        <v>8</v>
      </c>
      <c r="X174" s="27" t="s">
        <v>7</v>
      </c>
      <c r="AA174" s="31"/>
    </row>
    <row r="175" spans="1:41" x14ac:dyDescent="0.25">
      <c r="A175" s="30">
        <v>5.8182851441162305E-3</v>
      </c>
      <c r="F175" s="27" t="s">
        <v>7</v>
      </c>
      <c r="G175" s="27" t="s">
        <v>8</v>
      </c>
      <c r="H175" s="27" t="s">
        <v>7</v>
      </c>
      <c r="K175" s="27" t="s">
        <v>8</v>
      </c>
      <c r="L175" s="27" t="s">
        <v>7</v>
      </c>
      <c r="M175" s="27" t="s">
        <v>8</v>
      </c>
      <c r="N175" s="27" t="s">
        <v>7</v>
      </c>
      <c r="O175" s="27" t="s">
        <v>8</v>
      </c>
      <c r="T175" s="27" t="s">
        <v>7</v>
      </c>
      <c r="V175" s="27" t="s">
        <v>7</v>
      </c>
      <c r="Z175" s="31"/>
    </row>
    <row r="176" spans="1:41" x14ac:dyDescent="0.25">
      <c r="A176" s="30">
        <v>5.2893501310147546E-3</v>
      </c>
      <c r="F176" s="27" t="s">
        <v>7</v>
      </c>
      <c r="G176" s="27" t="s">
        <v>8</v>
      </c>
      <c r="H176" s="27" t="s">
        <v>7</v>
      </c>
      <c r="K176" s="27" t="s">
        <v>8</v>
      </c>
      <c r="L176" s="27" t="s">
        <v>7</v>
      </c>
      <c r="M176" s="27" t="s">
        <v>8</v>
      </c>
      <c r="N176" s="27" t="s">
        <v>7</v>
      </c>
      <c r="O176" s="27" t="s">
        <v>8</v>
      </c>
      <c r="Y176" s="31"/>
    </row>
    <row r="177" spans="1:24" x14ac:dyDescent="0.25">
      <c r="A177" s="30">
        <v>4.8085001191043222E-3</v>
      </c>
      <c r="F177" s="27" t="s">
        <v>7</v>
      </c>
      <c r="G177" s="27" t="s">
        <v>8</v>
      </c>
      <c r="H177" s="27" t="s">
        <v>7</v>
      </c>
      <c r="K177" s="27" t="s">
        <v>8</v>
      </c>
      <c r="L177" s="27" t="s">
        <v>7</v>
      </c>
      <c r="N177" s="27" t="s">
        <v>7</v>
      </c>
      <c r="O177" s="27" t="s">
        <v>8</v>
      </c>
      <c r="X177" s="31"/>
    </row>
    <row r="178" spans="1:24" x14ac:dyDescent="0.25">
      <c r="A178" s="30">
        <v>4.3713637446402926E-3</v>
      </c>
      <c r="F178" s="27" t="s">
        <v>7</v>
      </c>
      <c r="G178" s="27" t="s">
        <v>8</v>
      </c>
      <c r="H178" s="27" t="s">
        <v>7</v>
      </c>
      <c r="K178" s="27" t="s">
        <v>8</v>
      </c>
      <c r="N178" s="27" t="s">
        <v>7</v>
      </c>
      <c r="W178" s="31"/>
    </row>
    <row r="179" spans="1:24" x14ac:dyDescent="0.25">
      <c r="A179" s="30">
        <v>3.9739670405820838E-3</v>
      </c>
      <c r="F179" s="27" t="s">
        <v>7</v>
      </c>
      <c r="G179" s="27" t="s">
        <v>8</v>
      </c>
      <c r="H179" s="27" t="s">
        <v>7</v>
      </c>
      <c r="K179" s="27" t="s">
        <v>8</v>
      </c>
      <c r="V179" s="31"/>
    </row>
    <row r="180" spans="1:24" x14ac:dyDescent="0.25">
      <c r="A180" s="30">
        <v>3.6126973096200759E-3</v>
      </c>
      <c r="F180" s="27" t="s">
        <v>7</v>
      </c>
      <c r="G180" s="27" t="s">
        <v>8</v>
      </c>
      <c r="H180" s="27" t="s">
        <v>7</v>
      </c>
      <c r="K180" s="27" t="s">
        <v>8</v>
      </c>
      <c r="U180" s="31"/>
    </row>
    <row r="181" spans="1:24" x14ac:dyDescent="0.25">
      <c r="A181" s="30">
        <v>3.2842702814727962E-3</v>
      </c>
      <c r="F181" s="27" t="s">
        <v>7</v>
      </c>
      <c r="H181" s="27" t="s">
        <v>7</v>
      </c>
      <c r="K181" s="27" t="s">
        <v>8</v>
      </c>
      <c r="T181" s="31"/>
    </row>
    <row r="182" spans="1:24" x14ac:dyDescent="0.25">
      <c r="A182" s="30">
        <v>2.9857002558843601E-3</v>
      </c>
      <c r="H182" s="27" t="s">
        <v>7</v>
      </c>
      <c r="K182" s="27" t="s">
        <v>8</v>
      </c>
      <c r="S182" s="31"/>
    </row>
    <row r="183" spans="1:24" x14ac:dyDescent="0.25">
      <c r="A183" s="30">
        <v>2.7142729598948726E-3</v>
      </c>
      <c r="H183" s="27" t="s">
        <v>7</v>
      </c>
      <c r="K183" s="27" t="s">
        <v>8</v>
      </c>
      <c r="R183" s="31"/>
    </row>
    <row r="184" spans="1:24" x14ac:dyDescent="0.25">
      <c r="A184" s="30">
        <v>2.4675208726317021E-3</v>
      </c>
      <c r="H184" s="27" t="s">
        <v>7</v>
      </c>
      <c r="K184" s="27" t="s">
        <v>8</v>
      </c>
      <c r="Q184" s="31"/>
    </row>
    <row r="185" spans="1:24" x14ac:dyDescent="0.25">
      <c r="A185" s="30">
        <v>2.2432007933015472E-3</v>
      </c>
      <c r="H185" s="27" t="s">
        <v>7</v>
      </c>
      <c r="I185" s="27" t="s">
        <v>8</v>
      </c>
      <c r="K185" s="27" t="s">
        <v>8</v>
      </c>
      <c r="P185" s="31"/>
    </row>
    <row r="186" spans="1:24" x14ac:dyDescent="0.25">
      <c r="A186" s="30">
        <v>2.0392734484559519E-3</v>
      </c>
      <c r="H186" s="27" t="s">
        <v>7</v>
      </c>
      <c r="I186" s="27" t="s">
        <v>8</v>
      </c>
      <c r="J186" s="27" t="s">
        <v>7</v>
      </c>
      <c r="K186" s="27" t="s">
        <v>8</v>
      </c>
      <c r="O186" s="31"/>
    </row>
    <row r="187" spans="1:24" x14ac:dyDescent="0.25">
      <c r="A187" s="30">
        <v>1.8538849531417744E-3</v>
      </c>
      <c r="H187" s="27" t="s">
        <v>7</v>
      </c>
      <c r="I187" s="27" t="s">
        <v>8</v>
      </c>
      <c r="J187" s="27" t="s">
        <v>7</v>
      </c>
      <c r="K187" s="27" t="s">
        <v>8</v>
      </c>
      <c r="N187" s="31"/>
    </row>
    <row r="188" spans="1:24" x14ac:dyDescent="0.25">
      <c r="A188" s="30">
        <v>1.6853499574016129E-3</v>
      </c>
      <c r="H188" s="27" t="s">
        <v>7</v>
      </c>
      <c r="I188" s="27" t="s">
        <v>8</v>
      </c>
      <c r="J188" s="27" t="s">
        <v>7</v>
      </c>
      <c r="K188" s="27" t="s">
        <v>8</v>
      </c>
      <c r="M188" s="31"/>
    </row>
    <row r="189" spans="1:24" x14ac:dyDescent="0.25">
      <c r="A189" s="30">
        <v>1.5321363249105571E-3</v>
      </c>
      <c r="H189" s="27" t="s">
        <v>7</v>
      </c>
      <c r="I189" s="27" t="s">
        <v>8</v>
      </c>
      <c r="J189" s="27" t="s">
        <v>7</v>
      </c>
      <c r="L189" s="31"/>
    </row>
    <row r="190" spans="1:24" x14ac:dyDescent="0.25">
      <c r="A190" s="30">
        <v>1.3928512044641427E-3</v>
      </c>
      <c r="H190" s="27" t="s">
        <v>7</v>
      </c>
      <c r="I190" s="27" t="s">
        <v>8</v>
      </c>
      <c r="K190" s="31"/>
    </row>
    <row r="191" spans="1:24" x14ac:dyDescent="0.25">
      <c r="A191" s="30">
        <v>1.2662283676946752E-3</v>
      </c>
      <c r="H191" s="27" t="s">
        <v>7</v>
      </c>
      <c r="I191" s="27" t="s">
        <v>8</v>
      </c>
      <c r="J191" s="31"/>
    </row>
    <row r="192" spans="1:24" x14ac:dyDescent="0.25">
      <c r="A192" s="30">
        <v>1.15111669790425E-3</v>
      </c>
      <c r="H192" s="27" t="s">
        <v>7</v>
      </c>
      <c r="I192" s="31" t="s">
        <v>8</v>
      </c>
    </row>
    <row r="193" spans="1:8" x14ac:dyDescent="0.25">
      <c r="A193" s="30">
        <v>1.0464697253675E-3</v>
      </c>
      <c r="H193" s="31" t="s">
        <v>7</v>
      </c>
    </row>
    <row r="194" spans="1:8" x14ac:dyDescent="0.25">
      <c r="A194" s="30">
        <v>9.5133611397045449E-4</v>
      </c>
    </row>
    <row r="195" spans="1:8" x14ac:dyDescent="0.25">
      <c r="A195" s="30">
        <v>8.6485101270041313E-4</v>
      </c>
    </row>
    <row r="196" spans="1:8" x14ac:dyDescent="0.25">
      <c r="A196" s="30">
        <v>7.862281933640119E-4</v>
      </c>
    </row>
    <row r="197" spans="1:8" x14ac:dyDescent="0.25">
      <c r="A197" s="30">
        <v>7.0760537402761068E-4</v>
      </c>
    </row>
    <row r="198" spans="1:8" x14ac:dyDescent="0.25">
      <c r="A198" s="30">
        <v>6.368448366248496E-4</v>
      </c>
    </row>
    <row r="199" spans="1:8" x14ac:dyDescent="0.25">
      <c r="A199" s="30">
        <v>5.7316035296236471E-4</v>
      </c>
    </row>
    <row r="200" spans="1:8" x14ac:dyDescent="0.25">
      <c r="A200" s="30">
        <v>5.1584431766612821E-4</v>
      </c>
    </row>
    <row r="201" spans="1:8" x14ac:dyDescent="0.25">
      <c r="A201" s="30">
        <v>4.6425988589951538E-4</v>
      </c>
    </row>
    <row r="202" spans="1:8" x14ac:dyDescent="0.25">
      <c r="A202" s="30">
        <v>4.1783389730956383E-4</v>
      </c>
    </row>
    <row r="203" spans="1:8" x14ac:dyDescent="0.25">
      <c r="A203" s="30">
        <v>3.7605050757860746E-4</v>
      </c>
    </row>
    <row r="204" spans="1:8" x14ac:dyDescent="0.25">
      <c r="A204" s="30">
        <v>3.3844545682074675E-4</v>
      </c>
    </row>
    <row r="205" spans="1:8" x14ac:dyDescent="0.25">
      <c r="A205" s="30">
        <v>3.0460091113867208E-4</v>
      </c>
    </row>
    <row r="206" spans="1:8" x14ac:dyDescent="0.25">
      <c r="A206" s="30">
        <v>2.7414082002480487E-4</v>
      </c>
    </row>
    <row r="207" spans="1:8" x14ac:dyDescent="0.25">
      <c r="A207" s="30">
        <v>2.4672673802232442E-4</v>
      </c>
    </row>
    <row r="208" spans="1:8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10" operator="equal">
      <formula>$U$1</formula>
    </cfRule>
    <cfRule type="cellIs" dxfId="30" priority="1211" operator="equal">
      <formula>$S$1</formula>
    </cfRule>
  </conditionalFormatting>
  <conditionalFormatting sqref="D136">
    <cfRule type="cellIs" dxfId="29" priority="1208" operator="equal">
      <formula>$S$1</formula>
    </cfRule>
    <cfRule type="cellIs" dxfId="28" priority="1209" operator="equal">
      <formula>$U$1</formula>
    </cfRule>
  </conditionalFormatting>
  <conditionalFormatting sqref="C102">
    <cfRule type="cellIs" dxfId="27" priority="1206" operator="equal">
      <formula>$U$1</formula>
    </cfRule>
    <cfRule type="cellIs" dxfId="26" priority="1207" operator="equal">
      <formula>$S$1</formula>
    </cfRule>
  </conditionalFormatting>
  <conditionalFormatting sqref="D102">
    <cfRule type="cellIs" dxfId="25" priority="1204" operator="equal">
      <formula>$S$1</formula>
    </cfRule>
    <cfRule type="cellIs" dxfId="24" priority="1205" operator="equal">
      <formula>$U$1</formula>
    </cfRule>
  </conditionalFormatting>
  <conditionalFormatting sqref="C77">
    <cfRule type="cellIs" dxfId="23" priority="1202" operator="equal">
      <formula>$U$1</formula>
    </cfRule>
    <cfRule type="cellIs" dxfId="22" priority="1203" operator="equal">
      <formula>$S$1</formula>
    </cfRule>
  </conditionalFormatting>
  <conditionalFormatting sqref="D77">
    <cfRule type="cellIs" dxfId="21" priority="1200" operator="equal">
      <formula>$S$1</formula>
    </cfRule>
    <cfRule type="cellIs" dxfId="20" priority="1201" operator="equal">
      <formula>$U$1</formula>
    </cfRule>
  </conditionalFormatting>
  <conditionalFormatting sqref="C52">
    <cfRule type="cellIs" dxfId="19" priority="1198" operator="equal">
      <formula>$U$1</formula>
    </cfRule>
    <cfRule type="cellIs" dxfId="18" priority="1199" operator="equal">
      <formula>$S$1</formula>
    </cfRule>
  </conditionalFormatting>
  <conditionalFormatting sqref="D52">
    <cfRule type="cellIs" dxfId="17" priority="1196" operator="equal">
      <formula>$S$1</formula>
    </cfRule>
    <cfRule type="cellIs" dxfId="16" priority="1197" operator="equal">
      <formula>$U$1</formula>
    </cfRule>
  </conditionalFormatting>
  <conditionalFormatting sqref="C26">
    <cfRule type="cellIs" dxfId="15" priority="1194" operator="equal">
      <formula>$U$1</formula>
    </cfRule>
    <cfRule type="cellIs" dxfId="14" priority="1195" operator="equal">
      <formula>$S$1</formula>
    </cfRule>
  </conditionalFormatting>
  <conditionalFormatting sqref="D26">
    <cfRule type="cellIs" dxfId="13" priority="1192" operator="equal">
      <formula>$S$1</formula>
    </cfRule>
    <cfRule type="cellIs" dxfId="12" priority="119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2022-01-28T01:17:50Z</dcterms:modified>
</cp:coreProperties>
</file>