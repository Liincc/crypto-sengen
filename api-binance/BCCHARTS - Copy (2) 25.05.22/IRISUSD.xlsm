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2D7DCE46-B318-42EC-AF7A-7750744E9D32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22" i="4" s="1"/>
  <c r="C133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S766" i="1"/>
  <c r="T766" i="1" s="1"/>
  <c r="C2" i="1" l="1"/>
  <c r="D2" i="1"/>
  <c r="C122" i="5"/>
  <c r="C133" i="5" s="1"/>
  <c r="D136" i="5" s="1"/>
  <c r="C118" i="5"/>
  <c r="C118" i="4"/>
  <c r="C116" i="4"/>
  <c r="R765" i="1"/>
  <c r="D136" i="4"/>
  <c r="C136" i="4"/>
  <c r="C122" i="3"/>
  <c r="C133" i="3" s="1"/>
  <c r="D136" i="3" s="1"/>
  <c r="C116" i="3"/>
  <c r="C136" i="5" l="1"/>
  <c r="C138" i="5" s="1"/>
  <c r="C138" i="4"/>
  <c r="R764" i="1"/>
  <c r="S765" i="1"/>
  <c r="T765" i="1" s="1"/>
  <c r="C136" i="3"/>
  <c r="C138" i="3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S738" i="1" l="1"/>
  <c r="T738" i="1" s="1"/>
  <c r="R737" i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S733" i="1" l="1"/>
  <c r="T733" i="1" s="1"/>
  <c r="R732" i="1"/>
  <c r="S732" i="1" l="1"/>
  <c r="T732" i="1" s="1"/>
  <c r="R731" i="1"/>
  <c r="R730" i="1" l="1"/>
  <c r="S731" i="1"/>
  <c r="T731" i="1" s="1"/>
  <c r="S730" i="1" l="1"/>
  <c r="T730" i="1" s="1"/>
  <c r="R729" i="1"/>
  <c r="S729" i="1" l="1"/>
  <c r="T729" i="1" s="1"/>
  <c r="R728" i="1"/>
  <c r="S728" i="1" l="1"/>
  <c r="T728" i="1" s="1"/>
  <c r="R727" i="1"/>
  <c r="S727" i="1" l="1"/>
  <c r="T727" i="1" s="1"/>
  <c r="R726" i="1"/>
  <c r="S726" i="1" l="1"/>
  <c r="T726" i="1" s="1"/>
  <c r="R725" i="1"/>
  <c r="S725" i="1" l="1"/>
  <c r="T725" i="1" s="1"/>
  <c r="R724" i="1"/>
  <c r="S724" i="1" l="1"/>
  <c r="T724" i="1" s="1"/>
  <c r="R723" i="1"/>
  <c r="R722" i="1" l="1"/>
  <c r="S723" i="1"/>
  <c r="T723" i="1" s="1"/>
  <c r="S722" i="1" l="1"/>
  <c r="T722" i="1" s="1"/>
  <c r="R721" i="1"/>
  <c r="R720" i="1" l="1"/>
  <c r="S721" i="1"/>
  <c r="T721" i="1" s="1"/>
  <c r="S720" i="1" l="1"/>
  <c r="T720" i="1" s="1"/>
  <c r="R719" i="1"/>
  <c r="S719" i="1" l="1"/>
  <c r="T719" i="1" s="1"/>
  <c r="R718" i="1"/>
  <c r="R717" i="1" l="1"/>
  <c r="S718" i="1"/>
  <c r="T718" i="1" s="1"/>
  <c r="S717" i="1" l="1"/>
  <c r="T717" i="1" s="1"/>
  <c r="R716" i="1"/>
  <c r="S716" i="1" l="1"/>
  <c r="T716" i="1" s="1"/>
  <c r="R715" i="1"/>
  <c r="R714" i="1" l="1"/>
  <c r="S715" i="1"/>
  <c r="T715" i="1" s="1"/>
  <c r="S714" i="1" l="1"/>
  <c r="T714" i="1" s="1"/>
  <c r="R713" i="1"/>
  <c r="R712" i="1" l="1"/>
  <c r="S713" i="1"/>
  <c r="T713" i="1" s="1"/>
  <c r="S712" i="1" l="1"/>
  <c r="T712" i="1" s="1"/>
  <c r="R711" i="1"/>
  <c r="R710" i="1" l="1"/>
  <c r="S711" i="1"/>
  <c r="T711" i="1" s="1"/>
  <c r="R709" i="1" l="1"/>
  <c r="S710" i="1"/>
  <c r="T710" i="1" s="1"/>
  <c r="S709" i="1" l="1"/>
  <c r="T709" i="1" s="1"/>
  <c r="R708" i="1"/>
  <c r="S708" i="1" l="1"/>
  <c r="T708" i="1" s="1"/>
  <c r="R707" i="1"/>
  <c r="S707" i="1" l="1"/>
  <c r="T707" i="1" s="1"/>
  <c r="R706" i="1"/>
  <c r="S706" i="1" l="1"/>
  <c r="T706" i="1" s="1"/>
  <c r="R705" i="1"/>
  <c r="R704" i="1" l="1"/>
  <c r="S705" i="1"/>
  <c r="T705" i="1" s="1"/>
  <c r="R703" i="1" l="1"/>
  <c r="S704" i="1"/>
  <c r="T704" i="1" s="1"/>
  <c r="S703" i="1" l="1"/>
  <c r="T703" i="1" s="1"/>
  <c r="R702" i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S694" i="1" l="1"/>
  <c r="T694" i="1" s="1"/>
  <c r="R693" i="1"/>
  <c r="S693" i="1" l="1"/>
  <c r="T693" i="1" s="1"/>
  <c r="R692" i="1"/>
  <c r="S692" i="1" l="1"/>
  <c r="T692" i="1" s="1"/>
  <c r="R691" i="1"/>
  <c r="S691" i="1" l="1"/>
  <c r="T691" i="1" s="1"/>
  <c r="R690" i="1"/>
  <c r="S690" i="1" l="1"/>
  <c r="T690" i="1" s="1"/>
  <c r="R689" i="1"/>
  <c r="R688" i="1" l="1"/>
  <c r="S689" i="1"/>
  <c r="T689" i="1" s="1"/>
  <c r="R687" i="1" l="1"/>
  <c r="S688" i="1"/>
  <c r="T688" i="1" s="1"/>
  <c r="S687" i="1" l="1"/>
  <c r="T687" i="1" s="1"/>
  <c r="R686" i="1"/>
  <c r="R685" i="1" l="1"/>
  <c r="S686" i="1"/>
  <c r="T686" i="1" s="1"/>
  <c r="S685" i="1" l="1"/>
  <c r="T685" i="1" s="1"/>
  <c r="R684" i="1"/>
  <c r="R683" i="1" l="1"/>
  <c r="S684" i="1"/>
  <c r="T684" i="1" s="1"/>
  <c r="R682" i="1" l="1"/>
  <c r="S683" i="1"/>
  <c r="T683" i="1" s="1"/>
  <c r="S682" i="1" l="1"/>
  <c r="T682" i="1" s="1"/>
  <c r="R681" i="1"/>
  <c r="R680" i="1" l="1"/>
  <c r="S681" i="1"/>
  <c r="T681" i="1" s="1"/>
  <c r="S680" i="1" l="1"/>
  <c r="T680" i="1" s="1"/>
  <c r="R679" i="1"/>
  <c r="R678" i="1" l="1"/>
  <c r="S679" i="1"/>
  <c r="T679" i="1" s="1"/>
  <c r="R677" i="1" l="1"/>
  <c r="S678" i="1"/>
  <c r="T678" i="1" s="1"/>
  <c r="R676" i="1" l="1"/>
  <c r="S677" i="1"/>
  <c r="T677" i="1" s="1"/>
  <c r="S676" i="1" l="1"/>
  <c r="T676" i="1" s="1"/>
  <c r="R675" i="1"/>
  <c r="R674" i="1" l="1"/>
  <c r="S675" i="1"/>
  <c r="T675" i="1" s="1"/>
  <c r="S674" i="1" l="1"/>
  <c r="T674" i="1" s="1"/>
  <c r="R673" i="1"/>
  <c r="S673" i="1" l="1"/>
  <c r="T673" i="1" s="1"/>
  <c r="R672" i="1"/>
  <c r="S672" i="1" l="1"/>
  <c r="T672" i="1" s="1"/>
  <c r="R671" i="1"/>
  <c r="S671" i="1" l="1"/>
  <c r="T671" i="1" s="1"/>
  <c r="R670" i="1"/>
  <c r="R669" i="1" l="1"/>
  <c r="S670" i="1"/>
  <c r="T670" i="1" s="1"/>
  <c r="S669" i="1" l="1"/>
  <c r="T669" i="1" s="1"/>
  <c r="R668" i="1"/>
  <c r="S668" i="1" l="1"/>
  <c r="T668" i="1" s="1"/>
  <c r="R667" i="1"/>
  <c r="S667" i="1" l="1"/>
  <c r="T667" i="1" s="1"/>
  <c r="R666" i="1"/>
  <c r="R665" i="1" l="1"/>
  <c r="S666" i="1"/>
  <c r="T666" i="1" s="1"/>
  <c r="R664" i="1" l="1"/>
  <c r="S665" i="1"/>
  <c r="T665" i="1" s="1"/>
  <c r="R663" i="1" l="1"/>
  <c r="S664" i="1"/>
  <c r="T664" i="1" s="1"/>
  <c r="S663" i="1" l="1"/>
  <c r="T663" i="1" s="1"/>
  <c r="R662" i="1"/>
  <c r="S662" i="1" l="1"/>
  <c r="T662" i="1" s="1"/>
  <c r="R661" i="1"/>
  <c r="S661" i="1" l="1"/>
  <c r="T661" i="1" s="1"/>
  <c r="R660" i="1"/>
  <c r="S660" i="1" l="1"/>
  <c r="T660" i="1" s="1"/>
  <c r="R659" i="1"/>
  <c r="R658" i="1" l="1"/>
  <c r="S659" i="1"/>
  <c r="T659" i="1" s="1"/>
  <c r="S658" i="1" l="1"/>
  <c r="T658" i="1" s="1"/>
  <c r="R657" i="1"/>
  <c r="S657" i="1" l="1"/>
  <c r="T657" i="1" s="1"/>
  <c r="R656" i="1"/>
  <c r="R655" i="1" l="1"/>
  <c r="S656" i="1"/>
  <c r="T656" i="1" s="1"/>
  <c r="S655" i="1" l="1"/>
  <c r="T655" i="1" s="1"/>
  <c r="R654" i="1"/>
  <c r="S654" i="1" l="1"/>
  <c r="T654" i="1" s="1"/>
  <c r="R653" i="1"/>
  <c r="R652" i="1" l="1"/>
  <c r="S653" i="1"/>
  <c r="T653" i="1" s="1"/>
  <c r="S652" i="1" l="1"/>
  <c r="T652" i="1" s="1"/>
  <c r="R651" i="1"/>
  <c r="S651" i="1" l="1"/>
  <c r="T651" i="1" s="1"/>
  <c r="R650" i="1"/>
  <c r="S650" i="1" l="1"/>
  <c r="T650" i="1" s="1"/>
  <c r="R649" i="1"/>
  <c r="S649" i="1" l="1"/>
  <c r="T649" i="1" s="1"/>
  <c r="R648" i="1"/>
  <c r="S648" i="1" l="1"/>
  <c r="T648" i="1" s="1"/>
  <c r="R647" i="1"/>
  <c r="S647" i="1" l="1"/>
  <c r="T647" i="1" s="1"/>
  <c r="R646" i="1"/>
  <c r="R645" i="1" l="1"/>
  <c r="S646" i="1"/>
  <c r="T646" i="1" s="1"/>
  <c r="S645" i="1" l="1"/>
  <c r="T645" i="1" s="1"/>
  <c r="R644" i="1"/>
  <c r="S644" i="1" l="1"/>
  <c r="T644" i="1" s="1"/>
  <c r="R643" i="1"/>
  <c r="R642" i="1" l="1"/>
  <c r="S643" i="1"/>
  <c r="T643" i="1" s="1"/>
  <c r="S642" i="1" l="1"/>
  <c r="T642" i="1" s="1"/>
  <c r="R641" i="1"/>
  <c r="R640" i="1" l="1"/>
  <c r="S641" i="1"/>
  <c r="T641" i="1" s="1"/>
  <c r="S640" i="1" l="1"/>
  <c r="T640" i="1" s="1"/>
  <c r="R639" i="1"/>
  <c r="S639" i="1" l="1"/>
  <c r="T639" i="1" s="1"/>
  <c r="R638" i="1"/>
  <c r="S638" i="1" l="1"/>
  <c r="T638" i="1" s="1"/>
  <c r="R637" i="1"/>
  <c r="S637" i="1" l="1"/>
  <c r="T637" i="1" s="1"/>
  <c r="R636" i="1"/>
  <c r="S636" i="1" l="1"/>
  <c r="T636" i="1" s="1"/>
  <c r="R635" i="1"/>
  <c r="S635" i="1" l="1"/>
  <c r="T635" i="1" s="1"/>
  <c r="R634" i="1"/>
  <c r="R633" i="1" l="1"/>
  <c r="S634" i="1"/>
  <c r="T634" i="1" s="1"/>
  <c r="R632" i="1" l="1"/>
  <c r="S633" i="1"/>
  <c r="T633" i="1" s="1"/>
  <c r="R631" i="1" l="1"/>
  <c r="S632" i="1"/>
  <c r="T632" i="1" s="1"/>
  <c r="S631" i="1" l="1"/>
  <c r="T631" i="1" s="1"/>
  <c r="R630" i="1"/>
  <c r="R629" i="1" l="1"/>
  <c r="S630" i="1"/>
  <c r="T630" i="1" s="1"/>
  <c r="S629" i="1" l="1"/>
  <c r="T629" i="1" s="1"/>
  <c r="R628" i="1"/>
  <c r="S628" i="1" l="1"/>
  <c r="T628" i="1" s="1"/>
  <c r="R627" i="1"/>
  <c r="R626" i="1" l="1"/>
  <c r="S627" i="1"/>
  <c r="T627" i="1" s="1"/>
  <c r="S626" i="1" l="1"/>
  <c r="T626" i="1" s="1"/>
  <c r="R625" i="1"/>
  <c r="S625" i="1" l="1"/>
  <c r="T625" i="1" s="1"/>
  <c r="R624" i="1"/>
  <c r="S624" i="1" l="1"/>
  <c r="T624" i="1" s="1"/>
  <c r="R623" i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S618" i="1" l="1"/>
  <c r="T618" i="1" s="1"/>
  <c r="R617" i="1"/>
  <c r="R616" i="1" l="1"/>
  <c r="S617" i="1"/>
  <c r="T617" i="1" s="1"/>
  <c r="R615" i="1" l="1"/>
  <c r="S616" i="1"/>
  <c r="T616" i="1" s="1"/>
  <c r="S615" i="1" l="1"/>
  <c r="T615" i="1" s="1"/>
  <c r="R614" i="1"/>
  <c r="R613" i="1" l="1"/>
  <c r="S614" i="1"/>
  <c r="T614" i="1" s="1"/>
  <c r="S613" i="1" l="1"/>
  <c r="T613" i="1" s="1"/>
  <c r="R612" i="1"/>
  <c r="S612" i="1" l="1"/>
  <c r="T612" i="1" s="1"/>
  <c r="R611" i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S606" i="1" l="1"/>
  <c r="T606" i="1" s="1"/>
  <c r="R605" i="1"/>
  <c r="S605" i="1" l="1"/>
  <c r="T605" i="1" s="1"/>
  <c r="R604" i="1"/>
  <c r="S604" i="1" l="1"/>
  <c r="T604" i="1" s="1"/>
  <c r="R603" i="1"/>
  <c r="S603" i="1" l="1"/>
  <c r="T603" i="1" s="1"/>
  <c r="R602" i="1"/>
  <c r="S602" i="1" l="1"/>
  <c r="T602" i="1" s="1"/>
  <c r="R601" i="1"/>
  <c r="R600" i="1" l="1"/>
  <c r="S601" i="1"/>
  <c r="T601" i="1" s="1"/>
  <c r="R599" i="1" l="1"/>
  <c r="S600" i="1"/>
  <c r="T600" i="1" s="1"/>
  <c r="S599" i="1" l="1"/>
  <c r="T599" i="1" s="1"/>
  <c r="R598" i="1"/>
  <c r="R597" i="1" l="1"/>
  <c r="S598" i="1"/>
  <c r="T598" i="1" s="1"/>
  <c r="R596" i="1" l="1"/>
  <c r="S597" i="1"/>
  <c r="T597" i="1" s="1"/>
  <c r="S596" i="1" l="1"/>
  <c r="T596" i="1" s="1"/>
  <c r="R595" i="1"/>
  <c r="S595" i="1" l="1"/>
  <c r="T595" i="1" s="1"/>
  <c r="R594" i="1"/>
  <c r="S594" i="1" l="1"/>
  <c r="T594" i="1" s="1"/>
  <c r="R593" i="1"/>
  <c r="R592" i="1" l="1"/>
  <c r="S593" i="1"/>
  <c r="T593" i="1" s="1"/>
  <c r="S592" i="1" l="1"/>
  <c r="T592" i="1" s="1"/>
  <c r="R591" i="1"/>
  <c r="S591" i="1" l="1"/>
  <c r="T591" i="1" s="1"/>
  <c r="R590" i="1"/>
  <c r="R589" i="1" l="1"/>
  <c r="S590" i="1"/>
  <c r="T590" i="1" s="1"/>
  <c r="S589" i="1" l="1"/>
  <c r="T589" i="1" s="1"/>
  <c r="R588" i="1"/>
  <c r="S588" i="1" l="1"/>
  <c r="T588" i="1" s="1"/>
  <c r="R587" i="1"/>
  <c r="S587" i="1" l="1"/>
  <c r="T587" i="1" s="1"/>
  <c r="R586" i="1"/>
  <c r="S586" i="1" l="1"/>
  <c r="T586" i="1" s="1"/>
  <c r="R585" i="1"/>
  <c r="S585" i="1" l="1"/>
  <c r="T585" i="1" s="1"/>
  <c r="R584" i="1"/>
  <c r="R583" i="1" l="1"/>
  <c r="S584" i="1"/>
  <c r="T584" i="1" s="1"/>
  <c r="S583" i="1" l="1"/>
  <c r="T583" i="1" s="1"/>
  <c r="R582" i="1"/>
  <c r="S582" i="1" l="1"/>
  <c r="T582" i="1" s="1"/>
  <c r="R581" i="1"/>
  <c r="S581" i="1" l="1"/>
  <c r="T581" i="1" s="1"/>
  <c r="R580" i="1"/>
  <c r="S580" i="1" l="1"/>
  <c r="T580" i="1" s="1"/>
  <c r="R579" i="1"/>
  <c r="S579" i="1" l="1"/>
  <c r="T579" i="1" s="1"/>
  <c r="R578" i="1"/>
  <c r="S578" i="1" l="1"/>
  <c r="T578" i="1" s="1"/>
  <c r="R577" i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S573" i="1" l="1"/>
  <c r="T573" i="1" s="1"/>
  <c r="R572" i="1"/>
  <c r="S572" i="1" l="1"/>
  <c r="T572" i="1" s="1"/>
  <c r="R571" i="1"/>
  <c r="R570" i="1" l="1"/>
  <c r="S571" i="1"/>
  <c r="T571" i="1" s="1"/>
  <c r="S570" i="1" l="1"/>
  <c r="T570" i="1" s="1"/>
  <c r="R569" i="1"/>
  <c r="S569" i="1" l="1"/>
  <c r="T569" i="1" s="1"/>
  <c r="R568" i="1"/>
  <c r="R567" i="1" l="1"/>
  <c r="S568" i="1"/>
  <c r="T568" i="1" s="1"/>
  <c r="R566" i="1" l="1"/>
  <c r="S567" i="1"/>
  <c r="T567" i="1" s="1"/>
  <c r="S566" i="1" l="1"/>
  <c r="T566" i="1" s="1"/>
  <c r="R565" i="1"/>
  <c r="S565" i="1" l="1"/>
  <c r="T565" i="1" s="1"/>
  <c r="R564" i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S556" i="1" l="1"/>
  <c r="T556" i="1" s="1"/>
  <c r="R555" i="1"/>
  <c r="R554" i="1" l="1"/>
  <c r="S555" i="1"/>
  <c r="T555" i="1" s="1"/>
  <c r="S554" i="1" l="1"/>
  <c r="T554" i="1" s="1"/>
  <c r="R553" i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S549" i="1" l="1"/>
  <c r="T549" i="1" s="1"/>
  <c r="R548" i="1"/>
  <c r="S548" i="1" l="1"/>
  <c r="T548" i="1" s="1"/>
  <c r="R547" i="1"/>
  <c r="S547" i="1" l="1"/>
  <c r="T547" i="1" s="1"/>
  <c r="R546" i="1"/>
  <c r="S546" i="1" l="1"/>
  <c r="T546" i="1" s="1"/>
  <c r="R545" i="1"/>
  <c r="R544" i="1" l="1"/>
  <c r="S545" i="1"/>
  <c r="T545" i="1" s="1"/>
  <c r="R543" i="1" l="1"/>
  <c r="S544" i="1"/>
  <c r="T544" i="1" s="1"/>
  <c r="S543" i="1" l="1"/>
  <c r="T543" i="1" s="1"/>
  <c r="R542" i="1"/>
  <c r="R541" i="1" l="1"/>
  <c r="S542" i="1"/>
  <c r="T542" i="1" s="1"/>
  <c r="R540" i="1" l="1"/>
  <c r="S541" i="1"/>
  <c r="T541" i="1" s="1"/>
  <c r="S540" i="1" l="1"/>
  <c r="T540" i="1" s="1"/>
  <c r="R539" i="1"/>
  <c r="S539" i="1" l="1"/>
  <c r="T539" i="1" s="1"/>
  <c r="R538" i="1"/>
  <c r="S538" i="1" l="1"/>
  <c r="T538" i="1" s="1"/>
  <c r="R537" i="1"/>
  <c r="R536" i="1" l="1"/>
  <c r="S537" i="1"/>
  <c r="T537" i="1" s="1"/>
  <c r="S536" i="1" l="1"/>
  <c r="T536" i="1" s="1"/>
  <c r="R535" i="1"/>
  <c r="S535" i="1" l="1"/>
  <c r="T535" i="1" s="1"/>
  <c r="R534" i="1"/>
  <c r="S534" i="1" l="1"/>
  <c r="T534" i="1" s="1"/>
  <c r="R533" i="1"/>
  <c r="S533" i="1" l="1"/>
  <c r="T533" i="1" s="1"/>
  <c r="R532" i="1"/>
  <c r="S532" i="1" l="1"/>
  <c r="T532" i="1" s="1"/>
  <c r="R531" i="1"/>
  <c r="S531" i="1" l="1"/>
  <c r="T531" i="1" s="1"/>
  <c r="R530" i="1"/>
  <c r="S530" i="1" l="1"/>
  <c r="T530" i="1" s="1"/>
  <c r="R529" i="1"/>
  <c r="S529" i="1" l="1"/>
  <c r="T529" i="1" s="1"/>
  <c r="R528" i="1"/>
  <c r="R527" i="1" l="1"/>
  <c r="S528" i="1"/>
  <c r="T528" i="1" s="1"/>
  <c r="S527" i="1" l="1"/>
  <c r="T527" i="1" s="1"/>
  <c r="R526" i="1"/>
  <c r="R525" i="1" l="1"/>
  <c r="S526" i="1"/>
  <c r="T526" i="1" s="1"/>
  <c r="S525" i="1" l="1"/>
  <c r="T525" i="1" s="1"/>
  <c r="R524" i="1"/>
  <c r="R523" i="1" l="1"/>
  <c r="S524" i="1"/>
  <c r="T524" i="1" s="1"/>
  <c r="S523" i="1" l="1"/>
  <c r="T523" i="1" s="1"/>
  <c r="R522" i="1"/>
  <c r="S522" i="1" l="1"/>
  <c r="T522" i="1" s="1"/>
  <c r="R521" i="1"/>
  <c r="R520" i="1" l="1"/>
  <c r="S521" i="1"/>
  <c r="T521" i="1" s="1"/>
  <c r="R519" i="1" l="1"/>
  <c r="S520" i="1"/>
  <c r="T520" i="1" s="1"/>
  <c r="R518" i="1" l="1"/>
  <c r="S519" i="1"/>
  <c r="T519" i="1" s="1"/>
  <c r="S518" i="1" l="1"/>
  <c r="T518" i="1" s="1"/>
  <c r="R517" i="1"/>
  <c r="S517" i="1" l="1"/>
  <c r="T517" i="1" s="1"/>
  <c r="R516" i="1"/>
  <c r="S516" i="1" l="1"/>
  <c r="T516" i="1" s="1"/>
  <c r="R515" i="1"/>
  <c r="S515" i="1" l="1"/>
  <c r="T515" i="1" s="1"/>
  <c r="R514" i="1"/>
  <c r="S514" i="1" l="1"/>
  <c r="T514" i="1" s="1"/>
  <c r="R513" i="1"/>
  <c r="S513" i="1" l="1"/>
  <c r="T513" i="1" s="1"/>
  <c r="R512" i="1"/>
  <c r="R511" i="1" l="1"/>
  <c r="S512" i="1"/>
  <c r="T512" i="1" s="1"/>
  <c r="R510" i="1" l="1"/>
  <c r="S511" i="1"/>
  <c r="T511" i="1" s="1"/>
  <c r="R509" i="1" l="1"/>
  <c r="S510" i="1"/>
  <c r="T510" i="1" s="1"/>
  <c r="S509" i="1" l="1"/>
  <c r="T509" i="1" s="1"/>
  <c r="R508" i="1"/>
  <c r="S508" i="1" l="1"/>
  <c r="T508" i="1" s="1"/>
  <c r="R507" i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S500" i="1" l="1"/>
  <c r="T500" i="1" s="1"/>
  <c r="R499" i="1"/>
  <c r="R498" i="1" l="1"/>
  <c r="S499" i="1"/>
  <c r="T499" i="1" s="1"/>
  <c r="S498" i="1" l="1"/>
  <c r="T498" i="1" s="1"/>
  <c r="R497" i="1"/>
  <c r="R496" i="1" l="1"/>
  <c r="S497" i="1"/>
  <c r="T497" i="1" s="1"/>
  <c r="S496" i="1" l="1"/>
  <c r="T496" i="1" s="1"/>
  <c r="R495" i="1"/>
  <c r="R494" i="1" l="1"/>
  <c r="S495" i="1"/>
  <c r="T495" i="1" s="1"/>
  <c r="R493" i="1" l="1"/>
  <c r="S494" i="1"/>
  <c r="T494" i="1" s="1"/>
  <c r="S493" i="1" l="1"/>
  <c r="T493" i="1" s="1"/>
  <c r="R492" i="1"/>
  <c r="S492" i="1" l="1"/>
  <c r="T492" i="1" s="1"/>
  <c r="R491" i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S484" i="1" l="1"/>
  <c r="T484" i="1" s="1"/>
  <c r="R483" i="1"/>
  <c r="S483" i="1" l="1"/>
  <c r="T483" i="1" s="1"/>
  <c r="R482" i="1"/>
  <c r="S482" i="1" l="1"/>
  <c r="T482" i="1" s="1"/>
  <c r="R481" i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S477" i="1" l="1"/>
  <c r="T477" i="1" s="1"/>
  <c r="R476" i="1"/>
  <c r="S476" i="1" l="1"/>
  <c r="T476" i="1" s="1"/>
  <c r="R475" i="1"/>
  <c r="S475" i="1" l="1"/>
  <c r="T475" i="1" s="1"/>
  <c r="R474" i="1"/>
  <c r="S474" i="1" l="1"/>
  <c r="T474" i="1" s="1"/>
  <c r="R473" i="1"/>
  <c r="S473" i="1" l="1"/>
  <c r="T473" i="1" s="1"/>
  <c r="R472" i="1"/>
  <c r="R471" i="1" l="1"/>
  <c r="S472" i="1"/>
  <c r="T472" i="1" s="1"/>
  <c r="S471" i="1" l="1"/>
  <c r="T471" i="1" s="1"/>
  <c r="R470" i="1"/>
  <c r="R469" i="1" l="1"/>
  <c r="S470" i="1"/>
  <c r="T470" i="1" s="1"/>
  <c r="S469" i="1" l="1"/>
  <c r="T469" i="1" s="1"/>
  <c r="R468" i="1"/>
  <c r="R467" i="1" l="1"/>
  <c r="S468" i="1"/>
  <c r="T468" i="1" s="1"/>
  <c r="S467" i="1" l="1"/>
  <c r="T467" i="1" s="1"/>
  <c r="R466" i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S462" i="1" l="1"/>
  <c r="T462" i="1" s="1"/>
  <c r="R461" i="1"/>
  <c r="S461" i="1" l="1"/>
  <c r="T461" i="1" s="1"/>
  <c r="R460" i="1"/>
  <c r="S460" i="1" l="1"/>
  <c r="T460" i="1" s="1"/>
  <c r="R459" i="1"/>
  <c r="S459" i="1" l="1"/>
  <c r="T459" i="1" s="1"/>
  <c r="R458" i="1"/>
  <c r="S458" i="1" l="1"/>
  <c r="T458" i="1" s="1"/>
  <c r="R457" i="1"/>
  <c r="S457" i="1" l="1"/>
  <c r="T457" i="1" s="1"/>
  <c r="R456" i="1"/>
  <c r="R455" i="1" l="1"/>
  <c r="S456" i="1"/>
  <c r="T456" i="1" s="1"/>
  <c r="R454" i="1" l="1"/>
  <c r="S455" i="1"/>
  <c r="T455" i="1" s="1"/>
  <c r="R453" i="1" l="1"/>
  <c r="S454" i="1"/>
  <c r="T454" i="1" s="1"/>
  <c r="S453" i="1" l="1"/>
  <c r="T453" i="1" s="1"/>
  <c r="R452" i="1"/>
  <c r="S452" i="1" l="1"/>
  <c r="T452" i="1" s="1"/>
  <c r="R451" i="1"/>
  <c r="S451" i="1" l="1"/>
  <c r="T451" i="1" s="1"/>
  <c r="R450" i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S446" i="1" l="1"/>
  <c r="T446" i="1" s="1"/>
  <c r="R445" i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S440" i="1" l="1"/>
  <c r="T440" i="1" s="1"/>
  <c r="R439" i="1"/>
  <c r="R438" i="1" l="1"/>
  <c r="S439" i="1"/>
  <c r="T439" i="1" s="1"/>
  <c r="S438" i="1" l="1"/>
  <c r="T438" i="1" s="1"/>
  <c r="R437" i="1"/>
  <c r="S437" i="1" l="1"/>
  <c r="T437" i="1" s="1"/>
  <c r="R436" i="1"/>
  <c r="S436" i="1" l="1"/>
  <c r="T436" i="1" s="1"/>
  <c r="R435" i="1"/>
  <c r="S435" i="1" l="1"/>
  <c r="T435" i="1" s="1"/>
  <c r="R434" i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S428" i="1" l="1"/>
  <c r="T428" i="1" s="1"/>
  <c r="R427" i="1"/>
  <c r="R426" i="1" l="1"/>
  <c r="S427" i="1"/>
  <c r="T427" i="1" s="1"/>
  <c r="S426" i="1" l="1"/>
  <c r="T426" i="1" s="1"/>
  <c r="R425" i="1"/>
  <c r="R424" i="1" l="1"/>
  <c r="S425" i="1"/>
  <c r="T425" i="1" s="1"/>
  <c r="S424" i="1" l="1"/>
  <c r="T424" i="1" s="1"/>
  <c r="R423" i="1"/>
  <c r="S423" i="1" l="1"/>
  <c r="T423" i="1" s="1"/>
  <c r="R422" i="1"/>
  <c r="S422" i="1" l="1"/>
  <c r="T422" i="1" s="1"/>
  <c r="R421" i="1"/>
  <c r="S421" i="1" l="1"/>
  <c r="T421" i="1" s="1"/>
  <c r="R420" i="1"/>
  <c r="S420" i="1" l="1"/>
  <c r="T420" i="1" s="1"/>
  <c r="R419" i="1"/>
  <c r="S419" i="1" l="1"/>
  <c r="T419" i="1" s="1"/>
  <c r="R418" i="1"/>
  <c r="R417" i="1" l="1"/>
  <c r="S418" i="1"/>
  <c r="T418" i="1" s="1"/>
  <c r="S417" i="1" l="1"/>
  <c r="T417" i="1" s="1"/>
  <c r="R416" i="1"/>
  <c r="S416" i="1" l="1"/>
  <c r="T416" i="1" s="1"/>
  <c r="R415" i="1"/>
  <c r="S415" i="1" l="1"/>
  <c r="T415" i="1" s="1"/>
  <c r="R414" i="1"/>
  <c r="S414" i="1" l="1"/>
  <c r="T414" i="1" s="1"/>
  <c r="R413" i="1"/>
  <c r="S413" i="1" l="1"/>
  <c r="T413" i="1" s="1"/>
  <c r="R412" i="1"/>
  <c r="S412" i="1" l="1"/>
  <c r="T412" i="1" s="1"/>
  <c r="R411" i="1"/>
  <c r="S411" i="1" l="1"/>
  <c r="T411" i="1" s="1"/>
  <c r="R410" i="1"/>
  <c r="S410" i="1" l="1"/>
  <c r="T410" i="1" s="1"/>
  <c r="R409" i="1"/>
  <c r="S409" i="1" l="1"/>
  <c r="T409" i="1" s="1"/>
  <c r="R408" i="1"/>
  <c r="R407" i="1" l="1"/>
  <c r="S408" i="1"/>
  <c r="T408" i="1" s="1"/>
  <c r="S407" i="1" l="1"/>
  <c r="T407" i="1" s="1"/>
  <c r="R406" i="1"/>
  <c r="R405" i="1" l="1"/>
  <c r="S406" i="1"/>
  <c r="T406" i="1" s="1"/>
  <c r="S405" i="1" l="1"/>
  <c r="T405" i="1" s="1"/>
  <c r="R404" i="1"/>
  <c r="R403" i="1" l="1"/>
  <c r="S404" i="1"/>
  <c r="T404" i="1" s="1"/>
  <c r="R402" i="1" l="1"/>
  <c r="S403" i="1"/>
  <c r="T403" i="1" s="1"/>
  <c r="S402" i="1" l="1"/>
  <c r="T402" i="1" s="1"/>
  <c r="R401" i="1"/>
  <c r="S401" i="1" l="1"/>
  <c r="T401" i="1" s="1"/>
  <c r="R400" i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S393" i="1" l="1"/>
  <c r="T393" i="1" s="1"/>
  <c r="R392" i="1"/>
  <c r="R391" i="1" l="1"/>
  <c r="S392" i="1"/>
  <c r="T392" i="1" s="1"/>
  <c r="S391" i="1" l="1"/>
  <c r="T391" i="1" s="1"/>
  <c r="R390" i="1"/>
  <c r="R389" i="1" l="1"/>
  <c r="S390" i="1"/>
  <c r="T390" i="1" s="1"/>
  <c r="R388" i="1" l="1"/>
  <c r="S389" i="1"/>
  <c r="T389" i="1" s="1"/>
  <c r="R387" i="1" l="1"/>
  <c r="S388" i="1"/>
  <c r="T388" i="1" s="1"/>
  <c r="S387" i="1" l="1"/>
  <c r="T387" i="1" s="1"/>
  <c r="R386" i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S382" i="1" l="1"/>
  <c r="T382" i="1" s="1"/>
  <c r="R381" i="1"/>
  <c r="R380" i="1" l="1"/>
  <c r="S381" i="1"/>
  <c r="T381" i="1" s="1"/>
  <c r="S380" i="1" l="1"/>
  <c r="T380" i="1" s="1"/>
  <c r="R379" i="1"/>
  <c r="S379" i="1" l="1"/>
  <c r="T379" i="1" s="1"/>
  <c r="R378" i="1"/>
  <c r="S378" i="1" l="1"/>
  <c r="T378" i="1" s="1"/>
  <c r="R377" i="1"/>
  <c r="R376" i="1" l="1"/>
  <c r="S377" i="1"/>
  <c r="T377" i="1" s="1"/>
  <c r="S376" i="1" l="1"/>
  <c r="T376" i="1" s="1"/>
  <c r="R375" i="1"/>
  <c r="S375" i="1" l="1"/>
  <c r="T375" i="1" s="1"/>
  <c r="R374" i="1"/>
  <c r="R373" i="1" l="1"/>
  <c r="S374" i="1"/>
  <c r="T374" i="1" s="1"/>
  <c r="R372" i="1" l="1"/>
  <c r="S373" i="1"/>
  <c r="T373" i="1" s="1"/>
  <c r="S372" i="1" l="1"/>
  <c r="T372" i="1" s="1"/>
  <c r="R371" i="1"/>
  <c r="S371" i="1" l="1"/>
  <c r="T371" i="1" s="1"/>
  <c r="R370" i="1"/>
  <c r="S370" i="1" l="1"/>
  <c r="T370" i="1" s="1"/>
  <c r="R369" i="1"/>
  <c r="S369" i="1" l="1"/>
  <c r="T369" i="1" s="1"/>
  <c r="R368" i="1"/>
  <c r="S368" i="1" l="1"/>
  <c r="T368" i="1" s="1"/>
  <c r="R367" i="1"/>
  <c r="S367" i="1" l="1"/>
  <c r="T367" i="1" s="1"/>
  <c r="R366" i="1"/>
  <c r="S366" i="1" l="1"/>
  <c r="T366" i="1" s="1"/>
  <c r="R365" i="1"/>
  <c r="R364" i="1" l="1"/>
  <c r="S365" i="1"/>
  <c r="T365" i="1" s="1"/>
  <c r="S364" i="1" l="1"/>
  <c r="T364" i="1" s="1"/>
  <c r="R363" i="1"/>
  <c r="S363" i="1" l="1"/>
  <c r="T363" i="1" s="1"/>
  <c r="R362" i="1"/>
  <c r="S362" i="1" l="1"/>
  <c r="T362" i="1" s="1"/>
  <c r="R361" i="1"/>
  <c r="S361" i="1" l="1"/>
  <c r="T361" i="1" s="1"/>
  <c r="R360" i="1"/>
  <c r="S360" i="1" l="1"/>
  <c r="T360" i="1" s="1"/>
  <c r="R359" i="1"/>
  <c r="R358" i="1" l="1"/>
  <c r="S359" i="1"/>
  <c r="T359" i="1" s="1"/>
  <c r="S358" i="1" l="1"/>
  <c r="T358" i="1" s="1"/>
  <c r="R357" i="1"/>
  <c r="S357" i="1" l="1"/>
  <c r="T357" i="1" s="1"/>
  <c r="R356" i="1"/>
  <c r="S356" i="1" l="1"/>
  <c r="T356" i="1" s="1"/>
  <c r="R355" i="1"/>
  <c r="S355" i="1" l="1"/>
  <c r="T355" i="1" s="1"/>
  <c r="R354" i="1"/>
  <c r="R353" i="1" l="1"/>
  <c r="S354" i="1"/>
  <c r="T354" i="1" s="1"/>
  <c r="S353" i="1" l="1"/>
  <c r="T353" i="1" s="1"/>
  <c r="R352" i="1"/>
  <c r="S352" i="1" l="1"/>
  <c r="T352" i="1" s="1"/>
  <c r="R351" i="1"/>
  <c r="S351" i="1" l="1"/>
  <c r="T351" i="1" s="1"/>
  <c r="R350" i="1"/>
  <c r="R349" i="1" l="1"/>
  <c r="S350" i="1"/>
  <c r="T350" i="1" s="1"/>
  <c r="S349" i="1" l="1"/>
  <c r="T349" i="1" s="1"/>
  <c r="R348" i="1"/>
  <c r="S348" i="1" l="1"/>
  <c r="T348" i="1" s="1"/>
  <c r="R347" i="1"/>
  <c r="R346" i="1" l="1"/>
  <c r="S347" i="1"/>
  <c r="T347" i="1" s="1"/>
  <c r="S346" i="1" l="1"/>
  <c r="T346" i="1" s="1"/>
  <c r="R345" i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S331" i="1" l="1"/>
  <c r="T331" i="1" s="1"/>
  <c r="R330" i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S324" i="1" l="1"/>
  <c r="T324" i="1" s="1"/>
  <c r="R323" i="1"/>
  <c r="R322" i="1" l="1"/>
  <c r="S323" i="1"/>
  <c r="T323" i="1" s="1"/>
  <c r="S322" i="1" l="1"/>
  <c r="T322" i="1" s="1"/>
  <c r="R321" i="1"/>
  <c r="R320" i="1" l="1"/>
  <c r="S321" i="1"/>
  <c r="T321" i="1" s="1"/>
  <c r="S320" i="1" l="1"/>
  <c r="T320" i="1" s="1"/>
  <c r="R319" i="1"/>
  <c r="S319" i="1" l="1"/>
  <c r="T319" i="1" s="1"/>
  <c r="R318" i="1"/>
  <c r="R317" i="1" l="1"/>
  <c r="S318" i="1"/>
  <c r="T318" i="1" s="1"/>
  <c r="S317" i="1" l="1"/>
  <c r="T317" i="1" s="1"/>
  <c r="R316" i="1"/>
  <c r="S316" i="1" l="1"/>
  <c r="T316" i="1" s="1"/>
  <c r="R315" i="1"/>
  <c r="S315" i="1" l="1"/>
  <c r="T315" i="1" s="1"/>
  <c r="R314" i="1"/>
  <c r="S314" i="1" l="1"/>
  <c r="T314" i="1" s="1"/>
  <c r="R313" i="1"/>
  <c r="S313" i="1" l="1"/>
  <c r="T313" i="1" s="1"/>
  <c r="R312" i="1"/>
  <c r="S312" i="1" l="1"/>
  <c r="T312" i="1" s="1"/>
  <c r="R311" i="1"/>
  <c r="S311" i="1" l="1"/>
  <c r="T311" i="1" s="1"/>
  <c r="R310" i="1"/>
  <c r="S310" i="1" l="1"/>
  <c r="T310" i="1" s="1"/>
  <c r="R309" i="1"/>
  <c r="S309" i="1" l="1"/>
  <c r="T309" i="1" s="1"/>
  <c r="R308" i="1"/>
  <c r="S308" i="1" l="1"/>
  <c r="T308" i="1" s="1"/>
  <c r="R307" i="1"/>
  <c r="S307" i="1" l="1"/>
  <c r="T307" i="1" s="1"/>
  <c r="R306" i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S302" i="1" l="1"/>
  <c r="T302" i="1" s="1"/>
  <c r="R301" i="1"/>
  <c r="R300" i="1" l="1"/>
  <c r="S301" i="1"/>
  <c r="T301" i="1" s="1"/>
  <c r="R299" i="1" l="1"/>
  <c r="S300" i="1"/>
  <c r="T300" i="1" s="1"/>
  <c r="S299" i="1" l="1"/>
  <c r="T299" i="1" s="1"/>
  <c r="R298" i="1"/>
  <c r="S298" i="1" l="1"/>
  <c r="T298" i="1" s="1"/>
  <c r="R297" i="1"/>
  <c r="S297" i="1" l="1"/>
  <c r="T297" i="1" s="1"/>
  <c r="R296" i="1"/>
  <c r="S296" i="1" l="1"/>
  <c r="T296" i="1" s="1"/>
  <c r="R295" i="1"/>
  <c r="S295" i="1" l="1"/>
  <c r="T295" i="1" s="1"/>
  <c r="R294" i="1"/>
  <c r="S294" i="1" l="1"/>
  <c r="T294" i="1" s="1"/>
  <c r="R293" i="1"/>
  <c r="S293" i="1" l="1"/>
  <c r="T293" i="1" s="1"/>
  <c r="R292" i="1"/>
  <c r="R291" i="1" l="1"/>
  <c r="S292" i="1"/>
  <c r="T292" i="1" s="1"/>
  <c r="R290" i="1" l="1"/>
  <c r="S291" i="1"/>
  <c r="T291" i="1" s="1"/>
  <c r="S290" i="1" l="1"/>
  <c r="T290" i="1" s="1"/>
  <c r="R289" i="1"/>
  <c r="R288" i="1" l="1"/>
  <c r="S289" i="1"/>
  <c r="T289" i="1" s="1"/>
  <c r="S288" i="1" l="1"/>
  <c r="T288" i="1" s="1"/>
  <c r="R287" i="1"/>
  <c r="R286" i="1" l="1"/>
  <c r="S287" i="1"/>
  <c r="T287" i="1" s="1"/>
  <c r="S286" i="1" l="1"/>
  <c r="T286" i="1" s="1"/>
  <c r="R285" i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S279" i="1" l="1"/>
  <c r="T279" i="1" s="1"/>
  <c r="R278" i="1"/>
  <c r="S278" i="1" l="1"/>
  <c r="T278" i="1" s="1"/>
  <c r="R277" i="1"/>
  <c r="S277" i="1" l="1"/>
  <c r="T277" i="1" s="1"/>
  <c r="R276" i="1"/>
  <c r="S276" i="1" l="1"/>
  <c r="T276" i="1" s="1"/>
  <c r="R275" i="1"/>
  <c r="S275" i="1" l="1"/>
  <c r="T275" i="1" s="1"/>
  <c r="R274" i="1"/>
  <c r="S274" i="1" l="1"/>
  <c r="T274" i="1" s="1"/>
  <c r="R273" i="1"/>
  <c r="S273" i="1" l="1"/>
  <c r="T273" i="1" s="1"/>
  <c r="R272" i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S268" i="1" l="1"/>
  <c r="T268" i="1" s="1"/>
  <c r="R267" i="1"/>
  <c r="R266" i="1" l="1"/>
  <c r="S267" i="1"/>
  <c r="T267" i="1" s="1"/>
  <c r="R265" i="1" l="1"/>
  <c r="S266" i="1"/>
  <c r="T266" i="1" s="1"/>
  <c r="R264" i="1" l="1"/>
  <c r="S265" i="1"/>
  <c r="T265" i="1" s="1"/>
  <c r="S264" i="1" l="1"/>
  <c r="T264" i="1" s="1"/>
  <c r="R263" i="1"/>
  <c r="S263" i="1" l="1"/>
  <c r="T263" i="1" s="1"/>
  <c r="R262" i="1"/>
  <c r="S262" i="1" l="1"/>
  <c r="T262" i="1" s="1"/>
  <c r="R261" i="1"/>
  <c r="S261" i="1" l="1"/>
  <c r="T261" i="1" s="1"/>
  <c r="R260" i="1"/>
  <c r="S260" i="1" l="1"/>
  <c r="T260" i="1" s="1"/>
  <c r="R259" i="1"/>
  <c r="R258" i="1" l="1"/>
  <c r="S259" i="1"/>
  <c r="T259" i="1" s="1"/>
  <c r="R257" i="1" l="1"/>
  <c r="S258" i="1"/>
  <c r="T258" i="1" s="1"/>
  <c r="S257" i="1" l="1"/>
  <c r="T257" i="1" s="1"/>
  <c r="R256" i="1"/>
  <c r="S256" i="1" l="1"/>
  <c r="T256" i="1" s="1"/>
  <c r="R255" i="1"/>
  <c r="R254" i="1" l="1"/>
  <c r="S255" i="1"/>
  <c r="T255" i="1" s="1"/>
  <c r="S254" i="1" l="1"/>
  <c r="T254" i="1" s="1"/>
  <c r="R253" i="1"/>
  <c r="S253" i="1" l="1"/>
  <c r="T253" i="1" s="1"/>
  <c r="R252" i="1"/>
  <c r="R251" i="1" l="1"/>
  <c r="S252" i="1"/>
  <c r="T252" i="1" s="1"/>
  <c r="R250" i="1" l="1"/>
  <c r="S251" i="1"/>
  <c r="T251" i="1" s="1"/>
  <c r="R249" i="1" l="1"/>
  <c r="S250" i="1"/>
  <c r="T250" i="1" s="1"/>
  <c r="S249" i="1" l="1"/>
  <c r="T249" i="1" s="1"/>
  <c r="R248" i="1"/>
  <c r="R247" i="1" l="1"/>
  <c r="S248" i="1"/>
  <c r="T248" i="1" s="1"/>
  <c r="S247" i="1" l="1"/>
  <c r="T247" i="1" s="1"/>
  <c r="R246" i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S242" i="1" l="1"/>
  <c r="T242" i="1" s="1"/>
  <c r="R241" i="1"/>
  <c r="S241" i="1" l="1"/>
  <c r="T241" i="1" s="1"/>
  <c r="R240" i="1"/>
  <c r="R239" i="1" l="1"/>
  <c r="S240" i="1"/>
  <c r="T240" i="1" s="1"/>
  <c r="S239" i="1" l="1"/>
  <c r="T239" i="1" s="1"/>
  <c r="R238" i="1"/>
  <c r="S238" i="1" l="1"/>
  <c r="T238" i="1" s="1"/>
  <c r="R237" i="1"/>
  <c r="S237" i="1" l="1"/>
  <c r="T237" i="1" s="1"/>
  <c r="R236" i="1"/>
  <c r="S236" i="1" l="1"/>
  <c r="T236" i="1" s="1"/>
  <c r="R235" i="1"/>
  <c r="R234" i="1" l="1"/>
  <c r="S235" i="1"/>
  <c r="T235" i="1" s="1"/>
  <c r="R233" i="1" l="1"/>
  <c r="S234" i="1"/>
  <c r="T234" i="1" s="1"/>
  <c r="R232" i="1" l="1"/>
  <c r="S233" i="1"/>
  <c r="T233" i="1" s="1"/>
  <c r="S232" i="1" l="1"/>
  <c r="T232" i="1" s="1"/>
  <c r="R231" i="1"/>
  <c r="S231" i="1" l="1"/>
  <c r="T231" i="1" s="1"/>
  <c r="R230" i="1"/>
  <c r="S230" i="1" l="1"/>
  <c r="T230" i="1" s="1"/>
  <c r="R229" i="1"/>
  <c r="R228" i="1" l="1"/>
  <c r="S229" i="1"/>
  <c r="T229" i="1" s="1"/>
  <c r="S228" i="1" l="1"/>
  <c r="T228" i="1" s="1"/>
  <c r="R227" i="1"/>
  <c r="S227" i="1" l="1"/>
  <c r="T227" i="1" s="1"/>
  <c r="R226" i="1"/>
  <c r="R225" i="1" l="1"/>
  <c r="S226" i="1"/>
  <c r="T226" i="1" s="1"/>
  <c r="R224" i="1" l="1"/>
  <c r="S225" i="1"/>
  <c r="T225" i="1" s="1"/>
  <c r="S224" i="1" l="1"/>
  <c r="T224" i="1" s="1"/>
  <c r="R223" i="1"/>
  <c r="R222" i="1" l="1"/>
  <c r="S223" i="1"/>
  <c r="T223" i="1" s="1"/>
  <c r="S222" i="1" l="1"/>
  <c r="T222" i="1" s="1"/>
  <c r="R221" i="1"/>
  <c r="R220" i="1" l="1"/>
  <c r="S221" i="1"/>
  <c r="T221" i="1" s="1"/>
  <c r="R219" i="1" l="1"/>
  <c r="S220" i="1"/>
  <c r="T220" i="1" s="1"/>
  <c r="S219" i="1" l="1"/>
  <c r="T219" i="1" s="1"/>
  <c r="R218" i="1"/>
  <c r="S218" i="1" l="1"/>
  <c r="T218" i="1" s="1"/>
  <c r="R217" i="1"/>
  <c r="R216" i="1" l="1"/>
  <c r="S217" i="1"/>
  <c r="T217" i="1" s="1"/>
  <c r="S216" i="1" l="1"/>
  <c r="T216" i="1" s="1"/>
  <c r="R215" i="1"/>
  <c r="S215" i="1" l="1"/>
  <c r="T215" i="1" s="1"/>
  <c r="R214" i="1"/>
  <c r="S214" i="1" l="1"/>
  <c r="T214" i="1" s="1"/>
  <c r="R213" i="1"/>
  <c r="R212" i="1" l="1"/>
  <c r="S213" i="1"/>
  <c r="T213" i="1" s="1"/>
  <c r="R211" i="1" l="1"/>
  <c r="S212" i="1"/>
  <c r="T212" i="1" s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S206" i="1" l="1"/>
  <c r="T206" i="1" s="1"/>
  <c r="R205" i="1"/>
  <c r="R204" i="1" l="1"/>
  <c r="S205" i="1"/>
  <c r="T205" i="1" s="1"/>
  <c r="S204" i="1" l="1"/>
  <c r="T204" i="1" s="1"/>
  <c r="R203" i="1"/>
  <c r="R202" i="1" l="1"/>
  <c r="S203" i="1"/>
  <c r="T203" i="1" s="1"/>
  <c r="R201" i="1" l="1"/>
  <c r="S202" i="1"/>
  <c r="T202" i="1" s="1"/>
  <c r="S201" i="1" l="1"/>
  <c r="T201" i="1" s="1"/>
  <c r="R200" i="1"/>
  <c r="R199" i="1" l="1"/>
  <c r="S200" i="1"/>
  <c r="T200" i="1" s="1"/>
  <c r="S199" i="1" l="1"/>
  <c r="T199" i="1" s="1"/>
  <c r="R198" i="1"/>
  <c r="S198" i="1" l="1"/>
  <c r="T198" i="1" s="1"/>
  <c r="R197" i="1"/>
  <c r="S197" i="1" l="1"/>
  <c r="T197" i="1" s="1"/>
  <c r="R196" i="1"/>
  <c r="S196" i="1" l="1"/>
  <c r="T196" i="1" s="1"/>
  <c r="R195" i="1"/>
  <c r="R194" i="1" l="1"/>
  <c r="S195" i="1"/>
  <c r="T195" i="1" s="1"/>
  <c r="S194" i="1" l="1"/>
  <c r="T194" i="1" s="1"/>
  <c r="R193" i="1"/>
  <c r="S193" i="1" l="1"/>
  <c r="T193" i="1" s="1"/>
  <c r="R192" i="1"/>
  <c r="S192" i="1" l="1"/>
  <c r="T192" i="1" s="1"/>
  <c r="R191" i="1"/>
  <c r="S191" i="1" l="1"/>
  <c r="T191" i="1" s="1"/>
  <c r="R190" i="1"/>
  <c r="R189" i="1" l="1"/>
  <c r="S190" i="1"/>
  <c r="T190" i="1" s="1"/>
  <c r="S189" i="1" l="1"/>
  <c r="T189" i="1" s="1"/>
  <c r="R188" i="1"/>
  <c r="S188" i="1" l="1"/>
  <c r="T188" i="1" s="1"/>
  <c r="R187" i="1"/>
  <c r="S187" i="1" l="1"/>
  <c r="T187" i="1" s="1"/>
  <c r="R186" i="1"/>
  <c r="R185" i="1" l="1"/>
  <c r="S186" i="1"/>
  <c r="T186" i="1" s="1"/>
  <c r="S185" i="1" l="1"/>
  <c r="T185" i="1" s="1"/>
  <c r="R184" i="1"/>
  <c r="S184" i="1" l="1"/>
  <c r="T184" i="1" s="1"/>
  <c r="R183" i="1"/>
  <c r="S183" i="1" l="1"/>
  <c r="T183" i="1" s="1"/>
  <c r="R182" i="1"/>
  <c r="S182" i="1" l="1"/>
  <c r="T182" i="1" s="1"/>
  <c r="R181" i="1"/>
  <c r="S181" i="1" l="1"/>
  <c r="T181" i="1" s="1"/>
  <c r="R180" i="1"/>
  <c r="S180" i="1" l="1"/>
  <c r="T180" i="1" s="1"/>
  <c r="R179" i="1"/>
  <c r="S179" i="1" l="1"/>
  <c r="T179" i="1" s="1"/>
  <c r="R178" i="1"/>
  <c r="S178" i="1" l="1"/>
  <c r="T178" i="1" s="1"/>
  <c r="R177" i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S173" i="1" l="1"/>
  <c r="T173" i="1" s="1"/>
  <c r="R172" i="1"/>
  <c r="R171" i="1" l="1"/>
  <c r="S172" i="1"/>
  <c r="T172" i="1" s="1"/>
  <c r="S171" i="1" l="1"/>
  <c r="T171" i="1" s="1"/>
  <c r="R170" i="1"/>
  <c r="S170" i="1" l="1"/>
  <c r="T170" i="1" s="1"/>
  <c r="R169" i="1"/>
  <c r="R168" i="1" l="1"/>
  <c r="S169" i="1"/>
  <c r="T169" i="1" s="1"/>
  <c r="R167" i="1" l="1"/>
  <c r="S168" i="1"/>
  <c r="T168" i="1" s="1"/>
  <c r="S167" i="1" l="1"/>
  <c r="T167" i="1" s="1"/>
  <c r="R166" i="1"/>
  <c r="R165" i="1" l="1"/>
  <c r="S166" i="1"/>
  <c r="T166" i="1" s="1"/>
  <c r="R164" i="1" l="1"/>
  <c r="S165" i="1"/>
  <c r="T165" i="1" s="1"/>
  <c r="S164" i="1" l="1"/>
  <c r="T164" i="1" s="1"/>
  <c r="R163" i="1"/>
  <c r="S163" i="1" l="1"/>
  <c r="T163" i="1" s="1"/>
  <c r="R162" i="1"/>
  <c r="S162" i="1" l="1"/>
  <c r="T162" i="1" s="1"/>
  <c r="R161" i="1"/>
  <c r="R160" i="1" l="1"/>
  <c r="S161" i="1"/>
  <c r="T161" i="1" s="1"/>
  <c r="R159" i="1" l="1"/>
  <c r="S160" i="1"/>
  <c r="T160" i="1" s="1"/>
  <c r="S159" i="1" l="1"/>
  <c r="T159" i="1" s="1"/>
  <c r="R158" i="1"/>
  <c r="S158" i="1" l="1"/>
  <c r="T158" i="1" s="1"/>
  <c r="R157" i="1"/>
  <c r="S157" i="1" l="1"/>
  <c r="T157" i="1" s="1"/>
  <c r="R156" i="1"/>
  <c r="S156" i="1" l="1"/>
  <c r="T156" i="1" s="1"/>
  <c r="R155" i="1"/>
  <c r="R154" i="1" l="1"/>
  <c r="S155" i="1"/>
  <c r="T155" i="1" s="1"/>
  <c r="R153" i="1" l="1"/>
  <c r="S154" i="1"/>
  <c r="T154" i="1" s="1"/>
  <c r="R152" i="1" l="1"/>
  <c r="S153" i="1"/>
  <c r="T153" i="1" s="1"/>
  <c r="S152" i="1" l="1"/>
  <c r="T152" i="1" s="1"/>
  <c r="R151" i="1"/>
  <c r="S151" i="1" l="1"/>
  <c r="T151" i="1" s="1"/>
  <c r="R150" i="1"/>
  <c r="R149" i="1" l="1"/>
  <c r="S150" i="1"/>
  <c r="T150" i="1" s="1"/>
  <c r="S149" i="1" l="1"/>
  <c r="T149" i="1" s="1"/>
  <c r="R148" i="1"/>
  <c r="R147" i="1" l="1"/>
  <c r="S148" i="1"/>
  <c r="T148" i="1" s="1"/>
  <c r="R146" i="1" l="1"/>
  <c r="S147" i="1"/>
  <c r="T147" i="1" s="1"/>
  <c r="S146" i="1" l="1"/>
  <c r="T146" i="1" s="1"/>
  <c r="R145" i="1"/>
  <c r="R144" i="1" l="1"/>
  <c r="S145" i="1"/>
  <c r="T145" i="1" s="1"/>
  <c r="S144" i="1" l="1"/>
  <c r="T144" i="1" s="1"/>
  <c r="R143" i="1"/>
  <c r="R142" i="1" l="1"/>
  <c r="S143" i="1"/>
  <c r="T143" i="1" s="1"/>
  <c r="R141" i="1" l="1"/>
  <c r="S142" i="1"/>
  <c r="T142" i="1" s="1"/>
  <c r="S141" i="1" l="1"/>
  <c r="T141" i="1" s="1"/>
  <c r="R140" i="1"/>
  <c r="R139" i="1" l="1"/>
  <c r="S140" i="1"/>
  <c r="T140" i="1" s="1"/>
  <c r="R138" i="1" l="1"/>
  <c r="S139" i="1"/>
  <c r="T139" i="1" s="1"/>
  <c r="S138" i="1" l="1"/>
  <c r="T138" i="1" s="1"/>
  <c r="R137" i="1"/>
  <c r="S137" i="1" l="1"/>
  <c r="T137" i="1" s="1"/>
  <c r="R136" i="1"/>
  <c r="S136" i="1" l="1"/>
  <c r="T136" i="1" s="1"/>
  <c r="R135" i="1"/>
  <c r="S135" i="1" l="1"/>
  <c r="T135" i="1" s="1"/>
  <c r="R134" i="1"/>
  <c r="R133" i="1" l="1"/>
  <c r="S134" i="1"/>
  <c r="T134" i="1" s="1"/>
  <c r="S133" i="1" l="1"/>
  <c r="T133" i="1" s="1"/>
  <c r="R132" i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S126" i="1" l="1"/>
  <c r="T126" i="1" s="1"/>
  <c r="R125" i="1"/>
  <c r="S125" i="1" l="1"/>
  <c r="T125" i="1" s="1"/>
  <c r="R124" i="1"/>
  <c r="S124" i="1" l="1"/>
  <c r="T124" i="1" s="1"/>
  <c r="R123" i="1"/>
  <c r="S123" i="1" l="1"/>
  <c r="T123" i="1" s="1"/>
  <c r="R122" i="1"/>
  <c r="S122" i="1" l="1"/>
  <c r="T122" i="1" s="1"/>
  <c r="R121" i="1"/>
  <c r="R120" i="1" l="1"/>
  <c r="S121" i="1"/>
  <c r="T121" i="1" s="1"/>
  <c r="R119" i="1" l="1"/>
  <c r="S120" i="1"/>
  <c r="T120" i="1" s="1"/>
  <c r="S119" i="1" l="1"/>
  <c r="T119" i="1" s="1"/>
  <c r="R118" i="1"/>
  <c r="S118" i="1" l="1"/>
  <c r="T118" i="1" s="1"/>
  <c r="R117" i="1"/>
  <c r="S117" i="1" l="1"/>
  <c r="T117" i="1" s="1"/>
  <c r="R116" i="1"/>
  <c r="S116" i="1" l="1"/>
  <c r="T116" i="1" s="1"/>
  <c r="R115" i="1"/>
  <c r="R114" i="1" l="1"/>
  <c r="S115" i="1"/>
  <c r="T115" i="1" s="1"/>
  <c r="S114" i="1" l="1"/>
  <c r="T114" i="1" s="1"/>
  <c r="R113" i="1"/>
  <c r="R112" i="1" l="1"/>
  <c r="S113" i="1"/>
  <c r="T113" i="1" s="1"/>
  <c r="S112" i="1" l="1"/>
  <c r="T112" i="1" s="1"/>
  <c r="R111" i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S106" i="1" l="1"/>
  <c r="T106" i="1" s="1"/>
  <c r="R105" i="1"/>
  <c r="R104" i="1" l="1"/>
  <c r="S105" i="1"/>
  <c r="T105" i="1" s="1"/>
  <c r="S104" i="1" l="1"/>
  <c r="T104" i="1" s="1"/>
  <c r="R103" i="1"/>
  <c r="R102" i="1" l="1"/>
  <c r="S103" i="1"/>
  <c r="T103" i="1" s="1"/>
  <c r="S102" i="1" l="1"/>
  <c r="T102" i="1" s="1"/>
  <c r="R101" i="1"/>
  <c r="S101" i="1" l="1"/>
  <c r="T101" i="1" s="1"/>
  <c r="R100" i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S93" i="1" l="1"/>
  <c r="T93" i="1" s="1"/>
  <c r="R92" i="1"/>
  <c r="R91" i="1" l="1"/>
  <c r="S92" i="1"/>
  <c r="T92" i="1" s="1"/>
  <c r="R90" i="1" l="1"/>
  <c r="S91" i="1"/>
  <c r="T91" i="1" s="1"/>
  <c r="R89" i="1" l="1"/>
  <c r="S90" i="1"/>
  <c r="T90" i="1" s="1"/>
  <c r="S89" i="1" l="1"/>
  <c r="T89" i="1" s="1"/>
  <c r="R88" i="1"/>
  <c r="S88" i="1" l="1"/>
  <c r="T88" i="1" s="1"/>
  <c r="R87" i="1"/>
  <c r="S87" i="1" l="1"/>
  <c r="T87" i="1" s="1"/>
  <c r="R86" i="1"/>
  <c r="S86" i="1" l="1"/>
  <c r="T86" i="1" s="1"/>
  <c r="R85" i="1"/>
  <c r="S85" i="1" l="1"/>
  <c r="T85" i="1" s="1"/>
  <c r="R84" i="1"/>
  <c r="R83" i="1" l="1"/>
  <c r="S84" i="1"/>
  <c r="T84" i="1" s="1"/>
  <c r="S83" i="1" l="1"/>
  <c r="T83" i="1" s="1"/>
  <c r="R82" i="1"/>
  <c r="S82" i="1" l="1"/>
  <c r="T82" i="1" s="1"/>
  <c r="R81" i="1"/>
  <c r="R80" i="1" l="1"/>
  <c r="S81" i="1"/>
  <c r="T81" i="1" s="1"/>
  <c r="R79" i="1" l="1"/>
  <c r="S80" i="1"/>
  <c r="T80" i="1" s="1"/>
  <c r="R78" i="1" l="1"/>
  <c r="S79" i="1"/>
  <c r="T79" i="1" s="1"/>
  <c r="S78" i="1" l="1"/>
  <c r="T78" i="1" s="1"/>
  <c r="R77" i="1"/>
  <c r="R76" i="1" l="1"/>
  <c r="S77" i="1"/>
  <c r="T77" i="1" s="1"/>
  <c r="R75" i="1" l="1"/>
  <c r="S76" i="1"/>
  <c r="T76" i="1" s="1"/>
  <c r="S75" i="1" l="1"/>
  <c r="T75" i="1" s="1"/>
  <c r="R74" i="1"/>
  <c r="S74" i="1" l="1"/>
  <c r="T74" i="1" s="1"/>
  <c r="R73" i="1"/>
  <c r="S73" i="1" l="1"/>
  <c r="T73" i="1" s="1"/>
  <c r="R72" i="1"/>
  <c r="R71" i="1" l="1"/>
  <c r="S72" i="1"/>
  <c r="T72" i="1" s="1"/>
  <c r="R70" i="1" l="1"/>
  <c r="S71" i="1"/>
  <c r="T71" i="1" s="1"/>
  <c r="S70" i="1" l="1"/>
  <c r="T70" i="1" s="1"/>
  <c r="R69" i="1"/>
  <c r="R68" i="1" l="1"/>
  <c r="S69" i="1"/>
  <c r="T69" i="1" s="1"/>
  <c r="R67" i="1" l="1"/>
  <c r="S68" i="1"/>
  <c r="T68" i="1" s="1"/>
  <c r="S67" i="1" l="1"/>
  <c r="T67" i="1" s="1"/>
  <c r="R66" i="1"/>
  <c r="R65" i="1" l="1"/>
  <c r="S66" i="1"/>
  <c r="T66" i="1" s="1"/>
  <c r="S65" i="1" l="1"/>
  <c r="T65" i="1" s="1"/>
  <c r="R64" i="1"/>
  <c r="R63" i="1" l="1"/>
  <c r="S64" i="1"/>
  <c r="T64" i="1" s="1"/>
  <c r="R62" i="1" l="1"/>
  <c r="S63" i="1"/>
  <c r="T63" i="1" s="1"/>
  <c r="S62" i="1" l="1"/>
  <c r="T62" i="1" s="1"/>
  <c r="R61" i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S57" i="1" l="1"/>
  <c r="T57" i="1" s="1"/>
  <c r="R56" i="1"/>
  <c r="R55" i="1" l="1"/>
  <c r="S56" i="1"/>
  <c r="T56" i="1" s="1"/>
  <c r="R54" i="1" l="1"/>
  <c r="S55" i="1"/>
  <c r="T55" i="1" s="1"/>
  <c r="S54" i="1" l="1"/>
  <c r="T54" i="1" s="1"/>
  <c r="R53" i="1"/>
  <c r="S53" i="1" l="1"/>
  <c r="T53" i="1" s="1"/>
  <c r="R52" i="1"/>
  <c r="S52" i="1" l="1"/>
  <c r="T52" i="1" s="1"/>
  <c r="R51" i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R46" i="1" l="1"/>
  <c r="S47" i="1"/>
  <c r="T47" i="1" s="1"/>
  <c r="R45" i="1" l="1"/>
  <c r="S46" i="1"/>
  <c r="T46" i="1" s="1"/>
  <c r="S45" i="1" l="1"/>
  <c r="T45" i="1" s="1"/>
  <c r="R44" i="1"/>
  <c r="S44" i="1" l="1"/>
  <c r="T44" i="1" s="1"/>
  <c r="R43" i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S39" i="1" l="1"/>
  <c r="T39" i="1" s="1"/>
  <c r="R38" i="1"/>
  <c r="R37" i="1" l="1"/>
  <c r="S38" i="1"/>
  <c r="T38" i="1" s="1"/>
  <c r="R36" i="1" l="1"/>
  <c r="S37" i="1"/>
  <c r="T37" i="1" s="1"/>
  <c r="S36" i="1" l="1"/>
  <c r="T36" i="1" s="1"/>
  <c r="R35" i="1"/>
  <c r="S35" i="1" l="1"/>
  <c r="T35" i="1" s="1"/>
  <c r="R34" i="1"/>
  <c r="R33" i="1" l="1"/>
  <c r="S34" i="1"/>
  <c r="T34" i="1" s="1"/>
  <c r="R32" i="1" l="1"/>
  <c r="S33" i="1"/>
  <c r="T33" i="1" s="1"/>
  <c r="R31" i="1" l="1"/>
  <c r="S32" i="1"/>
  <c r="T32" i="1" s="1"/>
  <c r="R30" i="1" l="1"/>
  <c r="S31" i="1"/>
  <c r="T31" i="1" s="1"/>
  <c r="S30" i="1" l="1"/>
  <c r="T30" i="1" s="1"/>
  <c r="R29" i="1"/>
  <c r="R28" i="1" l="1"/>
  <c r="S29" i="1"/>
  <c r="T29" i="1" s="1"/>
  <c r="S28" i="1" l="1"/>
  <c r="T28" i="1" s="1"/>
  <c r="R27" i="1"/>
  <c r="R26" i="1" l="1"/>
  <c r="S27" i="1"/>
  <c r="T27" i="1" s="1"/>
  <c r="S26" i="1" l="1"/>
  <c r="T26" i="1" s="1"/>
  <c r="R25" i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<sst xmlns="http://schemas.openxmlformats.org/spreadsheetml/2006/main" count="6721" uniqueCount="34">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</sst>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6.7100000000000007E-2</c:v>
                </c:pt>
                <c:pt idx="1">
                  <c:v>6.9040000000000004E-2</c:v>
                </c:pt>
                <c:pt idx="2">
                  <c:v>6.9199999999999998E-2</c:v>
                </c:pt>
                <c:pt idx="3">
                  <c:v>6.8180000000000004E-2</c:v>
                </c:pt>
                <c:pt idx="4">
                  <c:v>7.1809999999999999E-2</c:v>
                </c:pt>
                <c:pt idx="5">
                  <c:v>6.658E-2</c:v>
                </c:pt>
                <c:pt idx="6">
                  <c:v>8.0060000000000006E-2</c:v>
                </c:pt>
                <c:pt idx="7">
                  <c:v>8.5300000000000001E-2</c:v>
                </c:pt>
                <c:pt idx="8">
                  <c:v>8.6430000000000007E-2</c:v>
                </c:pt>
                <c:pt idx="9">
                  <c:v>8.6300000000000002E-2</c:v>
                </c:pt>
                <c:pt idx="10">
                  <c:v>9.2280000000000001E-2</c:v>
                </c:pt>
                <c:pt idx="11">
                  <c:v>0.10331</c:v>
                </c:pt>
                <c:pt idx="12">
                  <c:v>9.153E-2</c:v>
                </c:pt>
                <c:pt idx="13">
                  <c:v>9.7000000000000003E-2</c:v>
                </c:pt>
                <c:pt idx="14">
                  <c:v>9.2170000000000002E-2</c:v>
                </c:pt>
                <c:pt idx="15">
                  <c:v>0.10009999999999999</c:v>
                </c:pt>
                <c:pt idx="16">
                  <c:v>8.3839999999999998E-2</c:v>
                </c:pt>
                <c:pt idx="17">
                  <c:v>8.1930000000000003E-2</c:v>
                </c:pt>
                <c:pt idx="18">
                  <c:v>8.8080000000000006E-2</c:v>
                </c:pt>
                <c:pt idx="19">
                  <c:v>9.0329999999999994E-2</c:v>
                </c:pt>
                <c:pt idx="20">
                  <c:v>0.11405999999999999</c:v>
                </c:pt>
                <c:pt idx="21">
                  <c:v>8.5110000000000005E-2</c:v>
                </c:pt>
                <c:pt idx="22">
                  <c:v>8.6069999999999994E-2</c:v>
                </c:pt>
                <c:pt idx="23">
                  <c:v>9.4479999999999995E-2</c:v>
                </c:pt>
                <c:pt idx="24">
                  <c:v>9.1139999999999999E-2</c:v>
                </c:pt>
                <c:pt idx="25">
                  <c:v>8.7989999999999999E-2</c:v>
                </c:pt>
                <c:pt idx="26">
                  <c:v>8.695E-2</c:v>
                </c:pt>
                <c:pt idx="27">
                  <c:v>8.4229999999999999E-2</c:v>
                </c:pt>
                <c:pt idx="28">
                  <c:v>8.4709999999999994E-2</c:v>
                </c:pt>
                <c:pt idx="29">
                  <c:v>8.4959999999999994E-2</c:v>
                </c:pt>
                <c:pt idx="30">
                  <c:v>8.5529999999999995E-2</c:v>
                </c:pt>
                <c:pt idx="31">
                  <c:v>9.4899999999999998E-2</c:v>
                </c:pt>
                <c:pt idx="32">
                  <c:v>9.5009999999999997E-2</c:v>
                </c:pt>
                <c:pt idx="33">
                  <c:v>9.4630000000000006E-2</c:v>
                </c:pt>
                <c:pt idx="34">
                  <c:v>9.2039999999999997E-2</c:v>
                </c:pt>
                <c:pt idx="35">
                  <c:v>9.357E-2</c:v>
                </c:pt>
                <c:pt idx="36">
                  <c:v>8.9289999999999994E-2</c:v>
                </c:pt>
                <c:pt idx="37">
                  <c:v>8.8039999999999993E-2</c:v>
                </c:pt>
                <c:pt idx="38">
                  <c:v>8.3030000000000007E-2</c:v>
                </c:pt>
                <c:pt idx="39">
                  <c:v>8.5319999999999993E-2</c:v>
                </c:pt>
                <c:pt idx="40">
                  <c:v>8.7470000000000006E-2</c:v>
                </c:pt>
                <c:pt idx="41">
                  <c:v>8.0379999999999993E-2</c:v>
                </c:pt>
                <c:pt idx="42">
                  <c:v>8.1540000000000001E-2</c:v>
                </c:pt>
                <c:pt idx="43">
                  <c:v>8.3449999999999996E-2</c:v>
                </c:pt>
                <c:pt idx="44">
                  <c:v>7.9850000000000004E-2</c:v>
                </c:pt>
                <c:pt idx="45">
                  <c:v>8.0030000000000004E-2</c:v>
                </c:pt>
                <c:pt idx="46">
                  <c:v>9.2280000000000001E-2</c:v>
                </c:pt>
                <c:pt idx="47">
                  <c:v>8.9179999999999995E-2</c:v>
                </c:pt>
                <c:pt idx="48">
                  <c:v>8.745E-2</c:v>
                </c:pt>
                <c:pt idx="49">
                  <c:v>8.7650000000000006E-2</c:v>
                </c:pt>
                <c:pt idx="50">
                  <c:v>9.5570000000000002E-2</c:v>
                </c:pt>
                <c:pt idx="51">
                  <c:v>9.3920000000000003E-2</c:v>
                </c:pt>
                <c:pt idx="52">
                  <c:v>9.647E-2</c:v>
                </c:pt>
                <c:pt idx="53">
                  <c:v>9.5740000000000006E-2</c:v>
                </c:pt>
                <c:pt idx="54">
                  <c:v>0.10761999999999999</c:v>
                </c:pt>
                <c:pt idx="55">
                  <c:v>0.12698000000000001</c:v>
                </c:pt>
                <c:pt idx="56">
                  <c:v>0.12143</c:v>
                </c:pt>
                <c:pt idx="57">
                  <c:v>0.11901</c:v>
                </c:pt>
                <c:pt idx="58">
                  <c:v>0.1198</c:v>
                </c:pt>
                <c:pt idx="59">
                  <c:v>0.12277</c:v>
                </c:pt>
                <c:pt idx="60">
                  <c:v>0.11996999999999999</c:v>
                </c:pt>
                <c:pt idx="61">
                  <c:v>0.11973</c:v>
                </c:pt>
                <c:pt idx="62">
                  <c:v>0.11724</c:v>
                </c:pt>
                <c:pt idx="63">
                  <c:v>0.12986</c:v>
                </c:pt>
                <c:pt idx="64">
                  <c:v>0.13444999999999999</c:v>
                </c:pt>
                <c:pt idx="65">
                  <c:v>0.13879</c:v>
                </c:pt>
                <c:pt idx="66">
                  <c:v>0.16089999999999999</c:v>
                </c:pt>
                <c:pt idx="67">
                  <c:v>0.12049</c:v>
                </c:pt>
                <c:pt idx="68">
                  <c:v>0.12094000000000001</c:v>
                </c:pt>
                <c:pt idx="69">
                  <c:v>0.11176999999999999</c:v>
                </c:pt>
                <c:pt idx="70">
                  <c:v>0.10613</c:v>
                </c:pt>
                <c:pt idx="71">
                  <c:v>0.11723</c:v>
                </c:pt>
                <c:pt idx="72">
                  <c:v>0.11069</c:v>
                </c:pt>
                <c:pt idx="73">
                  <c:v>0.12285</c:v>
                </c:pt>
                <c:pt idx="74">
                  <c:v>0.125</c:v>
                </c:pt>
                <c:pt idx="75">
                  <c:v>0.1255</c:v>
                </c:pt>
                <c:pt idx="76">
                  <c:v>0.12161</c:v>
                </c:pt>
                <c:pt idx="77">
                  <c:v>0.12367</c:v>
                </c:pt>
                <c:pt idx="78">
                  <c:v>0.11854000000000001</c:v>
                </c:pt>
                <c:pt idx="79">
                  <c:v>0.12864999999999999</c:v>
                </c:pt>
                <c:pt idx="80">
                  <c:v>0.13525000000000001</c:v>
                </c:pt>
                <c:pt idx="81">
                  <c:v>0.12701000000000001</c:v>
                </c:pt>
                <c:pt idx="82">
                  <c:v>0.12169000000000001</c:v>
                </c:pt>
                <c:pt idx="83">
                  <c:v>0.11788999999999999</c:v>
                </c:pt>
                <c:pt idx="84">
                  <c:v>0.12157</c:v>
                </c:pt>
                <c:pt idx="85">
                  <c:v>0.12263</c:v>
                </c:pt>
                <c:pt idx="86">
                  <c:v>0.11384</c:v>
                </c:pt>
                <c:pt idx="87">
                  <c:v>0.11376</c:v>
                </c:pt>
                <c:pt idx="88">
                  <c:v>0.11652</c:v>
                </c:pt>
                <c:pt idx="89">
                  <c:v>0.11135</c:v>
                </c:pt>
                <c:pt idx="90">
                  <c:v>0.11247</c:v>
                </c:pt>
                <c:pt idx="91">
                  <c:v>0.11001</c:v>
                </c:pt>
                <c:pt idx="92">
                  <c:v>0.10704</c:v>
                </c:pt>
                <c:pt idx="93">
                  <c:v>0.12118</c:v>
                </c:pt>
                <c:pt idx="94">
                  <c:v>0.11373</c:v>
                </c:pt>
                <c:pt idx="95">
                  <c:v>0.11194</c:v>
                </c:pt>
                <c:pt idx="96">
                  <c:v>0.11745</c:v>
                </c:pt>
                <c:pt idx="97">
                  <c:v>0.11595999999999999</c:v>
                </c:pt>
                <c:pt idx="98">
                  <c:v>0.11836000000000001</c:v>
                </c:pt>
                <c:pt idx="99">
                  <c:v>0.11484999999999999</c:v>
                </c:pt>
                <c:pt idx="100">
                  <c:v>0.11244</c:v>
                </c:pt>
                <c:pt idx="101">
                  <c:v>0.11131000000000001</c:v>
                </c:pt>
                <c:pt idx="102">
                  <c:v>0.11378000000000001</c:v>
                </c:pt>
                <c:pt idx="103">
                  <c:v>0.113</c:v>
                </c:pt>
                <c:pt idx="104">
                  <c:v>0.11418</c:v>
                </c:pt>
                <c:pt idx="105">
                  <c:v>0.10987</c:v>
                </c:pt>
                <c:pt idx="106">
                  <c:v>0.10468</c:v>
                </c:pt>
                <c:pt idx="107">
                  <c:v>0.10435</c:v>
                </c:pt>
                <c:pt idx="108">
                  <c:v>0.10399</c:v>
                </c:pt>
                <c:pt idx="109">
                  <c:v>0.10599</c:v>
                </c:pt>
                <c:pt idx="110">
                  <c:v>0.11115999999999999</c:v>
                </c:pt>
                <c:pt idx="111">
                  <c:v>0.11046</c:v>
                </c:pt>
                <c:pt idx="112">
                  <c:v>0.11361</c:v>
                </c:pt>
                <c:pt idx="113">
                  <c:v>0.10865</c:v>
                </c:pt>
                <c:pt idx="114">
                  <c:v>0.10659</c:v>
                </c:pt>
                <c:pt idx="115">
                  <c:v>0.10577</c:v>
                </c:pt>
                <c:pt idx="116">
                  <c:v>0.10919</c:v>
                </c:pt>
                <c:pt idx="117">
                  <c:v>0.1079</c:v>
                </c:pt>
                <c:pt idx="118">
                  <c:v>0.10481</c:v>
                </c:pt>
                <c:pt idx="119">
                  <c:v>0.10009999999999999</c:v>
                </c:pt>
                <c:pt idx="120">
                  <c:v>0.10051</c:v>
                </c:pt>
                <c:pt idx="121">
                  <c:v>0.10548</c:v>
                </c:pt>
                <c:pt idx="122">
                  <c:v>0.11694</c:v>
                </c:pt>
                <c:pt idx="123">
                  <c:v>0.12049</c:v>
                </c:pt>
                <c:pt idx="124">
                  <c:v>0.12484000000000001</c:v>
                </c:pt>
                <c:pt idx="125">
                  <c:v>0.13435</c:v>
                </c:pt>
                <c:pt idx="126">
                  <c:v>0.14158000000000001</c:v>
                </c:pt>
                <c:pt idx="127">
                  <c:v>0.13214000000000001</c:v>
                </c:pt>
                <c:pt idx="128">
                  <c:v>0.11020000000000001</c:v>
                </c:pt>
                <c:pt idx="129">
                  <c:v>0.13650000000000001</c:v>
                </c:pt>
                <c:pt idx="130">
                  <c:v>0.155</c:v>
                </c:pt>
                <c:pt idx="131">
                  <c:v>0.14921999999999999</c:v>
                </c:pt>
                <c:pt idx="132">
                  <c:v>0.13174</c:v>
                </c:pt>
                <c:pt idx="133">
                  <c:v>0.14132</c:v>
                </c:pt>
                <c:pt idx="134">
                  <c:v>0.13988999999999999</c:v>
                </c:pt>
                <c:pt idx="135">
                  <c:v>0.14374999999999999</c:v>
                </c:pt>
                <c:pt idx="136">
                  <c:v>0.15215000000000001</c:v>
                </c:pt>
                <c:pt idx="137">
                  <c:v>0.14979999999999999</c:v>
                </c:pt>
                <c:pt idx="138">
                  <c:v>0.13116</c:v>
                </c:pt>
                <c:pt idx="139">
                  <c:v>0.1426</c:v>
                </c:pt>
                <c:pt idx="140">
                  <c:v>0.128</c:v>
                </c:pt>
                <c:pt idx="141">
                  <c:v>0.11020000000000001</c:v>
                </c:pt>
                <c:pt idx="142">
                  <c:v>0.11508</c:v>
                </c:pt>
                <c:pt idx="143">
                  <c:v>0.14673</c:v>
                </c:pt>
                <c:pt idx="144">
                  <c:v>0.14086000000000001</c:v>
                </c:pt>
                <c:pt idx="145">
                  <c:v>0.13006999999999999</c:v>
                </c:pt>
                <c:pt idx="146">
                  <c:v>0.12356</c:v>
                </c:pt>
                <c:pt idx="147">
                  <c:v>0.11827</c:v>
                </c:pt>
                <c:pt idx="148">
                  <c:v>0.12094000000000001</c:v>
                </c:pt>
                <c:pt idx="149">
                  <c:v>0.11237</c:v>
                </c:pt>
                <c:pt idx="150">
                  <c:v>0.11169</c:v>
                </c:pt>
                <c:pt idx="151">
                  <c:v>0.11708</c:v>
                </c:pt>
                <c:pt idx="152">
                  <c:v>0.11501</c:v>
                </c:pt>
                <c:pt idx="153">
                  <c:v>0.11798</c:v>
                </c:pt>
                <c:pt idx="154">
                  <c:v>0.10589</c:v>
                </c:pt>
                <c:pt idx="155">
                  <c:v>0.11874</c:v>
                </c:pt>
                <c:pt idx="156">
                  <c:v>0.11419</c:v>
                </c:pt>
                <c:pt idx="157">
                  <c:v>0.12695000000000001</c:v>
                </c:pt>
                <c:pt idx="158">
                  <c:v>0.13</c:v>
                </c:pt>
                <c:pt idx="159">
                  <c:v>0.12045</c:v>
                </c:pt>
                <c:pt idx="160">
                  <c:v>0.11483</c:v>
                </c:pt>
                <c:pt idx="161">
                  <c:v>0.11183999999999999</c:v>
                </c:pt>
                <c:pt idx="162">
                  <c:v>0.10706</c:v>
                </c:pt>
                <c:pt idx="163">
                  <c:v>0.10285</c:v>
                </c:pt>
                <c:pt idx="164">
                  <c:v>0.10662000000000001</c:v>
                </c:pt>
                <c:pt idx="165">
                  <c:v>0.11661000000000001</c:v>
                </c:pt>
                <c:pt idx="166">
                  <c:v>0.11473999999999999</c:v>
                </c:pt>
                <c:pt idx="167">
                  <c:v>0.10456</c:v>
                </c:pt>
                <c:pt idx="168">
                  <c:v>9.5930000000000001E-2</c:v>
                </c:pt>
                <c:pt idx="169">
                  <c:v>9.6449999999999994E-2</c:v>
                </c:pt>
                <c:pt idx="170">
                  <c:v>9.5409999999999995E-2</c:v>
                </c:pt>
                <c:pt idx="171">
                  <c:v>9.178E-2</c:v>
                </c:pt>
                <c:pt idx="172">
                  <c:v>8.7590000000000001E-2</c:v>
                </c:pt>
                <c:pt idx="173">
                  <c:v>9.4310000000000005E-2</c:v>
                </c:pt>
                <c:pt idx="174">
                  <c:v>8.6330000000000004E-2</c:v>
                </c:pt>
                <c:pt idx="175">
                  <c:v>8.4339999999999998E-2</c:v>
                </c:pt>
                <c:pt idx="176">
                  <c:v>7.8359999999999999E-2</c:v>
                </c:pt>
                <c:pt idx="177">
                  <c:v>7.6259999999999994E-2</c:v>
                </c:pt>
                <c:pt idx="178">
                  <c:v>7.8119999999999995E-2</c:v>
                </c:pt>
                <c:pt idx="179">
                  <c:v>7.4450000000000002E-2</c:v>
                </c:pt>
                <c:pt idx="180">
                  <c:v>7.639E-2</c:v>
                </c:pt>
                <c:pt idx="181">
                  <c:v>7.3389999999999997E-2</c:v>
                </c:pt>
                <c:pt idx="182">
                  <c:v>7.1260000000000004E-2</c:v>
                </c:pt>
                <c:pt idx="183">
                  <c:v>6.9690000000000002E-2</c:v>
                </c:pt>
                <c:pt idx="184">
                  <c:v>7.2120000000000004E-2</c:v>
                </c:pt>
                <c:pt idx="185">
                  <c:v>6.8279999999999993E-2</c:v>
                </c:pt>
                <c:pt idx="186">
                  <c:v>6.9809999999999997E-2</c:v>
                </c:pt>
                <c:pt idx="187">
                  <c:v>6.9330000000000003E-2</c:v>
                </c:pt>
                <c:pt idx="188">
                  <c:v>6.8220000000000003E-2</c:v>
                </c:pt>
                <c:pt idx="189">
                  <c:v>6.2839999999999993E-2</c:v>
                </c:pt>
                <c:pt idx="190">
                  <c:v>6.1249999999999999E-2</c:v>
                </c:pt>
                <c:pt idx="191">
                  <c:v>5.5780000000000003E-2</c:v>
                </c:pt>
                <c:pt idx="192">
                  <c:v>6.0299999999999999E-2</c:v>
                </c:pt>
                <c:pt idx="193">
                  <c:v>6.7229999999999998E-2</c:v>
                </c:pt>
                <c:pt idx="194">
                  <c:v>6.7049999999999998E-2</c:v>
                </c:pt>
                <c:pt idx="195">
                  <c:v>6.8690000000000001E-2</c:v>
                </c:pt>
                <c:pt idx="196">
                  <c:v>7.3080000000000006E-2</c:v>
                </c:pt>
                <c:pt idx="197">
                  <c:v>7.0480000000000001E-2</c:v>
                </c:pt>
                <c:pt idx="198">
                  <c:v>6.8729999999999999E-2</c:v>
                </c:pt>
                <c:pt idx="199">
                  <c:v>7.2190000000000004E-2</c:v>
                </c:pt>
                <c:pt idx="200">
                  <c:v>7.535E-2</c:v>
                </c:pt>
                <c:pt idx="201">
                  <c:v>7.6310000000000003E-2</c:v>
                </c:pt>
                <c:pt idx="202">
                  <c:v>7.4700000000000003E-2</c:v>
                </c:pt>
                <c:pt idx="203">
                  <c:v>7.2590000000000002E-2</c:v>
                </c:pt>
                <c:pt idx="204">
                  <c:v>8.1439999999999999E-2</c:v>
                </c:pt>
                <c:pt idx="205">
                  <c:v>8.2140000000000005E-2</c:v>
                </c:pt>
                <c:pt idx="206">
                  <c:v>8.301E-2</c:v>
                </c:pt>
                <c:pt idx="207">
                  <c:v>8.3019999999999997E-2</c:v>
                </c:pt>
                <c:pt idx="208">
                  <c:v>8.0439999999999998E-2</c:v>
                </c:pt>
                <c:pt idx="209">
                  <c:v>7.739E-2</c:v>
                </c:pt>
                <c:pt idx="210">
                  <c:v>7.4560000000000001E-2</c:v>
                </c:pt>
                <c:pt idx="211">
                  <c:v>8.0490000000000006E-2</c:v>
                </c:pt>
                <c:pt idx="212">
                  <c:v>8.319E-2</c:v>
                </c:pt>
                <c:pt idx="213">
                  <c:v>7.6569999999999999E-2</c:v>
                </c:pt>
                <c:pt idx="214">
                  <c:v>7.6520000000000005E-2</c:v>
                </c:pt>
                <c:pt idx="215">
                  <c:v>7.3510000000000006E-2</c:v>
                </c:pt>
                <c:pt idx="216">
                  <c:v>6.9029999999999994E-2</c:v>
                </c:pt>
                <c:pt idx="217">
                  <c:v>7.4969999999999995E-2</c:v>
                </c:pt>
                <c:pt idx="218">
                  <c:v>7.0059999999999997E-2</c:v>
                </c:pt>
                <c:pt idx="219">
                  <c:v>5.951E-2</c:v>
                </c:pt>
                <c:pt idx="220">
                  <c:v>6.3930000000000001E-2</c:v>
                </c:pt>
                <c:pt idx="221">
                  <c:v>7.8750000000000001E-2</c:v>
                </c:pt>
                <c:pt idx="222">
                  <c:v>7.5889999999999999E-2</c:v>
                </c:pt>
                <c:pt idx="223">
                  <c:v>7.8219999999999998E-2</c:v>
                </c:pt>
                <c:pt idx="224">
                  <c:v>8.5379999999999998E-2</c:v>
                </c:pt>
                <c:pt idx="225">
                  <c:v>8.5699999999999998E-2</c:v>
                </c:pt>
                <c:pt idx="226">
                  <c:v>8.7239999999999998E-2</c:v>
                </c:pt>
                <c:pt idx="227">
                  <c:v>8.6300000000000002E-2</c:v>
                </c:pt>
                <c:pt idx="228">
                  <c:v>8.0990000000000006E-2</c:v>
                </c:pt>
                <c:pt idx="229">
                  <c:v>7.5300000000000006E-2</c:v>
                </c:pt>
                <c:pt idx="230">
                  <c:v>7.7079999999999996E-2</c:v>
                </c:pt>
                <c:pt idx="231">
                  <c:v>7.9990000000000006E-2</c:v>
                </c:pt>
                <c:pt idx="232">
                  <c:v>8.2830000000000001E-2</c:v>
                </c:pt>
                <c:pt idx="233">
                  <c:v>7.9320000000000002E-2</c:v>
                </c:pt>
                <c:pt idx="234">
                  <c:v>8.0579999999999999E-2</c:v>
                </c:pt>
                <c:pt idx="235">
                  <c:v>0.10537000000000001</c:v>
                </c:pt>
                <c:pt idx="236">
                  <c:v>7.6289999999999997E-2</c:v>
                </c:pt>
                <c:pt idx="237">
                  <c:v>7.9020000000000007E-2</c:v>
                </c:pt>
                <c:pt idx="238">
                  <c:v>8.8510000000000005E-2</c:v>
                </c:pt>
                <c:pt idx="239">
                  <c:v>8.652E-2</c:v>
                </c:pt>
                <c:pt idx="240">
                  <c:v>8.2500000000000004E-2</c:v>
                </c:pt>
                <c:pt idx="241">
                  <c:v>8.3549999999999999E-2</c:v>
                </c:pt>
                <c:pt idx="242">
                  <c:v>7.6819999999999999E-2</c:v>
                </c:pt>
                <c:pt idx="243">
                  <c:v>6.9940000000000002E-2</c:v>
                </c:pt>
                <c:pt idx="244">
                  <c:v>7.4209999999999998E-2</c:v>
                </c:pt>
                <c:pt idx="245">
                  <c:v>8.6660000000000001E-2</c:v>
                </c:pt>
                <c:pt idx="246">
                  <c:v>8.8749999999999996E-2</c:v>
                </c:pt>
                <c:pt idx="247">
                  <c:v>8.4180000000000005E-2</c:v>
                </c:pt>
                <c:pt idx="248">
                  <c:v>8.4529999999999994E-2</c:v>
                </c:pt>
                <c:pt idx="249">
                  <c:v>6.5000000000000002E-2</c:v>
                </c:pt>
                <c:pt idx="250">
                  <c:v>8.5330000000000003E-2</c:v>
                </c:pt>
                <c:pt idx="251">
                  <c:v>8.1509999999999999E-2</c:v>
                </c:pt>
                <c:pt idx="252">
                  <c:v>9.6479999999999996E-2</c:v>
                </c:pt>
                <c:pt idx="253">
                  <c:v>8.2220000000000001E-2</c:v>
                </c:pt>
                <c:pt idx="254">
                  <c:v>0.12697</c:v>
                </c:pt>
                <c:pt idx="255">
                  <c:v>0.1242</c:v>
                </c:pt>
                <c:pt idx="256">
                  <c:v>0.13789999999999999</c:v>
                </c:pt>
                <c:pt idx="257">
                  <c:v>0.13811999999999999</c:v>
                </c:pt>
                <c:pt idx="258">
                  <c:v>0.1522</c:v>
                </c:pt>
                <c:pt idx="259">
                  <c:v>0.15171999999999999</c:v>
                </c:pt>
                <c:pt idx="260">
                  <c:v>0.16006999999999999</c:v>
                </c:pt>
                <c:pt idx="261">
                  <c:v>0.16771</c:v>
                </c:pt>
                <c:pt idx="262">
                  <c:v>0.15085999999999999</c:v>
                </c:pt>
                <c:pt idx="263">
                  <c:v>0.16918</c:v>
                </c:pt>
                <c:pt idx="264">
                  <c:v>0.17685000000000001</c:v>
                </c:pt>
                <c:pt idx="265">
                  <c:v>0.18181</c:v>
                </c:pt>
                <c:pt idx="266">
                  <c:v>0.1804</c:v>
                </c:pt>
                <c:pt idx="267">
                  <c:v>0.19707</c:v>
                </c:pt>
                <c:pt idx="268">
                  <c:v>0.19026000000000001</c:v>
                </c:pt>
                <c:pt idx="269">
                  <c:v>0.21998999999999999</c:v>
                </c:pt>
                <c:pt idx="270">
                  <c:v>0.18201000000000001</c:v>
                </c:pt>
                <c:pt idx="271">
                  <c:v>0.16866</c:v>
                </c:pt>
                <c:pt idx="272">
                  <c:v>0.17516000000000001</c:v>
                </c:pt>
                <c:pt idx="273">
                  <c:v>0.14857000000000001</c:v>
                </c:pt>
                <c:pt idx="274">
                  <c:v>0.15071000000000001</c:v>
                </c:pt>
                <c:pt idx="275">
                  <c:v>0.16300000000000001</c:v>
                </c:pt>
                <c:pt idx="276">
                  <c:v>0.14999000000000001</c:v>
                </c:pt>
                <c:pt idx="277">
                  <c:v>0.12567999999999999</c:v>
                </c:pt>
                <c:pt idx="278">
                  <c:v>0.11932</c:v>
                </c:pt>
                <c:pt idx="279">
                  <c:v>0.13586999999999999</c:v>
                </c:pt>
                <c:pt idx="280">
                  <c:v>0.14050000000000001</c:v>
                </c:pt>
                <c:pt idx="281">
                  <c:v>0.16026000000000001</c:v>
                </c:pt>
                <c:pt idx="282">
                  <c:v>0.17451</c:v>
                </c:pt>
                <c:pt idx="283">
                  <c:v>0.16885</c:v>
                </c:pt>
                <c:pt idx="284">
                  <c:v>0.1925</c:v>
                </c:pt>
                <c:pt idx="285">
                  <c:v>0.22142000000000001</c:v>
                </c:pt>
                <c:pt idx="286">
                  <c:v>0.21177000000000001</c:v>
                </c:pt>
                <c:pt idx="287">
                  <c:v>0.24418000000000001</c:v>
                </c:pt>
                <c:pt idx="288">
                  <c:v>0.24349999999999999</c:v>
                </c:pt>
                <c:pt idx="289">
                  <c:v>0.25601000000000002</c:v>
                </c:pt>
                <c:pt idx="290">
                  <c:v>0.24310000000000001</c:v>
                </c:pt>
                <c:pt idx="291">
                  <c:v>0.26871</c:v>
                </c:pt>
                <c:pt idx="292">
                  <c:v>0.20905000000000001</c:v>
                </c:pt>
                <c:pt idx="293">
                  <c:v>0.21626000000000001</c:v>
                </c:pt>
                <c:pt idx="294">
                  <c:v>0.22123000000000001</c:v>
                </c:pt>
                <c:pt idx="295">
                  <c:v>0.19800000000000001</c:v>
                </c:pt>
                <c:pt idx="296">
                  <c:v>0.22319</c:v>
                </c:pt>
                <c:pt idx="297">
                  <c:v>0.22595999999999999</c:v>
                </c:pt>
                <c:pt idx="298">
                  <c:v>0.22173999999999999</c:v>
                </c:pt>
                <c:pt idx="299">
                  <c:v>0.20560999999999999</c:v>
                </c:pt>
                <c:pt idx="300">
                  <c:v>0.21310000000000001</c:v>
                </c:pt>
                <c:pt idx="301">
                  <c:v>0.21251</c:v>
                </c:pt>
                <c:pt idx="302">
                  <c:v>0.21848999999999999</c:v>
                </c:pt>
                <c:pt idx="303">
                  <c:v>0.2339</c:v>
                </c:pt>
                <c:pt idx="304">
                  <c:v>0.24259</c:v>
                </c:pt>
                <c:pt idx="305">
                  <c:v>0.22663</c:v>
                </c:pt>
                <c:pt idx="306">
                  <c:v>0.21740000000000001</c:v>
                </c:pt>
                <c:pt idx="307">
                  <c:v>0.21722</c:v>
                </c:pt>
                <c:pt idx="308">
                  <c:v>0.17599999999999999</c:v>
                </c:pt>
                <c:pt idx="309">
                  <c:v>0.1915</c:v>
                </c:pt>
                <c:pt idx="310">
                  <c:v>0.19197</c:v>
                </c:pt>
                <c:pt idx="311">
                  <c:v>0.20029</c:v>
                </c:pt>
                <c:pt idx="312">
                  <c:v>0.23222999999999999</c:v>
                </c:pt>
                <c:pt idx="313">
                  <c:v>0.23518</c:v>
                </c:pt>
                <c:pt idx="314">
                  <c:v>0.23588999999999999</c:v>
                </c:pt>
                <c:pt idx="315">
                  <c:v>0.24385000000000001</c:v>
                </c:pt>
                <c:pt idx="316">
                  <c:v>0.24196000000000001</c:v>
                </c:pt>
                <c:pt idx="317">
                  <c:v>0.21226</c:v>
                </c:pt>
                <c:pt idx="318">
                  <c:v>0.2</c:v>
                </c:pt>
                <c:pt idx="319">
                  <c:v>0.16635</c:v>
                </c:pt>
                <c:pt idx="320">
                  <c:v>0.1757</c:v>
                </c:pt>
                <c:pt idx="321">
                  <c:v>0.17266999999999999</c:v>
                </c:pt>
                <c:pt idx="322">
                  <c:v>0.15881999999999999</c:v>
                </c:pt>
                <c:pt idx="323">
                  <c:v>0.16880000000000001</c:v>
                </c:pt>
                <c:pt idx="324">
                  <c:v>0.14854000000000001</c:v>
                </c:pt>
                <c:pt idx="325">
                  <c:v>0.12791</c:v>
                </c:pt>
                <c:pt idx="326">
                  <c:v>0.11455</c:v>
                </c:pt>
                <c:pt idx="327">
                  <c:v>0.10725999999999999</c:v>
                </c:pt>
                <c:pt idx="328">
                  <c:v>0.11494</c:v>
                </c:pt>
                <c:pt idx="329">
                  <c:v>0.10575</c:v>
                </c:pt>
                <c:pt idx="330">
                  <c:v>0.1052</c:v>
                </c:pt>
                <c:pt idx="331">
                  <c:v>0.10033</c:v>
                </c:pt>
                <c:pt idx="332">
                  <c:v>0.10564999999999999</c:v>
                </c:pt>
                <c:pt idx="333">
                  <c:v>0.10178</c:v>
                </c:pt>
                <c:pt idx="334">
                  <c:v>0.10906</c:v>
                </c:pt>
                <c:pt idx="335">
                  <c:v>9.9659999999999999E-2</c:v>
                </c:pt>
                <c:pt idx="336">
                  <c:v>9.8119999999999999E-2</c:v>
                </c:pt>
                <c:pt idx="337">
                  <c:v>0.11904000000000001</c:v>
                </c:pt>
                <c:pt idx="338">
                  <c:v>0.10942</c:v>
                </c:pt>
                <c:pt idx="339">
                  <c:v>0.13205</c:v>
                </c:pt>
                <c:pt idx="340">
                  <c:v>0.13316</c:v>
                </c:pt>
                <c:pt idx="341">
                  <c:v>0.13039999999999999</c:v>
                </c:pt>
                <c:pt idx="342">
                  <c:v>0.13721</c:v>
                </c:pt>
                <c:pt idx="343">
                  <c:v>0.14674999999999999</c:v>
                </c:pt>
                <c:pt idx="344">
                  <c:v>0.14024</c:v>
                </c:pt>
                <c:pt idx="345">
                  <c:v>0.15160999999999999</c:v>
                </c:pt>
                <c:pt idx="346">
                  <c:v>0.11605</c:v>
                </c:pt>
                <c:pt idx="347">
                  <c:v>0.11620999999999999</c:v>
                </c:pt>
                <c:pt idx="348">
                  <c:v>0.129</c:v>
                </c:pt>
                <c:pt idx="349">
                  <c:v>0.13047</c:v>
                </c:pt>
                <c:pt idx="350">
                  <c:v>0.12307999999999999</c:v>
                </c:pt>
                <c:pt idx="351">
                  <c:v>0.10813</c:v>
                </c:pt>
                <c:pt idx="352">
                  <c:v>0.10059999999999999</c:v>
                </c:pt>
                <c:pt idx="353">
                  <c:v>9.0149999999999994E-2</c:v>
                </c:pt>
                <c:pt idx="354">
                  <c:v>8.8489999999999999E-2</c:v>
                </c:pt>
                <c:pt idx="355">
                  <c:v>8.9440000000000006E-2</c:v>
                </c:pt>
                <c:pt idx="356">
                  <c:v>8.8599999999999998E-2</c:v>
                </c:pt>
                <c:pt idx="357">
                  <c:v>7.4999999999999997E-2</c:v>
                </c:pt>
                <c:pt idx="358">
                  <c:v>7.3230000000000003E-2</c:v>
                </c:pt>
                <c:pt idx="359">
                  <c:v>6.7040000000000002E-2</c:v>
                </c:pt>
                <c:pt idx="360">
                  <c:v>6.5329999999999999E-2</c:v>
                </c:pt>
                <c:pt idx="361">
                  <c:v>6.4909999999999995E-2</c:v>
                </c:pt>
                <c:pt idx="362">
                  <c:v>6.2740000000000004E-2</c:v>
                </c:pt>
                <c:pt idx="363">
                  <c:v>6.3930000000000001E-2</c:v>
                </c:pt>
                <c:pt idx="364">
                  <c:v>6.4960000000000004E-2</c:v>
                </c:pt>
                <c:pt idx="365">
                  <c:v>6.3829999999999998E-2</c:v>
                </c:pt>
                <c:pt idx="366">
                  <c:v>6.4600000000000005E-2</c:v>
                </c:pt>
                <c:pt idx="367">
                  <c:v>6.5110000000000001E-2</c:v>
                </c:pt>
                <c:pt idx="368">
                  <c:v>6.3719999999999999E-2</c:v>
                </c:pt>
                <c:pt idx="369">
                  <c:v>6.6979999999999998E-2</c:v>
                </c:pt>
                <c:pt idx="370">
                  <c:v>6.8390000000000006E-2</c:v>
                </c:pt>
                <c:pt idx="371">
                  <c:v>5.8229999999999997E-2</c:v>
                </c:pt>
                <c:pt idx="372">
                  <c:v>6.7019999999999996E-2</c:v>
                </c:pt>
                <c:pt idx="373">
                  <c:v>6.6229999999999997E-2</c:v>
                </c:pt>
                <c:pt idx="374">
                  <c:v>5.4120000000000001E-2</c:v>
                </c:pt>
                <c:pt idx="375">
                  <c:v>5.4710000000000002E-2</c:v>
                </c:pt>
                <c:pt idx="376">
                  <c:v>5.4109999999999998E-2</c:v>
                </c:pt>
                <c:pt idx="377">
                  <c:v>5.2380000000000003E-2</c:v>
                </c:pt>
                <c:pt idx="378">
                  <c:v>4.3659999999999997E-2</c:v>
                </c:pt>
                <c:pt idx="379">
                  <c:v>4.3430000000000003E-2</c:v>
                </c:pt>
                <c:pt idx="380">
                  <c:v>3.8730000000000001E-2</c:v>
                </c:pt>
                <c:pt idx="381">
                  <c:v>4.0090000000000001E-2</c:v>
                </c:pt>
                <c:pt idx="382">
                  <c:v>4.8070000000000002E-2</c:v>
                </c:pt>
                <c:pt idx="383">
                  <c:v>5.0479999999999997E-2</c:v>
                </c:pt>
                <c:pt idx="384">
                  <c:v>4.2439999999999999E-2</c:v>
                </c:pt>
                <c:pt idx="385">
                  <c:v>4.3319999999999997E-2</c:v>
                </c:pt>
                <c:pt idx="386">
                  <c:v>4.4310000000000002E-2</c:v>
                </c:pt>
                <c:pt idx="387">
                  <c:v>3.9699999999999999E-2</c:v>
                </c:pt>
                <c:pt idx="388">
                  <c:v>3.8289999999999998E-2</c:v>
                </c:pt>
                <c:pt idx="389">
                  <c:v>4.0030000000000003E-2</c:v>
                </c:pt>
                <c:pt idx="390">
                  <c:v>3.6269999999999997E-2</c:v>
                </c:pt>
                <c:pt idx="391">
                  <c:v>3.9140000000000001E-2</c:v>
                </c:pt>
                <c:pt idx="392">
                  <c:v>4.036E-2</c:v>
                </c:pt>
                <c:pt idx="393">
                  <c:v>3.567E-2</c:v>
                </c:pt>
                <c:pt idx="394">
                  <c:v>3.6040000000000003E-2</c:v>
                </c:pt>
                <c:pt idx="395">
                  <c:v>3.8780000000000002E-2</c:v>
                </c:pt>
                <c:pt idx="396">
                  <c:v>3.7920000000000002E-2</c:v>
                </c:pt>
                <c:pt idx="397">
                  <c:v>3.5369999999999999E-2</c:v>
                </c:pt>
                <c:pt idx="398">
                  <c:v>3.6850000000000001E-2</c:v>
                </c:pt>
                <c:pt idx="399">
                  <c:v>3.6510000000000001E-2</c:v>
                </c:pt>
                <c:pt idx="400">
                  <c:v>3.4099999999999998E-2</c:v>
                </c:pt>
                <c:pt idx="401">
                  <c:v>4.1520000000000001E-2</c:v>
                </c:pt>
                <c:pt idx="402">
                  <c:v>4.1119999999999997E-2</c:v>
                </c:pt>
                <c:pt idx="403">
                  <c:v>4.4600000000000001E-2</c:v>
                </c:pt>
                <c:pt idx="404">
                  <c:v>5.0650000000000001E-2</c:v>
                </c:pt>
                <c:pt idx="405">
                  <c:v>5.2060000000000002E-2</c:v>
                </c:pt>
                <c:pt idx="406">
                  <c:v>5.1369999999999999E-2</c:v>
                </c:pt>
                <c:pt idx="407">
                  <c:v>5.4579999999999997E-2</c:v>
                </c:pt>
                <c:pt idx="408">
                  <c:v>5.5559999999999998E-2</c:v>
                </c:pt>
                <c:pt idx="409">
                  <c:v>5.5019999999999999E-2</c:v>
                </c:pt>
                <c:pt idx="410">
                  <c:v>5.4309999999999997E-2</c:v>
                </c:pt>
                <c:pt idx="411">
                  <c:v>5.398E-2</c:v>
                </c:pt>
                <c:pt idx="412">
                  <c:v>5.0939999999999999E-2</c:v>
                </c:pt>
                <c:pt idx="413">
                  <c:v>5.4339999999999999E-2</c:v>
                </c:pt>
                <c:pt idx="414">
                  <c:v>5.5239999999999997E-2</c:v>
                </c:pt>
                <c:pt idx="415">
                  <c:v>5.4969999999999998E-2</c:v>
                </c:pt>
                <c:pt idx="416">
                  <c:v>5.713E-2</c:v>
                </c:pt>
                <c:pt idx="417">
                  <c:v>5.7840000000000003E-2</c:v>
                </c:pt>
                <c:pt idx="418">
                  <c:v>6.0600000000000001E-2</c:v>
                </c:pt>
                <c:pt idx="419">
                  <c:v>5.9229999999999998E-2</c:v>
                </c:pt>
                <c:pt idx="420">
                  <c:v>6.2539999999999998E-2</c:v>
                </c:pt>
                <c:pt idx="421">
                  <c:v>6.2429999999999999E-2</c:v>
                </c:pt>
                <c:pt idx="422">
                  <c:v>6.0229999999999999E-2</c:v>
                </c:pt>
                <c:pt idx="423">
                  <c:v>6.0310000000000002E-2</c:v>
                </c:pt>
                <c:pt idx="424">
                  <c:v>5.8029999999999998E-2</c:v>
                </c:pt>
                <c:pt idx="425">
                  <c:v>5.9709999999999999E-2</c:v>
                </c:pt>
                <c:pt idx="426">
                  <c:v>6.1620000000000001E-2</c:v>
                </c:pt>
                <c:pt idx="427">
                  <c:v>6.0060000000000002E-2</c:v>
                </c:pt>
                <c:pt idx="428">
                  <c:v>6.2890000000000001E-2</c:v>
                </c:pt>
                <c:pt idx="429">
                  <c:v>6.2429999999999999E-2</c:v>
                </c:pt>
                <c:pt idx="430">
                  <c:v>6.3119999999999996E-2</c:v>
                </c:pt>
                <c:pt idx="431">
                  <c:v>5.7160000000000002E-2</c:v>
                </c:pt>
                <c:pt idx="432">
                  <c:v>5.9700000000000003E-2</c:v>
                </c:pt>
                <c:pt idx="433">
                  <c:v>5.4519999999999999E-2</c:v>
                </c:pt>
                <c:pt idx="434">
                  <c:v>5.126E-2</c:v>
                </c:pt>
                <c:pt idx="435">
                  <c:v>5.0659999999999997E-2</c:v>
                </c:pt>
                <c:pt idx="436">
                  <c:v>5.2819999999999999E-2</c:v>
                </c:pt>
                <c:pt idx="437">
                  <c:v>5.2940000000000001E-2</c:v>
                </c:pt>
                <c:pt idx="438">
                  <c:v>4.9950000000000001E-2</c:v>
                </c:pt>
                <c:pt idx="439">
                  <c:v>5.1020000000000003E-2</c:v>
                </c:pt>
                <c:pt idx="440">
                  <c:v>5.296E-2</c:v>
                </c:pt>
                <c:pt idx="441">
                  <c:v>5.2200000000000003E-2</c:v>
                </c:pt>
                <c:pt idx="442">
                  <c:v>5.4100000000000002E-2</c:v>
                </c:pt>
                <c:pt idx="443">
                  <c:v>5.7729999999999997E-2</c:v>
                </c:pt>
                <c:pt idx="444">
                  <c:v>5.6250000000000001E-2</c:v>
                </c:pt>
                <c:pt idx="445">
                  <c:v>5.042E-2</c:v>
                </c:pt>
                <c:pt idx="446">
                  <c:v>4.8840000000000001E-2</c:v>
                </c:pt>
                <c:pt idx="447">
                  <c:v>5.4199999999999998E-2</c:v>
                </c:pt>
                <c:pt idx="448">
                  <c:v>4.5760000000000002E-2</c:v>
                </c:pt>
                <c:pt idx="449">
                  <c:v>4.1270000000000001E-2</c:v>
                </c:pt>
                <c:pt idx="450">
                  <c:v>4.2599999999999999E-2</c:v>
                </c:pt>
                <c:pt idx="451">
                  <c:v>4.5670000000000002E-2</c:v>
                </c:pt>
                <c:pt idx="452">
                  <c:v>4.8259999999999997E-2</c:v>
                </c:pt>
                <c:pt idx="453">
                  <c:v>4.7550000000000002E-2</c:v>
                </c:pt>
                <c:pt idx="454">
                  <c:v>5.0470000000000001E-2</c:v>
                </c:pt>
                <c:pt idx="455">
                  <c:v>4.8160000000000001E-2</c:v>
                </c:pt>
                <c:pt idx="456">
                  <c:v>5.1090000000000003E-2</c:v>
                </c:pt>
                <c:pt idx="457">
                  <c:v>5.6329999999999998E-2</c:v>
                </c:pt>
                <c:pt idx="458">
                  <c:v>5.364E-2</c:v>
                </c:pt>
                <c:pt idx="459">
                  <c:v>5.4039999999999998E-2</c:v>
                </c:pt>
                <c:pt idx="460">
                  <c:v>5.6180000000000001E-2</c:v>
                </c:pt>
                <c:pt idx="461">
                  <c:v>5.8389999999999997E-2</c:v>
                </c:pt>
                <c:pt idx="462">
                  <c:v>6.1519999999999998E-2</c:v>
                </c:pt>
                <c:pt idx="463">
                  <c:v>5.8779999999999999E-2</c:v>
                </c:pt>
                <c:pt idx="464">
                  <c:v>5.79E-2</c:v>
                </c:pt>
                <c:pt idx="465">
                  <c:v>6.3490000000000005E-2</c:v>
                </c:pt>
                <c:pt idx="466">
                  <c:v>6.6479999999999997E-2</c:v>
                </c:pt>
                <c:pt idx="467">
                  <c:v>6.4810000000000006E-2</c:v>
                </c:pt>
                <c:pt idx="468">
                  <c:v>6.1170000000000002E-2</c:v>
                </c:pt>
                <c:pt idx="469">
                  <c:v>6.4619999999999997E-2</c:v>
                </c:pt>
                <c:pt idx="470">
                  <c:v>6.8250000000000005E-2</c:v>
                </c:pt>
                <c:pt idx="471">
                  <c:v>6.9169999999999995E-2</c:v>
                </c:pt>
                <c:pt idx="472">
                  <c:v>7.1510000000000004E-2</c:v>
                </c:pt>
                <c:pt idx="473">
                  <c:v>6.8089999999999998E-2</c:v>
                </c:pt>
                <c:pt idx="474">
                  <c:v>5.9549999999999999E-2</c:v>
                </c:pt>
                <c:pt idx="475">
                  <c:v>6.2789999999999999E-2</c:v>
                </c:pt>
                <c:pt idx="476">
                  <c:v>5.7680000000000002E-2</c:v>
                </c:pt>
                <c:pt idx="477">
                  <c:v>5.6480000000000002E-2</c:v>
                </c:pt>
                <c:pt idx="478">
                  <c:v>5.28E-2</c:v>
                </c:pt>
                <c:pt idx="479">
                  <c:v>6.1150000000000003E-2</c:v>
                </c:pt>
                <c:pt idx="480">
                  <c:v>6.5640000000000004E-2</c:v>
                </c:pt>
                <c:pt idx="481">
                  <c:v>5.9720000000000002E-2</c:v>
                </c:pt>
                <c:pt idx="482">
                  <c:v>5.9310000000000002E-2</c:v>
                </c:pt>
                <c:pt idx="483">
                  <c:v>6.6420000000000007E-2</c:v>
                </c:pt>
                <c:pt idx="484">
                  <c:v>7.0499999999999993E-2</c:v>
                </c:pt>
                <c:pt idx="485">
                  <c:v>6.9919999999999996E-2</c:v>
                </c:pt>
                <c:pt idx="486">
                  <c:v>6.7820000000000005E-2</c:v>
                </c:pt>
                <c:pt idx="487">
                  <c:v>6.6290000000000002E-2</c:v>
                </c:pt>
                <c:pt idx="488">
                  <c:v>6.4780000000000004E-2</c:v>
                </c:pt>
                <c:pt idx="489">
                  <c:v>6.216E-2</c:v>
                </c:pt>
                <c:pt idx="490">
                  <c:v>6.2239999999999997E-2</c:v>
                </c:pt>
                <c:pt idx="491">
                  <c:v>5.1799999999999999E-2</c:v>
                </c:pt>
                <c:pt idx="492">
                  <c:v>4.7129999999999998E-2</c:v>
                </c:pt>
                <c:pt idx="493">
                  <c:v>4.4880000000000003E-2</c:v>
                </c:pt>
                <c:pt idx="494">
                  <c:v>5.8090000000000003E-2</c:v>
                </c:pt>
                <c:pt idx="495">
                  <c:v>6.3990000000000005E-2</c:v>
                </c:pt>
                <c:pt idx="496">
                  <c:v>6.3070000000000001E-2</c:v>
                </c:pt>
                <c:pt idx="497">
                  <c:v>6.8110000000000004E-2</c:v>
                </c:pt>
                <c:pt idx="498">
                  <c:v>6.6000000000000003E-2</c:v>
                </c:pt>
                <c:pt idx="499">
                  <c:v>7.0349999999999996E-2</c:v>
                </c:pt>
                <c:pt idx="500">
                  <c:v>6.6769999999999996E-2</c:v>
                </c:pt>
                <c:pt idx="501">
                  <c:v>6.9260000000000002E-2</c:v>
                </c:pt>
                <c:pt idx="502">
                  <c:v>7.5719999999999996E-2</c:v>
                </c:pt>
                <c:pt idx="503">
                  <c:v>7.0519999999999999E-2</c:v>
                </c:pt>
                <c:pt idx="504">
                  <c:v>7.1150000000000005E-2</c:v>
                </c:pt>
                <c:pt idx="505">
                  <c:v>6.5839999999999996E-2</c:v>
                </c:pt>
                <c:pt idx="506">
                  <c:v>6.3189999999999996E-2</c:v>
                </c:pt>
                <c:pt idx="507">
                  <c:v>6.615E-2</c:v>
                </c:pt>
                <c:pt idx="508">
                  <c:v>6.8650000000000003E-2</c:v>
                </c:pt>
                <c:pt idx="509">
                  <c:v>6.055E-2</c:v>
                </c:pt>
                <c:pt idx="510">
                  <c:v>7.6009999999999994E-2</c:v>
                </c:pt>
                <c:pt idx="511">
                  <c:v>7.0699999999999999E-2</c:v>
                </c:pt>
                <c:pt idx="512">
                  <c:v>9.4750000000000001E-2</c:v>
                </c:pt>
                <c:pt idx="513">
                  <c:v>0.11078</c:v>
                </c:pt>
                <c:pt idx="514">
                  <c:v>0.1164</c:v>
                </c:pt>
                <c:pt idx="515">
                  <c:v>0.12003999999999999</c:v>
                </c:pt>
                <c:pt idx="516">
                  <c:v>0.114</c:v>
                </c:pt>
                <c:pt idx="517">
                  <c:v>0.12002</c:v>
                </c:pt>
                <c:pt idx="518">
                  <c:v>0.11183</c:v>
                </c:pt>
                <c:pt idx="519">
                  <c:v>0.11978</c:v>
                </c:pt>
                <c:pt idx="520">
                  <c:v>0.12099</c:v>
                </c:pt>
                <c:pt idx="521">
                  <c:v>0.1239</c:v>
                </c:pt>
                <c:pt idx="522">
                  <c:v>0.14166999999999999</c:v>
                </c:pt>
                <c:pt idx="523">
                  <c:v>0.11294</c:v>
                </c:pt>
                <c:pt idx="524">
                  <c:v>0.10596999999999999</c:v>
                </c:pt>
                <c:pt idx="525">
                  <c:v>0.12443</c:v>
                </c:pt>
                <c:pt idx="526">
                  <c:v>0.11015</c:v>
                </c:pt>
                <c:pt idx="527">
                  <c:v>0.11909</c:v>
                </c:pt>
                <c:pt idx="528">
                  <c:v>0.11985999999999999</c:v>
                </c:pt>
                <c:pt idx="529">
                  <c:v>0.12520000000000001</c:v>
                </c:pt>
                <c:pt idx="530">
                  <c:v>0.11441</c:v>
                </c:pt>
                <c:pt idx="531">
                  <c:v>0.12261</c:v>
                </c:pt>
                <c:pt idx="532">
                  <c:v>0.12064999999999999</c:v>
                </c:pt>
                <c:pt idx="533">
                  <c:v>0.14349999999999999</c:v>
                </c:pt>
                <c:pt idx="534">
                  <c:v>0.1084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1E-45F1-B9C8-3DE0370C561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-35.126805997336653</c:v>
                </c:pt>
                <c:pt idx="1">
                  <c:v>-35.116023903938697</c:v>
                </c:pt>
                <c:pt idx="2">
                  <c:v>-34.954023522022659</c:v>
                </c:pt>
                <c:pt idx="3">
                  <c:v>-35.009445816782495</c:v>
                </c:pt>
                <c:pt idx="4">
                  <c:v>-35.072261298509979</c:v>
                </c:pt>
                <c:pt idx="5">
                  <c:v>-35.178623397047986</c:v>
                </c:pt>
                <c:pt idx="6">
                  <c:v>-34.912743359179068</c:v>
                </c:pt>
                <c:pt idx="7">
                  <c:v>-34.728551125633608</c:v>
                </c:pt>
                <c:pt idx="8">
                  <c:v>-33.758375073756504</c:v>
                </c:pt>
                <c:pt idx="9">
                  <c:v>-33.828947292910136</c:v>
                </c:pt>
                <c:pt idx="10">
                  <c:v>-33.595097189097814</c:v>
                </c:pt>
                <c:pt idx="11">
                  <c:v>-33.197280397414268</c:v>
                </c:pt>
                <c:pt idx="12">
                  <c:v>-33.657591538662324</c:v>
                </c:pt>
                <c:pt idx="13">
                  <c:v>-33.373937019439282</c:v>
                </c:pt>
                <c:pt idx="14">
                  <c:v>-33.66691450022585</c:v>
                </c:pt>
                <c:pt idx="15">
                  <c:v>-33.08288118000079</c:v>
                </c:pt>
                <c:pt idx="16">
                  <c:v>-33.407784823686903</c:v>
                </c:pt>
                <c:pt idx="17">
                  <c:v>-33.501346671828443</c:v>
                </c:pt>
                <c:pt idx="18">
                  <c:v>-33.234395371420597</c:v>
                </c:pt>
                <c:pt idx="19">
                  <c:v>-32.352741052585863</c:v>
                </c:pt>
                <c:pt idx="20">
                  <c:v>-28.927645790920778</c:v>
                </c:pt>
                <c:pt idx="21">
                  <c:v>-29.650364303466439</c:v>
                </c:pt>
                <c:pt idx="22">
                  <c:v>-29.72568685489383</c:v>
                </c:pt>
                <c:pt idx="23">
                  <c:v>-29.650298693379014</c:v>
                </c:pt>
                <c:pt idx="24">
                  <c:v>-29.725707375704594</c:v>
                </c:pt>
                <c:pt idx="25">
                  <c:v>-29.80914703594825</c:v>
                </c:pt>
                <c:pt idx="26">
                  <c:v>-29.799023050526021</c:v>
                </c:pt>
                <c:pt idx="27">
                  <c:v>-29.793508921135423</c:v>
                </c:pt>
                <c:pt idx="28">
                  <c:v>-29.764405178280434</c:v>
                </c:pt>
                <c:pt idx="29">
                  <c:v>-29.731437285102615</c:v>
                </c:pt>
                <c:pt idx="30">
                  <c:v>-29.797935418374504</c:v>
                </c:pt>
                <c:pt idx="31">
                  <c:v>-29.617908078851755</c:v>
                </c:pt>
                <c:pt idx="32">
                  <c:v>-28.527357605920393</c:v>
                </c:pt>
                <c:pt idx="33">
                  <c:v>-28.629787080455046</c:v>
                </c:pt>
                <c:pt idx="34">
                  <c:v>-28.618989417108359</c:v>
                </c:pt>
                <c:pt idx="35">
                  <c:v>-28.361922581438087</c:v>
                </c:pt>
                <c:pt idx="36">
                  <c:v>-28.46517192797581</c:v>
                </c:pt>
                <c:pt idx="37">
                  <c:v>-28.411825246227199</c:v>
                </c:pt>
                <c:pt idx="38">
                  <c:v>-28.549957028332461</c:v>
                </c:pt>
                <c:pt idx="39">
                  <c:v>-28.578877921317886</c:v>
                </c:pt>
                <c:pt idx="40">
                  <c:v>-28.161316424584903</c:v>
                </c:pt>
                <c:pt idx="41">
                  <c:v>-28.418383799932354</c:v>
                </c:pt>
                <c:pt idx="42">
                  <c:v>-28.317544273672198</c:v>
                </c:pt>
                <c:pt idx="43">
                  <c:v>-28.102391498754425</c:v>
                </c:pt>
                <c:pt idx="44">
                  <c:v>-28.257675937560315</c:v>
                </c:pt>
                <c:pt idx="45">
                  <c:v>-28.159283726282119</c:v>
                </c:pt>
                <c:pt idx="46">
                  <c:v>-27.975379137628064</c:v>
                </c:pt>
                <c:pt idx="47">
                  <c:v>-27.826603743086007</c:v>
                </c:pt>
                <c:pt idx="48">
                  <c:v>-27.835937568901677</c:v>
                </c:pt>
                <c:pt idx="49">
                  <c:v>-27.501847738351781</c:v>
                </c:pt>
                <c:pt idx="50">
                  <c:v>-27.353129591400208</c:v>
                </c:pt>
                <c:pt idx="51">
                  <c:v>-27.387854217405209</c:v>
                </c:pt>
                <c:pt idx="52">
                  <c:v>-27.261698769232268</c:v>
                </c:pt>
                <c:pt idx="53">
                  <c:v>-27.580937933915934</c:v>
                </c:pt>
                <c:pt idx="54">
                  <c:v>-27.347927916825231</c:v>
                </c:pt>
                <c:pt idx="55">
                  <c:v>-27.494284780549826</c:v>
                </c:pt>
                <c:pt idx="56">
                  <c:v>-27.174846350956006</c:v>
                </c:pt>
                <c:pt idx="57">
                  <c:v>-26.438759391144092</c:v>
                </c:pt>
                <c:pt idx="58">
                  <c:v>-26.269464827936492</c:v>
                </c:pt>
                <c:pt idx="59">
                  <c:v>-26.107809031189241</c:v>
                </c:pt>
                <c:pt idx="60">
                  <c:v>-26.159066216948702</c:v>
                </c:pt>
                <c:pt idx="61">
                  <c:v>-26.327482532267847</c:v>
                </c:pt>
                <c:pt idx="62">
                  <c:v>-26.145069281280929</c:v>
                </c:pt>
                <c:pt idx="63">
                  <c:v>-25.897468588996805</c:v>
                </c:pt>
                <c:pt idx="64">
                  <c:v>-25.534579728942376</c:v>
                </c:pt>
                <c:pt idx="65">
                  <c:v>-25.460121901478043</c:v>
                </c:pt>
                <c:pt idx="66">
                  <c:v>-22.918069543798214</c:v>
                </c:pt>
                <c:pt idx="67">
                  <c:v>-21.723233081688953</c:v>
                </c:pt>
                <c:pt idx="68">
                  <c:v>-21.524133792147776</c:v>
                </c:pt>
                <c:pt idx="69">
                  <c:v>-21.889751259748341</c:v>
                </c:pt>
                <c:pt idx="70">
                  <c:v>-22.009639331671266</c:v>
                </c:pt>
                <c:pt idx="71">
                  <c:v>-21.827417048023083</c:v>
                </c:pt>
                <c:pt idx="72">
                  <c:v>-21.972391785867448</c:v>
                </c:pt>
                <c:pt idx="73">
                  <c:v>-21.835629239618811</c:v>
                </c:pt>
                <c:pt idx="74">
                  <c:v>-21.645020253333097</c:v>
                </c:pt>
                <c:pt idx="75">
                  <c:v>-21.572439269823576</c:v>
                </c:pt>
                <c:pt idx="76">
                  <c:v>-21.494282969732666</c:v>
                </c:pt>
                <c:pt idx="77">
                  <c:v>-21.487330799799437</c:v>
                </c:pt>
                <c:pt idx="78">
                  <c:v>-21.479895767536277</c:v>
                </c:pt>
                <c:pt idx="79">
                  <c:v>-21.343334728612923</c:v>
                </c:pt>
                <c:pt idx="80">
                  <c:v>-21.155458104752967</c:v>
                </c:pt>
                <c:pt idx="81">
                  <c:v>-21.230692795027007</c:v>
                </c:pt>
                <c:pt idx="82">
                  <c:v>-21.245967612364698</c:v>
                </c:pt>
                <c:pt idx="83">
                  <c:v>-21.433769319852686</c:v>
                </c:pt>
                <c:pt idx="84">
                  <c:v>-21.356470797743299</c:v>
                </c:pt>
                <c:pt idx="85">
                  <c:v>-20.514736471620907</c:v>
                </c:pt>
                <c:pt idx="86">
                  <c:v>-21.013703120703667</c:v>
                </c:pt>
                <c:pt idx="87">
                  <c:v>-20.963301801439027</c:v>
                </c:pt>
                <c:pt idx="88">
                  <c:v>-20.982161797952475</c:v>
                </c:pt>
                <c:pt idx="89">
                  <c:v>-21.0336462128036</c:v>
                </c:pt>
                <c:pt idx="90">
                  <c:v>-21.077671590803597</c:v>
                </c:pt>
                <c:pt idx="91">
                  <c:v>-21.037524200195669</c:v>
                </c:pt>
                <c:pt idx="92">
                  <c:v>-21.071155771933732</c:v>
                </c:pt>
                <c:pt idx="93">
                  <c:v>-20.755441913765591</c:v>
                </c:pt>
                <c:pt idx="94">
                  <c:v>-20.804684436867731</c:v>
                </c:pt>
                <c:pt idx="95">
                  <c:v>-20.745097946821726</c:v>
                </c:pt>
                <c:pt idx="96">
                  <c:v>-20.660154924693686</c:v>
                </c:pt>
                <c:pt idx="97">
                  <c:v>-20.591169260191414</c:v>
                </c:pt>
                <c:pt idx="98">
                  <c:v>-20.409894536416314</c:v>
                </c:pt>
                <c:pt idx="99">
                  <c:v>-19.956104423996216</c:v>
                </c:pt>
                <c:pt idx="100">
                  <c:v>-19.995200965503138</c:v>
                </c:pt>
                <c:pt idx="101">
                  <c:v>-19.944378781153453</c:v>
                </c:pt>
                <c:pt idx="102">
                  <c:v>-19.767986426380194</c:v>
                </c:pt>
                <c:pt idx="103">
                  <c:v>-18.921816527262756</c:v>
                </c:pt>
                <c:pt idx="104">
                  <c:v>-18.550451738742758</c:v>
                </c:pt>
                <c:pt idx="105">
                  <c:v>-18.431953152989227</c:v>
                </c:pt>
                <c:pt idx="106">
                  <c:v>-18.562018734495449</c:v>
                </c:pt>
                <c:pt idx="107">
                  <c:v>-18.582217105333008</c:v>
                </c:pt>
                <c:pt idx="108">
                  <c:v>-18.586469179138398</c:v>
                </c:pt>
                <c:pt idx="109">
                  <c:v>-18.521786520772309</c:v>
                </c:pt>
                <c:pt idx="110">
                  <c:v>-18.312233735607144</c:v>
                </c:pt>
                <c:pt idx="111">
                  <c:v>-17.810713957960083</c:v>
                </c:pt>
                <c:pt idx="112">
                  <c:v>-17.545744335133996</c:v>
                </c:pt>
                <c:pt idx="113">
                  <c:v>-17.717713249589238</c:v>
                </c:pt>
                <c:pt idx="114">
                  <c:v>-17.241650226475414</c:v>
                </c:pt>
                <c:pt idx="115">
                  <c:v>-17.225711546526089</c:v>
                </c:pt>
                <c:pt idx="116">
                  <c:v>-17.209115047196676</c:v>
                </c:pt>
                <c:pt idx="117">
                  <c:v>-17.13556206690328</c:v>
                </c:pt>
                <c:pt idx="118">
                  <c:v>-16.939715476969944</c:v>
                </c:pt>
                <c:pt idx="119">
                  <c:v>-17.20227710973716</c:v>
                </c:pt>
                <c:pt idx="120">
                  <c:v>-17.194720013538163</c:v>
                </c:pt>
                <c:pt idx="121">
                  <c:v>-17.024767722175152</c:v>
                </c:pt>
                <c:pt idx="122">
                  <c:v>-16.885227615156186</c:v>
                </c:pt>
                <c:pt idx="123">
                  <c:v>-16.692775732369721</c:v>
                </c:pt>
                <c:pt idx="124">
                  <c:v>-16.773957893321892</c:v>
                </c:pt>
                <c:pt idx="125">
                  <c:v>-16.577509556403463</c:v>
                </c:pt>
                <c:pt idx="126">
                  <c:v>-16.614659246871931</c:v>
                </c:pt>
                <c:pt idx="127">
                  <c:v>-16.663539652414759</c:v>
                </c:pt>
                <c:pt idx="128">
                  <c:v>-16.976888803131516</c:v>
                </c:pt>
                <c:pt idx="129">
                  <c:v>-16.743764203208372</c:v>
                </c:pt>
                <c:pt idx="130">
                  <c:v>-16.441750357603794</c:v>
                </c:pt>
                <c:pt idx="131">
                  <c:v>-16.754217878776828</c:v>
                </c:pt>
                <c:pt idx="132">
                  <c:v>-16.890957917752637</c:v>
                </c:pt>
                <c:pt idx="133">
                  <c:v>-16.761571288268385</c:v>
                </c:pt>
                <c:pt idx="134">
                  <c:v>-16.936906821039699</c:v>
                </c:pt>
                <c:pt idx="135">
                  <c:v>-16.9377402107718</c:v>
                </c:pt>
                <c:pt idx="136">
                  <c:v>-16.692761772148994</c:v>
                </c:pt>
                <c:pt idx="137">
                  <c:v>-16.85000261882961</c:v>
                </c:pt>
                <c:pt idx="138">
                  <c:v>-17.22474130674987</c:v>
                </c:pt>
                <c:pt idx="139">
                  <c:v>-16.68741310666368</c:v>
                </c:pt>
                <c:pt idx="140">
                  <c:v>-17.026841983421782</c:v>
                </c:pt>
                <c:pt idx="141">
                  <c:v>-17.110990504559162</c:v>
                </c:pt>
                <c:pt idx="142">
                  <c:v>-17.134606500068777</c:v>
                </c:pt>
                <c:pt idx="143">
                  <c:v>-16.947610902977079</c:v>
                </c:pt>
                <c:pt idx="144">
                  <c:v>-17.051609791599301</c:v>
                </c:pt>
                <c:pt idx="145">
                  <c:v>-17.276945021273811</c:v>
                </c:pt>
                <c:pt idx="146">
                  <c:v>-17.417495834483898</c:v>
                </c:pt>
                <c:pt idx="147">
                  <c:v>-17.393231318758719</c:v>
                </c:pt>
                <c:pt idx="148">
                  <c:v>-17.370904731075434</c:v>
                </c:pt>
                <c:pt idx="149">
                  <c:v>-17.461661407876193</c:v>
                </c:pt>
                <c:pt idx="150">
                  <c:v>-17.296049038720636</c:v>
                </c:pt>
                <c:pt idx="151">
                  <c:v>-17.239465625463946</c:v>
                </c:pt>
                <c:pt idx="152">
                  <c:v>-17.171658634083112</c:v>
                </c:pt>
                <c:pt idx="153">
                  <c:v>-17.178865578049216</c:v>
                </c:pt>
                <c:pt idx="154">
                  <c:v>-17.331255431986822</c:v>
                </c:pt>
                <c:pt idx="155">
                  <c:v>-16.934886493236689</c:v>
                </c:pt>
                <c:pt idx="156">
                  <c:v>-17.072591114446535</c:v>
                </c:pt>
                <c:pt idx="157">
                  <c:v>-16.869208268122794</c:v>
                </c:pt>
                <c:pt idx="158">
                  <c:v>-16.77235401365952</c:v>
                </c:pt>
                <c:pt idx="159">
                  <c:v>-17.038021228660284</c:v>
                </c:pt>
                <c:pt idx="160">
                  <c:v>-16.741282887136048</c:v>
                </c:pt>
                <c:pt idx="161">
                  <c:v>-16.798940661057465</c:v>
                </c:pt>
                <c:pt idx="162">
                  <c:v>-16.947558794135308</c:v>
                </c:pt>
                <c:pt idx="163">
                  <c:v>-17.070303121796663</c:v>
                </c:pt>
                <c:pt idx="164">
                  <c:v>-16.910367862960246</c:v>
                </c:pt>
                <c:pt idx="165">
                  <c:v>-16.386008903772918</c:v>
                </c:pt>
                <c:pt idx="166">
                  <c:v>-15.718694710857859</c:v>
                </c:pt>
                <c:pt idx="167">
                  <c:v>-15.67357526073779</c:v>
                </c:pt>
                <c:pt idx="168">
                  <c:v>-15.817884694812937</c:v>
                </c:pt>
                <c:pt idx="169">
                  <c:v>-15.825713095463529</c:v>
                </c:pt>
                <c:pt idx="170">
                  <c:v>-15.688098463392798</c:v>
                </c:pt>
                <c:pt idx="171">
                  <c:v>-15.736978098413658</c:v>
                </c:pt>
                <c:pt idx="172">
                  <c:v>-15.841164111004817</c:v>
                </c:pt>
                <c:pt idx="173">
                  <c:v>-15.717894391524963</c:v>
                </c:pt>
                <c:pt idx="174">
                  <c:v>-15.976961735581408</c:v>
                </c:pt>
                <c:pt idx="175">
                  <c:v>-15.966346387714584</c:v>
                </c:pt>
                <c:pt idx="176">
                  <c:v>-16.102164034185872</c:v>
                </c:pt>
                <c:pt idx="177">
                  <c:v>-16.141224437435344</c:v>
                </c:pt>
                <c:pt idx="178">
                  <c:v>-16.02264369430749</c:v>
                </c:pt>
                <c:pt idx="179">
                  <c:v>-16.086342465918193</c:v>
                </c:pt>
                <c:pt idx="180">
                  <c:v>-15.926752572453548</c:v>
                </c:pt>
                <c:pt idx="181">
                  <c:v>-15.997283127502408</c:v>
                </c:pt>
                <c:pt idx="182">
                  <c:v>-16.098319704533235</c:v>
                </c:pt>
                <c:pt idx="183">
                  <c:v>-16.14427624024588</c:v>
                </c:pt>
                <c:pt idx="184">
                  <c:v>-16.077888856387055</c:v>
                </c:pt>
                <c:pt idx="185">
                  <c:v>-16.261405650218727</c:v>
                </c:pt>
                <c:pt idx="186">
                  <c:v>-16.108889843991005</c:v>
                </c:pt>
                <c:pt idx="187">
                  <c:v>-16.166642755469265</c:v>
                </c:pt>
                <c:pt idx="188">
                  <c:v>-16.227665763776308</c:v>
                </c:pt>
                <c:pt idx="189">
                  <c:v>-16.397295223637215</c:v>
                </c:pt>
                <c:pt idx="190">
                  <c:v>-16.425851906904931</c:v>
                </c:pt>
                <c:pt idx="191">
                  <c:v>-16.475626376464174</c:v>
                </c:pt>
                <c:pt idx="192">
                  <c:v>-16.438918488420796</c:v>
                </c:pt>
                <c:pt idx="193">
                  <c:v>-16.3451667357388</c:v>
                </c:pt>
                <c:pt idx="194">
                  <c:v>-16.30100308306417</c:v>
                </c:pt>
                <c:pt idx="195">
                  <c:v>-16.226451208948024</c:v>
                </c:pt>
                <c:pt idx="196">
                  <c:v>-15.557809376860114</c:v>
                </c:pt>
                <c:pt idx="197">
                  <c:v>-15.661660225018874</c:v>
                </c:pt>
                <c:pt idx="198">
                  <c:v>-15.673514907807355</c:v>
                </c:pt>
                <c:pt idx="199">
                  <c:v>-15.630990820996791</c:v>
                </c:pt>
                <c:pt idx="200">
                  <c:v>-15.587072931284508</c:v>
                </c:pt>
                <c:pt idx="201">
                  <c:v>-15.520871417931568</c:v>
                </c:pt>
                <c:pt idx="202">
                  <c:v>-15.563222860240154</c:v>
                </c:pt>
                <c:pt idx="203">
                  <c:v>-15.626566847892006</c:v>
                </c:pt>
                <c:pt idx="204">
                  <c:v>-15.495395471626486</c:v>
                </c:pt>
                <c:pt idx="205">
                  <c:v>-15.422859229934177</c:v>
                </c:pt>
                <c:pt idx="206">
                  <c:v>-15.364439408228421</c:v>
                </c:pt>
                <c:pt idx="207">
                  <c:v>-15.313413296327594</c:v>
                </c:pt>
                <c:pt idx="208">
                  <c:v>-15.342376755850781</c:v>
                </c:pt>
                <c:pt idx="209">
                  <c:v>-15.387918199309604</c:v>
                </c:pt>
                <c:pt idx="210">
                  <c:v>-15.508404091085346</c:v>
                </c:pt>
                <c:pt idx="211">
                  <c:v>-15.335916217678752</c:v>
                </c:pt>
                <c:pt idx="212">
                  <c:v>-15.378683821515049</c:v>
                </c:pt>
                <c:pt idx="213">
                  <c:v>-15.464304634583952</c:v>
                </c:pt>
                <c:pt idx="214">
                  <c:v>-15.447333096555784</c:v>
                </c:pt>
                <c:pt idx="215">
                  <c:v>-15.515274358224739</c:v>
                </c:pt>
                <c:pt idx="216">
                  <c:v>-15.696077338264498</c:v>
                </c:pt>
                <c:pt idx="217">
                  <c:v>-15.645114199200668</c:v>
                </c:pt>
                <c:pt idx="218">
                  <c:v>-15.798920464200668</c:v>
                </c:pt>
                <c:pt idx="219">
                  <c:v>-15.922879838327976</c:v>
                </c:pt>
                <c:pt idx="220">
                  <c:v>-15.9087311570309</c:v>
                </c:pt>
                <c:pt idx="221">
                  <c:v>-15.551202329688381</c:v>
                </c:pt>
                <c:pt idx="222">
                  <c:v>-15.73439594222064</c:v>
                </c:pt>
                <c:pt idx="223">
                  <c:v>-15.60794122222064</c:v>
                </c:pt>
                <c:pt idx="224">
                  <c:v>-15.491356872965442</c:v>
                </c:pt>
                <c:pt idx="225">
                  <c:v>-15.130963517937621</c:v>
                </c:pt>
                <c:pt idx="226">
                  <c:v>-15.079129891352663</c:v>
                </c:pt>
                <c:pt idx="227">
                  <c:v>-15.052757299466949</c:v>
                </c:pt>
                <c:pt idx="228">
                  <c:v>-15.261325135469418</c:v>
                </c:pt>
                <c:pt idx="229">
                  <c:v>-15.890415858293471</c:v>
                </c:pt>
                <c:pt idx="230">
                  <c:v>-15.908163515485905</c:v>
                </c:pt>
                <c:pt idx="231">
                  <c:v>-15.505603528734758</c:v>
                </c:pt>
                <c:pt idx="232">
                  <c:v>-14.996648371465959</c:v>
                </c:pt>
                <c:pt idx="233">
                  <c:v>-15.20381984179563</c:v>
                </c:pt>
                <c:pt idx="234">
                  <c:v>-15.17966428093915</c:v>
                </c:pt>
                <c:pt idx="235">
                  <c:v>-13.560135501274287</c:v>
                </c:pt>
                <c:pt idx="236">
                  <c:v>-12.276398719668796</c:v>
                </c:pt>
                <c:pt idx="237">
                  <c:v>-12.23392003199322</c:v>
                </c:pt>
                <c:pt idx="238">
                  <c:v>-12.173206735670881</c:v>
                </c:pt>
                <c:pt idx="239">
                  <c:v>-12.220912063549669</c:v>
                </c:pt>
                <c:pt idx="240">
                  <c:v>-12.294045722646812</c:v>
                </c:pt>
                <c:pt idx="241">
                  <c:v>-12.330788446574045</c:v>
                </c:pt>
                <c:pt idx="242">
                  <c:v>-12.606308867588917</c:v>
                </c:pt>
                <c:pt idx="243">
                  <c:v>-12.677376000359798</c:v>
                </c:pt>
                <c:pt idx="244">
                  <c:v>-12.628488663420075</c:v>
                </c:pt>
                <c:pt idx="245">
                  <c:v>-12.515401265065844</c:v>
                </c:pt>
                <c:pt idx="246">
                  <c:v>-12.552027712096507</c:v>
                </c:pt>
                <c:pt idx="247">
                  <c:v>-12.556298004005171</c:v>
                </c:pt>
                <c:pt idx="248">
                  <c:v>-12.668548201403468</c:v>
                </c:pt>
                <c:pt idx="249">
                  <c:v>-13.046662959721115</c:v>
                </c:pt>
                <c:pt idx="250">
                  <c:v>-12.939363358359522</c:v>
                </c:pt>
                <c:pt idx="251">
                  <c:v>-12.921996837887566</c:v>
                </c:pt>
                <c:pt idx="252">
                  <c:v>-12.854692292928148</c:v>
                </c:pt>
                <c:pt idx="253">
                  <c:v>-13.013565629161068</c:v>
                </c:pt>
                <c:pt idx="254">
                  <c:v>-12.819557095413005</c:v>
                </c:pt>
                <c:pt idx="255">
                  <c:v>-12.797951639823356</c:v>
                </c:pt>
                <c:pt idx="256">
                  <c:v>-12.663329725261473</c:v>
                </c:pt>
                <c:pt idx="257">
                  <c:v>-12.616007941125506</c:v>
                </c:pt>
                <c:pt idx="258">
                  <c:v>-12.257768206319891</c:v>
                </c:pt>
                <c:pt idx="259">
                  <c:v>-11.742940222329553</c:v>
                </c:pt>
                <c:pt idx="260">
                  <c:v>-11.186204951603669</c:v>
                </c:pt>
                <c:pt idx="261">
                  <c:v>-8.4918957910063924</c:v>
                </c:pt>
                <c:pt idx="262">
                  <c:v>-8.7009579853739822</c:v>
                </c:pt>
                <c:pt idx="263">
                  <c:v>-8.5767980142048259</c:v>
                </c:pt>
                <c:pt idx="264">
                  <c:v>-8.5186933948333969</c:v>
                </c:pt>
                <c:pt idx="265">
                  <c:v>-8.3902914653252019</c:v>
                </c:pt>
                <c:pt idx="266">
                  <c:v>-8.2326035177635166</c:v>
                </c:pt>
                <c:pt idx="267">
                  <c:v>-7.8815075246308064</c:v>
                </c:pt>
                <c:pt idx="268">
                  <c:v>-7.8315867533821422</c:v>
                </c:pt>
                <c:pt idx="269">
                  <c:v>-3.7809991177431006</c:v>
                </c:pt>
                <c:pt idx="270">
                  <c:v>-3.4120027735437932</c:v>
                </c:pt>
                <c:pt idx="271">
                  <c:v>-3.7795908204348825</c:v>
                </c:pt>
                <c:pt idx="272">
                  <c:v>-3.7649826712638133</c:v>
                </c:pt>
                <c:pt idx="273">
                  <c:v>-4.2532791281887246</c:v>
                </c:pt>
                <c:pt idx="274">
                  <c:v>-4.2560440324575186</c:v>
                </c:pt>
                <c:pt idx="275">
                  <c:v>-4.2250052303017887</c:v>
                </c:pt>
                <c:pt idx="276">
                  <c:v>-4.4906448181490184</c:v>
                </c:pt>
                <c:pt idx="277">
                  <c:v>-4.7229504032115903</c:v>
                </c:pt>
                <c:pt idx="278">
                  <c:v>-4.6328365480521745</c:v>
                </c:pt>
                <c:pt idx="279">
                  <c:v>-4.5307700174543388</c:v>
                </c:pt>
                <c:pt idx="280">
                  <c:v>-4.7119123152219844</c:v>
                </c:pt>
                <c:pt idx="281">
                  <c:v>-4.577739390113126</c:v>
                </c:pt>
                <c:pt idx="282">
                  <c:v>-4.436897927190885</c:v>
                </c:pt>
                <c:pt idx="283">
                  <c:v>-4.6827233610243271</c:v>
                </c:pt>
                <c:pt idx="284">
                  <c:v>-4.5227202255897438</c:v>
                </c:pt>
                <c:pt idx="285">
                  <c:v>-4.5115184383091895</c:v>
                </c:pt>
                <c:pt idx="286">
                  <c:v>-4.4760993104985385</c:v>
                </c:pt>
                <c:pt idx="287">
                  <c:v>-4.2704345705735962</c:v>
                </c:pt>
                <c:pt idx="288">
                  <c:v>-4.4407242229281421</c:v>
                </c:pt>
                <c:pt idx="289">
                  <c:v>-4.5068578467066942</c:v>
                </c:pt>
                <c:pt idx="290">
                  <c:v>-4.8788485147992233</c:v>
                </c:pt>
                <c:pt idx="291">
                  <c:v>-2.1547442233854897</c:v>
                </c:pt>
                <c:pt idx="292">
                  <c:v>-2.7005700074551013</c:v>
                </c:pt>
                <c:pt idx="293">
                  <c:v>-2.6797491033138141</c:v>
                </c:pt>
                <c:pt idx="294">
                  <c:v>-2.5897950154970202</c:v>
                </c:pt>
                <c:pt idx="295">
                  <c:v>-2.6689615877181718</c:v>
                </c:pt>
                <c:pt idx="296">
                  <c:v>-2.5897043986888355</c:v>
                </c:pt>
                <c:pt idx="297">
                  <c:v>-2.3853886876760924</c:v>
                </c:pt>
                <c:pt idx="298">
                  <c:v>-2.499352732607043</c:v>
                </c:pt>
                <c:pt idx="299">
                  <c:v>-2.6555143898385127</c:v>
                </c:pt>
                <c:pt idx="300">
                  <c:v>-2.4826011889871067</c:v>
                </c:pt>
                <c:pt idx="301">
                  <c:v>-2.4207855644664718</c:v>
                </c:pt>
                <c:pt idx="302">
                  <c:v>-2.4370715350550971</c:v>
                </c:pt>
                <c:pt idx="303">
                  <c:v>-2.3355043411772201</c:v>
                </c:pt>
                <c:pt idx="304">
                  <c:v>-2.3100975121033231</c:v>
                </c:pt>
                <c:pt idx="305">
                  <c:v>-2.3769903005878144</c:v>
                </c:pt>
                <c:pt idx="306">
                  <c:v>-2.3595017817306716</c:v>
                </c:pt>
                <c:pt idx="307">
                  <c:v>-2.3637900980226259</c:v>
                </c:pt>
                <c:pt idx="308">
                  <c:v>-2.6328882011567041</c:v>
                </c:pt>
                <c:pt idx="309">
                  <c:v>-2.4481679066386488</c:v>
                </c:pt>
                <c:pt idx="310">
                  <c:v>-2.2085712044435266</c:v>
                </c:pt>
                <c:pt idx="311">
                  <c:v>-2.0492202217064399</c:v>
                </c:pt>
                <c:pt idx="312">
                  <c:v>-1.4741083175805401</c:v>
                </c:pt>
                <c:pt idx="313">
                  <c:v>-1.2726933052796165</c:v>
                </c:pt>
                <c:pt idx="314">
                  <c:v>-0.91310967101016371</c:v>
                </c:pt>
                <c:pt idx="315">
                  <c:v>-0.83135590436567097</c:v>
                </c:pt>
                <c:pt idx="316">
                  <c:v>-0.37050954493408189</c:v>
                </c:pt>
                <c:pt idx="317">
                  <c:v>-0.63756353861884252</c:v>
                </c:pt>
                <c:pt idx="318">
                  <c:v>-0.4223855758705351</c:v>
                </c:pt>
                <c:pt idx="319">
                  <c:v>-0.69246294303702161</c:v>
                </c:pt>
                <c:pt idx="320">
                  <c:v>-0.47722112395697208</c:v>
                </c:pt>
                <c:pt idx="321">
                  <c:v>-0.53246439665655887</c:v>
                </c:pt>
                <c:pt idx="322">
                  <c:v>-0.45361736467067587</c:v>
                </c:pt>
                <c:pt idx="323">
                  <c:v>0.12728942705299065</c:v>
                </c:pt>
                <c:pt idx="324">
                  <c:v>-0.20040149908521718</c:v>
                </c:pt>
                <c:pt idx="325">
                  <c:v>-0.31393704640935505</c:v>
                </c:pt>
                <c:pt idx="326">
                  <c:v>-0.53730380361272723</c:v>
                </c:pt>
                <c:pt idx="327">
                  <c:v>-0.6738977451340874</c:v>
                </c:pt>
                <c:pt idx="328">
                  <c:v>-0.45947877342631877</c:v>
                </c:pt>
                <c:pt idx="329">
                  <c:v>-0.74042650093002227</c:v>
                </c:pt>
                <c:pt idx="330">
                  <c:v>-0.85401801546877698</c:v>
                </c:pt>
                <c:pt idx="331">
                  <c:v>-0.8595207882675191</c:v>
                </c:pt>
                <c:pt idx="332">
                  <c:v>-0.74440030514861444</c:v>
                </c:pt>
                <c:pt idx="333">
                  <c:v>-0.89198316242149289</c:v>
                </c:pt>
                <c:pt idx="334">
                  <c:v>-0.95015399989177818</c:v>
                </c:pt>
                <c:pt idx="335">
                  <c:v>-0.56283290491417148</c:v>
                </c:pt>
                <c:pt idx="336">
                  <c:v>-0.46090644530158076</c:v>
                </c:pt>
                <c:pt idx="337">
                  <c:v>-0.1945365490671119</c:v>
                </c:pt>
                <c:pt idx="338">
                  <c:v>-0.26849751784846071</c:v>
                </c:pt>
                <c:pt idx="339">
                  <c:v>-0.25033225035755574</c:v>
                </c:pt>
                <c:pt idx="340">
                  <c:v>-0.40804084581780664</c:v>
                </c:pt>
                <c:pt idx="341">
                  <c:v>-0.45656619206499777</c:v>
                </c:pt>
                <c:pt idx="342">
                  <c:v>-0.23695987531622881</c:v>
                </c:pt>
                <c:pt idx="343">
                  <c:v>-3.0024219888130799E-2</c:v>
                </c:pt>
                <c:pt idx="344">
                  <c:v>6.8140557527026024E-2</c:v>
                </c:pt>
                <c:pt idx="345">
                  <c:v>0.49865812029772616</c:v>
                </c:pt>
                <c:pt idx="346">
                  <c:v>0.15144300743456865</c:v>
                </c:pt>
                <c:pt idx="347">
                  <c:v>6.2126913760960925E-2</c:v>
                </c:pt>
                <c:pt idx="348">
                  <c:v>0.28492963744601618</c:v>
                </c:pt>
                <c:pt idx="349">
                  <c:v>0.28586539860536347</c:v>
                </c:pt>
                <c:pt idx="350">
                  <c:v>0.29974622573407605</c:v>
                </c:pt>
                <c:pt idx="351">
                  <c:v>7.7823942097548393E-2</c:v>
                </c:pt>
                <c:pt idx="352">
                  <c:v>-0.26605708999095784</c:v>
                </c:pt>
                <c:pt idx="353">
                  <c:v>-0.36251241068800871</c:v>
                </c:pt>
                <c:pt idx="354">
                  <c:v>-0.37385992932274414</c:v>
                </c:pt>
                <c:pt idx="355">
                  <c:v>-0.43481178167622958</c:v>
                </c:pt>
                <c:pt idx="356">
                  <c:v>-0.41672777304440367</c:v>
                </c:pt>
                <c:pt idx="357">
                  <c:v>-0.63938386683398918</c:v>
                </c:pt>
                <c:pt idx="358">
                  <c:v>-0.80990939924778194</c:v>
                </c:pt>
                <c:pt idx="359">
                  <c:v>-0.96646542832747351</c:v>
                </c:pt>
                <c:pt idx="360">
                  <c:v>-0.94562479997083049</c:v>
                </c:pt>
                <c:pt idx="361">
                  <c:v>-1.0233767498890867</c:v>
                </c:pt>
                <c:pt idx="362">
                  <c:v>-1.0460269760648584</c:v>
                </c:pt>
                <c:pt idx="363">
                  <c:v>-1.0065250329145699</c:v>
                </c:pt>
                <c:pt idx="364">
                  <c:v>-0.94794825673343797</c:v>
                </c:pt>
                <c:pt idx="365">
                  <c:v>-0.81946012780693467</c:v>
                </c:pt>
                <c:pt idx="366">
                  <c:v>-0.54471051088871369</c:v>
                </c:pt>
                <c:pt idx="367">
                  <c:v>-0.57967399720055213</c:v>
                </c:pt>
                <c:pt idx="368">
                  <c:v>-0.52819352411215437</c:v>
                </c:pt>
                <c:pt idx="369">
                  <c:v>-0.44681327442326541</c:v>
                </c:pt>
                <c:pt idx="370">
                  <c:v>-0.38076679284488696</c:v>
                </c:pt>
                <c:pt idx="371">
                  <c:v>-0.59358218870223789</c:v>
                </c:pt>
                <c:pt idx="372">
                  <c:v>-0.26412856136847812</c:v>
                </c:pt>
                <c:pt idx="373">
                  <c:v>-0.30905490549363585</c:v>
                </c:pt>
                <c:pt idx="374">
                  <c:v>-0.36047765218323174</c:v>
                </c:pt>
                <c:pt idx="375">
                  <c:v>-0.35005420529434289</c:v>
                </c:pt>
                <c:pt idx="376">
                  <c:v>-0.47377538187616119</c:v>
                </c:pt>
                <c:pt idx="377">
                  <c:v>-0.50838973936264753</c:v>
                </c:pt>
                <c:pt idx="378">
                  <c:v>-0.82295286294709802</c:v>
                </c:pt>
                <c:pt idx="379">
                  <c:v>-0.8307186849974757</c:v>
                </c:pt>
                <c:pt idx="380">
                  <c:v>-0.89398202186655673</c:v>
                </c:pt>
                <c:pt idx="381">
                  <c:v>-0.86083957548760937</c:v>
                </c:pt>
                <c:pt idx="382">
                  <c:v>-0.82549589360701237</c:v>
                </c:pt>
                <c:pt idx="383">
                  <c:v>-0.75284765634614292</c:v>
                </c:pt>
                <c:pt idx="384">
                  <c:v>-0.8811721470778151</c:v>
                </c:pt>
                <c:pt idx="385">
                  <c:v>-0.90997628886904669</c:v>
                </c:pt>
                <c:pt idx="386">
                  <c:v>-0.92406487598669362</c:v>
                </c:pt>
                <c:pt idx="387">
                  <c:v>-0.98394564572391141</c:v>
                </c:pt>
                <c:pt idx="388">
                  <c:v>-1.0169966805691724</c:v>
                </c:pt>
                <c:pt idx="389">
                  <c:v>-1.0124105043314364</c:v>
                </c:pt>
                <c:pt idx="390">
                  <c:v>-1.099418420772226</c:v>
                </c:pt>
                <c:pt idx="391">
                  <c:v>-1.0433926950397416</c:v>
                </c:pt>
                <c:pt idx="392">
                  <c:v>-1.0142902865832202</c:v>
                </c:pt>
                <c:pt idx="393">
                  <c:v>-1.1196891404719507</c:v>
                </c:pt>
                <c:pt idx="394">
                  <c:v>-1.1130203498234865</c:v>
                </c:pt>
                <c:pt idx="395">
                  <c:v>-1.0896514882663018</c:v>
                </c:pt>
                <c:pt idx="396">
                  <c:v>-1.0713391984846425</c:v>
                </c:pt>
                <c:pt idx="397">
                  <c:v>-1.0454450620132341</c:v>
                </c:pt>
                <c:pt idx="398">
                  <c:v>-1.033731346693076</c:v>
                </c:pt>
                <c:pt idx="399">
                  <c:v>-1.0404895965978378</c:v>
                </c:pt>
                <c:pt idx="400">
                  <c:v>-1.1022087320123455</c:v>
                </c:pt>
                <c:pt idx="401">
                  <c:v>-1.0399235422509141</c:v>
                </c:pt>
                <c:pt idx="402">
                  <c:v>-1.0884360575494216</c:v>
                </c:pt>
                <c:pt idx="403">
                  <c:v>-0.99010889295458271</c:v>
                </c:pt>
                <c:pt idx="404">
                  <c:v>-0.94855419257820228</c:v>
                </c:pt>
                <c:pt idx="405">
                  <c:v>-0.92437555848624842</c:v>
                </c:pt>
                <c:pt idx="406">
                  <c:v>-0.95212444367143356</c:v>
                </c:pt>
                <c:pt idx="407">
                  <c:v>-0.87224477188405813</c:v>
                </c:pt>
                <c:pt idx="408">
                  <c:v>-0.88593113763405806</c:v>
                </c:pt>
                <c:pt idx="409">
                  <c:v>-0.8850536572944353</c:v>
                </c:pt>
                <c:pt idx="410">
                  <c:v>-0.8940251959280987</c:v>
                </c:pt>
                <c:pt idx="411">
                  <c:v>-0.88457190146713205</c:v>
                </c:pt>
                <c:pt idx="412">
                  <c:v>-0.89395170611898389</c:v>
                </c:pt>
                <c:pt idx="413">
                  <c:v>-0.88608231735251697</c:v>
                </c:pt>
                <c:pt idx="414">
                  <c:v>-0.85056056451746542</c:v>
                </c:pt>
                <c:pt idx="415">
                  <c:v>-0.87718242523746537</c:v>
                </c:pt>
                <c:pt idx="416">
                  <c:v>-0.85335082295477993</c:v>
                </c:pt>
                <c:pt idx="417">
                  <c:v>-0.80072314651853838</c:v>
                </c:pt>
                <c:pt idx="418">
                  <c:v>-0.75788250307299387</c:v>
                </c:pt>
                <c:pt idx="419">
                  <c:v>-0.77970377635810029</c:v>
                </c:pt>
                <c:pt idx="420">
                  <c:v>-0.72948201573825278</c:v>
                </c:pt>
                <c:pt idx="421">
                  <c:v>-0.73824454437239906</c:v>
                </c:pt>
                <c:pt idx="422">
                  <c:v>-0.74914328735658886</c:v>
                </c:pt>
                <c:pt idx="423">
                  <c:v>-0.73699544236193637</c:v>
                </c:pt>
                <c:pt idx="424">
                  <c:v>-0.75151229565378186</c:v>
                </c:pt>
                <c:pt idx="425">
                  <c:v>-0.74940390704578197</c:v>
                </c:pt>
                <c:pt idx="426">
                  <c:v>-0.73272607816977109</c:v>
                </c:pt>
                <c:pt idx="427">
                  <c:v>-0.7517640340527143</c:v>
                </c:pt>
                <c:pt idx="428">
                  <c:v>-0.79470002489074731</c:v>
                </c:pt>
                <c:pt idx="429">
                  <c:v>-0.77091089140555369</c:v>
                </c:pt>
                <c:pt idx="430">
                  <c:v>-0.74022583784589446</c:v>
                </c:pt>
                <c:pt idx="431">
                  <c:v>-0.81060619769025233</c:v>
                </c:pt>
                <c:pt idx="432">
                  <c:v>-0.79619546461281143</c:v>
                </c:pt>
                <c:pt idx="433">
                  <c:v>-0.85907489699376394</c:v>
                </c:pt>
                <c:pt idx="434">
                  <c:v>-0.8822668419349402</c:v>
                </c:pt>
                <c:pt idx="435">
                  <c:v>-0.87925324017244033</c:v>
                </c:pt>
                <c:pt idx="436">
                  <c:v>-0.85206337929624976</c:v>
                </c:pt>
                <c:pt idx="437">
                  <c:v>-0.85389169515831875</c:v>
                </c:pt>
                <c:pt idx="438">
                  <c:v>-0.87606226840877255</c:v>
                </c:pt>
                <c:pt idx="439">
                  <c:v>-0.86965877513291046</c:v>
                </c:pt>
                <c:pt idx="440">
                  <c:v>-0.86091884954957709</c:v>
                </c:pt>
                <c:pt idx="441">
                  <c:v>-0.85321341992551702</c:v>
                </c:pt>
                <c:pt idx="442">
                  <c:v>-0.84265446251059861</c:v>
                </c:pt>
                <c:pt idx="443">
                  <c:v>-0.81639718371715608</c:v>
                </c:pt>
                <c:pt idx="444">
                  <c:v>-0.85486439607836007</c:v>
                </c:pt>
                <c:pt idx="445">
                  <c:v>-0.9078166862906889</c:v>
                </c:pt>
                <c:pt idx="446">
                  <c:v>-0.91070752900735563</c:v>
                </c:pt>
                <c:pt idx="447">
                  <c:v>-0.85732709199818147</c:v>
                </c:pt>
                <c:pt idx="448">
                  <c:v>-0.93295188775328364</c:v>
                </c:pt>
                <c:pt idx="449">
                  <c:v>-0.8641113179529899</c:v>
                </c:pt>
                <c:pt idx="450">
                  <c:v>-0.88605990897472908</c:v>
                </c:pt>
                <c:pt idx="451">
                  <c:v>-0.87585476348063918</c:v>
                </c:pt>
                <c:pt idx="452">
                  <c:v>-0.85952635713410452</c:v>
                </c:pt>
                <c:pt idx="453">
                  <c:v>-0.85290520926655489</c:v>
                </c:pt>
                <c:pt idx="454">
                  <c:v>-0.82888134039649841</c:v>
                </c:pt>
                <c:pt idx="455">
                  <c:v>-0.84134427297233072</c:v>
                </c:pt>
                <c:pt idx="456">
                  <c:v>-0.82250430560498389</c:v>
                </c:pt>
                <c:pt idx="457">
                  <c:v>-0.79088882389925474</c:v>
                </c:pt>
                <c:pt idx="458">
                  <c:v>-0.81902490141425455</c:v>
                </c:pt>
                <c:pt idx="459">
                  <c:v>-0.83147600835449376</c:v>
                </c:pt>
                <c:pt idx="460">
                  <c:v>-0.80138804610449366</c:v>
                </c:pt>
                <c:pt idx="461">
                  <c:v>-0.76838470507546996</c:v>
                </c:pt>
                <c:pt idx="462">
                  <c:v>-0.75490830023775746</c:v>
                </c:pt>
                <c:pt idx="463">
                  <c:v>-0.71278947432339523</c:v>
                </c:pt>
                <c:pt idx="464">
                  <c:v>-0.69693568490073721</c:v>
                </c:pt>
                <c:pt idx="465">
                  <c:v>-0.66428011746891913</c:v>
                </c:pt>
                <c:pt idx="466">
                  <c:v>-0.64684801702629635</c:v>
                </c:pt>
                <c:pt idx="467">
                  <c:v>-0.64366636679064659</c:v>
                </c:pt>
                <c:pt idx="468">
                  <c:v>-0.6534861911721852</c:v>
                </c:pt>
                <c:pt idx="469">
                  <c:v>-0.62577307466778631</c:v>
                </c:pt>
                <c:pt idx="470">
                  <c:v>-0.61608433564103038</c:v>
                </c:pt>
                <c:pt idx="471">
                  <c:v>-0.60165472649502039</c:v>
                </c:pt>
                <c:pt idx="472">
                  <c:v>-0.59238079775008112</c:v>
                </c:pt>
                <c:pt idx="473">
                  <c:v>-0.5288375756012077</c:v>
                </c:pt>
                <c:pt idx="474">
                  <c:v>-0.58857757218238416</c:v>
                </c:pt>
                <c:pt idx="475">
                  <c:v>-0.55884479925134978</c:v>
                </c:pt>
                <c:pt idx="476">
                  <c:v>-0.60228758393186077</c:v>
                </c:pt>
                <c:pt idx="477">
                  <c:v>-0.62732759916657155</c:v>
                </c:pt>
                <c:pt idx="478">
                  <c:v>-0.64105264625619418</c:v>
                </c:pt>
                <c:pt idx="479">
                  <c:v>-0.61014520355458124</c:v>
                </c:pt>
                <c:pt idx="480">
                  <c:v>-0.55939200600619432</c:v>
                </c:pt>
                <c:pt idx="481">
                  <c:v>-0.60169289213578803</c:v>
                </c:pt>
                <c:pt idx="482">
                  <c:v>-0.59898358210234326</c:v>
                </c:pt>
                <c:pt idx="483">
                  <c:v>-0.56460756805049139</c:v>
                </c:pt>
                <c:pt idx="484">
                  <c:v>-0.5504172176371056</c:v>
                </c:pt>
                <c:pt idx="485">
                  <c:v>-0.54821501694685704</c:v>
                </c:pt>
                <c:pt idx="486">
                  <c:v>-0.55807522517533381</c:v>
                </c:pt>
                <c:pt idx="487">
                  <c:v>-0.54302775708755968</c:v>
                </c:pt>
                <c:pt idx="488">
                  <c:v>-0.54934745679099117</c:v>
                </c:pt>
                <c:pt idx="489">
                  <c:v>-0.56804435823779964</c:v>
                </c:pt>
                <c:pt idx="490">
                  <c:v>-0.57027736752238467</c:v>
                </c:pt>
                <c:pt idx="491">
                  <c:v>-0.73132170444678524</c:v>
                </c:pt>
                <c:pt idx="492">
                  <c:v>-0.48974292880807568</c:v>
                </c:pt>
                <c:pt idx="493">
                  <c:v>-0.53054693527140895</c:v>
                </c:pt>
                <c:pt idx="494">
                  <c:v>-0.37375579802303455</c:v>
                </c:pt>
                <c:pt idx="495">
                  <c:v>-0.33263949639803464</c:v>
                </c:pt>
                <c:pt idx="496">
                  <c:v>-0.3533948629226249</c:v>
                </c:pt>
                <c:pt idx="497">
                  <c:v>-0.30475432132940461</c:v>
                </c:pt>
                <c:pt idx="498">
                  <c:v>-0.31298747371035701</c:v>
                </c:pt>
                <c:pt idx="499">
                  <c:v>-0.29260096856667073</c:v>
                </c:pt>
                <c:pt idx="500">
                  <c:v>-9.9913043504345975E-2</c:v>
                </c:pt>
                <c:pt idx="501">
                  <c:v>-5.904427470291472E-2</c:v>
                </c:pt>
                <c:pt idx="502">
                  <c:v>-1.4972658016300603E-2</c:v>
                </c:pt>
                <c:pt idx="503">
                  <c:v>-6.3997001792836863E-2</c:v>
                </c:pt>
                <c:pt idx="504">
                  <c:v>-6.9248849230401338E-2</c:v>
                </c:pt>
                <c:pt idx="505">
                  <c:v>-7.2741013354489029E-2</c:v>
                </c:pt>
                <c:pt idx="506">
                  <c:v>-0.112411037064556</c:v>
                </c:pt>
                <c:pt idx="507">
                  <c:v>-7.8985465296870366E-2</c:v>
                </c:pt>
                <c:pt idx="508">
                  <c:v>-0.10059228948551667</c:v>
                </c:pt>
                <c:pt idx="509">
                  <c:v>-0.17547687617871735</c:v>
                </c:pt>
                <c:pt idx="510">
                  <c:v>-6.759517926973943E-2</c:v>
                </c:pt>
                <c:pt idx="511">
                  <c:v>-0.12088978980726474</c:v>
                </c:pt>
                <c:pt idx="512">
                  <c:v>2.2613980625177065E-2</c:v>
                </c:pt>
                <c:pt idx="513">
                  <c:v>0.1084479735345871</c:v>
                </c:pt>
                <c:pt idx="514">
                  <c:v>0.23049652031714893</c:v>
                </c:pt>
                <c:pt idx="515">
                  <c:v>0.26690354602588673</c:v>
                </c:pt>
                <c:pt idx="516">
                  <c:v>0.23937344106634917</c:v>
                </c:pt>
                <c:pt idx="517">
                  <c:v>0.29607541119315028</c:v>
                </c:pt>
                <c:pt idx="518">
                  <c:v>0.22852879103750828</c:v>
                </c:pt>
                <c:pt idx="519">
                  <c:v>0.22515527197013982</c:v>
                </c:pt>
                <c:pt idx="520">
                  <c:v>0.21269138415473055</c:v>
                </c:pt>
                <c:pt idx="521">
                  <c:v>0.23585501794783398</c:v>
                </c:pt>
                <c:pt idx="522">
                  <c:v>0.32953456958352861</c:v>
                </c:pt>
                <c:pt idx="523">
                  <c:v>0.12574365203871801</c:v>
                </c:pt>
                <c:pt idx="524">
                  <c:v>9.2639922967097652E-2</c:v>
                </c:pt>
                <c:pt idx="525">
                  <c:v>0.16431195696709763</c:v>
                </c:pt>
                <c:pt idx="526">
                  <c:v>0.11505494496799731</c:v>
                </c:pt>
                <c:pt idx="527">
                  <c:v>0.18810970338626659</c:v>
                </c:pt>
                <c:pt idx="528">
                  <c:v>0.2088491368587666</c:v>
                </c:pt>
                <c:pt idx="529">
                  <c:v>0.22130937715334228</c:v>
                </c:pt>
                <c:pt idx="530">
                  <c:v>0.19678864124858036</c:v>
                </c:pt>
                <c:pt idx="531">
                  <c:v>0.29457000221837121</c:v>
                </c:pt>
                <c:pt idx="532">
                  <c:v>0.37638067833554617</c:v>
                </c:pt>
                <c:pt idx="533">
                  <c:v>0.53745660953627106</c:v>
                </c:pt>
                <c:pt idx="534">
                  <c:v>-4.67635332674671E-2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1E-45F1-B9C8-3DE0370C5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6500944"/>
        <c:axId val="526503024"/>
      </c:lineChart>
      <c:dateAx>
        <c:axId val="5265009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503024"/>
        <c:crosses val="autoZero"/>
        <c:auto val="1"/>
        <c:lblOffset val="100"/>
        <c:baseTimeUnit val="days"/>
      </c:dateAx>
      <c:valAx>
        <c:axId val="52650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50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2103ACA-5426-4FB9-993E-A44702270112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F6A33A-CD31-4F28-8380-DCF901C2FC1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0.32</v>
      </c>
      <c r="D2" s="4">
        <f>MIN(D3:D1912)</f>
        <v>3.1620000000000002E-2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6.8940000000000001E-2</v>
      </c>
      <c r="C5">
        <v>6.905E-2</v>
      </c>
      <c r="D5">
        <v>6.7089999999999997E-2</v>
      </c>
      <c r="E5">
        <v>6.7100000000000007E-2</v>
      </c>
      <c r="F5">
        <v>1089324.8999999999</v>
      </c>
      <c r="G5">
        <v>6.7100000000000007E-2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-0.98979591836733671</v>
      </c>
      <c r="Q5">
        <f t="shared" ref="Q5" si="1">F5*P5</f>
        <v>-1078209.339795907</v>
      </c>
      <c r="R5">
        <f t="shared" ref="R5" si="2">R6+Q5</f>
        <v>-3512680599.7336655</v>
      </c>
      <c r="S5">
        <f t="shared" ref="S5" si="3">R5/100000</f>
        <v>-35126.805997336654</v>
      </c>
      <c r="T5">
        <f t="shared" ref="T5" si="4">S5/1000</f>
        <v>-35.126805997336653</v>
      </c>
    </row>
    <row r="6" spans="1:20" x14ac:dyDescent="0.25">
      <c r="A6" s="5">
        <v>44587</v>
      </c>
      <c r="B6">
        <v>6.9199999999999998E-2</v>
      </c>
      <c r="C6">
        <v>7.4859999999999996E-2</v>
      </c>
      <c r="D6">
        <v>6.7000000000000004E-2</v>
      </c>
      <c r="E6">
        <v>6.9040000000000004E-2</v>
      </c>
      <c r="F6">
        <v>33685793.700000003</v>
      </c>
      <c r="G6">
        <v>6.9040000000000004E-2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-0.48091603053435056</v>
      </c>
      <c r="Q6">
        <f t="shared" ref="Q6" si="6">F6*P6</f>
        <v>-16200038.191603035</v>
      </c>
      <c r="R6">
        <f t="shared" ref="R6" si="7">R7+Q6</f>
        <v>-3511602390.3938694</v>
      </c>
      <c r="S6">
        <f t="shared" ref="S6" si="8">R6/100000</f>
        <v>-35116.023903938694</v>
      </c>
      <c r="T6">
        <f t="shared" ref="T6" si="9">S6/1000</f>
        <v>-35.116023903938697</v>
      </c>
    </row>
    <row r="7" spans="1:20" x14ac:dyDescent="0.25">
      <c r="A7" s="5">
        <v>44586</v>
      </c>
      <c r="B7">
        <v>6.8379999999999996E-2</v>
      </c>
      <c r="C7">
        <v>7.0739999999999997E-2</v>
      </c>
      <c r="D7">
        <v>6.6159999999999997E-2</v>
      </c>
      <c r="E7">
        <v>6.9199999999999998E-2</v>
      </c>
      <c r="F7">
        <v>16922274</v>
      </c>
      <c r="G7">
        <v>6.9199999999999998E-2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0.32751091703056795</v>
      </c>
      <c r="Q7">
        <f t="shared" ref="Q7" si="11">F7*P7</f>
        <v>5542229.4759825375</v>
      </c>
      <c r="R7">
        <f t="shared" ref="R7" si="12">R8+Q7</f>
        <v>-3495402352.2022662</v>
      </c>
      <c r="S7">
        <f t="shared" ref="S7" si="13">R7/100000</f>
        <v>-34954.02352202266</v>
      </c>
      <c r="T7">
        <f t="shared" ref="T7" si="14">S7/1000</f>
        <v>-34.954023522022659</v>
      </c>
    </row>
    <row r="8" spans="1:20" x14ac:dyDescent="0.25">
      <c r="A8" s="5">
        <v>44585</v>
      </c>
      <c r="B8">
        <v>7.1870000000000003E-2</v>
      </c>
      <c r="C8">
        <v>7.3599999999999999E-2</v>
      </c>
      <c r="D8">
        <v>6.105E-2</v>
      </c>
      <c r="E8">
        <v>6.8180000000000004E-2</v>
      </c>
      <c r="F8">
        <v>46101420.799999997</v>
      </c>
      <c r="G8">
        <v>6.8180000000000004E-2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0.13625498007968209</v>
      </c>
      <c r="Q8">
        <f t="shared" ref="Q8" si="16">F8*P8</f>
        <v>6281548.1727490416</v>
      </c>
      <c r="R8">
        <f t="shared" ref="R8" si="17">R9+Q8</f>
        <v>-3500944581.6782489</v>
      </c>
      <c r="S8">
        <f t="shared" ref="S8" si="18">R8/100000</f>
        <v>-35009.445816782492</v>
      </c>
      <c r="T8">
        <f t="shared" ref="T8" si="19">S8/1000</f>
        <v>-35.009445816782495</v>
      </c>
    </row>
    <row r="9" spans="1:20" x14ac:dyDescent="0.25">
      <c r="A9" s="5">
        <v>44584</v>
      </c>
      <c r="B9">
        <v>6.6600000000000006E-2</v>
      </c>
      <c r="C9">
        <v>7.5230000000000005E-2</v>
      </c>
      <c r="D9">
        <v>6.5100000000000005E-2</v>
      </c>
      <c r="E9">
        <v>7.1809999999999999E-2</v>
      </c>
      <c r="F9">
        <v>32749181.100000001</v>
      </c>
      <c r="G9">
        <v>7.1809999999999999E-2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0.32477788746297998</v>
      </c>
      <c r="Q9">
        <f t="shared" ref="Q9" si="21">F9*P9</f>
        <v>10636209.853800552</v>
      </c>
      <c r="R9">
        <f t="shared" ref="R9" si="22">R10+Q9</f>
        <v>-3507226129.8509979</v>
      </c>
      <c r="S9">
        <f t="shared" ref="S9" si="23">R9/100000</f>
        <v>-35072.261298509977</v>
      </c>
      <c r="T9">
        <f t="shared" ref="T9" si="24">S9/1000</f>
        <v>-35.072261298509979</v>
      </c>
    </row>
    <row r="10" spans="1:20" x14ac:dyDescent="0.25">
      <c r="A10" s="5">
        <v>44583</v>
      </c>
      <c r="B10">
        <v>8.0049999999999996E-2</v>
      </c>
      <c r="C10">
        <v>8.2000000000000003E-2</v>
      </c>
      <c r="D10">
        <v>6.3079999999999997E-2</v>
      </c>
      <c r="E10">
        <v>6.658E-2</v>
      </c>
      <c r="F10">
        <v>42201764.399999999</v>
      </c>
      <c r="G10">
        <v>6.658E-2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-0.63002114164904843</v>
      </c>
      <c r="Q10">
        <f t="shared" ref="Q10" si="26">F10*P10</f>
        <v>-26588003.786892168</v>
      </c>
      <c r="R10">
        <f t="shared" ref="R10" si="27">R11+Q10</f>
        <v>-3517862339.7047987</v>
      </c>
      <c r="S10">
        <f t="shared" ref="S10" si="28">R10/100000</f>
        <v>-35178.623397047988</v>
      </c>
      <c r="T10">
        <f t="shared" ref="T10" si="29">S10/1000</f>
        <v>-35.178623397047986</v>
      </c>
    </row>
    <row r="11" spans="1:20" x14ac:dyDescent="0.25">
      <c r="A11" s="5">
        <v>44582</v>
      </c>
      <c r="B11">
        <v>8.5269999999999999E-2</v>
      </c>
      <c r="C11">
        <v>8.8120000000000004E-2</v>
      </c>
      <c r="D11">
        <v>7.6679999999999998E-2</v>
      </c>
      <c r="E11">
        <v>8.0060000000000006E-2</v>
      </c>
      <c r="F11">
        <v>45024768.200000003</v>
      </c>
      <c r="G11">
        <v>8.0060000000000006E-2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-0.40909090909090801</v>
      </c>
      <c r="Q11">
        <f t="shared" ref="Q11" si="31">F11*P11</f>
        <v>-18419223.354545407</v>
      </c>
      <c r="R11">
        <f t="shared" ref="R11" si="32">R12+Q11</f>
        <v>-3491274335.9179068</v>
      </c>
      <c r="S11">
        <f t="shared" ref="S11" si="33">R11/100000</f>
        <v>-34912.743359179069</v>
      </c>
      <c r="T11">
        <f t="shared" ref="T11" si="34">S11/1000</f>
        <v>-34.912743359179068</v>
      </c>
    </row>
    <row r="12" spans="1:20" x14ac:dyDescent="0.25">
      <c r="A12" s="5">
        <v>44581</v>
      </c>
      <c r="B12">
        <v>8.6400000000000005E-2</v>
      </c>
      <c r="C12">
        <v>9.7009999999999999E-2</v>
      </c>
      <c r="D12">
        <v>8.5129999999999997E-2</v>
      </c>
      <c r="E12">
        <v>8.5300000000000001E-2</v>
      </c>
      <c r="F12">
        <v>99876009.5</v>
      </c>
      <c r="G12">
        <v>8.5300000000000001E-2</v>
      </c>
      <c r="L12" t="s">
        <v>8</v>
      </c>
      <c r="M12" t="s">
        <v>8</v>
      </c>
      <c r="N12" t="s">
        <v>7</v>
      </c>
      <c r="P12">
        <f t="shared" ref="P12" si="35">IF(C12=D12,0,((E12-D12)-(C12-E12))/(C12-D12))</f>
        <v>-0.97138047138047079</v>
      </c>
      <c r="Q12">
        <f t="shared" ref="Q12" si="36">F12*P12</f>
        <v>-97017605.187710375</v>
      </c>
      <c r="R12">
        <f t="shared" ref="R12" si="37">R13+Q12</f>
        <v>-3472855112.5633612</v>
      </c>
      <c r="S12">
        <f t="shared" ref="S12" si="38">R12/100000</f>
        <v>-34728.55112563361</v>
      </c>
      <c r="T12">
        <f t="shared" ref="T12" si="39">S12/1000</f>
        <v>-34.728551125633608</v>
      </c>
    </row>
    <row r="13" spans="1:20" x14ac:dyDescent="0.25">
      <c r="A13" s="5">
        <v>44580</v>
      </c>
      <c r="B13">
        <v>8.6249999999999993E-2</v>
      </c>
      <c r="C13">
        <v>8.9130000000000001E-2</v>
      </c>
      <c r="D13">
        <v>8.2100000000000006E-2</v>
      </c>
      <c r="E13">
        <v>8.6430000000000007E-2</v>
      </c>
      <c r="F13">
        <v>30436975.5</v>
      </c>
      <c r="G13">
        <v>8.6430000000000007E-2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0.23186344238975928</v>
      </c>
      <c r="Q13">
        <f t="shared" ref="Q13" si="41">F13*P13</f>
        <v>7057221.9153627651</v>
      </c>
      <c r="R13">
        <f t="shared" ref="R13" si="42">R14+Q13</f>
        <v>-3375837507.3756509</v>
      </c>
      <c r="S13">
        <f t="shared" ref="S13" si="43">R13/100000</f>
        <v>-33758.375073756506</v>
      </c>
      <c r="T13">
        <f t="shared" ref="T13" si="44">S13/1000</f>
        <v>-33.758375073756504</v>
      </c>
    </row>
    <row r="14" spans="1:20" x14ac:dyDescent="0.25">
      <c r="A14" s="5">
        <v>44579</v>
      </c>
      <c r="B14">
        <v>9.2179999999999998E-2</v>
      </c>
      <c r="C14">
        <v>9.4439999999999996E-2</v>
      </c>
      <c r="D14">
        <v>8.3570000000000005E-2</v>
      </c>
      <c r="E14">
        <v>8.6300000000000002E-2</v>
      </c>
      <c r="F14">
        <v>46986148.399999999</v>
      </c>
      <c r="G14">
        <v>8.6300000000000002E-2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-0.49770009199632043</v>
      </c>
      <c r="Q14">
        <f t="shared" ref="Q14" si="46">F14*P14</f>
        <v>-23385010.381232765</v>
      </c>
      <c r="R14">
        <f t="shared" ref="R14" si="47">R15+Q14</f>
        <v>-3382894729.2910137</v>
      </c>
      <c r="S14">
        <f t="shared" ref="S14" si="48">R14/100000</f>
        <v>-33828.947292910139</v>
      </c>
      <c r="T14">
        <f t="shared" ref="T14" si="49">S14/1000</f>
        <v>-33.828947292910136</v>
      </c>
    </row>
    <row r="15" spans="1:20" x14ac:dyDescent="0.25">
      <c r="A15" s="5">
        <v>44578</v>
      </c>
      <c r="B15">
        <v>0.10329000000000001</v>
      </c>
      <c r="C15">
        <v>0.106</v>
      </c>
      <c r="D15">
        <v>9.0200000000000002E-2</v>
      </c>
      <c r="E15">
        <v>9.2280000000000001E-2</v>
      </c>
      <c r="F15">
        <v>53999186.5</v>
      </c>
      <c r="G15">
        <v>9.2280000000000001E-2</v>
      </c>
      <c r="L15" t="s">
        <v>7</v>
      </c>
      <c r="M15" t="s">
        <v>7</v>
      </c>
      <c r="N15" t="s">
        <v>8</v>
      </c>
      <c r="P15">
        <f t="shared" ref="P15" si="50">IF(C15=D15,0,((E15-D15)-(C15-E15))/(C15-D15))</f>
        <v>-0.73670886075949382</v>
      </c>
      <c r="Q15">
        <f t="shared" ref="Q15" si="51">F15*P15</f>
        <v>-39781679.168354437</v>
      </c>
      <c r="R15">
        <f t="shared" ref="R15" si="52">R16+Q15</f>
        <v>-3359509718.909781</v>
      </c>
      <c r="S15">
        <f t="shared" ref="S15" si="53">R15/100000</f>
        <v>-33595.097189097811</v>
      </c>
      <c r="T15">
        <f t="shared" ref="T15" si="54">S15/1000</f>
        <v>-33.595097189097814</v>
      </c>
    </row>
    <row r="16" spans="1:20" x14ac:dyDescent="0.25">
      <c r="A16" s="5">
        <v>44577</v>
      </c>
      <c r="B16">
        <v>9.1520000000000004E-2</v>
      </c>
      <c r="C16">
        <v>0.10983999999999999</v>
      </c>
      <c r="D16">
        <v>9.0529999999999999E-2</v>
      </c>
      <c r="E16">
        <v>0.10331</v>
      </c>
      <c r="F16">
        <v>142217730.19999999</v>
      </c>
      <c r="G16">
        <v>0.10331</v>
      </c>
      <c r="L16" t="s">
        <v>8</v>
      </c>
      <c r="M16" t="s">
        <v>8</v>
      </c>
      <c r="N16" t="s">
        <v>8</v>
      </c>
      <c r="P16">
        <f t="shared" ref="P16" si="55">IF(C16=D16,0,((E16-D16)-(C16-E16))/(C16-D16))</f>
        <v>0.3236664940445369</v>
      </c>
      <c r="Q16">
        <f t="shared" ref="Q16" si="56">F16*P16</f>
        <v>46031114.124805853</v>
      </c>
      <c r="R16">
        <f t="shared" ref="R16" si="57">R17+Q16</f>
        <v>-3319728039.7414265</v>
      </c>
      <c r="S16">
        <f t="shared" ref="S16" si="58">R16/100000</f>
        <v>-33197.280397414266</v>
      </c>
      <c r="T16">
        <f t="shared" ref="T16" si="59">S16/1000</f>
        <v>-33.197280397414268</v>
      </c>
    </row>
    <row r="17" spans="1:20" x14ac:dyDescent="0.25">
      <c r="A17" s="5">
        <v>44576</v>
      </c>
      <c r="B17">
        <v>9.6869999999999998E-2</v>
      </c>
      <c r="C17">
        <v>9.7449999999999995E-2</v>
      </c>
      <c r="D17">
        <v>9.0679999999999997E-2</v>
      </c>
      <c r="E17">
        <v>9.153E-2</v>
      </c>
      <c r="F17">
        <v>37876550.200000003</v>
      </c>
      <c r="G17">
        <v>9.153E-2</v>
      </c>
      <c r="L17" t="s">
        <v>8</v>
      </c>
      <c r="M17" t="s">
        <v>7</v>
      </c>
      <c r="N17" t="s">
        <v>8</v>
      </c>
      <c r="P17">
        <f t="shared" ref="P17" si="60">IF(C17=D17,0,((E17-D17)-(C17-E17))/(C17-D17))</f>
        <v>-0.7488921713441643</v>
      </c>
      <c r="Q17">
        <f t="shared" ref="Q17" si="61">F17*P17</f>
        <v>-28365451.922304243</v>
      </c>
      <c r="R17">
        <f t="shared" ref="R17" si="62">R18+Q17</f>
        <v>-3365759153.8662324</v>
      </c>
      <c r="S17">
        <f t="shared" ref="S17" si="63">R17/100000</f>
        <v>-33657.591538662324</v>
      </c>
      <c r="T17">
        <f t="shared" ref="T17" si="64">S17/1000</f>
        <v>-33.657591538662324</v>
      </c>
    </row>
    <row r="18" spans="1:20" x14ac:dyDescent="0.25">
      <c r="A18" s="5">
        <v>44575</v>
      </c>
      <c r="B18">
        <v>9.2170000000000002E-2</v>
      </c>
      <c r="C18">
        <v>9.8449999999999996E-2</v>
      </c>
      <c r="D18">
        <v>9.0109999999999996E-2</v>
      </c>
      <c r="E18">
        <v>9.7000000000000003E-2</v>
      </c>
      <c r="F18">
        <v>44916032.899999999</v>
      </c>
      <c r="G18">
        <v>9.7000000000000003E-2</v>
      </c>
      <c r="L18" t="s">
        <v>7</v>
      </c>
      <c r="M18" t="s">
        <v>7</v>
      </c>
      <c r="N18" t="s">
        <v>8</v>
      </c>
      <c r="P18">
        <f t="shared" ref="P18" si="65">IF(C18=D18,0,((E18-D18)-(C18-E18))/(C18-D18))</f>
        <v>0.65227817745803529</v>
      </c>
      <c r="Q18">
        <f t="shared" ref="Q18" si="66">F18*P18</f>
        <v>29297748.07865715</v>
      </c>
      <c r="R18">
        <f t="shared" ref="R18" si="67">R19+Q18</f>
        <v>-3337393701.9439282</v>
      </c>
      <c r="S18">
        <f t="shared" ref="S18" si="68">R18/100000</f>
        <v>-33373.937019439283</v>
      </c>
      <c r="T18">
        <f t="shared" ref="T18" si="69">S18/1000</f>
        <v>-33.373937019439282</v>
      </c>
    </row>
    <row r="19" spans="1:20" x14ac:dyDescent="0.25">
      <c r="A19" s="5">
        <v>44574</v>
      </c>
      <c r="B19">
        <v>0.10009999999999999</v>
      </c>
      <c r="C19">
        <v>0.10333000000000001</v>
      </c>
      <c r="D19">
        <v>9.1999999999999998E-2</v>
      </c>
      <c r="E19">
        <v>9.2170000000000002E-2</v>
      </c>
      <c r="F19">
        <v>60210168.5</v>
      </c>
      <c r="G19">
        <v>9.2170000000000002E-2</v>
      </c>
      <c r="L19" t="s">
        <v>7</v>
      </c>
      <c r="M19" t="s">
        <v>7</v>
      </c>
      <c r="N19" t="s">
        <v>8</v>
      </c>
      <c r="P19">
        <f t="shared" ref="P19" si="70">IF(C19=D19,0,((E19-D19)-(C19-E19))/(C19-D19))</f>
        <v>-0.96999117387466838</v>
      </c>
      <c r="Q19">
        <f t="shared" ref="Q19" si="71">F19*P19</f>
        <v>-58403332.02250658</v>
      </c>
      <c r="R19">
        <f t="shared" ref="R19" si="72">R20+Q19</f>
        <v>-3366691450.0225854</v>
      </c>
      <c r="S19">
        <f t="shared" ref="S19" si="73">R19/100000</f>
        <v>-33666.914500225852</v>
      </c>
      <c r="T19">
        <f t="shared" ref="T19" si="74">S19/1000</f>
        <v>-33.66691450022585</v>
      </c>
    </row>
    <row r="20" spans="1:20" x14ac:dyDescent="0.25">
      <c r="A20" s="5">
        <v>44573</v>
      </c>
      <c r="B20">
        <v>8.405E-2</v>
      </c>
      <c r="C20">
        <v>0.11345</v>
      </c>
      <c r="D20">
        <v>8.3629999999999996E-2</v>
      </c>
      <c r="E20">
        <v>0.10009999999999999</v>
      </c>
      <c r="F20">
        <v>310532905.60000002</v>
      </c>
      <c r="G20">
        <v>0.10009999999999999</v>
      </c>
      <c r="L20" t="s">
        <v>8</v>
      </c>
      <c r="M20" t="s">
        <v>8</v>
      </c>
      <c r="N20" t="s">
        <v>8</v>
      </c>
      <c r="P20">
        <f t="shared" ref="P20" si="75">IF(C20=D20,0,((E20-D20)-(C20-E20))/(C20-D20))</f>
        <v>0.10462776659959751</v>
      </c>
      <c r="Q20">
        <f t="shared" ref="Q20" si="76">F20*P20</f>
        <v>32490364.368611649</v>
      </c>
      <c r="R20">
        <f t="shared" ref="R20" si="77">R21+Q20</f>
        <v>-3308288118.0000787</v>
      </c>
      <c r="S20">
        <f t="shared" ref="S20" si="78">R20/100000</f>
        <v>-33082.88118000079</v>
      </c>
      <c r="T20">
        <f t="shared" ref="T20" si="79">S20/1000</f>
        <v>-33.08288118000079</v>
      </c>
    </row>
    <row r="21" spans="1:20" x14ac:dyDescent="0.25">
      <c r="A21" s="5">
        <v>44572</v>
      </c>
      <c r="B21">
        <v>8.1930000000000003E-2</v>
      </c>
      <c r="C21">
        <v>8.652E-2</v>
      </c>
      <c r="D21">
        <v>8.0019999999999994E-2</v>
      </c>
      <c r="E21">
        <v>8.3839999999999998E-2</v>
      </c>
      <c r="F21">
        <v>53346667.799999997</v>
      </c>
      <c r="G21">
        <v>8.3839999999999998E-2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0.17538461538461556</v>
      </c>
      <c r="Q21">
        <f t="shared" ref="Q21" si="81">F21*P21</f>
        <v>9356184.8141538557</v>
      </c>
      <c r="R21">
        <f t="shared" ref="R21" si="82">R22+Q21</f>
        <v>-3340778482.3686905</v>
      </c>
      <c r="S21">
        <f t="shared" ref="S21" si="83">R21/100000</f>
        <v>-33407.784823686903</v>
      </c>
      <c r="T21">
        <f t="shared" ref="T21" si="84">S21/1000</f>
        <v>-33.407784823686903</v>
      </c>
    </row>
    <row r="22" spans="1:20" x14ac:dyDescent="0.25">
      <c r="A22" s="5">
        <v>44571</v>
      </c>
      <c r="B22">
        <v>8.8090000000000002E-2</v>
      </c>
      <c r="C22">
        <v>9.1740000000000002E-2</v>
      </c>
      <c r="D22">
        <v>7.8229999999999994E-2</v>
      </c>
      <c r="E22">
        <v>8.1930000000000003E-2</v>
      </c>
      <c r="F22">
        <v>59026384.100000001</v>
      </c>
      <c r="G22">
        <v>8.1930000000000003E-2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-0.45225758697261192</v>
      </c>
      <c r="Q22">
        <f t="shared" ref="Q22" si="86">F22*P22</f>
        <v>-26695130.040784549</v>
      </c>
      <c r="R22">
        <f t="shared" ref="R22" si="87">R23+Q22</f>
        <v>-3350134667.1828442</v>
      </c>
      <c r="S22">
        <f t="shared" ref="S22" si="88">R22/100000</f>
        <v>-33501.34667182844</v>
      </c>
      <c r="T22">
        <f t="shared" ref="T22" si="89">S22/1000</f>
        <v>-33.501346671828443</v>
      </c>
    </row>
    <row r="23" spans="1:20" x14ac:dyDescent="0.25">
      <c r="A23" s="5">
        <v>44570</v>
      </c>
      <c r="B23">
        <v>9.0329999999999994E-2</v>
      </c>
      <c r="C23">
        <v>9.461E-2</v>
      </c>
      <c r="D23">
        <v>8.7470000000000006E-2</v>
      </c>
      <c r="E23">
        <v>8.8080000000000006E-2</v>
      </c>
      <c r="F23">
        <v>106334659.40000001</v>
      </c>
      <c r="G23">
        <v>8.8080000000000006E-2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-0.82913165266106448</v>
      </c>
      <c r="Q23">
        <f t="shared" ref="Q23" si="91">F23*P23</f>
        <v>-88165431.883473396</v>
      </c>
      <c r="R23">
        <f t="shared" ref="R23" si="92">R24+Q23</f>
        <v>-3323439537.1420598</v>
      </c>
      <c r="S23">
        <f t="shared" ref="S23" si="93">R23/100000</f>
        <v>-33234.3953714206</v>
      </c>
      <c r="T23">
        <f t="shared" ref="T23" si="94">S23/1000</f>
        <v>-33.234395371420597</v>
      </c>
    </row>
    <row r="24" spans="1:20" x14ac:dyDescent="0.25">
      <c r="A24" s="5">
        <v>44569</v>
      </c>
      <c r="B24">
        <v>0.11427</v>
      </c>
      <c r="C24">
        <v>0.12342</v>
      </c>
      <c r="D24">
        <v>8.9709999999999998E-2</v>
      </c>
      <c r="E24">
        <v>9.0329999999999994E-2</v>
      </c>
      <c r="F24">
        <v>355589655.89999998</v>
      </c>
      <c r="G24">
        <v>9.0329999999999994E-2</v>
      </c>
      <c r="L24" t="s">
        <v>8</v>
      </c>
      <c r="M24" t="s">
        <v>7</v>
      </c>
      <c r="N24" t="s">
        <v>7</v>
      </c>
      <c r="P24">
        <f t="shared" ref="P24" si="95">IF(C24=D24,0,((E24-D24)-(C24-E24))/(C24-D24))</f>
        <v>-0.96321566300800976</v>
      </c>
      <c r="Q24">
        <f t="shared" ref="Q24" si="96">F24*P24</f>
        <v>-342509526.16650856</v>
      </c>
      <c r="R24">
        <f t="shared" ref="R24" si="97">R25+Q24</f>
        <v>-3235274105.2585864</v>
      </c>
      <c r="S24">
        <f t="shared" ref="S24" si="98">R24/100000</f>
        <v>-32352.741052585865</v>
      </c>
      <c r="T24">
        <f t="shared" ref="T24" si="99">S24/1000</f>
        <v>-32.352741052585863</v>
      </c>
    </row>
    <row r="25" spans="1:20" x14ac:dyDescent="0.25">
      <c r="A25" s="5">
        <v>44568</v>
      </c>
      <c r="B25">
        <v>8.516E-2</v>
      </c>
      <c r="C25">
        <v>0.14404</v>
      </c>
      <c r="D25">
        <v>7.911E-2</v>
      </c>
      <c r="E25">
        <v>0.11405999999999999</v>
      </c>
      <c r="F25">
        <v>944187384.70000005</v>
      </c>
      <c r="G25">
        <v>0.11405999999999999</v>
      </c>
      <c r="L25" t="s">
        <v>7</v>
      </c>
      <c r="M25" t="s">
        <v>8</v>
      </c>
      <c r="N25" t="s">
        <v>8</v>
      </c>
      <c r="P25">
        <f t="shared" ref="P25" si="100">IF(C25=D25,0,((E25-D25)-(C25-E25))/(C25-D25))</f>
        <v>7.6543970429693339E-2</v>
      </c>
      <c r="Q25">
        <f t="shared" ref="Q25" si="101">F25*P25</f>
        <v>72271851.254566297</v>
      </c>
      <c r="R25">
        <f t="shared" ref="R25" si="102">R26+Q25</f>
        <v>-2892764579.0920777</v>
      </c>
      <c r="S25">
        <f t="shared" ref="S25" si="103">R25/100000</f>
        <v>-28927.645790920778</v>
      </c>
      <c r="T25">
        <f t="shared" ref="T25" si="104">S25/1000</f>
        <v>-28.927645790920778</v>
      </c>
    </row>
    <row r="26" spans="1:20" x14ac:dyDescent="0.25">
      <c r="A26" s="5">
        <v>44567</v>
      </c>
      <c r="B26">
        <v>8.6190000000000003E-2</v>
      </c>
      <c r="C26">
        <v>8.7080000000000005E-2</v>
      </c>
      <c r="D26">
        <v>7.9850000000000004E-2</v>
      </c>
      <c r="E26">
        <v>8.5110000000000005E-2</v>
      </c>
      <c r="F26">
        <v>16552645.800000001</v>
      </c>
      <c r="G26">
        <v>8.5110000000000005E-2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0.45504840940525604</v>
      </c>
      <c r="Q26">
        <f t="shared" ref="Q26" si="106">F26*P26</f>
        <v>7532255.1427385919</v>
      </c>
      <c r="R26">
        <f t="shared" ref="R26" si="107">R27+Q26</f>
        <v>-2965036430.3466439</v>
      </c>
      <c r="S26">
        <f t="shared" ref="S26" si="108">R26/100000</f>
        <v>-29650.364303466438</v>
      </c>
      <c r="T26">
        <f t="shared" ref="T26" si="109">S26/1000</f>
        <v>-29.650364303466439</v>
      </c>
    </row>
    <row r="27" spans="1:20" x14ac:dyDescent="0.25">
      <c r="A27" s="5">
        <v>44566</v>
      </c>
      <c r="B27">
        <v>9.4329999999999997E-2</v>
      </c>
      <c r="C27">
        <v>9.7199999999999995E-2</v>
      </c>
      <c r="D27">
        <v>8.1000000000000003E-2</v>
      </c>
      <c r="E27">
        <v>8.6069999999999994E-2</v>
      </c>
      <c r="F27">
        <v>20153270.899999999</v>
      </c>
      <c r="G27">
        <v>8.6069999999999994E-2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-0.37407407407407484</v>
      </c>
      <c r="Q27">
        <f t="shared" ref="Q27" si="111">F27*P27</f>
        <v>-7538816.1514814962</v>
      </c>
      <c r="R27">
        <f t="shared" ref="R27" si="112">R28+Q27</f>
        <v>-2972568685.4893827</v>
      </c>
      <c r="S27">
        <f t="shared" ref="S27" si="113">R27/100000</f>
        <v>-29725.686854893829</v>
      </c>
      <c r="T27">
        <f t="shared" ref="T27" si="114">S27/1000</f>
        <v>-29.72568685489383</v>
      </c>
    </row>
    <row r="28" spans="1:20" x14ac:dyDescent="0.25">
      <c r="A28" s="5">
        <v>44565</v>
      </c>
      <c r="B28">
        <v>9.1139999999999999E-2</v>
      </c>
      <c r="C28">
        <v>9.8199999999999996E-2</v>
      </c>
      <c r="D28">
        <v>8.788E-2</v>
      </c>
      <c r="E28">
        <v>9.4479999999999995E-2</v>
      </c>
      <c r="F28">
        <v>27021444.5</v>
      </c>
      <c r="G28">
        <v>9.4479999999999995E-2</v>
      </c>
      <c r="L28" t="s">
        <v>8</v>
      </c>
      <c r="M28" t="s">
        <v>8</v>
      </c>
      <c r="N28" t="s">
        <v>7</v>
      </c>
      <c r="P28">
        <f t="shared" ref="P28" si="115">IF(C28=D28,0,((E28-D28)-(C28-E28))/(C28-D28))</f>
        <v>0.27906976744185996</v>
      </c>
      <c r="Q28">
        <f t="shared" ref="Q28" si="116">F28*P28</f>
        <v>7540868.2325581256</v>
      </c>
      <c r="R28">
        <f t="shared" ref="R28" si="117">R29+Q28</f>
        <v>-2965029869.3379011</v>
      </c>
      <c r="S28">
        <f t="shared" ref="S28" si="118">R28/100000</f>
        <v>-29650.298693379013</v>
      </c>
      <c r="T28">
        <f t="shared" ref="T28" si="119">S28/1000</f>
        <v>-29.650298693379014</v>
      </c>
    </row>
    <row r="29" spans="1:20" x14ac:dyDescent="0.25">
      <c r="A29" s="5">
        <v>44564</v>
      </c>
      <c r="B29">
        <v>8.7859999999999994E-2</v>
      </c>
      <c r="C29">
        <v>9.4E-2</v>
      </c>
      <c r="D29">
        <v>8.6120000000000002E-2</v>
      </c>
      <c r="E29">
        <v>9.1139999999999999E-2</v>
      </c>
      <c r="F29">
        <v>30440024.199999999</v>
      </c>
      <c r="G29">
        <v>9.1139999999999999E-2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0.27411167512690304</v>
      </c>
      <c r="Q29">
        <f t="shared" ref="Q29" si="121">F29*P29</f>
        <v>8343966.0243654661</v>
      </c>
      <c r="R29">
        <f t="shared" ref="R29" si="122">R30+Q29</f>
        <v>-2972570737.5704594</v>
      </c>
      <c r="S29">
        <f t="shared" ref="S29" si="123">R29/100000</f>
        <v>-29725.707375704595</v>
      </c>
      <c r="T29">
        <f t="shared" ref="T29" si="124">S29/1000</f>
        <v>-29.725707375704594</v>
      </c>
    </row>
    <row r="30" spans="1:20" x14ac:dyDescent="0.25">
      <c r="A30" s="5">
        <v>44563</v>
      </c>
      <c r="B30">
        <v>8.6980000000000002E-2</v>
      </c>
      <c r="C30">
        <v>9.1300000000000006E-2</v>
      </c>
      <c r="D30">
        <v>8.5000000000000006E-2</v>
      </c>
      <c r="E30">
        <v>8.7989999999999999E-2</v>
      </c>
      <c r="F30">
        <v>19931596.300000001</v>
      </c>
      <c r="G30">
        <v>8.7989999999999999E-2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-5.0793650793653132E-2</v>
      </c>
      <c r="Q30">
        <f t="shared" ref="Q30" si="126">F30*P30</f>
        <v>-1012398.5422222689</v>
      </c>
      <c r="R30">
        <f t="shared" ref="R30" si="127">R31+Q30</f>
        <v>-2980914703.5948248</v>
      </c>
      <c r="S30">
        <f t="shared" ref="S30" si="128">R30/100000</f>
        <v>-29809.147035948248</v>
      </c>
      <c r="T30">
        <f t="shared" ref="T30" si="129">S30/1000</f>
        <v>-29.80914703594825</v>
      </c>
    </row>
    <row r="31" spans="1:20" x14ac:dyDescent="0.25">
      <c r="A31" s="5">
        <v>44562</v>
      </c>
      <c r="B31">
        <v>8.4320000000000006E-2</v>
      </c>
      <c r="C31">
        <v>8.9849999999999999E-2</v>
      </c>
      <c r="D31">
        <v>8.4320000000000006E-2</v>
      </c>
      <c r="E31">
        <v>8.695E-2</v>
      </c>
      <c r="F31">
        <v>11293753.9</v>
      </c>
      <c r="G31">
        <v>8.695E-2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-4.8824593128391804E-2</v>
      </c>
      <c r="Q31">
        <f t="shared" ref="Q31" si="131">F31*P31</f>
        <v>-551412.93905968813</v>
      </c>
      <c r="R31">
        <f t="shared" ref="R31" si="132">R32+Q31</f>
        <v>-2979902305.0526023</v>
      </c>
      <c r="S31">
        <f t="shared" ref="S31" si="133">R31/100000</f>
        <v>-29799.023050526022</v>
      </c>
      <c r="T31">
        <f t="shared" ref="T31" si="134">S31/1000</f>
        <v>-29.799023050526021</v>
      </c>
    </row>
    <row r="32" spans="1:20" x14ac:dyDescent="0.25">
      <c r="A32" s="5">
        <v>44561</v>
      </c>
      <c r="B32">
        <v>8.4519999999999998E-2</v>
      </c>
      <c r="C32">
        <v>8.7520000000000001E-2</v>
      </c>
      <c r="D32">
        <v>8.2210000000000005E-2</v>
      </c>
      <c r="E32">
        <v>8.4229999999999999E-2</v>
      </c>
      <c r="F32">
        <v>12168572.800000001</v>
      </c>
      <c r="G32">
        <v>8.4229999999999999E-2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-0.23917137476459668</v>
      </c>
      <c r="Q32">
        <f t="shared" ref="Q32" si="136">F32*P32</f>
        <v>-2910374.2854990778</v>
      </c>
      <c r="R32">
        <f t="shared" ref="R32" si="137">R33+Q32</f>
        <v>-2979350892.1135426</v>
      </c>
      <c r="S32">
        <f t="shared" ref="S32" si="138">R32/100000</f>
        <v>-29793.508921135424</v>
      </c>
      <c r="T32">
        <f t="shared" ref="T32" si="139">S32/1000</f>
        <v>-29.793508921135423</v>
      </c>
    </row>
    <row r="33" spans="1:20" x14ac:dyDescent="0.25">
      <c r="A33" s="5">
        <v>44560</v>
      </c>
      <c r="B33">
        <v>8.4909999999999999E-2</v>
      </c>
      <c r="C33">
        <v>8.7830000000000005E-2</v>
      </c>
      <c r="D33">
        <v>8.2600000000000007E-2</v>
      </c>
      <c r="E33">
        <v>8.4709999999999994E-2</v>
      </c>
      <c r="F33">
        <v>17071493.199999999</v>
      </c>
      <c r="G33">
        <v>8.4709999999999994E-2</v>
      </c>
      <c r="L33" t="s">
        <v>8</v>
      </c>
      <c r="M33" t="s">
        <v>7</v>
      </c>
      <c r="N33" t="s">
        <v>7</v>
      </c>
      <c r="P33">
        <f t="shared" ref="P33" si="140">IF(C33=D33,0,((E33-D33)-(C33-E33))/(C33-D33))</f>
        <v>-0.19311663479923996</v>
      </c>
      <c r="Q33">
        <f t="shared" ref="Q33" si="141">F33*P33</f>
        <v>-3296789.3177821082</v>
      </c>
      <c r="R33">
        <f t="shared" ref="R33" si="142">R34+Q33</f>
        <v>-2976440517.8280435</v>
      </c>
      <c r="S33">
        <f t="shared" ref="S33" si="143">R33/100000</f>
        <v>-29764.405178280434</v>
      </c>
      <c r="T33">
        <f t="shared" ref="T33" si="144">S33/1000</f>
        <v>-29.764405178280434</v>
      </c>
    </row>
    <row r="34" spans="1:20" x14ac:dyDescent="0.25">
      <c r="A34" s="5">
        <v>44559</v>
      </c>
      <c r="B34">
        <v>8.5559999999999997E-2</v>
      </c>
      <c r="C34">
        <v>8.6319999999999994E-2</v>
      </c>
      <c r="D34">
        <v>8.1979999999999997E-2</v>
      </c>
      <c r="E34">
        <v>8.4959999999999994E-2</v>
      </c>
      <c r="F34">
        <v>17814932</v>
      </c>
      <c r="G34">
        <v>8.4959999999999994E-2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0.37327188940092115</v>
      </c>
      <c r="Q34">
        <f t="shared" ref="Q34" si="146">F34*P34</f>
        <v>6649813.3271889314</v>
      </c>
      <c r="R34">
        <f t="shared" ref="R34" si="147">R35+Q34</f>
        <v>-2973143728.5102615</v>
      </c>
      <c r="S34">
        <f t="shared" ref="S34" si="148">R34/100000</f>
        <v>-29731.437285102616</v>
      </c>
      <c r="T34">
        <f t="shared" ref="T34" si="149">S34/1000</f>
        <v>-29.731437285102615</v>
      </c>
    </row>
    <row r="35" spans="1:20" x14ac:dyDescent="0.25">
      <c r="A35" s="5">
        <v>44558</v>
      </c>
      <c r="B35">
        <v>9.4659999999999994E-2</v>
      </c>
      <c r="C35">
        <v>9.5299999999999996E-2</v>
      </c>
      <c r="D35">
        <v>8.4089999999999998E-2</v>
      </c>
      <c r="E35">
        <v>8.5529999999999995E-2</v>
      </c>
      <c r="F35">
        <v>24226968.5</v>
      </c>
      <c r="G35">
        <v>8.5529999999999995E-2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-0.74308652988403268</v>
      </c>
      <c r="Q35">
        <f t="shared" ref="Q35" si="151">F35*P35</f>
        <v>-18002733.95227477</v>
      </c>
      <c r="R35">
        <f t="shared" ref="R35" si="152">R36+Q35</f>
        <v>-2979793541.8374505</v>
      </c>
      <c r="S35">
        <f t="shared" ref="S35" si="153">R35/100000</f>
        <v>-29797.935418374505</v>
      </c>
      <c r="T35">
        <f t="shared" ref="T35" si="154">S35/1000</f>
        <v>-29.797935418374504</v>
      </c>
    </row>
    <row r="36" spans="1:20" x14ac:dyDescent="0.25">
      <c r="A36" s="5">
        <v>44557</v>
      </c>
      <c r="B36">
        <v>9.5009999999999997E-2</v>
      </c>
      <c r="C36">
        <v>0.1188</v>
      </c>
      <c r="D36">
        <v>9.3740000000000004E-2</v>
      </c>
      <c r="E36">
        <v>9.4899999999999998E-2</v>
      </c>
      <c r="F36">
        <v>120181155.90000001</v>
      </c>
      <c r="G36">
        <v>9.4899999999999998E-2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-0.90742218675179609</v>
      </c>
      <c r="Q36">
        <f t="shared" ref="Q36" si="156">F36*P36</f>
        <v>-109055047.29313652</v>
      </c>
      <c r="R36">
        <f t="shared" ref="R36" si="157">R37+Q36</f>
        <v>-2961790807.8851757</v>
      </c>
      <c r="S36">
        <f t="shared" ref="S36" si="158">R36/100000</f>
        <v>-29617.908078851757</v>
      </c>
      <c r="T36">
        <f t="shared" ref="T36" si="159">S36/1000</f>
        <v>-29.617908078851755</v>
      </c>
    </row>
    <row r="37" spans="1:20" x14ac:dyDescent="0.25">
      <c r="A37" s="5">
        <v>44556</v>
      </c>
      <c r="B37">
        <v>9.4640000000000002E-2</v>
      </c>
      <c r="C37">
        <v>9.6129999999999993E-2</v>
      </c>
      <c r="D37">
        <v>9.1079999999999994E-2</v>
      </c>
      <c r="E37">
        <v>9.5009999999999997E-2</v>
      </c>
      <c r="F37">
        <v>18408144</v>
      </c>
      <c r="G37">
        <v>9.5009999999999997E-2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0.55643564356435793</v>
      </c>
      <c r="Q37">
        <f t="shared" ref="Q37" si="161">F37*P37</f>
        <v>10242947.453465374</v>
      </c>
      <c r="R37">
        <f t="shared" ref="R37" si="162">R38+Q37</f>
        <v>-2852735760.5920391</v>
      </c>
      <c r="S37">
        <f t="shared" ref="S37" si="163">R37/100000</f>
        <v>-28527.357605920392</v>
      </c>
      <c r="T37">
        <f t="shared" ref="T37" si="164">S37/1000</f>
        <v>-28.527357605920393</v>
      </c>
    </row>
    <row r="38" spans="1:20" x14ac:dyDescent="0.25">
      <c r="A38" s="5">
        <v>44555</v>
      </c>
      <c r="B38">
        <v>9.2100000000000001E-2</v>
      </c>
      <c r="C38">
        <v>9.8089999999999997E-2</v>
      </c>
      <c r="D38">
        <v>9.1600000000000001E-2</v>
      </c>
      <c r="E38">
        <v>9.4630000000000006E-2</v>
      </c>
      <c r="F38">
        <v>16296938.4</v>
      </c>
      <c r="G38">
        <v>9.4630000000000006E-2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-6.6255778120182782E-2</v>
      </c>
      <c r="Q38">
        <f t="shared" ref="Q38" si="166">F38*P38</f>
        <v>-1079766.3346686866</v>
      </c>
      <c r="R38">
        <f t="shared" ref="R38" si="167">R39+Q38</f>
        <v>-2862978708.0455046</v>
      </c>
      <c r="S38">
        <f t="shared" ref="S38" si="168">R38/100000</f>
        <v>-28629.787080455044</v>
      </c>
      <c r="T38">
        <f t="shared" ref="T38" si="169">S38/1000</f>
        <v>-28.629787080455046</v>
      </c>
    </row>
    <row r="39" spans="1:20" x14ac:dyDescent="0.25">
      <c r="A39" s="5">
        <v>44554</v>
      </c>
      <c r="B39">
        <v>9.3549999999999994E-2</v>
      </c>
      <c r="C39">
        <v>9.9000000000000005E-2</v>
      </c>
      <c r="D39">
        <v>9.1600000000000001E-2</v>
      </c>
      <c r="E39">
        <v>9.2039999999999997E-2</v>
      </c>
      <c r="F39">
        <v>29176297.300000001</v>
      </c>
      <c r="G39">
        <v>9.2039999999999997E-2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-0.88108108108108218</v>
      </c>
      <c r="Q39">
        <f t="shared" ref="Q39" si="171">F39*P39</f>
        <v>-25706683.567027058</v>
      </c>
      <c r="R39">
        <f t="shared" ref="R39" si="172">R40+Q39</f>
        <v>-2861898941.7108359</v>
      </c>
      <c r="S39">
        <f t="shared" ref="S39" si="173">R39/100000</f>
        <v>-28618.989417108358</v>
      </c>
      <c r="T39">
        <f t="shared" ref="T39" si="174">S39/1000</f>
        <v>-28.618989417108359</v>
      </c>
    </row>
    <row r="40" spans="1:20" x14ac:dyDescent="0.25">
      <c r="A40" s="5">
        <v>44553</v>
      </c>
      <c r="B40">
        <v>8.9279999999999998E-2</v>
      </c>
      <c r="C40">
        <v>9.5500000000000002E-2</v>
      </c>
      <c r="D40">
        <v>8.7150000000000005E-2</v>
      </c>
      <c r="E40">
        <v>9.357E-2</v>
      </c>
      <c r="F40">
        <v>19201159.100000001</v>
      </c>
      <c r="G40">
        <v>9.357E-2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0.53772455089820315</v>
      </c>
      <c r="Q40">
        <f t="shared" ref="Q40" si="176">F40*P40</f>
        <v>10324934.653772447</v>
      </c>
      <c r="R40">
        <f t="shared" ref="R40" si="177">R41+Q40</f>
        <v>-2836192258.1438088</v>
      </c>
      <c r="S40">
        <f t="shared" ref="S40" si="178">R40/100000</f>
        <v>-28361.922581438088</v>
      </c>
      <c r="T40">
        <f t="shared" ref="T40" si="179">S40/1000</f>
        <v>-28.361922581438087</v>
      </c>
    </row>
    <row r="41" spans="1:20" x14ac:dyDescent="0.25">
      <c r="A41" s="5">
        <v>44552</v>
      </c>
      <c r="B41">
        <v>8.7999999999999995E-2</v>
      </c>
      <c r="C41">
        <v>9.2700000000000005E-2</v>
      </c>
      <c r="D41">
        <v>8.7290000000000006E-2</v>
      </c>
      <c r="E41">
        <v>8.9289999999999994E-2</v>
      </c>
      <c r="F41">
        <v>20468478.600000001</v>
      </c>
      <c r="G41">
        <v>8.9289999999999994E-2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-0.26062846580407079</v>
      </c>
      <c r="Q41">
        <f t="shared" ref="Q41" si="181">F41*P41</f>
        <v>-5334668.1748614553</v>
      </c>
      <c r="R41">
        <f t="shared" ref="R41" si="182">R42+Q41</f>
        <v>-2846517192.7975812</v>
      </c>
      <c r="S41">
        <f t="shared" ref="S41" si="183">R41/100000</f>
        <v>-28465.171927975811</v>
      </c>
      <c r="T41">
        <f t="shared" ref="T41" si="184">S41/1000</f>
        <v>-28.46517192797581</v>
      </c>
    </row>
    <row r="42" spans="1:20" x14ac:dyDescent="0.25">
      <c r="A42" s="5">
        <v>44551</v>
      </c>
      <c r="B42">
        <v>8.3280000000000007E-2</v>
      </c>
      <c r="C42">
        <v>8.8910000000000003E-2</v>
      </c>
      <c r="D42">
        <v>8.2070000000000004E-2</v>
      </c>
      <c r="E42">
        <v>8.8039999999999993E-2</v>
      </c>
      <c r="F42">
        <v>18525909.600000001</v>
      </c>
      <c r="G42">
        <v>8.8039999999999993E-2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0.7456140350877164</v>
      </c>
      <c r="Q42">
        <f t="shared" ref="Q42" si="186">F42*P42</f>
        <v>13813178.210526263</v>
      </c>
      <c r="R42">
        <f t="shared" ref="R42" si="187">R43+Q42</f>
        <v>-2841182524.6227198</v>
      </c>
      <c r="S42">
        <f t="shared" ref="S42" si="188">R42/100000</f>
        <v>-28411.825246227199</v>
      </c>
      <c r="T42">
        <f t="shared" ref="T42" si="189">S42/1000</f>
        <v>-28.411825246227199</v>
      </c>
    </row>
    <row r="43" spans="1:20" x14ac:dyDescent="0.25">
      <c r="A43" s="5">
        <v>44550</v>
      </c>
      <c r="B43">
        <v>8.5309999999999997E-2</v>
      </c>
      <c r="C43">
        <v>8.6069999999999994E-2</v>
      </c>
      <c r="D43">
        <v>7.9210000000000003E-2</v>
      </c>
      <c r="E43">
        <v>8.3030000000000007E-2</v>
      </c>
      <c r="F43">
        <v>25435554.600000001</v>
      </c>
      <c r="G43">
        <v>8.3030000000000007E-2</v>
      </c>
      <c r="L43" t="s">
        <v>7</v>
      </c>
      <c r="M43" t="s">
        <v>8</v>
      </c>
      <c r="N43" t="s">
        <v>7</v>
      </c>
      <c r="P43">
        <f t="shared" ref="P43" si="190">IF(C43=D43,0,((E43-D43)-(C43-E43))/(C43-D43))</f>
        <v>0.11370262390670813</v>
      </c>
      <c r="Q43">
        <f t="shared" ref="Q43" si="191">F43*P43</f>
        <v>2892089.2985423403</v>
      </c>
      <c r="R43">
        <f t="shared" ref="R43" si="192">R44+Q43</f>
        <v>-2854995702.8332462</v>
      </c>
      <c r="S43">
        <f t="shared" ref="S43" si="193">R43/100000</f>
        <v>-28549.957028332461</v>
      </c>
      <c r="T43">
        <f t="shared" ref="T43" si="194">S43/1000</f>
        <v>-28.549957028332461</v>
      </c>
    </row>
    <row r="44" spans="1:20" x14ac:dyDescent="0.25">
      <c r="A44" s="5">
        <v>44549</v>
      </c>
      <c r="B44">
        <v>8.7440000000000004E-2</v>
      </c>
      <c r="C44">
        <v>9.2399999999999996E-2</v>
      </c>
      <c r="D44">
        <v>8.4760000000000002E-2</v>
      </c>
      <c r="E44">
        <v>8.5319999999999993E-2</v>
      </c>
      <c r="F44">
        <v>48928985.200000003</v>
      </c>
      <c r="G44">
        <v>8.5319999999999993E-2</v>
      </c>
      <c r="L44" t="s">
        <v>7</v>
      </c>
      <c r="M44" t="s">
        <v>8</v>
      </c>
      <c r="N44" t="s">
        <v>7</v>
      </c>
      <c r="P44">
        <f t="shared" ref="P44" si="195">IF(C44=D44,0,((E44-D44)-(C44-E44))/(C44-D44))</f>
        <v>-0.85340314136125872</v>
      </c>
      <c r="Q44">
        <f t="shared" ref="Q44" si="196">F44*P44</f>
        <v>-41756149.673298538</v>
      </c>
      <c r="R44">
        <f t="shared" ref="R44" si="197">R45+Q44</f>
        <v>-2857887792.1317887</v>
      </c>
      <c r="S44">
        <f t="shared" ref="S44" si="198">R44/100000</f>
        <v>-28578.877921317886</v>
      </c>
      <c r="T44">
        <f t="shared" ref="T44" si="199">S44/1000</f>
        <v>-28.578877921317886</v>
      </c>
    </row>
    <row r="45" spans="1:20" x14ac:dyDescent="0.25">
      <c r="A45" s="5">
        <v>44548</v>
      </c>
      <c r="B45">
        <v>8.0439999999999998E-2</v>
      </c>
      <c r="C45">
        <v>9.178E-2</v>
      </c>
      <c r="D45">
        <v>7.9030000000000003E-2</v>
      </c>
      <c r="E45">
        <v>8.7470000000000006E-2</v>
      </c>
      <c r="F45">
        <v>79360993.599999994</v>
      </c>
      <c r="G45">
        <v>8.7470000000000006E-2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0.32392156862745175</v>
      </c>
      <c r="Q45">
        <f t="shared" ref="Q45" si="201">F45*P45</f>
        <v>25706737.534745157</v>
      </c>
      <c r="R45">
        <f t="shared" ref="R45" si="202">R46+Q45</f>
        <v>-2816131642.4584904</v>
      </c>
      <c r="S45">
        <f t="shared" ref="S45" si="203">R45/100000</f>
        <v>-28161.316424584904</v>
      </c>
      <c r="T45">
        <f t="shared" ref="T45" si="204">S45/1000</f>
        <v>-28.161316424584903</v>
      </c>
    </row>
    <row r="46" spans="1:20" x14ac:dyDescent="0.25">
      <c r="A46" s="5">
        <v>44547</v>
      </c>
      <c r="B46">
        <v>8.1549999999999997E-2</v>
      </c>
      <c r="C46">
        <v>8.5180000000000006E-2</v>
      </c>
      <c r="D46">
        <v>7.7799999999999994E-2</v>
      </c>
      <c r="E46">
        <v>8.0379999999999993E-2</v>
      </c>
      <c r="F46">
        <v>33522329</v>
      </c>
      <c r="G46">
        <v>8.0379999999999993E-2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-0.30081300813008266</v>
      </c>
      <c r="Q46">
        <f t="shared" ref="Q46" si="206">F46*P46</f>
        <v>-10083952.626016306</v>
      </c>
      <c r="R46">
        <f t="shared" ref="R46" si="207">R47+Q46</f>
        <v>-2841838379.9932356</v>
      </c>
      <c r="S46">
        <f t="shared" ref="S46" si="208">R46/100000</f>
        <v>-28418.383799932355</v>
      </c>
      <c r="T46">
        <f t="shared" ref="T46" si="209">S46/1000</f>
        <v>-28.418383799932354</v>
      </c>
    </row>
    <row r="47" spans="1:20" x14ac:dyDescent="0.25">
      <c r="A47" s="5">
        <v>44546</v>
      </c>
      <c r="B47">
        <v>8.3529999999999993E-2</v>
      </c>
      <c r="C47">
        <v>8.7999999999999995E-2</v>
      </c>
      <c r="D47">
        <v>8.1189999999999998E-2</v>
      </c>
      <c r="E47">
        <v>8.1540000000000001E-2</v>
      </c>
      <c r="F47">
        <v>23980202.899999999</v>
      </c>
      <c r="G47">
        <v>8.1540000000000001E-2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-0.89720998531571128</v>
      </c>
      <c r="Q47">
        <f t="shared" ref="Q47" si="211">F47*P47</f>
        <v>-21515277.491776776</v>
      </c>
      <c r="R47">
        <f t="shared" ref="R47" si="212">R48+Q47</f>
        <v>-2831754427.3672194</v>
      </c>
      <c r="S47">
        <f t="shared" ref="S47" si="213">R47/100000</f>
        <v>-28317.544273672196</v>
      </c>
      <c r="T47">
        <f t="shared" ref="T47" si="214">S47/1000</f>
        <v>-28.317544273672198</v>
      </c>
    </row>
    <row r="48" spans="1:20" x14ac:dyDescent="0.25">
      <c r="A48" s="5">
        <v>44545</v>
      </c>
      <c r="B48">
        <v>7.9820000000000002E-2</v>
      </c>
      <c r="C48">
        <v>8.6400000000000005E-2</v>
      </c>
      <c r="D48">
        <v>7.7229999999999993E-2</v>
      </c>
      <c r="E48">
        <v>8.3449999999999996E-2</v>
      </c>
      <c r="F48">
        <v>43546125.5</v>
      </c>
      <c r="G48">
        <v>8.3449999999999996E-2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0.35659760087240905</v>
      </c>
      <c r="Q48">
        <f t="shared" ref="Q48" si="216">F48*P48</f>
        <v>15528443.880588833</v>
      </c>
      <c r="R48">
        <f t="shared" ref="R48" si="217">R49+Q48</f>
        <v>-2810239149.8754425</v>
      </c>
      <c r="S48">
        <f t="shared" ref="S48" si="218">R48/100000</f>
        <v>-28102.391498754427</v>
      </c>
      <c r="T48">
        <f t="shared" ref="T48" si="219">S48/1000</f>
        <v>-28.102391498754425</v>
      </c>
    </row>
    <row r="49" spans="1:20" x14ac:dyDescent="0.25">
      <c r="A49" s="5">
        <v>44544</v>
      </c>
      <c r="B49">
        <v>8.0110000000000001E-2</v>
      </c>
      <c r="C49">
        <v>8.3799999999999999E-2</v>
      </c>
      <c r="D49">
        <v>7.7149999999999996E-2</v>
      </c>
      <c r="E49">
        <v>7.9850000000000004E-2</v>
      </c>
      <c r="F49">
        <v>52344656.399999999</v>
      </c>
      <c r="G49">
        <v>7.9850000000000004E-2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-0.18796992481202807</v>
      </c>
      <c r="Q49">
        <f t="shared" ref="Q49" si="221">F49*P49</f>
        <v>-9839221.1278194431</v>
      </c>
      <c r="R49">
        <f t="shared" ref="R49" si="222">R50+Q49</f>
        <v>-2825767593.7560315</v>
      </c>
      <c r="S49">
        <f t="shared" ref="S49" si="223">R49/100000</f>
        <v>-28257.675937560314</v>
      </c>
      <c r="T49">
        <f t="shared" ref="T49" si="224">S49/1000</f>
        <v>-28.257675937560315</v>
      </c>
    </row>
    <row r="50" spans="1:20" x14ac:dyDescent="0.25">
      <c r="A50" s="5">
        <v>44543</v>
      </c>
      <c r="B50">
        <v>9.2280000000000001E-2</v>
      </c>
      <c r="C50">
        <v>9.3609999999999999E-2</v>
      </c>
      <c r="D50">
        <v>7.8810000000000005E-2</v>
      </c>
      <c r="E50">
        <v>8.0030000000000004E-2</v>
      </c>
      <c r="F50">
        <v>22020937.800000001</v>
      </c>
      <c r="G50">
        <v>8.0030000000000004E-2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-0.83513513513513526</v>
      </c>
      <c r="Q50">
        <f t="shared" ref="Q50" si="226">F50*P50</f>
        <v>-18390458.865405411</v>
      </c>
      <c r="R50">
        <f t="shared" ref="R50" si="227">R51+Q50</f>
        <v>-2815928372.628212</v>
      </c>
      <c r="S50">
        <f t="shared" ref="S50" si="228">R50/100000</f>
        <v>-28159.283726282119</v>
      </c>
      <c r="T50">
        <f t="shared" ref="T50" si="229">S50/1000</f>
        <v>-28.159283726282119</v>
      </c>
    </row>
    <row r="51" spans="1:20" x14ac:dyDescent="0.25">
      <c r="A51" s="5">
        <v>44542</v>
      </c>
      <c r="B51">
        <v>9.0469999999999995E-2</v>
      </c>
      <c r="C51">
        <v>9.8400000000000001E-2</v>
      </c>
      <c r="D51">
        <v>8.8770000000000002E-2</v>
      </c>
      <c r="E51">
        <v>9.2280000000000001E-2</v>
      </c>
      <c r="F51">
        <v>54892990.399999999</v>
      </c>
      <c r="G51">
        <v>9.2280000000000001E-2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-0.27102803738317771</v>
      </c>
      <c r="Q51">
        <f t="shared" ref="Q51" si="231">F51*P51</f>
        <v>-14877539.454205615</v>
      </c>
      <c r="R51">
        <f t="shared" ref="R51" si="232">R52+Q51</f>
        <v>-2797537913.7628064</v>
      </c>
      <c r="S51">
        <f t="shared" ref="S51" si="233">R51/100000</f>
        <v>-27975.379137628064</v>
      </c>
      <c r="T51">
        <f t="shared" ref="T51" si="234">S51/1000</f>
        <v>-27.975379137628064</v>
      </c>
    </row>
    <row r="52" spans="1:20" x14ac:dyDescent="0.25">
      <c r="A52" s="5">
        <v>44541</v>
      </c>
      <c r="B52">
        <v>8.745E-2</v>
      </c>
      <c r="C52">
        <v>8.9690000000000006E-2</v>
      </c>
      <c r="D52">
        <v>8.5349999999999995E-2</v>
      </c>
      <c r="E52">
        <v>8.9179999999999995E-2</v>
      </c>
      <c r="F52">
        <v>1220144.7</v>
      </c>
      <c r="G52">
        <v>8.9179999999999995E-2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0.76497695852534142</v>
      </c>
      <c r="Q52">
        <f t="shared" ref="Q52" si="236">F52*P52</f>
        <v>933382.58156681515</v>
      </c>
      <c r="R52">
        <f t="shared" ref="R52" si="237">R53+Q52</f>
        <v>-2782660374.3086009</v>
      </c>
      <c r="S52">
        <f t="shared" ref="S52" si="238">R52/100000</f>
        <v>-27826.603743086009</v>
      </c>
      <c r="T52">
        <f t="shared" ref="T52" si="239">S52/1000</f>
        <v>-27.826603743086007</v>
      </c>
    </row>
    <row r="53" spans="1:20" x14ac:dyDescent="0.25">
      <c r="A53" s="5">
        <v>44540</v>
      </c>
      <c r="B53">
        <v>8.7650000000000006E-2</v>
      </c>
      <c r="C53">
        <v>9.9129999999999996E-2</v>
      </c>
      <c r="D53">
        <v>8.5000000000000006E-2</v>
      </c>
      <c r="E53">
        <v>8.745E-2</v>
      </c>
      <c r="F53">
        <v>51145062.899999999</v>
      </c>
      <c r="G53">
        <v>8.745E-2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-0.65322009907997236</v>
      </c>
      <c r="Q53">
        <f t="shared" ref="Q53" si="241">F53*P53</f>
        <v>-33408983.054989416</v>
      </c>
      <c r="R53">
        <f t="shared" ref="R53" si="242">R54+Q53</f>
        <v>-2783593756.8901677</v>
      </c>
      <c r="S53">
        <f t="shared" ref="S53" si="243">R53/100000</f>
        <v>-27835.937568901678</v>
      </c>
      <c r="T53">
        <f t="shared" ref="T53" si="244">S53/1000</f>
        <v>-27.835937568901677</v>
      </c>
    </row>
    <row r="54" spans="1:20" x14ac:dyDescent="0.25">
      <c r="A54" s="5">
        <v>44539</v>
      </c>
      <c r="B54">
        <v>9.5740000000000006E-2</v>
      </c>
      <c r="C54">
        <v>9.9989999999999996E-2</v>
      </c>
      <c r="D54">
        <v>8.6360000000000006E-2</v>
      </c>
      <c r="E54">
        <v>8.7650000000000006E-2</v>
      </c>
      <c r="F54">
        <v>18344147.899999999</v>
      </c>
      <c r="G54">
        <v>8.7650000000000006E-2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-0.81071166544387374</v>
      </c>
      <c r="Q54">
        <f t="shared" ref="Q54" si="246">F54*P54</f>
        <v>-14871814.695157738</v>
      </c>
      <c r="R54">
        <f t="shared" ref="R54" si="247">R55+Q54</f>
        <v>-2750184773.8351784</v>
      </c>
      <c r="S54">
        <f t="shared" ref="S54" si="248">R54/100000</f>
        <v>-27501.847738351782</v>
      </c>
      <c r="T54">
        <f t="shared" ref="T54" si="249">S54/1000</f>
        <v>-27.501847738351781</v>
      </c>
    </row>
    <row r="55" spans="1:20" x14ac:dyDescent="0.25">
      <c r="A55" s="5">
        <v>44538</v>
      </c>
      <c r="B55">
        <v>9.3890000000000001E-2</v>
      </c>
      <c r="C55">
        <v>9.9000000000000005E-2</v>
      </c>
      <c r="D55">
        <v>9.0999999999999998E-2</v>
      </c>
      <c r="E55">
        <v>9.5570000000000002E-2</v>
      </c>
      <c r="F55">
        <v>24368158.600000001</v>
      </c>
      <c r="G55">
        <v>9.5570000000000002E-2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0.14250000000000013</v>
      </c>
      <c r="Q55">
        <f t="shared" ref="Q55" si="251">F55*P55</f>
        <v>3472462.6005000034</v>
      </c>
      <c r="R55">
        <f t="shared" ref="R55" si="252">R56+Q55</f>
        <v>-2735312959.1400208</v>
      </c>
      <c r="S55">
        <f t="shared" ref="S55" si="253">R55/100000</f>
        <v>-27353.129591400208</v>
      </c>
      <c r="T55">
        <f t="shared" ref="T55" si="254">S55/1000</f>
        <v>-27.353129591400208</v>
      </c>
    </row>
    <row r="56" spans="1:20" x14ac:dyDescent="0.25">
      <c r="A56" s="5">
        <v>44537</v>
      </c>
      <c r="B56">
        <v>9.6409999999999996E-2</v>
      </c>
      <c r="C56">
        <v>9.9479999999999999E-2</v>
      </c>
      <c r="D56">
        <v>9.2310000000000003E-2</v>
      </c>
      <c r="E56">
        <v>9.3920000000000003E-2</v>
      </c>
      <c r="F56">
        <v>22899609.199999999</v>
      </c>
      <c r="G56">
        <v>9.3920000000000003E-2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-0.55090655509065511</v>
      </c>
      <c r="Q56">
        <f t="shared" ref="Q56" si="256">F56*P56</f>
        <v>-12615544.817294272</v>
      </c>
      <c r="R56">
        <f t="shared" ref="R56" si="257">R57+Q56</f>
        <v>-2738785421.740521</v>
      </c>
      <c r="S56">
        <f t="shared" ref="S56" si="258">R56/100000</f>
        <v>-27387.854217405209</v>
      </c>
      <c r="T56">
        <f t="shared" ref="T56" si="259">S56/1000</f>
        <v>-27.387854217405209</v>
      </c>
    </row>
    <row r="57" spans="1:20" x14ac:dyDescent="0.25">
      <c r="A57" s="5">
        <v>44536</v>
      </c>
      <c r="B57">
        <v>9.579E-2</v>
      </c>
      <c r="C57">
        <v>9.9030000000000007E-2</v>
      </c>
      <c r="D57">
        <v>8.4519999999999998E-2</v>
      </c>
      <c r="E57">
        <v>9.647E-2</v>
      </c>
      <c r="F57">
        <v>49330780.399999999</v>
      </c>
      <c r="G57">
        <v>9.647E-2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0.64713990351481665</v>
      </c>
      <c r="Q57">
        <f t="shared" ref="Q57" si="261">F57*P57</f>
        <v>31923916.468366608</v>
      </c>
      <c r="R57">
        <f t="shared" ref="R57" si="262">R58+Q57</f>
        <v>-2726169876.9232268</v>
      </c>
      <c r="S57">
        <f t="shared" ref="S57" si="263">R57/100000</f>
        <v>-27261.698769232269</v>
      </c>
      <c r="T57">
        <f t="shared" ref="T57" si="264">S57/1000</f>
        <v>-27.261698769232268</v>
      </c>
    </row>
    <row r="58" spans="1:20" x14ac:dyDescent="0.25">
      <c r="A58" s="5">
        <v>44535</v>
      </c>
      <c r="B58">
        <v>0.10718999999999999</v>
      </c>
      <c r="C58">
        <v>0.11042</v>
      </c>
      <c r="D58">
        <v>9.2999999999999999E-2</v>
      </c>
      <c r="E58">
        <v>9.5740000000000006E-2</v>
      </c>
      <c r="F58">
        <v>33995263.799999997</v>
      </c>
      <c r="G58">
        <v>9.5740000000000006E-2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-0.68541905855338625</v>
      </c>
      <c r="Q58">
        <f t="shared" ref="Q58" si="266">F58*P58</f>
        <v>-23301001.709070008</v>
      </c>
      <c r="R58">
        <f t="shared" ref="R58" si="267">R59+Q58</f>
        <v>-2758093793.3915935</v>
      </c>
      <c r="S58">
        <f t="shared" ref="S58" si="268">R58/100000</f>
        <v>-27580.937933915935</v>
      </c>
      <c r="T58">
        <f t="shared" ref="T58" si="269">S58/1000</f>
        <v>-27.580937933915934</v>
      </c>
    </row>
    <row r="59" spans="1:20" x14ac:dyDescent="0.25">
      <c r="A59" s="5">
        <v>44534</v>
      </c>
      <c r="B59">
        <v>0.12692000000000001</v>
      </c>
      <c r="C59">
        <v>0.12717000000000001</v>
      </c>
      <c r="D59">
        <v>8.2000000000000003E-2</v>
      </c>
      <c r="E59">
        <v>0.10761999999999999</v>
      </c>
      <c r="F59">
        <v>108911689.2</v>
      </c>
      <c r="G59">
        <v>0.10761999999999999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0.13438122647775022</v>
      </c>
      <c r="Q59">
        <f t="shared" ref="Q59" si="271">F59*P59</f>
        <v>14635686.372459544</v>
      </c>
      <c r="R59">
        <f t="shared" ref="R59" si="272">R60+Q59</f>
        <v>-2734792791.6825233</v>
      </c>
      <c r="S59">
        <f t="shared" ref="S59" si="273">R59/100000</f>
        <v>-27347.927916825232</v>
      </c>
      <c r="T59">
        <f t="shared" ref="T59" si="274">S59/1000</f>
        <v>-27.347927916825231</v>
      </c>
    </row>
    <row r="60" spans="1:20" x14ac:dyDescent="0.25">
      <c r="A60" s="5">
        <v>44533</v>
      </c>
      <c r="B60">
        <v>0.12149</v>
      </c>
      <c r="C60">
        <v>0.14000000000000001</v>
      </c>
      <c r="D60">
        <v>0.11863</v>
      </c>
      <c r="E60">
        <v>0.12698000000000001</v>
      </c>
      <c r="F60">
        <v>146175572.59999999</v>
      </c>
      <c r="G60">
        <v>0.12698000000000001</v>
      </c>
      <c r="L60" t="s">
        <v>8</v>
      </c>
      <c r="M60" t="s">
        <v>7</v>
      </c>
      <c r="N60" t="s">
        <v>7</v>
      </c>
      <c r="P60">
        <f t="shared" ref="P60" si="275">IF(C60=D60,0,((E60-D60)-(C60-E60))/(C60-D60))</f>
        <v>-0.218530650444548</v>
      </c>
      <c r="Q60">
        <f t="shared" ref="Q60" si="276">F60*P60</f>
        <v>-31943842.959382247</v>
      </c>
      <c r="R60">
        <f t="shared" ref="R60" si="277">R61+Q60</f>
        <v>-2749428478.0549827</v>
      </c>
      <c r="S60">
        <f t="shared" ref="S60" si="278">R60/100000</f>
        <v>-27494.284780549828</v>
      </c>
      <c r="T60">
        <f t="shared" ref="T60" si="279">S60/1000</f>
        <v>-27.494284780549826</v>
      </c>
    </row>
    <row r="61" spans="1:20" x14ac:dyDescent="0.25">
      <c r="A61" s="5">
        <v>44532</v>
      </c>
      <c r="B61">
        <v>0.11902</v>
      </c>
      <c r="C61">
        <v>0.14499999999999999</v>
      </c>
      <c r="D61">
        <v>0.11310000000000001</v>
      </c>
      <c r="E61">
        <v>0.12143</v>
      </c>
      <c r="F61">
        <v>154075945</v>
      </c>
      <c r="G61">
        <v>0.12143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-0.47774294670846429</v>
      </c>
      <c r="Q61">
        <f t="shared" ref="Q61" si="281">F61*P61</f>
        <v>-73608695.981191278</v>
      </c>
      <c r="R61">
        <f t="shared" ref="R61" si="282">R62+Q61</f>
        <v>-2717484635.0956006</v>
      </c>
      <c r="S61">
        <f t="shared" ref="S61" si="283">R61/100000</f>
        <v>-27174.846350956006</v>
      </c>
      <c r="T61">
        <f t="shared" ref="T61" si="284">S61/1000</f>
        <v>-27.174846350956006</v>
      </c>
    </row>
    <row r="62" spans="1:20" x14ac:dyDescent="0.25">
      <c r="A62" s="5">
        <v>44531</v>
      </c>
      <c r="B62">
        <v>0.11992</v>
      </c>
      <c r="C62">
        <v>0.12484000000000001</v>
      </c>
      <c r="D62">
        <v>0.11799999999999999</v>
      </c>
      <c r="E62">
        <v>0.11901</v>
      </c>
      <c r="F62">
        <v>24024373.699999999</v>
      </c>
      <c r="G62">
        <v>0.11901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-0.70467836257309679</v>
      </c>
      <c r="Q62">
        <f t="shared" ref="Q62" si="286">F62*P62</f>
        <v>-16929456.320760172</v>
      </c>
      <c r="R62">
        <f t="shared" ref="R62" si="287">R63+Q62</f>
        <v>-2643875939.1144094</v>
      </c>
      <c r="S62">
        <f t="shared" ref="S62" si="288">R62/100000</f>
        <v>-26438.759391144093</v>
      </c>
      <c r="T62">
        <f t="shared" ref="T62" si="289">S62/1000</f>
        <v>-26.438759391144092</v>
      </c>
    </row>
    <row r="63" spans="1:20" x14ac:dyDescent="0.25">
      <c r="A63" s="5">
        <v>44530</v>
      </c>
      <c r="B63">
        <v>0.12277</v>
      </c>
      <c r="C63">
        <v>0.12675</v>
      </c>
      <c r="D63">
        <v>0.11765</v>
      </c>
      <c r="E63">
        <v>0.1198</v>
      </c>
      <c r="F63">
        <v>30647244.800000001</v>
      </c>
      <c r="G63">
        <v>0.1198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-0.52747252747252749</v>
      </c>
      <c r="Q63">
        <f t="shared" ref="Q63" si="291">F63*P63</f>
        <v>-16165579.674725275</v>
      </c>
      <c r="R63">
        <f t="shared" ref="R63" si="292">R64+Q63</f>
        <v>-2626946482.7936492</v>
      </c>
      <c r="S63">
        <f t="shared" ref="S63" si="293">R63/100000</f>
        <v>-26269.464827936492</v>
      </c>
      <c r="T63">
        <f t="shared" ref="T63" si="294">S63/1000</f>
        <v>-26.269464827936492</v>
      </c>
    </row>
    <row r="64" spans="1:20" x14ac:dyDescent="0.25">
      <c r="A64" s="5">
        <v>44529</v>
      </c>
      <c r="B64">
        <v>0.11992999999999999</v>
      </c>
      <c r="C64">
        <v>0.12590000000000001</v>
      </c>
      <c r="D64">
        <v>0.11849999999999999</v>
      </c>
      <c r="E64">
        <v>0.12277</v>
      </c>
      <c r="F64">
        <v>33272208.300000001</v>
      </c>
      <c r="G64">
        <v>0.12277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0.15405405405405398</v>
      </c>
      <c r="Q64">
        <f t="shared" ref="Q64" si="296">F64*P64</f>
        <v>5125718.5759459436</v>
      </c>
      <c r="R64">
        <f t="shared" ref="R64" si="297">R65+Q64</f>
        <v>-2610780903.1189241</v>
      </c>
      <c r="S64">
        <f t="shared" ref="S64" si="298">R64/100000</f>
        <v>-26107.809031189241</v>
      </c>
      <c r="T64">
        <f t="shared" ref="T64" si="299">S64/1000</f>
        <v>-26.107809031189241</v>
      </c>
    </row>
    <row r="65" spans="1:20" x14ac:dyDescent="0.25">
      <c r="A65" s="5">
        <v>44528</v>
      </c>
      <c r="B65">
        <v>0.11959</v>
      </c>
      <c r="C65">
        <v>0.12060999999999999</v>
      </c>
      <c r="D65">
        <v>0.11121</v>
      </c>
      <c r="E65">
        <v>0.11996999999999999</v>
      </c>
      <c r="F65">
        <v>19496470</v>
      </c>
      <c r="G65">
        <v>0.11996999999999999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0.86382978723404202</v>
      </c>
      <c r="Q65">
        <f t="shared" ref="Q65" si="301">F65*P65</f>
        <v>16841631.531914882</v>
      </c>
      <c r="R65">
        <f t="shared" ref="R65" si="302">R66+Q65</f>
        <v>-2615906621.69487</v>
      </c>
      <c r="S65">
        <f t="shared" ref="S65" si="303">R65/100000</f>
        <v>-26159.0662169487</v>
      </c>
      <c r="T65">
        <f t="shared" ref="T65" si="304">S65/1000</f>
        <v>-26.159066216948702</v>
      </c>
    </row>
    <row r="66" spans="1:20" x14ac:dyDescent="0.25">
      <c r="A66" s="5">
        <v>44527</v>
      </c>
      <c r="B66">
        <v>0.11765</v>
      </c>
      <c r="C66">
        <v>0.12601000000000001</v>
      </c>
      <c r="D66">
        <v>0.1176</v>
      </c>
      <c r="E66">
        <v>0.11973</v>
      </c>
      <c r="F66">
        <v>36966155.200000003</v>
      </c>
      <c r="G66">
        <v>0.11973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-0.49346016646848911</v>
      </c>
      <c r="Q66">
        <f t="shared" ref="Q66" si="306">F66*P66</f>
        <v>-18241325.098692007</v>
      </c>
      <c r="R66">
        <f t="shared" ref="R66" si="307">R67+Q66</f>
        <v>-2632748253.2267847</v>
      </c>
      <c r="S66">
        <f t="shared" ref="S66" si="308">R66/100000</f>
        <v>-26327.482532267848</v>
      </c>
      <c r="T66">
        <f t="shared" ref="T66" si="309">S66/1000</f>
        <v>-26.327482532267847</v>
      </c>
    </row>
    <row r="67" spans="1:20" x14ac:dyDescent="0.25">
      <c r="A67" s="5">
        <v>44526</v>
      </c>
      <c r="B67">
        <v>0.12995000000000001</v>
      </c>
      <c r="C67">
        <v>0.13100999999999999</v>
      </c>
      <c r="D67">
        <v>0.11218</v>
      </c>
      <c r="E67">
        <v>0.11724</v>
      </c>
      <c r="F67">
        <v>53528370.100000001</v>
      </c>
      <c r="G67">
        <v>0.11724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-0.46255974508762626</v>
      </c>
      <c r="Q67">
        <f t="shared" ref="Q67" si="311">F67*P67</f>
        <v>-24760069.228412118</v>
      </c>
      <c r="R67">
        <f t="shared" ref="R67" si="312">R68+Q67</f>
        <v>-2614506928.1280928</v>
      </c>
      <c r="S67">
        <f t="shared" ref="S67" si="313">R67/100000</f>
        <v>-26145.069281280928</v>
      </c>
      <c r="T67">
        <f t="shared" ref="T67" si="314">S67/1000</f>
        <v>-26.145069281280929</v>
      </c>
    </row>
    <row r="68" spans="1:20" x14ac:dyDescent="0.25">
      <c r="A68" s="5">
        <v>44525</v>
      </c>
      <c r="B68">
        <v>0.13228000000000001</v>
      </c>
      <c r="C68">
        <v>0.14330000000000001</v>
      </c>
      <c r="D68">
        <v>0.12401</v>
      </c>
      <c r="E68">
        <v>0.12986</v>
      </c>
      <c r="F68">
        <v>92228275.5</v>
      </c>
      <c r="G68">
        <v>0.12986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-0.39346811819595612</v>
      </c>
      <c r="Q68">
        <f t="shared" ref="Q68" si="316">F68*P68</f>
        <v>-36288886.0054432</v>
      </c>
      <c r="R68">
        <f t="shared" ref="R68" si="317">R69+Q68</f>
        <v>-2589746858.8996806</v>
      </c>
      <c r="S68">
        <f t="shared" ref="S68" si="318">R68/100000</f>
        <v>-25897.468588996806</v>
      </c>
      <c r="T68">
        <f t="shared" ref="T68" si="319">S68/1000</f>
        <v>-25.897468588996805</v>
      </c>
    </row>
    <row r="69" spans="1:20" x14ac:dyDescent="0.25">
      <c r="A69" s="5">
        <v>44524</v>
      </c>
      <c r="B69">
        <v>0.13874</v>
      </c>
      <c r="C69">
        <v>0.13908000000000001</v>
      </c>
      <c r="D69">
        <v>0.13136999999999999</v>
      </c>
      <c r="E69">
        <v>0.13444999999999999</v>
      </c>
      <c r="F69">
        <v>37036764.5</v>
      </c>
      <c r="G69">
        <v>0.13444999999999999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-0.20103761348897783</v>
      </c>
      <c r="Q69">
        <f t="shared" ref="Q69" si="321">F69*P69</f>
        <v>-7445782.7464332953</v>
      </c>
      <c r="R69">
        <f t="shared" ref="R69" si="322">R70+Q69</f>
        <v>-2553457972.8942375</v>
      </c>
      <c r="S69">
        <f t="shared" ref="S69" si="323">R69/100000</f>
        <v>-25534.579728942375</v>
      </c>
      <c r="T69">
        <f t="shared" ref="T69" si="324">S69/1000</f>
        <v>-25.534579728942376</v>
      </c>
    </row>
    <row r="70" spans="1:20" x14ac:dyDescent="0.25">
      <c r="A70" s="5">
        <v>44523</v>
      </c>
      <c r="B70">
        <v>0.16066</v>
      </c>
      <c r="C70">
        <v>0.17377999999999999</v>
      </c>
      <c r="D70">
        <v>0.13199</v>
      </c>
      <c r="E70">
        <v>0.13879</v>
      </c>
      <c r="F70">
        <v>376844157.60000002</v>
      </c>
      <c r="G70">
        <v>0.13879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-0.67456329265374482</v>
      </c>
      <c r="Q70">
        <f t="shared" ref="Q70" si="326">F70*P70</f>
        <v>-254205235.76798275</v>
      </c>
      <c r="R70">
        <f t="shared" ref="R70" si="327">R71+Q70</f>
        <v>-2546012190.1478043</v>
      </c>
      <c r="S70">
        <f t="shared" ref="S70" si="328">R70/100000</f>
        <v>-25460.121901478044</v>
      </c>
      <c r="T70">
        <f t="shared" ref="T70" si="329">S70/1000</f>
        <v>-25.460121901478043</v>
      </c>
    </row>
    <row r="71" spans="1:20" x14ac:dyDescent="0.25">
      <c r="A71" s="5">
        <v>44522</v>
      </c>
      <c r="B71">
        <v>0.1205</v>
      </c>
      <c r="C71">
        <v>0.22</v>
      </c>
      <c r="D71">
        <v>0.11456</v>
      </c>
      <c r="E71">
        <v>0.16089999999999999</v>
      </c>
      <c r="F71">
        <v>987331948</v>
      </c>
      <c r="G71">
        <v>0.16089999999999999</v>
      </c>
      <c r="L71" t="s">
        <v>8</v>
      </c>
      <c r="M71" t="s">
        <v>8</v>
      </c>
      <c r="N71" t="s">
        <v>8</v>
      </c>
      <c r="P71">
        <f t="shared" ref="P71" si="330">IF(C71=D71,0,((E71-D71)-(C71-E71))/(C71-D71))</f>
        <v>-0.12101669195751158</v>
      </c>
      <c r="Q71">
        <f t="shared" ref="Q71" si="331">F71*P71</f>
        <v>-119483646.21092585</v>
      </c>
      <c r="R71">
        <f t="shared" ref="R71" si="332">R72+Q71</f>
        <v>-2291806954.3798213</v>
      </c>
      <c r="S71">
        <f t="shared" ref="S71" si="333">R71/100000</f>
        <v>-22918.069543798214</v>
      </c>
      <c r="T71">
        <f t="shared" ref="T71" si="334">S71/1000</f>
        <v>-22.918069543798214</v>
      </c>
    </row>
    <row r="72" spans="1:20" x14ac:dyDescent="0.25">
      <c r="A72" s="5">
        <v>44521</v>
      </c>
      <c r="B72">
        <v>0.12094000000000001</v>
      </c>
      <c r="C72">
        <v>0.12855</v>
      </c>
      <c r="D72">
        <v>0.11749999999999999</v>
      </c>
      <c r="E72">
        <v>0.12049</v>
      </c>
      <c r="F72">
        <v>43393434.899999999</v>
      </c>
      <c r="G72">
        <v>0.12049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-0.45882352941176374</v>
      </c>
      <c r="Q72">
        <f t="shared" ref="Q72" si="336">F72*P72</f>
        <v>-19909928.954117604</v>
      </c>
      <c r="R72">
        <f t="shared" ref="R72" si="337">R73+Q72</f>
        <v>-2172323308.1688952</v>
      </c>
      <c r="S72">
        <f t="shared" ref="S72" si="338">R72/100000</f>
        <v>-21723.233081688952</v>
      </c>
      <c r="T72">
        <f t="shared" ref="T72" si="339">S72/1000</f>
        <v>-21.723233081688953</v>
      </c>
    </row>
    <row r="73" spans="1:20" x14ac:dyDescent="0.25">
      <c r="A73" s="5">
        <v>44520</v>
      </c>
      <c r="B73">
        <v>0.11169</v>
      </c>
      <c r="C73">
        <v>0.12347</v>
      </c>
      <c r="D73">
        <v>0.10929999999999999</v>
      </c>
      <c r="E73">
        <v>0.12094000000000001</v>
      </c>
      <c r="F73">
        <v>56869369</v>
      </c>
      <c r="G73">
        <v>0.12094000000000001</v>
      </c>
      <c r="L73" t="s">
        <v>8</v>
      </c>
      <c r="M73" t="s">
        <v>8</v>
      </c>
      <c r="N73" t="s">
        <v>8</v>
      </c>
      <c r="P73">
        <f t="shared" ref="P73" si="340">IF(C73=D73,0,((E73-D73)-(C73-E73))/(C73-D73))</f>
        <v>0.64290755116443332</v>
      </c>
      <c r="Q73">
        <f t="shared" ref="Q73" si="341">F73*P73</f>
        <v>36561746.76005654</v>
      </c>
      <c r="R73">
        <f t="shared" ref="R73" si="342">R74+Q73</f>
        <v>-2152413379.2147775</v>
      </c>
      <c r="S73">
        <f t="shared" ref="S73" si="343">R73/100000</f>
        <v>-21524.133792147775</v>
      </c>
      <c r="T73">
        <f t="shared" ref="T73" si="344">S73/1000</f>
        <v>-21.524133792147776</v>
      </c>
    </row>
    <row r="74" spans="1:20" x14ac:dyDescent="0.25">
      <c r="A74" s="5">
        <v>44519</v>
      </c>
      <c r="B74">
        <v>0.10595</v>
      </c>
      <c r="C74">
        <v>0.11337999999999999</v>
      </c>
      <c r="D74">
        <v>0.10299999999999999</v>
      </c>
      <c r="E74">
        <v>0.11176999999999999</v>
      </c>
      <c r="F74">
        <v>17380421.600000001</v>
      </c>
      <c r="G74">
        <v>0.11176999999999999</v>
      </c>
      <c r="L74" t="s">
        <v>7</v>
      </c>
      <c r="M74" t="s">
        <v>7</v>
      </c>
      <c r="N74" t="s">
        <v>8</v>
      </c>
      <c r="P74">
        <f t="shared" ref="P74" si="345">IF(C74=D74,0,((E74-D74)-(C74-E74))/(C74-D74))</f>
        <v>0.68978805394990361</v>
      </c>
      <c r="Q74">
        <f t="shared" ref="Q74" si="346">F74*P74</f>
        <v>11988807.192292871</v>
      </c>
      <c r="R74">
        <f t="shared" ref="R74" si="347">R75+Q74</f>
        <v>-2188975125.974834</v>
      </c>
      <c r="S74">
        <f t="shared" ref="S74" si="348">R74/100000</f>
        <v>-21889.75125974834</v>
      </c>
      <c r="T74">
        <f t="shared" ref="T74" si="349">S74/1000</f>
        <v>-21.889751259748341</v>
      </c>
    </row>
    <row r="75" spans="1:20" x14ac:dyDescent="0.25">
      <c r="A75" s="5">
        <v>44518</v>
      </c>
      <c r="B75">
        <v>0.11713</v>
      </c>
      <c r="C75">
        <v>0.1193</v>
      </c>
      <c r="D75">
        <v>0.10523</v>
      </c>
      <c r="E75">
        <v>0.10613</v>
      </c>
      <c r="F75">
        <v>20895415.899999999</v>
      </c>
      <c r="G75">
        <v>0.10613</v>
      </c>
      <c r="L75" t="s">
        <v>7</v>
      </c>
      <c r="M75" t="s">
        <v>7</v>
      </c>
      <c r="N75" t="s">
        <v>8</v>
      </c>
      <c r="P75">
        <f t="shared" ref="P75" si="350">IF(C75=D75,0,((E75-D75)-(C75-E75))/(C75-D75))</f>
        <v>-0.87206823027718583</v>
      </c>
      <c r="Q75">
        <f t="shared" ref="Q75" si="351">F75*P75</f>
        <v>-18222228.36481877</v>
      </c>
      <c r="R75">
        <f t="shared" ref="R75" si="352">R76+Q75</f>
        <v>-2200963933.1671267</v>
      </c>
      <c r="S75">
        <f t="shared" ref="S75" si="353">R75/100000</f>
        <v>-22009.639331671267</v>
      </c>
      <c r="T75">
        <f t="shared" ref="T75" si="354">S75/1000</f>
        <v>-22.009639331671266</v>
      </c>
    </row>
    <row r="76" spans="1:20" x14ac:dyDescent="0.25">
      <c r="A76" s="5">
        <v>44517</v>
      </c>
      <c r="B76">
        <v>0.11064</v>
      </c>
      <c r="C76">
        <v>0.1193</v>
      </c>
      <c r="D76">
        <v>0.10767</v>
      </c>
      <c r="E76">
        <v>0.11723</v>
      </c>
      <c r="F76">
        <v>22510763.699999999</v>
      </c>
      <c r="G76">
        <v>0.11723</v>
      </c>
      <c r="L76" t="s">
        <v>8</v>
      </c>
      <c r="M76" t="s">
        <v>7</v>
      </c>
      <c r="N76" t="s">
        <v>8</v>
      </c>
      <c r="P76">
        <f t="shared" ref="P76" si="355">IF(C76=D76,0,((E76-D76)-(C76-E76))/(C76-D76))</f>
        <v>0.64402407566637965</v>
      </c>
      <c r="Q76">
        <f t="shared" ref="Q76" si="356">F76*P76</f>
        <v>14497473.784436792</v>
      </c>
      <c r="R76">
        <f t="shared" ref="R76" si="357">R77+Q76</f>
        <v>-2182741704.8023081</v>
      </c>
      <c r="S76">
        <f t="shared" ref="S76" si="358">R76/100000</f>
        <v>-21827.417048023082</v>
      </c>
      <c r="T76">
        <f t="shared" ref="T76" si="359">S76/1000</f>
        <v>-21.827417048023083</v>
      </c>
    </row>
    <row r="77" spans="1:20" x14ac:dyDescent="0.25">
      <c r="A77" s="5">
        <v>44516</v>
      </c>
      <c r="B77">
        <v>0.12277</v>
      </c>
      <c r="C77">
        <v>0.12286999999999999</v>
      </c>
      <c r="D77">
        <v>0.10638</v>
      </c>
      <c r="E77">
        <v>0.11069</v>
      </c>
      <c r="F77">
        <v>28655837.199999999</v>
      </c>
      <c r="G77">
        <v>0.11069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-0.47725894481503983</v>
      </c>
      <c r="Q77">
        <f t="shared" ref="Q77" si="361">F77*P77</f>
        <v>-13676254.624863565</v>
      </c>
      <c r="R77">
        <f t="shared" ref="R77" si="362">R78+Q77</f>
        <v>-2197239178.5867448</v>
      </c>
      <c r="S77">
        <f t="shared" ref="S77" si="363">R77/100000</f>
        <v>-21972.391785867447</v>
      </c>
      <c r="T77">
        <f t="shared" ref="T77" si="364">S77/1000</f>
        <v>-21.972391785867448</v>
      </c>
    </row>
    <row r="78" spans="1:20" x14ac:dyDescent="0.25">
      <c r="A78" s="5">
        <v>44515</v>
      </c>
      <c r="B78">
        <v>0.12526000000000001</v>
      </c>
      <c r="C78">
        <v>0.13200000000000001</v>
      </c>
      <c r="D78">
        <v>0.1215</v>
      </c>
      <c r="E78">
        <v>0.12285</v>
      </c>
      <c r="F78">
        <v>25658902</v>
      </c>
      <c r="G78">
        <v>0.12285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-0.74285714285714233</v>
      </c>
      <c r="Q78">
        <f t="shared" ref="Q78" si="366">F78*P78</f>
        <v>-19060898.628571413</v>
      </c>
      <c r="R78">
        <f t="shared" ref="R78" si="367">R79+Q78</f>
        <v>-2183562923.9618812</v>
      </c>
      <c r="S78">
        <f t="shared" ref="S78" si="368">R78/100000</f>
        <v>-21835.629239618811</v>
      </c>
      <c r="T78">
        <f t="shared" ref="T78" si="369">S78/1000</f>
        <v>-21.835629239618811</v>
      </c>
    </row>
    <row r="79" spans="1:20" x14ac:dyDescent="0.25">
      <c r="A79" s="5">
        <v>44514</v>
      </c>
      <c r="B79">
        <v>0.12567999999999999</v>
      </c>
      <c r="C79">
        <v>0.13289000000000001</v>
      </c>
      <c r="D79">
        <v>0.12028999999999999</v>
      </c>
      <c r="E79">
        <v>0.125</v>
      </c>
      <c r="F79">
        <v>28758502.899999999</v>
      </c>
      <c r="G79">
        <v>0.125</v>
      </c>
      <c r="L79" t="s">
        <v>8</v>
      </c>
      <c r="M79" t="s">
        <v>7</v>
      </c>
      <c r="N79" t="s">
        <v>8</v>
      </c>
      <c r="P79">
        <f t="shared" ref="P79" si="370">IF(C79=D79,0,((E79-D79)-(C79-E79))/(C79-D79))</f>
        <v>-0.25238095238095226</v>
      </c>
      <c r="Q79">
        <f t="shared" ref="Q79" si="371">F79*P79</f>
        <v>-7258098.3509523775</v>
      </c>
      <c r="R79">
        <f t="shared" ref="R79" si="372">R80+Q79</f>
        <v>-2164502025.3333097</v>
      </c>
      <c r="S79">
        <f t="shared" ref="S79" si="373">R79/100000</f>
        <v>-21645.020253333096</v>
      </c>
      <c r="T79">
        <f t="shared" ref="T79" si="374">S79/1000</f>
        <v>-21.645020253333097</v>
      </c>
    </row>
    <row r="80" spans="1:20" x14ac:dyDescent="0.25">
      <c r="A80" s="5">
        <v>44513</v>
      </c>
      <c r="B80">
        <v>0.12155000000000001</v>
      </c>
      <c r="C80">
        <v>0.13170000000000001</v>
      </c>
      <c r="D80">
        <v>0.12146999999999999</v>
      </c>
      <c r="E80">
        <v>0.1255</v>
      </c>
      <c r="F80">
        <v>36845112.899999999</v>
      </c>
      <c r="G80">
        <v>0.1255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-0.21212121212121229</v>
      </c>
      <c r="Q80">
        <f t="shared" ref="Q80" si="376">F80*P80</f>
        <v>-7815630.0090909153</v>
      </c>
      <c r="R80">
        <f t="shared" ref="R80" si="377">R81+Q80</f>
        <v>-2157243926.9823575</v>
      </c>
      <c r="S80">
        <f t="shared" ref="S80" si="378">R80/100000</f>
        <v>-21572.439269823575</v>
      </c>
      <c r="T80">
        <f t="shared" ref="T80" si="379">S80/1000</f>
        <v>-21.572439269823576</v>
      </c>
    </row>
    <row r="81" spans="1:20" x14ac:dyDescent="0.25">
      <c r="A81" s="5">
        <v>44512</v>
      </c>
      <c r="B81">
        <v>0.12372</v>
      </c>
      <c r="C81">
        <v>0.12801999999999999</v>
      </c>
      <c r="D81">
        <v>0.11544</v>
      </c>
      <c r="E81">
        <v>0.12161</v>
      </c>
      <c r="F81">
        <v>36440957.399999999</v>
      </c>
      <c r="G81">
        <v>0.12161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-1.9077901430842942E-2</v>
      </c>
      <c r="Q81">
        <f t="shared" ref="Q81" si="381">F81*P81</f>
        <v>-695216.99332274671</v>
      </c>
      <c r="R81">
        <f t="shared" ref="R81" si="382">R82+Q81</f>
        <v>-2149428296.9732666</v>
      </c>
      <c r="S81">
        <f t="shared" ref="S81" si="383">R81/100000</f>
        <v>-21494.282969732667</v>
      </c>
      <c r="T81">
        <f t="shared" ref="T81" si="384">S81/1000</f>
        <v>-21.494282969732666</v>
      </c>
    </row>
    <row r="82" spans="1:20" x14ac:dyDescent="0.25">
      <c r="A82" s="5">
        <v>44511</v>
      </c>
      <c r="B82">
        <v>0.11837</v>
      </c>
      <c r="C82">
        <v>0.12991</v>
      </c>
      <c r="D82">
        <v>0.11774999999999999</v>
      </c>
      <c r="E82">
        <v>0.12367</v>
      </c>
      <c r="F82">
        <v>28253122.600000001</v>
      </c>
      <c r="G82">
        <v>0.12367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-2.631578947368313E-2</v>
      </c>
      <c r="Q82">
        <f t="shared" ref="Q82" si="386">F82*P82</f>
        <v>-743503.22631575901</v>
      </c>
      <c r="R82">
        <f t="shared" ref="R82" si="387">R83+Q82</f>
        <v>-2148733079.9799438</v>
      </c>
      <c r="S82">
        <f t="shared" ref="S82" si="388">R82/100000</f>
        <v>-21487.330799799438</v>
      </c>
      <c r="T82">
        <f t="shared" ref="T82" si="389">S82/1000</f>
        <v>-21.487330799799437</v>
      </c>
    </row>
    <row r="83" spans="1:20" x14ac:dyDescent="0.25">
      <c r="A83" s="5">
        <v>44510</v>
      </c>
      <c r="B83">
        <v>0.12864999999999999</v>
      </c>
      <c r="C83">
        <v>0.13170000000000001</v>
      </c>
      <c r="D83">
        <v>0.115</v>
      </c>
      <c r="E83">
        <v>0.11854000000000001</v>
      </c>
      <c r="F83">
        <v>23706542.100000001</v>
      </c>
      <c r="G83">
        <v>0.11854000000000001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-0.57604790419161678</v>
      </c>
      <c r="Q83">
        <f t="shared" ref="Q83" si="391">F83*P83</f>
        <v>-13656103.892335331</v>
      </c>
      <c r="R83">
        <f t="shared" ref="R83" si="392">R84+Q83</f>
        <v>-2147989576.7536278</v>
      </c>
      <c r="S83">
        <f t="shared" ref="S83" si="393">R83/100000</f>
        <v>-21479.895767536276</v>
      </c>
      <c r="T83">
        <f t="shared" ref="T83" si="394">S83/1000</f>
        <v>-21.479895767536277</v>
      </c>
    </row>
    <row r="84" spans="1:20" x14ac:dyDescent="0.25">
      <c r="A84" s="5">
        <v>44509</v>
      </c>
      <c r="B84">
        <v>0.13494999999999999</v>
      </c>
      <c r="C84">
        <v>0.13730000000000001</v>
      </c>
      <c r="D84">
        <v>0.12816</v>
      </c>
      <c r="E84">
        <v>0.12864999999999999</v>
      </c>
      <c r="F84">
        <v>21044023.800000001</v>
      </c>
      <c r="G84">
        <v>0.12864999999999999</v>
      </c>
      <c r="L84" t="s">
        <v>7</v>
      </c>
      <c r="M84" t="s">
        <v>8</v>
      </c>
      <c r="N84" t="s">
        <v>8</v>
      </c>
      <c r="P84">
        <f t="shared" ref="P84" si="395">IF(C84=D84,0,((E84-D84)-(C84-E84))/(C84-D84))</f>
        <v>-0.89277899343545075</v>
      </c>
      <c r="Q84">
        <f t="shared" ref="Q84" si="396">F84*P84</f>
        <v>-18787662.385995671</v>
      </c>
      <c r="R84">
        <f t="shared" ref="R84" si="397">R85+Q84</f>
        <v>-2134333472.8612924</v>
      </c>
      <c r="S84">
        <f t="shared" ref="S84" si="398">R84/100000</f>
        <v>-21343.334728612925</v>
      </c>
      <c r="T84">
        <f t="shared" ref="T84" si="399">S84/1000</f>
        <v>-21.343334728612923</v>
      </c>
    </row>
    <row r="85" spans="1:20" x14ac:dyDescent="0.25">
      <c r="A85" s="5">
        <v>44508</v>
      </c>
      <c r="B85">
        <v>0.12720000000000001</v>
      </c>
      <c r="C85">
        <v>0.14299999999999999</v>
      </c>
      <c r="D85">
        <v>0.12562999999999999</v>
      </c>
      <c r="E85">
        <v>0.13525000000000001</v>
      </c>
      <c r="F85">
        <v>69883773.799999997</v>
      </c>
      <c r="G85">
        <v>0.13525000000000001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0.10765687967760729</v>
      </c>
      <c r="Q85">
        <f t="shared" ref="Q85" si="401">F85*P85</f>
        <v>7523469.0274037244</v>
      </c>
      <c r="R85">
        <f t="shared" ref="R85" si="402">R86+Q85</f>
        <v>-2115545810.4752967</v>
      </c>
      <c r="S85">
        <f t="shared" ref="S85" si="403">R85/100000</f>
        <v>-21155.458104752968</v>
      </c>
      <c r="T85">
        <f t="shared" ref="T85" si="404">S85/1000</f>
        <v>-21.155458104752967</v>
      </c>
    </row>
    <row r="86" spans="1:20" x14ac:dyDescent="0.25">
      <c r="A86" s="5">
        <v>44507</v>
      </c>
      <c r="B86">
        <v>0.12195</v>
      </c>
      <c r="C86">
        <v>0.13447000000000001</v>
      </c>
      <c r="D86">
        <v>0.11916</v>
      </c>
      <c r="E86">
        <v>0.12701000000000001</v>
      </c>
      <c r="F86">
        <v>59963449.600000001</v>
      </c>
      <c r="G86">
        <v>0.12701000000000001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2.5473546701503282E-2</v>
      </c>
      <c r="Q86">
        <f t="shared" ref="Q86" si="406">F86*P86</f>
        <v>1527481.7337688385</v>
      </c>
      <c r="R86">
        <f t="shared" ref="R86" si="407">R87+Q86</f>
        <v>-2123069279.5027006</v>
      </c>
      <c r="S86">
        <f t="shared" ref="S86" si="408">R86/100000</f>
        <v>-21230.692795027007</v>
      </c>
      <c r="T86">
        <f t="shared" ref="T86" si="409">S86/1000</f>
        <v>-21.230692795027007</v>
      </c>
    </row>
    <row r="87" spans="1:20" x14ac:dyDescent="0.25">
      <c r="A87" s="5">
        <v>44506</v>
      </c>
      <c r="B87">
        <v>0.11788999999999999</v>
      </c>
      <c r="C87">
        <v>0.12291000000000001</v>
      </c>
      <c r="D87">
        <v>0.1125</v>
      </c>
      <c r="E87">
        <v>0.12169000000000001</v>
      </c>
      <c r="F87">
        <v>24529683.5</v>
      </c>
      <c r="G87">
        <v>0.12169000000000001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0.76560999039385236</v>
      </c>
      <c r="Q87">
        <f t="shared" ref="Q87" si="411">F87*P87</f>
        <v>18780170.748799238</v>
      </c>
      <c r="R87">
        <f t="shared" ref="R87" si="412">R88+Q87</f>
        <v>-2124596761.2364695</v>
      </c>
      <c r="S87">
        <f t="shared" ref="S87" si="413">R87/100000</f>
        <v>-21245.967612364697</v>
      </c>
      <c r="T87">
        <f t="shared" ref="T87" si="414">S87/1000</f>
        <v>-21.245967612364698</v>
      </c>
    </row>
    <row r="88" spans="1:20" x14ac:dyDescent="0.25">
      <c r="A88" s="5">
        <v>44505</v>
      </c>
      <c r="B88">
        <v>0.12157</v>
      </c>
      <c r="C88">
        <v>0.12499</v>
      </c>
      <c r="D88">
        <v>0.11402</v>
      </c>
      <c r="E88">
        <v>0.11788999999999999</v>
      </c>
      <c r="F88">
        <v>26252779.800000001</v>
      </c>
      <c r="G88">
        <v>0.11788999999999999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-0.29443938012762155</v>
      </c>
      <c r="Q88">
        <f t="shared" ref="Q88" si="416">F88*P88</f>
        <v>-7729852.2109389445</v>
      </c>
      <c r="R88">
        <f t="shared" ref="R88" si="417">R89+Q88</f>
        <v>-2143376931.9852688</v>
      </c>
      <c r="S88">
        <f t="shared" ref="S88" si="418">R88/100000</f>
        <v>-21433.769319852687</v>
      </c>
      <c r="T88">
        <f t="shared" ref="T88" si="419">S88/1000</f>
        <v>-21.433769319852686</v>
      </c>
    </row>
    <row r="89" spans="1:20" x14ac:dyDescent="0.25">
      <c r="A89" s="5">
        <v>44504</v>
      </c>
      <c r="B89">
        <v>0.12285</v>
      </c>
      <c r="C89">
        <v>0.14399999999999999</v>
      </c>
      <c r="D89">
        <v>0.1172</v>
      </c>
      <c r="E89">
        <v>0.12157</v>
      </c>
      <c r="F89">
        <v>124908526.8</v>
      </c>
      <c r="G89">
        <v>0.12157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-0.67388059701492531</v>
      </c>
      <c r="Q89">
        <f t="shared" ref="Q89" si="421">F89*P89</f>
        <v>-84173432.612238795</v>
      </c>
      <c r="R89">
        <f t="shared" ref="R89" si="422">R90+Q89</f>
        <v>-2135647079.7743299</v>
      </c>
      <c r="S89">
        <f t="shared" ref="S89" si="423">R89/100000</f>
        <v>-21356.470797743299</v>
      </c>
      <c r="T89">
        <f t="shared" ref="T89" si="424">S89/1000</f>
        <v>-21.356470797743299</v>
      </c>
    </row>
    <row r="90" spans="1:20" x14ac:dyDescent="0.25">
      <c r="A90" s="5">
        <v>44503</v>
      </c>
      <c r="B90">
        <v>0.11413</v>
      </c>
      <c r="C90">
        <v>0.12436</v>
      </c>
      <c r="D90">
        <v>0.11276</v>
      </c>
      <c r="E90">
        <v>0.12263</v>
      </c>
      <c r="F90">
        <v>71105812.400000006</v>
      </c>
      <c r="G90">
        <v>0.12263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0.70172413793103527</v>
      </c>
      <c r="Q90">
        <f t="shared" ref="Q90" si="426">F90*P90</f>
        <v>49896664.908275925</v>
      </c>
      <c r="R90">
        <f t="shared" ref="R90" si="427">R91+Q90</f>
        <v>-2051473647.162091</v>
      </c>
      <c r="S90">
        <f t="shared" ref="S90" si="428">R90/100000</f>
        <v>-20514.736471620909</v>
      </c>
      <c r="T90">
        <f t="shared" ref="T90" si="429">S90/1000</f>
        <v>-20.514736471620907</v>
      </c>
    </row>
    <row r="91" spans="1:20" x14ac:dyDescent="0.25">
      <c r="A91" s="5">
        <v>44502</v>
      </c>
      <c r="B91">
        <v>0.11376</v>
      </c>
      <c r="C91">
        <v>0.11675000000000001</v>
      </c>
      <c r="D91">
        <v>0.11214</v>
      </c>
      <c r="E91">
        <v>0.11384</v>
      </c>
      <c r="F91">
        <v>19202486.100000001</v>
      </c>
      <c r="G91">
        <v>0.11384</v>
      </c>
      <c r="L91" t="s">
        <v>7</v>
      </c>
      <c r="M91" t="s">
        <v>7</v>
      </c>
      <c r="N91" t="s">
        <v>8</v>
      </c>
      <c r="P91">
        <f t="shared" ref="P91" si="430">IF(C91=D91,0,((E91-D91)-(C91-E91))/(C91-D91))</f>
        <v>-0.2624728850325414</v>
      </c>
      <c r="Q91">
        <f t="shared" ref="Q91" si="431">F91*P91</f>
        <v>-5040131.9264642745</v>
      </c>
      <c r="R91">
        <f t="shared" ref="R91" si="432">R92+Q91</f>
        <v>-2101370312.0703669</v>
      </c>
      <c r="S91">
        <f t="shared" ref="S91" si="433">R91/100000</f>
        <v>-21013.703120703667</v>
      </c>
      <c r="T91">
        <f t="shared" ref="T91" si="434">S91/1000</f>
        <v>-21.013703120703667</v>
      </c>
    </row>
    <row r="92" spans="1:20" x14ac:dyDescent="0.25">
      <c r="A92" s="5">
        <v>44501</v>
      </c>
      <c r="B92">
        <v>0.11620999999999999</v>
      </c>
      <c r="C92">
        <v>0.11738999999999999</v>
      </c>
      <c r="D92">
        <v>0.10921</v>
      </c>
      <c r="E92">
        <v>0.11376</v>
      </c>
      <c r="F92">
        <v>16768996.9</v>
      </c>
      <c r="G92">
        <v>0.11376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0.11246943765281234</v>
      </c>
      <c r="Q92">
        <f t="shared" ref="Q92" si="436">F92*P92</f>
        <v>1885999.6513447533</v>
      </c>
      <c r="R92">
        <f t="shared" ref="R92" si="437">R93+Q92</f>
        <v>-2096330180.1439025</v>
      </c>
      <c r="S92">
        <f t="shared" ref="S92" si="438">R92/100000</f>
        <v>-20963.301801439025</v>
      </c>
      <c r="T92">
        <f t="shared" ref="T92" si="439">S92/1000</f>
        <v>-20.963301801439027</v>
      </c>
    </row>
    <row r="93" spans="1:20" x14ac:dyDescent="0.25">
      <c r="A93" s="5">
        <v>44500</v>
      </c>
      <c r="B93">
        <v>0.11135</v>
      </c>
      <c r="C93">
        <v>0.1225</v>
      </c>
      <c r="D93">
        <v>0.10920000000000001</v>
      </c>
      <c r="E93">
        <v>0.11652</v>
      </c>
      <c r="F93">
        <v>51100202.799999997</v>
      </c>
      <c r="G93">
        <v>0.11652</v>
      </c>
      <c r="L93" t="s">
        <v>8</v>
      </c>
      <c r="M93" t="s">
        <v>7</v>
      </c>
      <c r="N93" t="s">
        <v>8</v>
      </c>
      <c r="P93">
        <f t="shared" ref="P93" si="440">IF(C93=D93,0,((E93-D93)-(C93-E93))/(C93-D93))</f>
        <v>0.10075187969924773</v>
      </c>
      <c r="Q93">
        <f t="shared" ref="Q93" si="441">F93*P93</f>
        <v>5148441.4851127621</v>
      </c>
      <c r="R93">
        <f t="shared" ref="R93" si="442">R94+Q93</f>
        <v>-2098216179.7952473</v>
      </c>
      <c r="S93">
        <f t="shared" ref="S93" si="443">R93/100000</f>
        <v>-20982.161797952474</v>
      </c>
      <c r="T93">
        <f t="shared" ref="T93" si="444">S93/1000</f>
        <v>-20.982161797952475</v>
      </c>
    </row>
    <row r="94" spans="1:20" x14ac:dyDescent="0.25">
      <c r="A94" s="5">
        <v>44499</v>
      </c>
      <c r="B94">
        <v>0.11248</v>
      </c>
      <c r="C94">
        <v>0.11325</v>
      </c>
      <c r="D94">
        <v>0.10816000000000001</v>
      </c>
      <c r="E94">
        <v>0.11135</v>
      </c>
      <c r="F94">
        <v>17371253.800000001</v>
      </c>
      <c r="G94">
        <v>0.11135</v>
      </c>
      <c r="L94" t="s">
        <v>7</v>
      </c>
      <c r="M94" t="s">
        <v>7</v>
      </c>
      <c r="N94" t="s">
        <v>8</v>
      </c>
      <c r="P94">
        <f t="shared" ref="P94" si="445">IF(C94=D94,0,((E94-D94)-(C94-E94))/(C94-D94))</f>
        <v>0.25343811394891946</v>
      </c>
      <c r="Q94">
        <f t="shared" ref="Q94" si="446">F94*P94</f>
        <v>4402537.8000000007</v>
      </c>
      <c r="R94">
        <f t="shared" ref="R94" si="447">R95+Q94</f>
        <v>-2103364621.28036</v>
      </c>
      <c r="S94">
        <f t="shared" ref="S94" si="448">R94/100000</f>
        <v>-21033.6462128036</v>
      </c>
      <c r="T94">
        <f t="shared" ref="T94" si="449">S94/1000</f>
        <v>-21.0336462128036</v>
      </c>
    </row>
    <row r="95" spans="1:20" x14ac:dyDescent="0.25">
      <c r="A95" s="5">
        <v>44498</v>
      </c>
      <c r="B95">
        <v>0.11006000000000001</v>
      </c>
      <c r="C95">
        <v>0.11661000000000001</v>
      </c>
      <c r="D95">
        <v>0.10979999999999999</v>
      </c>
      <c r="E95">
        <v>0.11247</v>
      </c>
      <c r="F95">
        <v>18598893.199999999</v>
      </c>
      <c r="G95">
        <v>0.11247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-0.21585903083700395</v>
      </c>
      <c r="Q95">
        <f t="shared" ref="Q95" si="451">F95*P95</f>
        <v>-4014739.060792943</v>
      </c>
      <c r="R95">
        <f t="shared" ref="R95" si="452">R96+Q95</f>
        <v>-2107767159.0803599</v>
      </c>
      <c r="S95">
        <f t="shared" ref="S95" si="453">R95/100000</f>
        <v>-21077.671590803599</v>
      </c>
      <c r="T95">
        <f t="shared" ref="T95" si="454">S95/1000</f>
        <v>-21.077671590803597</v>
      </c>
    </row>
    <row r="96" spans="1:20" x14ac:dyDescent="0.25">
      <c r="A96" s="5">
        <v>44497</v>
      </c>
      <c r="B96">
        <v>0.10730000000000001</v>
      </c>
      <c r="C96">
        <v>0.11302</v>
      </c>
      <c r="D96">
        <v>0.10569000000000001</v>
      </c>
      <c r="E96">
        <v>0.11001</v>
      </c>
      <c r="F96">
        <v>18818276.399999999</v>
      </c>
      <c r="G96">
        <v>0.11001</v>
      </c>
      <c r="L96" t="s">
        <v>7</v>
      </c>
      <c r="M96" t="s">
        <v>7</v>
      </c>
      <c r="N96" t="s">
        <v>8</v>
      </c>
      <c r="P96">
        <f t="shared" ref="P96" si="455">IF(C96=D96,0,((E96-D96)-(C96-E96))/(C96-D96))</f>
        <v>0.17871759890859396</v>
      </c>
      <c r="Q96">
        <f t="shared" ref="Q96" si="456">F96*P96</f>
        <v>3363157.1738062589</v>
      </c>
      <c r="R96">
        <f t="shared" ref="R96" si="457">R97+Q96</f>
        <v>-2103752420.019567</v>
      </c>
      <c r="S96">
        <f t="shared" ref="S96" si="458">R96/100000</f>
        <v>-21037.524200195669</v>
      </c>
      <c r="T96">
        <f t="shared" ref="T96" si="459">S96/1000</f>
        <v>-21.037524200195669</v>
      </c>
    </row>
    <row r="97" spans="1:20" x14ac:dyDescent="0.25">
      <c r="A97" s="5">
        <v>44496</v>
      </c>
      <c r="B97">
        <v>0.12117</v>
      </c>
      <c r="C97">
        <v>0.12243999999999999</v>
      </c>
      <c r="D97">
        <v>0.10662000000000001</v>
      </c>
      <c r="E97">
        <v>0.10704</v>
      </c>
      <c r="F97">
        <v>33341743.899999999</v>
      </c>
      <c r="G97">
        <v>0.10704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-0.94690265486725789</v>
      </c>
      <c r="Q97">
        <f t="shared" ref="Q97" si="461">F97*P97</f>
        <v>-31571385.816814199</v>
      </c>
      <c r="R97">
        <f t="shared" ref="R97" si="462">R98+Q97</f>
        <v>-2107115577.1933732</v>
      </c>
      <c r="S97">
        <f t="shared" ref="S97" si="463">R97/100000</f>
        <v>-21071.155771933732</v>
      </c>
      <c r="T97">
        <f t="shared" ref="T97" si="464">S97/1000</f>
        <v>-21.071155771933732</v>
      </c>
    </row>
    <row r="98" spans="1:20" x14ac:dyDescent="0.25">
      <c r="A98" s="5">
        <v>44495</v>
      </c>
      <c r="B98">
        <v>0.11372</v>
      </c>
      <c r="C98">
        <v>0.12767999999999999</v>
      </c>
      <c r="D98">
        <v>0.11319</v>
      </c>
      <c r="E98">
        <v>0.12118</v>
      </c>
      <c r="F98">
        <v>47887527.5</v>
      </c>
      <c r="G98">
        <v>0.12118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0.10282953761214675</v>
      </c>
      <c r="Q98">
        <f t="shared" ref="Q98" si="466">F98*P98</f>
        <v>4924252.3102139616</v>
      </c>
      <c r="R98">
        <f t="shared" ref="R98" si="467">R99+Q98</f>
        <v>-2075544191.376559</v>
      </c>
      <c r="S98">
        <f t="shared" ref="S98" si="468">R98/100000</f>
        <v>-20755.44191376559</v>
      </c>
      <c r="T98">
        <f t="shared" ref="T98" si="469">S98/1000</f>
        <v>-20.755441913765591</v>
      </c>
    </row>
    <row r="99" spans="1:20" x14ac:dyDescent="0.25">
      <c r="A99" s="5">
        <v>44494</v>
      </c>
      <c r="B99">
        <v>0.11172</v>
      </c>
      <c r="C99">
        <v>0.11879000000000001</v>
      </c>
      <c r="D99">
        <v>0.11053</v>
      </c>
      <c r="E99">
        <v>0.11373</v>
      </c>
      <c r="F99">
        <v>26461527.300000001</v>
      </c>
      <c r="G99">
        <v>0.11373</v>
      </c>
      <c r="L99" t="s">
        <v>8</v>
      </c>
      <c r="M99" t="s">
        <v>7</v>
      </c>
      <c r="N99" t="s">
        <v>8</v>
      </c>
      <c r="P99">
        <f t="shared" ref="P99" si="470">IF(C99=D99,0,((E99-D99)-(C99-E99))/(C99-D99))</f>
        <v>-0.22518159806295565</v>
      </c>
      <c r="Q99">
        <f t="shared" ref="Q99" si="471">F99*P99</f>
        <v>-5958649.0046005286</v>
      </c>
      <c r="R99">
        <f t="shared" ref="R99" si="472">R100+Q99</f>
        <v>-2080468443.6867731</v>
      </c>
      <c r="S99">
        <f t="shared" ref="S99" si="473">R99/100000</f>
        <v>-20804.68443686773</v>
      </c>
      <c r="T99">
        <f t="shared" ref="T99" si="474">S99/1000</f>
        <v>-20.804684436867731</v>
      </c>
    </row>
    <row r="100" spans="1:20" x14ac:dyDescent="0.25">
      <c r="A100" s="5">
        <v>44493</v>
      </c>
      <c r="B100">
        <v>0.11745</v>
      </c>
      <c r="C100">
        <v>0.11784</v>
      </c>
      <c r="D100">
        <v>0.11003</v>
      </c>
      <c r="E100">
        <v>0.11194</v>
      </c>
      <c r="F100">
        <v>16626691.800000001</v>
      </c>
      <c r="G100">
        <v>0.11194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-0.51088348271446971</v>
      </c>
      <c r="Q100">
        <f t="shared" ref="Q100" si="476">F100*P100</f>
        <v>-8494302.2128041163</v>
      </c>
      <c r="R100">
        <f t="shared" ref="R100" si="477">R101+Q100</f>
        <v>-2074509794.6821725</v>
      </c>
      <c r="S100">
        <f t="shared" ref="S100" si="478">R100/100000</f>
        <v>-20745.097946821727</v>
      </c>
      <c r="T100">
        <f t="shared" ref="T100" si="479">S100/1000</f>
        <v>-20.745097946821726</v>
      </c>
    </row>
    <row r="101" spans="1:20" x14ac:dyDescent="0.25">
      <c r="A101" s="5">
        <v>44492</v>
      </c>
      <c r="B101">
        <v>0.11607000000000001</v>
      </c>
      <c r="C101">
        <v>0.1217</v>
      </c>
      <c r="D101">
        <v>0.11509</v>
      </c>
      <c r="E101">
        <v>0.11745</v>
      </c>
      <c r="F101">
        <v>24126732.399999999</v>
      </c>
      <c r="G101">
        <v>0.11745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-0.28593040847201234</v>
      </c>
      <c r="Q101">
        <f t="shared" ref="Q101" si="481">F101*P101</f>
        <v>-6898566.4502269346</v>
      </c>
      <c r="R101">
        <f t="shared" ref="R101" si="482">R102+Q101</f>
        <v>-2066015492.4693685</v>
      </c>
      <c r="S101">
        <f t="shared" ref="S101" si="483">R101/100000</f>
        <v>-20660.154924693685</v>
      </c>
      <c r="T101">
        <f t="shared" ref="T101" si="484">S101/1000</f>
        <v>-20.660154924693686</v>
      </c>
    </row>
    <row r="102" spans="1:20" x14ac:dyDescent="0.25">
      <c r="A102" s="5">
        <v>44491</v>
      </c>
      <c r="B102">
        <v>0.11852</v>
      </c>
      <c r="C102">
        <v>0.12396</v>
      </c>
      <c r="D102">
        <v>0.114</v>
      </c>
      <c r="E102">
        <v>0.11595999999999999</v>
      </c>
      <c r="F102">
        <v>29892322</v>
      </c>
      <c r="G102">
        <v>0.11595999999999999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-0.60642570281124697</v>
      </c>
      <c r="Q102">
        <f t="shared" ref="Q102" si="486">F102*P102</f>
        <v>-18127472.377510101</v>
      </c>
      <c r="R102">
        <f t="shared" ref="R102" si="487">R103+Q102</f>
        <v>-2059116926.0191414</v>
      </c>
      <c r="S102">
        <f t="shared" ref="S102" si="488">R102/100000</f>
        <v>-20591.169260191415</v>
      </c>
      <c r="T102">
        <f t="shared" ref="T102" si="489">S102/1000</f>
        <v>-20.591169260191414</v>
      </c>
    </row>
    <row r="103" spans="1:20" x14ac:dyDescent="0.25">
      <c r="A103" s="5">
        <v>44490</v>
      </c>
      <c r="B103">
        <v>0.11489000000000001</v>
      </c>
      <c r="C103">
        <v>0.13167000000000001</v>
      </c>
      <c r="D103">
        <v>0.11296</v>
      </c>
      <c r="E103">
        <v>0.11836000000000001</v>
      </c>
      <c r="F103">
        <v>107337711.8</v>
      </c>
      <c r="G103">
        <v>0.11836000000000001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-0.42276857295563863</v>
      </c>
      <c r="Q103">
        <f t="shared" ref="Q103" si="491">F103*P103</f>
        <v>-45379011.24200961</v>
      </c>
      <c r="R103">
        <f t="shared" ref="R103" si="492">R104+Q103</f>
        <v>-2040989453.6416314</v>
      </c>
      <c r="S103">
        <f t="shared" ref="S103" si="493">R103/100000</f>
        <v>-20409.894536416312</v>
      </c>
      <c r="T103">
        <f t="shared" ref="T103" si="494">S103/1000</f>
        <v>-20.409894536416314</v>
      </c>
    </row>
    <row r="104" spans="1:20" x14ac:dyDescent="0.25">
      <c r="A104" s="5">
        <v>44489</v>
      </c>
      <c r="B104">
        <v>0.11244</v>
      </c>
      <c r="C104">
        <v>0.11787</v>
      </c>
      <c r="D104">
        <v>0.10992</v>
      </c>
      <c r="E104">
        <v>0.11484999999999999</v>
      </c>
      <c r="F104">
        <v>16273167.800000001</v>
      </c>
      <c r="G104">
        <v>0.11484999999999999</v>
      </c>
      <c r="L104" t="s">
        <v>7</v>
      </c>
      <c r="M104" t="s">
        <v>7</v>
      </c>
      <c r="N104" t="s">
        <v>8</v>
      </c>
      <c r="P104">
        <f t="shared" ref="P104" si="495">IF(C104=D104,0,((E104-D104)-(C104-E104))/(C104-D104))</f>
        <v>0.2402515723270417</v>
      </c>
      <c r="Q104">
        <f t="shared" ref="Q104" si="496">F104*P104</f>
        <v>3909654.1506917863</v>
      </c>
      <c r="R104">
        <f t="shared" ref="R104" si="497">R105+Q104</f>
        <v>-1995610442.3996217</v>
      </c>
      <c r="S104">
        <f t="shared" ref="S104" si="498">R104/100000</f>
        <v>-19956.104423996218</v>
      </c>
      <c r="T104">
        <f t="shared" ref="T104" si="499">S104/1000</f>
        <v>-19.956104423996216</v>
      </c>
    </row>
    <row r="105" spans="1:20" x14ac:dyDescent="0.25">
      <c r="A105" s="5">
        <v>44488</v>
      </c>
      <c r="B105">
        <v>0.11122</v>
      </c>
      <c r="C105">
        <v>0.11798</v>
      </c>
      <c r="D105">
        <v>0.1086</v>
      </c>
      <c r="E105">
        <v>0.11244</v>
      </c>
      <c r="F105">
        <v>28041887.600000001</v>
      </c>
      <c r="G105">
        <v>0.11244</v>
      </c>
      <c r="L105" t="s">
        <v>8</v>
      </c>
      <c r="M105" t="s">
        <v>7</v>
      </c>
      <c r="N105" t="s">
        <v>8</v>
      </c>
      <c r="P105">
        <f t="shared" ref="P105" si="500">IF(C105=D105,0,((E105-D105)-(C105-E105))/(C105-D105))</f>
        <v>-0.18123667377398797</v>
      </c>
      <c r="Q105">
        <f t="shared" ref="Q105" si="501">F105*P105</f>
        <v>-5082218.4349680385</v>
      </c>
      <c r="R105">
        <f t="shared" ref="R105" si="502">R106+Q105</f>
        <v>-1999520096.5503135</v>
      </c>
      <c r="S105">
        <f t="shared" ref="S105" si="503">R105/100000</f>
        <v>-19995.200965503136</v>
      </c>
      <c r="T105">
        <f t="shared" ref="T105" si="504">S105/1000</f>
        <v>-19.995200965503138</v>
      </c>
    </row>
    <row r="106" spans="1:20" x14ac:dyDescent="0.25">
      <c r="A106" s="5">
        <v>44487</v>
      </c>
      <c r="B106">
        <v>0.11409999999999999</v>
      </c>
      <c r="C106">
        <v>0.11799999999999999</v>
      </c>
      <c r="D106">
        <v>0.10865</v>
      </c>
      <c r="E106">
        <v>0.11131000000000001</v>
      </c>
      <c r="F106">
        <v>40924777.100000001</v>
      </c>
      <c r="G106">
        <v>0.11131000000000001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-0.43101604278074646</v>
      </c>
      <c r="Q106">
        <f t="shared" ref="Q106" si="506">F106*P106</f>
        <v>-17639235.477326114</v>
      </c>
      <c r="R106">
        <f t="shared" ref="R106" si="507">R107+Q106</f>
        <v>-1994437878.1153455</v>
      </c>
      <c r="S106">
        <f t="shared" ref="S106" si="508">R106/100000</f>
        <v>-19944.378781153453</v>
      </c>
      <c r="T106">
        <f t="shared" ref="T106" si="509">S106/1000</f>
        <v>-19.944378781153453</v>
      </c>
    </row>
    <row r="107" spans="1:20" x14ac:dyDescent="0.25">
      <c r="A107" s="5">
        <v>44486</v>
      </c>
      <c r="B107">
        <v>0.11302</v>
      </c>
      <c r="C107">
        <v>0.13800000000000001</v>
      </c>
      <c r="D107">
        <v>0.1099</v>
      </c>
      <c r="E107">
        <v>0.11378000000000001</v>
      </c>
      <c r="F107">
        <v>116899578</v>
      </c>
      <c r="G107">
        <v>0.11378000000000001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-0.7238434163701063</v>
      </c>
      <c r="Q107">
        <f t="shared" ref="Q107" si="511">F107*P107</f>
        <v>-84616989.911743715</v>
      </c>
      <c r="R107">
        <f t="shared" ref="R107" si="512">R108+Q107</f>
        <v>-1976798642.6380193</v>
      </c>
      <c r="S107">
        <f t="shared" ref="S107" si="513">R107/100000</f>
        <v>-19767.986426380194</v>
      </c>
      <c r="T107">
        <f t="shared" ref="T107" si="514">S107/1000</f>
        <v>-19.767986426380194</v>
      </c>
    </row>
    <row r="108" spans="1:20" x14ac:dyDescent="0.25">
      <c r="A108" s="5">
        <v>44485</v>
      </c>
      <c r="B108">
        <v>0.11438</v>
      </c>
      <c r="C108">
        <v>0.12511</v>
      </c>
      <c r="D108">
        <v>0.11211</v>
      </c>
      <c r="E108">
        <v>0.113</v>
      </c>
      <c r="F108">
        <v>43028005.799999997</v>
      </c>
      <c r="G108">
        <v>0.113</v>
      </c>
      <c r="L108" t="s">
        <v>7</v>
      </c>
      <c r="M108" t="s">
        <v>8</v>
      </c>
      <c r="N108" t="s">
        <v>7</v>
      </c>
      <c r="P108">
        <f t="shared" ref="P108" si="515">IF(C108=D108,0,((E108-D108)-(C108-E108))/(C108-D108))</f>
        <v>-0.86307692307692274</v>
      </c>
      <c r="Q108">
        <f t="shared" ref="Q108" si="516">F108*P108</f>
        <v>-37136478.851999983</v>
      </c>
      <c r="R108">
        <f t="shared" ref="R108" si="517">R109+Q108</f>
        <v>-1892181652.7262757</v>
      </c>
      <c r="S108">
        <f t="shared" ref="S108" si="518">R108/100000</f>
        <v>-18921.816527262756</v>
      </c>
      <c r="T108">
        <f t="shared" ref="T108" si="519">S108/1000</f>
        <v>-18.921816527262756</v>
      </c>
    </row>
    <row r="109" spans="1:20" x14ac:dyDescent="0.25">
      <c r="A109" s="5">
        <v>44484</v>
      </c>
      <c r="B109">
        <v>0.10975</v>
      </c>
      <c r="C109">
        <v>0.12511</v>
      </c>
      <c r="D109">
        <v>0.106</v>
      </c>
      <c r="E109">
        <v>0.11418</v>
      </c>
      <c r="F109">
        <v>82345744.5</v>
      </c>
      <c r="G109">
        <v>0.11418</v>
      </c>
      <c r="L109" t="s">
        <v>8</v>
      </c>
      <c r="M109" t="s">
        <v>8</v>
      </c>
      <c r="N109" t="s">
        <v>7</v>
      </c>
      <c r="P109">
        <f t="shared" ref="P109" si="520">IF(C109=D109,0,((E109-D109)-(C109-E109))/(C109-D109))</f>
        <v>-0.14390371533228616</v>
      </c>
      <c r="Q109">
        <f t="shared" ref="Q109" si="521">F109*P109</f>
        <v>-11849858.575353168</v>
      </c>
      <c r="R109">
        <f t="shared" ref="R109" si="522">R110+Q109</f>
        <v>-1855045173.8742757</v>
      </c>
      <c r="S109">
        <f t="shared" ref="S109" si="523">R109/100000</f>
        <v>-18550.451738742759</v>
      </c>
      <c r="T109">
        <f t="shared" ref="T109" si="524">S109/1000</f>
        <v>-18.550451738742758</v>
      </c>
    </row>
    <row r="110" spans="1:20" x14ac:dyDescent="0.25">
      <c r="A110" s="5">
        <v>44483</v>
      </c>
      <c r="B110">
        <v>0.10468</v>
      </c>
      <c r="C110">
        <v>0.11323</v>
      </c>
      <c r="D110">
        <v>0.10359</v>
      </c>
      <c r="E110">
        <v>0.10987</v>
      </c>
      <c r="F110">
        <v>42939459.100000001</v>
      </c>
      <c r="G110">
        <v>0.10987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0.30290456431535201</v>
      </c>
      <c r="Q110">
        <f t="shared" ref="Q110" si="526">F110*P110</f>
        <v>13006558.150622377</v>
      </c>
      <c r="R110">
        <f t="shared" ref="R110" si="527">R111+Q110</f>
        <v>-1843195315.2989225</v>
      </c>
      <c r="S110">
        <f t="shared" ref="S110" si="528">R110/100000</f>
        <v>-18431.953152989227</v>
      </c>
      <c r="T110">
        <f t="shared" ref="T110" si="529">S110/1000</f>
        <v>-18.431953152989227</v>
      </c>
    </row>
    <row r="111" spans="1:20" x14ac:dyDescent="0.25">
      <c r="A111" s="5">
        <v>44482</v>
      </c>
      <c r="B111">
        <v>0.10432</v>
      </c>
      <c r="C111">
        <v>0.1082</v>
      </c>
      <c r="D111">
        <v>0.10032000000000001</v>
      </c>
      <c r="E111">
        <v>0.10468</v>
      </c>
      <c r="F111">
        <v>18947995.5</v>
      </c>
      <c r="G111">
        <v>0.10468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0.10659898477157105</v>
      </c>
      <c r="Q111">
        <f t="shared" ref="Q111" si="531">F111*P111</f>
        <v>2019837.0837562969</v>
      </c>
      <c r="R111">
        <f t="shared" ref="R111" si="532">R112+Q111</f>
        <v>-1856201873.4495449</v>
      </c>
      <c r="S111">
        <f t="shared" ref="S111" si="533">R111/100000</f>
        <v>-18562.01873449545</v>
      </c>
      <c r="T111">
        <f t="shared" ref="T111" si="534">S111/1000</f>
        <v>-18.562018734495449</v>
      </c>
    </row>
    <row r="112" spans="1:20" x14ac:dyDescent="0.25">
      <c r="A112" s="5">
        <v>44481</v>
      </c>
      <c r="B112">
        <v>0.10431</v>
      </c>
      <c r="C112">
        <v>0.10997999999999999</v>
      </c>
      <c r="D112">
        <v>9.8470000000000002E-2</v>
      </c>
      <c r="E112">
        <v>0.10435</v>
      </c>
      <c r="F112">
        <v>19576547.800000001</v>
      </c>
      <c r="G112">
        <v>0.10435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2.1720243266724622E-2</v>
      </c>
      <c r="Q112">
        <f t="shared" ref="Q112" si="536">F112*P112</f>
        <v>425207.38053866272</v>
      </c>
      <c r="R112">
        <f t="shared" ref="R112" si="537">R113+Q112</f>
        <v>-1858221710.5333011</v>
      </c>
      <c r="S112">
        <f t="shared" ref="S112" si="538">R112/100000</f>
        <v>-18582.217105333009</v>
      </c>
      <c r="T112">
        <f t="shared" ref="T112" si="539">S112/1000</f>
        <v>-18.582217105333008</v>
      </c>
    </row>
    <row r="113" spans="1:20" x14ac:dyDescent="0.25">
      <c r="A113" s="5">
        <v>44480</v>
      </c>
      <c r="B113">
        <v>0.10588</v>
      </c>
      <c r="C113">
        <v>0.1109</v>
      </c>
      <c r="D113">
        <v>0.10052</v>
      </c>
      <c r="E113">
        <v>0.10399</v>
      </c>
      <c r="F113">
        <v>19517616.100000001</v>
      </c>
      <c r="G113">
        <v>0.10399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-0.3314065510597301</v>
      </c>
      <c r="Q113">
        <f t="shared" ref="Q113" si="541">F113*P113</f>
        <v>-6468265.8366088606</v>
      </c>
      <c r="R113">
        <f t="shared" ref="R113" si="542">R114+Q113</f>
        <v>-1858646917.9138398</v>
      </c>
      <c r="S113">
        <f t="shared" ref="S113" si="543">R113/100000</f>
        <v>-18586.469179138399</v>
      </c>
      <c r="T113">
        <f t="shared" ref="T113" si="544">S113/1000</f>
        <v>-18.586469179138398</v>
      </c>
    </row>
    <row r="114" spans="1:20" x14ac:dyDescent="0.25">
      <c r="A114" s="5">
        <v>44479</v>
      </c>
      <c r="B114">
        <v>0.11126999999999999</v>
      </c>
      <c r="C114">
        <v>0.11210000000000001</v>
      </c>
      <c r="D114">
        <v>0.10544000000000001</v>
      </c>
      <c r="E114">
        <v>0.10599</v>
      </c>
      <c r="F114">
        <v>25101107</v>
      </c>
      <c r="G114">
        <v>0.10599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-0.83483483483483634</v>
      </c>
      <c r="Q114">
        <f t="shared" ref="Q114" si="546">F114*P114</f>
        <v>-20955278.516516555</v>
      </c>
      <c r="R114">
        <f t="shared" ref="R114" si="547">R115+Q114</f>
        <v>-1852178652.0772309</v>
      </c>
      <c r="S114">
        <f t="shared" ref="S114" si="548">R114/100000</f>
        <v>-18521.786520772308</v>
      </c>
      <c r="T114">
        <f t="shared" ref="T114" si="549">S114/1000</f>
        <v>-18.521786520772309</v>
      </c>
    </row>
    <row r="115" spans="1:20" x14ac:dyDescent="0.25">
      <c r="A115" s="5">
        <v>44478</v>
      </c>
      <c r="B115">
        <v>0.11055</v>
      </c>
      <c r="C115">
        <v>0.12823000000000001</v>
      </c>
      <c r="D115">
        <v>0.10902000000000001</v>
      </c>
      <c r="E115">
        <v>0.11115999999999999</v>
      </c>
      <c r="F115">
        <v>64529102</v>
      </c>
      <c r="G115">
        <v>0.11115999999999999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-0.77719937532535255</v>
      </c>
      <c r="Q115">
        <f t="shared" ref="Q115" si="551">F115*P115</f>
        <v>-50151977.764705956</v>
      </c>
      <c r="R115">
        <f t="shared" ref="R115" si="552">R116+Q115</f>
        <v>-1831223373.5607145</v>
      </c>
      <c r="S115">
        <f t="shared" ref="S115" si="553">R115/100000</f>
        <v>-18312.233735607144</v>
      </c>
      <c r="T115">
        <f t="shared" ref="T115" si="554">S115/1000</f>
        <v>-18.312233735607144</v>
      </c>
    </row>
    <row r="116" spans="1:20" x14ac:dyDescent="0.25">
      <c r="A116" s="5">
        <v>44477</v>
      </c>
      <c r="B116">
        <v>0.11391999999999999</v>
      </c>
      <c r="C116">
        <v>0.11673</v>
      </c>
      <c r="D116">
        <v>0.10914</v>
      </c>
      <c r="E116">
        <v>0.11046</v>
      </c>
      <c r="F116">
        <v>40628675.5</v>
      </c>
      <c r="G116">
        <v>0.11046</v>
      </c>
      <c r="L116" t="s">
        <v>8</v>
      </c>
      <c r="M116" t="s">
        <v>7</v>
      </c>
      <c r="N116" t="s">
        <v>7</v>
      </c>
      <c r="P116">
        <f t="shared" ref="P116" si="555">IF(C116=D116,0,((E116-D116)-(C116-E116))/(C116-D116))</f>
        <v>-0.65217391304347783</v>
      </c>
      <c r="Q116">
        <f t="shared" ref="Q116" si="556">F116*P116</f>
        <v>-26496962.282608677</v>
      </c>
      <c r="R116">
        <f t="shared" ref="R116" si="557">R117+Q116</f>
        <v>-1781071395.7960086</v>
      </c>
      <c r="S116">
        <f t="shared" ref="S116" si="558">R116/100000</f>
        <v>-17810.713957960084</v>
      </c>
      <c r="T116">
        <f t="shared" ref="T116" si="559">S116/1000</f>
        <v>-17.810713957960083</v>
      </c>
    </row>
    <row r="117" spans="1:20" x14ac:dyDescent="0.25">
      <c r="A117" s="5">
        <v>44476</v>
      </c>
      <c r="B117">
        <v>0.10865</v>
      </c>
      <c r="C117">
        <v>0.11849</v>
      </c>
      <c r="D117">
        <v>0.10408000000000001</v>
      </c>
      <c r="E117">
        <v>0.11361</v>
      </c>
      <c r="F117">
        <v>53291872.200000003</v>
      </c>
      <c r="G117">
        <v>0.11361</v>
      </c>
      <c r="L117" t="s">
        <v>7</v>
      </c>
      <c r="M117" t="s">
        <v>7</v>
      </c>
      <c r="N117" t="s">
        <v>7</v>
      </c>
      <c r="P117">
        <f t="shared" ref="P117" si="560">IF(C117=D117,0,((E117-D117)-(C117-E117))/(C117-D117))</f>
        <v>0.32269257460097184</v>
      </c>
      <c r="Q117">
        <f t="shared" ref="Q117" si="561">F117*P117</f>
        <v>17196891.445523959</v>
      </c>
      <c r="R117">
        <f t="shared" ref="R117" si="562">R118+Q117</f>
        <v>-1754574433.5133998</v>
      </c>
      <c r="S117">
        <f t="shared" ref="S117" si="563">R117/100000</f>
        <v>-17545.744335133997</v>
      </c>
      <c r="T117">
        <f t="shared" ref="T117" si="564">S117/1000</f>
        <v>-17.545744335133996</v>
      </c>
    </row>
    <row r="118" spans="1:20" x14ac:dyDescent="0.25">
      <c r="A118" s="5">
        <v>44475</v>
      </c>
      <c r="B118">
        <v>0.10674</v>
      </c>
      <c r="C118">
        <v>0.13228000000000001</v>
      </c>
      <c r="D118">
        <v>9.8720000000000002E-2</v>
      </c>
      <c r="E118">
        <v>0.10865</v>
      </c>
      <c r="F118">
        <v>116618066.09999999</v>
      </c>
      <c r="G118">
        <v>0.10865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-0.40822407628128771</v>
      </c>
      <c r="Q118">
        <f t="shared" ref="Q118" si="566">F118*P118</f>
        <v>-47606302.311382651</v>
      </c>
      <c r="R118">
        <f t="shared" ref="R118" si="567">R119+Q118</f>
        <v>-1771771324.9589238</v>
      </c>
      <c r="S118">
        <f t="shared" ref="S118" si="568">R118/100000</f>
        <v>-17717.713249589237</v>
      </c>
      <c r="T118">
        <f t="shared" ref="T118" si="569">S118/1000</f>
        <v>-17.717713249589238</v>
      </c>
    </row>
    <row r="119" spans="1:20" x14ac:dyDescent="0.25">
      <c r="A119" s="5">
        <v>44474</v>
      </c>
      <c r="B119">
        <v>0.10528999999999999</v>
      </c>
      <c r="C119">
        <v>0.10972</v>
      </c>
      <c r="D119">
        <v>0.1038</v>
      </c>
      <c r="E119">
        <v>0.10659</v>
      </c>
      <c r="F119">
        <v>27752054.5</v>
      </c>
      <c r="G119">
        <v>0.10659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-5.7432432432431318E-2</v>
      </c>
      <c r="Q119">
        <f t="shared" ref="Q119" si="571">F119*P119</f>
        <v>-1593867.9949324015</v>
      </c>
      <c r="R119">
        <f t="shared" ref="R119" si="572">R120+Q119</f>
        <v>-1724165022.6475413</v>
      </c>
      <c r="S119">
        <f t="shared" ref="S119" si="573">R119/100000</f>
        <v>-17241.650226475413</v>
      </c>
      <c r="T119">
        <f t="shared" ref="T119" si="574">S119/1000</f>
        <v>-17.241650226475414</v>
      </c>
    </row>
    <row r="120" spans="1:20" x14ac:dyDescent="0.25">
      <c r="A120" s="5">
        <v>44473</v>
      </c>
      <c r="B120">
        <v>0.10962</v>
      </c>
      <c r="C120">
        <v>0.10988000000000001</v>
      </c>
      <c r="D120">
        <v>0.10223</v>
      </c>
      <c r="E120">
        <v>0.10577</v>
      </c>
      <c r="F120">
        <v>22274249.100000001</v>
      </c>
      <c r="G120">
        <v>0.10577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-7.4509803921568724E-2</v>
      </c>
      <c r="Q120">
        <f t="shared" ref="Q120" si="576">F120*P120</f>
        <v>-1659649.9329411788</v>
      </c>
      <c r="R120">
        <f t="shared" ref="R120" si="577">R121+Q120</f>
        <v>-1722571154.6526089</v>
      </c>
      <c r="S120">
        <f t="shared" ref="S120" si="578">R120/100000</f>
        <v>-17225.71154652609</v>
      </c>
      <c r="T120">
        <f t="shared" ref="T120" si="579">S120/1000</f>
        <v>-17.225711546526089</v>
      </c>
    </row>
    <row r="121" spans="1:20" x14ac:dyDescent="0.25">
      <c r="A121" s="5">
        <v>44472</v>
      </c>
      <c r="B121">
        <v>0.1076</v>
      </c>
      <c r="C121">
        <v>0.11699</v>
      </c>
      <c r="D121">
        <v>0.10471999999999999</v>
      </c>
      <c r="E121">
        <v>0.10919</v>
      </c>
      <c r="F121">
        <v>27101954</v>
      </c>
      <c r="G121">
        <v>0.10919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-0.27139364303178476</v>
      </c>
      <c r="Q121">
        <f t="shared" ref="Q121" si="581">F121*P121</f>
        <v>-7355298.0293398509</v>
      </c>
      <c r="R121">
        <f t="shared" ref="R121" si="582">R122+Q121</f>
        <v>-1720911504.7196677</v>
      </c>
      <c r="S121">
        <f t="shared" ref="S121" si="583">R121/100000</f>
        <v>-17209.115047196676</v>
      </c>
      <c r="T121">
        <f t="shared" ref="T121" si="584">S121/1000</f>
        <v>-17.209115047196676</v>
      </c>
    </row>
    <row r="122" spans="1:20" x14ac:dyDescent="0.25">
      <c r="A122" s="5">
        <v>44471</v>
      </c>
      <c r="B122">
        <v>0.10478999999999999</v>
      </c>
      <c r="C122">
        <v>0.12</v>
      </c>
      <c r="D122">
        <v>0.10199999999999999</v>
      </c>
      <c r="E122">
        <v>0.1079</v>
      </c>
      <c r="F122">
        <v>56858687.399999999</v>
      </c>
      <c r="G122">
        <v>0.1079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-0.34444444444444422</v>
      </c>
      <c r="Q122">
        <f t="shared" ref="Q122" si="586">F122*P122</f>
        <v>-19584658.993333321</v>
      </c>
      <c r="R122">
        <f t="shared" ref="R122" si="587">R123+Q122</f>
        <v>-1713556206.6903279</v>
      </c>
      <c r="S122">
        <f t="shared" ref="S122" si="588">R122/100000</f>
        <v>-17135.56206690328</v>
      </c>
      <c r="T122">
        <f t="shared" ref="T122" si="589">S122/1000</f>
        <v>-17.13556206690328</v>
      </c>
    </row>
    <row r="123" spans="1:20" x14ac:dyDescent="0.25">
      <c r="A123" s="5">
        <v>44470</v>
      </c>
      <c r="B123">
        <v>0.10027</v>
      </c>
      <c r="C123">
        <v>0.10730000000000001</v>
      </c>
      <c r="D123">
        <v>9.8150000000000001E-2</v>
      </c>
      <c r="E123">
        <v>0.10481</v>
      </c>
      <c r="F123">
        <v>57612444.600000001</v>
      </c>
      <c r="G123">
        <v>0.10481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0.45573770491803178</v>
      </c>
      <c r="Q123">
        <f t="shared" ref="Q123" si="591">F123*P123</f>
        <v>26256163.276721254</v>
      </c>
      <c r="R123">
        <f t="shared" ref="R123" si="592">R124+Q123</f>
        <v>-1693971547.6969945</v>
      </c>
      <c r="S123">
        <f t="shared" ref="S123" si="593">R123/100000</f>
        <v>-16939.715476969945</v>
      </c>
      <c r="T123">
        <f t="shared" ref="T123" si="594">S123/1000</f>
        <v>-16.939715476969944</v>
      </c>
    </row>
    <row r="124" spans="1:20" x14ac:dyDescent="0.25">
      <c r="A124" s="5">
        <v>44469</v>
      </c>
      <c r="B124">
        <v>0.10052</v>
      </c>
      <c r="C124">
        <v>0.10212</v>
      </c>
      <c r="D124">
        <v>9.8150000000000001E-2</v>
      </c>
      <c r="E124">
        <v>0.10009999999999999</v>
      </c>
      <c r="F124">
        <v>42859531.299999997</v>
      </c>
      <c r="G124">
        <v>0.10009999999999999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-1.7632241813605662E-2</v>
      </c>
      <c r="Q124">
        <f t="shared" ref="Q124" si="596">F124*P124</f>
        <v>-755709.61989940063</v>
      </c>
      <c r="R124">
        <f t="shared" ref="R124" si="597">R125+Q124</f>
        <v>-1720227710.9737158</v>
      </c>
      <c r="S124">
        <f t="shared" ref="S124" si="598">R124/100000</f>
        <v>-17202.277109737159</v>
      </c>
      <c r="T124">
        <f t="shared" ref="T124" si="599">S124/1000</f>
        <v>-17.20227710973716</v>
      </c>
    </row>
    <row r="125" spans="1:20" x14ac:dyDescent="0.25">
      <c r="A125" s="5">
        <v>44468</v>
      </c>
      <c r="B125">
        <v>0.10528999999999999</v>
      </c>
      <c r="C125">
        <v>0.10924</v>
      </c>
      <c r="D125">
        <v>9.7559999999999994E-2</v>
      </c>
      <c r="E125">
        <v>0.10051</v>
      </c>
      <c r="F125">
        <v>34343300.399999999</v>
      </c>
      <c r="G125">
        <v>0.10051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-0.49486301369862917</v>
      </c>
      <c r="Q125">
        <f t="shared" ref="Q125" si="601">F125*P125</f>
        <v>-16995229.136301335</v>
      </c>
      <c r="R125">
        <f t="shared" ref="R125" si="602">R126+Q125</f>
        <v>-1719472001.3538163</v>
      </c>
      <c r="S125">
        <f t="shared" ref="S125" si="603">R125/100000</f>
        <v>-17194.720013538164</v>
      </c>
      <c r="T125">
        <f t="shared" ref="T125" si="604">S125/1000</f>
        <v>-17.194720013538163</v>
      </c>
    </row>
    <row r="126" spans="1:20" x14ac:dyDescent="0.25">
      <c r="A126" s="5">
        <v>44467</v>
      </c>
      <c r="B126">
        <v>0.11686000000000001</v>
      </c>
      <c r="C126">
        <v>0.11837</v>
      </c>
      <c r="D126">
        <v>0.10466</v>
      </c>
      <c r="E126">
        <v>0.10548</v>
      </c>
      <c r="F126">
        <v>15849998.9</v>
      </c>
      <c r="G126">
        <v>0.10548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-0.88037928519328934</v>
      </c>
      <c r="Q126">
        <f t="shared" ref="Q126" si="606">F126*P126</f>
        <v>-13954010.701896423</v>
      </c>
      <c r="R126">
        <f t="shared" ref="R126" si="607">R127+Q126</f>
        <v>-1702476772.217515</v>
      </c>
      <c r="S126">
        <f t="shared" ref="S126" si="608">R126/100000</f>
        <v>-17024.767722175151</v>
      </c>
      <c r="T126">
        <f t="shared" ref="T126" si="609">S126/1000</f>
        <v>-17.024767722175152</v>
      </c>
    </row>
    <row r="127" spans="1:20" x14ac:dyDescent="0.25">
      <c r="A127" s="5">
        <v>44466</v>
      </c>
      <c r="B127">
        <v>0.12014</v>
      </c>
      <c r="C127">
        <v>0.12805</v>
      </c>
      <c r="D127">
        <v>0.11564000000000001</v>
      </c>
      <c r="E127">
        <v>0.11694</v>
      </c>
      <c r="F127">
        <v>24345849.800000001</v>
      </c>
      <c r="G127">
        <v>0.11694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-0.79049153908138647</v>
      </c>
      <c r="Q127">
        <f t="shared" ref="Q127" si="611">F127*P127</f>
        <v>-19245188.278646264</v>
      </c>
      <c r="R127">
        <f t="shared" ref="R127" si="612">R128+Q127</f>
        <v>-1688522761.5156186</v>
      </c>
      <c r="S127">
        <f t="shared" ref="S127" si="613">R127/100000</f>
        <v>-16885.227615156185</v>
      </c>
      <c r="T127">
        <f t="shared" ref="T127" si="614">S127/1000</f>
        <v>-16.885227615156186</v>
      </c>
    </row>
    <row r="128" spans="1:20" x14ac:dyDescent="0.25">
      <c r="A128" s="5">
        <v>44465</v>
      </c>
      <c r="B128">
        <v>0.12475</v>
      </c>
      <c r="C128">
        <v>0.12631999999999999</v>
      </c>
      <c r="D128">
        <v>0.10854999999999999</v>
      </c>
      <c r="E128">
        <v>0.12049</v>
      </c>
      <c r="F128">
        <v>23610589.199999999</v>
      </c>
      <c r="G128">
        <v>0.12049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0.34383792909397976</v>
      </c>
      <c r="Q128">
        <f t="shared" ref="Q128" si="616">F128*P128</f>
        <v>8118216.095216684</v>
      </c>
      <c r="R128">
        <f t="shared" ref="R128" si="617">R129+Q128</f>
        <v>-1669277573.2369723</v>
      </c>
      <c r="S128">
        <f t="shared" ref="S128" si="618">R128/100000</f>
        <v>-16692.775732369722</v>
      </c>
      <c r="T128">
        <f t="shared" ref="T128" si="619">S128/1000</f>
        <v>-16.692775732369721</v>
      </c>
    </row>
    <row r="129" spans="1:20" x14ac:dyDescent="0.25">
      <c r="A129" s="5">
        <v>44464</v>
      </c>
      <c r="B129">
        <v>0.13386000000000001</v>
      </c>
      <c r="C129">
        <v>0.13722000000000001</v>
      </c>
      <c r="D129">
        <v>0.12398000000000001</v>
      </c>
      <c r="E129">
        <v>0.12484000000000001</v>
      </c>
      <c r="F129">
        <v>22577916.5</v>
      </c>
      <c r="G129">
        <v>0.12484000000000001</v>
      </c>
      <c r="L129" t="s">
        <v>8</v>
      </c>
      <c r="M129" t="s">
        <v>7</v>
      </c>
      <c r="N129" t="s">
        <v>8</v>
      </c>
      <c r="P129">
        <f t="shared" ref="P129" si="620">IF(C129=D129,0,((E129-D129)-(C129-E129))/(C129-D129))</f>
        <v>-0.8700906344410877</v>
      </c>
      <c r="Q129">
        <f t="shared" ref="Q129" si="621">F129*P129</f>
        <v>-19644833.691842902</v>
      </c>
      <c r="R129">
        <f t="shared" ref="R129" si="622">R130+Q129</f>
        <v>-1677395789.3321891</v>
      </c>
      <c r="S129">
        <f t="shared" ref="S129" si="623">R129/100000</f>
        <v>-16773.957893321891</v>
      </c>
      <c r="T129">
        <f t="shared" ref="T129" si="624">S129/1000</f>
        <v>-16.773957893321892</v>
      </c>
    </row>
    <row r="130" spans="1:20" x14ac:dyDescent="0.25">
      <c r="A130" s="5">
        <v>44463</v>
      </c>
      <c r="B130">
        <v>0.14191999999999999</v>
      </c>
      <c r="C130">
        <v>0.14929999999999999</v>
      </c>
      <c r="D130">
        <v>0.11600000000000001</v>
      </c>
      <c r="E130">
        <v>0.13435</v>
      </c>
      <c r="F130">
        <v>36384843.899999999</v>
      </c>
      <c r="G130">
        <v>0.13435</v>
      </c>
      <c r="L130" t="s">
        <v>7</v>
      </c>
      <c r="M130" t="s">
        <v>8</v>
      </c>
      <c r="N130" t="s">
        <v>8</v>
      </c>
      <c r="P130">
        <f t="shared" ref="P130" si="625">IF(C130=D130,0,((E130-D130)-(C130-E130))/(C130-D130))</f>
        <v>0.10210210210210216</v>
      </c>
      <c r="Q130">
        <f t="shared" ref="Q130" si="626">F130*P130</f>
        <v>3714969.0468468489</v>
      </c>
      <c r="R130">
        <f t="shared" ref="R130" si="627">R131+Q130</f>
        <v>-1657750955.6403463</v>
      </c>
      <c r="S130">
        <f t="shared" ref="S130" si="628">R130/100000</f>
        <v>-16577.509556403464</v>
      </c>
      <c r="T130">
        <f t="shared" ref="T130" si="629">S130/1000</f>
        <v>-16.577509556403463</v>
      </c>
    </row>
    <row r="131" spans="1:20" x14ac:dyDescent="0.25">
      <c r="A131" s="5">
        <v>44462</v>
      </c>
      <c r="B131">
        <v>0.13256000000000001</v>
      </c>
      <c r="C131">
        <v>0.14888000000000001</v>
      </c>
      <c r="D131">
        <v>0.1295</v>
      </c>
      <c r="E131">
        <v>0.14158000000000001</v>
      </c>
      <c r="F131">
        <v>19818038.899999999</v>
      </c>
      <c r="G131">
        <v>0.14158000000000001</v>
      </c>
      <c r="L131" t="s">
        <v>8</v>
      </c>
      <c r="M131" t="s">
        <v>8</v>
      </c>
      <c r="N131" t="s">
        <v>8</v>
      </c>
      <c r="P131">
        <f t="shared" ref="P131" si="630">IF(C131=D131,0,((E131-D131)-(C131-E131))/(C131-D131))</f>
        <v>0.24664602683178558</v>
      </c>
      <c r="Q131">
        <f t="shared" ref="Q131" si="631">F131*P131</f>
        <v>4888040.5542827696</v>
      </c>
      <c r="R131">
        <f t="shared" ref="R131" si="632">R132+Q131</f>
        <v>-1661465924.6871932</v>
      </c>
      <c r="S131">
        <f t="shared" ref="S131" si="633">R131/100000</f>
        <v>-16614.659246871932</v>
      </c>
      <c r="T131">
        <f t="shared" ref="T131" si="634">S131/1000</f>
        <v>-16.614659246871931</v>
      </c>
    </row>
    <row r="132" spans="1:20" x14ac:dyDescent="0.25">
      <c r="A132" s="5">
        <v>44461</v>
      </c>
      <c r="B132">
        <v>0.11071</v>
      </c>
      <c r="C132">
        <v>0.13566</v>
      </c>
      <c r="D132">
        <v>0.10445</v>
      </c>
      <c r="E132">
        <v>0.13214000000000001</v>
      </c>
      <c r="F132">
        <v>40461841.100000001</v>
      </c>
      <c r="G132">
        <v>0.13214000000000001</v>
      </c>
      <c r="L132" t="s">
        <v>7</v>
      </c>
      <c r="M132" t="s">
        <v>7</v>
      </c>
      <c r="N132" t="s">
        <v>7</v>
      </c>
      <c r="P132">
        <f t="shared" ref="P132" si="635">IF(C132=D132,0,((E132-D132)-(C132-E132))/(C132-D132))</f>
        <v>0.77443127202819639</v>
      </c>
      <c r="Q132">
        <f t="shared" ref="Q132" si="636">F132*P132</f>
        <v>31334915.071675759</v>
      </c>
      <c r="R132">
        <f t="shared" ref="R132" si="637">R133+Q132</f>
        <v>-1666353965.2414758</v>
      </c>
      <c r="S132">
        <f t="shared" ref="S132" si="638">R132/100000</f>
        <v>-16663.539652414758</v>
      </c>
      <c r="T132">
        <f t="shared" ref="T132" si="639">S132/1000</f>
        <v>-16.663539652414759</v>
      </c>
    </row>
    <row r="133" spans="1:20" x14ac:dyDescent="0.25">
      <c r="A133" s="5">
        <v>44460</v>
      </c>
      <c r="B133">
        <v>0.12178</v>
      </c>
      <c r="C133">
        <v>0.12898999999999999</v>
      </c>
      <c r="D133">
        <v>0.107</v>
      </c>
      <c r="E133">
        <v>0.11020000000000001</v>
      </c>
      <c r="F133">
        <v>32882680.899999999</v>
      </c>
      <c r="G133">
        <v>0.11020000000000001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-0.70895861755343259</v>
      </c>
      <c r="Q133">
        <f t="shared" ref="Q133" si="641">F133*P133</f>
        <v>-23312459.992314663</v>
      </c>
      <c r="R133">
        <f t="shared" ref="R133" si="642">R134+Q133</f>
        <v>-1697688880.3131516</v>
      </c>
      <c r="S133">
        <f t="shared" ref="S133" si="643">R133/100000</f>
        <v>-16976.888803131515</v>
      </c>
      <c r="T133">
        <f t="shared" ref="T133" si="644">S133/1000</f>
        <v>-16.976888803131516</v>
      </c>
    </row>
    <row r="134" spans="1:20" x14ac:dyDescent="0.25">
      <c r="A134" s="5">
        <v>44459</v>
      </c>
      <c r="B134">
        <v>0.155</v>
      </c>
      <c r="C134">
        <v>0.17</v>
      </c>
      <c r="D134">
        <v>0.13328000000000001</v>
      </c>
      <c r="E134">
        <v>0.13650000000000001</v>
      </c>
      <c r="F134">
        <v>36624664.5</v>
      </c>
      <c r="G134">
        <v>0.13650000000000001</v>
      </c>
      <c r="L134" t="s">
        <v>7</v>
      </c>
      <c r="M134" t="s">
        <v>8</v>
      </c>
      <c r="N134" t="s">
        <v>8</v>
      </c>
      <c r="P134">
        <f t="shared" ref="P134" si="645">IF(C134=D134,0,((E134-D134)-(C134-E134))/(C134-D134))</f>
        <v>-0.8246187363834423</v>
      </c>
      <c r="Q134">
        <f t="shared" ref="Q134" si="646">F134*P134</f>
        <v>-30201384.560457516</v>
      </c>
      <c r="R134">
        <f t="shared" ref="R134" si="647">R135+Q134</f>
        <v>-1674376420.320837</v>
      </c>
      <c r="S134">
        <f t="shared" ref="S134" si="648">R134/100000</f>
        <v>-16743.764203208371</v>
      </c>
      <c r="T134">
        <f t="shared" ref="T134" si="649">S134/1000</f>
        <v>-16.743764203208372</v>
      </c>
    </row>
    <row r="135" spans="1:20" x14ac:dyDescent="0.25">
      <c r="A135" s="5">
        <v>44458</v>
      </c>
      <c r="B135">
        <v>0.14913000000000001</v>
      </c>
      <c r="C135">
        <v>0.15681999999999999</v>
      </c>
      <c r="D135">
        <v>0.13902</v>
      </c>
      <c r="E135">
        <v>0.155</v>
      </c>
      <c r="F135">
        <v>39279109.299999997</v>
      </c>
      <c r="G135">
        <v>0.155</v>
      </c>
      <c r="L135" t="s">
        <v>7</v>
      </c>
      <c r="M135" t="s">
        <v>8</v>
      </c>
      <c r="N135" t="s">
        <v>8</v>
      </c>
      <c r="P135">
        <f t="shared" ref="P135" si="650">IF(C135=D135,0,((E135-D135)-(C135-E135))/(C135-D135))</f>
        <v>0.79550561797752917</v>
      </c>
      <c r="Q135">
        <f t="shared" ref="Q135" si="651">F135*P135</f>
        <v>31246752.117303412</v>
      </c>
      <c r="R135">
        <f t="shared" ref="R135" si="652">R136+Q135</f>
        <v>-1644175035.7603796</v>
      </c>
      <c r="S135">
        <f t="shared" ref="S135" si="653">R135/100000</f>
        <v>-16441.750357603796</v>
      </c>
      <c r="T135">
        <f t="shared" ref="T135" si="654">S135/1000</f>
        <v>-16.441750357603794</v>
      </c>
    </row>
    <row r="136" spans="1:20" x14ac:dyDescent="0.25">
      <c r="A136" s="5">
        <v>44457</v>
      </c>
      <c r="B136">
        <v>0.13174</v>
      </c>
      <c r="C136">
        <v>0.15969</v>
      </c>
      <c r="D136">
        <v>0.12992999999999999</v>
      </c>
      <c r="E136">
        <v>0.14921999999999999</v>
      </c>
      <c r="F136">
        <v>46138135.600000001</v>
      </c>
      <c r="G136">
        <v>0.14921999999999999</v>
      </c>
      <c r="L136" t="s">
        <v>8</v>
      </c>
      <c r="M136" t="s">
        <v>8</v>
      </c>
      <c r="N136" t="s">
        <v>8</v>
      </c>
      <c r="P136">
        <f t="shared" ref="P136" si="655">IF(C136=D136,0,((E136-D136)-(C136-E136))/(C136-D136))</f>
        <v>0.29637096774193522</v>
      </c>
      <c r="Q136">
        <f t="shared" ref="Q136" si="656">F136*P136</f>
        <v>13674003.897580633</v>
      </c>
      <c r="R136">
        <f t="shared" ref="R136" si="657">R137+Q136</f>
        <v>-1675421787.8776829</v>
      </c>
      <c r="S136">
        <f t="shared" ref="S136" si="658">R136/100000</f>
        <v>-16754.217878776828</v>
      </c>
      <c r="T136">
        <f t="shared" ref="T136" si="659">S136/1000</f>
        <v>-16.754217878776828</v>
      </c>
    </row>
    <row r="137" spans="1:20" x14ac:dyDescent="0.25">
      <c r="A137" s="5">
        <v>44456</v>
      </c>
      <c r="B137">
        <v>0.14133999999999999</v>
      </c>
      <c r="C137">
        <v>0.14599999999999999</v>
      </c>
      <c r="D137">
        <v>0.12981000000000001</v>
      </c>
      <c r="E137">
        <v>0.13174</v>
      </c>
      <c r="F137">
        <v>16989209.5</v>
      </c>
      <c r="G137">
        <v>0.13174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-0.7615812229771477</v>
      </c>
      <c r="Q137">
        <f t="shared" ref="Q137" si="661">F137*P137</f>
        <v>-12938662.948424976</v>
      </c>
      <c r="R137">
        <f t="shared" ref="R137" si="662">R138+Q137</f>
        <v>-1689095791.7752635</v>
      </c>
      <c r="S137">
        <f t="shared" ref="S137" si="663">R137/100000</f>
        <v>-16890.957917752636</v>
      </c>
      <c r="T137">
        <f t="shared" ref="T137" si="664">S137/1000</f>
        <v>-16.890957917752637</v>
      </c>
    </row>
    <row r="138" spans="1:20" x14ac:dyDescent="0.25">
      <c r="A138" s="5">
        <v>44455</v>
      </c>
      <c r="B138">
        <v>0.1399</v>
      </c>
      <c r="C138">
        <v>0.14499999999999999</v>
      </c>
      <c r="D138">
        <v>0.13022</v>
      </c>
      <c r="E138">
        <v>0.14132</v>
      </c>
      <c r="F138">
        <v>34925325.799999997</v>
      </c>
      <c r="G138">
        <v>0.14132</v>
      </c>
      <c r="L138" t="s">
        <v>7</v>
      </c>
      <c r="M138" t="s">
        <v>7</v>
      </c>
      <c r="N138" t="s">
        <v>8</v>
      </c>
      <c r="P138">
        <f t="shared" ref="P138" si="665">IF(C138=D138,0,((E138-D138)-(C138-E138))/(C138-D138))</f>
        <v>0.50202976995940574</v>
      </c>
      <c r="Q138">
        <f t="shared" ref="Q138" si="666">F138*P138</f>
        <v>17533553.277131297</v>
      </c>
      <c r="R138">
        <f t="shared" ref="R138" si="667">R139+Q138</f>
        <v>-1676157128.8268385</v>
      </c>
      <c r="S138">
        <f t="shared" ref="S138" si="668">R138/100000</f>
        <v>-16761.571288268384</v>
      </c>
      <c r="T138">
        <f t="shared" ref="T138" si="669">S138/1000</f>
        <v>-16.761571288268385</v>
      </c>
    </row>
    <row r="139" spans="1:20" x14ac:dyDescent="0.25">
      <c r="A139" s="5">
        <v>44454</v>
      </c>
      <c r="B139">
        <v>0.14338000000000001</v>
      </c>
      <c r="C139">
        <v>0.14637</v>
      </c>
      <c r="D139">
        <v>0.13338</v>
      </c>
      <c r="E139">
        <v>0.13988999999999999</v>
      </c>
      <c r="F139">
        <v>36085775.399999999</v>
      </c>
      <c r="G139">
        <v>0.13988999999999999</v>
      </c>
      <c r="L139" t="s">
        <v>7</v>
      </c>
      <c r="M139" t="s">
        <v>7</v>
      </c>
      <c r="N139" t="s">
        <v>8</v>
      </c>
      <c r="P139">
        <f t="shared" ref="P139" si="670">IF(C139=D139,0,((E139-D139)-(C139-E139))/(C139-D139))</f>
        <v>2.3094688221689365E-3</v>
      </c>
      <c r="Q139">
        <f t="shared" ref="Q139" si="671">F139*P139</f>
        <v>83338.973210090786</v>
      </c>
      <c r="R139">
        <f t="shared" ref="R139" si="672">R140+Q139</f>
        <v>-1693690682.1039698</v>
      </c>
      <c r="S139">
        <f t="shared" ref="S139" si="673">R139/100000</f>
        <v>-16936.906821039698</v>
      </c>
      <c r="T139">
        <f t="shared" ref="T139" si="674">S139/1000</f>
        <v>-16.936906821039699</v>
      </c>
    </row>
    <row r="140" spans="1:20" x14ac:dyDescent="0.25">
      <c r="A140" s="5">
        <v>44453</v>
      </c>
      <c r="B140">
        <v>0.15232999999999999</v>
      </c>
      <c r="C140">
        <v>0.15848000000000001</v>
      </c>
      <c r="D140">
        <v>0.13971</v>
      </c>
      <c r="E140">
        <v>0.14374999999999999</v>
      </c>
      <c r="F140">
        <v>43014455.5</v>
      </c>
      <c r="G140">
        <v>0.14374999999999999</v>
      </c>
      <c r="L140" t="s">
        <v>7</v>
      </c>
      <c r="M140" t="s">
        <v>7</v>
      </c>
      <c r="N140" t="s">
        <v>8</v>
      </c>
      <c r="P140">
        <f t="shared" ref="P140" si="675">IF(C140=D140,0,((E140-D140)-(C140-E140))/(C140-D140))</f>
        <v>-0.56952583910495624</v>
      </c>
      <c r="Q140">
        <f t="shared" ref="Q140" si="676">F140*P140</f>
        <v>-24497843.862280302</v>
      </c>
      <c r="R140">
        <f t="shared" ref="R140" si="677">R141+Q140</f>
        <v>-1693774021.0771799</v>
      </c>
      <c r="S140">
        <f t="shared" ref="S140" si="678">R140/100000</f>
        <v>-16937.740210771801</v>
      </c>
      <c r="T140">
        <f t="shared" ref="T140" si="679">S140/1000</f>
        <v>-16.9377402107718</v>
      </c>
    </row>
    <row r="141" spans="1:20" x14ac:dyDescent="0.25">
      <c r="A141" s="5">
        <v>44452</v>
      </c>
      <c r="B141">
        <v>0.14981</v>
      </c>
      <c r="C141">
        <v>0.16850000000000001</v>
      </c>
      <c r="D141">
        <v>0.12883</v>
      </c>
      <c r="E141">
        <v>0.15215000000000001</v>
      </c>
      <c r="F141">
        <v>89494180.599999994</v>
      </c>
      <c r="G141">
        <v>0.15215000000000001</v>
      </c>
      <c r="L141" t="s">
        <v>8</v>
      </c>
      <c r="M141" t="s">
        <v>8</v>
      </c>
      <c r="N141" t="s">
        <v>8</v>
      </c>
      <c r="P141">
        <f t="shared" ref="P141" si="680">IF(C141=D141,0,((E141-D141)-(C141-E141))/(C141-D141))</f>
        <v>0.17569952104865141</v>
      </c>
      <c r="Q141">
        <f t="shared" ref="Q141" si="681">F141*P141</f>
        <v>15724084.66806151</v>
      </c>
      <c r="R141">
        <f t="shared" ref="R141" si="682">R142+Q141</f>
        <v>-1669276177.2148995</v>
      </c>
      <c r="S141">
        <f t="shared" ref="S141" si="683">R141/100000</f>
        <v>-16692.761772148995</v>
      </c>
      <c r="T141">
        <f t="shared" ref="T141" si="684">S141/1000</f>
        <v>-16.692761772148994</v>
      </c>
    </row>
    <row r="142" spans="1:20" x14ac:dyDescent="0.25">
      <c r="A142" s="5">
        <v>44451</v>
      </c>
      <c r="B142">
        <v>0.13123000000000001</v>
      </c>
      <c r="C142">
        <v>0.15160000000000001</v>
      </c>
      <c r="D142">
        <v>0.12701999999999999</v>
      </c>
      <c r="E142">
        <v>0.14979999999999999</v>
      </c>
      <c r="F142">
        <v>43904084.600000001</v>
      </c>
      <c r="G142">
        <v>0.14979999999999999</v>
      </c>
      <c r="L142" t="s">
        <v>7</v>
      </c>
      <c r="M142" t="s">
        <v>7</v>
      </c>
      <c r="N142" t="s">
        <v>8</v>
      </c>
      <c r="P142">
        <f t="shared" ref="P142" si="685">IF(C142=D142,0,((E142-D142)-(C142-E142))/(C142-D142))</f>
        <v>0.85353946297802907</v>
      </c>
      <c r="Q142">
        <f t="shared" ref="Q142" si="686">F142*P142</f>
        <v>37473868.792025961</v>
      </c>
      <c r="R142">
        <f t="shared" ref="R142" si="687">R143+Q142</f>
        <v>-1685000261.882961</v>
      </c>
      <c r="S142">
        <f t="shared" ref="S142" si="688">R142/100000</f>
        <v>-16850.002618829611</v>
      </c>
      <c r="T142">
        <f t="shared" ref="T142" si="689">S142/1000</f>
        <v>-16.85000261882961</v>
      </c>
    </row>
    <row r="143" spans="1:20" x14ac:dyDescent="0.25">
      <c r="A143" s="5">
        <v>44450</v>
      </c>
      <c r="B143">
        <v>0.1426</v>
      </c>
      <c r="C143">
        <v>0.1638</v>
      </c>
      <c r="D143">
        <v>0.12969</v>
      </c>
      <c r="E143">
        <v>0.13116</v>
      </c>
      <c r="F143">
        <v>58800978.200000003</v>
      </c>
      <c r="G143">
        <v>0.13116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-0.91380826737027265</v>
      </c>
      <c r="Q143">
        <f t="shared" ref="Q143" si="691">F143*P143</f>
        <v>-53732820.008619174</v>
      </c>
      <c r="R143">
        <f t="shared" ref="R143" si="692">R144+Q143</f>
        <v>-1722474130.6749871</v>
      </c>
      <c r="S143">
        <f t="shared" ref="S143" si="693">R143/100000</f>
        <v>-17224.741306749871</v>
      </c>
      <c r="T143">
        <f t="shared" ref="T143" si="694">S143/1000</f>
        <v>-17.22474130674987</v>
      </c>
    </row>
    <row r="144" spans="1:20" x14ac:dyDescent="0.25">
      <c r="A144" s="5">
        <v>44449</v>
      </c>
      <c r="B144">
        <v>0.12820000000000001</v>
      </c>
      <c r="C144">
        <v>0.15</v>
      </c>
      <c r="D144">
        <v>0.12684999999999999</v>
      </c>
      <c r="E144">
        <v>0.1426</v>
      </c>
      <c r="F144">
        <v>94105131.700000003</v>
      </c>
      <c r="G144">
        <v>0.1426</v>
      </c>
      <c r="L144" t="s">
        <v>8</v>
      </c>
      <c r="M144" t="s">
        <v>8</v>
      </c>
      <c r="N144" t="s">
        <v>8</v>
      </c>
      <c r="P144">
        <f t="shared" ref="P144" si="695">IF(C144=D144,0,((E144-D144)-(C144-E144))/(C144-D144))</f>
        <v>0.36069114470842428</v>
      </c>
      <c r="Q144">
        <f t="shared" ref="Q144" si="696">F144*P144</f>
        <v>33942887.675810024</v>
      </c>
      <c r="R144">
        <f t="shared" ref="R144" si="697">R145+Q144</f>
        <v>-1668741310.666368</v>
      </c>
      <c r="S144">
        <f t="shared" ref="S144" si="698">R144/100000</f>
        <v>-16687.41310666368</v>
      </c>
      <c r="T144">
        <f t="shared" ref="T144" si="699">S144/1000</f>
        <v>-16.68741310666368</v>
      </c>
    </row>
    <row r="145" spans="1:20" x14ac:dyDescent="0.25">
      <c r="A145" s="5">
        <v>44448</v>
      </c>
      <c r="B145">
        <v>0.11019</v>
      </c>
      <c r="C145">
        <v>0.14030000000000001</v>
      </c>
      <c r="D145">
        <v>0.109</v>
      </c>
      <c r="E145">
        <v>0.128</v>
      </c>
      <c r="F145">
        <v>39311174.799999997</v>
      </c>
      <c r="G145">
        <v>0.128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0.21405750798722031</v>
      </c>
      <c r="Q145">
        <f t="shared" ref="Q145" si="701">F145*P145</f>
        <v>8414852.1137380134</v>
      </c>
      <c r="R145">
        <f t="shared" ref="R145" si="702">R146+Q145</f>
        <v>-1702684198.3421781</v>
      </c>
      <c r="S145">
        <f t="shared" ref="S145" si="703">R145/100000</f>
        <v>-17026.841983421782</v>
      </c>
      <c r="T145">
        <f t="shared" ref="T145" si="704">S145/1000</f>
        <v>-17.026841983421782</v>
      </c>
    </row>
    <row r="146" spans="1:20" x14ac:dyDescent="0.25">
      <c r="A146" s="5">
        <v>44447</v>
      </c>
      <c r="B146">
        <v>0.11508</v>
      </c>
      <c r="C146">
        <v>0.11763999999999999</v>
      </c>
      <c r="D146">
        <v>0.10100000000000001</v>
      </c>
      <c r="E146">
        <v>0.11020000000000001</v>
      </c>
      <c r="F146">
        <v>22327850.300000001</v>
      </c>
      <c r="G146">
        <v>0.11020000000000001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0.10576923076923155</v>
      </c>
      <c r="Q146">
        <f t="shared" ref="Q146" si="706">F146*P146</f>
        <v>2361599.5509615559</v>
      </c>
      <c r="R146">
        <f t="shared" ref="R146" si="707">R147+Q146</f>
        <v>-1711099050.4559162</v>
      </c>
      <c r="S146">
        <f t="shared" ref="S146" si="708">R146/100000</f>
        <v>-17110.990504559162</v>
      </c>
      <c r="T146">
        <f t="shared" ref="T146" si="709">S146/1000</f>
        <v>-17.110990504559162</v>
      </c>
    </row>
    <row r="147" spans="1:20" x14ac:dyDescent="0.25">
      <c r="A147" s="5">
        <v>44446</v>
      </c>
      <c r="B147">
        <v>0.14684</v>
      </c>
      <c r="C147">
        <v>0.1545</v>
      </c>
      <c r="D147">
        <v>9.9210000000000007E-2</v>
      </c>
      <c r="E147">
        <v>0.11508</v>
      </c>
      <c r="F147">
        <v>43902278.399999999</v>
      </c>
      <c r="G147">
        <v>0.11508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-0.42593597395550742</v>
      </c>
      <c r="Q147">
        <f t="shared" ref="Q147" si="711">F147*P147</f>
        <v>-18699559.709169835</v>
      </c>
      <c r="R147">
        <f t="shared" ref="R147" si="712">R148+Q147</f>
        <v>-1713460650.0068777</v>
      </c>
      <c r="S147">
        <f t="shared" ref="S147" si="713">R147/100000</f>
        <v>-17134.606500068778</v>
      </c>
      <c r="T147">
        <f t="shared" ref="T147" si="714">S147/1000</f>
        <v>-17.134606500068777</v>
      </c>
    </row>
    <row r="148" spans="1:20" x14ac:dyDescent="0.25">
      <c r="A148" s="5">
        <v>44445</v>
      </c>
      <c r="B148">
        <v>0.1406</v>
      </c>
      <c r="C148">
        <v>0.15742999999999999</v>
      </c>
      <c r="D148">
        <v>0.13042999999999999</v>
      </c>
      <c r="E148">
        <v>0.14673</v>
      </c>
      <c r="F148">
        <v>50142321.299999997</v>
      </c>
      <c r="G148">
        <v>0.14673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0.20740740740740823</v>
      </c>
      <c r="Q148">
        <f t="shared" ref="Q148" si="716">F148*P148</f>
        <v>10399888.862222264</v>
      </c>
      <c r="R148">
        <f t="shared" ref="R148" si="717">R149+Q148</f>
        <v>-1694761090.2977078</v>
      </c>
      <c r="S148">
        <f t="shared" ref="S148" si="718">R148/100000</f>
        <v>-16947.610902977078</v>
      </c>
      <c r="T148">
        <f t="shared" ref="T148" si="719">S148/1000</f>
        <v>-16.947610902977079</v>
      </c>
    </row>
    <row r="149" spans="1:20" x14ac:dyDescent="0.25">
      <c r="A149" s="5">
        <v>44444</v>
      </c>
      <c r="B149">
        <v>0.13006999999999999</v>
      </c>
      <c r="C149">
        <v>0.14588000000000001</v>
      </c>
      <c r="D149">
        <v>0.12590999999999999</v>
      </c>
      <c r="E149">
        <v>0.14086000000000001</v>
      </c>
      <c r="F149">
        <v>45316662</v>
      </c>
      <c r="G149">
        <v>0.14086000000000001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0.49724586880320554</v>
      </c>
      <c r="Q149">
        <f t="shared" ref="Q149" si="721">F149*P149</f>
        <v>22533522.967451211</v>
      </c>
      <c r="R149">
        <f t="shared" ref="R149" si="722">R150+Q149</f>
        <v>-1705160979.15993</v>
      </c>
      <c r="S149">
        <f t="shared" ref="S149" si="723">R149/100000</f>
        <v>-17051.609791599301</v>
      </c>
      <c r="T149">
        <f t="shared" ref="T149" si="724">S149/1000</f>
        <v>-17.051609791599301</v>
      </c>
    </row>
    <row r="150" spans="1:20" x14ac:dyDescent="0.25">
      <c r="A150" s="5">
        <v>44443</v>
      </c>
      <c r="B150">
        <v>0.12335</v>
      </c>
      <c r="C150">
        <v>0.13009999999999999</v>
      </c>
      <c r="D150">
        <v>0.12058000000000001</v>
      </c>
      <c r="E150">
        <v>0.13006999999999999</v>
      </c>
      <c r="F150">
        <v>14144225.6</v>
      </c>
      <c r="G150">
        <v>0.13006999999999999</v>
      </c>
      <c r="L150" t="s">
        <v>7</v>
      </c>
      <c r="M150" t="s">
        <v>8</v>
      </c>
      <c r="N150" t="s">
        <v>7</v>
      </c>
      <c r="P150">
        <f t="shared" ref="P150" si="725">IF(C150=D150,0,((E150-D150)-(C150-E150))/(C150-D150))</f>
        <v>0.99369747899159611</v>
      </c>
      <c r="Q150">
        <f t="shared" ref="Q150" si="726">F150*P150</f>
        <v>14055081.321008395</v>
      </c>
      <c r="R150">
        <f t="shared" ref="R150" si="727">R151+Q150</f>
        <v>-1727694502.1273811</v>
      </c>
      <c r="S150">
        <f t="shared" ref="S150" si="728">R150/100000</f>
        <v>-17276.945021273812</v>
      </c>
      <c r="T150">
        <f t="shared" ref="T150" si="729">S150/1000</f>
        <v>-17.276945021273811</v>
      </c>
    </row>
    <row r="151" spans="1:20" x14ac:dyDescent="0.25">
      <c r="A151" s="5">
        <v>44442</v>
      </c>
      <c r="B151">
        <v>0.11860999999999999</v>
      </c>
      <c r="C151">
        <v>0.1328</v>
      </c>
      <c r="D151">
        <v>0.11548</v>
      </c>
      <c r="E151">
        <v>0.12356</v>
      </c>
      <c r="F151">
        <v>36229432.100000001</v>
      </c>
      <c r="G151">
        <v>0.12356</v>
      </c>
      <c r="L151" t="s">
        <v>8</v>
      </c>
      <c r="M151" t="s">
        <v>8</v>
      </c>
      <c r="N151" t="s">
        <v>7</v>
      </c>
      <c r="P151">
        <f t="shared" ref="P151" si="730">IF(C151=D151,0,((E151-D151)-(C151-E151))/(C151-D151))</f>
        <v>-6.6974595842955786E-2</v>
      </c>
      <c r="Q151">
        <f t="shared" ref="Q151" si="731">F151*P151</f>
        <v>-2426451.5725173089</v>
      </c>
      <c r="R151">
        <f t="shared" ref="R151" si="732">R152+Q151</f>
        <v>-1741749583.4483895</v>
      </c>
      <c r="S151">
        <f t="shared" ref="S151" si="733">R151/100000</f>
        <v>-17417.495834483896</v>
      </c>
      <c r="T151">
        <f t="shared" ref="T151" si="734">S151/1000</f>
        <v>-17.417495834483898</v>
      </c>
    </row>
    <row r="152" spans="1:20" x14ac:dyDescent="0.25">
      <c r="A152" s="5">
        <v>44441</v>
      </c>
      <c r="B152">
        <v>0.12089</v>
      </c>
      <c r="C152">
        <v>0.12239999999999999</v>
      </c>
      <c r="D152">
        <v>0.11558</v>
      </c>
      <c r="E152">
        <v>0.11827</v>
      </c>
      <c r="F152">
        <v>10574120</v>
      </c>
      <c r="G152">
        <v>0.11827</v>
      </c>
      <c r="L152" t="s">
        <v>8</v>
      </c>
      <c r="M152" t="s">
        <v>8</v>
      </c>
      <c r="N152" t="s">
        <v>7</v>
      </c>
      <c r="P152">
        <f t="shared" ref="P152" si="735">IF(C152=D152,0,((E152-D152)-(C152-E152))/(C152-D152))</f>
        <v>-0.21114369501466251</v>
      </c>
      <c r="Q152">
        <f t="shared" ref="Q152" si="736">F152*P152</f>
        <v>-2232658.7683284432</v>
      </c>
      <c r="R152">
        <f t="shared" ref="R152" si="737">R153+Q152</f>
        <v>-1739323131.8758721</v>
      </c>
      <c r="S152">
        <f t="shared" ref="S152" si="738">R152/100000</f>
        <v>-17393.231318758721</v>
      </c>
      <c r="T152">
        <f t="shared" ref="T152" si="739">S152/1000</f>
        <v>-17.393231318758719</v>
      </c>
    </row>
    <row r="153" spans="1:20" x14ac:dyDescent="0.25">
      <c r="A153" s="5">
        <v>44440</v>
      </c>
      <c r="B153">
        <v>0.11254</v>
      </c>
      <c r="C153">
        <v>0.123</v>
      </c>
      <c r="D153">
        <v>0.10975</v>
      </c>
      <c r="E153">
        <v>0.12094000000000001</v>
      </c>
      <c r="F153">
        <v>13171149.699999999</v>
      </c>
      <c r="G153">
        <v>0.12094000000000001</v>
      </c>
      <c r="L153" t="s">
        <v>7</v>
      </c>
      <c r="M153" t="s">
        <v>8</v>
      </c>
      <c r="N153" t="s">
        <v>7</v>
      </c>
      <c r="P153">
        <f t="shared" ref="P153" si="740">IF(C153=D153,0,((E153-D153)-(C153-E153))/(C153-D153))</f>
        <v>0.68905660377358602</v>
      </c>
      <c r="Q153">
        <f t="shared" ref="Q153" si="741">F153*P153</f>
        <v>9075667.6800754853</v>
      </c>
      <c r="R153">
        <f t="shared" ref="R153" si="742">R154+Q153</f>
        <v>-1737090473.1075437</v>
      </c>
      <c r="S153">
        <f t="shared" ref="S153" si="743">R153/100000</f>
        <v>-17370.904731075436</v>
      </c>
      <c r="T153">
        <f t="shared" ref="T153" si="744">S153/1000</f>
        <v>-17.370904731075434</v>
      </c>
    </row>
    <row r="154" spans="1:20" x14ac:dyDescent="0.25">
      <c r="A154" s="5">
        <v>44439</v>
      </c>
      <c r="B154">
        <v>0.11124000000000001</v>
      </c>
      <c r="C154">
        <v>0.12490999999999999</v>
      </c>
      <c r="D154">
        <v>0.11006000000000001</v>
      </c>
      <c r="E154">
        <v>0.11237</v>
      </c>
      <c r="F154">
        <v>24040505.199999999</v>
      </c>
      <c r="G154">
        <v>0.11237</v>
      </c>
      <c r="L154" t="s">
        <v>8</v>
      </c>
      <c r="M154" t="s">
        <v>8</v>
      </c>
      <c r="N154" t="s">
        <v>7</v>
      </c>
      <c r="P154">
        <f t="shared" ref="P154" si="745">IF(C154=D154,0,((E154-D154)-(C154-E154))/(C154-D154))</f>
        <v>-0.68888888888888966</v>
      </c>
      <c r="Q154">
        <f t="shared" ref="Q154" si="746">F154*P154</f>
        <v>-16561236.915555574</v>
      </c>
      <c r="R154">
        <f t="shared" ref="R154" si="747">R155+Q154</f>
        <v>-1746166140.7876191</v>
      </c>
      <c r="S154">
        <f t="shared" ref="S154" si="748">R154/100000</f>
        <v>-17461.661407876192</v>
      </c>
      <c r="T154">
        <f t="shared" ref="T154" si="749">S154/1000</f>
        <v>-17.461661407876193</v>
      </c>
    </row>
    <row r="155" spans="1:20" x14ac:dyDescent="0.25">
      <c r="A155" s="5">
        <v>44438</v>
      </c>
      <c r="B155">
        <v>0.11715</v>
      </c>
      <c r="C155">
        <v>0.11849999999999999</v>
      </c>
      <c r="D155">
        <v>0.10841000000000001</v>
      </c>
      <c r="E155">
        <v>0.11169</v>
      </c>
      <c r="F155">
        <v>16173559.199999999</v>
      </c>
      <c r="G155">
        <v>0.11169</v>
      </c>
      <c r="L155" t="s">
        <v>7</v>
      </c>
      <c r="M155" t="s">
        <v>8</v>
      </c>
      <c r="N155" t="s">
        <v>7</v>
      </c>
      <c r="P155">
        <f t="shared" ref="P155" si="750">IF(C155=D155,0,((E155-D155)-(C155-E155))/(C155-D155))</f>
        <v>-0.34985133795837559</v>
      </c>
      <c r="Q155">
        <f t="shared" ref="Q155" si="751">F155*P155</f>
        <v>-5658341.3256689943</v>
      </c>
      <c r="R155">
        <f t="shared" ref="R155" si="752">R156+Q155</f>
        <v>-1729604903.8720636</v>
      </c>
      <c r="S155">
        <f t="shared" ref="S155" si="753">R155/100000</f>
        <v>-17296.049038720637</v>
      </c>
      <c r="T155">
        <f t="shared" ref="T155" si="754">S155/1000</f>
        <v>-17.296049038720636</v>
      </c>
    </row>
    <row r="156" spans="1:20" x14ac:dyDescent="0.25">
      <c r="A156" s="5">
        <v>44437</v>
      </c>
      <c r="B156">
        <v>0.11525000000000001</v>
      </c>
      <c r="C156">
        <v>0.12728</v>
      </c>
      <c r="D156">
        <v>0.111</v>
      </c>
      <c r="E156">
        <v>0.11708</v>
      </c>
      <c r="F156">
        <v>26793636.399999999</v>
      </c>
      <c r="G156">
        <v>0.11708</v>
      </c>
      <c r="L156" t="s">
        <v>8</v>
      </c>
      <c r="M156" t="s">
        <v>8</v>
      </c>
      <c r="N156" t="s">
        <v>7</v>
      </c>
      <c r="P156">
        <f t="shared" ref="P156" si="755">IF(C156=D156,0,((E156-D156)-(C156-E156))/(C156-D156))</f>
        <v>-0.25307125307125294</v>
      </c>
      <c r="Q156">
        <f t="shared" ref="Q156" si="756">F156*P156</f>
        <v>-6780699.1380835343</v>
      </c>
      <c r="R156">
        <f t="shared" ref="R156" si="757">R157+Q156</f>
        <v>-1723946562.5463946</v>
      </c>
      <c r="S156">
        <f t="shared" ref="S156" si="758">R156/100000</f>
        <v>-17239.465625463945</v>
      </c>
      <c r="T156">
        <f t="shared" ref="T156" si="759">S156/1000</f>
        <v>-17.239465625463946</v>
      </c>
    </row>
    <row r="157" spans="1:20" x14ac:dyDescent="0.25">
      <c r="A157" s="5">
        <v>44436</v>
      </c>
      <c r="B157">
        <v>0.11781999999999999</v>
      </c>
      <c r="C157">
        <v>0.11834</v>
      </c>
      <c r="D157">
        <v>0.11126</v>
      </c>
      <c r="E157">
        <v>0.11501</v>
      </c>
      <c r="F157">
        <v>12148848.4</v>
      </c>
      <c r="G157">
        <v>0.11501</v>
      </c>
      <c r="L157" t="s">
        <v>8</v>
      </c>
      <c r="M157" t="s">
        <v>7</v>
      </c>
      <c r="N157" t="s">
        <v>7</v>
      </c>
      <c r="P157">
        <f t="shared" ref="P157" si="760">IF(C157=D157,0,((E157-D157)-(C157-E157))/(C157-D157))</f>
        <v>5.9322033898305586E-2</v>
      </c>
      <c r="Q157">
        <f t="shared" ref="Q157" si="761">F157*P157</f>
        <v>720694.39661017561</v>
      </c>
      <c r="R157">
        <f t="shared" ref="R157" si="762">R158+Q157</f>
        <v>-1717165863.4083111</v>
      </c>
      <c r="S157">
        <f t="shared" ref="S157" si="763">R157/100000</f>
        <v>-17171.658634083113</v>
      </c>
      <c r="T157">
        <f t="shared" ref="T157" si="764">S157/1000</f>
        <v>-17.171658634083112</v>
      </c>
    </row>
    <row r="158" spans="1:20" x14ac:dyDescent="0.25">
      <c r="A158" s="5">
        <v>44435</v>
      </c>
      <c r="B158">
        <v>0.10585</v>
      </c>
      <c r="C158">
        <v>0.11985</v>
      </c>
      <c r="D158">
        <v>0.10238</v>
      </c>
      <c r="E158">
        <v>0.11798</v>
      </c>
      <c r="F158">
        <v>19390027.300000001</v>
      </c>
      <c r="G158">
        <v>0.11798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0.78591871780194655</v>
      </c>
      <c r="Q158">
        <f t="shared" ref="Q158" si="766">F158*P158</f>
        <v>15238985.393760741</v>
      </c>
      <c r="R158">
        <f t="shared" ref="R158" si="767">R159+Q158</f>
        <v>-1717886557.8049214</v>
      </c>
      <c r="S158">
        <f t="shared" ref="S158" si="768">R158/100000</f>
        <v>-17178.865578049215</v>
      </c>
      <c r="T158">
        <f t="shared" ref="T158" si="769">S158/1000</f>
        <v>-17.178865578049216</v>
      </c>
    </row>
    <row r="159" spans="1:20" x14ac:dyDescent="0.25">
      <c r="A159" s="5">
        <v>44434</v>
      </c>
      <c r="B159">
        <v>0.11897000000000001</v>
      </c>
      <c r="C159">
        <v>0.12315</v>
      </c>
      <c r="D159">
        <v>0.1045</v>
      </c>
      <c r="E159">
        <v>0.10589</v>
      </c>
      <c r="F159">
        <v>46580218.700000003</v>
      </c>
      <c r="G159">
        <v>0.10589</v>
      </c>
      <c r="L159" t="s">
        <v>7</v>
      </c>
      <c r="M159" t="s">
        <v>7</v>
      </c>
      <c r="N159" t="s">
        <v>7</v>
      </c>
      <c r="P159">
        <f t="shared" ref="P159" si="770">IF(C159=D159,0,((E159-D159)-(C159-E159))/(C159-D159))</f>
        <v>-0.85093833780160832</v>
      </c>
      <c r="Q159">
        <f t="shared" ref="Q159" si="771">F159*P159</f>
        <v>-39636893.875013396</v>
      </c>
      <c r="R159">
        <f t="shared" ref="R159" si="772">R160+Q159</f>
        <v>-1733125543.1986821</v>
      </c>
      <c r="S159">
        <f t="shared" ref="S159" si="773">R159/100000</f>
        <v>-17331.255431986821</v>
      </c>
      <c r="T159">
        <f t="shared" ref="T159" si="774">S159/1000</f>
        <v>-17.331255431986822</v>
      </c>
    </row>
    <row r="160" spans="1:20" x14ac:dyDescent="0.25">
      <c r="A160" s="5">
        <v>44433</v>
      </c>
      <c r="B160">
        <v>0.11403000000000001</v>
      </c>
      <c r="C160">
        <v>0.12389</v>
      </c>
      <c r="D160">
        <v>0.10682999999999999</v>
      </c>
      <c r="E160">
        <v>0.11874</v>
      </c>
      <c r="F160">
        <v>34752083.399999999</v>
      </c>
      <c r="G160">
        <v>0.11874</v>
      </c>
      <c r="L160" t="s">
        <v>7</v>
      </c>
      <c r="M160" t="s">
        <v>7</v>
      </c>
      <c r="N160" t="s">
        <v>7</v>
      </c>
      <c r="P160">
        <f t="shared" ref="P160" si="775">IF(C160=D160,0,((E160-D160)-(C160-E160))/(C160-D160))</f>
        <v>0.39624853458382181</v>
      </c>
      <c r="Q160">
        <f t="shared" ref="Q160" si="776">F160*P160</f>
        <v>13770462.120984759</v>
      </c>
      <c r="R160">
        <f t="shared" ref="R160" si="777">R161+Q160</f>
        <v>-1693488649.3236687</v>
      </c>
      <c r="S160">
        <f t="shared" ref="S160" si="778">R160/100000</f>
        <v>-16934.886493236689</v>
      </c>
      <c r="T160">
        <f t="shared" ref="T160" si="779">S160/1000</f>
        <v>-16.934886493236689</v>
      </c>
    </row>
    <row r="161" spans="1:20" x14ac:dyDescent="0.25">
      <c r="A161" s="5">
        <v>44432</v>
      </c>
      <c r="B161">
        <v>0.12695000000000001</v>
      </c>
      <c r="C161">
        <v>0.1275</v>
      </c>
      <c r="D161">
        <v>0.11221</v>
      </c>
      <c r="E161">
        <v>0.11419</v>
      </c>
      <c r="F161">
        <v>27446811.300000001</v>
      </c>
      <c r="G161">
        <v>0.11419</v>
      </c>
      <c r="L161" t="s">
        <v>7</v>
      </c>
      <c r="M161" t="s">
        <v>8</v>
      </c>
      <c r="N161" t="s">
        <v>7</v>
      </c>
      <c r="P161">
        <f t="shared" ref="P161" si="780">IF(C161=D161,0,((E161-D161)-(C161-E161))/(C161-D161))</f>
        <v>-0.74100719424460482</v>
      </c>
      <c r="Q161">
        <f t="shared" ref="Q161" si="781">F161*P161</f>
        <v>-20338284.632374115</v>
      </c>
      <c r="R161">
        <f t="shared" ref="R161" si="782">R162+Q161</f>
        <v>-1707259111.4446535</v>
      </c>
      <c r="S161">
        <f t="shared" ref="S161" si="783">R161/100000</f>
        <v>-17072.591114446535</v>
      </c>
      <c r="T161">
        <f t="shared" ref="T161" si="784">S161/1000</f>
        <v>-17.072591114446535</v>
      </c>
    </row>
    <row r="162" spans="1:20" x14ac:dyDescent="0.25">
      <c r="A162" s="5">
        <v>44431</v>
      </c>
      <c r="B162">
        <v>0.12909999999999999</v>
      </c>
      <c r="C162">
        <v>0.13278000000000001</v>
      </c>
      <c r="D162">
        <v>0.12393</v>
      </c>
      <c r="E162">
        <v>0.12695000000000001</v>
      </c>
      <c r="F162">
        <v>30503920</v>
      </c>
      <c r="G162">
        <v>0.12695000000000001</v>
      </c>
      <c r="L162" t="s">
        <v>8</v>
      </c>
      <c r="M162" t="s">
        <v>8</v>
      </c>
      <c r="N162" t="s">
        <v>7</v>
      </c>
      <c r="P162">
        <f t="shared" ref="P162" si="785">IF(C162=D162,0,((E162-D162)-(C162-E162))/(C162-D162))</f>
        <v>-0.31751412429378417</v>
      </c>
      <c r="Q162">
        <f t="shared" ref="Q162" si="786">F162*P162</f>
        <v>-9685425.4463276491</v>
      </c>
      <c r="R162">
        <f t="shared" ref="R162" si="787">R163+Q162</f>
        <v>-1686920826.8122795</v>
      </c>
      <c r="S162">
        <f t="shared" ref="S162" si="788">R162/100000</f>
        <v>-16869.208268122795</v>
      </c>
      <c r="T162">
        <f t="shared" ref="T162" si="789">S162/1000</f>
        <v>-16.869208268122794</v>
      </c>
    </row>
    <row r="163" spans="1:20" x14ac:dyDescent="0.25">
      <c r="A163" s="5">
        <v>44430</v>
      </c>
      <c r="B163">
        <v>0.12075</v>
      </c>
      <c r="C163">
        <v>0.13297999999999999</v>
      </c>
      <c r="D163">
        <v>0.11991</v>
      </c>
      <c r="E163">
        <v>0.13</v>
      </c>
      <c r="F163">
        <v>48836434.600000001</v>
      </c>
      <c r="G163">
        <v>0.13</v>
      </c>
      <c r="L163" t="s">
        <v>7</v>
      </c>
      <c r="M163" t="s">
        <v>8</v>
      </c>
      <c r="N163" t="s">
        <v>7</v>
      </c>
      <c r="P163">
        <f t="shared" ref="P163" si="790">IF(C163=D163,0,((E163-D163)-(C163-E163))/(C163-D163))</f>
        <v>0.54399387911247343</v>
      </c>
      <c r="Q163">
        <f t="shared" ref="Q163" si="791">F163*P163</f>
        <v>26566721.500076614</v>
      </c>
      <c r="R163">
        <f t="shared" ref="R163" si="792">R164+Q163</f>
        <v>-1677235401.3659518</v>
      </c>
      <c r="S163">
        <f t="shared" ref="S163" si="793">R163/100000</f>
        <v>-16772.354013659518</v>
      </c>
      <c r="T163">
        <f t="shared" ref="T163" si="794">S163/1000</f>
        <v>-16.77235401365952</v>
      </c>
    </row>
    <row r="164" spans="1:20" x14ac:dyDescent="0.25">
      <c r="A164" s="5">
        <v>44429</v>
      </c>
      <c r="B164">
        <v>0.11472</v>
      </c>
      <c r="C164">
        <v>0.13431999999999999</v>
      </c>
      <c r="D164">
        <v>0.11204</v>
      </c>
      <c r="E164">
        <v>0.12045</v>
      </c>
      <c r="F164">
        <v>121086634.59999999</v>
      </c>
      <c r="G164">
        <v>0.12045</v>
      </c>
      <c r="L164" t="s">
        <v>8</v>
      </c>
      <c r="M164" t="s">
        <v>8</v>
      </c>
      <c r="N164" t="s">
        <v>7</v>
      </c>
      <c r="P164">
        <f t="shared" ref="P164" si="795">IF(C164=D164,0,((E164-D164)-(C164-E164))/(C164-D164))</f>
        <v>-0.24506283662477532</v>
      </c>
      <c r="Q164">
        <f t="shared" ref="Q164" si="796">F164*P164</f>
        <v>-29673834.152423665</v>
      </c>
      <c r="R164">
        <f t="shared" ref="R164" si="797">R165+Q164</f>
        <v>-1703802122.8660283</v>
      </c>
      <c r="S164">
        <f t="shared" ref="S164" si="798">R164/100000</f>
        <v>-17038.021228660284</v>
      </c>
      <c r="T164">
        <f t="shared" ref="T164" si="799">S164/1000</f>
        <v>-17.038021228660284</v>
      </c>
    </row>
    <row r="165" spans="1:20" x14ac:dyDescent="0.25">
      <c r="A165" s="5">
        <v>44428</v>
      </c>
      <c r="B165">
        <v>0.11183999999999999</v>
      </c>
      <c r="C165">
        <v>0.1172</v>
      </c>
      <c r="D165">
        <v>0.11071</v>
      </c>
      <c r="E165">
        <v>0.11483</v>
      </c>
      <c r="F165">
        <v>21382797.300000001</v>
      </c>
      <c r="G165">
        <v>0.11483</v>
      </c>
      <c r="L165" t="s">
        <v>8</v>
      </c>
      <c r="M165" t="s">
        <v>8</v>
      </c>
      <c r="N165" t="s">
        <v>7</v>
      </c>
      <c r="P165">
        <f t="shared" ref="P165" si="800">IF(C165=D165,0,((E165-D165)-(C165-E165))/(C165-D165))</f>
        <v>0.26964560862865988</v>
      </c>
      <c r="Q165">
        <f t="shared" ref="Q165" si="801">F165*P165</f>
        <v>5765777.3921417659</v>
      </c>
      <c r="R165">
        <f t="shared" ref="R165" si="802">R166+Q165</f>
        <v>-1674128288.7136047</v>
      </c>
      <c r="S165">
        <f t="shared" ref="S165" si="803">R165/100000</f>
        <v>-16741.282887136047</v>
      </c>
      <c r="T165">
        <f t="shared" ref="T165" si="804">S165/1000</f>
        <v>-16.741282887136048</v>
      </c>
    </row>
    <row r="166" spans="1:20" x14ac:dyDescent="0.25">
      <c r="A166" s="5">
        <v>44427</v>
      </c>
      <c r="B166">
        <v>0.10729</v>
      </c>
      <c r="C166">
        <v>0.11482000000000001</v>
      </c>
      <c r="D166">
        <v>0.1048</v>
      </c>
      <c r="E166">
        <v>0.11183999999999999</v>
      </c>
      <c r="F166">
        <v>36678662.399999999</v>
      </c>
      <c r="G166">
        <v>0.11183999999999999</v>
      </c>
      <c r="L166" t="s">
        <v>8</v>
      </c>
      <c r="M166" t="s">
        <v>7</v>
      </c>
      <c r="N166" t="s">
        <v>7</v>
      </c>
      <c r="P166">
        <f t="shared" ref="P166" si="805">IF(C166=D166,0,((E166-D166)-(C166-E166))/(C166-D166))</f>
        <v>0.40518962075848103</v>
      </c>
      <c r="Q166">
        <f t="shared" ref="Q166" si="806">F166*P166</f>
        <v>14861813.307784356</v>
      </c>
      <c r="R166">
        <f t="shared" ref="R166" si="807">R167+Q166</f>
        <v>-1679894066.1057465</v>
      </c>
      <c r="S166">
        <f t="shared" ref="S166" si="808">R166/100000</f>
        <v>-16798.940661057466</v>
      </c>
      <c r="T166">
        <f t="shared" ref="T166" si="809">S166/1000</f>
        <v>-16.798940661057465</v>
      </c>
    </row>
    <row r="167" spans="1:20" x14ac:dyDescent="0.25">
      <c r="A167" s="5">
        <v>44426</v>
      </c>
      <c r="B167">
        <v>0.10331</v>
      </c>
      <c r="C167">
        <v>0.1082</v>
      </c>
      <c r="D167">
        <v>9.6269999999999994E-2</v>
      </c>
      <c r="E167">
        <v>0.10706</v>
      </c>
      <c r="F167">
        <v>15174506</v>
      </c>
      <c r="G167">
        <v>0.10706</v>
      </c>
      <c r="L167" t="s">
        <v>7</v>
      </c>
      <c r="M167" t="s">
        <v>7</v>
      </c>
      <c r="N167" t="s">
        <v>7</v>
      </c>
      <c r="P167">
        <f t="shared" ref="P167" si="810">IF(C167=D167,0,((E167-D167)-(C167-E167))/(C167-D167))</f>
        <v>0.80888516345347838</v>
      </c>
      <c r="Q167">
        <f t="shared" ref="Q167" si="811">F167*P167</f>
        <v>12274432.766135788</v>
      </c>
      <c r="R167">
        <f t="shared" ref="R167" si="812">R168+Q167</f>
        <v>-1694755879.4135308</v>
      </c>
      <c r="S167">
        <f t="shared" ref="S167" si="813">R167/100000</f>
        <v>-16947.558794135308</v>
      </c>
      <c r="T167">
        <f t="shared" ref="T167" si="814">S167/1000</f>
        <v>-16.947558794135308</v>
      </c>
    </row>
    <row r="168" spans="1:20" x14ac:dyDescent="0.25">
      <c r="A168" s="5">
        <v>44425</v>
      </c>
      <c r="B168">
        <v>0.10691000000000001</v>
      </c>
      <c r="C168">
        <v>0.11391</v>
      </c>
      <c r="D168">
        <v>0.10095</v>
      </c>
      <c r="E168">
        <v>0.10285</v>
      </c>
      <c r="F168">
        <v>22628394.699999999</v>
      </c>
      <c r="G168">
        <v>0.10285</v>
      </c>
      <c r="L168" t="s">
        <v>7</v>
      </c>
      <c r="M168" t="s">
        <v>7</v>
      </c>
      <c r="N168" t="s">
        <v>7</v>
      </c>
      <c r="P168">
        <f t="shared" ref="P168" si="815">IF(C168=D168,0,((E168-D168)-(C168-E168))/(C168-D168))</f>
        <v>-0.70679012345679026</v>
      </c>
      <c r="Q168">
        <f t="shared" ref="Q168" si="816">F168*P168</f>
        <v>-15993525.883641979</v>
      </c>
      <c r="R168">
        <f t="shared" ref="R168" si="817">R169+Q168</f>
        <v>-1707030312.1796665</v>
      </c>
      <c r="S168">
        <f t="shared" ref="S168" si="818">R168/100000</f>
        <v>-17070.303121796664</v>
      </c>
      <c r="T168">
        <f t="shared" ref="T168" si="819">S168/1000</f>
        <v>-17.070303121796663</v>
      </c>
    </row>
    <row r="169" spans="1:20" x14ac:dyDescent="0.25">
      <c r="A169" s="5">
        <v>44424</v>
      </c>
      <c r="B169">
        <v>0.11663999999999999</v>
      </c>
      <c r="C169">
        <v>0.11688999999999999</v>
      </c>
      <c r="D169">
        <v>0.106</v>
      </c>
      <c r="E169">
        <v>0.10662000000000001</v>
      </c>
      <c r="F169">
        <v>59173772.700000003</v>
      </c>
      <c r="G169">
        <v>0.10662000000000001</v>
      </c>
      <c r="L169" t="s">
        <v>7</v>
      </c>
      <c r="M169" t="s">
        <v>7</v>
      </c>
      <c r="N169" t="s">
        <v>8</v>
      </c>
      <c r="P169">
        <f t="shared" ref="P169" si="820">IF(C169=D169,0,((E169-D169)-(C169-E169))/(C169-D169))</f>
        <v>-0.88613406795224803</v>
      </c>
      <c r="Q169">
        <f t="shared" ref="Q169" si="821">F169*P169</f>
        <v>-52435895.91873268</v>
      </c>
      <c r="R169">
        <f t="shared" ref="R169" si="822">R170+Q169</f>
        <v>-1691036786.2960246</v>
      </c>
      <c r="S169">
        <f t="shared" ref="S169" si="823">R169/100000</f>
        <v>-16910.367862960247</v>
      </c>
      <c r="T169">
        <f t="shared" ref="T169" si="824">S169/1000</f>
        <v>-16.910367862960246</v>
      </c>
    </row>
    <row r="170" spans="1:20" x14ac:dyDescent="0.25">
      <c r="A170" s="5">
        <v>44423</v>
      </c>
      <c r="B170">
        <v>0.1149</v>
      </c>
      <c r="C170">
        <v>0.14035</v>
      </c>
      <c r="D170">
        <v>0.11233</v>
      </c>
      <c r="E170">
        <v>0.11661000000000001</v>
      </c>
      <c r="F170">
        <v>96085013.799999997</v>
      </c>
      <c r="G170">
        <v>0.11661000000000001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-0.69450392576730868</v>
      </c>
      <c r="Q170">
        <f t="shared" ref="Q170" si="826">F170*P170</f>
        <v>-66731419.29150603</v>
      </c>
      <c r="R170">
        <f t="shared" ref="R170" si="827">R171+Q170</f>
        <v>-1638600890.3772919</v>
      </c>
      <c r="S170">
        <f t="shared" ref="S170" si="828">R170/100000</f>
        <v>-16386.008903772919</v>
      </c>
      <c r="T170">
        <f t="shared" ref="T170" si="829">S170/1000</f>
        <v>-16.386008903772918</v>
      </c>
    </row>
    <row r="171" spans="1:20" x14ac:dyDescent="0.25">
      <c r="A171" s="5">
        <v>44422</v>
      </c>
      <c r="B171">
        <v>0.10456</v>
      </c>
      <c r="C171">
        <v>0.12733</v>
      </c>
      <c r="D171">
        <v>0.10326</v>
      </c>
      <c r="E171">
        <v>0.11473999999999999</v>
      </c>
      <c r="F171">
        <v>97840104.900000006</v>
      </c>
      <c r="G171">
        <v>0.11473999999999999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-4.6115496468633735E-2</v>
      </c>
      <c r="Q171">
        <f t="shared" ref="Q171" si="831">F171*P171</f>
        <v>-4511945.0120067047</v>
      </c>
      <c r="R171">
        <f t="shared" ref="R171" si="832">R172+Q171</f>
        <v>-1571869471.0857859</v>
      </c>
      <c r="S171">
        <f t="shared" ref="S171" si="833">R171/100000</f>
        <v>-15718.694710857859</v>
      </c>
      <c r="T171">
        <f t="shared" ref="T171" si="834">S171/1000</f>
        <v>-15.718694710857859</v>
      </c>
    </row>
    <row r="172" spans="1:20" x14ac:dyDescent="0.25">
      <c r="A172" s="5">
        <v>44421</v>
      </c>
      <c r="B172">
        <v>9.5829999999999999E-2</v>
      </c>
      <c r="C172">
        <v>0.1051</v>
      </c>
      <c r="D172">
        <v>9.4719999999999999E-2</v>
      </c>
      <c r="E172">
        <v>0.10456</v>
      </c>
      <c r="F172">
        <v>16106794.9</v>
      </c>
      <c r="G172">
        <v>0.10456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0.8959537572254338</v>
      </c>
      <c r="Q172">
        <f t="shared" ref="Q172" si="836">F172*P172</f>
        <v>14430943.407514455</v>
      </c>
      <c r="R172">
        <f t="shared" ref="R172" si="837">R173+Q172</f>
        <v>-1567357526.0737791</v>
      </c>
      <c r="S172">
        <f t="shared" ref="S172" si="838">R172/100000</f>
        <v>-15673.575260737791</v>
      </c>
      <c r="T172">
        <f t="shared" ref="T172" si="839">S172/1000</f>
        <v>-15.67357526073779</v>
      </c>
    </row>
    <row r="173" spans="1:20" x14ac:dyDescent="0.25">
      <c r="A173" s="5">
        <v>44420</v>
      </c>
      <c r="B173">
        <v>9.6420000000000006E-2</v>
      </c>
      <c r="C173">
        <v>0.10131</v>
      </c>
      <c r="D173">
        <v>9.0319999999999998E-2</v>
      </c>
      <c r="E173">
        <v>9.5930000000000001E-2</v>
      </c>
      <c r="F173">
        <v>37406140.5</v>
      </c>
      <c r="G173">
        <v>9.5930000000000001E-2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2.0928116469518469E-2</v>
      </c>
      <c r="Q173">
        <f t="shared" ref="Q173" si="841">F173*P173</f>
        <v>782840.06505917187</v>
      </c>
      <c r="R173">
        <f t="shared" ref="R173" si="842">R174+Q173</f>
        <v>-1581788469.4812937</v>
      </c>
      <c r="S173">
        <f t="shared" ref="S173" si="843">R173/100000</f>
        <v>-15817.884694812938</v>
      </c>
      <c r="T173">
        <f t="shared" ref="T173" si="844">S173/1000</f>
        <v>-15.817884694812937</v>
      </c>
    </row>
    <row r="174" spans="1:20" x14ac:dyDescent="0.25">
      <c r="A174" s="5">
        <v>44419</v>
      </c>
      <c r="B174">
        <v>9.5399999999999999E-2</v>
      </c>
      <c r="C174">
        <v>0.1038</v>
      </c>
      <c r="D174">
        <v>9.461E-2</v>
      </c>
      <c r="E174">
        <v>9.6449999999999994E-2</v>
      </c>
      <c r="F174">
        <v>22952422.300000001</v>
      </c>
      <c r="G174">
        <v>9.6449999999999994E-2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-0.59956474428727013</v>
      </c>
      <c r="Q174">
        <f t="shared" ref="Q174" si="846">F174*P174</f>
        <v>-13761463.207072938</v>
      </c>
      <c r="R174">
        <f t="shared" ref="R174" si="847">R175+Q174</f>
        <v>-1582571309.5463529</v>
      </c>
      <c r="S174">
        <f t="shared" ref="S174" si="848">R174/100000</f>
        <v>-15825.713095463529</v>
      </c>
      <c r="T174">
        <f t="shared" ref="T174" si="849">S174/1000</f>
        <v>-15.825713095463529</v>
      </c>
    </row>
    <row r="175" spans="1:20" x14ac:dyDescent="0.25">
      <c r="A175" s="5">
        <v>44418</v>
      </c>
      <c r="B175">
        <v>9.178E-2</v>
      </c>
      <c r="C175">
        <v>9.8599999999999993E-2</v>
      </c>
      <c r="D175">
        <v>9.0450000000000003E-2</v>
      </c>
      <c r="E175">
        <v>9.5409999999999995E-2</v>
      </c>
      <c r="F175">
        <v>22506724.600000001</v>
      </c>
      <c r="G175">
        <v>9.5409999999999995E-2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0.21717791411042894</v>
      </c>
      <c r="Q175">
        <f t="shared" ref="Q175" si="851">F175*P175</f>
        <v>4887963.5020858785</v>
      </c>
      <c r="R175">
        <f t="shared" ref="R175" si="852">R176+Q175</f>
        <v>-1568809846.3392799</v>
      </c>
      <c r="S175">
        <f t="shared" ref="S175" si="853">R175/100000</f>
        <v>-15688.098463392798</v>
      </c>
      <c r="T175">
        <f t="shared" ref="T175" si="854">S175/1000</f>
        <v>-15.688098463392798</v>
      </c>
    </row>
    <row r="176" spans="1:20" x14ac:dyDescent="0.25">
      <c r="A176" s="5">
        <v>44417</v>
      </c>
      <c r="B176">
        <v>8.7679999999999994E-2</v>
      </c>
      <c r="C176">
        <v>9.3130000000000004E-2</v>
      </c>
      <c r="D176">
        <v>8.4080000000000002E-2</v>
      </c>
      <c r="E176">
        <v>9.178E-2</v>
      </c>
      <c r="F176">
        <v>14848557.699999999</v>
      </c>
      <c r="G176">
        <v>9.178E-2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0.70165745856353512</v>
      </c>
      <c r="Q176">
        <f t="shared" ref="Q176" si="856">F176*P176</f>
        <v>10418601.259116009</v>
      </c>
      <c r="R176">
        <f t="shared" ref="R176" si="857">R177+Q176</f>
        <v>-1573697809.8413658</v>
      </c>
      <c r="S176">
        <f t="shared" ref="S176" si="858">R176/100000</f>
        <v>-15736.978098413658</v>
      </c>
      <c r="T176">
        <f t="shared" ref="T176" si="859">S176/1000</f>
        <v>-15.736978098413658</v>
      </c>
    </row>
    <row r="177" spans="1:20" x14ac:dyDescent="0.25">
      <c r="A177" s="5">
        <v>44416</v>
      </c>
      <c r="B177">
        <v>9.4310000000000005E-2</v>
      </c>
      <c r="C177">
        <v>9.4549999999999995E-2</v>
      </c>
      <c r="D177">
        <v>8.6360000000000006E-2</v>
      </c>
      <c r="E177">
        <v>8.7590000000000001E-2</v>
      </c>
      <c r="F177">
        <v>17619179.800000001</v>
      </c>
      <c r="G177">
        <v>8.7590000000000001E-2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-0.69963369963370048</v>
      </c>
      <c r="Q177">
        <f t="shared" ref="Q177" si="861">F177*P177</f>
        <v>-12326971.947985364</v>
      </c>
      <c r="R177">
        <f t="shared" ref="R177" si="862">R178+Q177</f>
        <v>-1584116411.1004817</v>
      </c>
      <c r="S177">
        <f t="shared" ref="S177" si="863">R177/100000</f>
        <v>-15841.164111004817</v>
      </c>
      <c r="T177">
        <f t="shared" ref="T177" si="864">S177/1000</f>
        <v>-15.841164111004817</v>
      </c>
    </row>
    <row r="178" spans="1:20" x14ac:dyDescent="0.25">
      <c r="A178" s="5">
        <v>44415</v>
      </c>
      <c r="B178">
        <v>8.6330000000000004E-2</v>
      </c>
      <c r="C178">
        <v>9.7500000000000003E-2</v>
      </c>
      <c r="D178">
        <v>8.5629999999999998E-2</v>
      </c>
      <c r="E178">
        <v>9.4310000000000005E-2</v>
      </c>
      <c r="F178">
        <v>56013285.5</v>
      </c>
      <c r="G178">
        <v>9.4310000000000005E-2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0.46251053074978993</v>
      </c>
      <c r="Q178">
        <f t="shared" ref="Q178" si="866">F178*P178</f>
        <v>25906734.405644514</v>
      </c>
      <c r="R178">
        <f t="shared" ref="R178" si="867">R179+Q178</f>
        <v>-1571789439.1524963</v>
      </c>
      <c r="S178">
        <f t="shared" ref="S178" si="868">R178/100000</f>
        <v>-15717.894391524964</v>
      </c>
      <c r="T178">
        <f t="shared" ref="T178" si="869">S178/1000</f>
        <v>-15.717894391524963</v>
      </c>
    </row>
    <row r="179" spans="1:20" x14ac:dyDescent="0.25">
      <c r="A179" s="5">
        <v>44414</v>
      </c>
      <c r="B179">
        <v>8.448E-2</v>
      </c>
      <c r="C179">
        <v>9.0719999999999995E-2</v>
      </c>
      <c r="D179">
        <v>8.2309999999999994E-2</v>
      </c>
      <c r="E179">
        <v>8.6330000000000004E-2</v>
      </c>
      <c r="F179">
        <v>24128398.800000001</v>
      </c>
      <c r="G179">
        <v>8.6330000000000004E-2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-4.3995243757429421E-2</v>
      </c>
      <c r="Q179">
        <f t="shared" ref="Q179" si="871">F179*P179</f>
        <v>-1061534.7866824677</v>
      </c>
      <c r="R179">
        <f t="shared" ref="R179" si="872">R180+Q179</f>
        <v>-1597696173.5581408</v>
      </c>
      <c r="S179">
        <f t="shared" ref="S179" si="873">R179/100000</f>
        <v>-15976.961735581408</v>
      </c>
      <c r="T179">
        <f t="shared" ref="T179" si="874">S179/1000</f>
        <v>-15.976961735581408</v>
      </c>
    </row>
    <row r="180" spans="1:20" x14ac:dyDescent="0.25">
      <c r="A180" s="5">
        <v>44413</v>
      </c>
      <c r="B180">
        <v>7.8450000000000006E-2</v>
      </c>
      <c r="C180">
        <v>8.7999999999999995E-2</v>
      </c>
      <c r="D180">
        <v>7.7899999999999997E-2</v>
      </c>
      <c r="E180">
        <v>8.4339999999999998E-2</v>
      </c>
      <c r="F180">
        <v>49343821.200000003</v>
      </c>
      <c r="G180">
        <v>8.4339999999999998E-2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0.27524752475247577</v>
      </c>
      <c r="Q180">
        <f t="shared" ref="Q180" si="876">F180*P180</f>
        <v>13581764.64712874</v>
      </c>
      <c r="R180">
        <f t="shared" ref="R180" si="877">R181+Q180</f>
        <v>-1596634638.7714584</v>
      </c>
      <c r="S180">
        <f t="shared" ref="S180" si="878">R180/100000</f>
        <v>-15966.346387714584</v>
      </c>
      <c r="T180">
        <f t="shared" ref="T180" si="879">S180/1000</f>
        <v>-15.966346387714584</v>
      </c>
    </row>
    <row r="181" spans="1:20" x14ac:dyDescent="0.25">
      <c r="A181" s="5">
        <v>44412</v>
      </c>
      <c r="B181">
        <v>7.6340000000000005E-2</v>
      </c>
      <c r="C181">
        <v>8.0140000000000003E-2</v>
      </c>
      <c r="D181">
        <v>7.5410000000000005E-2</v>
      </c>
      <c r="E181">
        <v>7.8359999999999999E-2</v>
      </c>
      <c r="F181">
        <v>15791086.1</v>
      </c>
      <c r="G181">
        <v>7.8359999999999999E-2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0.24735729386891986</v>
      </c>
      <c r="Q181">
        <f t="shared" ref="Q181" si="881">F181*P181</f>
        <v>3906040.3249471155</v>
      </c>
      <c r="R181">
        <f t="shared" ref="R181" si="882">R182+Q181</f>
        <v>-1610216403.4185872</v>
      </c>
      <c r="S181">
        <f t="shared" ref="S181" si="883">R181/100000</f>
        <v>-16102.164034185873</v>
      </c>
      <c r="T181">
        <f t="shared" ref="T181" si="884">S181/1000</f>
        <v>-16.102164034185872</v>
      </c>
    </row>
    <row r="182" spans="1:20" x14ac:dyDescent="0.25">
      <c r="A182" s="5">
        <v>44411</v>
      </c>
      <c r="B182">
        <v>7.7929999999999999E-2</v>
      </c>
      <c r="C182">
        <v>7.9659999999999995E-2</v>
      </c>
      <c r="D182">
        <v>7.528E-2</v>
      </c>
      <c r="E182">
        <v>7.6259999999999994E-2</v>
      </c>
      <c r="F182">
        <v>21462134.5</v>
      </c>
      <c r="G182">
        <v>7.6259999999999994E-2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-0.55251141552511607</v>
      </c>
      <c r="Q182">
        <f t="shared" ref="Q182" si="886">F182*P182</f>
        <v>-11858074.31278543</v>
      </c>
      <c r="R182">
        <f t="shared" ref="R182" si="887">R183+Q182</f>
        <v>-1614122443.7435343</v>
      </c>
      <c r="S182">
        <f t="shared" ref="S182" si="888">R182/100000</f>
        <v>-16141.224437435343</v>
      </c>
      <c r="T182">
        <f t="shared" ref="T182" si="889">S182/1000</f>
        <v>-16.141224437435344</v>
      </c>
    </row>
    <row r="183" spans="1:20" x14ac:dyDescent="0.25">
      <c r="A183" s="5">
        <v>44410</v>
      </c>
      <c r="B183">
        <v>7.4209999999999998E-2</v>
      </c>
      <c r="C183">
        <v>8.1320000000000003E-2</v>
      </c>
      <c r="D183">
        <v>7.3099999999999998E-2</v>
      </c>
      <c r="E183">
        <v>7.8119999999999995E-2</v>
      </c>
      <c r="F183">
        <v>28769445.199999999</v>
      </c>
      <c r="G183">
        <v>7.8119999999999995E-2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0.22141119221411037</v>
      </c>
      <c r="Q183">
        <f t="shared" ref="Q183" si="891">F183*P183</f>
        <v>6369877.1610705145</v>
      </c>
      <c r="R183">
        <f t="shared" ref="R183" si="892">R184+Q183</f>
        <v>-1602264369.4307489</v>
      </c>
      <c r="S183">
        <f t="shared" ref="S183" si="893">R183/100000</f>
        <v>-16022.64369430749</v>
      </c>
      <c r="T183">
        <f t="shared" ref="T183" si="894">S183/1000</f>
        <v>-16.02264369430749</v>
      </c>
    </row>
    <row r="184" spans="1:20" x14ac:dyDescent="0.25">
      <c r="A184" s="5">
        <v>44409</v>
      </c>
      <c r="B184">
        <v>7.6359999999999997E-2</v>
      </c>
      <c r="C184">
        <v>8.1670000000000006E-2</v>
      </c>
      <c r="D184">
        <v>7.3749999999999996E-2</v>
      </c>
      <c r="E184">
        <v>7.4450000000000002E-2</v>
      </c>
      <c r="F184">
        <v>19385766.199999999</v>
      </c>
      <c r="G184">
        <v>7.4450000000000002E-2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-0.82323232323232187</v>
      </c>
      <c r="Q184">
        <f t="shared" ref="Q184" si="896">F184*P184</f>
        <v>-15958989.346464619</v>
      </c>
      <c r="R184">
        <f t="shared" ref="R184" si="897">R185+Q184</f>
        <v>-1608634246.5918195</v>
      </c>
      <c r="S184">
        <f t="shared" ref="S184" si="898">R184/100000</f>
        <v>-16086.342465918195</v>
      </c>
      <c r="T184">
        <f t="shared" ref="T184" si="899">S184/1000</f>
        <v>-16.086342465918193</v>
      </c>
    </row>
    <row r="185" spans="1:20" x14ac:dyDescent="0.25">
      <c r="A185" s="5">
        <v>44408</v>
      </c>
      <c r="B185">
        <v>7.3389999999999997E-2</v>
      </c>
      <c r="C185">
        <v>7.8E-2</v>
      </c>
      <c r="D185">
        <v>7.1859999999999993E-2</v>
      </c>
      <c r="E185">
        <v>7.639E-2</v>
      </c>
      <c r="F185">
        <v>14830740</v>
      </c>
      <c r="G185">
        <v>7.639E-2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0.47557003257329034</v>
      </c>
      <c r="Q185">
        <f t="shared" ref="Q185" si="901">F185*P185</f>
        <v>7053055.5048859995</v>
      </c>
      <c r="R185">
        <f t="shared" ref="R185" si="902">R186+Q185</f>
        <v>-1592675257.2453549</v>
      </c>
      <c r="S185">
        <f t="shared" ref="S185" si="903">R185/100000</f>
        <v>-15926.752572453548</v>
      </c>
      <c r="T185">
        <f t="shared" ref="T185" si="904">S185/1000</f>
        <v>-15.926752572453548</v>
      </c>
    </row>
    <row r="186" spans="1:20" x14ac:dyDescent="0.25">
      <c r="A186" s="5">
        <v>44407</v>
      </c>
      <c r="B186">
        <v>7.1360000000000007E-2</v>
      </c>
      <c r="C186">
        <v>7.392E-2</v>
      </c>
      <c r="D186">
        <v>6.8729999999999999E-2</v>
      </c>
      <c r="E186">
        <v>7.3389999999999997E-2</v>
      </c>
      <c r="F186">
        <v>12696848.300000001</v>
      </c>
      <c r="G186">
        <v>7.3389999999999997E-2</v>
      </c>
      <c r="L186" t="s">
        <v>8</v>
      </c>
      <c r="M186" t="s">
        <v>8</v>
      </c>
      <c r="N186" t="s">
        <v>7</v>
      </c>
      <c r="P186">
        <f t="shared" ref="P186" si="905">IF(C186=D186,0,((E186-D186)-(C186-E186))/(C186-D186))</f>
        <v>0.79576107899807214</v>
      </c>
      <c r="Q186">
        <f t="shared" ref="Q186" si="906">F186*P186</f>
        <v>10103657.703082839</v>
      </c>
      <c r="R186">
        <f t="shared" ref="R186" si="907">R187+Q186</f>
        <v>-1599728312.7502408</v>
      </c>
      <c r="S186">
        <f t="shared" ref="S186" si="908">R186/100000</f>
        <v>-15997.283127502407</v>
      </c>
      <c r="T186">
        <f t="shared" ref="T186" si="909">S186/1000</f>
        <v>-15.997283127502408</v>
      </c>
    </row>
    <row r="187" spans="1:20" x14ac:dyDescent="0.25">
      <c r="A187" s="5">
        <v>44406</v>
      </c>
      <c r="B187">
        <v>6.9690000000000002E-2</v>
      </c>
      <c r="C187">
        <v>7.2179999999999994E-2</v>
      </c>
      <c r="D187">
        <v>6.8699999999999997E-2</v>
      </c>
      <c r="E187">
        <v>7.1260000000000004E-2</v>
      </c>
      <c r="F187">
        <v>9751752.6999999993</v>
      </c>
      <c r="G187">
        <v>7.1260000000000004E-2</v>
      </c>
      <c r="L187" t="s">
        <v>7</v>
      </c>
      <c r="M187" t="s">
        <v>8</v>
      </c>
      <c r="N187" t="s">
        <v>7</v>
      </c>
      <c r="P187">
        <f t="shared" ref="P187" si="910">IF(C187=D187,0,((E187-D187)-(C187-E187))/(C187-D187))</f>
        <v>0.4712643678160971</v>
      </c>
      <c r="Q187">
        <f t="shared" ref="Q187" si="911">F187*P187</f>
        <v>4595653.5712644178</v>
      </c>
      <c r="R187">
        <f t="shared" ref="R187" si="912">R188+Q187</f>
        <v>-1609831970.4533236</v>
      </c>
      <c r="S187">
        <f t="shared" ref="S187" si="913">R187/100000</f>
        <v>-16098.319704533236</v>
      </c>
      <c r="T187">
        <f t="shared" ref="T187" si="914">S187/1000</f>
        <v>-16.098319704533235</v>
      </c>
    </row>
    <row r="188" spans="1:20" x14ac:dyDescent="0.25">
      <c r="A188" s="5">
        <v>44405</v>
      </c>
      <c r="B188">
        <v>7.2470000000000007E-2</v>
      </c>
      <c r="C188">
        <v>7.3800000000000004E-2</v>
      </c>
      <c r="D188">
        <v>6.8699999999999997E-2</v>
      </c>
      <c r="E188">
        <v>6.9690000000000002E-2</v>
      </c>
      <c r="F188">
        <v>10851783.9</v>
      </c>
      <c r="G188">
        <v>6.9690000000000002E-2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-0.61176470588235166</v>
      </c>
      <c r="Q188">
        <f t="shared" ref="Q188" si="916">F188*P188</f>
        <v>-6638738.3858823394</v>
      </c>
      <c r="R188">
        <f t="shared" ref="R188" si="917">R189+Q188</f>
        <v>-1614427624.0245881</v>
      </c>
      <c r="S188">
        <f t="shared" ref="S188" si="918">R188/100000</f>
        <v>-16144.276240245881</v>
      </c>
      <c r="T188">
        <f t="shared" ref="T188" si="919">S188/1000</f>
        <v>-16.14427624024588</v>
      </c>
    </row>
    <row r="189" spans="1:20" x14ac:dyDescent="0.25">
      <c r="A189" s="5">
        <v>44404</v>
      </c>
      <c r="B189">
        <v>6.862E-2</v>
      </c>
      <c r="C189">
        <v>7.324E-2</v>
      </c>
      <c r="D189">
        <v>6.6229999999999997E-2</v>
      </c>
      <c r="E189">
        <v>7.2120000000000004E-2</v>
      </c>
      <c r="F189">
        <v>26969658.800000001</v>
      </c>
      <c r="G189">
        <v>7.2120000000000004E-2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0.68045649072753334</v>
      </c>
      <c r="Q189">
        <f t="shared" ref="Q189" si="921">F189*P189</f>
        <v>18351679.383166939</v>
      </c>
      <c r="R189">
        <f t="shared" ref="R189" si="922">R190+Q189</f>
        <v>-1607788885.6387057</v>
      </c>
      <c r="S189">
        <f t="shared" ref="S189" si="923">R189/100000</f>
        <v>-16077.888856387057</v>
      </c>
      <c r="T189">
        <f t="shared" ref="T189" si="924">S189/1000</f>
        <v>-16.077888856387055</v>
      </c>
    </row>
    <row r="190" spans="1:20" x14ac:dyDescent="0.25">
      <c r="A190" s="5">
        <v>44403</v>
      </c>
      <c r="B190">
        <v>7.0059999999999997E-2</v>
      </c>
      <c r="C190">
        <v>7.4999999999999997E-2</v>
      </c>
      <c r="D190">
        <v>6.6919999999999993E-2</v>
      </c>
      <c r="E190">
        <v>6.8279999999999993E-2</v>
      </c>
      <c r="F190">
        <v>22991188.699999999</v>
      </c>
      <c r="G190">
        <v>6.8279999999999993E-2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-0.66336633663366351</v>
      </c>
      <c r="Q190">
        <f t="shared" ref="Q190" si="926">F190*P190</f>
        <v>-15251580.62277228</v>
      </c>
      <c r="R190">
        <f t="shared" ref="R190" si="927">R191+Q190</f>
        <v>-1626140565.0218728</v>
      </c>
      <c r="S190">
        <f t="shared" ref="S190" si="928">R190/100000</f>
        <v>-16261.405650218727</v>
      </c>
      <c r="T190">
        <f t="shared" ref="T190" si="929">S190/1000</f>
        <v>-16.261405650218727</v>
      </c>
    </row>
    <row r="191" spans="1:20" x14ac:dyDescent="0.25">
      <c r="A191" s="5">
        <v>44402</v>
      </c>
      <c r="B191">
        <v>6.9379999999999997E-2</v>
      </c>
      <c r="C191">
        <v>7.0660000000000001E-2</v>
      </c>
      <c r="D191">
        <v>6.6750000000000004E-2</v>
      </c>
      <c r="E191">
        <v>6.9809999999999997E-2</v>
      </c>
      <c r="F191">
        <v>10217822.800000001</v>
      </c>
      <c r="G191">
        <v>6.9809999999999997E-2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0.56521739130434567</v>
      </c>
      <c r="Q191">
        <f t="shared" ref="Q191" si="931">F191*P191</f>
        <v>5775291.1478260653</v>
      </c>
      <c r="R191">
        <f t="shared" ref="R191" si="932">R192+Q191</f>
        <v>-1610888984.3991005</v>
      </c>
      <c r="S191">
        <f t="shared" ref="S191" si="933">R191/100000</f>
        <v>-16108.889843991006</v>
      </c>
      <c r="T191">
        <f t="shared" ref="T191:T197" si="934">S191/1000</f>
        <v>-16.108889843991005</v>
      </c>
    </row>
    <row r="192" spans="1:20" x14ac:dyDescent="0.25">
      <c r="A192" s="5">
        <v>44401</v>
      </c>
      <c r="B192">
        <v>6.8220000000000003E-2</v>
      </c>
      <c r="C192">
        <v>7.0400000000000004E-2</v>
      </c>
      <c r="D192">
        <v>6.6850000000000007E-2</v>
      </c>
      <c r="E192">
        <v>6.9330000000000003E-2</v>
      </c>
      <c r="F192">
        <v>15363948.9</v>
      </c>
      <c r="G192">
        <v>6.9330000000000003E-2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0.39718309859154804</v>
      </c>
      <c r="Q192">
        <f t="shared" ref="Q192" si="936">F192*P192</f>
        <v>6102300.8307042066</v>
      </c>
      <c r="R192">
        <f t="shared" ref="R192" si="937">R193+Q192</f>
        <v>-1616664275.5469265</v>
      </c>
      <c r="S192">
        <f t="shared" ref="S192" si="938">R192/100000</f>
        <v>-16166.642755469265</v>
      </c>
      <c r="T192">
        <f t="shared" si="934"/>
        <v>-16.166642755469265</v>
      </c>
    </row>
    <row r="193" spans="1:20" x14ac:dyDescent="0.25">
      <c r="A193" s="5">
        <v>44400</v>
      </c>
      <c r="B193">
        <v>6.3030000000000003E-2</v>
      </c>
      <c r="C193">
        <v>6.9000000000000006E-2</v>
      </c>
      <c r="D193">
        <v>6.2170000000000003E-2</v>
      </c>
      <c r="E193">
        <v>6.8220000000000003E-2</v>
      </c>
      <c r="F193">
        <v>21984235.5</v>
      </c>
      <c r="G193">
        <v>6.8220000000000003E-2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0.77159590043923787</v>
      </c>
      <c r="Q193">
        <f t="shared" ref="Q193" si="940">F193*P193</f>
        <v>16962945.986090757</v>
      </c>
      <c r="R193">
        <f t="shared" ref="R193" si="941">R194+Q193</f>
        <v>-1622766576.3776307</v>
      </c>
      <c r="S193">
        <f t="shared" ref="S193" si="942">R193/100000</f>
        <v>-16227.665763776307</v>
      </c>
      <c r="T193">
        <f t="shared" si="934"/>
        <v>-16.227665763776308</v>
      </c>
    </row>
    <row r="194" spans="1:20" x14ac:dyDescent="0.25">
      <c r="A194" s="5">
        <v>44399</v>
      </c>
      <c r="B194">
        <v>6.1580000000000003E-2</v>
      </c>
      <c r="C194">
        <v>6.4219999999999999E-2</v>
      </c>
      <c r="D194">
        <v>6.0409999999999998E-2</v>
      </c>
      <c r="E194">
        <v>6.2839999999999993E-2</v>
      </c>
      <c r="F194">
        <v>10361996.5</v>
      </c>
      <c r="G194">
        <v>6.2839999999999993E-2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0.27559055118109926</v>
      </c>
      <c r="Q194">
        <f t="shared" ref="Q194" si="944">F194*P194</f>
        <v>2855668.3267716216</v>
      </c>
      <c r="R194">
        <f t="shared" ref="R194" si="945">R195+Q194</f>
        <v>-1639729522.3637214</v>
      </c>
      <c r="S194">
        <f t="shared" ref="S194" si="946">R194/100000</f>
        <v>-16397.295223637215</v>
      </c>
      <c r="T194">
        <f t="shared" si="934"/>
        <v>-16.397295223637215</v>
      </c>
    </row>
    <row r="195" spans="1:20" x14ac:dyDescent="0.25">
      <c r="A195" s="5">
        <v>44398</v>
      </c>
      <c r="B195">
        <v>5.5840000000000001E-2</v>
      </c>
      <c r="C195">
        <v>6.3E-2</v>
      </c>
      <c r="D195">
        <v>5.4559999999999997E-2</v>
      </c>
      <c r="E195">
        <v>6.1249999999999999E-2</v>
      </c>
      <c r="F195">
        <v>8503978.1999999993</v>
      </c>
      <c r="G195">
        <v>6.1249999999999999E-2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0.58530805687203769</v>
      </c>
      <c r="Q195">
        <f t="shared" ref="Q195" si="948">F195*P195</f>
        <v>4977446.9559241682</v>
      </c>
      <c r="R195">
        <f t="shared" ref="R195" si="949">R196+Q195</f>
        <v>-1642585190.6904931</v>
      </c>
      <c r="S195">
        <f t="shared" ref="S195" si="950">R195/100000</f>
        <v>-16425.851906904933</v>
      </c>
      <c r="T195">
        <f t="shared" si="934"/>
        <v>-16.425851906904931</v>
      </c>
    </row>
    <row r="196" spans="1:20" x14ac:dyDescent="0.25">
      <c r="A196" s="5">
        <v>44397</v>
      </c>
      <c r="B196">
        <v>6.0400000000000002E-2</v>
      </c>
      <c r="C196">
        <v>6.1159999999999999E-2</v>
      </c>
      <c r="D196">
        <v>5.2630000000000003E-2</v>
      </c>
      <c r="E196">
        <v>5.5780000000000003E-2</v>
      </c>
      <c r="F196">
        <v>14041178.699999999</v>
      </c>
      <c r="G196">
        <v>5.5780000000000003E-2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-0.26143024618991756</v>
      </c>
      <c r="Q196">
        <f t="shared" ref="Q196" si="952">F196*P196</f>
        <v>-3670788.8043376263</v>
      </c>
      <c r="R196">
        <f t="shared" ref="R196" si="953">R197+Q196</f>
        <v>-1647562637.6464174</v>
      </c>
      <c r="S196">
        <f t="shared" ref="S196" si="954">R196/100000</f>
        <v>-16475.626376464174</v>
      </c>
      <c r="T196">
        <f t="shared" si="934"/>
        <v>-16.475626376464174</v>
      </c>
    </row>
    <row r="197" spans="1:20" x14ac:dyDescent="0.25">
      <c r="A197" s="5">
        <v>44396</v>
      </c>
      <c r="B197">
        <v>6.7070000000000005E-2</v>
      </c>
      <c r="C197">
        <v>6.7089999999999997E-2</v>
      </c>
      <c r="D197">
        <v>5.9479999999999998E-2</v>
      </c>
      <c r="E197">
        <v>6.0299999999999999E-2</v>
      </c>
      <c r="F197">
        <v>11950600.300000001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-0.78449408672798915</v>
      </c>
      <c r="Q197">
        <f t="shared" ref="Q197" si="956">F197*P197</f>
        <v>-9375175.2681997344</v>
      </c>
      <c r="R197">
        <f t="shared" ref="R197" si="957">R198+Q197</f>
        <v>-1643891848.8420796</v>
      </c>
      <c r="S197">
        <f t="shared" ref="S197" si="958">R197/100000</f>
        <v>-16438.918488420797</v>
      </c>
      <c r="T197">
        <f t="shared" si="934"/>
        <v>-16.438918488420796</v>
      </c>
    </row>
    <row r="198" spans="1:20" x14ac:dyDescent="0.25">
      <c r="A198" s="5">
        <v>44395</v>
      </c>
      <c r="B198">
        <v>6.7049999999999998E-2</v>
      </c>
      <c r="C198">
        <v>6.9940000000000002E-2</v>
      </c>
      <c r="D198">
        <v>6.6589999999999996E-2</v>
      </c>
      <c r="E198">
        <v>6.7229999999999998E-2</v>
      </c>
      <c r="F198">
        <v>7147257.7999999998</v>
      </c>
      <c r="G198">
        <v>0</v>
      </c>
      <c r="L198" t="s">
        <v>7</v>
      </c>
      <c r="M198" t="s">
        <v>7</v>
      </c>
      <c r="N198" t="s">
        <v>8</v>
      </c>
      <c r="P198">
        <f t="shared" ref="P198:P261" si="959">IF(C198=D198,0,((E198-D198)-(C198-E198))/(C198-D198))</f>
        <v>-0.61791044776119364</v>
      </c>
      <c r="Q198">
        <f t="shared" ref="Q198:Q261" si="960">F198*P198</f>
        <v>-4416365.2674626838</v>
      </c>
      <c r="R198">
        <f t="shared" ref="R198:R261" si="961">R199+Q198</f>
        <v>-1634516673.57388</v>
      </c>
      <c r="S198">
        <f t="shared" ref="S198:S261" si="962">R198/100000</f>
        <v>-16345.1667357388</v>
      </c>
      <c r="T198">
        <f t="shared" ref="T198:T261" si="963">S198/1000</f>
        <v>-16.3451667357388</v>
      </c>
    </row>
    <row r="199" spans="1:20" x14ac:dyDescent="0.25">
      <c r="A199" s="5">
        <v>44394</v>
      </c>
      <c r="B199">
        <v>6.8650000000000003E-2</v>
      </c>
      <c r="C199">
        <v>7.0000000000000007E-2</v>
      </c>
      <c r="D199">
        <v>6.6470000000000001E-2</v>
      </c>
      <c r="E199">
        <v>6.7049999999999998E-2</v>
      </c>
      <c r="F199">
        <v>11104139.9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-0.67138810198300491</v>
      </c>
      <c r="Q199">
        <f t="shared" si="960"/>
        <v>-7455187.4116147542</v>
      </c>
      <c r="R199">
        <f t="shared" si="961"/>
        <v>-1630100308.3064172</v>
      </c>
      <c r="S199">
        <f t="shared" si="962"/>
        <v>-16301.003083064172</v>
      </c>
      <c r="T199">
        <f t="shared" si="963"/>
        <v>-16.30100308306417</v>
      </c>
    </row>
    <row r="200" spans="1:20" x14ac:dyDescent="0.25">
      <c r="A200" s="5">
        <v>44393</v>
      </c>
      <c r="B200">
        <v>7.3130000000000001E-2</v>
      </c>
      <c r="C200">
        <v>8.301E-2</v>
      </c>
      <c r="D200">
        <v>6.8449999999999997E-2</v>
      </c>
      <c r="E200">
        <v>6.8690000000000001E-2</v>
      </c>
      <c r="F200">
        <v>69143644</v>
      </c>
      <c r="G200">
        <v>0</v>
      </c>
      <c r="L200" t="s">
        <v>8</v>
      </c>
      <c r="M200" t="s">
        <v>8</v>
      </c>
      <c r="N200" t="s">
        <v>8</v>
      </c>
      <c r="P200">
        <f t="shared" si="959"/>
        <v>-0.96703296703296648</v>
      </c>
      <c r="Q200">
        <f t="shared" si="960"/>
        <v>-66864183.208791174</v>
      </c>
      <c r="R200">
        <f t="shared" si="961"/>
        <v>-1622645120.8948026</v>
      </c>
      <c r="S200">
        <f t="shared" si="962"/>
        <v>-16226.451208948025</v>
      </c>
      <c r="T200">
        <f t="shared" si="963"/>
        <v>-16.226451208948024</v>
      </c>
    </row>
    <row r="201" spans="1:20" x14ac:dyDescent="0.25">
      <c r="A201" s="5">
        <v>44392</v>
      </c>
      <c r="B201">
        <v>7.0260000000000003E-2</v>
      </c>
      <c r="C201">
        <v>7.6990000000000003E-2</v>
      </c>
      <c r="D201">
        <v>6.6030000000000005E-2</v>
      </c>
      <c r="E201">
        <v>7.3080000000000006E-2</v>
      </c>
      <c r="F201">
        <v>36248576.299999997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0.2864963503649639</v>
      </c>
      <c r="Q201">
        <f t="shared" si="960"/>
        <v>10385084.815875925</v>
      </c>
      <c r="R201">
        <f t="shared" si="961"/>
        <v>-1555780937.6860113</v>
      </c>
      <c r="S201">
        <f t="shared" si="962"/>
        <v>-15557.809376860114</v>
      </c>
      <c r="T201">
        <f t="shared" si="963"/>
        <v>-15.557809376860114</v>
      </c>
    </row>
    <row r="202" spans="1:20" x14ac:dyDescent="0.25">
      <c r="A202" s="5">
        <v>44391</v>
      </c>
      <c r="B202">
        <v>6.8739999999999996E-2</v>
      </c>
      <c r="C202">
        <v>7.51E-2</v>
      </c>
      <c r="D202">
        <v>6.5030000000000004E-2</v>
      </c>
      <c r="E202">
        <v>7.0480000000000001E-2</v>
      </c>
      <c r="F202">
        <v>14382729.6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8.2423038728897488E-2</v>
      </c>
      <c r="Q202">
        <f t="shared" si="960"/>
        <v>1185468.2788480602</v>
      </c>
      <c r="R202">
        <f t="shared" si="961"/>
        <v>-1566166022.5018873</v>
      </c>
      <c r="S202">
        <f t="shared" si="962"/>
        <v>-15661.660225018873</v>
      </c>
      <c r="T202">
        <f t="shared" si="963"/>
        <v>-15.661660225018874</v>
      </c>
    </row>
    <row r="203" spans="1:20" x14ac:dyDescent="0.25">
      <c r="A203" s="5">
        <v>44390</v>
      </c>
      <c r="B203">
        <v>7.1980000000000002E-2</v>
      </c>
      <c r="C203">
        <v>7.3219999999999993E-2</v>
      </c>
      <c r="D203">
        <v>6.7729999999999999E-2</v>
      </c>
      <c r="E203">
        <v>6.8729999999999999E-2</v>
      </c>
      <c r="F203">
        <v>6689319.0999999996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-0.63570127504553664</v>
      </c>
      <c r="Q203">
        <f t="shared" si="960"/>
        <v>-4252408.6810564613</v>
      </c>
      <c r="R203">
        <f t="shared" si="961"/>
        <v>-1567351490.7807355</v>
      </c>
      <c r="S203">
        <f t="shared" si="962"/>
        <v>-15673.514907807355</v>
      </c>
      <c r="T203">
        <f t="shared" si="963"/>
        <v>-15.673514907807355</v>
      </c>
    </row>
    <row r="204" spans="1:20" x14ac:dyDescent="0.25">
      <c r="A204" s="5">
        <v>44389</v>
      </c>
      <c r="B204">
        <v>7.5469999999999995E-2</v>
      </c>
      <c r="C204">
        <v>7.6399999999999996E-2</v>
      </c>
      <c r="D204">
        <v>7.0699999999999999E-2</v>
      </c>
      <c r="E204">
        <v>7.2190000000000004E-2</v>
      </c>
      <c r="F204">
        <v>9203381.3000000007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-0.47719298245613823</v>
      </c>
      <c r="Q204">
        <f t="shared" si="960"/>
        <v>-4391788.971228051</v>
      </c>
      <c r="R204">
        <f t="shared" si="961"/>
        <v>-1563099082.099679</v>
      </c>
      <c r="S204">
        <f t="shared" si="962"/>
        <v>-15630.990820996791</v>
      </c>
      <c r="T204">
        <f t="shared" si="963"/>
        <v>-15.630990820996791</v>
      </c>
    </row>
    <row r="205" spans="1:20" x14ac:dyDescent="0.25">
      <c r="A205" s="5">
        <v>44388</v>
      </c>
      <c r="B205">
        <v>7.6310000000000003E-2</v>
      </c>
      <c r="C205">
        <v>7.7990000000000004E-2</v>
      </c>
      <c r="D205">
        <v>7.442E-2</v>
      </c>
      <c r="E205">
        <v>7.535E-2</v>
      </c>
      <c r="F205">
        <v>13821017.699999999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-0.47899159663865587</v>
      </c>
      <c r="Q205">
        <f t="shared" si="960"/>
        <v>-6620151.3352941228</v>
      </c>
      <c r="R205">
        <f t="shared" si="961"/>
        <v>-1558707293.1284509</v>
      </c>
      <c r="S205">
        <f t="shared" si="962"/>
        <v>-15587.072931284509</v>
      </c>
      <c r="T205">
        <f t="shared" si="963"/>
        <v>-15.587072931284508</v>
      </c>
    </row>
    <row r="206" spans="1:20" x14ac:dyDescent="0.25">
      <c r="A206" s="5">
        <v>44387</v>
      </c>
      <c r="B206">
        <v>7.4700000000000003E-2</v>
      </c>
      <c r="C206">
        <v>7.7520000000000006E-2</v>
      </c>
      <c r="D206">
        <v>7.3209999999999997E-2</v>
      </c>
      <c r="E206">
        <v>7.6310000000000003E-2</v>
      </c>
      <c r="F206">
        <v>9657921.5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0.43851508120649635</v>
      </c>
      <c r="Q206">
        <f t="shared" si="960"/>
        <v>4235144.2308584666</v>
      </c>
      <c r="R206">
        <f t="shared" si="961"/>
        <v>-1552087141.7931569</v>
      </c>
      <c r="S206">
        <f t="shared" si="962"/>
        <v>-15520.871417931568</v>
      </c>
      <c r="T206">
        <f t="shared" si="963"/>
        <v>-15.520871417931568</v>
      </c>
    </row>
    <row r="207" spans="1:20" x14ac:dyDescent="0.25">
      <c r="A207" s="5">
        <v>44386</v>
      </c>
      <c r="B207">
        <v>7.2590000000000002E-2</v>
      </c>
      <c r="C207">
        <v>7.6719999999999997E-2</v>
      </c>
      <c r="D207">
        <v>6.9970000000000004E-2</v>
      </c>
      <c r="E207">
        <v>7.4700000000000003E-2</v>
      </c>
      <c r="F207">
        <v>15777561.5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0.40148148148148255</v>
      </c>
      <c r="Q207">
        <f t="shared" si="960"/>
        <v>6334398.7651852025</v>
      </c>
      <c r="R207">
        <f t="shared" si="961"/>
        <v>-1556322286.0240154</v>
      </c>
      <c r="S207">
        <f t="shared" si="962"/>
        <v>-15563.222860240154</v>
      </c>
      <c r="T207">
        <f t="shared" si="963"/>
        <v>-15.563222860240154</v>
      </c>
    </row>
    <row r="208" spans="1:20" x14ac:dyDescent="0.25">
      <c r="A208" s="5">
        <v>44385</v>
      </c>
      <c r="B208">
        <v>8.1070000000000003E-2</v>
      </c>
      <c r="C208">
        <v>8.1699999999999995E-2</v>
      </c>
      <c r="D208">
        <v>7.1230000000000002E-2</v>
      </c>
      <c r="E208">
        <v>7.2590000000000002E-2</v>
      </c>
      <c r="F208">
        <v>17720829.800000001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-0.74021012416427867</v>
      </c>
      <c r="Q208">
        <f t="shared" si="960"/>
        <v>-13117137.626552051</v>
      </c>
      <c r="R208">
        <f t="shared" si="961"/>
        <v>-1562656684.7892005</v>
      </c>
      <c r="S208">
        <f t="shared" si="962"/>
        <v>-15626.566847892005</v>
      </c>
      <c r="T208">
        <f t="shared" si="963"/>
        <v>-15.626566847892006</v>
      </c>
    </row>
    <row r="209" spans="1:20" x14ac:dyDescent="0.25">
      <c r="A209" s="5">
        <v>44384</v>
      </c>
      <c r="B209">
        <v>8.2040000000000002E-2</v>
      </c>
      <c r="C209">
        <v>8.4900000000000003E-2</v>
      </c>
      <c r="D209">
        <v>8.1000000000000003E-2</v>
      </c>
      <c r="E209">
        <v>8.1439999999999999E-2</v>
      </c>
      <c r="F209">
        <v>9367263</v>
      </c>
      <c r="G209">
        <v>0</v>
      </c>
      <c r="L209" t="s">
        <v>7</v>
      </c>
      <c r="M209" t="s">
        <v>8</v>
      </c>
      <c r="N209" t="s">
        <v>8</v>
      </c>
      <c r="P209">
        <f t="shared" si="959"/>
        <v>-0.77435897435897649</v>
      </c>
      <c r="Q209">
        <f t="shared" si="960"/>
        <v>-7253624.1692307889</v>
      </c>
      <c r="R209">
        <f t="shared" si="961"/>
        <v>-1549539547.1626484</v>
      </c>
      <c r="S209">
        <f t="shared" si="962"/>
        <v>-15495.395471626485</v>
      </c>
      <c r="T209">
        <f t="shared" si="963"/>
        <v>-15.495395471626486</v>
      </c>
    </row>
    <row r="210" spans="1:20" x14ac:dyDescent="0.25">
      <c r="A210" s="5">
        <v>44383</v>
      </c>
      <c r="B210">
        <v>8.3059999999999995E-2</v>
      </c>
      <c r="C210">
        <v>8.5699999999999998E-2</v>
      </c>
      <c r="D210">
        <v>8.1009999999999999E-2</v>
      </c>
      <c r="E210">
        <v>8.2140000000000005E-2</v>
      </c>
      <c r="F210">
        <v>11275266</v>
      </c>
      <c r="G210">
        <v>0</v>
      </c>
      <c r="L210" t="s">
        <v>7</v>
      </c>
      <c r="M210" t="s">
        <v>8</v>
      </c>
      <c r="N210" t="s">
        <v>8</v>
      </c>
      <c r="P210">
        <f t="shared" si="959"/>
        <v>-0.51812366737739612</v>
      </c>
      <c r="Q210">
        <f t="shared" si="960"/>
        <v>-5841982.1705756634</v>
      </c>
      <c r="R210">
        <f t="shared" si="961"/>
        <v>-1542285922.9934177</v>
      </c>
      <c r="S210">
        <f t="shared" si="962"/>
        <v>-15422.859229934178</v>
      </c>
      <c r="T210">
        <f t="shared" si="963"/>
        <v>-15.422859229934177</v>
      </c>
    </row>
    <row r="211" spans="1:20" x14ac:dyDescent="0.25">
      <c r="A211" s="5">
        <v>44382</v>
      </c>
      <c r="B211">
        <v>8.2650000000000001E-2</v>
      </c>
      <c r="C211">
        <v>8.7540000000000007E-2</v>
      </c>
      <c r="D211">
        <v>8.0280000000000004E-2</v>
      </c>
      <c r="E211">
        <v>8.301E-2</v>
      </c>
      <c r="F211">
        <v>20580531.800000001</v>
      </c>
      <c r="G211">
        <v>0</v>
      </c>
      <c r="L211" t="s">
        <v>8</v>
      </c>
      <c r="M211" t="s">
        <v>8</v>
      </c>
      <c r="N211" t="s">
        <v>8</v>
      </c>
      <c r="P211">
        <f t="shared" si="959"/>
        <v>-0.24793388429752194</v>
      </c>
      <c r="Q211">
        <f t="shared" si="960"/>
        <v>-5102611.1900826711</v>
      </c>
      <c r="R211">
        <f t="shared" si="961"/>
        <v>-1536443940.8228421</v>
      </c>
      <c r="S211">
        <f t="shared" si="962"/>
        <v>-15364.439408228422</v>
      </c>
      <c r="T211">
        <f t="shared" si="963"/>
        <v>-15.364439408228421</v>
      </c>
    </row>
    <row r="212" spans="1:20" x14ac:dyDescent="0.25">
      <c r="A212" s="5">
        <v>44381</v>
      </c>
      <c r="B212">
        <v>8.0320000000000003E-2</v>
      </c>
      <c r="C212">
        <v>8.6709999999999995E-2</v>
      </c>
      <c r="D212">
        <v>7.8299999999999995E-2</v>
      </c>
      <c r="E212">
        <v>8.3019999999999997E-2</v>
      </c>
      <c r="F212">
        <v>23648805.300000001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0.12247324613555327</v>
      </c>
      <c r="Q212">
        <f t="shared" si="960"/>
        <v>2896345.9523186767</v>
      </c>
      <c r="R212">
        <f t="shared" si="961"/>
        <v>-1531341329.6327593</v>
      </c>
      <c r="S212">
        <f t="shared" si="962"/>
        <v>-15313.413296327593</v>
      </c>
      <c r="T212">
        <f t="shared" si="963"/>
        <v>-15.313413296327594</v>
      </c>
    </row>
    <row r="213" spans="1:20" x14ac:dyDescent="0.25">
      <c r="A213" s="5">
        <v>44380</v>
      </c>
      <c r="B213">
        <v>7.739E-2</v>
      </c>
      <c r="C213">
        <v>8.3000000000000004E-2</v>
      </c>
      <c r="D213">
        <v>7.6200000000000004E-2</v>
      </c>
      <c r="E213">
        <v>8.0439999999999998E-2</v>
      </c>
      <c r="F213">
        <v>18433441.399999999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0.24705882352940983</v>
      </c>
      <c r="Q213">
        <f t="shared" si="960"/>
        <v>4554144.3458823171</v>
      </c>
      <c r="R213">
        <f t="shared" si="961"/>
        <v>-1534237675.585078</v>
      </c>
      <c r="S213">
        <f t="shared" si="962"/>
        <v>-15342.376755850781</v>
      </c>
      <c r="T213">
        <f t="shared" si="963"/>
        <v>-15.342376755850781</v>
      </c>
    </row>
    <row r="214" spans="1:20" x14ac:dyDescent="0.25">
      <c r="A214" s="5">
        <v>44379</v>
      </c>
      <c r="B214">
        <v>7.4200000000000002E-2</v>
      </c>
      <c r="C214">
        <v>7.8969999999999999E-2</v>
      </c>
      <c r="D214">
        <v>7.1879999999999999E-2</v>
      </c>
      <c r="E214">
        <v>7.739E-2</v>
      </c>
      <c r="F214">
        <v>21736513.300000001</v>
      </c>
      <c r="G214">
        <v>0</v>
      </c>
      <c r="L214" t="s">
        <v>8</v>
      </c>
      <c r="M214" t="s">
        <v>8</v>
      </c>
      <c r="N214" t="s">
        <v>8</v>
      </c>
      <c r="P214">
        <f t="shared" si="959"/>
        <v>0.55430183356840668</v>
      </c>
      <c r="Q214">
        <f t="shared" si="960"/>
        <v>12048589.177574059</v>
      </c>
      <c r="R214">
        <f t="shared" si="961"/>
        <v>-1538791819.9309604</v>
      </c>
      <c r="S214">
        <f t="shared" si="962"/>
        <v>-15387.918199309604</v>
      </c>
      <c r="T214">
        <f t="shared" si="963"/>
        <v>-15.387918199309604</v>
      </c>
    </row>
    <row r="215" spans="1:20" x14ac:dyDescent="0.25">
      <c r="A215" s="5">
        <v>44378</v>
      </c>
      <c r="B215">
        <v>8.0490000000000006E-2</v>
      </c>
      <c r="C215">
        <v>8.2309999999999994E-2</v>
      </c>
      <c r="D215">
        <v>7.3209999999999997E-2</v>
      </c>
      <c r="E215">
        <v>7.4560000000000001E-2</v>
      </c>
      <c r="F215">
        <v>24525619.5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-0.70329670329670235</v>
      </c>
      <c r="Q215">
        <f t="shared" si="960"/>
        <v>-17248787.340659317</v>
      </c>
      <c r="R215">
        <f t="shared" si="961"/>
        <v>-1550840409.1085346</v>
      </c>
      <c r="S215">
        <f t="shared" si="962"/>
        <v>-15508.404091085345</v>
      </c>
      <c r="T215">
        <f t="shared" si="963"/>
        <v>-15.508404091085346</v>
      </c>
    </row>
    <row r="216" spans="1:20" x14ac:dyDescent="0.25">
      <c r="A216" s="5">
        <v>44377</v>
      </c>
      <c r="B216">
        <v>8.3199999999999996E-2</v>
      </c>
      <c r="C216">
        <v>8.4000000000000005E-2</v>
      </c>
      <c r="D216">
        <v>7.5569999999999998E-2</v>
      </c>
      <c r="E216">
        <v>8.0490000000000006E-2</v>
      </c>
      <c r="F216">
        <v>25569567.399999999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0.1672597864768692</v>
      </c>
      <c r="Q216">
        <f t="shared" si="960"/>
        <v>4276760.3836299153</v>
      </c>
      <c r="R216">
        <f t="shared" si="961"/>
        <v>-1533591621.7678752</v>
      </c>
      <c r="S216">
        <f t="shared" si="962"/>
        <v>-15335.916217678752</v>
      </c>
      <c r="T216">
        <f t="shared" si="963"/>
        <v>-15.335916217678752</v>
      </c>
    </row>
    <row r="217" spans="1:20" x14ac:dyDescent="0.25">
      <c r="A217" s="5">
        <v>44376</v>
      </c>
      <c r="B217">
        <v>7.646E-2</v>
      </c>
      <c r="C217">
        <v>8.6499999999999994E-2</v>
      </c>
      <c r="D217">
        <v>7.5759999999999994E-2</v>
      </c>
      <c r="E217">
        <v>8.319E-2</v>
      </c>
      <c r="F217">
        <v>22319600.300000001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0.38361266294227309</v>
      </c>
      <c r="Q217">
        <f t="shared" si="960"/>
        <v>8562081.306890158</v>
      </c>
      <c r="R217">
        <f t="shared" si="961"/>
        <v>-1537868382.151505</v>
      </c>
      <c r="S217">
        <f t="shared" si="962"/>
        <v>-15378.683821515049</v>
      </c>
      <c r="T217">
        <f t="shared" si="963"/>
        <v>-15.378683821515049</v>
      </c>
    </row>
    <row r="218" spans="1:20" x14ac:dyDescent="0.25">
      <c r="A218" s="5">
        <v>44375</v>
      </c>
      <c r="B218">
        <v>7.6399999999999996E-2</v>
      </c>
      <c r="C218">
        <v>7.918E-2</v>
      </c>
      <c r="D218">
        <v>7.4209999999999998E-2</v>
      </c>
      <c r="E218">
        <v>7.6569999999999999E-2</v>
      </c>
      <c r="F218">
        <v>33739417.600000001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-5.0301810865191171E-2</v>
      </c>
      <c r="Q218">
        <f t="shared" si="960"/>
        <v>-1697153.8028169023</v>
      </c>
      <c r="R218">
        <f t="shared" si="961"/>
        <v>-1546430463.4583952</v>
      </c>
      <c r="S218">
        <f t="shared" si="962"/>
        <v>-15464.304634583952</v>
      </c>
      <c r="T218">
        <f t="shared" si="963"/>
        <v>-15.464304634583952</v>
      </c>
    </row>
    <row r="219" spans="1:20" x14ac:dyDescent="0.25">
      <c r="A219" s="5">
        <v>44374</v>
      </c>
      <c r="B219">
        <v>7.3550000000000004E-2</v>
      </c>
      <c r="C219">
        <v>7.8450000000000006E-2</v>
      </c>
      <c r="D219">
        <v>7.2620000000000004E-2</v>
      </c>
      <c r="E219">
        <v>7.6520000000000005E-2</v>
      </c>
      <c r="F219">
        <v>20106474.899999999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0.33790737564322454</v>
      </c>
      <c r="Q219">
        <f t="shared" si="960"/>
        <v>6794126.1668953653</v>
      </c>
      <c r="R219">
        <f t="shared" si="961"/>
        <v>-1544733309.6555784</v>
      </c>
      <c r="S219">
        <f t="shared" si="962"/>
        <v>-15447.333096555783</v>
      </c>
      <c r="T219">
        <f t="shared" si="963"/>
        <v>-15.447333096555784</v>
      </c>
    </row>
    <row r="220" spans="1:20" x14ac:dyDescent="0.25">
      <c r="A220" s="5">
        <v>44373</v>
      </c>
      <c r="B220">
        <v>6.8659999999999999E-2</v>
      </c>
      <c r="C220">
        <v>7.3580000000000007E-2</v>
      </c>
      <c r="D220">
        <v>6.3519999999999993E-2</v>
      </c>
      <c r="E220">
        <v>7.3510000000000006E-2</v>
      </c>
      <c r="F220">
        <v>18335463.5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0.98608349900596415</v>
      </c>
      <c r="Q220">
        <f t="shared" si="960"/>
        <v>18080298.00397614</v>
      </c>
      <c r="R220">
        <f t="shared" si="961"/>
        <v>-1551527435.8224738</v>
      </c>
      <c r="S220">
        <f t="shared" si="962"/>
        <v>-15515.274358224739</v>
      </c>
      <c r="T220">
        <f t="shared" si="963"/>
        <v>-15.515274358224739</v>
      </c>
    </row>
    <row r="221" spans="1:20" x14ac:dyDescent="0.25">
      <c r="A221" s="5">
        <v>44372</v>
      </c>
      <c r="B221">
        <v>7.4969999999999995E-2</v>
      </c>
      <c r="C221">
        <v>7.596E-2</v>
      </c>
      <c r="D221">
        <v>6.5619999999999998E-2</v>
      </c>
      <c r="E221">
        <v>6.9029999999999994E-2</v>
      </c>
      <c r="F221">
        <v>14970422.1</v>
      </c>
      <c r="G221">
        <v>0</v>
      </c>
      <c r="L221" t="s">
        <v>8</v>
      </c>
      <c r="M221" t="s">
        <v>8</v>
      </c>
      <c r="N221" t="s">
        <v>8</v>
      </c>
      <c r="P221">
        <f t="shared" si="959"/>
        <v>-0.34042553191489444</v>
      </c>
      <c r="Q221">
        <f t="shared" si="960"/>
        <v>-5096313.906382991</v>
      </c>
      <c r="R221">
        <f t="shared" si="961"/>
        <v>-1569607733.8264499</v>
      </c>
      <c r="S221">
        <f t="shared" si="962"/>
        <v>-15696.077338264498</v>
      </c>
      <c r="T221">
        <f t="shared" si="963"/>
        <v>-15.696077338264498</v>
      </c>
    </row>
    <row r="222" spans="1:20" x14ac:dyDescent="0.25">
      <c r="A222" s="5">
        <v>44371</v>
      </c>
      <c r="B222">
        <v>7.0059999999999997E-2</v>
      </c>
      <c r="C222">
        <v>7.5990000000000002E-2</v>
      </c>
      <c r="D222">
        <v>6.6000000000000003E-2</v>
      </c>
      <c r="E222">
        <v>7.4969999999999995E-2</v>
      </c>
      <c r="F222">
        <v>19327353.300000001</v>
      </c>
      <c r="G222">
        <v>0</v>
      </c>
      <c r="L222" t="s">
        <v>7</v>
      </c>
      <c r="M222" t="s">
        <v>8</v>
      </c>
      <c r="N222" t="s">
        <v>8</v>
      </c>
      <c r="P222">
        <f t="shared" si="959"/>
        <v>0.7957957957957944</v>
      </c>
      <c r="Q222">
        <f t="shared" si="960"/>
        <v>15380626.499999974</v>
      </c>
      <c r="R222">
        <f t="shared" si="961"/>
        <v>-1564511419.9200668</v>
      </c>
      <c r="S222">
        <f t="shared" si="962"/>
        <v>-15645.114199200669</v>
      </c>
      <c r="T222">
        <f t="shared" si="963"/>
        <v>-15.645114199200668</v>
      </c>
    </row>
    <row r="223" spans="1:20" x14ac:dyDescent="0.25">
      <c r="A223" s="5">
        <v>44370</v>
      </c>
      <c r="B223">
        <v>5.9549999999999999E-2</v>
      </c>
      <c r="C223">
        <v>7.8570000000000001E-2</v>
      </c>
      <c r="D223">
        <v>5.7439999999999998E-2</v>
      </c>
      <c r="E223">
        <v>7.0059999999999997E-2</v>
      </c>
      <c r="F223">
        <v>63728992.100000001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0.19451017510648344</v>
      </c>
      <c r="Q223">
        <f t="shared" si="960"/>
        <v>12395937.412730699</v>
      </c>
      <c r="R223">
        <f t="shared" si="961"/>
        <v>-1579892046.4200668</v>
      </c>
      <c r="S223">
        <f t="shared" si="962"/>
        <v>-15798.920464200668</v>
      </c>
      <c r="T223">
        <f t="shared" si="963"/>
        <v>-15.798920464200668</v>
      </c>
    </row>
    <row r="224" spans="1:20" x14ac:dyDescent="0.25">
      <c r="A224" s="5">
        <v>44369</v>
      </c>
      <c r="B224">
        <v>6.3950000000000007E-2</v>
      </c>
      <c r="C224">
        <v>6.8430000000000005E-2</v>
      </c>
      <c r="D224">
        <v>5.1330000000000001E-2</v>
      </c>
      <c r="E224">
        <v>5.951E-2</v>
      </c>
      <c r="F224">
        <v>32694925.699999999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-4.3274853801169848E-2</v>
      </c>
      <c r="Q224">
        <f t="shared" si="960"/>
        <v>-1414868.1297076107</v>
      </c>
      <c r="R224">
        <f t="shared" si="961"/>
        <v>-1592287983.8327975</v>
      </c>
      <c r="S224">
        <f t="shared" si="962"/>
        <v>-15922.879838327975</v>
      </c>
      <c r="T224">
        <f t="shared" si="963"/>
        <v>-15.922879838327976</v>
      </c>
    </row>
    <row r="225" spans="1:20" x14ac:dyDescent="0.25">
      <c r="A225" s="5">
        <v>44368</v>
      </c>
      <c r="B225">
        <v>7.8740000000000004E-2</v>
      </c>
      <c r="C225">
        <v>8.3699999999999997E-2</v>
      </c>
      <c r="D225">
        <v>6.2649999999999997E-2</v>
      </c>
      <c r="E225">
        <v>6.3930000000000001E-2</v>
      </c>
      <c r="F225">
        <v>40702984.399999999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-0.87838479809976211</v>
      </c>
      <c r="Q225">
        <f t="shared" si="960"/>
        <v>-35752882.734251767</v>
      </c>
      <c r="R225">
        <f t="shared" si="961"/>
        <v>-1590873115.70309</v>
      </c>
      <c r="S225">
        <f t="shared" si="962"/>
        <v>-15908.731157030899</v>
      </c>
      <c r="T225">
        <f t="shared" si="963"/>
        <v>-15.9087311570309</v>
      </c>
    </row>
    <row r="226" spans="1:20" x14ac:dyDescent="0.25">
      <c r="A226" s="5">
        <v>44367</v>
      </c>
      <c r="B226">
        <v>7.5800000000000006E-2</v>
      </c>
      <c r="C226">
        <v>8.14E-2</v>
      </c>
      <c r="D226">
        <v>6.9000000000000006E-2</v>
      </c>
      <c r="E226">
        <v>7.8750000000000001E-2</v>
      </c>
      <c r="F226">
        <v>31994377.399999999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0.57258064516129015</v>
      </c>
      <c r="Q226">
        <f t="shared" si="960"/>
        <v>18319361.2532258</v>
      </c>
      <c r="R226">
        <f t="shared" si="961"/>
        <v>-1555120232.9688382</v>
      </c>
      <c r="S226">
        <f t="shared" si="962"/>
        <v>-15551.202329688382</v>
      </c>
      <c r="T226">
        <f t="shared" si="963"/>
        <v>-15.551202329688381</v>
      </c>
    </row>
    <row r="227" spans="1:20" x14ac:dyDescent="0.25">
      <c r="A227" s="5">
        <v>44366</v>
      </c>
      <c r="B227">
        <v>7.7920000000000003E-2</v>
      </c>
      <c r="C227">
        <v>7.9670000000000005E-2</v>
      </c>
      <c r="D227">
        <v>7.4990000000000001E-2</v>
      </c>
      <c r="E227">
        <v>7.5889999999999999E-2</v>
      </c>
      <c r="F227">
        <v>20548892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-0.61538461538461653</v>
      </c>
      <c r="Q227">
        <f t="shared" si="960"/>
        <v>-12645472.000000024</v>
      </c>
      <c r="R227">
        <f t="shared" si="961"/>
        <v>-1573439594.222064</v>
      </c>
      <c r="S227">
        <f t="shared" si="962"/>
        <v>-15734.395942220641</v>
      </c>
      <c r="T227">
        <f t="shared" si="963"/>
        <v>-15.73439594222064</v>
      </c>
    </row>
    <row r="228" spans="1:20" x14ac:dyDescent="0.25">
      <c r="A228" s="5">
        <v>44365</v>
      </c>
      <c r="B228">
        <v>8.5400000000000004E-2</v>
      </c>
      <c r="C228">
        <v>8.5980000000000001E-2</v>
      </c>
      <c r="D228">
        <v>7.5399999999999995E-2</v>
      </c>
      <c r="E228">
        <v>7.8219999999999998E-2</v>
      </c>
      <c r="F228">
        <v>24968874.800000001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-0.46691871455576534</v>
      </c>
      <c r="Q228">
        <f t="shared" si="960"/>
        <v>-11658434.925519843</v>
      </c>
      <c r="R228">
        <f t="shared" si="961"/>
        <v>-1560794122.222064</v>
      </c>
      <c r="S228">
        <f t="shared" si="962"/>
        <v>-15607.941222220641</v>
      </c>
      <c r="T228">
        <f t="shared" si="963"/>
        <v>-15.60794122222064</v>
      </c>
    </row>
    <row r="229" spans="1:20" x14ac:dyDescent="0.25">
      <c r="A229" s="5">
        <v>44364</v>
      </c>
      <c r="B229">
        <v>8.5639999999999994E-2</v>
      </c>
      <c r="C229">
        <v>9.6170000000000005E-2</v>
      </c>
      <c r="D229">
        <v>8.251E-2</v>
      </c>
      <c r="E229">
        <v>8.5379999999999998E-2</v>
      </c>
      <c r="F229">
        <v>62158752.899999999</v>
      </c>
      <c r="G229">
        <v>0</v>
      </c>
      <c r="L229" t="s">
        <v>8</v>
      </c>
      <c r="M229" t="s">
        <v>8</v>
      </c>
      <c r="N229" t="s">
        <v>7</v>
      </c>
      <c r="P229">
        <f t="shared" si="959"/>
        <v>-0.57979502196193322</v>
      </c>
      <c r="Q229">
        <f t="shared" si="960"/>
        <v>-36039335.502781883</v>
      </c>
      <c r="R229">
        <f t="shared" si="961"/>
        <v>-1549135687.2965441</v>
      </c>
      <c r="S229">
        <f t="shared" si="962"/>
        <v>-15491.356872965442</v>
      </c>
      <c r="T229">
        <f t="shared" si="963"/>
        <v>-15.491356872965442</v>
      </c>
    </row>
    <row r="230" spans="1:20" x14ac:dyDescent="0.25">
      <c r="A230" s="5">
        <v>44363</v>
      </c>
      <c r="B230">
        <v>8.7080000000000005E-2</v>
      </c>
      <c r="C230">
        <v>8.9969999999999994E-2</v>
      </c>
      <c r="D230">
        <v>8.2790000000000002E-2</v>
      </c>
      <c r="E230">
        <v>8.5699999999999998E-2</v>
      </c>
      <c r="F230">
        <v>27365105.800000001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-0.18941504178273003</v>
      </c>
      <c r="Q230">
        <f t="shared" si="960"/>
        <v>-5183362.6584958276</v>
      </c>
      <c r="R230">
        <f t="shared" si="961"/>
        <v>-1513096351.7937622</v>
      </c>
      <c r="S230">
        <f t="shared" si="962"/>
        <v>-15130.963517937622</v>
      </c>
      <c r="T230">
        <f t="shared" si="963"/>
        <v>-15.130963517937621</v>
      </c>
    </row>
    <row r="231" spans="1:20" x14ac:dyDescent="0.25">
      <c r="A231" s="5">
        <v>44362</v>
      </c>
      <c r="B231">
        <v>8.6279999999999996E-2</v>
      </c>
      <c r="C231">
        <v>9.0999999999999998E-2</v>
      </c>
      <c r="D231">
        <v>8.4000000000000005E-2</v>
      </c>
      <c r="E231">
        <v>8.7239999999999998E-2</v>
      </c>
      <c r="F231">
        <v>35501566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-7.4285714285715301E-2</v>
      </c>
      <c r="Q231">
        <f t="shared" si="960"/>
        <v>-2637259.1885714647</v>
      </c>
      <c r="R231">
        <f t="shared" si="961"/>
        <v>-1507912989.1352663</v>
      </c>
      <c r="S231">
        <f t="shared" si="962"/>
        <v>-15079.129891352663</v>
      </c>
      <c r="T231">
        <f t="shared" si="963"/>
        <v>-15.079129891352663</v>
      </c>
    </row>
    <row r="232" spans="1:20" x14ac:dyDescent="0.25">
      <c r="A232" s="5">
        <v>44361</v>
      </c>
      <c r="B232">
        <v>8.0920000000000006E-2</v>
      </c>
      <c r="C232">
        <v>8.8739999999999999E-2</v>
      </c>
      <c r="D232">
        <v>8.0640000000000003E-2</v>
      </c>
      <c r="E232">
        <v>8.6300000000000002E-2</v>
      </c>
      <c r="F232">
        <v>52465822.100000001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0.39753086419753114</v>
      </c>
      <c r="Q232">
        <f t="shared" si="960"/>
        <v>20856783.600246929</v>
      </c>
      <c r="R232">
        <f t="shared" si="961"/>
        <v>-1505275729.9466949</v>
      </c>
      <c r="S232">
        <f t="shared" si="962"/>
        <v>-15052.757299466948</v>
      </c>
      <c r="T232">
        <f t="shared" si="963"/>
        <v>-15.052757299466949</v>
      </c>
    </row>
    <row r="233" spans="1:20" x14ac:dyDescent="0.25">
      <c r="A233" s="5">
        <v>44360</v>
      </c>
      <c r="B233">
        <v>7.5499999999999998E-2</v>
      </c>
      <c r="C233">
        <v>8.2000000000000003E-2</v>
      </c>
      <c r="D233">
        <v>7.3020000000000002E-2</v>
      </c>
      <c r="E233">
        <v>8.0990000000000006E-2</v>
      </c>
      <c r="F233">
        <v>81167165.099999994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0.77505567928730579</v>
      </c>
      <c r="Q233">
        <f t="shared" si="960"/>
        <v>62909072.282405391</v>
      </c>
      <c r="R233">
        <f t="shared" si="961"/>
        <v>-1526132513.5469418</v>
      </c>
      <c r="S233">
        <f t="shared" si="962"/>
        <v>-15261.325135469418</v>
      </c>
      <c r="T233">
        <f t="shared" si="963"/>
        <v>-15.261325135469418</v>
      </c>
    </row>
    <row r="234" spans="1:20" x14ac:dyDescent="0.25">
      <c r="A234" s="5">
        <v>44359</v>
      </c>
      <c r="B234">
        <v>7.714E-2</v>
      </c>
      <c r="C234">
        <v>7.961E-2</v>
      </c>
      <c r="D234">
        <v>7.0360000000000006E-2</v>
      </c>
      <c r="E234">
        <v>7.5300000000000006E-2</v>
      </c>
      <c r="F234">
        <v>26058068.100000001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6.8108108108108745E-2</v>
      </c>
      <c r="Q234">
        <f t="shared" si="960"/>
        <v>1774765.7192432599</v>
      </c>
      <c r="R234">
        <f t="shared" si="961"/>
        <v>-1589041585.8293471</v>
      </c>
      <c r="S234">
        <f t="shared" si="962"/>
        <v>-15890.415858293471</v>
      </c>
      <c r="T234">
        <f t="shared" si="963"/>
        <v>-15.890415858293471</v>
      </c>
    </row>
    <row r="235" spans="1:20" x14ac:dyDescent="0.25">
      <c r="A235" s="5">
        <v>44358</v>
      </c>
      <c r="B235">
        <v>7.9960000000000003E-2</v>
      </c>
      <c r="C235">
        <v>8.8940000000000005E-2</v>
      </c>
      <c r="D235">
        <v>7.5840000000000005E-2</v>
      </c>
      <c r="E235">
        <v>7.7079999999999996E-2</v>
      </c>
      <c r="F235">
        <v>49656646.200000003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-0.81068702290076478</v>
      </c>
      <c r="Q235">
        <f t="shared" si="960"/>
        <v>-40255998.675114579</v>
      </c>
      <c r="R235">
        <f t="shared" si="961"/>
        <v>-1590816351.5485904</v>
      </c>
      <c r="S235">
        <f t="shared" si="962"/>
        <v>-15908.163515485905</v>
      </c>
      <c r="T235">
        <f t="shared" si="963"/>
        <v>-15.908163515485905</v>
      </c>
    </row>
    <row r="236" spans="1:20" x14ac:dyDescent="0.25">
      <c r="A236" s="5">
        <v>44357</v>
      </c>
      <c r="B236">
        <v>8.3229999999999998E-2</v>
      </c>
      <c r="C236">
        <v>9.3299999999999994E-2</v>
      </c>
      <c r="D236">
        <v>7.6410000000000006E-2</v>
      </c>
      <c r="E236">
        <v>7.9990000000000006E-2</v>
      </c>
      <c r="F236">
        <v>88347919.900000006</v>
      </c>
      <c r="G236">
        <v>0</v>
      </c>
      <c r="L236" t="s">
        <v>8</v>
      </c>
      <c r="M236" t="s">
        <v>8</v>
      </c>
      <c r="N236" t="s">
        <v>7</v>
      </c>
      <c r="P236">
        <f t="shared" si="959"/>
        <v>-0.57608052101835383</v>
      </c>
      <c r="Q236">
        <f t="shared" si="960"/>
        <v>-50895515.72687979</v>
      </c>
      <c r="R236">
        <f t="shared" si="961"/>
        <v>-1550560352.8734758</v>
      </c>
      <c r="S236">
        <f t="shared" si="962"/>
        <v>-15505.603528734759</v>
      </c>
      <c r="T236">
        <f t="shared" si="963"/>
        <v>-15.505603528734758</v>
      </c>
    </row>
    <row r="237" spans="1:20" x14ac:dyDescent="0.25">
      <c r="A237" s="5">
        <v>44356</v>
      </c>
      <c r="B237">
        <v>7.9329999999999998E-2</v>
      </c>
      <c r="C237">
        <v>8.745E-2</v>
      </c>
      <c r="D237">
        <v>7.4709999999999999E-2</v>
      </c>
      <c r="E237">
        <v>8.2830000000000001E-2</v>
      </c>
      <c r="F237">
        <v>75410415.200000003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0.27472527472527491</v>
      </c>
      <c r="Q237">
        <f t="shared" si="960"/>
        <v>20717147.03296705</v>
      </c>
      <c r="R237">
        <f t="shared" si="961"/>
        <v>-1499664837.146596</v>
      </c>
      <c r="S237">
        <f t="shared" si="962"/>
        <v>-14996.648371465959</v>
      </c>
      <c r="T237">
        <f t="shared" si="963"/>
        <v>-14.996648371465959</v>
      </c>
    </row>
    <row r="238" spans="1:20" x14ac:dyDescent="0.25">
      <c r="A238" s="5">
        <v>44355</v>
      </c>
      <c r="B238">
        <v>8.0659999999999996E-2</v>
      </c>
      <c r="C238">
        <v>8.8160000000000002E-2</v>
      </c>
      <c r="D238">
        <v>7.0879999999999999E-2</v>
      </c>
      <c r="E238">
        <v>7.9320000000000002E-2</v>
      </c>
      <c r="F238">
        <v>104352022.90000001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-2.3148148148148005E-2</v>
      </c>
      <c r="Q238">
        <f t="shared" si="960"/>
        <v>-2415556.0856481334</v>
      </c>
      <c r="R238">
        <f t="shared" si="961"/>
        <v>-1520381984.179563</v>
      </c>
      <c r="S238">
        <f t="shared" si="962"/>
        <v>-15203.81984179563</v>
      </c>
      <c r="T238">
        <f t="shared" si="963"/>
        <v>-15.20381984179563</v>
      </c>
    </row>
    <row r="239" spans="1:20" x14ac:dyDescent="0.25">
      <c r="A239" s="5">
        <v>44354</v>
      </c>
      <c r="B239">
        <v>0.10507</v>
      </c>
      <c r="C239">
        <v>0.1071</v>
      </c>
      <c r="D239">
        <v>7.7499999999999999E-2</v>
      </c>
      <c r="E239">
        <v>8.0579999999999999E-2</v>
      </c>
      <c r="F239">
        <v>204513873.19999999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-0.79189189189189191</v>
      </c>
      <c r="Q239">
        <f t="shared" si="960"/>
        <v>-161952877.96648648</v>
      </c>
      <c r="R239">
        <f t="shared" si="961"/>
        <v>-1517966428.093915</v>
      </c>
      <c r="S239">
        <f t="shared" si="962"/>
        <v>-15179.664280939151</v>
      </c>
      <c r="T239">
        <f t="shared" si="963"/>
        <v>-15.17966428093915</v>
      </c>
    </row>
    <row r="240" spans="1:20" x14ac:dyDescent="0.25">
      <c r="A240" s="5">
        <v>44353</v>
      </c>
      <c r="B240">
        <v>7.5969999999999996E-2</v>
      </c>
      <c r="C240">
        <v>0.16445000000000001</v>
      </c>
      <c r="D240">
        <v>7.5200000000000003E-2</v>
      </c>
      <c r="E240">
        <v>0.10537000000000001</v>
      </c>
      <c r="F240">
        <v>396310991.89999998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-0.32392156862745103</v>
      </c>
      <c r="Q240">
        <f t="shared" si="960"/>
        <v>-128373678.16054903</v>
      </c>
      <c r="R240">
        <f t="shared" si="961"/>
        <v>-1356013550.1274285</v>
      </c>
      <c r="S240">
        <f t="shared" si="962"/>
        <v>-13560.135501274286</v>
      </c>
      <c r="T240">
        <f t="shared" si="963"/>
        <v>-13.560135501274287</v>
      </c>
    </row>
    <row r="241" spans="1:20" x14ac:dyDescent="0.25">
      <c r="A241" s="5">
        <v>44352</v>
      </c>
      <c r="B241">
        <v>7.8270000000000006E-2</v>
      </c>
      <c r="C241">
        <v>8.1900000000000001E-2</v>
      </c>
      <c r="D241">
        <v>7.3669999999999999E-2</v>
      </c>
      <c r="E241">
        <v>7.6289999999999997E-2</v>
      </c>
      <c r="F241">
        <v>11692294.300000001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-0.36330498177399834</v>
      </c>
      <c r="Q241">
        <f t="shared" si="960"/>
        <v>-4247868.7675577253</v>
      </c>
      <c r="R241">
        <f t="shared" si="961"/>
        <v>-1227639871.9668796</v>
      </c>
      <c r="S241">
        <f t="shared" si="962"/>
        <v>-12276.398719668796</v>
      </c>
      <c r="T241">
        <f t="shared" si="963"/>
        <v>-12.276398719668796</v>
      </c>
    </row>
    <row r="242" spans="1:20" x14ac:dyDescent="0.25">
      <c r="A242" s="5">
        <v>44351</v>
      </c>
      <c r="B242">
        <v>8.8510000000000005E-2</v>
      </c>
      <c r="C242">
        <v>8.8599999999999998E-2</v>
      </c>
      <c r="D242">
        <v>7.5259999999999994E-2</v>
      </c>
      <c r="E242">
        <v>7.9020000000000007E-2</v>
      </c>
      <c r="F242">
        <v>13916071.699999999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-0.43628185907046296</v>
      </c>
      <c r="Q242">
        <f t="shared" si="960"/>
        <v>-6071329.6322338572</v>
      </c>
      <c r="R242">
        <f t="shared" si="961"/>
        <v>-1223392003.199322</v>
      </c>
      <c r="S242">
        <f t="shared" si="962"/>
        <v>-12233.920031993221</v>
      </c>
      <c r="T242">
        <f t="shared" si="963"/>
        <v>-12.23392003199322</v>
      </c>
    </row>
    <row r="243" spans="1:20" x14ac:dyDescent="0.25">
      <c r="A243" s="5">
        <v>44350</v>
      </c>
      <c r="B243">
        <v>8.7150000000000005E-2</v>
      </c>
      <c r="C243">
        <v>9.0459999999999999E-2</v>
      </c>
      <c r="D243">
        <v>8.4519999999999998E-2</v>
      </c>
      <c r="E243">
        <v>8.8510000000000005E-2</v>
      </c>
      <c r="F243">
        <v>13890669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0.34343434343434576</v>
      </c>
      <c r="Q243">
        <f t="shared" si="960"/>
        <v>4770532.7878788197</v>
      </c>
      <c r="R243">
        <f t="shared" si="961"/>
        <v>-1217320673.5670881</v>
      </c>
      <c r="S243">
        <f t="shared" si="962"/>
        <v>-12173.206735670881</v>
      </c>
      <c r="T243">
        <f t="shared" si="963"/>
        <v>-12.173206735670881</v>
      </c>
    </row>
    <row r="244" spans="1:20" x14ac:dyDescent="0.25">
      <c r="A244" s="5">
        <v>44349</v>
      </c>
      <c r="B244">
        <v>8.2140000000000005E-2</v>
      </c>
      <c r="C244">
        <v>9.0389999999999998E-2</v>
      </c>
      <c r="D244">
        <v>7.9890000000000003E-2</v>
      </c>
      <c r="E244">
        <v>8.652E-2</v>
      </c>
      <c r="F244">
        <v>27822587.699999999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0.26285714285714284</v>
      </c>
      <c r="Q244">
        <f t="shared" si="960"/>
        <v>7313365.9097142853</v>
      </c>
      <c r="R244">
        <f t="shared" si="961"/>
        <v>-1222091206.3549669</v>
      </c>
      <c r="S244">
        <f t="shared" si="962"/>
        <v>-12220.912063549669</v>
      </c>
      <c r="T244">
        <f t="shared" si="963"/>
        <v>-12.220912063549669</v>
      </c>
    </row>
    <row r="245" spans="1:20" x14ac:dyDescent="0.25">
      <c r="A245" s="5">
        <v>44348</v>
      </c>
      <c r="B245">
        <v>8.3500000000000005E-2</v>
      </c>
      <c r="C245">
        <v>8.6620000000000003E-2</v>
      </c>
      <c r="D245">
        <v>7.6999999999999999E-2</v>
      </c>
      <c r="E245">
        <v>8.2500000000000004E-2</v>
      </c>
      <c r="F245">
        <v>25613406.100000001</v>
      </c>
      <c r="G245">
        <v>0</v>
      </c>
      <c r="L245" t="s">
        <v>7</v>
      </c>
      <c r="M245" t="s">
        <v>8</v>
      </c>
      <c r="N245" t="s">
        <v>7</v>
      </c>
      <c r="P245">
        <f t="shared" si="959"/>
        <v>0.14345114345114404</v>
      </c>
      <c r="Q245">
        <f t="shared" si="960"/>
        <v>3674272.3927235082</v>
      </c>
      <c r="R245">
        <f t="shared" si="961"/>
        <v>-1229404572.2646811</v>
      </c>
      <c r="S245">
        <f t="shared" si="962"/>
        <v>-12294.045722646812</v>
      </c>
      <c r="T245">
        <f t="shared" si="963"/>
        <v>-12.294045722646812</v>
      </c>
    </row>
    <row r="246" spans="1:20" x14ac:dyDescent="0.25">
      <c r="A246" s="5">
        <v>44347</v>
      </c>
      <c r="B246">
        <v>7.6999999999999999E-2</v>
      </c>
      <c r="C246">
        <v>8.6249999999999993E-2</v>
      </c>
      <c r="D246">
        <v>7.2800000000000004E-2</v>
      </c>
      <c r="E246">
        <v>8.3549999999999999E-2</v>
      </c>
      <c r="F246">
        <v>46034157.299999997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0.59851301115241695</v>
      </c>
      <c r="Q246">
        <f t="shared" si="960"/>
        <v>27552042.101487014</v>
      </c>
      <c r="R246">
        <f t="shared" si="961"/>
        <v>-1233078844.6574047</v>
      </c>
      <c r="S246">
        <f t="shared" si="962"/>
        <v>-12330.788446574046</v>
      </c>
      <c r="T246">
        <f t="shared" si="963"/>
        <v>-12.330788446574045</v>
      </c>
    </row>
    <row r="247" spans="1:20" x14ac:dyDescent="0.25">
      <c r="A247" s="5">
        <v>44346</v>
      </c>
      <c r="B247">
        <v>6.9529999999999995E-2</v>
      </c>
      <c r="C247">
        <v>7.8899999999999998E-2</v>
      </c>
      <c r="D247">
        <v>6.5850000000000006E-2</v>
      </c>
      <c r="E247">
        <v>7.6819999999999999E-2</v>
      </c>
      <c r="F247">
        <v>10432239.4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0.68122605363984678</v>
      </c>
      <c r="Q247">
        <f t="shared" si="960"/>
        <v>7106713.2770881234</v>
      </c>
      <c r="R247">
        <f t="shared" si="961"/>
        <v>-1260630886.7588916</v>
      </c>
      <c r="S247">
        <f t="shared" si="962"/>
        <v>-12606.308867588916</v>
      </c>
      <c r="T247">
        <f t="shared" si="963"/>
        <v>-12.606308867588917</v>
      </c>
    </row>
    <row r="248" spans="1:20" x14ac:dyDescent="0.25">
      <c r="A248" s="5">
        <v>44345</v>
      </c>
      <c r="B248">
        <v>7.4450000000000002E-2</v>
      </c>
      <c r="C248">
        <v>7.8909999999999994E-2</v>
      </c>
      <c r="D248">
        <v>6.5970000000000001E-2</v>
      </c>
      <c r="E248">
        <v>6.9940000000000002E-2</v>
      </c>
      <c r="F248">
        <v>12652042.800000001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-0.38639876352395619</v>
      </c>
      <c r="Q248">
        <f t="shared" si="960"/>
        <v>-4888733.6939721731</v>
      </c>
      <c r="R248">
        <f t="shared" si="961"/>
        <v>-1267737600.0359797</v>
      </c>
      <c r="S248">
        <f t="shared" si="962"/>
        <v>-12677.376000359798</v>
      </c>
      <c r="T248">
        <f t="shared" si="963"/>
        <v>-12.677376000359798</v>
      </c>
    </row>
    <row r="249" spans="1:20" x14ac:dyDescent="0.25">
      <c r="A249" s="5">
        <v>44344</v>
      </c>
      <c r="B249">
        <v>8.6650000000000005E-2</v>
      </c>
      <c r="C249">
        <v>8.7059999999999998E-2</v>
      </c>
      <c r="D249">
        <v>7.1110000000000007E-2</v>
      </c>
      <c r="E249">
        <v>7.4209999999999998E-2</v>
      </c>
      <c r="F249">
        <v>18499938.5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-0.61128526645768111</v>
      </c>
      <c r="Q249">
        <f t="shared" si="960"/>
        <v>-11308739.835423212</v>
      </c>
      <c r="R249">
        <f t="shared" si="961"/>
        <v>-1262848866.3420076</v>
      </c>
      <c r="S249">
        <f t="shared" si="962"/>
        <v>-12628.488663420076</v>
      </c>
      <c r="T249">
        <f t="shared" si="963"/>
        <v>-12.628488663420075</v>
      </c>
    </row>
    <row r="250" spans="1:20" x14ac:dyDescent="0.25">
      <c r="A250" s="5">
        <v>44343</v>
      </c>
      <c r="B250">
        <v>8.8800000000000004E-2</v>
      </c>
      <c r="C250">
        <v>9.1340000000000005E-2</v>
      </c>
      <c r="D250">
        <v>7.9600000000000004E-2</v>
      </c>
      <c r="E250">
        <v>8.6660000000000001E-2</v>
      </c>
      <c r="F250">
        <v>18066995.300000001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0.20272572402044234</v>
      </c>
      <c r="Q250">
        <f t="shared" si="960"/>
        <v>3662644.7030664291</v>
      </c>
      <c r="R250">
        <f t="shared" si="961"/>
        <v>-1251540126.5065844</v>
      </c>
      <c r="S250">
        <f t="shared" si="962"/>
        <v>-12515.401265065844</v>
      </c>
      <c r="T250">
        <f t="shared" si="963"/>
        <v>-12.515401265065844</v>
      </c>
    </row>
    <row r="251" spans="1:20" x14ac:dyDescent="0.25">
      <c r="A251" s="5">
        <v>44342</v>
      </c>
      <c r="B251">
        <v>8.4580000000000002E-2</v>
      </c>
      <c r="C251">
        <v>9.5079999999999998E-2</v>
      </c>
      <c r="D251">
        <v>8.2269999999999996E-2</v>
      </c>
      <c r="E251">
        <v>8.8749999999999996E-2</v>
      </c>
      <c r="F251">
        <v>36468292.899999999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1.1709601873536092E-2</v>
      </c>
      <c r="Q251">
        <f t="shared" si="960"/>
        <v>427029.19086650293</v>
      </c>
      <c r="R251">
        <f t="shared" si="961"/>
        <v>-1255202771.2096508</v>
      </c>
      <c r="S251">
        <f t="shared" si="962"/>
        <v>-12552.027712096507</v>
      </c>
      <c r="T251">
        <f t="shared" si="963"/>
        <v>-12.552027712096507</v>
      </c>
    </row>
    <row r="252" spans="1:20" x14ac:dyDescent="0.25">
      <c r="A252" s="5">
        <v>44341</v>
      </c>
      <c r="B252">
        <v>8.4760000000000002E-2</v>
      </c>
      <c r="C252">
        <v>8.9910000000000004E-2</v>
      </c>
      <c r="D252">
        <v>7.349E-2</v>
      </c>
      <c r="E252">
        <v>8.4180000000000005E-2</v>
      </c>
      <c r="F252">
        <v>37160246.799999997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0.30207064555420249</v>
      </c>
      <c r="Q252">
        <f t="shared" si="960"/>
        <v>11225019.739829486</v>
      </c>
      <c r="R252">
        <f t="shared" si="961"/>
        <v>-1255629800.4005172</v>
      </c>
      <c r="S252">
        <f t="shared" si="962"/>
        <v>-12556.298004005172</v>
      </c>
      <c r="T252">
        <f t="shared" si="963"/>
        <v>-12.556298004005171</v>
      </c>
    </row>
    <row r="253" spans="1:20" x14ac:dyDescent="0.25">
      <c r="A253" s="5">
        <v>44340</v>
      </c>
      <c r="B253">
        <v>6.4990000000000006E-2</v>
      </c>
      <c r="C253">
        <v>8.6209999999999995E-2</v>
      </c>
      <c r="D253">
        <v>6.241E-2</v>
      </c>
      <c r="E253">
        <v>8.4529999999999994E-2</v>
      </c>
      <c r="F253">
        <v>44027060.899999999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0.85882352941176454</v>
      </c>
      <c r="Q253">
        <f t="shared" si="960"/>
        <v>37811475.831764698</v>
      </c>
      <c r="R253">
        <f t="shared" si="961"/>
        <v>-1266854820.1403468</v>
      </c>
      <c r="S253">
        <f t="shared" si="962"/>
        <v>-12668.548201403468</v>
      </c>
      <c r="T253">
        <f t="shared" si="963"/>
        <v>-12.668548201403468</v>
      </c>
    </row>
    <row r="254" spans="1:20" x14ac:dyDescent="0.25">
      <c r="A254" s="5">
        <v>44339</v>
      </c>
      <c r="B254">
        <v>8.5220000000000004E-2</v>
      </c>
      <c r="C254">
        <v>8.7330000000000005E-2</v>
      </c>
      <c r="D254">
        <v>5.2650000000000002E-2</v>
      </c>
      <c r="E254">
        <v>6.5000000000000002E-2</v>
      </c>
      <c r="F254">
        <v>37286073.899999999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-0.28777393310265287</v>
      </c>
      <c r="Q254">
        <f t="shared" si="960"/>
        <v>-10729960.13615917</v>
      </c>
      <c r="R254">
        <f t="shared" si="961"/>
        <v>-1304666295.9721115</v>
      </c>
      <c r="S254">
        <f t="shared" si="962"/>
        <v>-13046.662959721114</v>
      </c>
      <c r="T254">
        <f t="shared" si="963"/>
        <v>-13.046662959721115</v>
      </c>
    </row>
    <row r="255" spans="1:20" x14ac:dyDescent="0.25">
      <c r="A255" s="5">
        <v>44338</v>
      </c>
      <c r="B255">
        <v>8.1759999999999999E-2</v>
      </c>
      <c r="C255">
        <v>0.10034</v>
      </c>
      <c r="D255">
        <v>7.1099999999999997E-2</v>
      </c>
      <c r="E255">
        <v>8.5330000000000003E-2</v>
      </c>
      <c r="F255">
        <v>65102187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-2.6675786593706872E-2</v>
      </c>
      <c r="Q255">
        <f t="shared" si="960"/>
        <v>-1736652.0471955978</v>
      </c>
      <c r="R255">
        <f t="shared" si="961"/>
        <v>-1293936335.8359523</v>
      </c>
      <c r="S255">
        <f t="shared" si="962"/>
        <v>-12939.363358359522</v>
      </c>
      <c r="T255">
        <f t="shared" si="963"/>
        <v>-12.939363358359522</v>
      </c>
    </row>
    <row r="256" spans="1:20" x14ac:dyDescent="0.25">
      <c r="A256" s="5">
        <v>44337</v>
      </c>
      <c r="B256">
        <v>9.6689999999999998E-2</v>
      </c>
      <c r="C256">
        <v>0.10007000000000001</v>
      </c>
      <c r="D256">
        <v>7.0499999999999993E-2</v>
      </c>
      <c r="E256">
        <v>8.1509999999999999E-2</v>
      </c>
      <c r="F256">
        <v>26360203.899999999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-0.25532634426783896</v>
      </c>
      <c r="Q256">
        <f t="shared" si="960"/>
        <v>-6730454.4959418308</v>
      </c>
      <c r="R256">
        <f t="shared" si="961"/>
        <v>-1292199683.7887566</v>
      </c>
      <c r="S256">
        <f t="shared" si="962"/>
        <v>-12921.996837887566</v>
      </c>
      <c r="T256">
        <f t="shared" si="963"/>
        <v>-12.921996837887566</v>
      </c>
    </row>
    <row r="257" spans="1:20" x14ac:dyDescent="0.25">
      <c r="A257" s="5">
        <v>44336</v>
      </c>
      <c r="B257">
        <v>8.2860000000000003E-2</v>
      </c>
      <c r="C257">
        <v>0.10375</v>
      </c>
      <c r="D257">
        <v>7.3010000000000005E-2</v>
      </c>
      <c r="E257">
        <v>9.6479999999999996E-2</v>
      </c>
      <c r="F257">
        <v>30146705.899999999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0.5270006506180871</v>
      </c>
      <c r="Q257">
        <f t="shared" si="960"/>
        <v>15887333.623292124</v>
      </c>
      <c r="R257">
        <f t="shared" si="961"/>
        <v>-1285469229.2928147</v>
      </c>
      <c r="S257">
        <f t="shared" si="962"/>
        <v>-12854.692292928148</v>
      </c>
      <c r="T257">
        <f t="shared" si="963"/>
        <v>-12.854692292928148</v>
      </c>
    </row>
    <row r="258" spans="1:20" x14ac:dyDescent="0.25">
      <c r="A258" s="5">
        <v>44335</v>
      </c>
      <c r="B258">
        <v>0.12689</v>
      </c>
      <c r="C258">
        <v>0.12937000000000001</v>
      </c>
      <c r="D258">
        <v>6.3479999999999995E-2</v>
      </c>
      <c r="E258">
        <v>8.2220000000000001E-2</v>
      </c>
      <c r="F258">
        <v>44995502.600000001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-0.43117316740021244</v>
      </c>
      <c r="Q258">
        <f t="shared" si="960"/>
        <v>-19400853.374806494</v>
      </c>
      <c r="R258">
        <f t="shared" si="961"/>
        <v>-1301356562.9161069</v>
      </c>
      <c r="S258">
        <f t="shared" si="962"/>
        <v>-13013.565629161069</v>
      </c>
      <c r="T258">
        <f t="shared" si="963"/>
        <v>-13.013565629161068</v>
      </c>
    </row>
    <row r="259" spans="1:20" x14ac:dyDescent="0.25">
      <c r="A259" s="5">
        <v>44334</v>
      </c>
      <c r="B259">
        <v>0.12444</v>
      </c>
      <c r="C259">
        <v>0.13447999999999999</v>
      </c>
      <c r="D259">
        <v>0.12114999999999999</v>
      </c>
      <c r="E259">
        <v>0.12697</v>
      </c>
      <c r="F259">
        <v>17041462.899999999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-0.12678169542385476</v>
      </c>
      <c r="Q259">
        <f t="shared" si="960"/>
        <v>-2160545.5589647205</v>
      </c>
      <c r="R259">
        <f t="shared" si="961"/>
        <v>-1281955709.5413005</v>
      </c>
      <c r="S259">
        <f t="shared" si="962"/>
        <v>-12819.557095413005</v>
      </c>
      <c r="T259">
        <f t="shared" si="963"/>
        <v>-12.819557095413005</v>
      </c>
    </row>
    <row r="260" spans="1:20" x14ac:dyDescent="0.25">
      <c r="A260" s="5">
        <v>44333</v>
      </c>
      <c r="B260">
        <v>0.13744999999999999</v>
      </c>
      <c r="C260">
        <v>0.13866000000000001</v>
      </c>
      <c r="D260">
        <v>0.12039999999999999</v>
      </c>
      <c r="E260">
        <v>0.1242</v>
      </c>
      <c r="F260">
        <v>23060001.5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-0.58378970427163102</v>
      </c>
      <c r="Q260">
        <f t="shared" si="960"/>
        <v>-13462191.456188368</v>
      </c>
      <c r="R260">
        <f t="shared" si="961"/>
        <v>-1279795163.9823358</v>
      </c>
      <c r="S260">
        <f t="shared" si="962"/>
        <v>-12797.951639823357</v>
      </c>
      <c r="T260">
        <f t="shared" si="963"/>
        <v>-12.797951639823356</v>
      </c>
    </row>
    <row r="261" spans="1:20" x14ac:dyDescent="0.25">
      <c r="A261" s="5">
        <v>44332</v>
      </c>
      <c r="B261">
        <v>0.13811999999999999</v>
      </c>
      <c r="C261">
        <v>0.15198</v>
      </c>
      <c r="D261">
        <v>0.12792999999999999</v>
      </c>
      <c r="E261">
        <v>0.13789999999999999</v>
      </c>
      <c r="F261">
        <v>27690727.699999999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-0.17089397089397088</v>
      </c>
      <c r="Q261">
        <f t="shared" si="960"/>
        <v>-4732178.4135966729</v>
      </c>
      <c r="R261">
        <f t="shared" si="961"/>
        <v>-1266332972.5261474</v>
      </c>
      <c r="S261">
        <f t="shared" si="962"/>
        <v>-12663.329725261474</v>
      </c>
      <c r="T261">
        <f t="shared" si="963"/>
        <v>-12.663329725261473</v>
      </c>
    </row>
    <row r="262" spans="1:20" x14ac:dyDescent="0.25">
      <c r="A262" s="5">
        <v>44331</v>
      </c>
      <c r="B262">
        <v>0.15229000000000001</v>
      </c>
      <c r="C262">
        <v>0.15653</v>
      </c>
      <c r="D262">
        <v>0.13800999999999999</v>
      </c>
      <c r="E262">
        <v>0.13811999999999999</v>
      </c>
      <c r="F262">
        <v>36254644.200000003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-0.98812095032397418</v>
      </c>
      <c r="Q262">
        <f t="shared" ref="Q262:Q325" si="965">F262*P262</f>
        <v>-35823973.480561562</v>
      </c>
      <c r="R262">
        <f t="shared" ref="R262:R325" si="966">R263+Q262</f>
        <v>-1261600794.1125507</v>
      </c>
      <c r="S262">
        <f t="shared" ref="S262:S325" si="967">R262/100000</f>
        <v>-12616.007941125506</v>
      </c>
      <c r="T262">
        <f t="shared" ref="T262:T325" si="968">S262/1000</f>
        <v>-12.616007941125506</v>
      </c>
    </row>
    <row r="263" spans="1:20" x14ac:dyDescent="0.25">
      <c r="A263" s="5">
        <v>44330</v>
      </c>
      <c r="B263">
        <v>0.15212000000000001</v>
      </c>
      <c r="C263">
        <v>0.17680000000000001</v>
      </c>
      <c r="D263">
        <v>0.14781</v>
      </c>
      <c r="E263">
        <v>0.1522</v>
      </c>
      <c r="F263">
        <v>73848902.799999997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-0.69713694377371493</v>
      </c>
      <c r="Q263">
        <f t="shared" si="965"/>
        <v>-51482798.399034135</v>
      </c>
      <c r="R263">
        <f t="shared" si="966"/>
        <v>-1225776820.6319892</v>
      </c>
      <c r="S263">
        <f t="shared" si="967"/>
        <v>-12257.768206319892</v>
      </c>
      <c r="T263">
        <f t="shared" si="968"/>
        <v>-12.257768206319891</v>
      </c>
    </row>
    <row r="264" spans="1:20" x14ac:dyDescent="0.25">
      <c r="A264" s="5">
        <v>44329</v>
      </c>
      <c r="B264">
        <v>0.16006999999999999</v>
      </c>
      <c r="C264">
        <v>0.18251999999999999</v>
      </c>
      <c r="D264">
        <v>0.14063999999999999</v>
      </c>
      <c r="E264">
        <v>0.15171999999999999</v>
      </c>
      <c r="F264">
        <v>118235665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-0.47086914995224421</v>
      </c>
      <c r="Q264">
        <f t="shared" si="965"/>
        <v>-55673527.07258831</v>
      </c>
      <c r="R264">
        <f t="shared" si="966"/>
        <v>-1174294022.2329552</v>
      </c>
      <c r="S264">
        <f t="shared" si="967"/>
        <v>-11742.940222329553</v>
      </c>
      <c r="T264">
        <f t="shared" si="968"/>
        <v>-11.742940222329553</v>
      </c>
    </row>
    <row r="265" spans="1:20" x14ac:dyDescent="0.25">
      <c r="A265" s="5">
        <v>44328</v>
      </c>
      <c r="B265">
        <v>0.16771</v>
      </c>
      <c r="C265">
        <v>0.23430999999999999</v>
      </c>
      <c r="D265">
        <v>0.155</v>
      </c>
      <c r="E265">
        <v>0.16006999999999999</v>
      </c>
      <c r="F265">
        <v>308928234.10000002</v>
      </c>
      <c r="G265">
        <v>0</v>
      </c>
      <c r="L265" t="s">
        <v>8</v>
      </c>
      <c r="M265" t="s">
        <v>8</v>
      </c>
      <c r="N265" t="s">
        <v>8</v>
      </c>
      <c r="P265">
        <f t="shared" si="964"/>
        <v>-0.87214727020552285</v>
      </c>
      <c r="Q265">
        <f t="shared" si="965"/>
        <v>-269430916.05972773</v>
      </c>
      <c r="R265">
        <f t="shared" si="966"/>
        <v>-1118620495.160367</v>
      </c>
      <c r="S265">
        <f t="shared" si="967"/>
        <v>-11186.20495160367</v>
      </c>
      <c r="T265">
        <f t="shared" si="968"/>
        <v>-11.186204951603669</v>
      </c>
    </row>
    <row r="266" spans="1:20" x14ac:dyDescent="0.25">
      <c r="A266" s="5">
        <v>44327</v>
      </c>
      <c r="B266">
        <v>0.15051999999999999</v>
      </c>
      <c r="C266">
        <v>0.17199999999999999</v>
      </c>
      <c r="D266">
        <v>0.14416999999999999</v>
      </c>
      <c r="E266">
        <v>0.16771</v>
      </c>
      <c r="F266">
        <v>30224420.100000001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0.69169960474308378</v>
      </c>
      <c r="Q266">
        <f t="shared" si="965"/>
        <v>20906219.436758917</v>
      </c>
      <c r="R266">
        <f t="shared" si="966"/>
        <v>-849189579.10063922</v>
      </c>
      <c r="S266">
        <f t="shared" si="967"/>
        <v>-8491.8957910063928</v>
      </c>
      <c r="T266">
        <f t="shared" si="968"/>
        <v>-8.4918957910063924</v>
      </c>
    </row>
    <row r="267" spans="1:20" x14ac:dyDescent="0.25">
      <c r="A267" s="5">
        <v>44326</v>
      </c>
      <c r="B267">
        <v>0.16918</v>
      </c>
      <c r="C267">
        <v>0.17799999999999999</v>
      </c>
      <c r="D267">
        <v>0.14182</v>
      </c>
      <c r="E267">
        <v>0.15085999999999999</v>
      </c>
      <c r="F267">
        <v>24818274.899999999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-0.50027639579878413</v>
      </c>
      <c r="Q267">
        <f t="shared" si="965"/>
        <v>-12415997.116915429</v>
      </c>
      <c r="R267">
        <f t="shared" si="966"/>
        <v>-870095798.5373981</v>
      </c>
      <c r="S267">
        <f t="shared" si="967"/>
        <v>-8700.9579853739815</v>
      </c>
      <c r="T267">
        <f t="shared" si="968"/>
        <v>-8.7009579853739822</v>
      </c>
    </row>
    <row r="268" spans="1:20" x14ac:dyDescent="0.25">
      <c r="A268" s="5">
        <v>44325</v>
      </c>
      <c r="B268">
        <v>0.17663999999999999</v>
      </c>
      <c r="C268">
        <v>0.17899999999999999</v>
      </c>
      <c r="D268">
        <v>0.16289999999999999</v>
      </c>
      <c r="E268">
        <v>0.16918</v>
      </c>
      <c r="F268">
        <v>26426112.199999999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-0.21987577639751471</v>
      </c>
      <c r="Q268">
        <f t="shared" si="965"/>
        <v>-5810461.937142835</v>
      </c>
      <c r="R268">
        <f t="shared" si="966"/>
        <v>-857679801.42048264</v>
      </c>
      <c r="S268">
        <f t="shared" si="967"/>
        <v>-8576.7980142048254</v>
      </c>
      <c r="T268">
        <f t="shared" si="968"/>
        <v>-8.5767980142048259</v>
      </c>
    </row>
    <row r="269" spans="1:20" x14ac:dyDescent="0.25">
      <c r="A269" s="5">
        <v>44324</v>
      </c>
      <c r="B269">
        <v>0.18165000000000001</v>
      </c>
      <c r="C269">
        <v>0.18883</v>
      </c>
      <c r="D269">
        <v>0.17236000000000001</v>
      </c>
      <c r="E269">
        <v>0.17685000000000001</v>
      </c>
      <c r="F269">
        <v>28234710</v>
      </c>
      <c r="G269">
        <v>0</v>
      </c>
      <c r="L269" t="s">
        <v>8</v>
      </c>
      <c r="M269" t="s">
        <v>7</v>
      </c>
      <c r="N269" t="s">
        <v>7</v>
      </c>
      <c r="P269">
        <f t="shared" si="964"/>
        <v>-0.45476624165148777</v>
      </c>
      <c r="Q269">
        <f t="shared" si="965"/>
        <v>-12840192.950819679</v>
      </c>
      <c r="R269">
        <f t="shared" si="966"/>
        <v>-851869339.48333979</v>
      </c>
      <c r="S269">
        <f t="shared" si="967"/>
        <v>-8518.6933948333972</v>
      </c>
      <c r="T269">
        <f t="shared" si="968"/>
        <v>-8.5186933948333969</v>
      </c>
    </row>
    <row r="270" spans="1:20" x14ac:dyDescent="0.25">
      <c r="A270" s="5">
        <v>44323</v>
      </c>
      <c r="B270">
        <v>0.18043000000000001</v>
      </c>
      <c r="C270">
        <v>0.2</v>
      </c>
      <c r="D270">
        <v>0.17244000000000001</v>
      </c>
      <c r="E270">
        <v>0.18181</v>
      </c>
      <c r="F270">
        <v>49273014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-0.32002902757619817</v>
      </c>
      <c r="Q270">
        <f t="shared" si="965"/>
        <v>-15768794.756168399</v>
      </c>
      <c r="R270">
        <f t="shared" si="966"/>
        <v>-839029146.53252006</v>
      </c>
      <c r="S270">
        <f t="shared" si="967"/>
        <v>-8390.291465325201</v>
      </c>
      <c r="T270">
        <f t="shared" si="968"/>
        <v>-8.3902914653252019</v>
      </c>
    </row>
    <row r="271" spans="1:20" x14ac:dyDescent="0.25">
      <c r="A271" s="5">
        <v>44322</v>
      </c>
      <c r="B271">
        <v>0.19706000000000001</v>
      </c>
      <c r="C271">
        <v>0.19749</v>
      </c>
      <c r="D271">
        <v>0.1782</v>
      </c>
      <c r="E271">
        <v>0.1804</v>
      </c>
      <c r="F271">
        <v>45484497.700000003</v>
      </c>
      <c r="G271">
        <v>0</v>
      </c>
      <c r="L271" t="s">
        <v>7</v>
      </c>
      <c r="M271" t="s">
        <v>7</v>
      </c>
      <c r="N271" t="s">
        <v>7</v>
      </c>
      <c r="P271">
        <f t="shared" si="964"/>
        <v>-0.77190254017625637</v>
      </c>
      <c r="Q271">
        <f t="shared" si="965"/>
        <v>-35109599.31327109</v>
      </c>
      <c r="R271">
        <f t="shared" si="966"/>
        <v>-823260351.77635169</v>
      </c>
      <c r="S271">
        <f t="shared" si="967"/>
        <v>-8232.6035177635167</v>
      </c>
      <c r="T271">
        <f t="shared" si="968"/>
        <v>-8.2326035177635166</v>
      </c>
    </row>
    <row r="272" spans="1:20" x14ac:dyDescent="0.25">
      <c r="A272" s="5">
        <v>44321</v>
      </c>
      <c r="B272">
        <v>0.19069</v>
      </c>
      <c r="C272">
        <v>0.20791000000000001</v>
      </c>
      <c r="D272">
        <v>0.18731999999999999</v>
      </c>
      <c r="E272">
        <v>0.19707</v>
      </c>
      <c r="F272">
        <v>94299878.900000006</v>
      </c>
      <c r="G272">
        <v>0</v>
      </c>
      <c r="L272" t="s">
        <v>7</v>
      </c>
      <c r="M272" t="s">
        <v>7</v>
      </c>
      <c r="N272" t="s">
        <v>7</v>
      </c>
      <c r="P272">
        <f t="shared" si="964"/>
        <v>-5.2938319572608368E-2</v>
      </c>
      <c r="Q272">
        <f t="shared" si="965"/>
        <v>-4992077.1248664688</v>
      </c>
      <c r="R272">
        <f t="shared" si="966"/>
        <v>-788150752.46308064</v>
      </c>
      <c r="S272">
        <f t="shared" si="967"/>
        <v>-7881.5075246308061</v>
      </c>
      <c r="T272">
        <f t="shared" si="968"/>
        <v>-7.8815075246308064</v>
      </c>
    </row>
    <row r="273" spans="1:20" x14ac:dyDescent="0.25">
      <c r="A273" s="5">
        <v>44320</v>
      </c>
      <c r="B273">
        <v>0.21983</v>
      </c>
      <c r="C273">
        <v>0.25520999999999999</v>
      </c>
      <c r="D273">
        <v>0.19005</v>
      </c>
      <c r="E273">
        <v>0.19026000000000001</v>
      </c>
      <c r="F273">
        <v>407686577.60000002</v>
      </c>
      <c r="G273">
        <v>0</v>
      </c>
      <c r="L273" t="s">
        <v>7</v>
      </c>
      <c r="M273" t="s">
        <v>7</v>
      </c>
      <c r="N273" t="s">
        <v>7</v>
      </c>
      <c r="P273">
        <f t="shared" si="964"/>
        <v>-0.99355432780847097</v>
      </c>
      <c r="Q273">
        <f t="shared" si="965"/>
        <v>-405058763.56390405</v>
      </c>
      <c r="R273">
        <f t="shared" si="966"/>
        <v>-783158675.33821416</v>
      </c>
      <c r="S273">
        <f t="shared" si="967"/>
        <v>-7831.586753382142</v>
      </c>
      <c r="T273">
        <f t="shared" si="968"/>
        <v>-7.8315867533821422</v>
      </c>
    </row>
    <row r="274" spans="1:20" x14ac:dyDescent="0.25">
      <c r="A274" s="5">
        <v>44319</v>
      </c>
      <c r="B274">
        <v>0.18242</v>
      </c>
      <c r="C274">
        <v>0.26990999999999998</v>
      </c>
      <c r="D274">
        <v>0.17759</v>
      </c>
      <c r="E274">
        <v>0.21998999999999999</v>
      </c>
      <c r="F274">
        <v>453001894.89999998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-8.1455805892547667E-2</v>
      </c>
      <c r="Q274">
        <f t="shared" si="965"/>
        <v>-36899634.419930674</v>
      </c>
      <c r="R274">
        <f t="shared" si="966"/>
        <v>-378099911.77431005</v>
      </c>
      <c r="S274">
        <f t="shared" si="967"/>
        <v>-3780.9991177431007</v>
      </c>
      <c r="T274">
        <f t="shared" si="968"/>
        <v>-3.7809991177431006</v>
      </c>
    </row>
    <row r="275" spans="1:20" x14ac:dyDescent="0.25">
      <c r="A275" s="5">
        <v>44318</v>
      </c>
      <c r="B275">
        <v>0.16850000000000001</v>
      </c>
      <c r="C275">
        <v>0.18697</v>
      </c>
      <c r="D275">
        <v>0.15667</v>
      </c>
      <c r="E275">
        <v>0.18201000000000001</v>
      </c>
      <c r="F275">
        <v>54651216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0.67260726072607302</v>
      </c>
      <c r="Q275">
        <f t="shared" si="965"/>
        <v>36758804.689108931</v>
      </c>
      <c r="R275">
        <f t="shared" si="966"/>
        <v>-341200277.35437936</v>
      </c>
      <c r="S275">
        <f t="shared" si="967"/>
        <v>-3412.0027735437934</v>
      </c>
      <c r="T275">
        <f t="shared" si="968"/>
        <v>-3.4120027735437932</v>
      </c>
    </row>
    <row r="276" spans="1:20" x14ac:dyDescent="0.25">
      <c r="A276" s="5">
        <v>44317</v>
      </c>
      <c r="B276">
        <v>0.17516000000000001</v>
      </c>
      <c r="C276">
        <v>0.1769</v>
      </c>
      <c r="D276">
        <v>0.161</v>
      </c>
      <c r="E276">
        <v>0.16866</v>
      </c>
      <c r="F276">
        <v>40046477.899999999</v>
      </c>
      <c r="G276">
        <v>0</v>
      </c>
      <c r="L276" t="s">
        <v>7</v>
      </c>
      <c r="M276" t="s">
        <v>8</v>
      </c>
      <c r="N276" t="s">
        <v>8</v>
      </c>
      <c r="P276">
        <f t="shared" si="964"/>
        <v>-3.6477987421383473E-2</v>
      </c>
      <c r="Q276">
        <f t="shared" si="965"/>
        <v>-1460814.9171069113</v>
      </c>
      <c r="R276">
        <f t="shared" si="966"/>
        <v>-377959082.04348826</v>
      </c>
      <c r="S276">
        <f t="shared" si="967"/>
        <v>-3779.5908204348825</v>
      </c>
      <c r="T276">
        <f t="shared" si="968"/>
        <v>-3.7795908204348825</v>
      </c>
    </row>
    <row r="277" spans="1:20" x14ac:dyDescent="0.25">
      <c r="A277" s="5">
        <v>44316</v>
      </c>
      <c r="B277">
        <v>0.14896000000000001</v>
      </c>
      <c r="C277">
        <v>0.18837000000000001</v>
      </c>
      <c r="D277">
        <v>0.14308999999999999</v>
      </c>
      <c r="E277">
        <v>0.17516000000000001</v>
      </c>
      <c r="F277">
        <v>117232574.59999999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0.41651943462897545</v>
      </c>
      <c r="Q277">
        <f t="shared" si="965"/>
        <v>48829645.692491189</v>
      </c>
      <c r="R277">
        <f t="shared" si="966"/>
        <v>-376498267.12638134</v>
      </c>
      <c r="S277">
        <f t="shared" si="967"/>
        <v>-3764.9826712638132</v>
      </c>
      <c r="T277">
        <f t="shared" si="968"/>
        <v>-3.7649826712638133</v>
      </c>
    </row>
    <row r="278" spans="1:20" x14ac:dyDescent="0.25">
      <c r="A278" s="5">
        <v>44315</v>
      </c>
      <c r="B278">
        <v>0.15132999999999999</v>
      </c>
      <c r="C278">
        <v>0.15723000000000001</v>
      </c>
      <c r="D278">
        <v>0.13966999999999999</v>
      </c>
      <c r="E278">
        <v>0.14857000000000001</v>
      </c>
      <c r="F278">
        <v>20229882.899999999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1.3667425968110348E-2</v>
      </c>
      <c r="Q278">
        <f t="shared" si="965"/>
        <v>276490.42687929142</v>
      </c>
      <c r="R278">
        <f t="shared" si="966"/>
        <v>-425327912.81887251</v>
      </c>
      <c r="S278">
        <f t="shared" si="967"/>
        <v>-4253.2791281887248</v>
      </c>
      <c r="T278">
        <f t="shared" si="968"/>
        <v>-4.2532791281887246</v>
      </c>
    </row>
    <row r="279" spans="1:20" x14ac:dyDescent="0.25">
      <c r="A279" s="5">
        <v>44314</v>
      </c>
      <c r="B279">
        <v>0.16320000000000001</v>
      </c>
      <c r="C279">
        <v>0.16350000000000001</v>
      </c>
      <c r="D279">
        <v>0.14063999999999999</v>
      </c>
      <c r="E279">
        <v>0.15071000000000001</v>
      </c>
      <c r="F279">
        <v>26086287.399999999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-0.1189851268591413</v>
      </c>
      <c r="Q279">
        <f t="shared" si="965"/>
        <v>-3103880.2155730189</v>
      </c>
      <c r="R279">
        <f t="shared" si="966"/>
        <v>-425604403.2457518</v>
      </c>
      <c r="S279">
        <f t="shared" si="967"/>
        <v>-4256.0440324575184</v>
      </c>
      <c r="T279">
        <f t="shared" si="968"/>
        <v>-4.2560440324575186</v>
      </c>
    </row>
    <row r="280" spans="1:20" x14ac:dyDescent="0.25">
      <c r="A280" s="5">
        <v>44313</v>
      </c>
      <c r="B280">
        <v>0.14999000000000001</v>
      </c>
      <c r="C280">
        <v>0.16313</v>
      </c>
      <c r="D280">
        <v>0.1467</v>
      </c>
      <c r="E280">
        <v>0.16300000000000001</v>
      </c>
      <c r="F280">
        <v>26991084.899999999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0.98417528910529628</v>
      </c>
      <c r="Q280">
        <f t="shared" si="965"/>
        <v>26563958.784723096</v>
      </c>
      <c r="R280">
        <f t="shared" si="966"/>
        <v>-422500523.03017879</v>
      </c>
      <c r="S280">
        <f t="shared" si="967"/>
        <v>-4225.0052303017883</v>
      </c>
      <c r="T280">
        <f t="shared" si="968"/>
        <v>-4.2250052303017887</v>
      </c>
    </row>
    <row r="281" spans="1:20" x14ac:dyDescent="0.25">
      <c r="A281" s="5">
        <v>44312</v>
      </c>
      <c r="B281">
        <v>0.12567999999999999</v>
      </c>
      <c r="C281">
        <v>0.15146999999999999</v>
      </c>
      <c r="D281">
        <v>0.12494</v>
      </c>
      <c r="E281">
        <v>0.14999000000000001</v>
      </c>
      <c r="F281">
        <v>26147930.300000001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0.88842819449679744</v>
      </c>
      <c r="Q281">
        <f t="shared" si="965"/>
        <v>23230558.506257102</v>
      </c>
      <c r="R281">
        <f t="shared" si="966"/>
        <v>-449064481.81490189</v>
      </c>
      <c r="S281">
        <f t="shared" si="967"/>
        <v>-4490.6448181490186</v>
      </c>
      <c r="T281">
        <f t="shared" si="968"/>
        <v>-4.4906448181490184</v>
      </c>
    </row>
    <row r="282" spans="1:20" x14ac:dyDescent="0.25">
      <c r="A282" s="5">
        <v>44311</v>
      </c>
      <c r="B282">
        <v>0.11932</v>
      </c>
      <c r="C282">
        <v>0.14491000000000001</v>
      </c>
      <c r="D282">
        <v>0.11618000000000001</v>
      </c>
      <c r="E282">
        <v>0.12567999999999999</v>
      </c>
      <c r="F282">
        <v>26608130.100000001</v>
      </c>
      <c r="G282">
        <v>0</v>
      </c>
      <c r="L282" t="s">
        <v>8</v>
      </c>
      <c r="M282" t="s">
        <v>8</v>
      </c>
      <c r="N282" t="s">
        <v>7</v>
      </c>
      <c r="P282">
        <f t="shared" si="964"/>
        <v>-0.33867037939436279</v>
      </c>
      <c r="Q282">
        <f t="shared" si="965"/>
        <v>-9011385.515941564</v>
      </c>
      <c r="R282">
        <f t="shared" si="966"/>
        <v>-472295040.32115901</v>
      </c>
      <c r="S282">
        <f t="shared" si="967"/>
        <v>-4722.9504032115901</v>
      </c>
      <c r="T282">
        <f t="shared" si="968"/>
        <v>-4.7229504032115903</v>
      </c>
    </row>
    <row r="283" spans="1:20" x14ac:dyDescent="0.25">
      <c r="A283" s="5">
        <v>44310</v>
      </c>
      <c r="B283">
        <v>0.13599</v>
      </c>
      <c r="C283">
        <v>0.13907</v>
      </c>
      <c r="D283">
        <v>0.11505</v>
      </c>
      <c r="E283">
        <v>0.11932</v>
      </c>
      <c r="F283">
        <v>15837455.199999999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-0.64446294754371392</v>
      </c>
      <c r="Q283">
        <f t="shared" si="965"/>
        <v>-10206653.059783518</v>
      </c>
      <c r="R283">
        <f t="shared" si="966"/>
        <v>-463283654.80521744</v>
      </c>
      <c r="S283">
        <f t="shared" si="967"/>
        <v>-4632.8365480521743</v>
      </c>
      <c r="T283">
        <f t="shared" si="968"/>
        <v>-4.6328365480521745</v>
      </c>
    </row>
    <row r="284" spans="1:20" x14ac:dyDescent="0.25">
      <c r="A284" s="5">
        <v>44309</v>
      </c>
      <c r="B284">
        <v>0.14001</v>
      </c>
      <c r="C284">
        <v>0.14202000000000001</v>
      </c>
      <c r="D284">
        <v>0.11</v>
      </c>
      <c r="E284">
        <v>0.13586999999999999</v>
      </c>
      <c r="F284">
        <v>29412659.100000001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0.61586508432229758</v>
      </c>
      <c r="Q284">
        <f t="shared" si="965"/>
        <v>18114229.776764493</v>
      </c>
      <c r="R284">
        <f t="shared" si="966"/>
        <v>-453077001.74543393</v>
      </c>
      <c r="S284">
        <f t="shared" si="967"/>
        <v>-4530.7700174543388</v>
      </c>
      <c r="T284">
        <f t="shared" si="968"/>
        <v>-4.5307700174543388</v>
      </c>
    </row>
    <row r="285" spans="1:20" x14ac:dyDescent="0.25">
      <c r="A285" s="5">
        <v>44308</v>
      </c>
      <c r="B285">
        <v>0.16012000000000001</v>
      </c>
      <c r="C285">
        <v>0.16399</v>
      </c>
      <c r="D285">
        <v>0.13588</v>
      </c>
      <c r="E285">
        <v>0.14050000000000001</v>
      </c>
      <c r="F285">
        <v>19987286.300000001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-0.6712913553895401</v>
      </c>
      <c r="Q285">
        <f t="shared" si="965"/>
        <v>-13417292.510885786</v>
      </c>
      <c r="R285">
        <f t="shared" si="966"/>
        <v>-471191231.52219844</v>
      </c>
      <c r="S285">
        <f t="shared" si="967"/>
        <v>-4711.9123152219845</v>
      </c>
      <c r="T285">
        <f t="shared" si="968"/>
        <v>-4.7119123152219844</v>
      </c>
    </row>
    <row r="286" spans="1:20" x14ac:dyDescent="0.25">
      <c r="A286" s="5">
        <v>44307</v>
      </c>
      <c r="B286">
        <v>0.17451</v>
      </c>
      <c r="C286">
        <v>0.17960000000000001</v>
      </c>
      <c r="D286">
        <v>0.15748000000000001</v>
      </c>
      <c r="E286">
        <v>0.16026000000000001</v>
      </c>
      <c r="F286">
        <v>18812881.399999999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-0.74864376130198873</v>
      </c>
      <c r="Q286">
        <f t="shared" si="965"/>
        <v>-14084146.292224223</v>
      </c>
      <c r="R286">
        <f t="shared" si="966"/>
        <v>-457773939.01131266</v>
      </c>
      <c r="S286">
        <f t="shared" si="967"/>
        <v>-4577.7393901131263</v>
      </c>
      <c r="T286">
        <f t="shared" si="968"/>
        <v>-4.577739390113126</v>
      </c>
    </row>
    <row r="287" spans="1:20" x14ac:dyDescent="0.25">
      <c r="A287" s="5">
        <v>44306</v>
      </c>
      <c r="B287">
        <v>0.16807</v>
      </c>
      <c r="C287">
        <v>0.17699999999999999</v>
      </c>
      <c r="D287">
        <v>0.14649999999999999</v>
      </c>
      <c r="E287">
        <v>0.17451</v>
      </c>
      <c r="F287">
        <v>29379607.100000001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0.83672131147541029</v>
      </c>
      <c r="Q287">
        <f t="shared" si="965"/>
        <v>24582543.383344278</v>
      </c>
      <c r="R287">
        <f t="shared" si="966"/>
        <v>-443689792.71908844</v>
      </c>
      <c r="S287">
        <f t="shared" si="967"/>
        <v>-4436.8979271908847</v>
      </c>
      <c r="T287">
        <f t="shared" si="968"/>
        <v>-4.436897927190885</v>
      </c>
    </row>
    <row r="288" spans="1:20" x14ac:dyDescent="0.25">
      <c r="A288" s="5">
        <v>44305</v>
      </c>
      <c r="B288">
        <v>0.19259000000000001</v>
      </c>
      <c r="C288">
        <v>0.20444000000000001</v>
      </c>
      <c r="D288">
        <v>0.16500000000000001</v>
      </c>
      <c r="E288">
        <v>0.16885</v>
      </c>
      <c r="F288">
        <v>19881927.100000001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-0.80476673427991929</v>
      </c>
      <c r="Q288">
        <f t="shared" si="965"/>
        <v>-16000313.543458428</v>
      </c>
      <c r="R288">
        <f t="shared" si="966"/>
        <v>-468272336.10243273</v>
      </c>
      <c r="S288">
        <f t="shared" si="967"/>
        <v>-4682.7233610243275</v>
      </c>
      <c r="T288">
        <f t="shared" si="968"/>
        <v>-4.6827233610243271</v>
      </c>
    </row>
    <row r="289" spans="1:20" x14ac:dyDescent="0.25">
      <c r="A289" s="5">
        <v>44304</v>
      </c>
      <c r="B289">
        <v>0.22142000000000001</v>
      </c>
      <c r="C289">
        <v>0.22203000000000001</v>
      </c>
      <c r="D289">
        <v>0.16500000000000001</v>
      </c>
      <c r="E289">
        <v>0.1925</v>
      </c>
      <c r="F289">
        <v>31469848.699999999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-3.5595300718919941E-2</v>
      </c>
      <c r="Q289">
        <f t="shared" si="965"/>
        <v>-1120178.7280554117</v>
      </c>
      <c r="R289">
        <f t="shared" si="966"/>
        <v>-452272022.55897433</v>
      </c>
      <c r="S289">
        <f t="shared" si="967"/>
        <v>-4522.7202255897437</v>
      </c>
      <c r="T289">
        <f t="shared" si="968"/>
        <v>-4.5227202255897438</v>
      </c>
    </row>
    <row r="290" spans="1:20" x14ac:dyDescent="0.25">
      <c r="A290" s="5">
        <v>44303</v>
      </c>
      <c r="B290">
        <v>0.21212</v>
      </c>
      <c r="C290">
        <v>0.23499999999999999</v>
      </c>
      <c r="D290">
        <v>0.21134</v>
      </c>
      <c r="E290">
        <v>0.22142000000000001</v>
      </c>
      <c r="F290">
        <v>23943330.399999999</v>
      </c>
      <c r="G290">
        <v>0</v>
      </c>
      <c r="L290" t="s">
        <v>8</v>
      </c>
      <c r="M290" t="s">
        <v>7</v>
      </c>
      <c r="N290" t="s">
        <v>7</v>
      </c>
      <c r="P290">
        <f t="shared" si="964"/>
        <v>-0.14792899408283927</v>
      </c>
      <c r="Q290">
        <f t="shared" si="965"/>
        <v>-3541912.7810650654</v>
      </c>
      <c r="R290">
        <f t="shared" si="966"/>
        <v>-451151843.83091891</v>
      </c>
      <c r="S290">
        <f t="shared" si="967"/>
        <v>-4511.5184383091892</v>
      </c>
      <c r="T290">
        <f t="shared" si="968"/>
        <v>-4.5115184383091895</v>
      </c>
    </row>
    <row r="291" spans="1:20" x14ac:dyDescent="0.25">
      <c r="A291" s="5">
        <v>44302</v>
      </c>
      <c r="B291">
        <v>0.24424000000000001</v>
      </c>
      <c r="C291">
        <v>0.24464</v>
      </c>
      <c r="D291">
        <v>0.21</v>
      </c>
      <c r="E291">
        <v>0.21177000000000001</v>
      </c>
      <c r="F291">
        <v>22907481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-0.89780600461893645</v>
      </c>
      <c r="Q291">
        <f t="shared" si="965"/>
        <v>-20566473.992494199</v>
      </c>
      <c r="R291">
        <f t="shared" si="966"/>
        <v>-447609931.04985386</v>
      </c>
      <c r="S291">
        <f t="shared" si="967"/>
        <v>-4476.0993104985382</v>
      </c>
      <c r="T291">
        <f t="shared" si="968"/>
        <v>-4.4760993104985385</v>
      </c>
    </row>
    <row r="292" spans="1:20" x14ac:dyDescent="0.25">
      <c r="A292" s="5">
        <v>44301</v>
      </c>
      <c r="B292">
        <v>0.24306</v>
      </c>
      <c r="C292">
        <v>0.24667</v>
      </c>
      <c r="D292">
        <v>0.22686999999999999</v>
      </c>
      <c r="E292">
        <v>0.24418000000000001</v>
      </c>
      <c r="F292">
        <v>22751249.100000001</v>
      </c>
      <c r="G292">
        <v>0</v>
      </c>
      <c r="L292" t="s">
        <v>8</v>
      </c>
      <c r="M292" t="s">
        <v>7</v>
      </c>
      <c r="N292" t="s">
        <v>7</v>
      </c>
      <c r="P292">
        <f t="shared" si="964"/>
        <v>0.74848484848484942</v>
      </c>
      <c r="Q292">
        <f t="shared" si="965"/>
        <v>17028965.235454567</v>
      </c>
      <c r="R292">
        <f t="shared" si="966"/>
        <v>-427043457.05735964</v>
      </c>
      <c r="S292">
        <f t="shared" si="967"/>
        <v>-4270.4345705735959</v>
      </c>
      <c r="T292">
        <f t="shared" si="968"/>
        <v>-4.2704345705735962</v>
      </c>
    </row>
    <row r="293" spans="1:20" x14ac:dyDescent="0.25">
      <c r="A293" s="5">
        <v>44300</v>
      </c>
      <c r="B293">
        <v>0.25505</v>
      </c>
      <c r="C293">
        <v>0.25700000000000001</v>
      </c>
      <c r="D293">
        <v>0.22259000000000001</v>
      </c>
      <c r="E293">
        <v>0.24349999999999999</v>
      </c>
      <c r="F293">
        <v>30710634.199999999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0.21534437663469844</v>
      </c>
      <c r="Q293">
        <f t="shared" si="965"/>
        <v>6613362.3778552506</v>
      </c>
      <c r="R293">
        <f t="shared" si="966"/>
        <v>-444072422.2928142</v>
      </c>
      <c r="S293">
        <f t="shared" si="967"/>
        <v>-4440.7242229281419</v>
      </c>
      <c r="T293">
        <f t="shared" si="968"/>
        <v>-4.4407242229281421</v>
      </c>
    </row>
    <row r="294" spans="1:20" x14ac:dyDescent="0.25">
      <c r="A294" s="5">
        <v>44299</v>
      </c>
      <c r="B294">
        <v>0.24310000000000001</v>
      </c>
      <c r="C294">
        <v>0.26194000000000001</v>
      </c>
      <c r="D294">
        <v>0.22994999999999999</v>
      </c>
      <c r="E294">
        <v>0.25601000000000002</v>
      </c>
      <c r="F294">
        <v>59115655.600000001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0.62925914348233902</v>
      </c>
      <c r="Q294">
        <f t="shared" si="965"/>
        <v>37199066.80925294</v>
      </c>
      <c r="R294">
        <f t="shared" si="966"/>
        <v>-450685784.67066944</v>
      </c>
      <c r="S294">
        <f t="shared" si="967"/>
        <v>-4506.8578467066945</v>
      </c>
      <c r="T294">
        <f t="shared" si="968"/>
        <v>-4.5068578467066942</v>
      </c>
    </row>
    <row r="295" spans="1:20" x14ac:dyDescent="0.25">
      <c r="A295" s="5">
        <v>44298</v>
      </c>
      <c r="B295">
        <v>0.26873000000000002</v>
      </c>
      <c r="C295">
        <v>0.314</v>
      </c>
      <c r="D295">
        <v>0.24235999999999999</v>
      </c>
      <c r="E295">
        <v>0.24310000000000001</v>
      </c>
      <c r="F295">
        <v>278156829.30000001</v>
      </c>
      <c r="G295">
        <v>0</v>
      </c>
      <c r="L295" t="s">
        <v>8</v>
      </c>
      <c r="M295" t="s">
        <v>7</v>
      </c>
      <c r="N295" t="s">
        <v>8</v>
      </c>
      <c r="P295">
        <f t="shared" si="964"/>
        <v>-0.97934115019542101</v>
      </c>
      <c r="Q295">
        <f t="shared" si="965"/>
        <v>-272410429.1413734</v>
      </c>
      <c r="R295">
        <f t="shared" si="966"/>
        <v>-487884851.47992235</v>
      </c>
      <c r="S295">
        <f t="shared" si="967"/>
        <v>-4878.8485147992233</v>
      </c>
      <c r="T295">
        <f t="shared" si="968"/>
        <v>-4.8788485147992233</v>
      </c>
    </row>
    <row r="296" spans="1:20" x14ac:dyDescent="0.25">
      <c r="A296" s="5">
        <v>44297</v>
      </c>
      <c r="B296">
        <v>0.20899000000000001</v>
      </c>
      <c r="C296">
        <v>0.32</v>
      </c>
      <c r="D296">
        <v>0.18984999999999999</v>
      </c>
      <c r="E296">
        <v>0.26871</v>
      </c>
      <c r="F296">
        <v>257668573.80000001</v>
      </c>
      <c r="G296">
        <v>0</v>
      </c>
      <c r="L296" t="s">
        <v>7</v>
      </c>
      <c r="M296" t="s">
        <v>8</v>
      </c>
      <c r="N296" t="s">
        <v>8</v>
      </c>
      <c r="P296">
        <f t="shared" si="964"/>
        <v>0.21183250096043033</v>
      </c>
      <c r="Q296">
        <f t="shared" si="965"/>
        <v>54582578.406961218</v>
      </c>
      <c r="R296">
        <f t="shared" si="966"/>
        <v>-215474422.33854896</v>
      </c>
      <c r="S296">
        <f t="shared" si="967"/>
        <v>-2154.7442233854895</v>
      </c>
      <c r="T296">
        <f t="shared" si="968"/>
        <v>-2.1547442233854897</v>
      </c>
    </row>
    <row r="297" spans="1:20" x14ac:dyDescent="0.25">
      <c r="A297" s="5">
        <v>44296</v>
      </c>
      <c r="B297">
        <v>0.21626999999999999</v>
      </c>
      <c r="C297">
        <v>0.22412000000000001</v>
      </c>
      <c r="D297">
        <v>0.19864000000000001</v>
      </c>
      <c r="E297">
        <v>0.20905000000000001</v>
      </c>
      <c r="F297">
        <v>11384477.199999999</v>
      </c>
      <c r="G297">
        <v>0</v>
      </c>
      <c r="L297" t="s">
        <v>7</v>
      </c>
      <c r="M297" t="s">
        <v>8</v>
      </c>
      <c r="N297" t="s">
        <v>8</v>
      </c>
      <c r="P297">
        <f t="shared" si="964"/>
        <v>-0.18288854003139707</v>
      </c>
      <c r="Q297">
        <f t="shared" si="965"/>
        <v>-2082090.414128727</v>
      </c>
      <c r="R297">
        <f t="shared" si="966"/>
        <v>-270057000.74551016</v>
      </c>
      <c r="S297">
        <f t="shared" si="967"/>
        <v>-2700.5700074551014</v>
      </c>
      <c r="T297">
        <f t="shared" si="968"/>
        <v>-2.7005700074551013</v>
      </c>
    </row>
    <row r="298" spans="1:20" x14ac:dyDescent="0.25">
      <c r="A298" s="5">
        <v>44295</v>
      </c>
      <c r="B298">
        <v>0.22115000000000001</v>
      </c>
      <c r="C298">
        <v>0.22988</v>
      </c>
      <c r="D298">
        <v>0.21415999999999999</v>
      </c>
      <c r="E298">
        <v>0.21626000000000001</v>
      </c>
      <c r="F298">
        <v>12274984.9</v>
      </c>
      <c r="G298">
        <v>0</v>
      </c>
      <c r="L298" t="s">
        <v>7</v>
      </c>
      <c r="M298" t="s">
        <v>8</v>
      </c>
      <c r="N298" t="s">
        <v>8</v>
      </c>
      <c r="P298">
        <f t="shared" si="964"/>
        <v>-0.73282442748091392</v>
      </c>
      <c r="Q298">
        <f t="shared" si="965"/>
        <v>-8995408.7816793639</v>
      </c>
      <c r="R298">
        <f t="shared" si="966"/>
        <v>-267974910.33138141</v>
      </c>
      <c r="S298">
        <f t="shared" si="967"/>
        <v>-2679.749103313814</v>
      </c>
      <c r="T298">
        <f t="shared" si="968"/>
        <v>-2.6797491033138141</v>
      </c>
    </row>
    <row r="299" spans="1:20" x14ac:dyDescent="0.25">
      <c r="A299" s="5">
        <v>44294</v>
      </c>
      <c r="B299">
        <v>0.19828000000000001</v>
      </c>
      <c r="C299">
        <v>0.23100000000000001</v>
      </c>
      <c r="D299">
        <v>0.19469</v>
      </c>
      <c r="E299">
        <v>0.22123000000000001</v>
      </c>
      <c r="F299">
        <v>17140955.5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0.4618562379509778</v>
      </c>
      <c r="Q299">
        <f t="shared" si="965"/>
        <v>7916657.2221151218</v>
      </c>
      <c r="R299">
        <f t="shared" si="966"/>
        <v>-258979501.54970205</v>
      </c>
      <c r="S299">
        <f t="shared" si="967"/>
        <v>-2589.7950154970204</v>
      </c>
      <c r="T299">
        <f t="shared" si="968"/>
        <v>-2.5897950154970202</v>
      </c>
    </row>
    <row r="300" spans="1:20" x14ac:dyDescent="0.25">
      <c r="A300" s="5">
        <v>44293</v>
      </c>
      <c r="B300">
        <v>0.22336</v>
      </c>
      <c r="C300">
        <v>0.22427</v>
      </c>
      <c r="D300">
        <v>0.18540999999999999</v>
      </c>
      <c r="E300">
        <v>0.19800000000000001</v>
      </c>
      <c r="F300">
        <v>22514140.100000001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-0.35203293875450253</v>
      </c>
      <c r="Q300">
        <f t="shared" si="965"/>
        <v>-7925718.9029335901</v>
      </c>
      <c r="R300">
        <f t="shared" si="966"/>
        <v>-266896158.77181718</v>
      </c>
      <c r="S300">
        <f t="shared" si="967"/>
        <v>-2668.9615877181718</v>
      </c>
      <c r="T300">
        <f t="shared" si="968"/>
        <v>-2.6689615877181718</v>
      </c>
    </row>
    <row r="301" spans="1:20" x14ac:dyDescent="0.25">
      <c r="A301" s="5">
        <v>44292</v>
      </c>
      <c r="B301">
        <v>0.22509999999999999</v>
      </c>
      <c r="C301">
        <v>0.24789</v>
      </c>
      <c r="D301">
        <v>0.21807000000000001</v>
      </c>
      <c r="E301">
        <v>0.22319</v>
      </c>
      <c r="F301">
        <v>31116928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-0.65660630449362922</v>
      </c>
      <c r="Q301">
        <f t="shared" si="965"/>
        <v>-20431571.101274338</v>
      </c>
      <c r="R301">
        <f t="shared" si="966"/>
        <v>-258970439.86888358</v>
      </c>
      <c r="S301">
        <f t="shared" si="967"/>
        <v>-2589.7043986888357</v>
      </c>
      <c r="T301">
        <f t="shared" si="968"/>
        <v>-2.5897043986888355</v>
      </c>
    </row>
    <row r="302" spans="1:20" x14ac:dyDescent="0.25">
      <c r="A302" s="5">
        <v>44291</v>
      </c>
      <c r="B302">
        <v>0.22203000000000001</v>
      </c>
      <c r="C302">
        <v>0.23161999999999999</v>
      </c>
      <c r="D302">
        <v>0.20699999999999999</v>
      </c>
      <c r="E302">
        <v>0.22595999999999999</v>
      </c>
      <c r="F302">
        <v>21096201.399999999</v>
      </c>
      <c r="G302">
        <v>0</v>
      </c>
      <c r="L302" t="s">
        <v>8</v>
      </c>
      <c r="M302" t="s">
        <v>7</v>
      </c>
      <c r="N302" t="s">
        <v>8</v>
      </c>
      <c r="P302">
        <f t="shared" si="964"/>
        <v>0.54021121039805053</v>
      </c>
      <c r="Q302">
        <f t="shared" si="965"/>
        <v>11396404.493095048</v>
      </c>
      <c r="R302">
        <f t="shared" si="966"/>
        <v>-238538868.76760924</v>
      </c>
      <c r="S302">
        <f t="shared" si="967"/>
        <v>-2385.3886876760926</v>
      </c>
      <c r="T302">
        <f t="shared" si="968"/>
        <v>-2.3853886876760924</v>
      </c>
    </row>
    <row r="303" spans="1:20" x14ac:dyDescent="0.25">
      <c r="A303" s="5">
        <v>44290</v>
      </c>
      <c r="B303">
        <v>0.20496</v>
      </c>
      <c r="C303">
        <v>0.22763</v>
      </c>
      <c r="D303">
        <v>0.20347999999999999</v>
      </c>
      <c r="E303">
        <v>0.22173999999999999</v>
      </c>
      <c r="F303">
        <v>30487502.199999999</v>
      </c>
      <c r="G303">
        <v>0</v>
      </c>
      <c r="L303" t="s">
        <v>8</v>
      </c>
      <c r="M303" t="s">
        <v>7</v>
      </c>
      <c r="N303" t="s">
        <v>8</v>
      </c>
      <c r="P303">
        <f t="shared" si="964"/>
        <v>0.51221532091097266</v>
      </c>
      <c r="Q303">
        <f t="shared" si="965"/>
        <v>15616165.723146984</v>
      </c>
      <c r="R303">
        <f t="shared" si="966"/>
        <v>-249935273.26070428</v>
      </c>
      <c r="S303">
        <f t="shared" si="967"/>
        <v>-2499.352732607043</v>
      </c>
      <c r="T303">
        <f t="shared" si="968"/>
        <v>-2.499352732607043</v>
      </c>
    </row>
    <row r="304" spans="1:20" x14ac:dyDescent="0.25">
      <c r="A304" s="5">
        <v>44289</v>
      </c>
      <c r="B304">
        <v>0.21318000000000001</v>
      </c>
      <c r="C304">
        <v>0.21990000000000001</v>
      </c>
      <c r="D304">
        <v>0.20496</v>
      </c>
      <c r="E304">
        <v>0.20560999999999999</v>
      </c>
      <c r="F304">
        <v>18939319.800000001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-0.91298527443105981</v>
      </c>
      <c r="Q304">
        <f t="shared" si="965"/>
        <v>-17291320.085140605</v>
      </c>
      <c r="R304">
        <f t="shared" si="966"/>
        <v>-265551438.98385125</v>
      </c>
      <c r="S304">
        <f t="shared" si="967"/>
        <v>-2655.5143898385127</v>
      </c>
      <c r="T304">
        <f t="shared" si="968"/>
        <v>-2.6555143898385127</v>
      </c>
    </row>
    <row r="305" spans="1:20" x14ac:dyDescent="0.25">
      <c r="A305" s="5">
        <v>44288</v>
      </c>
      <c r="B305">
        <v>0.21260999999999999</v>
      </c>
      <c r="C305">
        <v>0.22556999999999999</v>
      </c>
      <c r="D305">
        <v>0.20666999999999999</v>
      </c>
      <c r="E305">
        <v>0.21310000000000001</v>
      </c>
      <c r="F305">
        <v>19342968.600000001</v>
      </c>
      <c r="G305">
        <v>0</v>
      </c>
      <c r="L305" t="s">
        <v>8</v>
      </c>
      <c r="M305" t="s">
        <v>7</v>
      </c>
      <c r="N305" t="s">
        <v>8</v>
      </c>
      <c r="P305">
        <f t="shared" si="964"/>
        <v>-0.31957671957671757</v>
      </c>
      <c r="Q305">
        <f t="shared" si="965"/>
        <v>-6181562.4520634534</v>
      </c>
      <c r="R305">
        <f t="shared" si="966"/>
        <v>-248260118.89871064</v>
      </c>
      <c r="S305">
        <f t="shared" si="967"/>
        <v>-2482.6011889871065</v>
      </c>
      <c r="T305">
        <f t="shared" si="968"/>
        <v>-2.4826011889871067</v>
      </c>
    </row>
    <row r="306" spans="1:20" x14ac:dyDescent="0.25">
      <c r="A306" s="5">
        <v>44287</v>
      </c>
      <c r="B306">
        <v>0.21848999999999999</v>
      </c>
      <c r="C306">
        <v>0.22051999999999999</v>
      </c>
      <c r="D306">
        <v>0.20241000000000001</v>
      </c>
      <c r="E306">
        <v>0.21251</v>
      </c>
      <c r="F306">
        <v>14111910.4</v>
      </c>
      <c r="G306">
        <v>0</v>
      </c>
      <c r="L306" t="s">
        <v>7</v>
      </c>
      <c r="M306" t="s">
        <v>7</v>
      </c>
      <c r="N306" t="s">
        <v>8</v>
      </c>
      <c r="P306">
        <f t="shared" si="964"/>
        <v>0.11540585311982385</v>
      </c>
      <c r="Q306">
        <f t="shared" si="965"/>
        <v>1628597.0588625146</v>
      </c>
      <c r="R306">
        <f t="shared" si="966"/>
        <v>-242078556.4466472</v>
      </c>
      <c r="S306">
        <f t="shared" si="967"/>
        <v>-2420.7855644664719</v>
      </c>
      <c r="T306">
        <f t="shared" si="968"/>
        <v>-2.4207855644664718</v>
      </c>
    </row>
    <row r="307" spans="1:20" x14ac:dyDescent="0.25">
      <c r="A307" s="5">
        <v>44286</v>
      </c>
      <c r="B307">
        <v>0.23388999999999999</v>
      </c>
      <c r="C307">
        <v>0.23721999999999999</v>
      </c>
      <c r="D307">
        <v>0.21593000000000001</v>
      </c>
      <c r="E307">
        <v>0.21848999999999999</v>
      </c>
      <c r="F307">
        <v>13372699.800000001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-0.75951150775011911</v>
      </c>
      <c r="Q307">
        <f t="shared" si="965"/>
        <v>-10156719.387787716</v>
      </c>
      <c r="R307">
        <f t="shared" si="966"/>
        <v>-243707153.5055097</v>
      </c>
      <c r="S307">
        <f t="shared" si="967"/>
        <v>-2437.0715350550972</v>
      </c>
      <c r="T307">
        <f t="shared" si="968"/>
        <v>-2.4370715350550971</v>
      </c>
    </row>
    <row r="308" spans="1:20" x14ac:dyDescent="0.25">
      <c r="A308" s="5">
        <v>44285</v>
      </c>
      <c r="B308">
        <v>0.24288000000000001</v>
      </c>
      <c r="C308">
        <v>0.24471000000000001</v>
      </c>
      <c r="D308">
        <v>0.22589999999999999</v>
      </c>
      <c r="E308">
        <v>0.2339</v>
      </c>
      <c r="F308">
        <v>17007204.800000001</v>
      </c>
      <c r="G308">
        <v>0</v>
      </c>
      <c r="L308" t="s">
        <v>7</v>
      </c>
      <c r="M308" t="s">
        <v>8</v>
      </c>
      <c r="N308" t="s">
        <v>8</v>
      </c>
      <c r="P308">
        <f t="shared" si="964"/>
        <v>-0.14938862307283379</v>
      </c>
      <c r="Q308">
        <f t="shared" si="965"/>
        <v>-2540682.9073896897</v>
      </c>
      <c r="R308">
        <f t="shared" si="966"/>
        <v>-233550434.11772197</v>
      </c>
      <c r="S308">
        <f t="shared" si="967"/>
        <v>-2335.5043411772199</v>
      </c>
      <c r="T308">
        <f t="shared" si="968"/>
        <v>-2.3355043411772201</v>
      </c>
    </row>
    <row r="309" spans="1:20" x14ac:dyDescent="0.25">
      <c r="A309" s="5">
        <v>44284</v>
      </c>
      <c r="B309">
        <v>0.22617000000000001</v>
      </c>
      <c r="C309">
        <v>0.25646000000000002</v>
      </c>
      <c r="D309">
        <v>0.21906</v>
      </c>
      <c r="E309">
        <v>0.24259</v>
      </c>
      <c r="F309">
        <v>25898450.199999999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0.25828877005347511</v>
      </c>
      <c r="Q309">
        <f t="shared" si="965"/>
        <v>6689278.8484491762</v>
      </c>
      <c r="R309">
        <f t="shared" si="966"/>
        <v>-231009751.21033227</v>
      </c>
      <c r="S309">
        <f t="shared" si="967"/>
        <v>-2310.097512103323</v>
      </c>
      <c r="T309">
        <f t="shared" si="968"/>
        <v>-2.3100975121033231</v>
      </c>
    </row>
    <row r="310" spans="1:20" x14ac:dyDescent="0.25">
      <c r="A310" s="5">
        <v>44283</v>
      </c>
      <c r="B310">
        <v>0.21767</v>
      </c>
      <c r="C310">
        <v>0.24</v>
      </c>
      <c r="D310">
        <v>0.2155</v>
      </c>
      <c r="E310">
        <v>0.22663</v>
      </c>
      <c r="F310">
        <v>19128067.5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-9.1428571428571123E-2</v>
      </c>
      <c r="Q310">
        <f t="shared" si="965"/>
        <v>-1748851.88571428</v>
      </c>
      <c r="R310">
        <f t="shared" si="966"/>
        <v>-237699030.05878145</v>
      </c>
      <c r="S310">
        <f t="shared" si="967"/>
        <v>-2376.9903005878145</v>
      </c>
      <c r="T310">
        <f t="shared" si="968"/>
        <v>-2.3769903005878144</v>
      </c>
    </row>
    <row r="311" spans="1:20" x14ac:dyDescent="0.25">
      <c r="A311" s="5">
        <v>44282</v>
      </c>
      <c r="B311">
        <v>0.21640999999999999</v>
      </c>
      <c r="C311">
        <v>0.22800000000000001</v>
      </c>
      <c r="D311">
        <v>0.20624999999999999</v>
      </c>
      <c r="E311">
        <v>0.21740000000000001</v>
      </c>
      <c r="F311">
        <v>16958341.699999999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2.52873563218401E-2</v>
      </c>
      <c r="Q311">
        <f t="shared" si="965"/>
        <v>428831.62919541955</v>
      </c>
      <c r="R311">
        <f t="shared" si="966"/>
        <v>-235950178.17306715</v>
      </c>
      <c r="S311">
        <f t="shared" si="967"/>
        <v>-2359.5017817306716</v>
      </c>
      <c r="T311">
        <f t="shared" si="968"/>
        <v>-2.3595017817306716</v>
      </c>
    </row>
    <row r="312" spans="1:20" x14ac:dyDescent="0.25">
      <c r="A312" s="5">
        <v>44281</v>
      </c>
      <c r="B312">
        <v>0.17599999999999999</v>
      </c>
      <c r="C312">
        <v>0.22220000000000001</v>
      </c>
      <c r="D312">
        <v>0.17566000000000001</v>
      </c>
      <c r="E312">
        <v>0.21722</v>
      </c>
      <c r="F312">
        <v>34236811.700000003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0.78599054576708149</v>
      </c>
      <c r="Q312">
        <f t="shared" si="965"/>
        <v>26909810.313407805</v>
      </c>
      <c r="R312">
        <f t="shared" si="966"/>
        <v>-236379009.80226257</v>
      </c>
      <c r="S312">
        <f t="shared" si="967"/>
        <v>-2363.7900980226259</v>
      </c>
      <c r="T312">
        <f t="shared" si="968"/>
        <v>-2.3637900980226259</v>
      </c>
    </row>
    <row r="313" spans="1:20" x14ac:dyDescent="0.25">
      <c r="A313" s="5">
        <v>44280</v>
      </c>
      <c r="B313">
        <v>0.19136</v>
      </c>
      <c r="C313">
        <v>0.19997000000000001</v>
      </c>
      <c r="D313">
        <v>0.17199999999999999</v>
      </c>
      <c r="E313">
        <v>0.17599999999999999</v>
      </c>
      <c r="F313">
        <v>25871941.100000001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-0.71397926349660346</v>
      </c>
      <c r="Q313">
        <f t="shared" si="965"/>
        <v>-18472029.451805506</v>
      </c>
      <c r="R313">
        <f t="shared" si="966"/>
        <v>-263288820.11567038</v>
      </c>
      <c r="S313">
        <f t="shared" si="967"/>
        <v>-2632.8882011567039</v>
      </c>
      <c r="T313">
        <f t="shared" si="968"/>
        <v>-2.6328882011567041</v>
      </c>
    </row>
    <row r="314" spans="1:20" x14ac:dyDescent="0.25">
      <c r="A314" s="5">
        <v>44279</v>
      </c>
      <c r="B314">
        <v>0.19186</v>
      </c>
      <c r="C314">
        <v>0.22900000000000001</v>
      </c>
      <c r="D314">
        <v>0.188</v>
      </c>
      <c r="E314">
        <v>0.1915</v>
      </c>
      <c r="F314">
        <v>28892543.5</v>
      </c>
      <c r="G314">
        <v>0</v>
      </c>
      <c r="L314" t="s">
        <v>8</v>
      </c>
      <c r="M314" t="s">
        <v>8</v>
      </c>
      <c r="N314" t="s">
        <v>7</v>
      </c>
      <c r="P314">
        <f t="shared" si="964"/>
        <v>-0.82926829268292668</v>
      </c>
      <c r="Q314">
        <f t="shared" si="965"/>
        <v>-23959670.219512191</v>
      </c>
      <c r="R314">
        <f t="shared" si="966"/>
        <v>-244816790.66386488</v>
      </c>
      <c r="S314">
        <f t="shared" si="967"/>
        <v>-2448.1679066386487</v>
      </c>
      <c r="T314">
        <f t="shared" si="968"/>
        <v>-2.4481679066386488</v>
      </c>
    </row>
    <row r="315" spans="1:20" x14ac:dyDescent="0.25">
      <c r="A315" s="5">
        <v>44278</v>
      </c>
      <c r="B315">
        <v>0.20029</v>
      </c>
      <c r="C315">
        <v>0.21829000000000001</v>
      </c>
      <c r="D315">
        <v>0.1817</v>
      </c>
      <c r="E315">
        <v>0.19197</v>
      </c>
      <c r="F315">
        <v>36328052.700000003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-0.43864443837113976</v>
      </c>
      <c r="Q315">
        <f t="shared" si="965"/>
        <v>-15935098.273708668</v>
      </c>
      <c r="R315">
        <f t="shared" si="966"/>
        <v>-220857120.44435269</v>
      </c>
      <c r="S315">
        <f t="shared" si="967"/>
        <v>-2208.5712044435268</v>
      </c>
      <c r="T315">
        <f t="shared" si="968"/>
        <v>-2.2085712044435266</v>
      </c>
    </row>
    <row r="316" spans="1:20" x14ac:dyDescent="0.25">
      <c r="A316" s="5">
        <v>44277</v>
      </c>
      <c r="B316">
        <v>0.23169000000000001</v>
      </c>
      <c r="C316">
        <v>0.23300000000000001</v>
      </c>
      <c r="D316">
        <v>0.19828999999999999</v>
      </c>
      <c r="E316">
        <v>0.20029</v>
      </c>
      <c r="F316">
        <v>65002065.100000001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-0.88475943532123302</v>
      </c>
      <c r="Q316">
        <f t="shared" si="965"/>
        <v>-57511190.412590027</v>
      </c>
      <c r="R316">
        <f t="shared" si="966"/>
        <v>-204922022.17064402</v>
      </c>
      <c r="S316">
        <f t="shared" si="967"/>
        <v>-2049.22022170644</v>
      </c>
      <c r="T316">
        <f t="shared" si="968"/>
        <v>-2.0492202217064399</v>
      </c>
    </row>
    <row r="317" spans="1:20" x14ac:dyDescent="0.25">
      <c r="A317" s="5">
        <v>44276</v>
      </c>
      <c r="B317">
        <v>0.23486000000000001</v>
      </c>
      <c r="C317">
        <v>0.27100000000000002</v>
      </c>
      <c r="D317">
        <v>0.22441</v>
      </c>
      <c r="E317">
        <v>0.23222999999999999</v>
      </c>
      <c r="F317">
        <v>30319629.800000001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-0.66430564498819533</v>
      </c>
      <c r="Q317">
        <f t="shared" si="965"/>
        <v>-20141501.230092309</v>
      </c>
      <c r="R317">
        <f t="shared" si="966"/>
        <v>-147410831.75805399</v>
      </c>
      <c r="S317">
        <f t="shared" si="967"/>
        <v>-1474.10831758054</v>
      </c>
      <c r="T317">
        <f t="shared" si="968"/>
        <v>-1.4741083175805401</v>
      </c>
    </row>
    <row r="318" spans="1:20" x14ac:dyDescent="0.25">
      <c r="A318" s="5">
        <v>44275</v>
      </c>
      <c r="B318">
        <v>0.23549</v>
      </c>
      <c r="C318">
        <v>0.27943000000000001</v>
      </c>
      <c r="D318">
        <v>0.23444999999999999</v>
      </c>
      <c r="E318">
        <v>0.23518</v>
      </c>
      <c r="F318">
        <v>37164687.200000003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-0.96754112939084003</v>
      </c>
      <c r="Q318">
        <f t="shared" si="965"/>
        <v>-35958363.426945299</v>
      </c>
      <c r="R318">
        <f t="shared" si="966"/>
        <v>-127269330.52796167</v>
      </c>
      <c r="S318">
        <f t="shared" si="967"/>
        <v>-1272.6933052796167</v>
      </c>
      <c r="T318">
        <f t="shared" si="968"/>
        <v>-1.2726933052796165</v>
      </c>
    </row>
    <row r="319" spans="1:20" x14ac:dyDescent="0.25">
      <c r="A319" s="5">
        <v>44274</v>
      </c>
      <c r="B319">
        <v>0.24407999999999999</v>
      </c>
      <c r="C319">
        <v>0.25</v>
      </c>
      <c r="D319">
        <v>0.22685</v>
      </c>
      <c r="E319">
        <v>0.23588999999999999</v>
      </c>
      <c r="F319">
        <v>37329382.600000001</v>
      </c>
      <c r="G319">
        <v>0</v>
      </c>
      <c r="L319" t="s">
        <v>7</v>
      </c>
      <c r="M319" t="s">
        <v>7</v>
      </c>
      <c r="N319" t="s">
        <v>8</v>
      </c>
      <c r="P319">
        <f t="shared" si="964"/>
        <v>-0.21900647948164226</v>
      </c>
      <c r="Q319">
        <f t="shared" si="965"/>
        <v>-8175376.6644492736</v>
      </c>
      <c r="R319">
        <f t="shared" si="966"/>
        <v>-91310967.101016372</v>
      </c>
      <c r="S319">
        <f t="shared" si="967"/>
        <v>-913.10967101016377</v>
      </c>
      <c r="T319">
        <f t="shared" si="968"/>
        <v>-0.91310967101016371</v>
      </c>
    </row>
    <row r="320" spans="1:20" x14ac:dyDescent="0.25">
      <c r="A320" s="5">
        <v>44273</v>
      </c>
      <c r="B320">
        <v>0.24109</v>
      </c>
      <c r="C320">
        <v>0.28427000000000002</v>
      </c>
      <c r="D320">
        <v>0.23172000000000001</v>
      </c>
      <c r="E320">
        <v>0.24385000000000001</v>
      </c>
      <c r="F320">
        <v>85604369.700000003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-0.53834443387250241</v>
      </c>
      <c r="Q320">
        <f t="shared" si="965"/>
        <v>-46084635.943158902</v>
      </c>
      <c r="R320">
        <f t="shared" si="966"/>
        <v>-83135590.436567098</v>
      </c>
      <c r="S320">
        <f t="shared" si="967"/>
        <v>-831.35590436567099</v>
      </c>
      <c r="T320">
        <f t="shared" si="968"/>
        <v>-0.83135590436567097</v>
      </c>
    </row>
    <row r="321" spans="1:20" x14ac:dyDescent="0.25">
      <c r="A321" s="5">
        <v>44272</v>
      </c>
      <c r="B321">
        <v>0.21226</v>
      </c>
      <c r="C321">
        <v>0.2666</v>
      </c>
      <c r="D321">
        <v>0.19291</v>
      </c>
      <c r="E321">
        <v>0.24196000000000001</v>
      </c>
      <c r="F321">
        <v>80619454.299999997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0.33125254444293678</v>
      </c>
      <c r="Q321">
        <f t="shared" si="965"/>
        <v>26705399.368476059</v>
      </c>
      <c r="R321">
        <f t="shared" si="966"/>
        <v>-37050954.493408188</v>
      </c>
      <c r="S321">
        <f t="shared" si="967"/>
        <v>-370.50954493408187</v>
      </c>
      <c r="T321">
        <f t="shared" si="968"/>
        <v>-0.37050954493408189</v>
      </c>
    </row>
    <row r="322" spans="1:20" x14ac:dyDescent="0.25">
      <c r="A322" s="5">
        <v>44271</v>
      </c>
      <c r="B322">
        <v>0.20000999999999999</v>
      </c>
      <c r="C322">
        <v>0.25</v>
      </c>
      <c r="D322">
        <v>0.185</v>
      </c>
      <c r="E322">
        <v>0.21226</v>
      </c>
      <c r="F322">
        <v>133459614.3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-0.16123076923076907</v>
      </c>
      <c r="Q322">
        <f t="shared" si="965"/>
        <v>-21517796.274830747</v>
      </c>
      <c r="R322">
        <f t="shared" si="966"/>
        <v>-63756353.861884251</v>
      </c>
      <c r="S322">
        <f t="shared" si="967"/>
        <v>-637.56353861884247</v>
      </c>
      <c r="T322">
        <f t="shared" si="968"/>
        <v>-0.63756353861884252</v>
      </c>
    </row>
    <row r="323" spans="1:20" x14ac:dyDescent="0.25">
      <c r="A323" s="5">
        <v>44270</v>
      </c>
      <c r="B323">
        <v>0.16608999999999999</v>
      </c>
      <c r="C323">
        <v>0.22222</v>
      </c>
      <c r="D323">
        <v>0.15753</v>
      </c>
      <c r="E323">
        <v>0.2</v>
      </c>
      <c r="F323">
        <v>86278048.799999997</v>
      </c>
      <c r="G323">
        <v>0</v>
      </c>
      <c r="L323" t="s">
        <v>7</v>
      </c>
      <c r="M323" t="s">
        <v>8</v>
      </c>
      <c r="N323" t="s">
        <v>8</v>
      </c>
      <c r="P323">
        <f t="shared" si="964"/>
        <v>0.31303138042974216</v>
      </c>
      <c r="Q323">
        <f t="shared" si="965"/>
        <v>27007736.716648657</v>
      </c>
      <c r="R323">
        <f t="shared" si="966"/>
        <v>-42238557.587053508</v>
      </c>
      <c r="S323">
        <f t="shared" si="967"/>
        <v>-422.38557587053509</v>
      </c>
      <c r="T323">
        <f t="shared" si="968"/>
        <v>-0.4223855758705351</v>
      </c>
    </row>
    <row r="324" spans="1:20" x14ac:dyDescent="0.25">
      <c r="A324" s="5">
        <v>44269</v>
      </c>
      <c r="B324">
        <v>0.17573</v>
      </c>
      <c r="C324">
        <v>0.18124000000000001</v>
      </c>
      <c r="D324">
        <v>0.16500000000000001</v>
      </c>
      <c r="E324">
        <v>0.16635</v>
      </c>
      <c r="F324">
        <v>25816300.899999999</v>
      </c>
      <c r="G324">
        <v>0</v>
      </c>
      <c r="L324" t="s">
        <v>7</v>
      </c>
      <c r="M324" t="s">
        <v>8</v>
      </c>
      <c r="N324" t="s">
        <v>8</v>
      </c>
      <c r="P324">
        <f t="shared" si="964"/>
        <v>-0.83374384236453325</v>
      </c>
      <c r="Q324">
        <f t="shared" si="965"/>
        <v>-21524181.908004958</v>
      </c>
      <c r="R324">
        <f t="shared" si="966"/>
        <v>-69246294.303702161</v>
      </c>
      <c r="S324">
        <f t="shared" si="967"/>
        <v>-692.46294303702166</v>
      </c>
      <c r="T324">
        <f t="shared" si="968"/>
        <v>-0.69246294303702161</v>
      </c>
    </row>
    <row r="325" spans="1:20" x14ac:dyDescent="0.25">
      <c r="A325" s="5">
        <v>44268</v>
      </c>
      <c r="B325">
        <v>0.17268</v>
      </c>
      <c r="C325">
        <v>0.18731</v>
      </c>
      <c r="D325">
        <v>0.16067999999999999</v>
      </c>
      <c r="E325">
        <v>0.1757</v>
      </c>
      <c r="F325">
        <v>43141593.899999999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0.12805107022155443</v>
      </c>
      <c r="Q325">
        <f t="shared" si="965"/>
        <v>5524327.2699586842</v>
      </c>
      <c r="R325">
        <f t="shared" si="966"/>
        <v>-47722112.395697206</v>
      </c>
      <c r="S325">
        <f t="shared" si="967"/>
        <v>-477.22112395697206</v>
      </c>
      <c r="T325">
        <f t="shared" si="968"/>
        <v>-0.47722112395697208</v>
      </c>
    </row>
    <row r="326" spans="1:20" x14ac:dyDescent="0.25">
      <c r="A326" s="5">
        <v>44267</v>
      </c>
      <c r="B326">
        <v>0.15883</v>
      </c>
      <c r="C326">
        <v>0.19578000000000001</v>
      </c>
      <c r="D326">
        <v>0.15328</v>
      </c>
      <c r="E326">
        <v>0.17266999999999999</v>
      </c>
      <c r="F326">
        <v>90080614.5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-8.7529411764706536E-2</v>
      </c>
      <c r="Q326">
        <f t="shared" ref="Q326:Q389" si="970">F326*P326</f>
        <v>-7884703.198588294</v>
      </c>
      <c r="R326">
        <f t="shared" ref="R326:R389" si="971">R327+Q326</f>
        <v>-53246439.665655889</v>
      </c>
      <c r="S326">
        <f t="shared" ref="S326:S389" si="972">R326/100000</f>
        <v>-532.46439665655885</v>
      </c>
      <c r="T326">
        <f t="shared" ref="T326:T389" si="973">S326/1000</f>
        <v>-0.53246439665655887</v>
      </c>
    </row>
    <row r="327" spans="1:20" x14ac:dyDescent="0.25">
      <c r="A327" s="5">
        <v>44266</v>
      </c>
      <c r="B327">
        <v>0.16854</v>
      </c>
      <c r="C327">
        <v>0.19700000000000001</v>
      </c>
      <c r="D327">
        <v>0.15314</v>
      </c>
      <c r="E327">
        <v>0.15881999999999999</v>
      </c>
      <c r="F327">
        <v>78395605.799999997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-0.74099407204742407</v>
      </c>
      <c r="Q327">
        <f t="shared" si="970"/>
        <v>-58090679.172366656</v>
      </c>
      <c r="R327">
        <f t="shared" si="971"/>
        <v>-45361736.467067592</v>
      </c>
      <c r="S327">
        <f t="shared" si="972"/>
        <v>-453.6173646706759</v>
      </c>
      <c r="T327">
        <f t="shared" si="973"/>
        <v>-0.45361736467067587</v>
      </c>
    </row>
    <row r="328" spans="1:20" x14ac:dyDescent="0.25">
      <c r="A328" s="5">
        <v>44265</v>
      </c>
      <c r="B328">
        <v>0.14860999999999999</v>
      </c>
      <c r="C328">
        <v>0.17979000000000001</v>
      </c>
      <c r="D328">
        <v>0.13492999999999999</v>
      </c>
      <c r="E328">
        <v>0.16880000000000001</v>
      </c>
      <c r="F328">
        <v>64249191.200000003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0.51003120820329928</v>
      </c>
      <c r="Q328">
        <f t="shared" si="970"/>
        <v>32769092.613820784</v>
      </c>
      <c r="R328">
        <f t="shared" si="971"/>
        <v>12728942.705299065</v>
      </c>
      <c r="S328">
        <f t="shared" si="972"/>
        <v>127.28942705299065</v>
      </c>
      <c r="T328">
        <f t="shared" si="973"/>
        <v>0.12728942705299065</v>
      </c>
    </row>
    <row r="329" spans="1:20" x14ac:dyDescent="0.25">
      <c r="A329" s="5">
        <v>44264</v>
      </c>
      <c r="B329">
        <v>0.12842999999999999</v>
      </c>
      <c r="C329">
        <v>0.16300000000000001</v>
      </c>
      <c r="D329">
        <v>0.12820000000000001</v>
      </c>
      <c r="E329">
        <v>0.14854000000000001</v>
      </c>
      <c r="F329">
        <v>67194507.599999994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0.1689655172413792</v>
      </c>
      <c r="Q329">
        <f t="shared" si="970"/>
        <v>11353554.732413786</v>
      </c>
      <c r="R329">
        <f t="shared" si="971"/>
        <v>-20040149.908521719</v>
      </c>
      <c r="S329">
        <f t="shared" si="972"/>
        <v>-200.40149908521718</v>
      </c>
      <c r="T329">
        <f t="shared" si="973"/>
        <v>-0.20040149908521718</v>
      </c>
    </row>
    <row r="330" spans="1:20" x14ac:dyDescent="0.25">
      <c r="A330" s="5">
        <v>44263</v>
      </c>
      <c r="B330">
        <v>0.11472</v>
      </c>
      <c r="C330">
        <v>0.13197999999999999</v>
      </c>
      <c r="D330">
        <v>0.113</v>
      </c>
      <c r="E330">
        <v>0.12791</v>
      </c>
      <c r="F330">
        <v>39109788.299999997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0.57112750263435264</v>
      </c>
      <c r="Q330">
        <f t="shared" si="970"/>
        <v>22336675.720337223</v>
      </c>
      <c r="R330">
        <f t="shared" si="971"/>
        <v>-31393704.640935507</v>
      </c>
      <c r="S330">
        <f t="shared" si="972"/>
        <v>-313.93704640935505</v>
      </c>
      <c r="T330">
        <f t="shared" si="973"/>
        <v>-0.31393704640935505</v>
      </c>
    </row>
    <row r="331" spans="1:20" x14ac:dyDescent="0.25">
      <c r="A331" s="5">
        <v>44262</v>
      </c>
      <c r="B331">
        <v>0.10725999999999999</v>
      </c>
      <c r="C331">
        <v>0.1162</v>
      </c>
      <c r="D331">
        <v>0.10473</v>
      </c>
      <c r="E331">
        <v>0.11455</v>
      </c>
      <c r="F331">
        <v>19176652.5</v>
      </c>
      <c r="G331">
        <v>0</v>
      </c>
      <c r="L331" t="s">
        <v>7</v>
      </c>
      <c r="M331" t="s">
        <v>8</v>
      </c>
      <c r="N331" t="s">
        <v>7</v>
      </c>
      <c r="P331">
        <f t="shared" si="969"/>
        <v>0.71229293809938976</v>
      </c>
      <c r="Q331">
        <f t="shared" si="970"/>
        <v>13659394.152136007</v>
      </c>
      <c r="R331">
        <f t="shared" si="971"/>
        <v>-53730380.36127273</v>
      </c>
      <c r="S331">
        <f t="shared" si="972"/>
        <v>-537.30380361272728</v>
      </c>
      <c r="T331">
        <f t="shared" si="973"/>
        <v>-0.53730380361272723</v>
      </c>
    </row>
    <row r="332" spans="1:20" x14ac:dyDescent="0.25">
      <c r="A332" s="5">
        <v>44261</v>
      </c>
      <c r="B332">
        <v>0.11497</v>
      </c>
      <c r="C332">
        <v>0.11988</v>
      </c>
      <c r="D332">
        <v>0.10366</v>
      </c>
      <c r="E332">
        <v>0.10725999999999999</v>
      </c>
      <c r="F332">
        <v>38557380.5</v>
      </c>
      <c r="G332">
        <v>0</v>
      </c>
      <c r="L332" t="s">
        <v>8</v>
      </c>
      <c r="M332" t="s">
        <v>8</v>
      </c>
      <c r="N332" t="s">
        <v>7</v>
      </c>
      <c r="P332">
        <f t="shared" si="969"/>
        <v>-0.55610357583230674</v>
      </c>
      <c r="Q332">
        <f t="shared" si="970"/>
        <v>-21441897.170776855</v>
      </c>
      <c r="R332">
        <f t="shared" si="971"/>
        <v>-67389774.513408735</v>
      </c>
      <c r="S332">
        <f t="shared" si="972"/>
        <v>-673.89774513408736</v>
      </c>
      <c r="T332">
        <f t="shared" si="973"/>
        <v>-0.6738977451340874</v>
      </c>
    </row>
    <row r="333" spans="1:20" x14ac:dyDescent="0.25">
      <c r="A333" s="5">
        <v>44260</v>
      </c>
      <c r="B333">
        <v>0.10591</v>
      </c>
      <c r="C333">
        <v>0.1169</v>
      </c>
      <c r="D333">
        <v>9.8000000000000004E-2</v>
      </c>
      <c r="E333">
        <v>0.11494</v>
      </c>
      <c r="F333">
        <v>35446675.899999999</v>
      </c>
      <c r="G333">
        <v>0</v>
      </c>
      <c r="L333" t="s">
        <v>8</v>
      </c>
      <c r="M333" t="s">
        <v>8</v>
      </c>
      <c r="N333" t="s">
        <v>7</v>
      </c>
      <c r="P333">
        <f t="shared" si="969"/>
        <v>0.79259259259259218</v>
      </c>
      <c r="Q333">
        <f t="shared" si="970"/>
        <v>28094772.750370353</v>
      </c>
      <c r="R333">
        <f t="shared" si="971"/>
        <v>-45947877.342631876</v>
      </c>
      <c r="S333">
        <f t="shared" si="972"/>
        <v>-459.47877342631875</v>
      </c>
      <c r="T333">
        <f t="shared" si="973"/>
        <v>-0.45947877342631877</v>
      </c>
    </row>
    <row r="334" spans="1:20" x14ac:dyDescent="0.25">
      <c r="A334" s="5">
        <v>44259</v>
      </c>
      <c r="B334">
        <v>0.10563</v>
      </c>
      <c r="C334">
        <v>0.11111</v>
      </c>
      <c r="D334">
        <v>9.5369999999999996E-2</v>
      </c>
      <c r="E334">
        <v>0.10575</v>
      </c>
      <c r="F334">
        <v>35616144.200000003</v>
      </c>
      <c r="G334">
        <v>0</v>
      </c>
      <c r="L334" t="s">
        <v>7</v>
      </c>
      <c r="M334" t="s">
        <v>8</v>
      </c>
      <c r="N334" t="s">
        <v>7</v>
      </c>
      <c r="P334">
        <f t="shared" si="969"/>
        <v>0.31893265565438345</v>
      </c>
      <c r="Q334">
        <f t="shared" si="970"/>
        <v>11359151.453875467</v>
      </c>
      <c r="R334">
        <f t="shared" si="971"/>
        <v>-74042650.09300223</v>
      </c>
      <c r="S334">
        <f t="shared" si="972"/>
        <v>-740.42650093002226</v>
      </c>
      <c r="T334">
        <f t="shared" si="973"/>
        <v>-0.74042650093002227</v>
      </c>
    </row>
    <row r="335" spans="1:20" x14ac:dyDescent="0.25">
      <c r="A335" s="5">
        <v>44258</v>
      </c>
      <c r="B335">
        <v>0.10033</v>
      </c>
      <c r="C335">
        <v>0.11058999999999999</v>
      </c>
      <c r="D335">
        <v>9.9460000000000007E-2</v>
      </c>
      <c r="E335">
        <v>0.1052</v>
      </c>
      <c r="F335">
        <v>17498817.5</v>
      </c>
      <c r="G335">
        <v>0</v>
      </c>
      <c r="L335" t="s">
        <v>7</v>
      </c>
      <c r="M335" t="s">
        <v>8</v>
      </c>
      <c r="N335" t="s">
        <v>7</v>
      </c>
      <c r="P335">
        <f t="shared" si="969"/>
        <v>3.1446540880503457E-2</v>
      </c>
      <c r="Q335">
        <f t="shared" si="970"/>
        <v>550277.27987421933</v>
      </c>
      <c r="R335">
        <f t="shared" si="971"/>
        <v>-85401801.546877697</v>
      </c>
      <c r="S335">
        <f t="shared" si="972"/>
        <v>-854.01801546877698</v>
      </c>
      <c r="T335">
        <f t="shared" si="973"/>
        <v>-0.85401801546877698</v>
      </c>
    </row>
    <row r="336" spans="1:20" x14ac:dyDescent="0.25">
      <c r="A336" s="5">
        <v>44257</v>
      </c>
      <c r="B336">
        <v>0.10564999999999999</v>
      </c>
      <c r="C336">
        <v>0.10986</v>
      </c>
      <c r="D336">
        <v>9.8169999999999993E-2</v>
      </c>
      <c r="E336">
        <v>0.10033</v>
      </c>
      <c r="F336">
        <v>18259951.800000001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-0.63045337895637155</v>
      </c>
      <c r="Q336">
        <f t="shared" si="970"/>
        <v>-11512048.311890479</v>
      </c>
      <c r="R336">
        <f t="shared" si="971"/>
        <v>-85952078.826751918</v>
      </c>
      <c r="S336">
        <f t="shared" si="972"/>
        <v>-859.52078826751915</v>
      </c>
      <c r="T336">
        <f t="shared" si="973"/>
        <v>-0.8595207882675191</v>
      </c>
    </row>
    <row r="337" spans="1:20" x14ac:dyDescent="0.25">
      <c r="A337" s="5">
        <v>44256</v>
      </c>
      <c r="B337">
        <v>0.10203</v>
      </c>
      <c r="C337">
        <v>0.10600999999999999</v>
      </c>
      <c r="D337">
        <v>0.1</v>
      </c>
      <c r="E337">
        <v>0.10564999999999999</v>
      </c>
      <c r="F337">
        <v>16766974.9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0.88019966722129783</v>
      </c>
      <c r="Q337">
        <f t="shared" si="970"/>
        <v>14758285.727287853</v>
      </c>
      <c r="R337">
        <f t="shared" si="971"/>
        <v>-74440030.514861435</v>
      </c>
      <c r="S337">
        <f t="shared" si="972"/>
        <v>-744.40030514861439</v>
      </c>
      <c r="T337">
        <f t="shared" si="973"/>
        <v>-0.74440030514861444</v>
      </c>
    </row>
    <row r="338" spans="1:20" x14ac:dyDescent="0.25">
      <c r="A338" s="5">
        <v>44255</v>
      </c>
      <c r="B338">
        <v>0.10861999999999999</v>
      </c>
      <c r="C338">
        <v>0.11025</v>
      </c>
      <c r="D338">
        <v>8.8880000000000001E-2</v>
      </c>
      <c r="E338">
        <v>0.10178</v>
      </c>
      <c r="F338">
        <v>28061191.800000001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0.20729995320542768</v>
      </c>
      <c r="Q338">
        <f t="shared" si="970"/>
        <v>5817083.7470285315</v>
      </c>
      <c r="R338">
        <f t="shared" si="971"/>
        <v>-89198316.242149293</v>
      </c>
      <c r="S338">
        <f t="shared" si="972"/>
        <v>-891.98316242149292</v>
      </c>
      <c r="T338">
        <f t="shared" si="973"/>
        <v>-0.89198316242149289</v>
      </c>
    </row>
    <row r="339" spans="1:20" x14ac:dyDescent="0.25">
      <c r="A339" s="5">
        <v>44254</v>
      </c>
      <c r="B339">
        <v>9.9690000000000001E-2</v>
      </c>
      <c r="C339">
        <v>0.14080000000000001</v>
      </c>
      <c r="D339">
        <v>9.7930000000000003E-2</v>
      </c>
      <c r="E339">
        <v>0.10906</v>
      </c>
      <c r="F339">
        <v>80565042.900000006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-0.4807557732680196</v>
      </c>
      <c r="Q339">
        <f t="shared" si="970"/>
        <v>-38732109.497760676</v>
      </c>
      <c r="R339">
        <f t="shared" si="971"/>
        <v>-95015399.989177823</v>
      </c>
      <c r="S339">
        <f t="shared" si="972"/>
        <v>-950.1539998917782</v>
      </c>
      <c r="T339">
        <f t="shared" si="973"/>
        <v>-0.95015399989177818</v>
      </c>
    </row>
    <row r="340" spans="1:20" x14ac:dyDescent="0.25">
      <c r="A340" s="5">
        <v>44253</v>
      </c>
      <c r="B340">
        <v>9.7939999999999999E-2</v>
      </c>
      <c r="C340">
        <v>0.11151999999999999</v>
      </c>
      <c r="D340">
        <v>9.5000000000000001E-2</v>
      </c>
      <c r="E340">
        <v>9.9659999999999999E-2</v>
      </c>
      <c r="F340">
        <v>23386459.899999999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-0.43583535108958843</v>
      </c>
      <c r="Q340">
        <f t="shared" si="970"/>
        <v>-10192645.96125908</v>
      </c>
      <c r="R340">
        <f t="shared" si="971"/>
        <v>-56283290.491417155</v>
      </c>
      <c r="S340">
        <f t="shared" si="972"/>
        <v>-562.83290491417154</v>
      </c>
      <c r="T340">
        <f t="shared" si="973"/>
        <v>-0.56283290491417148</v>
      </c>
    </row>
    <row r="341" spans="1:20" x14ac:dyDescent="0.25">
      <c r="A341" s="5">
        <v>44252</v>
      </c>
      <c r="B341">
        <v>0.11906</v>
      </c>
      <c r="C341">
        <v>0.127</v>
      </c>
      <c r="D341">
        <v>9.7059999999999994E-2</v>
      </c>
      <c r="E341">
        <v>9.8119999999999999E-2</v>
      </c>
      <c r="F341">
        <v>28666839.300000001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-0.92919171676686674</v>
      </c>
      <c r="Q341">
        <f t="shared" si="970"/>
        <v>-26636989.623446885</v>
      </c>
      <c r="R341">
        <f t="shared" si="971"/>
        <v>-46090644.530158073</v>
      </c>
      <c r="S341">
        <f t="shared" si="972"/>
        <v>-460.90644530158073</v>
      </c>
      <c r="T341">
        <f t="shared" si="973"/>
        <v>-0.46090644530158076</v>
      </c>
    </row>
    <row r="342" spans="1:20" x14ac:dyDescent="0.25">
      <c r="A342" s="5">
        <v>44251</v>
      </c>
      <c r="B342">
        <v>0.10833</v>
      </c>
      <c r="C342">
        <v>0.13164999999999999</v>
      </c>
      <c r="D342">
        <v>9.9909999999999999E-2</v>
      </c>
      <c r="E342">
        <v>0.11904000000000001</v>
      </c>
      <c r="F342">
        <v>36004925.600000001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0.20541902961562783</v>
      </c>
      <c r="Q342">
        <f t="shared" si="970"/>
        <v>7396096.8781348765</v>
      </c>
      <c r="R342">
        <f t="shared" si="971"/>
        <v>-19453654.906711191</v>
      </c>
      <c r="S342">
        <f t="shared" si="972"/>
        <v>-194.53654906711191</v>
      </c>
      <c r="T342">
        <f t="shared" si="973"/>
        <v>-0.1945365490671119</v>
      </c>
    </row>
    <row r="343" spans="1:20" x14ac:dyDescent="0.25">
      <c r="A343" s="5">
        <v>44250</v>
      </c>
      <c r="B343">
        <v>0.13197999999999999</v>
      </c>
      <c r="C343">
        <v>0.13231999999999999</v>
      </c>
      <c r="D343">
        <v>8.7790000000000007E-2</v>
      </c>
      <c r="E343">
        <v>0.10942</v>
      </c>
      <c r="F343">
        <v>63692863.100000001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-2.8520098809791013E-2</v>
      </c>
      <c r="Q343">
        <f t="shared" si="970"/>
        <v>-1816526.749090492</v>
      </c>
      <c r="R343">
        <f t="shared" si="971"/>
        <v>-26849751.784846067</v>
      </c>
      <c r="S343">
        <f t="shared" si="972"/>
        <v>-268.49751784846069</v>
      </c>
      <c r="T343">
        <f t="shared" si="973"/>
        <v>-0.26849751784846071</v>
      </c>
    </row>
    <row r="344" spans="1:20" x14ac:dyDescent="0.25">
      <c r="A344" s="5">
        <v>44249</v>
      </c>
      <c r="B344">
        <v>0.13406999999999999</v>
      </c>
      <c r="C344">
        <v>0.14280000000000001</v>
      </c>
      <c r="D344">
        <v>0.10695</v>
      </c>
      <c r="E344">
        <v>0.13205</v>
      </c>
      <c r="F344">
        <v>39399673.5</v>
      </c>
      <c r="G344">
        <v>0</v>
      </c>
      <c r="L344" t="s">
        <v>8</v>
      </c>
      <c r="M344" t="s">
        <v>7</v>
      </c>
      <c r="N344" t="s">
        <v>7</v>
      </c>
      <c r="P344">
        <f t="shared" si="969"/>
        <v>0.4002789400278936</v>
      </c>
      <c r="Q344">
        <f t="shared" si="970"/>
        <v>15770859.546025088</v>
      </c>
      <c r="R344">
        <f t="shared" si="971"/>
        <v>-25033225.035755575</v>
      </c>
      <c r="S344">
        <f t="shared" si="972"/>
        <v>-250.33225035755575</v>
      </c>
      <c r="T344">
        <f t="shared" si="973"/>
        <v>-0.25033225035755574</v>
      </c>
    </row>
    <row r="345" spans="1:20" x14ac:dyDescent="0.25">
      <c r="A345" s="5">
        <v>44248</v>
      </c>
      <c r="B345">
        <v>0.13003999999999999</v>
      </c>
      <c r="C345">
        <v>0.13678999999999999</v>
      </c>
      <c r="D345">
        <v>0.127</v>
      </c>
      <c r="E345">
        <v>0.13316</v>
      </c>
      <c r="F345">
        <v>18777199.199999999</v>
      </c>
      <c r="G345">
        <v>0</v>
      </c>
      <c r="L345" t="s">
        <v>8</v>
      </c>
      <c r="M345" t="s">
        <v>7</v>
      </c>
      <c r="N345" t="s">
        <v>7</v>
      </c>
      <c r="P345">
        <f t="shared" si="969"/>
        <v>0.25842696629213546</v>
      </c>
      <c r="Q345">
        <f t="shared" si="970"/>
        <v>4852534.6247191131</v>
      </c>
      <c r="R345">
        <f t="shared" si="971"/>
        <v>-40804084.581780665</v>
      </c>
      <c r="S345">
        <f t="shared" si="972"/>
        <v>-408.04084581780666</v>
      </c>
      <c r="T345">
        <f t="shared" si="973"/>
        <v>-0.40804084581780664</v>
      </c>
    </row>
    <row r="346" spans="1:20" x14ac:dyDescent="0.25">
      <c r="A346" s="5">
        <v>44247</v>
      </c>
      <c r="B346">
        <v>0.13799</v>
      </c>
      <c r="C346">
        <v>0.15375</v>
      </c>
      <c r="D346">
        <v>0.12330000000000001</v>
      </c>
      <c r="E346">
        <v>0.13039999999999999</v>
      </c>
      <c r="F346">
        <v>41150845.200000003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-0.53366174055829341</v>
      </c>
      <c r="Q346">
        <f t="shared" si="970"/>
        <v>-21960631.674876895</v>
      </c>
      <c r="R346">
        <f t="shared" si="971"/>
        <v>-45656619.206499778</v>
      </c>
      <c r="S346">
        <f t="shared" si="972"/>
        <v>-456.56619206499778</v>
      </c>
      <c r="T346">
        <f t="shared" si="973"/>
        <v>-0.45656619206499777</v>
      </c>
    </row>
    <row r="347" spans="1:20" x14ac:dyDescent="0.25">
      <c r="A347" s="5">
        <v>44246</v>
      </c>
      <c r="B347">
        <v>0.14616999999999999</v>
      </c>
      <c r="C347">
        <v>0.14871999999999999</v>
      </c>
      <c r="D347">
        <v>0.13363</v>
      </c>
      <c r="E347">
        <v>0.13721</v>
      </c>
      <c r="F347">
        <v>39377793.700000003</v>
      </c>
      <c r="G347">
        <v>0</v>
      </c>
      <c r="L347" t="s">
        <v>7</v>
      </c>
      <c r="M347" t="s">
        <v>7</v>
      </c>
      <c r="N347" t="s">
        <v>7</v>
      </c>
      <c r="P347">
        <f t="shared" si="969"/>
        <v>-0.5255135851557321</v>
      </c>
      <c r="Q347">
        <f t="shared" si="970"/>
        <v>-20693565.542809803</v>
      </c>
      <c r="R347">
        <f t="shared" si="971"/>
        <v>-23695987.531622883</v>
      </c>
      <c r="S347">
        <f t="shared" si="972"/>
        <v>-236.95987531622882</v>
      </c>
      <c r="T347">
        <f t="shared" si="973"/>
        <v>-0.23695987531622881</v>
      </c>
    </row>
    <row r="348" spans="1:20" x14ac:dyDescent="0.25">
      <c r="A348" s="5">
        <v>44245</v>
      </c>
      <c r="B348">
        <v>0.14088999999999999</v>
      </c>
      <c r="C348">
        <v>0.1585</v>
      </c>
      <c r="D348">
        <v>0.14029</v>
      </c>
      <c r="E348">
        <v>0.14674999999999999</v>
      </c>
      <c r="F348">
        <v>33791693.700000003</v>
      </c>
      <c r="G348">
        <v>0</v>
      </c>
      <c r="L348" t="s">
        <v>8</v>
      </c>
      <c r="M348" t="s">
        <v>7</v>
      </c>
      <c r="N348" t="s">
        <v>8</v>
      </c>
      <c r="P348">
        <f t="shared" si="969"/>
        <v>-0.29049972542559122</v>
      </c>
      <c r="Q348">
        <f t="shared" si="970"/>
        <v>-9816477.7415156811</v>
      </c>
      <c r="R348">
        <f t="shared" si="971"/>
        <v>-3002421.9888130799</v>
      </c>
      <c r="S348">
        <f t="shared" si="972"/>
        <v>-30.024219888130798</v>
      </c>
      <c r="T348">
        <f t="shared" si="973"/>
        <v>-3.0024219888130799E-2</v>
      </c>
    </row>
    <row r="349" spans="1:20" x14ac:dyDescent="0.25">
      <c r="A349" s="5">
        <v>44244</v>
      </c>
      <c r="B349">
        <v>0.15204000000000001</v>
      </c>
      <c r="C349">
        <v>0.16114000000000001</v>
      </c>
      <c r="D349">
        <v>0.13758999999999999</v>
      </c>
      <c r="E349">
        <v>0.14024</v>
      </c>
      <c r="F349">
        <v>55554458.100000001</v>
      </c>
      <c r="G349">
        <v>0</v>
      </c>
      <c r="L349" t="s">
        <v>7</v>
      </c>
      <c r="M349" t="s">
        <v>7</v>
      </c>
      <c r="N349" t="s">
        <v>8</v>
      </c>
      <c r="P349">
        <f t="shared" si="969"/>
        <v>-0.77494692144373578</v>
      </c>
      <c r="Q349">
        <f t="shared" si="970"/>
        <v>-43051756.277070016</v>
      </c>
      <c r="R349">
        <f t="shared" si="971"/>
        <v>6814055.7527026013</v>
      </c>
      <c r="S349">
        <f t="shared" si="972"/>
        <v>68.140557527026019</v>
      </c>
      <c r="T349">
        <f t="shared" si="973"/>
        <v>6.8140557527026024E-2</v>
      </c>
    </row>
    <row r="350" spans="1:20" x14ac:dyDescent="0.25">
      <c r="A350" s="5">
        <v>44243</v>
      </c>
      <c r="B350">
        <v>0.11536</v>
      </c>
      <c r="C350">
        <v>0.1822</v>
      </c>
      <c r="D350">
        <v>0.11</v>
      </c>
      <c r="E350">
        <v>0.15160999999999999</v>
      </c>
      <c r="F350">
        <v>227485763.59999999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0.15263157894736826</v>
      </c>
      <c r="Q350">
        <f t="shared" si="970"/>
        <v>34721511.286315754</v>
      </c>
      <c r="R350">
        <f t="shared" si="971"/>
        <v>49865812.029772617</v>
      </c>
      <c r="S350">
        <f t="shared" si="972"/>
        <v>498.65812029772616</v>
      </c>
      <c r="T350">
        <f t="shared" si="973"/>
        <v>0.49865812029772616</v>
      </c>
    </row>
    <row r="351" spans="1:20" x14ac:dyDescent="0.25">
      <c r="A351" s="5">
        <v>44242</v>
      </c>
      <c r="B351">
        <v>0.11622</v>
      </c>
      <c r="C351">
        <v>0.13122</v>
      </c>
      <c r="D351">
        <v>8.992E-2</v>
      </c>
      <c r="E351">
        <v>0.11605</v>
      </c>
      <c r="F351">
        <v>33656520.700000003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0.26537530266343817</v>
      </c>
      <c r="Q351">
        <f t="shared" si="970"/>
        <v>8931609.3673607726</v>
      </c>
      <c r="R351">
        <f t="shared" si="971"/>
        <v>15144300.743456865</v>
      </c>
      <c r="S351">
        <f t="shared" si="972"/>
        <v>151.44300743456864</v>
      </c>
      <c r="T351">
        <f t="shared" si="973"/>
        <v>0.15144300743456865</v>
      </c>
    </row>
    <row r="352" spans="1:20" x14ac:dyDescent="0.25">
      <c r="A352" s="5">
        <v>44241</v>
      </c>
      <c r="B352">
        <v>0.12901000000000001</v>
      </c>
      <c r="C352">
        <v>0.13400000000000001</v>
      </c>
      <c r="D352">
        <v>0.11405999999999999</v>
      </c>
      <c r="E352">
        <v>0.11620999999999999</v>
      </c>
      <c r="F352">
        <v>28405922.699999999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-0.78435305917753284</v>
      </c>
      <c r="Q352">
        <f t="shared" si="970"/>
        <v>-22280272.368505523</v>
      </c>
      <c r="R352">
        <f t="shared" si="971"/>
        <v>6212691.3760960922</v>
      </c>
      <c r="S352">
        <f t="shared" si="972"/>
        <v>62.126913760960925</v>
      </c>
      <c r="T352">
        <f t="shared" si="973"/>
        <v>6.2126913760960925E-2</v>
      </c>
    </row>
    <row r="353" spans="1:20" x14ac:dyDescent="0.25">
      <c r="A353" s="5">
        <v>44240</v>
      </c>
      <c r="B353">
        <v>0.13044</v>
      </c>
      <c r="C353">
        <v>0.14099999999999999</v>
      </c>
      <c r="D353">
        <v>0.11709</v>
      </c>
      <c r="E353">
        <v>0.129</v>
      </c>
      <c r="F353">
        <v>24860054.800000001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-3.7641154328723978E-3</v>
      </c>
      <c r="Q353">
        <f t="shared" si="970"/>
        <v>-93576.115934733534</v>
      </c>
      <c r="R353">
        <f t="shared" si="971"/>
        <v>28492963.744601615</v>
      </c>
      <c r="S353">
        <f t="shared" si="972"/>
        <v>284.92963744601616</v>
      </c>
      <c r="T353">
        <f t="shared" si="973"/>
        <v>0.28492963744601618</v>
      </c>
    </row>
    <row r="354" spans="1:20" x14ac:dyDescent="0.25">
      <c r="A354" s="5">
        <v>44239</v>
      </c>
      <c r="B354">
        <v>0.12292</v>
      </c>
      <c r="C354">
        <v>0.14001</v>
      </c>
      <c r="D354">
        <v>0.12182999999999999</v>
      </c>
      <c r="E354">
        <v>0.13047</v>
      </c>
      <c r="F354">
        <v>28039270.800000001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-4.9504950495048626E-2</v>
      </c>
      <c r="Q354">
        <f t="shared" si="970"/>
        <v>-1388082.7128712626</v>
      </c>
      <c r="R354">
        <f t="shared" si="971"/>
        <v>28586539.860536348</v>
      </c>
      <c r="S354">
        <f t="shared" si="972"/>
        <v>285.86539860536345</v>
      </c>
      <c r="T354">
        <f t="shared" si="973"/>
        <v>0.28586539860536347</v>
      </c>
    </row>
    <row r="355" spans="1:20" x14ac:dyDescent="0.25">
      <c r="A355" s="5">
        <v>44238</v>
      </c>
      <c r="B355">
        <v>0.10815</v>
      </c>
      <c r="C355">
        <v>0.12612000000000001</v>
      </c>
      <c r="D355">
        <v>0.104</v>
      </c>
      <c r="E355">
        <v>0.12307999999999999</v>
      </c>
      <c r="F355">
        <v>30604245.100000001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0.72513562386979991</v>
      </c>
      <c r="Q355">
        <f t="shared" si="970"/>
        <v>22192228.363652769</v>
      </c>
      <c r="R355">
        <f t="shared" si="971"/>
        <v>29974622.573407609</v>
      </c>
      <c r="S355">
        <f t="shared" si="972"/>
        <v>299.74622573407606</v>
      </c>
      <c r="T355">
        <f t="shared" si="973"/>
        <v>0.29974622573407605</v>
      </c>
    </row>
    <row r="356" spans="1:20" x14ac:dyDescent="0.25">
      <c r="A356" s="5">
        <v>44237</v>
      </c>
      <c r="B356">
        <v>0.10059</v>
      </c>
      <c r="C356">
        <v>0.10999</v>
      </c>
      <c r="D356">
        <v>8.5019999999999998E-2</v>
      </c>
      <c r="E356">
        <v>0.10813</v>
      </c>
      <c r="F356">
        <v>40408044.100000001</v>
      </c>
      <c r="G356">
        <v>0</v>
      </c>
      <c r="L356" t="s">
        <v>8</v>
      </c>
      <c r="M356" t="s">
        <v>7</v>
      </c>
      <c r="N356" t="s">
        <v>8</v>
      </c>
      <c r="P356">
        <f t="shared" si="969"/>
        <v>0.85102122547056469</v>
      </c>
      <c r="Q356">
        <f t="shared" si="970"/>
        <v>34388103.208850622</v>
      </c>
      <c r="R356">
        <f t="shared" si="971"/>
        <v>7782394.2097548395</v>
      </c>
      <c r="S356">
        <f t="shared" si="972"/>
        <v>77.823942097548397</v>
      </c>
      <c r="T356">
        <f t="shared" si="973"/>
        <v>7.7823942097548393E-2</v>
      </c>
    </row>
    <row r="357" spans="1:20" x14ac:dyDescent="0.25">
      <c r="A357" s="5">
        <v>44236</v>
      </c>
      <c r="B357">
        <v>8.9760000000000006E-2</v>
      </c>
      <c r="C357">
        <v>0.107</v>
      </c>
      <c r="D357">
        <v>8.8349999999999998E-2</v>
      </c>
      <c r="E357">
        <v>0.10059999999999999</v>
      </c>
      <c r="F357">
        <v>30750286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0.31367292225201043</v>
      </c>
      <c r="Q357">
        <f t="shared" si="970"/>
        <v>9645532.069705084</v>
      </c>
      <c r="R357">
        <f t="shared" si="971"/>
        <v>-26605708.999095783</v>
      </c>
      <c r="S357">
        <f t="shared" si="972"/>
        <v>-266.05708999095782</v>
      </c>
      <c r="T357">
        <f t="shared" si="973"/>
        <v>-0.26605708999095784</v>
      </c>
    </row>
    <row r="358" spans="1:20" x14ac:dyDescent="0.25">
      <c r="A358" s="5">
        <v>44235</v>
      </c>
      <c r="B358">
        <v>8.8480000000000003E-2</v>
      </c>
      <c r="C358">
        <v>9.5500000000000002E-2</v>
      </c>
      <c r="D358">
        <v>8.4330000000000002E-2</v>
      </c>
      <c r="E358">
        <v>9.0149999999999994E-2</v>
      </c>
      <c r="F358">
        <v>26968464.5</v>
      </c>
      <c r="G358">
        <v>0</v>
      </c>
      <c r="L358" t="s">
        <v>8</v>
      </c>
      <c r="M358" t="s">
        <v>7</v>
      </c>
      <c r="N358" t="s">
        <v>8</v>
      </c>
      <c r="P358">
        <f t="shared" si="969"/>
        <v>4.2076991942702271E-2</v>
      </c>
      <c r="Q358">
        <f t="shared" si="970"/>
        <v>1134751.8634735523</v>
      </c>
      <c r="R358">
        <f t="shared" si="971"/>
        <v>-36251241.068800867</v>
      </c>
      <c r="S358">
        <f t="shared" si="972"/>
        <v>-362.51241068800869</v>
      </c>
      <c r="T358">
        <f t="shared" si="973"/>
        <v>-0.36251241068800871</v>
      </c>
    </row>
    <row r="359" spans="1:20" x14ac:dyDescent="0.25">
      <c r="A359" s="5">
        <v>44234</v>
      </c>
      <c r="B359">
        <v>8.9450000000000002E-2</v>
      </c>
      <c r="C359">
        <v>9.5500000000000002E-2</v>
      </c>
      <c r="D359">
        <v>7.9289999999999999E-2</v>
      </c>
      <c r="E359">
        <v>8.8489999999999999E-2</v>
      </c>
      <c r="F359">
        <v>45115503.5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0.13510178901912381</v>
      </c>
      <c r="Q359">
        <f t="shared" si="970"/>
        <v>6095185.2353485422</v>
      </c>
      <c r="R359">
        <f t="shared" si="971"/>
        <v>-37385992.932274416</v>
      </c>
      <c r="S359">
        <f t="shared" si="972"/>
        <v>-373.85992932274416</v>
      </c>
      <c r="T359">
        <f t="shared" si="973"/>
        <v>-0.37385992932274414</v>
      </c>
    </row>
    <row r="360" spans="1:20" x14ac:dyDescent="0.25">
      <c r="A360" s="5">
        <v>44233</v>
      </c>
      <c r="B360">
        <v>8.8230000000000003E-2</v>
      </c>
      <c r="C360">
        <v>9.8360000000000003E-2</v>
      </c>
      <c r="D360">
        <v>8.133E-2</v>
      </c>
      <c r="E360">
        <v>8.9440000000000006E-2</v>
      </c>
      <c r="F360">
        <v>38021070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-4.756312389900124E-2</v>
      </c>
      <c r="Q360">
        <f t="shared" si="970"/>
        <v>-1808400.8631825992</v>
      </c>
      <c r="R360">
        <f t="shared" si="971"/>
        <v>-43481178.167622961</v>
      </c>
      <c r="S360">
        <f t="shared" si="972"/>
        <v>-434.8117816762296</v>
      </c>
      <c r="T360">
        <f t="shared" si="973"/>
        <v>-0.43481178167622958</v>
      </c>
    </row>
    <row r="361" spans="1:20" x14ac:dyDescent="0.25">
      <c r="A361" s="5">
        <v>44232</v>
      </c>
      <c r="B361">
        <v>7.4999999999999997E-2</v>
      </c>
      <c r="C361">
        <v>9.3329999999999996E-2</v>
      </c>
      <c r="D361">
        <v>7.4510000000000007E-2</v>
      </c>
      <c r="E361">
        <v>8.8599999999999998E-2</v>
      </c>
      <c r="F361">
        <v>44769099.200000003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0.49734325185972361</v>
      </c>
      <c r="Q361">
        <f t="shared" si="970"/>
        <v>22265609.378958553</v>
      </c>
      <c r="R361">
        <f t="shared" si="971"/>
        <v>-41672777.304440364</v>
      </c>
      <c r="S361">
        <f t="shared" si="972"/>
        <v>-416.72777304440365</v>
      </c>
      <c r="T361">
        <f t="shared" si="973"/>
        <v>-0.41672777304440367</v>
      </c>
    </row>
    <row r="362" spans="1:20" x14ac:dyDescent="0.25">
      <c r="A362" s="5">
        <v>44231</v>
      </c>
      <c r="B362">
        <v>7.3020000000000002E-2</v>
      </c>
      <c r="C362">
        <v>7.5700000000000003E-2</v>
      </c>
      <c r="D362">
        <v>6.7580000000000001E-2</v>
      </c>
      <c r="E362">
        <v>7.4999999999999997E-2</v>
      </c>
      <c r="F362">
        <v>20605168.5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0.82758620689655027</v>
      </c>
      <c r="Q362">
        <f t="shared" si="970"/>
        <v>17052553.24137928</v>
      </c>
      <c r="R362">
        <f t="shared" si="971"/>
        <v>-63938386.683398917</v>
      </c>
      <c r="S362">
        <f t="shared" si="972"/>
        <v>-639.38386683398915</v>
      </c>
      <c r="T362">
        <f t="shared" si="973"/>
        <v>-0.63938386683398918</v>
      </c>
    </row>
    <row r="363" spans="1:20" x14ac:dyDescent="0.25">
      <c r="A363" s="5">
        <v>44230</v>
      </c>
      <c r="B363">
        <v>6.7000000000000004E-2</v>
      </c>
      <c r="C363">
        <v>7.324E-2</v>
      </c>
      <c r="D363">
        <v>6.5460000000000004E-2</v>
      </c>
      <c r="E363">
        <v>7.3230000000000003E-2</v>
      </c>
      <c r="F363">
        <v>15695952.4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0.99742930591259737</v>
      </c>
      <c r="Q363">
        <f t="shared" si="970"/>
        <v>15655602.907969167</v>
      </c>
      <c r="R363">
        <f t="shared" si="971"/>
        <v>-80990939.924778193</v>
      </c>
      <c r="S363">
        <f t="shared" si="972"/>
        <v>-809.90939924778195</v>
      </c>
      <c r="T363">
        <f t="shared" si="973"/>
        <v>-0.80990939924778194</v>
      </c>
    </row>
    <row r="364" spans="1:20" x14ac:dyDescent="0.25">
      <c r="A364" s="5">
        <v>44229</v>
      </c>
      <c r="B364">
        <v>6.5329999999999999E-2</v>
      </c>
      <c r="C364">
        <v>7.0199999999999999E-2</v>
      </c>
      <c r="D364">
        <v>6.4479999999999996E-2</v>
      </c>
      <c r="E364">
        <v>6.7040000000000002E-2</v>
      </c>
      <c r="F364">
        <v>19868065.699999999</v>
      </c>
      <c r="G364">
        <v>0</v>
      </c>
      <c r="L364" t="s">
        <v>8</v>
      </c>
      <c r="M364" t="s">
        <v>7</v>
      </c>
      <c r="N364" t="s">
        <v>8</v>
      </c>
      <c r="P364">
        <f t="shared" si="969"/>
        <v>-0.10489510489510299</v>
      </c>
      <c r="Q364">
        <f t="shared" si="970"/>
        <v>-2084062.8356642979</v>
      </c>
      <c r="R364">
        <f t="shared" si="971"/>
        <v>-96646542.832747355</v>
      </c>
      <c r="S364">
        <f t="shared" si="972"/>
        <v>-966.46542832747355</v>
      </c>
      <c r="T364">
        <f t="shared" si="973"/>
        <v>-0.96646542832747351</v>
      </c>
    </row>
    <row r="365" spans="1:20" x14ac:dyDescent="0.25">
      <c r="A365" s="5">
        <v>44228</v>
      </c>
      <c r="B365">
        <v>6.4509999999999998E-2</v>
      </c>
      <c r="C365">
        <v>6.7540000000000003E-2</v>
      </c>
      <c r="D365">
        <v>6.0199999999999997E-2</v>
      </c>
      <c r="E365">
        <v>6.5329999999999999E-2</v>
      </c>
      <c r="F365">
        <v>19544497</v>
      </c>
      <c r="G365">
        <v>0</v>
      </c>
      <c r="L365" t="s">
        <v>8</v>
      </c>
      <c r="M365" t="s">
        <v>7</v>
      </c>
      <c r="N365" t="s">
        <v>8</v>
      </c>
      <c r="P365">
        <f t="shared" si="969"/>
        <v>0.39782016348773797</v>
      </c>
      <c r="Q365">
        <f t="shared" si="970"/>
        <v>7775194.9918256039</v>
      </c>
      <c r="R365">
        <f t="shared" si="971"/>
        <v>-94562479.997083053</v>
      </c>
      <c r="S365">
        <f t="shared" si="972"/>
        <v>-945.62479997083051</v>
      </c>
      <c r="T365">
        <f t="shared" si="973"/>
        <v>-0.94562479997083049</v>
      </c>
    </row>
    <row r="366" spans="1:20" x14ac:dyDescent="0.25">
      <c r="A366" s="5">
        <v>44227</v>
      </c>
      <c r="B366">
        <v>6.2740000000000004E-2</v>
      </c>
      <c r="C366">
        <v>6.8519999999999998E-2</v>
      </c>
      <c r="D366">
        <v>6.0100000000000001E-2</v>
      </c>
      <c r="E366">
        <v>6.4909999999999995E-2</v>
      </c>
      <c r="F366">
        <v>15892908.699999999</v>
      </c>
      <c r="G366">
        <v>0</v>
      </c>
      <c r="L366" t="s">
        <v>7</v>
      </c>
      <c r="M366" t="s">
        <v>7</v>
      </c>
      <c r="N366" t="s">
        <v>8</v>
      </c>
      <c r="P366">
        <f t="shared" si="969"/>
        <v>0.14251781472684005</v>
      </c>
      <c r="Q366">
        <f t="shared" si="970"/>
        <v>2265022.6175771845</v>
      </c>
      <c r="R366">
        <f t="shared" si="971"/>
        <v>-102337674.98890866</v>
      </c>
      <c r="S366">
        <f t="shared" si="972"/>
        <v>-1023.3767498890867</v>
      </c>
      <c r="T366">
        <f t="shared" si="973"/>
        <v>-1.0233767498890867</v>
      </c>
    </row>
    <row r="367" spans="1:20" x14ac:dyDescent="0.25">
      <c r="A367" s="5">
        <v>44226</v>
      </c>
      <c r="B367">
        <v>6.3939999999999997E-2</v>
      </c>
      <c r="C367">
        <v>6.5000000000000002E-2</v>
      </c>
      <c r="D367">
        <v>6.1539999999999997E-2</v>
      </c>
      <c r="E367">
        <v>6.2740000000000004E-2</v>
      </c>
      <c r="F367">
        <v>12894030.5</v>
      </c>
      <c r="G367">
        <v>0</v>
      </c>
      <c r="L367" t="s">
        <v>7</v>
      </c>
      <c r="M367" t="s">
        <v>7</v>
      </c>
      <c r="N367" t="s">
        <v>8</v>
      </c>
      <c r="P367">
        <f t="shared" si="969"/>
        <v>-0.3063583815028873</v>
      </c>
      <c r="Q367">
        <f t="shared" si="970"/>
        <v>-3950194.3150288649</v>
      </c>
      <c r="R367">
        <f t="shared" si="971"/>
        <v>-104602697.60648584</v>
      </c>
      <c r="S367">
        <f t="shared" si="972"/>
        <v>-1046.0269760648584</v>
      </c>
      <c r="T367">
        <f t="shared" si="973"/>
        <v>-1.0460269760648584</v>
      </c>
    </row>
    <row r="368" spans="1:20" x14ac:dyDescent="0.25">
      <c r="A368" s="5">
        <v>44225</v>
      </c>
      <c r="B368">
        <v>6.4960000000000004E-2</v>
      </c>
      <c r="C368">
        <v>6.7299999999999999E-2</v>
      </c>
      <c r="D368">
        <v>6.2E-2</v>
      </c>
      <c r="E368">
        <v>6.3930000000000001E-2</v>
      </c>
      <c r="F368">
        <v>21559507.899999999</v>
      </c>
      <c r="G368">
        <v>0</v>
      </c>
      <c r="L368" t="s">
        <v>7</v>
      </c>
      <c r="M368" t="s">
        <v>8</v>
      </c>
      <c r="N368" t="s">
        <v>8</v>
      </c>
      <c r="P368">
        <f t="shared" si="969"/>
        <v>-0.27169811320754661</v>
      </c>
      <c r="Q368">
        <f t="shared" si="970"/>
        <v>-5857677.6181131955</v>
      </c>
      <c r="R368">
        <f t="shared" si="971"/>
        <v>-100652503.29145698</v>
      </c>
      <c r="S368">
        <f t="shared" si="972"/>
        <v>-1006.5250329145698</v>
      </c>
      <c r="T368">
        <f t="shared" si="973"/>
        <v>-1.0065250329145699</v>
      </c>
    </row>
    <row r="369" spans="1:20" x14ac:dyDescent="0.25">
      <c r="A369" s="5">
        <v>44224</v>
      </c>
      <c r="B369">
        <v>6.3750000000000001E-2</v>
      </c>
      <c r="C369">
        <v>7.1870000000000003E-2</v>
      </c>
      <c r="D369">
        <v>6.2890000000000001E-2</v>
      </c>
      <c r="E369">
        <v>6.4960000000000004E-2</v>
      </c>
      <c r="F369">
        <v>23839326.399999999</v>
      </c>
      <c r="G369">
        <v>0</v>
      </c>
      <c r="L369" t="s">
        <v>7</v>
      </c>
      <c r="M369" t="s">
        <v>8</v>
      </c>
      <c r="N369" t="s">
        <v>8</v>
      </c>
      <c r="P369">
        <f t="shared" si="969"/>
        <v>-0.53897550111358528</v>
      </c>
      <c r="Q369">
        <f t="shared" si="970"/>
        <v>-12848812.892650323</v>
      </c>
      <c r="R369">
        <f t="shared" si="971"/>
        <v>-94794825.673343793</v>
      </c>
      <c r="S369">
        <f t="shared" si="972"/>
        <v>-947.94825673343792</v>
      </c>
      <c r="T369">
        <f t="shared" si="973"/>
        <v>-0.94794825673343797</v>
      </c>
    </row>
    <row r="370" spans="1:20" x14ac:dyDescent="0.25">
      <c r="A370" s="5">
        <v>44223</v>
      </c>
      <c r="B370">
        <v>6.4600000000000005E-2</v>
      </c>
      <c r="C370">
        <v>7.4440000000000006E-2</v>
      </c>
      <c r="D370">
        <v>6.0499999999999998E-2</v>
      </c>
      <c r="E370">
        <v>6.3829999999999998E-2</v>
      </c>
      <c r="F370">
        <v>52610022.799999997</v>
      </c>
      <c r="G370">
        <v>0</v>
      </c>
      <c r="L370" t="s">
        <v>8</v>
      </c>
      <c r="M370" t="s">
        <v>8</v>
      </c>
      <c r="N370" t="s">
        <v>8</v>
      </c>
      <c r="P370">
        <f t="shared" si="969"/>
        <v>-0.52223816355810648</v>
      </c>
      <c r="Q370">
        <f t="shared" si="970"/>
        <v>-27474961.691822108</v>
      </c>
      <c r="R370">
        <f t="shared" si="971"/>
        <v>-81946012.780693471</v>
      </c>
      <c r="S370">
        <f t="shared" si="972"/>
        <v>-819.46012780693468</v>
      </c>
      <c r="T370">
        <f t="shared" si="973"/>
        <v>-0.81946012780693467</v>
      </c>
    </row>
    <row r="371" spans="1:20" x14ac:dyDescent="0.25">
      <c r="A371" s="5">
        <v>44222</v>
      </c>
      <c r="B371">
        <v>6.5110000000000001E-2</v>
      </c>
      <c r="C371">
        <v>6.8900000000000003E-2</v>
      </c>
      <c r="D371">
        <v>5.851E-2</v>
      </c>
      <c r="E371">
        <v>6.4600000000000005E-2</v>
      </c>
      <c r="F371">
        <v>20294448.199999999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0.17228103946102083</v>
      </c>
      <c r="Q371">
        <f t="shared" si="970"/>
        <v>3496348.6311838431</v>
      </c>
      <c r="R371">
        <f t="shared" si="971"/>
        <v>-54471051.088871367</v>
      </c>
      <c r="S371">
        <f t="shared" si="972"/>
        <v>-544.71051088871366</v>
      </c>
      <c r="T371">
        <f t="shared" si="973"/>
        <v>-0.54471051088871369</v>
      </c>
    </row>
    <row r="372" spans="1:20" x14ac:dyDescent="0.25">
      <c r="A372" s="5">
        <v>44221</v>
      </c>
      <c r="B372">
        <v>6.3719999999999999E-2</v>
      </c>
      <c r="C372">
        <v>6.9150000000000003E-2</v>
      </c>
      <c r="D372">
        <v>6.191E-2</v>
      </c>
      <c r="E372">
        <v>6.5110000000000001E-2</v>
      </c>
      <c r="F372">
        <v>44371264.899999999</v>
      </c>
      <c r="G372">
        <v>0</v>
      </c>
      <c r="L372" t="s">
        <v>8</v>
      </c>
      <c r="M372" t="s">
        <v>7</v>
      </c>
      <c r="N372" t="s">
        <v>8</v>
      </c>
      <c r="P372">
        <f t="shared" si="969"/>
        <v>-0.11602209944751382</v>
      </c>
      <c r="Q372">
        <f t="shared" si="970"/>
        <v>-5148047.3088397793</v>
      </c>
      <c r="R372">
        <f t="shared" si="971"/>
        <v>-57967399.720055208</v>
      </c>
      <c r="S372">
        <f t="shared" si="972"/>
        <v>-579.67399720055209</v>
      </c>
      <c r="T372">
        <f t="shared" si="973"/>
        <v>-0.57967399720055213</v>
      </c>
    </row>
    <row r="373" spans="1:20" x14ac:dyDescent="0.25">
      <c r="A373" s="5">
        <v>44220</v>
      </c>
      <c r="B373">
        <v>6.6869999999999999E-2</v>
      </c>
      <c r="C373">
        <v>7.0599999999999996E-2</v>
      </c>
      <c r="D373">
        <v>6.1600000000000002E-2</v>
      </c>
      <c r="E373">
        <v>6.3719999999999999E-2</v>
      </c>
      <c r="F373">
        <v>15387022</v>
      </c>
      <c r="G373">
        <v>0</v>
      </c>
      <c r="L373" t="s">
        <v>7</v>
      </c>
      <c r="M373" t="s">
        <v>7</v>
      </c>
      <c r="N373" t="s">
        <v>8</v>
      </c>
      <c r="P373">
        <f t="shared" si="969"/>
        <v>-0.5288888888888893</v>
      </c>
      <c r="Q373">
        <f t="shared" si="970"/>
        <v>-8138024.9688888956</v>
      </c>
      <c r="R373">
        <f t="shared" si="971"/>
        <v>-52819352.411215432</v>
      </c>
      <c r="S373">
        <f t="shared" si="972"/>
        <v>-528.19352411215436</v>
      </c>
      <c r="T373">
        <f t="shared" si="973"/>
        <v>-0.52819352411215437</v>
      </c>
    </row>
    <row r="374" spans="1:20" x14ac:dyDescent="0.25">
      <c r="A374" s="5">
        <v>44219</v>
      </c>
      <c r="B374">
        <v>6.8870000000000001E-2</v>
      </c>
      <c r="C374">
        <v>7.417E-2</v>
      </c>
      <c r="D374">
        <v>6.3070000000000001E-2</v>
      </c>
      <c r="E374">
        <v>6.6979999999999998E-2</v>
      </c>
      <c r="F374">
        <v>22351095.899999999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-0.29549549549549597</v>
      </c>
      <c r="Q374">
        <f t="shared" si="970"/>
        <v>-6604648.1578378482</v>
      </c>
      <c r="R374">
        <f t="shared" si="971"/>
        <v>-44681327.442326538</v>
      </c>
      <c r="S374">
        <f t="shared" si="972"/>
        <v>-446.8132744232654</v>
      </c>
      <c r="T374">
        <f t="shared" si="973"/>
        <v>-0.44681327442326541</v>
      </c>
    </row>
    <row r="375" spans="1:20" x14ac:dyDescent="0.25">
      <c r="A375" s="5">
        <v>44218</v>
      </c>
      <c r="B375">
        <v>5.8180000000000003E-2</v>
      </c>
      <c r="C375">
        <v>7.2590000000000002E-2</v>
      </c>
      <c r="D375">
        <v>5.1979999999999998E-2</v>
      </c>
      <c r="E375">
        <v>6.8390000000000006E-2</v>
      </c>
      <c r="F375">
        <v>35922402.200000003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0.59243085880640523</v>
      </c>
      <c r="Q375">
        <f t="shared" si="970"/>
        <v>21281539.585735101</v>
      </c>
      <c r="R375">
        <f t="shared" si="971"/>
        <v>-38076679.284488693</v>
      </c>
      <c r="S375">
        <f t="shared" si="972"/>
        <v>-380.76679284488694</v>
      </c>
      <c r="T375">
        <f t="shared" si="973"/>
        <v>-0.38076679284488696</v>
      </c>
    </row>
    <row r="376" spans="1:20" x14ac:dyDescent="0.25">
      <c r="A376" s="5">
        <v>44217</v>
      </c>
      <c r="B376">
        <v>6.7019999999999996E-2</v>
      </c>
      <c r="C376">
        <v>7.2999999999999995E-2</v>
      </c>
      <c r="D376">
        <v>5.7360000000000001E-2</v>
      </c>
      <c r="E376">
        <v>5.8229999999999997E-2</v>
      </c>
      <c r="F376">
        <v>37069458.5</v>
      </c>
      <c r="G376">
        <v>0</v>
      </c>
      <c r="L376" t="s">
        <v>7</v>
      </c>
      <c r="M376" t="s">
        <v>8</v>
      </c>
      <c r="N376" t="s">
        <v>8</v>
      </c>
      <c r="P376">
        <f t="shared" si="969"/>
        <v>-0.88874680306905418</v>
      </c>
      <c r="Q376">
        <f t="shared" si="970"/>
        <v>-32945362.733375978</v>
      </c>
      <c r="R376">
        <f t="shared" si="971"/>
        <v>-59358218.87022379</v>
      </c>
      <c r="S376">
        <f t="shared" si="972"/>
        <v>-593.58218870223789</v>
      </c>
      <c r="T376">
        <f t="shared" si="973"/>
        <v>-0.59358218870223789</v>
      </c>
    </row>
    <row r="377" spans="1:20" x14ac:dyDescent="0.25">
      <c r="A377" s="5">
        <v>44216</v>
      </c>
      <c r="B377">
        <v>6.6570000000000004E-2</v>
      </c>
      <c r="C377">
        <v>7.4120000000000005E-2</v>
      </c>
      <c r="D377">
        <v>5.8299999999999998E-2</v>
      </c>
      <c r="E377">
        <v>6.7019999999999996E-2</v>
      </c>
      <c r="F377">
        <v>43872516.299999997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0.10240202275600434</v>
      </c>
      <c r="Q377">
        <f t="shared" si="970"/>
        <v>4492634.4125157706</v>
      </c>
      <c r="R377">
        <f t="shared" si="971"/>
        <v>-26412856.136847813</v>
      </c>
      <c r="S377">
        <f t="shared" si="972"/>
        <v>-264.12856136847813</v>
      </c>
      <c r="T377">
        <f t="shared" si="973"/>
        <v>-0.26412856136847812</v>
      </c>
    </row>
    <row r="378" spans="1:20" x14ac:dyDescent="0.25">
      <c r="A378" s="5">
        <v>44215</v>
      </c>
      <c r="B378">
        <v>5.4469999999999998E-2</v>
      </c>
      <c r="C378">
        <v>7.7259999999999995E-2</v>
      </c>
      <c r="D378">
        <v>5.3999999999999999E-2</v>
      </c>
      <c r="E378">
        <v>6.6229999999999997E-2</v>
      </c>
      <c r="F378">
        <v>99674424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5.1590713671539119E-2</v>
      </c>
      <c r="Q378">
        <f t="shared" si="970"/>
        <v>5142274.6689595869</v>
      </c>
      <c r="R378">
        <f t="shared" si="971"/>
        <v>-30905490.549363583</v>
      </c>
      <c r="S378">
        <f t="shared" si="972"/>
        <v>-309.05490549363583</v>
      </c>
      <c r="T378">
        <f t="shared" si="973"/>
        <v>-0.30905490549363585</v>
      </c>
    </row>
    <row r="379" spans="1:20" x14ac:dyDescent="0.25">
      <c r="A379" s="5">
        <v>44214</v>
      </c>
      <c r="B379">
        <v>5.4559999999999997E-2</v>
      </c>
      <c r="C379">
        <v>5.8369999999999998E-2</v>
      </c>
      <c r="D379">
        <v>5.0180000000000002E-2</v>
      </c>
      <c r="E379">
        <v>5.4120000000000001E-2</v>
      </c>
      <c r="F379">
        <v>27538074.199999999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-3.7851037851037599E-2</v>
      </c>
      <c r="Q379">
        <f t="shared" si="970"/>
        <v>-1042344.6888888819</v>
      </c>
      <c r="R379">
        <f t="shared" si="971"/>
        <v>-36047765.218323171</v>
      </c>
      <c r="S379">
        <f t="shared" si="972"/>
        <v>-360.47765218323173</v>
      </c>
      <c r="T379">
        <f t="shared" si="973"/>
        <v>-0.36047765218323174</v>
      </c>
    </row>
    <row r="380" spans="1:20" x14ac:dyDescent="0.25">
      <c r="A380" s="5">
        <v>44213</v>
      </c>
      <c r="B380">
        <v>5.4120000000000001E-2</v>
      </c>
      <c r="C380">
        <v>5.5899999999999998E-2</v>
      </c>
      <c r="D380">
        <v>4.82E-2</v>
      </c>
      <c r="E380">
        <v>5.4710000000000002E-2</v>
      </c>
      <c r="F380">
        <v>17907012.399999999</v>
      </c>
      <c r="G380">
        <v>0</v>
      </c>
      <c r="L380" t="s">
        <v>7</v>
      </c>
      <c r="M380" t="s">
        <v>7</v>
      </c>
      <c r="N380" t="s">
        <v>8</v>
      </c>
      <c r="P380">
        <f t="shared" si="969"/>
        <v>0.69090909090909169</v>
      </c>
      <c r="Q380">
        <f t="shared" si="970"/>
        <v>12372117.658181831</v>
      </c>
      <c r="R380">
        <f t="shared" si="971"/>
        <v>-35005420.529434286</v>
      </c>
      <c r="S380">
        <f t="shared" si="972"/>
        <v>-350.05420529434286</v>
      </c>
      <c r="T380">
        <f t="shared" si="973"/>
        <v>-0.35005420529434289</v>
      </c>
    </row>
    <row r="381" spans="1:20" x14ac:dyDescent="0.25">
      <c r="A381" s="5">
        <v>44212</v>
      </c>
      <c r="B381">
        <v>5.2139999999999999E-2</v>
      </c>
      <c r="C381">
        <v>5.849E-2</v>
      </c>
      <c r="D381">
        <v>4.8500000000000001E-2</v>
      </c>
      <c r="E381">
        <v>5.4109999999999998E-2</v>
      </c>
      <c r="F381">
        <v>28113612.300000001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0.12312312312312264</v>
      </c>
      <c r="Q381">
        <f t="shared" si="970"/>
        <v>3461435.7486486351</v>
      </c>
      <c r="R381">
        <f t="shared" si="971"/>
        <v>-47377538.187616117</v>
      </c>
      <c r="S381">
        <f t="shared" si="972"/>
        <v>-473.77538187616119</v>
      </c>
      <c r="T381">
        <f t="shared" si="973"/>
        <v>-0.47377538187616119</v>
      </c>
    </row>
    <row r="382" spans="1:20" x14ac:dyDescent="0.25">
      <c r="A382" s="5">
        <v>44211</v>
      </c>
      <c r="B382">
        <v>4.3659999999999997E-2</v>
      </c>
      <c r="C382">
        <v>5.4690000000000003E-2</v>
      </c>
      <c r="D382">
        <v>4.3499999999999997E-2</v>
      </c>
      <c r="E382">
        <v>5.2380000000000003E-2</v>
      </c>
      <c r="F382">
        <v>53576276.299999997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0.58713136729222548</v>
      </c>
      <c r="Q382">
        <f t="shared" si="970"/>
        <v>31456312.358445052</v>
      </c>
      <c r="R382">
        <f t="shared" si="971"/>
        <v>-50838973.936264753</v>
      </c>
      <c r="S382">
        <f t="shared" si="972"/>
        <v>-508.38973936264756</v>
      </c>
      <c r="T382">
        <f t="shared" si="973"/>
        <v>-0.50838973936264753</v>
      </c>
    </row>
    <row r="383" spans="1:20" x14ac:dyDescent="0.25">
      <c r="A383" s="5">
        <v>44210</v>
      </c>
      <c r="B383">
        <v>4.36E-2</v>
      </c>
      <c r="C383">
        <v>4.5499999999999999E-2</v>
      </c>
      <c r="D383">
        <v>4.1529999999999997E-2</v>
      </c>
      <c r="E383">
        <v>4.3659999999999997E-2</v>
      </c>
      <c r="F383">
        <v>10631142.6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7.3047858942065114E-2</v>
      </c>
      <c r="Q383">
        <f t="shared" si="970"/>
        <v>776582.20503777929</v>
      </c>
      <c r="R383">
        <f t="shared" si="971"/>
        <v>-82295286.294709802</v>
      </c>
      <c r="S383">
        <f t="shared" si="972"/>
        <v>-822.95286294709797</v>
      </c>
      <c r="T383">
        <f t="shared" si="973"/>
        <v>-0.82295286294709802</v>
      </c>
    </row>
    <row r="384" spans="1:20" x14ac:dyDescent="0.25">
      <c r="A384" s="5">
        <v>44209</v>
      </c>
      <c r="B384">
        <v>3.8710000000000001E-2</v>
      </c>
      <c r="C384">
        <v>4.3999999999999997E-2</v>
      </c>
      <c r="D384">
        <v>3.6819999999999999E-2</v>
      </c>
      <c r="E384">
        <v>4.3430000000000003E-2</v>
      </c>
      <c r="F384">
        <v>7520376.7999999998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0.8412256267409487</v>
      </c>
      <c r="Q384">
        <f t="shared" si="970"/>
        <v>6326333.6869080905</v>
      </c>
      <c r="R384">
        <f t="shared" si="971"/>
        <v>-83071868.499747574</v>
      </c>
      <c r="S384">
        <f t="shared" si="972"/>
        <v>-830.71868499747575</v>
      </c>
      <c r="T384">
        <f t="shared" si="973"/>
        <v>-0.8307186849974757</v>
      </c>
    </row>
    <row r="385" spans="1:20" x14ac:dyDescent="0.25">
      <c r="A385" s="5">
        <v>44208</v>
      </c>
      <c r="B385">
        <v>4.0340000000000001E-2</v>
      </c>
      <c r="C385">
        <v>4.2090000000000002E-2</v>
      </c>
      <c r="D385">
        <v>3.7339999999999998E-2</v>
      </c>
      <c r="E385">
        <v>3.8730000000000001E-2</v>
      </c>
      <c r="F385">
        <v>7991199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-0.41473684210526268</v>
      </c>
      <c r="Q385">
        <f t="shared" si="970"/>
        <v>-3314244.6378947329</v>
      </c>
      <c r="R385">
        <f t="shared" si="971"/>
        <v>-89398202.18665567</v>
      </c>
      <c r="S385">
        <f t="shared" si="972"/>
        <v>-893.98202186655669</v>
      </c>
      <c r="T385">
        <f t="shared" si="973"/>
        <v>-0.89398202186655673</v>
      </c>
    </row>
    <row r="386" spans="1:20" x14ac:dyDescent="0.25">
      <c r="A386" s="5">
        <v>44207</v>
      </c>
      <c r="B386">
        <v>4.7699999999999999E-2</v>
      </c>
      <c r="C386">
        <v>4.7940000000000003E-2</v>
      </c>
      <c r="D386">
        <v>3.4540000000000001E-2</v>
      </c>
      <c r="E386">
        <v>4.0090000000000001E-2</v>
      </c>
      <c r="F386">
        <v>20591536.399999999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-0.17164179104477634</v>
      </c>
      <c r="Q386">
        <f t="shared" si="970"/>
        <v>-3534368.1880597058</v>
      </c>
      <c r="R386">
        <f t="shared" si="971"/>
        <v>-86083957.548760936</v>
      </c>
      <c r="S386">
        <f t="shared" si="972"/>
        <v>-860.83957548760941</v>
      </c>
      <c r="T386">
        <f t="shared" si="973"/>
        <v>-0.86083957548760937</v>
      </c>
    </row>
    <row r="387" spans="1:20" x14ac:dyDescent="0.25">
      <c r="A387" s="5">
        <v>44206</v>
      </c>
      <c r="B387">
        <v>5.0720000000000001E-2</v>
      </c>
      <c r="C387">
        <v>5.5750000000000001E-2</v>
      </c>
      <c r="D387">
        <v>4.333E-2</v>
      </c>
      <c r="E387">
        <v>4.8070000000000002E-2</v>
      </c>
      <c r="F387">
        <v>30690173.699999999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-0.23671497584541046</v>
      </c>
      <c r="Q387">
        <f t="shared" si="970"/>
        <v>-7264823.7260869509</v>
      </c>
      <c r="R387">
        <f t="shared" si="971"/>
        <v>-82549589.360701233</v>
      </c>
      <c r="S387">
        <f t="shared" si="972"/>
        <v>-825.49589360701236</v>
      </c>
      <c r="T387">
        <f t="shared" si="973"/>
        <v>-0.82549589360701237</v>
      </c>
    </row>
    <row r="388" spans="1:20" x14ac:dyDescent="0.25">
      <c r="A388" s="5">
        <v>44205</v>
      </c>
      <c r="B388">
        <v>4.2689999999999999E-2</v>
      </c>
      <c r="C388">
        <v>5.5550000000000002E-2</v>
      </c>
      <c r="D388">
        <v>4.1500000000000002E-2</v>
      </c>
      <c r="E388">
        <v>5.0479999999999997E-2</v>
      </c>
      <c r="F388">
        <v>46111485.799999997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0.27829181494661848</v>
      </c>
      <c r="Q388">
        <f t="shared" si="970"/>
        <v>12832449.073167225</v>
      </c>
      <c r="R388">
        <f t="shared" si="971"/>
        <v>-75284765.634614289</v>
      </c>
      <c r="S388">
        <f t="shared" si="972"/>
        <v>-752.84765634614291</v>
      </c>
      <c r="T388">
        <f t="shared" si="973"/>
        <v>-0.75284765634614292</v>
      </c>
    </row>
    <row r="389" spans="1:20" x14ac:dyDescent="0.25">
      <c r="A389" s="5">
        <v>44204</v>
      </c>
      <c r="B389">
        <v>4.3319999999999997E-2</v>
      </c>
      <c r="C389">
        <v>4.41E-2</v>
      </c>
      <c r="D389">
        <v>3.9309999999999998E-2</v>
      </c>
      <c r="E389">
        <v>4.2439999999999999E-2</v>
      </c>
      <c r="F389">
        <v>9385839.4000000004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0.30688935281837126</v>
      </c>
      <c r="Q389">
        <f t="shared" si="970"/>
        <v>2880414.1791231702</v>
      </c>
      <c r="R389">
        <f t="shared" si="971"/>
        <v>-88117214.707781509</v>
      </c>
      <c r="S389">
        <f t="shared" si="972"/>
        <v>-881.17214707781511</v>
      </c>
      <c r="T389">
        <f t="shared" si="973"/>
        <v>-0.8811721470778151</v>
      </c>
    </row>
    <row r="390" spans="1:20" x14ac:dyDescent="0.25">
      <c r="A390" s="5">
        <v>44203</v>
      </c>
      <c r="B390">
        <v>4.4589999999999998E-2</v>
      </c>
      <c r="C390">
        <v>4.6120000000000001E-2</v>
      </c>
      <c r="D390">
        <v>0.04</v>
      </c>
      <c r="E390">
        <v>4.3319999999999997E-2</v>
      </c>
      <c r="F390">
        <v>16581183.300000001</v>
      </c>
      <c r="G390">
        <v>0</v>
      </c>
      <c r="L390" t="s">
        <v>7</v>
      </c>
      <c r="M390" t="s">
        <v>8</v>
      </c>
      <c r="N390" t="s">
        <v>8</v>
      </c>
      <c r="P390">
        <f t="shared" ref="P390:P453" si="974">IF(C390=D390,0,((E390-D390)-(C390-E390))/(C390-D390))</f>
        <v>8.4967320261436705E-2</v>
      </c>
      <c r="Q390">
        <f t="shared" ref="Q390:Q453" si="975">F390*P390</f>
        <v>1408858.711764686</v>
      </c>
      <c r="R390">
        <f t="shared" ref="R390:R453" si="976">R391+Q390</f>
        <v>-90997628.886904672</v>
      </c>
      <c r="S390">
        <f t="shared" ref="S390:S453" si="977">R390/100000</f>
        <v>-909.9762888690467</v>
      </c>
      <c r="T390">
        <f t="shared" ref="T390:T453" si="978">S390/1000</f>
        <v>-0.90997628886904669</v>
      </c>
    </row>
    <row r="391" spans="1:20" x14ac:dyDescent="0.25">
      <c r="A391" s="5">
        <v>44202</v>
      </c>
      <c r="B391">
        <v>3.9789999999999999E-2</v>
      </c>
      <c r="C391">
        <v>4.727E-2</v>
      </c>
      <c r="D391">
        <v>3.8859999999999999E-2</v>
      </c>
      <c r="E391">
        <v>4.4310000000000002E-2</v>
      </c>
      <c r="F391">
        <v>20224790.100000001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0.29607609988109462</v>
      </c>
      <c r="Q391">
        <f t="shared" si="975"/>
        <v>5988076.9737217743</v>
      </c>
      <c r="R391">
        <f t="shared" si="976"/>
        <v>-92406487.598669365</v>
      </c>
      <c r="S391">
        <f t="shared" si="977"/>
        <v>-924.06487598669366</v>
      </c>
      <c r="T391">
        <f t="shared" si="978"/>
        <v>-0.92406487598669362</v>
      </c>
    </row>
    <row r="392" spans="1:20" x14ac:dyDescent="0.25">
      <c r="A392" s="5">
        <v>44201</v>
      </c>
      <c r="B392">
        <v>3.8289999999999998E-2</v>
      </c>
      <c r="C392">
        <v>4.1300000000000003E-2</v>
      </c>
      <c r="D392">
        <v>3.6130000000000002E-2</v>
      </c>
      <c r="E392">
        <v>3.9699999999999999E-2</v>
      </c>
      <c r="F392">
        <v>8673799.5</v>
      </c>
      <c r="G392">
        <v>0</v>
      </c>
      <c r="L392" t="s">
        <v>7</v>
      </c>
      <c r="M392" t="s">
        <v>7</v>
      </c>
      <c r="N392" t="s">
        <v>7</v>
      </c>
      <c r="P392">
        <f t="shared" si="974"/>
        <v>0.38104448742746466</v>
      </c>
      <c r="Q392">
        <f t="shared" si="975"/>
        <v>3305103.4845260992</v>
      </c>
      <c r="R392">
        <f t="shared" si="976"/>
        <v>-98394564.572391137</v>
      </c>
      <c r="S392">
        <f t="shared" si="977"/>
        <v>-983.94564572391141</v>
      </c>
      <c r="T392">
        <f t="shared" si="978"/>
        <v>-0.98394564572391141</v>
      </c>
    </row>
    <row r="393" spans="1:20" x14ac:dyDescent="0.25">
      <c r="A393" s="5">
        <v>44200</v>
      </c>
      <c r="B393">
        <v>4.0030000000000003E-2</v>
      </c>
      <c r="C393">
        <v>4.2369999999999998E-2</v>
      </c>
      <c r="D393">
        <v>3.4419999999999999E-2</v>
      </c>
      <c r="E393">
        <v>3.8289999999999998E-2</v>
      </c>
      <c r="F393">
        <v>17361952.899999999</v>
      </c>
      <c r="G393">
        <v>0</v>
      </c>
      <c r="L393" t="s">
        <v>8</v>
      </c>
      <c r="M393" t="s">
        <v>8</v>
      </c>
      <c r="N393" t="s">
        <v>7</v>
      </c>
      <c r="P393">
        <f t="shared" si="974"/>
        <v>-2.6415094339622879E-2</v>
      </c>
      <c r="Q393">
        <f t="shared" si="975"/>
        <v>-458617.62377358897</v>
      </c>
      <c r="R393">
        <f t="shared" si="976"/>
        <v>-101699668.05691724</v>
      </c>
      <c r="S393">
        <f t="shared" si="977"/>
        <v>-1016.9966805691723</v>
      </c>
      <c r="T393">
        <f t="shared" si="978"/>
        <v>-1.0169966805691724</v>
      </c>
    </row>
    <row r="394" spans="1:20" x14ac:dyDescent="0.25">
      <c r="A394" s="5">
        <v>44199</v>
      </c>
      <c r="B394">
        <v>3.6269999999999997E-2</v>
      </c>
      <c r="C394">
        <v>4.0480000000000002E-2</v>
      </c>
      <c r="D394">
        <v>3.44E-2</v>
      </c>
      <c r="E394">
        <v>4.0030000000000003E-2</v>
      </c>
      <c r="F394">
        <v>10212512.199999999</v>
      </c>
      <c r="G394">
        <v>0</v>
      </c>
      <c r="L394" t="s">
        <v>7</v>
      </c>
      <c r="M394" t="s">
        <v>7</v>
      </c>
      <c r="N394" t="s">
        <v>7</v>
      </c>
      <c r="P394">
        <f t="shared" si="974"/>
        <v>0.85197368421052666</v>
      </c>
      <c r="Q394">
        <f t="shared" si="975"/>
        <v>8700791.6440789495</v>
      </c>
      <c r="R394">
        <f t="shared" si="976"/>
        <v>-101241050.43314365</v>
      </c>
      <c r="S394">
        <f t="shared" si="977"/>
        <v>-1012.4105043314364</v>
      </c>
      <c r="T394">
        <f t="shared" si="978"/>
        <v>-1.0124105043314364</v>
      </c>
    </row>
    <row r="395" spans="1:20" x14ac:dyDescent="0.25">
      <c r="A395" s="5">
        <v>44198</v>
      </c>
      <c r="B395">
        <v>3.9140000000000001E-2</v>
      </c>
      <c r="C395">
        <v>3.9140000000000001E-2</v>
      </c>
      <c r="D395">
        <v>3.5999999999999997E-2</v>
      </c>
      <c r="E395">
        <v>3.6269999999999997E-2</v>
      </c>
      <c r="F395">
        <v>6766183.7999999998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-0.82802547770700696</v>
      </c>
      <c r="Q395">
        <f t="shared" si="975"/>
        <v>-5602572.5732484115</v>
      </c>
      <c r="R395">
        <f t="shared" si="976"/>
        <v>-109941842.0772226</v>
      </c>
      <c r="S395">
        <f t="shared" si="977"/>
        <v>-1099.418420772226</v>
      </c>
      <c r="T395">
        <f t="shared" si="978"/>
        <v>-1.099418420772226</v>
      </c>
    </row>
    <row r="396" spans="1:20" x14ac:dyDescent="0.25">
      <c r="A396" s="5">
        <v>44197</v>
      </c>
      <c r="B396">
        <v>4.0030000000000003E-2</v>
      </c>
      <c r="C396">
        <v>4.2520000000000002E-2</v>
      </c>
      <c r="D396">
        <v>3.6999999999999998E-2</v>
      </c>
      <c r="E396">
        <v>3.9140000000000001E-2</v>
      </c>
      <c r="F396">
        <v>12955265.699999999</v>
      </c>
      <c r="G396">
        <v>0</v>
      </c>
      <c r="L396" t="s">
        <v>8</v>
      </c>
      <c r="M396" t="s">
        <v>8</v>
      </c>
      <c r="N396" t="s">
        <v>7</v>
      </c>
      <c r="P396">
        <f t="shared" si="974"/>
        <v>-0.22463768115941976</v>
      </c>
      <c r="Q396">
        <f t="shared" si="975"/>
        <v>-2910240.8456521668</v>
      </c>
      <c r="R396">
        <f t="shared" si="976"/>
        <v>-104339269.50397418</v>
      </c>
      <c r="S396">
        <f t="shared" si="977"/>
        <v>-1043.3926950397417</v>
      </c>
      <c r="T396">
        <f t="shared" si="978"/>
        <v>-1.0433926950397416</v>
      </c>
    </row>
    <row r="397" spans="1:20" x14ac:dyDescent="0.25">
      <c r="A397" s="5">
        <v>44196</v>
      </c>
      <c r="B397">
        <v>3.5929999999999997E-2</v>
      </c>
      <c r="C397">
        <v>4.2009999999999999E-2</v>
      </c>
      <c r="D397">
        <v>3.5000000000000003E-2</v>
      </c>
      <c r="E397">
        <v>4.036E-2</v>
      </c>
      <c r="F397">
        <v>19914985.600000001</v>
      </c>
      <c r="G397">
        <v>0</v>
      </c>
      <c r="L397" t="s">
        <v>8</v>
      </c>
      <c r="M397" t="s">
        <v>8</v>
      </c>
      <c r="N397" t="s">
        <v>7</v>
      </c>
      <c r="P397">
        <f t="shared" si="974"/>
        <v>0.52924393723252505</v>
      </c>
      <c r="Q397">
        <f t="shared" si="975"/>
        <v>10539885.388873041</v>
      </c>
      <c r="R397">
        <f t="shared" si="976"/>
        <v>-101429028.65832202</v>
      </c>
      <c r="S397">
        <f t="shared" si="977"/>
        <v>-1014.2902865832202</v>
      </c>
      <c r="T397">
        <f t="shared" si="978"/>
        <v>-1.0142902865832202</v>
      </c>
    </row>
    <row r="398" spans="1:20" x14ac:dyDescent="0.25">
      <c r="A398" s="5">
        <v>44195</v>
      </c>
      <c r="B398">
        <v>3.6080000000000001E-2</v>
      </c>
      <c r="C398">
        <v>3.7440000000000001E-2</v>
      </c>
      <c r="D398">
        <v>3.4509999999999999E-2</v>
      </c>
      <c r="E398">
        <v>3.567E-2</v>
      </c>
      <c r="F398">
        <v>3203206</v>
      </c>
      <c r="G398">
        <v>0</v>
      </c>
      <c r="L398" t="s">
        <v>8</v>
      </c>
      <c r="M398" t="s">
        <v>7</v>
      </c>
      <c r="N398" t="s">
        <v>7</v>
      </c>
      <c r="P398">
        <f t="shared" si="974"/>
        <v>-0.20819112627986314</v>
      </c>
      <c r="Q398">
        <f t="shared" si="975"/>
        <v>-666879.06484641531</v>
      </c>
      <c r="R398">
        <f t="shared" si="976"/>
        <v>-111968914.04719506</v>
      </c>
      <c r="S398">
        <f t="shared" si="977"/>
        <v>-1119.6891404719506</v>
      </c>
      <c r="T398">
        <f t="shared" si="978"/>
        <v>-1.1196891404719507</v>
      </c>
    </row>
    <row r="399" spans="1:20" x14ac:dyDescent="0.25">
      <c r="A399" s="5">
        <v>44194</v>
      </c>
      <c r="B399">
        <v>3.8969999999999998E-2</v>
      </c>
      <c r="C399">
        <v>4.0320000000000002E-2</v>
      </c>
      <c r="D399">
        <v>3.3500000000000002E-2</v>
      </c>
      <c r="E399">
        <v>3.6040000000000003E-2</v>
      </c>
      <c r="F399">
        <v>9159519.3000000007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-0.25513196480938394</v>
      </c>
      <c r="Q399">
        <f t="shared" si="975"/>
        <v>-2336886.1557184733</v>
      </c>
      <c r="R399">
        <f t="shared" si="976"/>
        <v>-111302034.98234865</v>
      </c>
      <c r="S399">
        <f t="shared" si="977"/>
        <v>-1113.0203498234864</v>
      </c>
      <c r="T399">
        <f t="shared" si="978"/>
        <v>-1.1130203498234865</v>
      </c>
    </row>
    <row r="400" spans="1:20" x14ac:dyDescent="0.25">
      <c r="A400" s="5">
        <v>44193</v>
      </c>
      <c r="B400">
        <v>3.7929999999999998E-2</v>
      </c>
      <c r="C400">
        <v>4.147E-2</v>
      </c>
      <c r="D400">
        <v>3.6889999999999999E-2</v>
      </c>
      <c r="E400">
        <v>3.8780000000000002E-2</v>
      </c>
      <c r="F400">
        <v>10483785.9</v>
      </c>
      <c r="G400">
        <v>0</v>
      </c>
      <c r="L400" t="s">
        <v>7</v>
      </c>
      <c r="M400" t="s">
        <v>8</v>
      </c>
      <c r="N400" t="s">
        <v>7</v>
      </c>
      <c r="P400">
        <f t="shared" si="974"/>
        <v>-0.17467248908296834</v>
      </c>
      <c r="Q400">
        <f t="shared" si="975"/>
        <v>-1831228.9781659276</v>
      </c>
      <c r="R400">
        <f t="shared" si="976"/>
        <v>-108965148.82663018</v>
      </c>
      <c r="S400">
        <f t="shared" si="977"/>
        <v>-1089.6514882663018</v>
      </c>
      <c r="T400">
        <f t="shared" si="978"/>
        <v>-1.0896514882663018</v>
      </c>
    </row>
    <row r="401" spans="1:20" x14ac:dyDescent="0.25">
      <c r="A401" s="5">
        <v>44192</v>
      </c>
      <c r="B401">
        <v>3.5409999999999997E-2</v>
      </c>
      <c r="C401">
        <v>4.199E-2</v>
      </c>
      <c r="D401">
        <v>3.4819999999999997E-2</v>
      </c>
      <c r="E401">
        <v>3.7920000000000002E-2</v>
      </c>
      <c r="F401">
        <v>19140305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-0.13528591352859015</v>
      </c>
      <c r="Q401">
        <f t="shared" si="975"/>
        <v>-2589413.6471408419</v>
      </c>
      <c r="R401">
        <f t="shared" si="976"/>
        <v>-107133919.84846425</v>
      </c>
      <c r="S401">
        <f t="shared" si="977"/>
        <v>-1071.3391984846426</v>
      </c>
      <c r="T401">
        <f t="shared" si="978"/>
        <v>-1.0713391984846425</v>
      </c>
    </row>
    <row r="402" spans="1:20" x14ac:dyDescent="0.25">
      <c r="A402" s="5">
        <v>44191</v>
      </c>
      <c r="B402">
        <v>3.687E-2</v>
      </c>
      <c r="C402">
        <v>3.703E-2</v>
      </c>
      <c r="D402">
        <v>3.4500000000000003E-2</v>
      </c>
      <c r="E402">
        <v>3.5369999999999999E-2</v>
      </c>
      <c r="F402">
        <v>3751354.4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-0.31225296442688016</v>
      </c>
      <c r="Q402">
        <f t="shared" si="975"/>
        <v>-1171371.5320158203</v>
      </c>
      <c r="R402">
        <f t="shared" si="976"/>
        <v>-104544506.2013234</v>
      </c>
      <c r="S402">
        <f t="shared" si="977"/>
        <v>-1045.4450620132341</v>
      </c>
      <c r="T402">
        <f t="shared" si="978"/>
        <v>-1.0454450620132341</v>
      </c>
    </row>
    <row r="403" spans="1:20" x14ac:dyDescent="0.25">
      <c r="A403" s="5">
        <v>44190</v>
      </c>
      <c r="B403">
        <v>3.6560000000000002E-2</v>
      </c>
      <c r="C403">
        <v>3.85E-2</v>
      </c>
      <c r="D403">
        <v>3.4720000000000001E-2</v>
      </c>
      <c r="E403">
        <v>3.6850000000000001E-2</v>
      </c>
      <c r="F403">
        <v>5322121.8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0.12698412698412737</v>
      </c>
      <c r="Q403">
        <f t="shared" si="975"/>
        <v>675824.99047619244</v>
      </c>
      <c r="R403">
        <f t="shared" si="976"/>
        <v>-103373134.66930759</v>
      </c>
      <c r="S403">
        <f t="shared" si="977"/>
        <v>-1033.7313466930759</v>
      </c>
      <c r="T403">
        <f t="shared" si="978"/>
        <v>-1.033731346693076</v>
      </c>
    </row>
    <row r="404" spans="1:20" x14ac:dyDescent="0.25">
      <c r="A404" s="5">
        <v>44189</v>
      </c>
      <c r="B404">
        <v>3.3790000000000001E-2</v>
      </c>
      <c r="C404">
        <v>3.6589999999999998E-2</v>
      </c>
      <c r="D404">
        <v>3.2730000000000002E-2</v>
      </c>
      <c r="E404">
        <v>3.6510000000000001E-2</v>
      </c>
      <c r="F404">
        <v>6438807.0999999996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0.95854922279792909</v>
      </c>
      <c r="Q404">
        <f t="shared" si="975"/>
        <v>6171913.5414507873</v>
      </c>
      <c r="R404">
        <f t="shared" si="976"/>
        <v>-104048959.65978378</v>
      </c>
      <c r="S404">
        <f t="shared" si="977"/>
        <v>-1040.4895965978378</v>
      </c>
      <c r="T404">
        <f t="shared" si="978"/>
        <v>-1.0404895965978378</v>
      </c>
    </row>
    <row r="405" spans="1:20" x14ac:dyDescent="0.25">
      <c r="A405" s="5">
        <v>44188</v>
      </c>
      <c r="B405">
        <v>4.1529999999999997E-2</v>
      </c>
      <c r="C405">
        <v>4.1680000000000002E-2</v>
      </c>
      <c r="D405">
        <v>3.1620000000000002E-2</v>
      </c>
      <c r="E405">
        <v>3.4099999999999998E-2</v>
      </c>
      <c r="F405">
        <v>12286059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-0.50695825049701859</v>
      </c>
      <c r="Q405">
        <f t="shared" si="975"/>
        <v>-6228518.9761431497</v>
      </c>
      <c r="R405">
        <f t="shared" si="976"/>
        <v>-110220873.20123456</v>
      </c>
      <c r="S405">
        <f t="shared" si="977"/>
        <v>-1102.2087320123455</v>
      </c>
      <c r="T405">
        <f t="shared" si="978"/>
        <v>-1.1022087320123455</v>
      </c>
    </row>
    <row r="406" spans="1:20" x14ac:dyDescent="0.25">
      <c r="A406" s="5">
        <v>44187</v>
      </c>
      <c r="B406">
        <v>4.1110000000000001E-2</v>
      </c>
      <c r="C406">
        <v>4.299E-2</v>
      </c>
      <c r="D406">
        <v>3.8300000000000001E-2</v>
      </c>
      <c r="E406">
        <v>4.1520000000000001E-2</v>
      </c>
      <c r="F406">
        <v>13001354.1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0.37313432835820931</v>
      </c>
      <c r="Q406">
        <f t="shared" si="975"/>
        <v>4851251.5298507512</v>
      </c>
      <c r="R406">
        <f t="shared" si="976"/>
        <v>-103992354.22509141</v>
      </c>
      <c r="S406">
        <f t="shared" si="977"/>
        <v>-1039.9235422509141</v>
      </c>
      <c r="T406">
        <f t="shared" si="978"/>
        <v>-1.0399235422509141</v>
      </c>
    </row>
    <row r="407" spans="1:20" x14ac:dyDescent="0.25">
      <c r="A407" s="5">
        <v>44186</v>
      </c>
      <c r="B407">
        <v>4.4600000000000001E-2</v>
      </c>
      <c r="C407">
        <v>4.6249999999999999E-2</v>
      </c>
      <c r="D407">
        <v>3.85E-2</v>
      </c>
      <c r="E407">
        <v>4.1119999999999997E-2</v>
      </c>
      <c r="F407">
        <v>30359981.100000001</v>
      </c>
      <c r="G407">
        <v>0</v>
      </c>
      <c r="L407" t="s">
        <v>8</v>
      </c>
      <c r="M407" t="s">
        <v>8</v>
      </c>
      <c r="N407" t="s">
        <v>7</v>
      </c>
      <c r="P407">
        <f t="shared" si="974"/>
        <v>-0.32387096774193619</v>
      </c>
      <c r="Q407">
        <f t="shared" si="975"/>
        <v>-9832716.4594838936</v>
      </c>
      <c r="R407">
        <f t="shared" si="976"/>
        <v>-108843605.75494216</v>
      </c>
      <c r="S407">
        <f t="shared" si="977"/>
        <v>-1088.4360575494215</v>
      </c>
      <c r="T407">
        <f t="shared" si="978"/>
        <v>-1.0884360575494216</v>
      </c>
    </row>
    <row r="408" spans="1:20" x14ac:dyDescent="0.25">
      <c r="A408" s="5">
        <v>44185</v>
      </c>
      <c r="B408">
        <v>5.0630000000000001E-2</v>
      </c>
      <c r="C408">
        <v>5.0630000000000001E-2</v>
      </c>
      <c r="D408">
        <v>3.8859999999999999E-2</v>
      </c>
      <c r="E408">
        <v>4.4600000000000001E-2</v>
      </c>
      <c r="F408">
        <v>168654766.69999999</v>
      </c>
      <c r="G408">
        <v>0</v>
      </c>
      <c r="L408" t="s">
        <v>7</v>
      </c>
      <c r="M408" t="s">
        <v>7</v>
      </c>
      <c r="N408" t="s">
        <v>7</v>
      </c>
      <c r="P408">
        <f t="shared" si="974"/>
        <v>-2.4638912489379654E-2</v>
      </c>
      <c r="Q408">
        <f t="shared" si="975"/>
        <v>-4155470.0376380417</v>
      </c>
      <c r="R408">
        <f t="shared" si="976"/>
        <v>-99010889.295458272</v>
      </c>
      <c r="S408">
        <f t="shared" si="977"/>
        <v>-990.10889295458276</v>
      </c>
      <c r="T408">
        <f t="shared" si="978"/>
        <v>-0.99010889295458271</v>
      </c>
    </row>
    <row r="409" spans="1:20" x14ac:dyDescent="0.25">
      <c r="A409" s="5">
        <v>44184</v>
      </c>
      <c r="B409">
        <v>5.1810000000000002E-2</v>
      </c>
      <c r="C409">
        <v>5.2600000000000001E-2</v>
      </c>
      <c r="D409">
        <v>4.999E-2</v>
      </c>
      <c r="E409">
        <v>5.0650000000000001E-2</v>
      </c>
      <c r="F409">
        <v>4891956.2</v>
      </c>
      <c r="G409">
        <v>0</v>
      </c>
      <c r="L409" t="s">
        <v>7</v>
      </c>
      <c r="M409" t="s">
        <v>7</v>
      </c>
      <c r="N409" t="s">
        <v>8</v>
      </c>
      <c r="P409">
        <f t="shared" si="974"/>
        <v>-0.49425287356321795</v>
      </c>
      <c r="Q409">
        <f t="shared" si="975"/>
        <v>-2417863.4091954003</v>
      </c>
      <c r="R409">
        <f t="shared" si="976"/>
        <v>-94855419.257820234</v>
      </c>
      <c r="S409">
        <f t="shared" si="977"/>
        <v>-948.55419257820233</v>
      </c>
      <c r="T409">
        <f t="shared" si="978"/>
        <v>-0.94855419257820228</v>
      </c>
    </row>
    <row r="410" spans="1:20" x14ac:dyDescent="0.25">
      <c r="A410" s="5">
        <v>44183</v>
      </c>
      <c r="B410">
        <v>5.1380000000000002E-2</v>
      </c>
      <c r="C410">
        <v>5.3100000000000001E-2</v>
      </c>
      <c r="D410">
        <v>4.9590000000000002E-2</v>
      </c>
      <c r="E410">
        <v>5.2060000000000002E-2</v>
      </c>
      <c r="F410">
        <v>6811090</v>
      </c>
      <c r="G410">
        <v>0</v>
      </c>
      <c r="L410" t="s">
        <v>7</v>
      </c>
      <c r="M410" t="s">
        <v>7</v>
      </c>
      <c r="N410" t="s">
        <v>8</v>
      </c>
      <c r="P410">
        <f t="shared" si="974"/>
        <v>0.40740740740740772</v>
      </c>
      <c r="Q410">
        <f t="shared" si="975"/>
        <v>2774888.5185185205</v>
      </c>
      <c r="R410">
        <f t="shared" si="976"/>
        <v>-92437555.84862484</v>
      </c>
      <c r="S410">
        <f t="shared" si="977"/>
        <v>-924.37555848624845</v>
      </c>
      <c r="T410">
        <f t="shared" si="978"/>
        <v>-0.92437555848624842</v>
      </c>
    </row>
    <row r="411" spans="1:20" x14ac:dyDescent="0.25">
      <c r="A411" s="5">
        <v>44182</v>
      </c>
      <c r="B411">
        <v>5.4579999999999997E-2</v>
      </c>
      <c r="C411">
        <v>5.602E-2</v>
      </c>
      <c r="D411">
        <v>0.05</v>
      </c>
      <c r="E411">
        <v>5.1369999999999999E-2</v>
      </c>
      <c r="F411">
        <v>14660842.199999999</v>
      </c>
      <c r="G411">
        <v>0</v>
      </c>
      <c r="L411" t="s">
        <v>7</v>
      </c>
      <c r="M411" t="s">
        <v>7</v>
      </c>
      <c r="N411" t="s">
        <v>8</v>
      </c>
      <c r="P411">
        <f t="shared" si="974"/>
        <v>-0.54485049833887156</v>
      </c>
      <c r="Q411">
        <f t="shared" si="975"/>
        <v>-7987967.1787375575</v>
      </c>
      <c r="R411">
        <f t="shared" si="976"/>
        <v>-95212444.367143363</v>
      </c>
      <c r="S411">
        <f t="shared" si="977"/>
        <v>-952.1244436714336</v>
      </c>
      <c r="T411">
        <f t="shared" si="978"/>
        <v>-0.95212444367143356</v>
      </c>
    </row>
    <row r="412" spans="1:20" x14ac:dyDescent="0.25">
      <c r="A412" s="5">
        <v>44181</v>
      </c>
      <c r="B412">
        <v>5.5559999999999998E-2</v>
      </c>
      <c r="C412">
        <v>5.62E-2</v>
      </c>
      <c r="D412">
        <v>5.1880000000000003E-2</v>
      </c>
      <c r="E412">
        <v>5.4579999999999997E-2</v>
      </c>
      <c r="F412">
        <v>5474546.2999999998</v>
      </c>
      <c r="G412">
        <v>0</v>
      </c>
      <c r="L412" t="s">
        <v>7</v>
      </c>
      <c r="M412" t="s">
        <v>7</v>
      </c>
      <c r="N412" t="s">
        <v>8</v>
      </c>
      <c r="P412">
        <f t="shared" si="974"/>
        <v>0.249999999999998</v>
      </c>
      <c r="Q412">
        <f t="shared" si="975"/>
        <v>1368636.574999989</v>
      </c>
      <c r="R412">
        <f t="shared" si="976"/>
        <v>-87224477.188405812</v>
      </c>
      <c r="S412">
        <f t="shared" si="977"/>
        <v>-872.24477188405808</v>
      </c>
      <c r="T412">
        <f t="shared" si="978"/>
        <v>-0.87224477188405813</v>
      </c>
    </row>
    <row r="413" spans="1:20" x14ac:dyDescent="0.25">
      <c r="A413" s="5">
        <v>44180</v>
      </c>
      <c r="B413">
        <v>5.5010000000000003E-2</v>
      </c>
      <c r="C413">
        <v>5.7180000000000002E-2</v>
      </c>
      <c r="D413">
        <v>5.3999999999999999E-2</v>
      </c>
      <c r="E413">
        <v>5.5559999999999998E-2</v>
      </c>
      <c r="F413">
        <v>4650645.8</v>
      </c>
      <c r="G413">
        <v>0</v>
      </c>
      <c r="L413" t="s">
        <v>8</v>
      </c>
      <c r="M413" t="s">
        <v>7</v>
      </c>
      <c r="N413" t="s">
        <v>8</v>
      </c>
      <c r="P413">
        <f t="shared" si="974"/>
        <v>-1.8867924528303288E-2</v>
      </c>
      <c r="Q413">
        <f t="shared" si="975"/>
        <v>-87748.033962270667</v>
      </c>
      <c r="R413">
        <f t="shared" si="976"/>
        <v>-88593113.7634058</v>
      </c>
      <c r="S413">
        <f t="shared" si="977"/>
        <v>-885.93113763405802</v>
      </c>
      <c r="T413">
        <f t="shared" si="978"/>
        <v>-0.88593113763405806</v>
      </c>
    </row>
    <row r="414" spans="1:20" x14ac:dyDescent="0.25">
      <c r="A414" s="5">
        <v>44179</v>
      </c>
      <c r="B414">
        <v>5.4379999999999998E-2</v>
      </c>
      <c r="C414">
        <v>5.6079999999999998E-2</v>
      </c>
      <c r="D414">
        <v>5.305E-2</v>
      </c>
      <c r="E414">
        <v>5.5019999999999999E-2</v>
      </c>
      <c r="F414">
        <v>2987226.6</v>
      </c>
      <c r="G414">
        <v>0</v>
      </c>
      <c r="L414" t="s">
        <v>8</v>
      </c>
      <c r="M414" t="s">
        <v>7</v>
      </c>
      <c r="N414" t="s">
        <v>8</v>
      </c>
      <c r="P414">
        <f t="shared" si="974"/>
        <v>0.30033003300330091</v>
      </c>
      <c r="Q414">
        <f t="shared" si="975"/>
        <v>897153.86336633842</v>
      </c>
      <c r="R414">
        <f t="shared" si="976"/>
        <v>-88505365.729443535</v>
      </c>
      <c r="S414">
        <f t="shared" si="977"/>
        <v>-885.05365729443531</v>
      </c>
      <c r="T414">
        <f t="shared" si="978"/>
        <v>-0.8850536572944353</v>
      </c>
    </row>
    <row r="415" spans="1:20" x14ac:dyDescent="0.25">
      <c r="A415" s="5">
        <v>44178</v>
      </c>
      <c r="B415">
        <v>5.3969999999999997E-2</v>
      </c>
      <c r="C415">
        <v>5.62E-2</v>
      </c>
      <c r="D415">
        <v>5.3510000000000002E-2</v>
      </c>
      <c r="E415">
        <v>5.4309999999999997E-2</v>
      </c>
      <c r="F415">
        <v>2332969</v>
      </c>
      <c r="G415">
        <v>0</v>
      </c>
      <c r="L415" t="s">
        <v>8</v>
      </c>
      <c r="M415" t="s">
        <v>7</v>
      </c>
      <c r="N415" t="s">
        <v>8</v>
      </c>
      <c r="P415">
        <f t="shared" si="974"/>
        <v>-0.40520446096654589</v>
      </c>
      <c r="Q415">
        <f t="shared" si="975"/>
        <v>-945329.44609666162</v>
      </c>
      <c r="R415">
        <f t="shared" si="976"/>
        <v>-89402519.592809871</v>
      </c>
      <c r="S415">
        <f t="shared" si="977"/>
        <v>-894.0251959280987</v>
      </c>
      <c r="T415">
        <f t="shared" si="978"/>
        <v>-0.8940251959280987</v>
      </c>
    </row>
    <row r="416" spans="1:20" x14ac:dyDescent="0.25">
      <c r="A416" s="5">
        <v>44177</v>
      </c>
      <c r="B416">
        <v>5.0909999999999997E-2</v>
      </c>
      <c r="C416">
        <v>5.6000000000000001E-2</v>
      </c>
      <c r="D416">
        <v>5.0599999999999999E-2</v>
      </c>
      <c r="E416">
        <v>5.398E-2</v>
      </c>
      <c r="F416">
        <v>3724334.2</v>
      </c>
      <c r="G416">
        <v>0</v>
      </c>
      <c r="L416" t="s">
        <v>8</v>
      </c>
      <c r="M416" t="s">
        <v>7</v>
      </c>
      <c r="N416" t="s">
        <v>8</v>
      </c>
      <c r="P416">
        <f t="shared" si="974"/>
        <v>0.25185185185185177</v>
      </c>
      <c r="Q416">
        <f t="shared" si="975"/>
        <v>937980.46518518496</v>
      </c>
      <c r="R416">
        <f t="shared" si="976"/>
        <v>-88457190.146713212</v>
      </c>
      <c r="S416">
        <f t="shared" si="977"/>
        <v>-884.57190146713208</v>
      </c>
      <c r="T416">
        <f t="shared" si="978"/>
        <v>-0.88457190146713205</v>
      </c>
    </row>
    <row r="417" spans="1:20" x14ac:dyDescent="0.25">
      <c r="A417" s="5">
        <v>44176</v>
      </c>
      <c r="B417">
        <v>5.4039999999999998E-2</v>
      </c>
      <c r="C417">
        <v>5.4039999999999998E-2</v>
      </c>
      <c r="D417">
        <v>4.9029999999999997E-2</v>
      </c>
      <c r="E417">
        <v>5.0939999999999999E-2</v>
      </c>
      <c r="F417">
        <v>3313078.8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-0.23752495009979971</v>
      </c>
      <c r="Q417">
        <f t="shared" si="975"/>
        <v>-786938.87664670427</v>
      </c>
      <c r="R417">
        <f t="shared" si="976"/>
        <v>-89395170.611898392</v>
      </c>
      <c r="S417">
        <f t="shared" si="977"/>
        <v>-893.95170611898391</v>
      </c>
      <c r="T417">
        <f t="shared" si="978"/>
        <v>-0.89395170611898389</v>
      </c>
    </row>
    <row r="418" spans="1:20" x14ac:dyDescent="0.25">
      <c r="A418" s="5">
        <v>44175</v>
      </c>
      <c r="B418">
        <v>5.5849999999999997E-2</v>
      </c>
      <c r="C418">
        <v>5.6770000000000001E-2</v>
      </c>
      <c r="D418">
        <v>5.3859999999999998E-2</v>
      </c>
      <c r="E418">
        <v>5.4339999999999999E-2</v>
      </c>
      <c r="F418">
        <v>5300938.5</v>
      </c>
      <c r="G418">
        <v>0</v>
      </c>
      <c r="L418" t="s">
        <v>8</v>
      </c>
      <c r="M418" t="s">
        <v>7</v>
      </c>
      <c r="N418" t="s">
        <v>8</v>
      </c>
      <c r="P418">
        <f t="shared" si="974"/>
        <v>-0.67010309278350466</v>
      </c>
      <c r="Q418">
        <f t="shared" si="975"/>
        <v>-3552175.283505152</v>
      </c>
      <c r="R418">
        <f t="shared" si="976"/>
        <v>-88608231.735251695</v>
      </c>
      <c r="S418">
        <f t="shared" si="977"/>
        <v>-886.08231735251695</v>
      </c>
      <c r="T418">
        <f t="shared" si="978"/>
        <v>-0.88608231735251697</v>
      </c>
    </row>
    <row r="419" spans="1:20" x14ac:dyDescent="0.25">
      <c r="A419" s="5">
        <v>44174</v>
      </c>
      <c r="B419">
        <v>5.4969999999999998E-2</v>
      </c>
      <c r="C419">
        <v>5.6500000000000002E-2</v>
      </c>
      <c r="D419">
        <v>5.1249999999999997E-2</v>
      </c>
      <c r="E419">
        <v>5.5239999999999997E-2</v>
      </c>
      <c r="F419">
        <v>5119588.5999999996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0.5199999999999988</v>
      </c>
      <c r="Q419">
        <f t="shared" si="975"/>
        <v>2662186.0719999936</v>
      </c>
      <c r="R419">
        <f t="shared" si="976"/>
        <v>-85056056.451746538</v>
      </c>
      <c r="S419">
        <f t="shared" si="977"/>
        <v>-850.56056451746542</v>
      </c>
      <c r="T419">
        <f t="shared" si="978"/>
        <v>-0.85056056451746542</v>
      </c>
    </row>
    <row r="420" spans="1:20" x14ac:dyDescent="0.25">
      <c r="A420" s="5">
        <v>44173</v>
      </c>
      <c r="B420">
        <v>5.7520000000000002E-2</v>
      </c>
      <c r="C420">
        <v>5.9659999999999998E-2</v>
      </c>
      <c r="D420">
        <v>5.3999999999999999E-2</v>
      </c>
      <c r="E420">
        <v>5.4969999999999998E-2</v>
      </c>
      <c r="F420">
        <v>3625991.1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-0.6572438162544173</v>
      </c>
      <c r="Q420">
        <f t="shared" si="975"/>
        <v>-2383160.2282685526</v>
      </c>
      <c r="R420">
        <f t="shared" si="976"/>
        <v>-87718242.523746535</v>
      </c>
      <c r="S420">
        <f t="shared" si="977"/>
        <v>-877.1824252374654</v>
      </c>
      <c r="T420">
        <f t="shared" si="978"/>
        <v>-0.87718242523746537</v>
      </c>
    </row>
    <row r="421" spans="1:20" x14ac:dyDescent="0.25">
      <c r="A421" s="5">
        <v>44172</v>
      </c>
      <c r="B421">
        <v>5.7840000000000003E-2</v>
      </c>
      <c r="C421">
        <v>6.0850000000000001E-2</v>
      </c>
      <c r="D421">
        <v>5.638E-2</v>
      </c>
      <c r="E421">
        <v>5.713E-2</v>
      </c>
      <c r="F421">
        <v>7920731.0999999996</v>
      </c>
      <c r="G421">
        <v>0</v>
      </c>
      <c r="L421" t="s">
        <v>7</v>
      </c>
      <c r="M421" t="s">
        <v>8</v>
      </c>
      <c r="N421" t="s">
        <v>8</v>
      </c>
      <c r="P421">
        <f t="shared" si="974"/>
        <v>-0.6644295302013421</v>
      </c>
      <c r="Q421">
        <f t="shared" si="975"/>
        <v>-5262767.6436241595</v>
      </c>
      <c r="R421">
        <f t="shared" si="976"/>
        <v>-85335082.295477986</v>
      </c>
      <c r="S421">
        <f t="shared" si="977"/>
        <v>-853.35082295477991</v>
      </c>
      <c r="T421">
        <f t="shared" si="978"/>
        <v>-0.85335082295477993</v>
      </c>
    </row>
    <row r="422" spans="1:20" x14ac:dyDescent="0.25">
      <c r="A422" s="5">
        <v>44171</v>
      </c>
      <c r="B422">
        <v>6.0519999999999997E-2</v>
      </c>
      <c r="C422">
        <v>6.1499999999999999E-2</v>
      </c>
      <c r="D422">
        <v>5.7459999999999997E-2</v>
      </c>
      <c r="E422">
        <v>5.7840000000000003E-2</v>
      </c>
      <c r="F422">
        <v>5276713.4000000004</v>
      </c>
      <c r="G422">
        <v>0</v>
      </c>
      <c r="L422" t="s">
        <v>7</v>
      </c>
      <c r="M422" t="s">
        <v>8</v>
      </c>
      <c r="N422" t="s">
        <v>8</v>
      </c>
      <c r="P422">
        <f t="shared" si="974"/>
        <v>-0.81188118811880938</v>
      </c>
      <c r="Q422">
        <f t="shared" si="975"/>
        <v>-4284064.3445544429</v>
      </c>
      <c r="R422">
        <f t="shared" si="976"/>
        <v>-80072314.65185383</v>
      </c>
      <c r="S422">
        <f t="shared" si="977"/>
        <v>-800.72314651853833</v>
      </c>
      <c r="T422">
        <f t="shared" si="978"/>
        <v>-0.80072314651853838</v>
      </c>
    </row>
    <row r="423" spans="1:20" x14ac:dyDescent="0.25">
      <c r="A423" s="5">
        <v>44170</v>
      </c>
      <c r="B423">
        <v>5.9479999999999998E-2</v>
      </c>
      <c r="C423">
        <v>6.0909999999999999E-2</v>
      </c>
      <c r="D423">
        <v>5.8560000000000001E-2</v>
      </c>
      <c r="E423">
        <v>6.0600000000000001E-2</v>
      </c>
      <c r="F423">
        <v>2964161.4</v>
      </c>
      <c r="G423">
        <v>0</v>
      </c>
      <c r="L423" t="s">
        <v>7</v>
      </c>
      <c r="M423" t="s">
        <v>8</v>
      </c>
      <c r="N423" t="s">
        <v>8</v>
      </c>
      <c r="P423">
        <f t="shared" si="974"/>
        <v>0.73617021276595906</v>
      </c>
      <c r="Q423">
        <f t="shared" si="975"/>
        <v>2182127.328510643</v>
      </c>
      <c r="R423">
        <f t="shared" si="976"/>
        <v>-75788250.30729939</v>
      </c>
      <c r="S423">
        <f t="shared" si="977"/>
        <v>-757.88250307299393</v>
      </c>
      <c r="T423">
        <f t="shared" si="978"/>
        <v>-0.75788250307299387</v>
      </c>
    </row>
    <row r="424" spans="1:20" x14ac:dyDescent="0.25">
      <c r="A424" s="5">
        <v>44169</v>
      </c>
      <c r="B424">
        <v>6.2770000000000006E-2</v>
      </c>
      <c r="C424">
        <v>6.5250000000000002E-2</v>
      </c>
      <c r="D424">
        <v>5.8700000000000002E-2</v>
      </c>
      <c r="E424">
        <v>5.9229999999999998E-2</v>
      </c>
      <c r="F424">
        <v>5991849.4000000004</v>
      </c>
      <c r="G424">
        <v>0</v>
      </c>
      <c r="L424" t="s">
        <v>8</v>
      </c>
      <c r="M424" t="s">
        <v>8</v>
      </c>
      <c r="N424" t="s">
        <v>8</v>
      </c>
      <c r="P424">
        <f t="shared" si="974"/>
        <v>-0.83816793893129904</v>
      </c>
      <c r="Q424">
        <f t="shared" si="975"/>
        <v>-5022176.0619847411</v>
      </c>
      <c r="R424">
        <f t="shared" si="976"/>
        <v>-77970377.635810032</v>
      </c>
      <c r="S424">
        <f t="shared" si="977"/>
        <v>-779.7037763581003</v>
      </c>
      <c r="T424">
        <f t="shared" si="978"/>
        <v>-0.77970377635810029</v>
      </c>
    </row>
    <row r="425" spans="1:20" x14ac:dyDescent="0.25">
      <c r="A425" s="5">
        <v>44168</v>
      </c>
      <c r="B425">
        <v>6.2619999999999995E-2</v>
      </c>
      <c r="C425">
        <v>6.4000000000000001E-2</v>
      </c>
      <c r="D425">
        <v>6.0310000000000002E-2</v>
      </c>
      <c r="E425">
        <v>6.2539999999999998E-2</v>
      </c>
      <c r="F425">
        <v>4199185.8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0.20867208672086535</v>
      </c>
      <c r="Q425">
        <f t="shared" si="975"/>
        <v>876252.86341462634</v>
      </c>
      <c r="R425">
        <f t="shared" si="976"/>
        <v>-72948201.573825285</v>
      </c>
      <c r="S425">
        <f t="shared" si="977"/>
        <v>-729.48201573825281</v>
      </c>
      <c r="T425">
        <f t="shared" si="978"/>
        <v>-0.72948201573825278</v>
      </c>
    </row>
    <row r="426" spans="1:20" x14ac:dyDescent="0.25">
      <c r="A426" s="5">
        <v>44167</v>
      </c>
      <c r="B426">
        <v>6.0220000000000003E-2</v>
      </c>
      <c r="C426">
        <v>6.3890000000000002E-2</v>
      </c>
      <c r="D426">
        <v>5.883E-2</v>
      </c>
      <c r="E426">
        <v>6.2429999999999999E-2</v>
      </c>
      <c r="F426">
        <v>2576992.5</v>
      </c>
      <c r="G426">
        <v>0</v>
      </c>
      <c r="L426" t="s">
        <v>7</v>
      </c>
      <c r="M426" t="s">
        <v>8</v>
      </c>
      <c r="N426" t="s">
        <v>8</v>
      </c>
      <c r="P426">
        <f t="shared" si="974"/>
        <v>0.42292490118576981</v>
      </c>
      <c r="Q426">
        <f t="shared" si="975"/>
        <v>1089874.2984189698</v>
      </c>
      <c r="R426">
        <f t="shared" si="976"/>
        <v>-73824454.437239915</v>
      </c>
      <c r="S426">
        <f t="shared" si="977"/>
        <v>-738.2445443723991</v>
      </c>
      <c r="T426">
        <f t="shared" si="978"/>
        <v>-0.73824454437239906</v>
      </c>
    </row>
    <row r="427" spans="1:20" x14ac:dyDescent="0.25">
      <c r="A427" s="5">
        <v>44166</v>
      </c>
      <c r="B427">
        <v>6.0560000000000003E-2</v>
      </c>
      <c r="C427">
        <v>6.4879999999999993E-2</v>
      </c>
      <c r="D427">
        <v>5.74E-2</v>
      </c>
      <c r="E427">
        <v>6.0229999999999999E-2</v>
      </c>
      <c r="F427">
        <v>4992630.8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-0.24331550802138996</v>
      </c>
      <c r="Q427">
        <f t="shared" si="975"/>
        <v>-1214784.4994652385</v>
      </c>
      <c r="R427">
        <f t="shared" si="976"/>
        <v>-74914328.735658884</v>
      </c>
      <c r="S427">
        <f t="shared" si="977"/>
        <v>-749.14328735658887</v>
      </c>
      <c r="T427">
        <f t="shared" si="978"/>
        <v>-0.74914328735658886</v>
      </c>
    </row>
    <row r="428" spans="1:20" x14ac:dyDescent="0.25">
      <c r="A428" s="5">
        <v>44165</v>
      </c>
      <c r="B428">
        <v>5.7660000000000003E-2</v>
      </c>
      <c r="C428">
        <v>6.1870000000000001E-2</v>
      </c>
      <c r="D428">
        <v>5.7209999999999997E-2</v>
      </c>
      <c r="E428">
        <v>6.0310000000000002E-2</v>
      </c>
      <c r="F428">
        <v>4392762.0999999996</v>
      </c>
      <c r="G428">
        <v>0</v>
      </c>
      <c r="L428" t="s">
        <v>8</v>
      </c>
      <c r="M428" t="s">
        <v>8</v>
      </c>
      <c r="N428" t="s">
        <v>8</v>
      </c>
      <c r="P428">
        <f t="shared" si="974"/>
        <v>0.33047210300429297</v>
      </c>
      <c r="Q428">
        <f t="shared" si="975"/>
        <v>1451685.3291845543</v>
      </c>
      <c r="R428">
        <f t="shared" si="976"/>
        <v>-73699544.236193642</v>
      </c>
      <c r="S428">
        <f t="shared" si="977"/>
        <v>-736.9954423619364</v>
      </c>
      <c r="T428">
        <f t="shared" si="978"/>
        <v>-0.73699544236193637</v>
      </c>
    </row>
    <row r="429" spans="1:20" x14ac:dyDescent="0.25">
      <c r="A429" s="5">
        <v>44164</v>
      </c>
      <c r="B429">
        <v>5.987E-2</v>
      </c>
      <c r="C429">
        <v>6.0609999999999997E-2</v>
      </c>
      <c r="D429">
        <v>5.561E-2</v>
      </c>
      <c r="E429">
        <v>5.8029999999999998E-2</v>
      </c>
      <c r="F429">
        <v>6588714.4000000004</v>
      </c>
      <c r="G429">
        <v>0</v>
      </c>
      <c r="L429" t="s">
        <v>7</v>
      </c>
      <c r="M429" t="s">
        <v>8</v>
      </c>
      <c r="N429" t="s">
        <v>8</v>
      </c>
      <c r="P429">
        <f t="shared" si="974"/>
        <v>-3.2000000000000098E-2</v>
      </c>
      <c r="Q429">
        <f t="shared" si="975"/>
        <v>-210838.86080000066</v>
      </c>
      <c r="R429">
        <f t="shared" si="976"/>
        <v>-75151229.565378189</v>
      </c>
      <c r="S429">
        <f t="shared" si="977"/>
        <v>-751.51229565378185</v>
      </c>
      <c r="T429">
        <f t="shared" si="978"/>
        <v>-0.75151229565378186</v>
      </c>
    </row>
    <row r="430" spans="1:20" x14ac:dyDescent="0.25">
      <c r="A430" s="5">
        <v>44163</v>
      </c>
      <c r="B430">
        <v>6.1170000000000002E-2</v>
      </c>
      <c r="C430">
        <v>6.25E-2</v>
      </c>
      <c r="D430">
        <v>5.8790000000000002E-2</v>
      </c>
      <c r="E430">
        <v>5.9709999999999999E-2</v>
      </c>
      <c r="F430">
        <v>3308809.9</v>
      </c>
      <c r="G430">
        <v>0</v>
      </c>
      <c r="L430" t="s">
        <v>7</v>
      </c>
      <c r="M430" t="s">
        <v>8</v>
      </c>
      <c r="N430" t="s">
        <v>8</v>
      </c>
      <c r="P430">
        <f t="shared" si="974"/>
        <v>-0.50404312668463735</v>
      </c>
      <c r="Q430">
        <f t="shared" si="975"/>
        <v>-1667782.8876010822</v>
      </c>
      <c r="R430">
        <f t="shared" si="976"/>
        <v>-74940390.704578191</v>
      </c>
      <c r="S430">
        <f t="shared" si="977"/>
        <v>-749.40390704578192</v>
      </c>
      <c r="T430">
        <f t="shared" si="978"/>
        <v>-0.74940390704578197</v>
      </c>
    </row>
    <row r="431" spans="1:20" x14ac:dyDescent="0.25">
      <c r="A431" s="5">
        <v>44162</v>
      </c>
      <c r="B431">
        <v>6.0229999999999999E-2</v>
      </c>
      <c r="C431">
        <v>6.3979999999999995E-2</v>
      </c>
      <c r="D431">
        <v>5.8000000000000003E-2</v>
      </c>
      <c r="E431">
        <v>6.1620000000000001E-2</v>
      </c>
      <c r="F431">
        <v>9035474.3000000007</v>
      </c>
      <c r="G431">
        <v>0</v>
      </c>
      <c r="L431" t="s">
        <v>8</v>
      </c>
      <c r="M431" t="s">
        <v>8</v>
      </c>
      <c r="N431" t="s">
        <v>8</v>
      </c>
      <c r="P431">
        <f t="shared" si="974"/>
        <v>0.21070234113712472</v>
      </c>
      <c r="Q431">
        <f t="shared" si="975"/>
        <v>1903795.5882943233</v>
      </c>
      <c r="R431">
        <f t="shared" si="976"/>
        <v>-73272607.816977113</v>
      </c>
      <c r="S431">
        <f t="shared" si="977"/>
        <v>-732.72607816977109</v>
      </c>
      <c r="T431">
        <f t="shared" si="978"/>
        <v>-0.73272607816977109</v>
      </c>
    </row>
    <row r="432" spans="1:20" x14ac:dyDescent="0.25">
      <c r="A432" s="5">
        <v>44161</v>
      </c>
      <c r="B432">
        <v>6.2869999999999995E-2</v>
      </c>
      <c r="C432">
        <v>6.4449999999999993E-2</v>
      </c>
      <c r="D432">
        <v>4.9200000000000001E-2</v>
      </c>
      <c r="E432">
        <v>6.0060000000000002E-2</v>
      </c>
      <c r="F432">
        <v>10120152.4</v>
      </c>
      <c r="G432">
        <v>0</v>
      </c>
      <c r="L432" t="s">
        <v>7</v>
      </c>
      <c r="M432" t="s">
        <v>7</v>
      </c>
      <c r="N432" t="s">
        <v>8</v>
      </c>
      <c r="P432">
        <f t="shared" si="974"/>
        <v>0.42426229508196811</v>
      </c>
      <c r="Q432">
        <f t="shared" si="975"/>
        <v>4293599.0838032877</v>
      </c>
      <c r="R432">
        <f t="shared" si="976"/>
        <v>-75176403.405271441</v>
      </c>
      <c r="S432">
        <f t="shared" si="977"/>
        <v>-751.76403405271435</v>
      </c>
      <c r="T432">
        <f t="shared" si="978"/>
        <v>-0.7517640340527143</v>
      </c>
    </row>
    <row r="433" spans="1:20" x14ac:dyDescent="0.25">
      <c r="A433" s="5">
        <v>44160</v>
      </c>
      <c r="B433">
        <v>6.2440000000000002E-2</v>
      </c>
      <c r="C433">
        <v>6.8779999999999994E-2</v>
      </c>
      <c r="D433">
        <v>0.06</v>
      </c>
      <c r="E433">
        <v>6.2890000000000001E-2</v>
      </c>
      <c r="F433">
        <v>6962286.4000000004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-0.34168564920273237</v>
      </c>
      <c r="Q433">
        <f t="shared" si="975"/>
        <v>-2378913.3485193546</v>
      </c>
      <c r="R433">
        <f t="shared" si="976"/>
        <v>-79470002.489074722</v>
      </c>
      <c r="S433">
        <f t="shared" si="977"/>
        <v>-794.70002489074727</v>
      </c>
      <c r="T433">
        <f t="shared" si="978"/>
        <v>-0.79470002489074731</v>
      </c>
    </row>
    <row r="434" spans="1:20" x14ac:dyDescent="0.25">
      <c r="A434" s="5">
        <v>44159</v>
      </c>
      <c r="B434">
        <v>6.3299999999999995E-2</v>
      </c>
      <c r="C434">
        <v>6.7040000000000002E-2</v>
      </c>
      <c r="D434">
        <v>0.06</v>
      </c>
      <c r="E434">
        <v>6.2429999999999999E-2</v>
      </c>
      <c r="F434">
        <v>9909301.6999999993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-0.30965909090909088</v>
      </c>
      <c r="Q434">
        <f t="shared" si="975"/>
        <v>-3068505.3559659086</v>
      </c>
      <c r="R434">
        <f t="shared" si="976"/>
        <v>-77091089.140555367</v>
      </c>
      <c r="S434">
        <f t="shared" si="977"/>
        <v>-770.91089140555368</v>
      </c>
      <c r="T434">
        <f t="shared" si="978"/>
        <v>-0.77091089140555369</v>
      </c>
    </row>
    <row r="435" spans="1:20" x14ac:dyDescent="0.25">
      <c r="A435" s="5">
        <v>44158</v>
      </c>
      <c r="B435">
        <v>5.7599999999999998E-2</v>
      </c>
      <c r="C435">
        <v>6.4000000000000001E-2</v>
      </c>
      <c r="D435">
        <v>5.629E-2</v>
      </c>
      <c r="E435">
        <v>6.3119999999999996E-2</v>
      </c>
      <c r="F435">
        <v>9119875.1999999993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0.77172503242542012</v>
      </c>
      <c r="Q435">
        <f t="shared" si="975"/>
        <v>7038035.9844357846</v>
      </c>
      <c r="R435">
        <f t="shared" si="976"/>
        <v>-74022583.784589455</v>
      </c>
      <c r="S435">
        <f t="shared" si="977"/>
        <v>-740.22583784589449</v>
      </c>
      <c r="T435">
        <f t="shared" si="978"/>
        <v>-0.74022583784589446</v>
      </c>
    </row>
    <row r="436" spans="1:20" x14ac:dyDescent="0.25">
      <c r="A436" s="5">
        <v>44157</v>
      </c>
      <c r="B436">
        <v>5.9900000000000002E-2</v>
      </c>
      <c r="C436">
        <v>6.2609999999999999E-2</v>
      </c>
      <c r="D436">
        <v>5.3699999999999998E-2</v>
      </c>
      <c r="E436">
        <v>5.7160000000000002E-2</v>
      </c>
      <c r="F436">
        <v>6452242.7999999998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-0.22334455667788905</v>
      </c>
      <c r="Q436">
        <f t="shared" si="975"/>
        <v>-1441073.3077441014</v>
      </c>
      <c r="R436">
        <f t="shared" si="976"/>
        <v>-81060619.769025236</v>
      </c>
      <c r="S436">
        <f t="shared" si="977"/>
        <v>-810.60619769025232</v>
      </c>
      <c r="T436">
        <f t="shared" si="978"/>
        <v>-0.81060619769025233</v>
      </c>
    </row>
    <row r="437" spans="1:20" x14ac:dyDescent="0.25">
      <c r="A437" s="5">
        <v>44156</v>
      </c>
      <c r="B437">
        <v>5.441E-2</v>
      </c>
      <c r="C437">
        <v>0.06</v>
      </c>
      <c r="D437">
        <v>5.3699999999999998E-2</v>
      </c>
      <c r="E437">
        <v>5.9700000000000003E-2</v>
      </c>
      <c r="F437">
        <v>6949832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0.90476190476190643</v>
      </c>
      <c r="Q437">
        <f t="shared" si="975"/>
        <v>6287943.23809525</v>
      </c>
      <c r="R437">
        <f t="shared" si="976"/>
        <v>-79619546.461281136</v>
      </c>
      <c r="S437">
        <f t="shared" si="977"/>
        <v>-796.19546461281141</v>
      </c>
      <c r="T437">
        <f t="shared" si="978"/>
        <v>-0.79619546461281143</v>
      </c>
    </row>
    <row r="438" spans="1:20" x14ac:dyDescent="0.25">
      <c r="A438" s="5">
        <v>44155</v>
      </c>
      <c r="B438">
        <v>5.1319999999999998E-2</v>
      </c>
      <c r="C438">
        <v>5.6710000000000003E-2</v>
      </c>
      <c r="D438">
        <v>5.0250000000000003E-2</v>
      </c>
      <c r="E438">
        <v>5.4519999999999999E-2</v>
      </c>
      <c r="F438">
        <v>7202882.9000000004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0.32198142414860548</v>
      </c>
      <c r="Q438">
        <f t="shared" si="975"/>
        <v>2319194.4941176376</v>
      </c>
      <c r="R438">
        <f t="shared" si="976"/>
        <v>-85907489.699376389</v>
      </c>
      <c r="S438">
        <f t="shared" si="977"/>
        <v>-859.0748969937639</v>
      </c>
      <c r="T438">
        <f t="shared" si="978"/>
        <v>-0.85907489699376394</v>
      </c>
    </row>
    <row r="439" spans="1:20" x14ac:dyDescent="0.25">
      <c r="A439" s="5">
        <v>44154</v>
      </c>
      <c r="B439">
        <v>5.0999999999999997E-2</v>
      </c>
      <c r="C439">
        <v>5.2999999999999999E-2</v>
      </c>
      <c r="D439">
        <v>4.9799999999999997E-2</v>
      </c>
      <c r="E439">
        <v>5.126E-2</v>
      </c>
      <c r="F439">
        <v>3444116.3</v>
      </c>
      <c r="G439">
        <v>0</v>
      </c>
      <c r="L439" t="s">
        <v>7</v>
      </c>
      <c r="M439" t="s">
        <v>7</v>
      </c>
      <c r="N439" t="s">
        <v>8</v>
      </c>
      <c r="P439">
        <f t="shared" si="974"/>
        <v>-8.7499999999998565E-2</v>
      </c>
      <c r="Q439">
        <f t="shared" si="975"/>
        <v>-301360.17624999501</v>
      </c>
      <c r="R439">
        <f t="shared" si="976"/>
        <v>-88226684.193494022</v>
      </c>
      <c r="S439">
        <f t="shared" si="977"/>
        <v>-882.2668419349402</v>
      </c>
      <c r="T439">
        <f t="shared" si="978"/>
        <v>-0.8822668419349402</v>
      </c>
    </row>
    <row r="440" spans="1:20" x14ac:dyDescent="0.25">
      <c r="A440" s="5">
        <v>44153</v>
      </c>
      <c r="B440">
        <v>5.287E-2</v>
      </c>
      <c r="C440">
        <v>5.4100000000000002E-2</v>
      </c>
      <c r="D440">
        <v>4.99E-2</v>
      </c>
      <c r="E440">
        <v>5.0659999999999997E-2</v>
      </c>
      <c r="F440">
        <v>4261097.5999999996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-0.63809523809523983</v>
      </c>
      <c r="Q440">
        <f t="shared" si="975"/>
        <v>-2718986.0876190546</v>
      </c>
      <c r="R440">
        <f t="shared" si="976"/>
        <v>-87925324.017244026</v>
      </c>
      <c r="S440">
        <f t="shared" si="977"/>
        <v>-879.25324017244031</v>
      </c>
      <c r="T440">
        <f t="shared" si="978"/>
        <v>-0.87925324017244033</v>
      </c>
    </row>
    <row r="441" spans="1:20" x14ac:dyDescent="0.25">
      <c r="A441" s="5">
        <v>44152</v>
      </c>
      <c r="B441">
        <v>5.3100000000000001E-2</v>
      </c>
      <c r="C441">
        <v>5.4480000000000001E-2</v>
      </c>
      <c r="D441">
        <v>5.0999999999999997E-2</v>
      </c>
      <c r="E441">
        <v>5.2819999999999999E-2</v>
      </c>
      <c r="F441">
        <v>3976587</v>
      </c>
      <c r="G441">
        <v>0</v>
      </c>
      <c r="L441" t="s">
        <v>8</v>
      </c>
      <c r="M441" t="s">
        <v>7</v>
      </c>
      <c r="N441" t="s">
        <v>8</v>
      </c>
      <c r="P441">
        <f t="shared" si="974"/>
        <v>4.5977011494252942E-2</v>
      </c>
      <c r="Q441">
        <f t="shared" si="975"/>
        <v>182831.58620689681</v>
      </c>
      <c r="R441">
        <f t="shared" si="976"/>
        <v>-85206337.929624975</v>
      </c>
      <c r="S441">
        <f t="shared" si="977"/>
        <v>-852.06337929624976</v>
      </c>
      <c r="T441">
        <f t="shared" si="978"/>
        <v>-0.85206337929624976</v>
      </c>
    </row>
    <row r="442" spans="1:20" x14ac:dyDescent="0.25">
      <c r="A442" s="5">
        <v>44151</v>
      </c>
      <c r="B442">
        <v>4.9599999999999998E-2</v>
      </c>
      <c r="C442">
        <v>5.4109999999999998E-2</v>
      </c>
      <c r="D442">
        <v>4.8599999999999997E-2</v>
      </c>
      <c r="E442">
        <v>5.2940000000000001E-2</v>
      </c>
      <c r="F442">
        <v>3853623.3</v>
      </c>
      <c r="G442">
        <v>0</v>
      </c>
      <c r="L442" t="s">
        <v>8</v>
      </c>
      <c r="M442" t="s">
        <v>7</v>
      </c>
      <c r="N442" t="s">
        <v>8</v>
      </c>
      <c r="P442">
        <f t="shared" si="974"/>
        <v>0.57531760435571788</v>
      </c>
      <c r="Q442">
        <f t="shared" si="975"/>
        <v>2217057.3250453756</v>
      </c>
      <c r="R442">
        <f t="shared" si="976"/>
        <v>-85389169.515831873</v>
      </c>
      <c r="S442">
        <f t="shared" si="977"/>
        <v>-853.89169515831873</v>
      </c>
      <c r="T442">
        <f t="shared" si="978"/>
        <v>-0.85389169515831875</v>
      </c>
    </row>
    <row r="443" spans="1:20" x14ac:dyDescent="0.25">
      <c r="A443" s="5">
        <v>44150</v>
      </c>
      <c r="B443">
        <v>5.0810000000000001E-2</v>
      </c>
      <c r="C443">
        <v>5.2409999999999998E-2</v>
      </c>
      <c r="D443">
        <v>4.8349999999999997E-2</v>
      </c>
      <c r="E443">
        <v>4.9950000000000001E-2</v>
      </c>
      <c r="F443">
        <v>3023044.5</v>
      </c>
      <c r="G443">
        <v>0</v>
      </c>
      <c r="L443" t="s">
        <v>7</v>
      </c>
      <c r="M443" t="s">
        <v>7</v>
      </c>
      <c r="N443" t="s">
        <v>8</v>
      </c>
      <c r="P443">
        <f t="shared" si="974"/>
        <v>-0.21182266009852033</v>
      </c>
      <c r="Q443">
        <f t="shared" si="975"/>
        <v>-640349.32758620137</v>
      </c>
      <c r="R443">
        <f t="shared" si="976"/>
        <v>-87606226.84087725</v>
      </c>
      <c r="S443">
        <f t="shared" si="977"/>
        <v>-876.06226840877252</v>
      </c>
      <c r="T443">
        <f t="shared" si="978"/>
        <v>-0.87606226840877255</v>
      </c>
    </row>
    <row r="444" spans="1:20" x14ac:dyDescent="0.25">
      <c r="A444" s="5">
        <v>44149</v>
      </c>
      <c r="B444">
        <v>5.296E-2</v>
      </c>
      <c r="C444">
        <v>5.339E-2</v>
      </c>
      <c r="D444">
        <v>4.9790000000000001E-2</v>
      </c>
      <c r="E444">
        <v>5.1020000000000003E-2</v>
      </c>
      <c r="F444">
        <v>2759976.5</v>
      </c>
      <c r="G444">
        <v>0</v>
      </c>
      <c r="L444" t="s">
        <v>7</v>
      </c>
      <c r="M444" t="s">
        <v>7</v>
      </c>
      <c r="N444" t="s">
        <v>8</v>
      </c>
      <c r="P444">
        <f t="shared" si="974"/>
        <v>-0.31666666666666543</v>
      </c>
      <c r="Q444">
        <f t="shared" si="975"/>
        <v>-873992.55833332997</v>
      </c>
      <c r="R444">
        <f t="shared" si="976"/>
        <v>-86965877.513291046</v>
      </c>
      <c r="S444">
        <f t="shared" si="977"/>
        <v>-869.65877513291048</v>
      </c>
      <c r="T444">
        <f t="shared" si="978"/>
        <v>-0.86965877513291046</v>
      </c>
    </row>
    <row r="445" spans="1:20" x14ac:dyDescent="0.25">
      <c r="A445" s="5">
        <v>44148</v>
      </c>
      <c r="B445">
        <v>5.2200000000000003E-2</v>
      </c>
      <c r="C445">
        <v>5.6219999999999999E-2</v>
      </c>
      <c r="D445">
        <v>5.0900000000000001E-2</v>
      </c>
      <c r="E445">
        <v>5.296E-2</v>
      </c>
      <c r="F445">
        <v>3416073.8</v>
      </c>
      <c r="G445">
        <v>0</v>
      </c>
      <c r="L445" t="s">
        <v>8</v>
      </c>
      <c r="M445" t="s">
        <v>7</v>
      </c>
      <c r="N445" t="s">
        <v>8</v>
      </c>
      <c r="P445">
        <f t="shared" si="974"/>
        <v>-0.22556390977443611</v>
      </c>
      <c r="Q445">
        <f t="shared" si="975"/>
        <v>-770542.96240601502</v>
      </c>
      <c r="R445">
        <f t="shared" si="976"/>
        <v>-86091884.954957709</v>
      </c>
      <c r="S445">
        <f t="shared" si="977"/>
        <v>-860.91884954957709</v>
      </c>
      <c r="T445">
        <f t="shared" si="978"/>
        <v>-0.86091884954957709</v>
      </c>
    </row>
    <row r="446" spans="1:20" x14ac:dyDescent="0.25">
      <c r="A446" s="5">
        <v>44147</v>
      </c>
      <c r="B446">
        <v>5.4109999999999998E-2</v>
      </c>
      <c r="C446">
        <v>5.5129999999999998E-2</v>
      </c>
      <c r="D446">
        <v>5.0840000000000003E-2</v>
      </c>
      <c r="E446">
        <v>5.2200000000000003E-2</v>
      </c>
      <c r="F446">
        <v>2885218.3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-0.36596736596736523</v>
      </c>
      <c r="Q446">
        <f t="shared" si="975"/>
        <v>-1055895.7414918393</v>
      </c>
      <c r="R446">
        <f t="shared" si="976"/>
        <v>-85321341.992551699</v>
      </c>
      <c r="S446">
        <f t="shared" si="977"/>
        <v>-853.21341992551697</v>
      </c>
      <c r="T446">
        <f t="shared" si="978"/>
        <v>-0.85321341992551702</v>
      </c>
    </row>
    <row r="447" spans="1:20" x14ac:dyDescent="0.25">
      <c r="A447" s="5">
        <v>44146</v>
      </c>
      <c r="B447">
        <v>5.7709999999999997E-2</v>
      </c>
      <c r="C447">
        <v>5.9139999999999998E-2</v>
      </c>
      <c r="D447">
        <v>5.3039999999999997E-2</v>
      </c>
      <c r="E447">
        <v>5.4100000000000002E-2</v>
      </c>
      <c r="F447">
        <v>4024356.8</v>
      </c>
      <c r="G447">
        <v>0</v>
      </c>
      <c r="L447" t="s">
        <v>7</v>
      </c>
      <c r="M447" t="s">
        <v>8</v>
      </c>
      <c r="N447" t="s">
        <v>8</v>
      </c>
      <c r="P447">
        <f t="shared" si="974"/>
        <v>-0.65245901639344095</v>
      </c>
      <c r="Q447">
        <f t="shared" si="975"/>
        <v>-2625727.8793442557</v>
      </c>
      <c r="R447">
        <f t="shared" si="976"/>
        <v>-84265446.25105986</v>
      </c>
      <c r="S447">
        <f t="shared" si="977"/>
        <v>-842.65446251059859</v>
      </c>
      <c r="T447">
        <f t="shared" si="978"/>
        <v>-0.84265446251059861</v>
      </c>
    </row>
    <row r="448" spans="1:20" x14ac:dyDescent="0.25">
      <c r="A448" s="5">
        <v>44145</v>
      </c>
      <c r="B448">
        <v>5.6140000000000002E-2</v>
      </c>
      <c r="C448">
        <v>5.8979999999999998E-2</v>
      </c>
      <c r="D448">
        <v>5.2999999999999999E-2</v>
      </c>
      <c r="E448">
        <v>5.7729999999999997E-2</v>
      </c>
      <c r="F448">
        <v>6610170.4000000004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0.58193979933110329</v>
      </c>
      <c r="Q448">
        <f t="shared" si="975"/>
        <v>3846721.2361203991</v>
      </c>
      <c r="R448">
        <f t="shared" si="976"/>
        <v>-81639718.371715605</v>
      </c>
      <c r="S448">
        <f t="shared" si="977"/>
        <v>-816.39718371715605</v>
      </c>
      <c r="T448">
        <f t="shared" si="978"/>
        <v>-0.81639718371715608</v>
      </c>
    </row>
    <row r="449" spans="1:20" x14ac:dyDescent="0.25">
      <c r="A449" s="5">
        <v>44144</v>
      </c>
      <c r="B449">
        <v>5.042E-2</v>
      </c>
      <c r="C449">
        <v>5.6759999999999998E-2</v>
      </c>
      <c r="D449">
        <v>4.8000000000000001E-2</v>
      </c>
      <c r="E449">
        <v>5.6250000000000001E-2</v>
      </c>
      <c r="F449">
        <v>5993049.9000000004</v>
      </c>
      <c r="G449">
        <v>0</v>
      </c>
      <c r="L449" t="s">
        <v>7</v>
      </c>
      <c r="M449" t="s">
        <v>8</v>
      </c>
      <c r="N449" t="s">
        <v>8</v>
      </c>
      <c r="P449">
        <f t="shared" si="974"/>
        <v>0.88356164383561719</v>
      </c>
      <c r="Q449">
        <f t="shared" si="975"/>
        <v>5295229.0212328816</v>
      </c>
      <c r="R449">
        <f t="shared" si="976"/>
        <v>-85486439.607836008</v>
      </c>
      <c r="S449">
        <f t="shared" si="977"/>
        <v>-854.86439607836007</v>
      </c>
      <c r="T449">
        <f t="shared" si="978"/>
        <v>-0.85486439607836007</v>
      </c>
    </row>
    <row r="450" spans="1:20" x14ac:dyDescent="0.25">
      <c r="A450" s="5">
        <v>44143</v>
      </c>
      <c r="B450">
        <v>4.9070000000000003E-2</v>
      </c>
      <c r="C450">
        <v>5.2089999999999997E-2</v>
      </c>
      <c r="D450">
        <v>4.8489999999999998E-2</v>
      </c>
      <c r="E450">
        <v>5.042E-2</v>
      </c>
      <c r="F450">
        <v>4002705.3</v>
      </c>
      <c r="G450">
        <v>0</v>
      </c>
      <c r="L450" t="s">
        <v>7</v>
      </c>
      <c r="M450" t="s">
        <v>7</v>
      </c>
      <c r="N450" t="s">
        <v>8</v>
      </c>
      <c r="P450">
        <f t="shared" si="974"/>
        <v>7.2222222222223159E-2</v>
      </c>
      <c r="Q450">
        <f t="shared" si="975"/>
        <v>289084.27166667039</v>
      </c>
      <c r="R450">
        <f t="shared" si="976"/>
        <v>-90781668.629068896</v>
      </c>
      <c r="S450">
        <f t="shared" si="977"/>
        <v>-907.81668629068895</v>
      </c>
      <c r="T450">
        <f t="shared" si="978"/>
        <v>-0.9078166862906889</v>
      </c>
    </row>
    <row r="451" spans="1:20" x14ac:dyDescent="0.25">
      <c r="A451" s="5">
        <v>44142</v>
      </c>
      <c r="B451">
        <v>5.441E-2</v>
      </c>
      <c r="C451">
        <v>5.799E-2</v>
      </c>
      <c r="D451">
        <v>4.709E-2</v>
      </c>
      <c r="E451">
        <v>4.8840000000000001E-2</v>
      </c>
      <c r="F451">
        <v>7862794.0999999996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-0.67889908256880704</v>
      </c>
      <c r="Q451">
        <f t="shared" si="975"/>
        <v>-5338043.7009174284</v>
      </c>
      <c r="R451">
        <f t="shared" si="976"/>
        <v>-91070752.900735572</v>
      </c>
      <c r="S451">
        <f t="shared" si="977"/>
        <v>-910.70752900735567</v>
      </c>
      <c r="T451">
        <f t="shared" si="978"/>
        <v>-0.91070752900735563</v>
      </c>
    </row>
    <row r="452" spans="1:20" x14ac:dyDescent="0.25">
      <c r="A452" s="5">
        <v>44141</v>
      </c>
      <c r="B452">
        <v>4.5760000000000002E-2</v>
      </c>
      <c r="C452">
        <v>5.5300000000000002E-2</v>
      </c>
      <c r="D452">
        <v>4.5499999999999999E-2</v>
      </c>
      <c r="E452">
        <v>5.4199999999999998E-2</v>
      </c>
      <c r="F452">
        <v>9751618.4000000004</v>
      </c>
      <c r="G452">
        <v>0</v>
      </c>
      <c r="L452" t="s">
        <v>7</v>
      </c>
      <c r="M452" t="s">
        <v>7</v>
      </c>
      <c r="N452" t="s">
        <v>8</v>
      </c>
      <c r="P452">
        <f t="shared" si="974"/>
        <v>0.77551020408163196</v>
      </c>
      <c r="Q452">
        <f t="shared" si="975"/>
        <v>7562479.5755101973</v>
      </c>
      <c r="R452">
        <f t="shared" si="976"/>
        <v>-85732709.199818149</v>
      </c>
      <c r="S452">
        <f t="shared" si="977"/>
        <v>-857.32709199818146</v>
      </c>
      <c r="T452">
        <f t="shared" si="978"/>
        <v>-0.85732709199818147</v>
      </c>
    </row>
    <row r="453" spans="1:20" x14ac:dyDescent="0.25">
      <c r="A453" s="5">
        <v>44140</v>
      </c>
      <c r="B453">
        <v>4.156E-2</v>
      </c>
      <c r="C453">
        <v>5.4989999999999997E-2</v>
      </c>
      <c r="D453">
        <v>4.1369999999999997E-2</v>
      </c>
      <c r="E453">
        <v>4.5760000000000002E-2</v>
      </c>
      <c r="F453">
        <v>19372077.699999999</v>
      </c>
      <c r="G453">
        <v>0</v>
      </c>
      <c r="L453" t="s">
        <v>8</v>
      </c>
      <c r="M453" t="s">
        <v>8</v>
      </c>
      <c r="N453" t="s">
        <v>8</v>
      </c>
      <c r="P453">
        <f t="shared" si="974"/>
        <v>-0.35535976505139427</v>
      </c>
      <c r="Q453">
        <f t="shared" si="975"/>
        <v>-6884056.9800293539</v>
      </c>
      <c r="R453">
        <f t="shared" si="976"/>
        <v>-93295188.775328353</v>
      </c>
      <c r="S453">
        <f t="shared" si="977"/>
        <v>-932.95188775328359</v>
      </c>
      <c r="T453">
        <f t="shared" si="978"/>
        <v>-0.93295188775328364</v>
      </c>
    </row>
    <row r="454" spans="1:20" x14ac:dyDescent="0.25">
      <c r="A454" s="5">
        <v>44139</v>
      </c>
      <c r="B454">
        <v>4.2599999999999999E-2</v>
      </c>
      <c r="C454">
        <v>4.2840000000000003E-2</v>
      </c>
      <c r="D454">
        <v>3.8240000000000003E-2</v>
      </c>
      <c r="E454">
        <v>4.1270000000000001E-2</v>
      </c>
      <c r="F454">
        <v>6915309.5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0.31739130434782525</v>
      </c>
      <c r="Q454">
        <f t="shared" ref="Q454:Q517" si="980">F454*P454</f>
        <v>2194859.1021739072</v>
      </c>
      <c r="R454">
        <f t="shared" ref="R454:R517" si="981">R455+Q454</f>
        <v>-86411131.795298994</v>
      </c>
      <c r="S454">
        <f t="shared" ref="S454:S517" si="982">R454/100000</f>
        <v>-864.11131795298991</v>
      </c>
      <c r="T454">
        <f t="shared" ref="T454:T517" si="983">S454/1000</f>
        <v>-0.8641113179529899</v>
      </c>
    </row>
    <row r="455" spans="1:20" x14ac:dyDescent="0.25">
      <c r="A455" s="5">
        <v>44138</v>
      </c>
      <c r="B455">
        <v>4.5499999999999999E-2</v>
      </c>
      <c r="C455">
        <v>4.5499999999999999E-2</v>
      </c>
      <c r="D455">
        <v>4.1270000000000001E-2</v>
      </c>
      <c r="E455">
        <v>4.2599999999999999E-2</v>
      </c>
      <c r="F455">
        <v>2749539.2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-0.37115839243498883</v>
      </c>
      <c r="Q455">
        <f t="shared" si="980"/>
        <v>-1020514.5494089853</v>
      </c>
      <c r="R455">
        <f t="shared" si="981"/>
        <v>-88605990.897472903</v>
      </c>
      <c r="S455">
        <f t="shared" si="982"/>
        <v>-886.05990897472907</v>
      </c>
      <c r="T455">
        <f t="shared" si="983"/>
        <v>-0.88605990897472908</v>
      </c>
    </row>
    <row r="456" spans="1:20" x14ac:dyDescent="0.25">
      <c r="A456" s="5">
        <v>44137</v>
      </c>
      <c r="B456">
        <v>4.827E-2</v>
      </c>
      <c r="C456">
        <v>4.9369999999999997E-2</v>
      </c>
      <c r="D456">
        <v>4.4319999999999998E-2</v>
      </c>
      <c r="E456">
        <v>4.5670000000000002E-2</v>
      </c>
      <c r="F456">
        <v>3508870.3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-0.46534653465346365</v>
      </c>
      <c r="Q456">
        <f t="shared" si="980"/>
        <v>-1632840.6346534593</v>
      </c>
      <c r="R456">
        <f t="shared" si="981"/>
        <v>-87585476.348063916</v>
      </c>
      <c r="S456">
        <f t="shared" si="982"/>
        <v>-875.85476348063912</v>
      </c>
      <c r="T456">
        <f t="shared" si="983"/>
        <v>-0.87585476348063918</v>
      </c>
    </row>
    <row r="457" spans="1:20" x14ac:dyDescent="0.25">
      <c r="A457" s="5">
        <v>44136</v>
      </c>
      <c r="B457">
        <v>4.7620000000000003E-2</v>
      </c>
      <c r="C457">
        <v>5.0959999999999998E-2</v>
      </c>
      <c r="D457">
        <v>4.6429999999999999E-2</v>
      </c>
      <c r="E457">
        <v>4.8259999999999997E-2</v>
      </c>
      <c r="F457">
        <v>3447563.2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-0.19205298013245095</v>
      </c>
      <c r="Q457">
        <f t="shared" si="980"/>
        <v>-662114.78675496904</v>
      </c>
      <c r="R457">
        <f t="shared" si="981"/>
        <v>-85952635.713410452</v>
      </c>
      <c r="S457">
        <f t="shared" si="982"/>
        <v>-859.5263571341045</v>
      </c>
      <c r="T457">
        <f t="shared" si="983"/>
        <v>-0.85952635713410452</v>
      </c>
    </row>
    <row r="458" spans="1:20" x14ac:dyDescent="0.25">
      <c r="A458" s="5">
        <v>44135</v>
      </c>
      <c r="B458">
        <v>5.0040000000000001E-2</v>
      </c>
      <c r="C458">
        <v>5.1020000000000003E-2</v>
      </c>
      <c r="D458">
        <v>4.7480000000000001E-2</v>
      </c>
      <c r="E458">
        <v>4.7550000000000002E-2</v>
      </c>
      <c r="F458">
        <v>2501308.7000000002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-0.96045197740112964</v>
      </c>
      <c r="Q458">
        <f t="shared" si="980"/>
        <v>-2402386.887005649</v>
      </c>
      <c r="R458">
        <f t="shared" si="981"/>
        <v>-85290520.926655486</v>
      </c>
      <c r="S458">
        <f t="shared" si="982"/>
        <v>-852.90520926655483</v>
      </c>
      <c r="T458">
        <f t="shared" si="983"/>
        <v>-0.85290520926655489</v>
      </c>
    </row>
    <row r="459" spans="1:20" x14ac:dyDescent="0.25">
      <c r="A459" s="5">
        <v>44134</v>
      </c>
      <c r="B459">
        <v>4.8030000000000003E-2</v>
      </c>
      <c r="C459">
        <v>5.314E-2</v>
      </c>
      <c r="D459">
        <v>4.5030000000000001E-2</v>
      </c>
      <c r="E459">
        <v>5.0470000000000001E-2</v>
      </c>
      <c r="F459">
        <v>3648894.7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0.34155363748458717</v>
      </c>
      <c r="Q459">
        <f t="shared" si="980"/>
        <v>1246293.2575832314</v>
      </c>
      <c r="R459">
        <f t="shared" si="981"/>
        <v>-82888134.039649844</v>
      </c>
      <c r="S459">
        <f t="shared" si="982"/>
        <v>-828.88134039649844</v>
      </c>
      <c r="T459">
        <f t="shared" si="983"/>
        <v>-0.82888134039649841</v>
      </c>
    </row>
    <row r="460" spans="1:20" x14ac:dyDescent="0.25">
      <c r="A460" s="5">
        <v>44133</v>
      </c>
      <c r="B460">
        <v>5.0709999999999998E-2</v>
      </c>
      <c r="C460">
        <v>5.2260000000000001E-2</v>
      </c>
      <c r="D460">
        <v>4.7359999999999999E-2</v>
      </c>
      <c r="E460">
        <v>4.8160000000000001E-2</v>
      </c>
      <c r="F460">
        <v>2797449.7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-0.67346938775510123</v>
      </c>
      <c r="Q460">
        <f t="shared" si="980"/>
        <v>-1883996.7367346918</v>
      </c>
      <c r="R460">
        <f t="shared" si="981"/>
        <v>-84134427.297233075</v>
      </c>
      <c r="S460">
        <f t="shared" si="982"/>
        <v>-841.34427297233071</v>
      </c>
      <c r="T460">
        <f t="shared" si="983"/>
        <v>-0.84134427297233072</v>
      </c>
    </row>
    <row r="461" spans="1:20" x14ac:dyDescent="0.25">
      <c r="A461" s="5">
        <v>44132</v>
      </c>
      <c r="B461">
        <v>5.6239999999999998E-2</v>
      </c>
      <c r="C461">
        <v>5.7680000000000002E-2</v>
      </c>
      <c r="D461">
        <v>0.05</v>
      </c>
      <c r="E461">
        <v>5.1090000000000003E-2</v>
      </c>
      <c r="F461">
        <v>4414670.9000000004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-0.71614583333333315</v>
      </c>
      <c r="Q461">
        <f t="shared" si="980"/>
        <v>-3161548.170572916</v>
      </c>
      <c r="R461">
        <f t="shared" si="981"/>
        <v>-82250430.560498387</v>
      </c>
      <c r="S461">
        <f t="shared" si="982"/>
        <v>-822.50430560498387</v>
      </c>
      <c r="T461">
        <f t="shared" si="983"/>
        <v>-0.82250430560498389</v>
      </c>
    </row>
    <row r="462" spans="1:20" x14ac:dyDescent="0.25">
      <c r="A462" s="5">
        <v>44131</v>
      </c>
      <c r="B462">
        <v>5.4010000000000002E-2</v>
      </c>
      <c r="C462">
        <v>5.7000000000000002E-2</v>
      </c>
      <c r="D462">
        <v>5.2999999999999999E-2</v>
      </c>
      <c r="E462">
        <v>5.6329999999999998E-2</v>
      </c>
      <c r="F462">
        <v>4230989.0999999996</v>
      </c>
      <c r="G462">
        <v>0</v>
      </c>
      <c r="L462" t="s">
        <v>8</v>
      </c>
      <c r="M462" t="s">
        <v>7</v>
      </c>
      <c r="N462" t="s">
        <v>7</v>
      </c>
      <c r="P462">
        <f t="shared" si="979"/>
        <v>0.66499999999999837</v>
      </c>
      <c r="Q462">
        <f t="shared" si="980"/>
        <v>2813607.7514999928</v>
      </c>
      <c r="R462">
        <f t="shared" si="981"/>
        <v>-79088882.389925465</v>
      </c>
      <c r="S462">
        <f t="shared" si="982"/>
        <v>-790.8888238992547</v>
      </c>
      <c r="T462">
        <f t="shared" si="983"/>
        <v>-0.79088882389925474</v>
      </c>
    </row>
    <row r="463" spans="1:20" x14ac:dyDescent="0.25">
      <c r="A463" s="5">
        <v>44130</v>
      </c>
      <c r="B463">
        <v>5.4039999999999998E-2</v>
      </c>
      <c r="C463">
        <v>5.5489999999999998E-2</v>
      </c>
      <c r="D463">
        <v>5.0470000000000001E-2</v>
      </c>
      <c r="E463">
        <v>5.364E-2</v>
      </c>
      <c r="F463">
        <v>4735193.7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0.26294820717131528</v>
      </c>
      <c r="Q463">
        <f t="shared" si="980"/>
        <v>1245110.694023907</v>
      </c>
      <c r="R463">
        <f t="shared" si="981"/>
        <v>-81902490.141425461</v>
      </c>
      <c r="S463">
        <f t="shared" si="982"/>
        <v>-819.0249014142546</v>
      </c>
      <c r="T463">
        <f t="shared" si="983"/>
        <v>-0.81902490141425455</v>
      </c>
    </row>
    <row r="464" spans="1:20" x14ac:dyDescent="0.25">
      <c r="A464" s="5">
        <v>44129</v>
      </c>
      <c r="B464">
        <v>5.6189999999999997E-2</v>
      </c>
      <c r="C464">
        <v>5.7540000000000001E-2</v>
      </c>
      <c r="D464">
        <v>5.3539999999999997E-2</v>
      </c>
      <c r="E464">
        <v>5.4039999999999998E-2</v>
      </c>
      <c r="F464">
        <v>4011728.3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-0.75</v>
      </c>
      <c r="Q464">
        <f t="shared" si="980"/>
        <v>-3008796.2249999996</v>
      </c>
      <c r="R464">
        <f t="shared" si="981"/>
        <v>-83147600.835449368</v>
      </c>
      <c r="S464">
        <f t="shared" si="982"/>
        <v>-831.47600835449373</v>
      </c>
      <c r="T464">
        <f t="shared" si="983"/>
        <v>-0.83147600835449376</v>
      </c>
    </row>
    <row r="465" spans="1:20" x14ac:dyDescent="0.25">
      <c r="A465" s="5">
        <v>44128</v>
      </c>
      <c r="B465">
        <v>5.8700000000000002E-2</v>
      </c>
      <c r="C465">
        <v>5.8700000000000002E-2</v>
      </c>
      <c r="D465">
        <v>5.491E-2</v>
      </c>
      <c r="E465">
        <v>5.6180000000000001E-2</v>
      </c>
      <c r="F465">
        <v>10006613</v>
      </c>
      <c r="G465">
        <v>0</v>
      </c>
      <c r="L465" t="s">
        <v>7</v>
      </c>
      <c r="M465" t="s">
        <v>7</v>
      </c>
      <c r="N465" t="s">
        <v>7</v>
      </c>
      <c r="P465">
        <f t="shared" si="979"/>
        <v>-0.32981530343007931</v>
      </c>
      <c r="Q465">
        <f t="shared" si="980"/>
        <v>-3300334.1029023761</v>
      </c>
      <c r="R465">
        <f t="shared" si="981"/>
        <v>-80138804.610449374</v>
      </c>
      <c r="S465">
        <f t="shared" si="982"/>
        <v>-801.3880461044937</v>
      </c>
      <c r="T465">
        <f t="shared" si="983"/>
        <v>-0.80138804610449366</v>
      </c>
    </row>
    <row r="466" spans="1:20" x14ac:dyDescent="0.25">
      <c r="A466" s="5">
        <v>44127</v>
      </c>
      <c r="B466">
        <v>6.1370000000000001E-2</v>
      </c>
      <c r="C466">
        <v>6.2300000000000001E-2</v>
      </c>
      <c r="D466">
        <v>5.5829999999999998E-2</v>
      </c>
      <c r="E466">
        <v>5.8389999999999997E-2</v>
      </c>
      <c r="F466">
        <v>6458691.7999999998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-0.20865533230293712</v>
      </c>
      <c r="Q466">
        <f t="shared" si="980"/>
        <v>-1347640.483771255</v>
      </c>
      <c r="R466">
        <f t="shared" si="981"/>
        <v>-76838470.507546991</v>
      </c>
      <c r="S466">
        <f t="shared" si="982"/>
        <v>-768.38470507546992</v>
      </c>
      <c r="T466">
        <f t="shared" si="983"/>
        <v>-0.76838470507546996</v>
      </c>
    </row>
    <row r="467" spans="1:20" x14ac:dyDescent="0.25">
      <c r="A467" s="5">
        <v>44126</v>
      </c>
      <c r="B467">
        <v>5.9139999999999998E-2</v>
      </c>
      <c r="C467">
        <v>7.0000000000000007E-2</v>
      </c>
      <c r="D467">
        <v>5.8790000000000002E-2</v>
      </c>
      <c r="E467">
        <v>6.1519999999999998E-2</v>
      </c>
      <c r="F467">
        <v>8211339.7999999998</v>
      </c>
      <c r="G467">
        <v>0</v>
      </c>
      <c r="L467" t="s">
        <v>8</v>
      </c>
      <c r="M467" t="s">
        <v>8</v>
      </c>
      <c r="N467" t="s">
        <v>8</v>
      </c>
      <c r="P467">
        <f t="shared" si="979"/>
        <v>-0.51293487957181172</v>
      </c>
      <c r="Q467">
        <f t="shared" si="980"/>
        <v>-4211882.5914362241</v>
      </c>
      <c r="R467">
        <f t="shared" si="981"/>
        <v>-75490830.023775741</v>
      </c>
      <c r="S467">
        <f t="shared" si="982"/>
        <v>-754.90830023775743</v>
      </c>
      <c r="T467">
        <f t="shared" si="983"/>
        <v>-0.75490830023775746</v>
      </c>
    </row>
    <row r="468" spans="1:20" x14ac:dyDescent="0.25">
      <c r="A468" s="5">
        <v>44125</v>
      </c>
      <c r="B468">
        <v>5.79E-2</v>
      </c>
      <c r="C468">
        <v>6.2E-2</v>
      </c>
      <c r="D468">
        <v>5.7410000000000003E-2</v>
      </c>
      <c r="E468">
        <v>5.8779999999999999E-2</v>
      </c>
      <c r="F468">
        <v>3933453.7</v>
      </c>
      <c r="G468">
        <v>0</v>
      </c>
      <c r="L468" t="s">
        <v>8</v>
      </c>
      <c r="M468" t="s">
        <v>7</v>
      </c>
      <c r="N468" t="s">
        <v>8</v>
      </c>
      <c r="P468">
        <f t="shared" si="979"/>
        <v>-0.40305010893246312</v>
      </c>
      <c r="Q468">
        <f t="shared" si="980"/>
        <v>-1585378.9422658002</v>
      </c>
      <c r="R468">
        <f t="shared" si="981"/>
        <v>-71278947.432339519</v>
      </c>
      <c r="S468">
        <f t="shared" si="982"/>
        <v>-712.78947432339521</v>
      </c>
      <c r="T468">
        <f t="shared" si="983"/>
        <v>-0.71278947432339523</v>
      </c>
    </row>
    <row r="469" spans="1:20" x14ac:dyDescent="0.25">
      <c r="A469" s="5">
        <v>44124</v>
      </c>
      <c r="B469">
        <v>6.3439999999999996E-2</v>
      </c>
      <c r="C469">
        <v>6.4549999999999996E-2</v>
      </c>
      <c r="D469">
        <v>5.7509999999999999E-2</v>
      </c>
      <c r="E469">
        <v>5.79E-2</v>
      </c>
      <c r="F469">
        <v>3672447.2</v>
      </c>
      <c r="G469">
        <v>0</v>
      </c>
      <c r="L469" t="s">
        <v>7</v>
      </c>
      <c r="M469" t="s">
        <v>7</v>
      </c>
      <c r="N469" t="s">
        <v>8</v>
      </c>
      <c r="P469">
        <f t="shared" si="979"/>
        <v>-0.88920454545454497</v>
      </c>
      <c r="Q469">
        <f t="shared" si="980"/>
        <v>-3265556.7431818168</v>
      </c>
      <c r="R469">
        <f t="shared" si="981"/>
        <v>-69693568.490073726</v>
      </c>
      <c r="S469">
        <f t="shared" si="982"/>
        <v>-696.93568490073721</v>
      </c>
      <c r="T469">
        <f t="shared" si="983"/>
        <v>-0.69693568490073721</v>
      </c>
    </row>
    <row r="470" spans="1:20" x14ac:dyDescent="0.25">
      <c r="A470" s="5">
        <v>44123</v>
      </c>
      <c r="B470">
        <v>6.6559999999999994E-2</v>
      </c>
      <c r="C470">
        <v>6.6989999999999994E-2</v>
      </c>
      <c r="D470">
        <v>6.2719999999999998E-2</v>
      </c>
      <c r="E470">
        <v>6.3490000000000005E-2</v>
      </c>
      <c r="F470">
        <v>2726559.3</v>
      </c>
      <c r="G470">
        <v>0</v>
      </c>
      <c r="L470" t="s">
        <v>7</v>
      </c>
      <c r="M470" t="s">
        <v>7</v>
      </c>
      <c r="N470" t="s">
        <v>8</v>
      </c>
      <c r="P470">
        <f t="shared" si="979"/>
        <v>-0.63934426229507846</v>
      </c>
      <c r="Q470">
        <f t="shared" si="980"/>
        <v>-1743210.0442622853</v>
      </c>
      <c r="R470">
        <f t="shared" si="981"/>
        <v>-66428011.746891916</v>
      </c>
      <c r="S470">
        <f t="shared" si="982"/>
        <v>-664.28011746891912</v>
      </c>
      <c r="T470">
        <f t="shared" si="983"/>
        <v>-0.66428011746891913</v>
      </c>
    </row>
    <row r="471" spans="1:20" x14ac:dyDescent="0.25">
      <c r="A471" s="5">
        <v>44122</v>
      </c>
      <c r="B471">
        <v>6.4879999999999993E-2</v>
      </c>
      <c r="C471">
        <v>7.0000000000000007E-2</v>
      </c>
      <c r="D471">
        <v>6.3380000000000006E-2</v>
      </c>
      <c r="E471">
        <v>6.6479999999999997E-2</v>
      </c>
      <c r="F471">
        <v>5014886.8</v>
      </c>
      <c r="G471">
        <v>0</v>
      </c>
      <c r="L471" t="s">
        <v>8</v>
      </c>
      <c r="M471" t="s">
        <v>7</v>
      </c>
      <c r="N471" t="s">
        <v>8</v>
      </c>
      <c r="P471">
        <f t="shared" si="979"/>
        <v>-6.3444108761331955E-2</v>
      </c>
      <c r="Q471">
        <f t="shared" si="980"/>
        <v>-318165.02356496797</v>
      </c>
      <c r="R471">
        <f t="shared" si="981"/>
        <v>-64684801.702629633</v>
      </c>
      <c r="S471">
        <f t="shared" si="982"/>
        <v>-646.84801702629636</v>
      </c>
      <c r="T471">
        <f t="shared" si="983"/>
        <v>-0.64684801702629635</v>
      </c>
    </row>
    <row r="472" spans="1:20" x14ac:dyDescent="0.25">
      <c r="A472" s="5">
        <v>44121</v>
      </c>
      <c r="B472">
        <v>6.1339999999999999E-2</v>
      </c>
      <c r="C472">
        <v>6.6900000000000001E-2</v>
      </c>
      <c r="D472">
        <v>6.0400000000000002E-2</v>
      </c>
      <c r="E472">
        <v>6.4810000000000006E-2</v>
      </c>
      <c r="F472">
        <v>2751243.9</v>
      </c>
      <c r="G472">
        <v>0</v>
      </c>
      <c r="L472" t="s">
        <v>8</v>
      </c>
      <c r="M472" t="s">
        <v>7</v>
      </c>
      <c r="N472" t="s">
        <v>8</v>
      </c>
      <c r="P472">
        <f t="shared" si="979"/>
        <v>0.35692307692307845</v>
      </c>
      <c r="Q472">
        <f t="shared" si="980"/>
        <v>981982.43815385038</v>
      </c>
      <c r="R472">
        <f t="shared" si="981"/>
        <v>-64366636.679064669</v>
      </c>
      <c r="S472">
        <f t="shared" si="982"/>
        <v>-643.66636679064663</v>
      </c>
      <c r="T472">
        <f t="shared" si="983"/>
        <v>-0.64366636679064659</v>
      </c>
    </row>
    <row r="473" spans="1:20" x14ac:dyDescent="0.25">
      <c r="A473" s="5">
        <v>44120</v>
      </c>
      <c r="B473">
        <v>6.4430000000000001E-2</v>
      </c>
      <c r="C473">
        <v>6.6860000000000003E-2</v>
      </c>
      <c r="D473">
        <v>6.0040000000000003E-2</v>
      </c>
      <c r="E473">
        <v>6.1170000000000002E-2</v>
      </c>
      <c r="F473">
        <v>4144812.6</v>
      </c>
      <c r="G473">
        <v>0</v>
      </c>
      <c r="L473" t="s">
        <v>7</v>
      </c>
      <c r="M473" t="s">
        <v>7</v>
      </c>
      <c r="N473" t="s">
        <v>8</v>
      </c>
      <c r="P473">
        <f t="shared" si="979"/>
        <v>-0.66862170087976569</v>
      </c>
      <c r="Q473">
        <f t="shared" si="980"/>
        <v>-2771311.650439884</v>
      </c>
      <c r="R473">
        <f t="shared" si="981"/>
        <v>-65348619.117218517</v>
      </c>
      <c r="S473">
        <f t="shared" si="982"/>
        <v>-653.48619117218516</v>
      </c>
      <c r="T473">
        <f t="shared" si="983"/>
        <v>-0.6534861911721852</v>
      </c>
    </row>
    <row r="474" spans="1:20" x14ac:dyDescent="0.25">
      <c r="A474" s="5">
        <v>44119</v>
      </c>
      <c r="B474">
        <v>6.8040000000000003E-2</v>
      </c>
      <c r="C474">
        <v>6.8239999999999995E-2</v>
      </c>
      <c r="D474">
        <v>6.2260000000000003E-2</v>
      </c>
      <c r="E474">
        <v>6.4619999999999997E-2</v>
      </c>
      <c r="F474">
        <v>4598306.3</v>
      </c>
      <c r="G474">
        <v>0</v>
      </c>
      <c r="L474" t="s">
        <v>7</v>
      </c>
      <c r="M474" t="s">
        <v>7</v>
      </c>
      <c r="N474" t="s">
        <v>8</v>
      </c>
      <c r="P474">
        <f t="shared" si="979"/>
        <v>-0.21070234113712472</v>
      </c>
      <c r="Q474">
        <f t="shared" si="980"/>
        <v>-968873.90267558966</v>
      </c>
      <c r="R474">
        <f t="shared" si="981"/>
        <v>-62577307.466778636</v>
      </c>
      <c r="S474">
        <f t="shared" si="982"/>
        <v>-625.77307466778632</v>
      </c>
      <c r="T474">
        <f t="shared" si="983"/>
        <v>-0.62577307466778631</v>
      </c>
    </row>
    <row r="475" spans="1:20" x14ac:dyDescent="0.25">
      <c r="A475" s="5">
        <v>44118</v>
      </c>
      <c r="B475">
        <v>6.8640000000000007E-2</v>
      </c>
      <c r="C475">
        <v>7.1999999999999995E-2</v>
      </c>
      <c r="D475">
        <v>6.6110000000000002E-2</v>
      </c>
      <c r="E475">
        <v>6.8250000000000005E-2</v>
      </c>
      <c r="F475">
        <v>5278906.7</v>
      </c>
      <c r="G475">
        <v>0</v>
      </c>
      <c r="L475" t="s">
        <v>7</v>
      </c>
      <c r="M475" t="s">
        <v>8</v>
      </c>
      <c r="N475" t="s">
        <v>8</v>
      </c>
      <c r="P475">
        <f t="shared" si="979"/>
        <v>-0.27334465195245983</v>
      </c>
      <c r="Q475">
        <f t="shared" si="980"/>
        <v>-1442960.9146010084</v>
      </c>
      <c r="R475">
        <f t="shared" si="981"/>
        <v>-61608433.564103045</v>
      </c>
      <c r="S475">
        <f t="shared" si="982"/>
        <v>-616.08433564103041</v>
      </c>
      <c r="T475">
        <f t="shared" si="983"/>
        <v>-0.61608433564103038</v>
      </c>
    </row>
    <row r="476" spans="1:20" x14ac:dyDescent="0.25">
      <c r="A476" s="5">
        <v>44117</v>
      </c>
      <c r="B476">
        <v>7.1249999999999994E-2</v>
      </c>
      <c r="C476">
        <v>7.2139999999999996E-2</v>
      </c>
      <c r="D476">
        <v>6.7199999999999996E-2</v>
      </c>
      <c r="E476">
        <v>6.9169999999999995E-2</v>
      </c>
      <c r="F476">
        <v>4581320.8</v>
      </c>
      <c r="G476">
        <v>0</v>
      </c>
      <c r="L476" t="s">
        <v>7</v>
      </c>
      <c r="M476" t="s">
        <v>8</v>
      </c>
      <c r="N476" t="s">
        <v>8</v>
      </c>
      <c r="P476">
        <f t="shared" si="979"/>
        <v>-0.20242914979757104</v>
      </c>
      <c r="Q476">
        <f t="shared" si="980"/>
        <v>-927392.87449392793</v>
      </c>
      <c r="R476">
        <f t="shared" si="981"/>
        <v>-60165472.649502039</v>
      </c>
      <c r="S476">
        <f t="shared" si="982"/>
        <v>-601.65472649502044</v>
      </c>
      <c r="T476">
        <f t="shared" si="983"/>
        <v>-0.60165472649502039</v>
      </c>
    </row>
    <row r="477" spans="1:20" x14ac:dyDescent="0.25">
      <c r="A477" s="5">
        <v>44116</v>
      </c>
      <c r="B477">
        <v>6.8099999999999994E-2</v>
      </c>
      <c r="C477">
        <v>7.8299999999999995E-2</v>
      </c>
      <c r="D477">
        <v>6.8089999999999998E-2</v>
      </c>
      <c r="E477">
        <v>7.1510000000000004E-2</v>
      </c>
      <c r="F477">
        <v>19251522.199999999</v>
      </c>
      <c r="G477">
        <v>0</v>
      </c>
      <c r="L477" t="s">
        <v>8</v>
      </c>
      <c r="M477" t="s">
        <v>8</v>
      </c>
      <c r="N477" t="s">
        <v>8</v>
      </c>
      <c r="P477">
        <f t="shared" si="979"/>
        <v>-0.3300685602350622</v>
      </c>
      <c r="Q477">
        <f t="shared" si="980"/>
        <v>-6354322.2148873368</v>
      </c>
      <c r="R477">
        <f t="shared" si="981"/>
        <v>-59238079.775008112</v>
      </c>
      <c r="S477">
        <f t="shared" si="982"/>
        <v>-592.38079775008111</v>
      </c>
      <c r="T477">
        <f t="shared" si="983"/>
        <v>-0.59238079775008112</v>
      </c>
    </row>
    <row r="478" spans="1:20" x14ac:dyDescent="0.25">
      <c r="A478" s="5">
        <v>44115</v>
      </c>
      <c r="B478">
        <v>5.9580000000000001E-2</v>
      </c>
      <c r="C478">
        <v>7.1300000000000002E-2</v>
      </c>
      <c r="D478">
        <v>5.8549999999999998E-2</v>
      </c>
      <c r="E478">
        <v>6.8089999999999998E-2</v>
      </c>
      <c r="F478">
        <v>12032937.699999999</v>
      </c>
      <c r="G478">
        <v>0</v>
      </c>
      <c r="L478" t="s">
        <v>8</v>
      </c>
      <c r="M478" t="s">
        <v>8</v>
      </c>
      <c r="N478" t="s">
        <v>8</v>
      </c>
      <c r="P478">
        <f t="shared" si="979"/>
        <v>0.49647058823529361</v>
      </c>
      <c r="Q478">
        <f t="shared" si="980"/>
        <v>5973999.6581176408</v>
      </c>
      <c r="R478">
        <f t="shared" si="981"/>
        <v>-52883757.560120776</v>
      </c>
      <c r="S478">
        <f t="shared" si="982"/>
        <v>-528.83757560120773</v>
      </c>
      <c r="T478">
        <f t="shared" si="983"/>
        <v>-0.5288375756012077</v>
      </c>
    </row>
    <row r="479" spans="1:20" x14ac:dyDescent="0.25">
      <c r="A479" s="5">
        <v>44114</v>
      </c>
      <c r="B479">
        <v>6.2719999999999998E-2</v>
      </c>
      <c r="C479">
        <v>6.4399999999999999E-2</v>
      </c>
      <c r="D479">
        <v>5.8599999999999999E-2</v>
      </c>
      <c r="E479">
        <v>5.9549999999999999E-2</v>
      </c>
      <c r="F479">
        <v>4421797</v>
      </c>
      <c r="G479">
        <v>0</v>
      </c>
      <c r="L479" t="s">
        <v>7</v>
      </c>
      <c r="M479" t="s">
        <v>8</v>
      </c>
      <c r="N479" t="s">
        <v>7</v>
      </c>
      <c r="P479">
        <f t="shared" si="979"/>
        <v>-0.6724137931034484</v>
      </c>
      <c r="Q479">
        <f t="shared" si="980"/>
        <v>-2973277.293103449</v>
      </c>
      <c r="R479">
        <f t="shared" si="981"/>
        <v>-58857757.218238421</v>
      </c>
      <c r="S479">
        <f t="shared" si="982"/>
        <v>-588.57757218238419</v>
      </c>
      <c r="T479">
        <f t="shared" si="983"/>
        <v>-0.58857757218238416</v>
      </c>
    </row>
    <row r="480" spans="1:20" x14ac:dyDescent="0.25">
      <c r="A480" s="5">
        <v>44113</v>
      </c>
      <c r="B480">
        <v>5.7680000000000002E-2</v>
      </c>
      <c r="C480">
        <v>6.4560000000000006E-2</v>
      </c>
      <c r="D480">
        <v>5.5169999999999997E-2</v>
      </c>
      <c r="E480">
        <v>6.2789999999999999E-2</v>
      </c>
      <c r="F480">
        <v>6973123.9000000004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0.62300319488817768</v>
      </c>
      <c r="Q480">
        <f t="shared" si="980"/>
        <v>4344278.4680511095</v>
      </c>
      <c r="R480">
        <f t="shared" si="981"/>
        <v>-55884479.925134972</v>
      </c>
      <c r="S480">
        <f t="shared" si="982"/>
        <v>-558.84479925134974</v>
      </c>
      <c r="T480">
        <f t="shared" si="983"/>
        <v>-0.55884479925134978</v>
      </c>
    </row>
    <row r="481" spans="1:20" x14ac:dyDescent="0.25">
      <c r="A481" s="5">
        <v>44112</v>
      </c>
      <c r="B481">
        <v>5.5919999999999997E-2</v>
      </c>
      <c r="C481">
        <v>5.8099999999999999E-2</v>
      </c>
      <c r="D481">
        <v>5.2049999999999999E-2</v>
      </c>
      <c r="E481">
        <v>5.7680000000000002E-2</v>
      </c>
      <c r="F481">
        <v>2907717.7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0.86115702479338951</v>
      </c>
      <c r="Q481">
        <f t="shared" si="980"/>
        <v>2504001.5234710779</v>
      </c>
      <c r="R481">
        <f t="shared" si="981"/>
        <v>-60228758.393186077</v>
      </c>
      <c r="S481">
        <f t="shared" si="982"/>
        <v>-602.28758393186081</v>
      </c>
      <c r="T481">
        <f t="shared" si="983"/>
        <v>-0.60228758393186077</v>
      </c>
    </row>
    <row r="482" spans="1:20" x14ac:dyDescent="0.25">
      <c r="A482" s="5">
        <v>44111</v>
      </c>
      <c r="B482">
        <v>5.2589999999999998E-2</v>
      </c>
      <c r="C482">
        <v>5.8540000000000002E-2</v>
      </c>
      <c r="D482">
        <v>5.006E-2</v>
      </c>
      <c r="E482">
        <v>5.6480000000000002E-2</v>
      </c>
      <c r="F482">
        <v>2669458.7000000002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0.51415094339622669</v>
      </c>
      <c r="Q482">
        <f t="shared" si="980"/>
        <v>1372504.7089622649</v>
      </c>
      <c r="R482">
        <f t="shared" si="981"/>
        <v>-62732759.916657157</v>
      </c>
      <c r="S482">
        <f t="shared" si="982"/>
        <v>-627.32759916657153</v>
      </c>
      <c r="T482">
        <f t="shared" si="983"/>
        <v>-0.62732759916657155</v>
      </c>
    </row>
    <row r="483" spans="1:20" x14ac:dyDescent="0.25">
      <c r="A483" s="5">
        <v>44110</v>
      </c>
      <c r="B483">
        <v>6.1150000000000003E-2</v>
      </c>
      <c r="C483">
        <v>6.132E-2</v>
      </c>
      <c r="D483">
        <v>5.1400000000000001E-2</v>
      </c>
      <c r="E483">
        <v>5.28E-2</v>
      </c>
      <c r="F483">
        <v>4306205.5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-0.71774193548387122</v>
      </c>
      <c r="Q483">
        <f t="shared" si="980"/>
        <v>-3090744.2701612916</v>
      </c>
      <c r="R483">
        <f t="shared" si="981"/>
        <v>-64105264.625619419</v>
      </c>
      <c r="S483">
        <f t="shared" si="982"/>
        <v>-641.05264625619418</v>
      </c>
      <c r="T483">
        <f t="shared" si="983"/>
        <v>-0.64105264625619418</v>
      </c>
    </row>
    <row r="484" spans="1:20" x14ac:dyDescent="0.25">
      <c r="A484" s="5">
        <v>44109</v>
      </c>
      <c r="B484">
        <v>6.5640000000000004E-2</v>
      </c>
      <c r="C484">
        <v>6.7699999999999996E-2</v>
      </c>
      <c r="D484">
        <v>6.0879999999999997E-2</v>
      </c>
      <c r="E484">
        <v>6.1150000000000003E-2</v>
      </c>
      <c r="F484">
        <v>5511732.5999999996</v>
      </c>
      <c r="G484">
        <v>0</v>
      </c>
      <c r="L484" t="s">
        <v>7</v>
      </c>
      <c r="M484" t="s">
        <v>7</v>
      </c>
      <c r="N484" t="s">
        <v>8</v>
      </c>
      <c r="P484">
        <f t="shared" si="979"/>
        <v>-0.92082111436949965</v>
      </c>
      <c r="Q484">
        <f t="shared" si="980"/>
        <v>-5075319.7548386995</v>
      </c>
      <c r="R484">
        <f t="shared" si="981"/>
        <v>-61014520.355458125</v>
      </c>
      <c r="S484">
        <f t="shared" si="982"/>
        <v>-610.14520355458126</v>
      </c>
      <c r="T484">
        <f t="shared" si="983"/>
        <v>-0.61014520355458124</v>
      </c>
    </row>
    <row r="485" spans="1:20" x14ac:dyDescent="0.25">
      <c r="A485" s="5">
        <v>44108</v>
      </c>
      <c r="B485">
        <v>5.9549999999999999E-2</v>
      </c>
      <c r="C485">
        <v>6.8000000000000005E-2</v>
      </c>
      <c r="D485">
        <v>5.7660000000000003E-2</v>
      </c>
      <c r="E485">
        <v>6.5640000000000004E-2</v>
      </c>
      <c r="F485">
        <v>7782760.9000000004</v>
      </c>
      <c r="G485">
        <v>0</v>
      </c>
      <c r="L485" t="s">
        <v>8</v>
      </c>
      <c r="M485" t="s">
        <v>7</v>
      </c>
      <c r="N485" t="s">
        <v>8</v>
      </c>
      <c r="P485">
        <f t="shared" si="979"/>
        <v>0.5435203094777562</v>
      </c>
      <c r="Q485">
        <f t="shared" si="980"/>
        <v>4230088.6129593803</v>
      </c>
      <c r="R485">
        <f t="shared" si="981"/>
        <v>-55939200.600619428</v>
      </c>
      <c r="S485">
        <f t="shared" si="982"/>
        <v>-559.39200600619426</v>
      </c>
      <c r="T485">
        <f t="shared" si="983"/>
        <v>-0.55939200600619432</v>
      </c>
    </row>
    <row r="486" spans="1:20" x14ac:dyDescent="0.25">
      <c r="A486" s="5">
        <v>44107</v>
      </c>
      <c r="B486">
        <v>5.9880000000000003E-2</v>
      </c>
      <c r="C486">
        <v>6.1350000000000002E-2</v>
      </c>
      <c r="D486">
        <v>5.8360000000000002E-2</v>
      </c>
      <c r="E486">
        <v>5.9720000000000002E-2</v>
      </c>
      <c r="F486">
        <v>3000310</v>
      </c>
      <c r="G486">
        <v>0</v>
      </c>
      <c r="L486" t="s">
        <v>8</v>
      </c>
      <c r="M486" t="s">
        <v>7</v>
      </c>
      <c r="N486" t="s">
        <v>8</v>
      </c>
      <c r="P486">
        <f t="shared" si="979"/>
        <v>-9.030100334448142E-2</v>
      </c>
      <c r="Q486">
        <f t="shared" si="980"/>
        <v>-270931.00334448105</v>
      </c>
      <c r="R486">
        <f t="shared" si="981"/>
        <v>-60169289.213578805</v>
      </c>
      <c r="S486">
        <f t="shared" si="982"/>
        <v>-601.69289213578804</v>
      </c>
      <c r="T486">
        <f t="shared" si="983"/>
        <v>-0.60169289213578803</v>
      </c>
    </row>
    <row r="487" spans="1:20" x14ac:dyDescent="0.25">
      <c r="A487" s="5">
        <v>44106</v>
      </c>
      <c r="B487">
        <v>6.6089999999999996E-2</v>
      </c>
      <c r="C487">
        <v>6.769E-2</v>
      </c>
      <c r="D487">
        <v>5.6890000000000003E-2</v>
      </c>
      <c r="E487">
        <v>5.9310000000000002E-2</v>
      </c>
      <c r="F487">
        <v>6229210.5999999996</v>
      </c>
      <c r="G487">
        <v>0</v>
      </c>
      <c r="L487" t="s">
        <v>7</v>
      </c>
      <c r="M487" t="s">
        <v>7</v>
      </c>
      <c r="N487" t="s">
        <v>8</v>
      </c>
      <c r="P487">
        <f t="shared" si="979"/>
        <v>-0.55185185185185204</v>
      </c>
      <c r="Q487">
        <f t="shared" si="980"/>
        <v>-3437601.4051851863</v>
      </c>
      <c r="R487">
        <f t="shared" si="981"/>
        <v>-59898358.210234322</v>
      </c>
      <c r="S487">
        <f t="shared" si="982"/>
        <v>-598.98358210234323</v>
      </c>
      <c r="T487">
        <f t="shared" si="983"/>
        <v>-0.59898358210234326</v>
      </c>
    </row>
    <row r="488" spans="1:20" x14ac:dyDescent="0.25">
      <c r="A488" s="5">
        <v>44105</v>
      </c>
      <c r="B488">
        <v>7.0739999999999997E-2</v>
      </c>
      <c r="C488">
        <v>7.2559999999999999E-2</v>
      </c>
      <c r="D488">
        <v>6.2399999999999997E-2</v>
      </c>
      <c r="E488">
        <v>6.6420000000000007E-2</v>
      </c>
      <c r="F488">
        <v>6800658.5</v>
      </c>
      <c r="G488">
        <v>0</v>
      </c>
      <c r="L488" t="s">
        <v>7</v>
      </c>
      <c r="M488" t="s">
        <v>8</v>
      </c>
      <c r="N488" t="s">
        <v>8</v>
      </c>
      <c r="P488">
        <f t="shared" si="979"/>
        <v>-0.20866141732283291</v>
      </c>
      <c r="Q488">
        <f t="shared" si="980"/>
        <v>-1419035.0413385709</v>
      </c>
      <c r="R488">
        <f t="shared" si="981"/>
        <v>-56460756.805049136</v>
      </c>
      <c r="S488">
        <f t="shared" si="982"/>
        <v>-564.60756805049141</v>
      </c>
      <c r="T488">
        <f t="shared" si="983"/>
        <v>-0.56460756805049139</v>
      </c>
    </row>
    <row r="489" spans="1:20" x14ac:dyDescent="0.25">
      <c r="A489" s="5">
        <v>44104</v>
      </c>
      <c r="B489">
        <v>7.009E-2</v>
      </c>
      <c r="C489">
        <v>7.3249999999999996E-2</v>
      </c>
      <c r="D489">
        <v>6.8019999999999997E-2</v>
      </c>
      <c r="E489">
        <v>7.0499999999999993E-2</v>
      </c>
      <c r="F489">
        <v>4265744.3</v>
      </c>
      <c r="G489">
        <v>0</v>
      </c>
      <c r="L489" t="s">
        <v>8</v>
      </c>
      <c r="M489" t="s">
        <v>8</v>
      </c>
      <c r="N489" t="s">
        <v>8</v>
      </c>
      <c r="P489">
        <f t="shared" si="979"/>
        <v>-5.1625239005737365E-2</v>
      </c>
      <c r="Q489">
        <f t="shared" si="980"/>
        <v>-220220.06902486182</v>
      </c>
      <c r="R489">
        <f t="shared" si="981"/>
        <v>-55041721.763710566</v>
      </c>
      <c r="S489">
        <f t="shared" si="982"/>
        <v>-550.41721763710564</v>
      </c>
      <c r="T489">
        <f t="shared" si="983"/>
        <v>-0.5504172176371056</v>
      </c>
    </row>
    <row r="490" spans="1:20" x14ac:dyDescent="0.25">
      <c r="A490" s="5">
        <v>44103</v>
      </c>
      <c r="B490">
        <v>6.7479999999999998E-2</v>
      </c>
      <c r="C490">
        <v>7.2489999999999999E-2</v>
      </c>
      <c r="D490">
        <v>6.6449999999999995E-2</v>
      </c>
      <c r="E490">
        <v>6.9919999999999996E-2</v>
      </c>
      <c r="F490">
        <v>6617295.2999999998</v>
      </c>
      <c r="G490">
        <v>0</v>
      </c>
      <c r="L490" t="s">
        <v>7</v>
      </c>
      <c r="M490" t="s">
        <v>8</v>
      </c>
      <c r="N490" t="s">
        <v>8</v>
      </c>
      <c r="P490">
        <f t="shared" si="979"/>
        <v>0.14900662251655589</v>
      </c>
      <c r="Q490">
        <f t="shared" si="980"/>
        <v>986020.82284767937</v>
      </c>
      <c r="R490">
        <f t="shared" si="981"/>
        <v>-54821501.694685705</v>
      </c>
      <c r="S490">
        <f t="shared" si="982"/>
        <v>-548.21501694685708</v>
      </c>
      <c r="T490">
        <f t="shared" si="983"/>
        <v>-0.54821501694685704</v>
      </c>
    </row>
    <row r="491" spans="1:20" x14ac:dyDescent="0.25">
      <c r="A491" s="5">
        <v>44102</v>
      </c>
      <c r="B491">
        <v>6.6360000000000002E-2</v>
      </c>
      <c r="C491">
        <v>7.4999999999999997E-2</v>
      </c>
      <c r="D491">
        <v>6.2239999999999997E-2</v>
      </c>
      <c r="E491">
        <v>6.7820000000000005E-2</v>
      </c>
      <c r="F491">
        <v>12000355.800000001</v>
      </c>
      <c r="G491">
        <v>0</v>
      </c>
      <c r="L491" t="s">
        <v>8</v>
      </c>
      <c r="M491" t="s">
        <v>8</v>
      </c>
      <c r="N491" t="s">
        <v>8</v>
      </c>
      <c r="P491">
        <f t="shared" si="979"/>
        <v>-0.12539184952977925</v>
      </c>
      <c r="Q491">
        <f t="shared" si="980"/>
        <v>-1504746.8087774138</v>
      </c>
      <c r="R491">
        <f t="shared" si="981"/>
        <v>-55807522.517533384</v>
      </c>
      <c r="S491">
        <f t="shared" si="982"/>
        <v>-558.0752251753338</v>
      </c>
      <c r="T491">
        <f t="shared" si="983"/>
        <v>-0.55807522517533381</v>
      </c>
    </row>
    <row r="492" spans="1:20" x14ac:dyDescent="0.25">
      <c r="A492" s="5">
        <v>44101</v>
      </c>
      <c r="B492">
        <v>6.479E-2</v>
      </c>
      <c r="C492">
        <v>6.9959999999999994E-2</v>
      </c>
      <c r="D492">
        <v>6.1800000000000001E-2</v>
      </c>
      <c r="E492">
        <v>6.6290000000000002E-2</v>
      </c>
      <c r="F492">
        <v>6288871.9000000004</v>
      </c>
      <c r="G492">
        <v>0</v>
      </c>
      <c r="L492" t="s">
        <v>8</v>
      </c>
      <c r="M492" t="s">
        <v>8</v>
      </c>
      <c r="N492" t="s">
        <v>8</v>
      </c>
      <c r="P492">
        <f t="shared" si="979"/>
        <v>0.10049019607843246</v>
      </c>
      <c r="Q492">
        <f t="shared" si="980"/>
        <v>631969.97034314414</v>
      </c>
      <c r="R492">
        <f t="shared" si="981"/>
        <v>-54302775.70875597</v>
      </c>
      <c r="S492">
        <f t="shared" si="982"/>
        <v>-543.02775708755973</v>
      </c>
      <c r="T492">
        <f t="shared" si="983"/>
        <v>-0.54302775708755968</v>
      </c>
    </row>
    <row r="493" spans="1:20" x14ac:dyDescent="0.25">
      <c r="A493" s="5">
        <v>44100</v>
      </c>
      <c r="B493">
        <v>6.216E-2</v>
      </c>
      <c r="C493">
        <v>6.6320000000000004E-2</v>
      </c>
      <c r="D493">
        <v>6.0679999999999998E-2</v>
      </c>
      <c r="E493">
        <v>6.4780000000000004E-2</v>
      </c>
      <c r="F493">
        <v>4119161.1</v>
      </c>
      <c r="G493">
        <v>0</v>
      </c>
      <c r="L493" t="s">
        <v>7</v>
      </c>
      <c r="M493" t="s">
        <v>8</v>
      </c>
      <c r="N493" t="s">
        <v>7</v>
      </c>
      <c r="P493">
        <f t="shared" si="979"/>
        <v>0.45390070921985887</v>
      </c>
      <c r="Q493">
        <f t="shared" si="980"/>
        <v>1869690.1446808539</v>
      </c>
      <c r="R493">
        <f t="shared" si="981"/>
        <v>-54934745.679099113</v>
      </c>
      <c r="S493">
        <f t="shared" si="982"/>
        <v>-549.34745679099115</v>
      </c>
      <c r="T493">
        <f t="shared" si="983"/>
        <v>-0.54934745679099117</v>
      </c>
    </row>
    <row r="494" spans="1:20" x14ac:dyDescent="0.25">
      <c r="A494" s="5">
        <v>44099</v>
      </c>
      <c r="B494">
        <v>6.2239999999999997E-2</v>
      </c>
      <c r="C494">
        <v>6.5809999999999994E-2</v>
      </c>
      <c r="D494">
        <v>5.8220000000000001E-2</v>
      </c>
      <c r="E494">
        <v>6.216E-2</v>
      </c>
      <c r="F494">
        <v>5844324.2999999998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3.8208168642952019E-2</v>
      </c>
      <c r="Q494">
        <f t="shared" si="980"/>
        <v>223300.92845850249</v>
      </c>
      <c r="R494">
        <f t="shared" si="981"/>
        <v>-56804435.823779963</v>
      </c>
      <c r="S494">
        <f t="shared" si="982"/>
        <v>-568.04435823779966</v>
      </c>
      <c r="T494">
        <f t="shared" si="983"/>
        <v>-0.56804435823779964</v>
      </c>
    </row>
    <row r="495" spans="1:20" x14ac:dyDescent="0.25">
      <c r="A495" s="5">
        <v>44098</v>
      </c>
      <c r="B495">
        <v>5.1799999999999999E-2</v>
      </c>
      <c r="C495">
        <v>6.6979999999999998E-2</v>
      </c>
      <c r="D495">
        <v>5.0709999999999998E-2</v>
      </c>
      <c r="E495">
        <v>6.2239999999999997E-2</v>
      </c>
      <c r="F495">
        <v>38588974.399999999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0.41733251382913322</v>
      </c>
      <c r="Q495">
        <f t="shared" si="980"/>
        <v>16104433.692440066</v>
      </c>
      <c r="R495">
        <f t="shared" si="981"/>
        <v>-57027736.752238467</v>
      </c>
      <c r="S495">
        <f t="shared" si="982"/>
        <v>-570.27736752238468</v>
      </c>
      <c r="T495">
        <f t="shared" si="983"/>
        <v>-0.57027736752238467</v>
      </c>
    </row>
    <row r="496" spans="1:20" x14ac:dyDescent="0.25">
      <c r="A496" s="5">
        <v>44097</v>
      </c>
      <c r="B496">
        <v>4.6809999999999997E-2</v>
      </c>
      <c r="C496">
        <v>7.3999999999999996E-2</v>
      </c>
      <c r="D496">
        <v>4.2999999999999997E-2</v>
      </c>
      <c r="E496">
        <v>5.1799999999999999E-2</v>
      </c>
      <c r="F496">
        <v>55887627.200000003</v>
      </c>
      <c r="G496">
        <v>0</v>
      </c>
      <c r="L496" t="s">
        <v>8</v>
      </c>
      <c r="M496" t="s">
        <v>8</v>
      </c>
      <c r="N496" t="s">
        <v>8</v>
      </c>
      <c r="P496">
        <f t="shared" si="979"/>
        <v>-0.43225806451612886</v>
      </c>
      <c r="Q496">
        <f t="shared" si="980"/>
        <v>-24157877.563870959</v>
      </c>
      <c r="R496">
        <f t="shared" si="981"/>
        <v>-73132170.44467853</v>
      </c>
      <c r="S496">
        <f t="shared" si="982"/>
        <v>-731.32170444678525</v>
      </c>
      <c r="T496">
        <f t="shared" si="983"/>
        <v>-0.73132170444678524</v>
      </c>
    </row>
    <row r="497" spans="1:20" x14ac:dyDescent="0.25">
      <c r="A497" s="5">
        <v>44096</v>
      </c>
      <c r="B497">
        <v>4.5220000000000003E-2</v>
      </c>
      <c r="C497">
        <v>4.8739999999999999E-2</v>
      </c>
      <c r="D497">
        <v>4.274E-2</v>
      </c>
      <c r="E497">
        <v>4.7129999999999998E-2</v>
      </c>
      <c r="F497">
        <v>8806620.0999999996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0.4633333333333331</v>
      </c>
      <c r="Q497">
        <f t="shared" si="980"/>
        <v>4080400.6463333312</v>
      </c>
      <c r="R497">
        <f t="shared" si="981"/>
        <v>-48974292.880807571</v>
      </c>
      <c r="S497">
        <f t="shared" si="982"/>
        <v>-489.7429288080757</v>
      </c>
      <c r="T497">
        <f t="shared" si="983"/>
        <v>-0.48974292880807568</v>
      </c>
    </row>
    <row r="498" spans="1:20" x14ac:dyDescent="0.25">
      <c r="A498" s="5">
        <v>44095</v>
      </c>
      <c r="B498">
        <v>5.8000000000000003E-2</v>
      </c>
      <c r="C498">
        <v>5.9409999999999998E-2</v>
      </c>
      <c r="D498">
        <v>4.403E-2</v>
      </c>
      <c r="E498">
        <v>4.4880000000000003E-2</v>
      </c>
      <c r="F498">
        <v>17627541.600000001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-0.88946684005201515</v>
      </c>
      <c r="Q498">
        <f t="shared" si="980"/>
        <v>-15679113.724837445</v>
      </c>
      <c r="R498">
        <f t="shared" si="981"/>
        <v>-53054693.5271409</v>
      </c>
      <c r="S498">
        <f t="shared" si="982"/>
        <v>-530.54693527140898</v>
      </c>
      <c r="T498">
        <f t="shared" si="983"/>
        <v>-0.53054693527140895</v>
      </c>
    </row>
    <row r="499" spans="1:20" x14ac:dyDescent="0.25">
      <c r="A499" s="5">
        <v>44094</v>
      </c>
      <c r="B499">
        <v>6.4229999999999995E-2</v>
      </c>
      <c r="C499">
        <v>6.4960000000000004E-2</v>
      </c>
      <c r="D499">
        <v>5.6959999999999997E-2</v>
      </c>
      <c r="E499">
        <v>5.8090000000000003E-2</v>
      </c>
      <c r="F499">
        <v>5730495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-0.71749999999999881</v>
      </c>
      <c r="Q499">
        <f t="shared" si="980"/>
        <v>-4111630.1624999931</v>
      </c>
      <c r="R499">
        <f t="shared" si="981"/>
        <v>-37375579.802303456</v>
      </c>
      <c r="S499">
        <f t="shared" si="982"/>
        <v>-373.75579802303457</v>
      </c>
      <c r="T499">
        <f t="shared" si="983"/>
        <v>-0.37375579802303455</v>
      </c>
    </row>
    <row r="500" spans="1:20" x14ac:dyDescent="0.25">
      <c r="A500" s="5">
        <v>44093</v>
      </c>
      <c r="B500">
        <v>6.2869999999999995E-2</v>
      </c>
      <c r="C500">
        <v>6.5790000000000001E-2</v>
      </c>
      <c r="D500">
        <v>6.0299999999999999E-2</v>
      </c>
      <c r="E500">
        <v>6.3990000000000005E-2</v>
      </c>
      <c r="F500">
        <v>6028939.7999999998</v>
      </c>
      <c r="G500">
        <v>0</v>
      </c>
      <c r="L500" t="s">
        <v>8</v>
      </c>
      <c r="M500" t="s">
        <v>7</v>
      </c>
      <c r="N500" t="s">
        <v>7</v>
      </c>
      <c r="P500">
        <f t="shared" si="979"/>
        <v>0.34426229508196887</v>
      </c>
      <c r="Q500">
        <f t="shared" si="980"/>
        <v>2075536.6524590263</v>
      </c>
      <c r="R500">
        <f t="shared" si="981"/>
        <v>-33263949.639803462</v>
      </c>
      <c r="S500">
        <f t="shared" si="982"/>
        <v>-332.63949639803462</v>
      </c>
      <c r="T500">
        <f t="shared" si="983"/>
        <v>-0.33263949639803464</v>
      </c>
    </row>
    <row r="501" spans="1:20" x14ac:dyDescent="0.25">
      <c r="A501" s="5">
        <v>44092</v>
      </c>
      <c r="B501">
        <v>6.837E-2</v>
      </c>
      <c r="C501">
        <v>6.9059999999999996E-2</v>
      </c>
      <c r="D501">
        <v>6.08E-2</v>
      </c>
      <c r="E501">
        <v>6.3070000000000001E-2</v>
      </c>
      <c r="F501">
        <v>10800292.300000001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-0.45036319612590747</v>
      </c>
      <c r="Q501">
        <f t="shared" si="980"/>
        <v>-4864054.159322029</v>
      </c>
      <c r="R501">
        <f t="shared" si="981"/>
        <v>-35339486.292262487</v>
      </c>
      <c r="S501">
        <f t="shared" si="982"/>
        <v>-353.3948629226249</v>
      </c>
      <c r="T501">
        <f t="shared" si="983"/>
        <v>-0.3533948629226249</v>
      </c>
    </row>
    <row r="502" spans="1:20" x14ac:dyDescent="0.25">
      <c r="A502" s="5">
        <v>44091</v>
      </c>
      <c r="B502">
        <v>6.5979999999999997E-2</v>
      </c>
      <c r="C502">
        <v>7.1290000000000006E-2</v>
      </c>
      <c r="D502">
        <v>6.4360000000000001E-2</v>
      </c>
      <c r="E502">
        <v>6.8110000000000004E-2</v>
      </c>
      <c r="F502">
        <v>10009780</v>
      </c>
      <c r="G502">
        <v>0</v>
      </c>
      <c r="L502" t="s">
        <v>8</v>
      </c>
      <c r="M502" t="s">
        <v>7</v>
      </c>
      <c r="N502" t="s">
        <v>7</v>
      </c>
      <c r="P502">
        <f t="shared" si="979"/>
        <v>8.2251082251082339E-2</v>
      </c>
      <c r="Q502">
        <f t="shared" si="980"/>
        <v>823315.23809523892</v>
      </c>
      <c r="R502">
        <f t="shared" si="981"/>
        <v>-30475432.13294046</v>
      </c>
      <c r="S502">
        <f t="shared" si="982"/>
        <v>-304.7543213294046</v>
      </c>
      <c r="T502">
        <f t="shared" si="983"/>
        <v>-0.30475432132940461</v>
      </c>
    </row>
    <row r="503" spans="1:20" x14ac:dyDescent="0.25">
      <c r="A503" s="5">
        <v>44090</v>
      </c>
      <c r="B503">
        <v>7.0230000000000001E-2</v>
      </c>
      <c r="C503">
        <v>7.0230000000000001E-2</v>
      </c>
      <c r="D503">
        <v>6.3339999999999994E-2</v>
      </c>
      <c r="E503">
        <v>6.6000000000000003E-2</v>
      </c>
      <c r="F503">
        <v>8946689.1999999993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-0.22786647314949005</v>
      </c>
      <c r="Q503">
        <f t="shared" si="980"/>
        <v>-2038650.5143686323</v>
      </c>
      <c r="R503">
        <f t="shared" si="981"/>
        <v>-31298747.371035699</v>
      </c>
      <c r="S503">
        <f t="shared" si="982"/>
        <v>-312.98747371035699</v>
      </c>
      <c r="T503">
        <f t="shared" si="983"/>
        <v>-0.31298747371035701</v>
      </c>
    </row>
    <row r="504" spans="1:20" x14ac:dyDescent="0.25">
      <c r="A504" s="5">
        <v>44089</v>
      </c>
      <c r="B504">
        <v>6.6860000000000003E-2</v>
      </c>
      <c r="C504">
        <v>9.5000000000000001E-2</v>
      </c>
      <c r="D504">
        <v>6.2909999999999994E-2</v>
      </c>
      <c r="E504">
        <v>7.0349999999999996E-2</v>
      </c>
      <c r="F504">
        <v>35928852.5</v>
      </c>
      <c r="G504">
        <v>0</v>
      </c>
      <c r="L504" t="s">
        <v>8</v>
      </c>
      <c r="M504" t="s">
        <v>7</v>
      </c>
      <c r="N504" t="s">
        <v>8</v>
      </c>
      <c r="P504">
        <f t="shared" si="979"/>
        <v>-0.5363041445933312</v>
      </c>
      <c r="Q504">
        <f t="shared" si="980"/>
        <v>-19268792.50623247</v>
      </c>
      <c r="R504">
        <f t="shared" si="981"/>
        <v>-29260096.856667068</v>
      </c>
      <c r="S504">
        <f t="shared" si="982"/>
        <v>-292.6009685666707</v>
      </c>
      <c r="T504">
        <f t="shared" si="983"/>
        <v>-0.29260096856667073</v>
      </c>
    </row>
    <row r="505" spans="1:20" x14ac:dyDescent="0.25">
      <c r="A505" s="5">
        <v>44088</v>
      </c>
      <c r="B505">
        <v>6.9239999999999996E-2</v>
      </c>
      <c r="C505">
        <v>7.1590000000000001E-2</v>
      </c>
      <c r="D505">
        <v>6.6000000000000003E-2</v>
      </c>
      <c r="E505">
        <v>6.6769999999999996E-2</v>
      </c>
      <c r="F505">
        <v>5640899.2000000002</v>
      </c>
      <c r="G505">
        <v>0</v>
      </c>
      <c r="L505" t="s">
        <v>8</v>
      </c>
      <c r="M505" t="s">
        <v>7</v>
      </c>
      <c r="N505" t="s">
        <v>8</v>
      </c>
      <c r="P505">
        <f t="shared" si="979"/>
        <v>-0.72450805008944785</v>
      </c>
      <c r="Q505">
        <f t="shared" si="980"/>
        <v>-4086876.8801431265</v>
      </c>
      <c r="R505">
        <f t="shared" si="981"/>
        <v>-9991304.3504345976</v>
      </c>
      <c r="S505">
        <f t="shared" si="982"/>
        <v>-99.913043504345978</v>
      </c>
      <c r="T505">
        <f t="shared" si="983"/>
        <v>-9.9913043504345975E-2</v>
      </c>
    </row>
    <row r="506" spans="1:20" x14ac:dyDescent="0.25">
      <c r="A506" s="5">
        <v>44087</v>
      </c>
      <c r="B506">
        <v>7.5719999999999996E-2</v>
      </c>
      <c r="C506">
        <v>7.8140000000000001E-2</v>
      </c>
      <c r="D506">
        <v>6.5439999999999998E-2</v>
      </c>
      <c r="E506">
        <v>6.9260000000000002E-2</v>
      </c>
      <c r="F506">
        <v>11061453.199999999</v>
      </c>
      <c r="G506">
        <v>0</v>
      </c>
      <c r="L506" t="s">
        <v>7</v>
      </c>
      <c r="M506" t="s">
        <v>7</v>
      </c>
      <c r="N506" t="s">
        <v>8</v>
      </c>
      <c r="P506">
        <f t="shared" si="979"/>
        <v>-0.39842519685039324</v>
      </c>
      <c r="Q506">
        <f t="shared" si="980"/>
        <v>-4407161.6686614119</v>
      </c>
      <c r="R506">
        <f t="shared" si="981"/>
        <v>-5904427.470291472</v>
      </c>
      <c r="S506">
        <f t="shared" si="982"/>
        <v>-59.04427470291472</v>
      </c>
      <c r="T506">
        <f t="shared" si="983"/>
        <v>-5.904427470291472E-2</v>
      </c>
    </row>
    <row r="507" spans="1:20" x14ac:dyDescent="0.25">
      <c r="A507" s="5">
        <v>44086</v>
      </c>
      <c r="B507">
        <v>7.0499999999999993E-2</v>
      </c>
      <c r="C507">
        <v>7.9329999999999998E-2</v>
      </c>
      <c r="D507">
        <v>6.8589999999999998E-2</v>
      </c>
      <c r="E507">
        <v>7.5719999999999996E-2</v>
      </c>
      <c r="F507">
        <v>14957995.800000001</v>
      </c>
      <c r="G507">
        <v>0</v>
      </c>
      <c r="L507" t="s">
        <v>8</v>
      </c>
      <c r="M507" t="s">
        <v>8</v>
      </c>
      <c r="N507" t="s">
        <v>8</v>
      </c>
      <c r="P507">
        <f t="shared" si="979"/>
        <v>0.32774674115456198</v>
      </c>
      <c r="Q507">
        <f t="shared" si="980"/>
        <v>4902434.3776536258</v>
      </c>
      <c r="R507">
        <f t="shared" si="981"/>
        <v>-1497265.8016300602</v>
      </c>
      <c r="S507">
        <f t="shared" si="982"/>
        <v>-14.972658016300603</v>
      </c>
      <c r="T507">
        <f t="shared" si="983"/>
        <v>-1.4972658016300603E-2</v>
      </c>
    </row>
    <row r="508" spans="1:20" x14ac:dyDescent="0.25">
      <c r="A508" s="5">
        <v>44085</v>
      </c>
      <c r="B508">
        <v>7.1099999999999997E-2</v>
      </c>
      <c r="C508">
        <v>7.4999999999999997E-2</v>
      </c>
      <c r="D508">
        <v>6.5310000000000007E-2</v>
      </c>
      <c r="E508">
        <v>7.0519999999999999E-2</v>
      </c>
      <c r="F508">
        <v>6971287.9000000004</v>
      </c>
      <c r="G508">
        <v>0</v>
      </c>
      <c r="L508" t="s">
        <v>7</v>
      </c>
      <c r="M508" t="s">
        <v>8</v>
      </c>
      <c r="N508" t="s">
        <v>8</v>
      </c>
      <c r="P508">
        <f t="shared" si="979"/>
        <v>7.5335397316820985E-2</v>
      </c>
      <c r="Q508">
        <f t="shared" si="980"/>
        <v>525184.74375644664</v>
      </c>
      <c r="R508">
        <f t="shared" si="981"/>
        <v>-6399700.179283686</v>
      </c>
      <c r="S508">
        <f t="shared" si="982"/>
        <v>-63.997001792836862</v>
      </c>
      <c r="T508">
        <f t="shared" si="983"/>
        <v>-6.3997001792836863E-2</v>
      </c>
    </row>
    <row r="509" spans="1:20" x14ac:dyDescent="0.25">
      <c r="A509" s="5">
        <v>44084</v>
      </c>
      <c r="B509">
        <v>6.583E-2</v>
      </c>
      <c r="C509">
        <v>7.6429999999999998E-2</v>
      </c>
      <c r="D509">
        <v>6.547E-2</v>
      </c>
      <c r="E509">
        <v>7.1150000000000005E-2</v>
      </c>
      <c r="F509">
        <v>9568529.6999999993</v>
      </c>
      <c r="G509">
        <v>0</v>
      </c>
      <c r="L509" t="s">
        <v>8</v>
      </c>
      <c r="M509" t="s">
        <v>8</v>
      </c>
      <c r="N509" t="s">
        <v>8</v>
      </c>
      <c r="P509">
        <f t="shared" si="979"/>
        <v>3.6496350364964555E-2</v>
      </c>
      <c r="Q509">
        <f t="shared" si="980"/>
        <v>349216.41240876919</v>
      </c>
      <c r="R509">
        <f t="shared" si="981"/>
        <v>-6924884.923040133</v>
      </c>
      <c r="S509">
        <f t="shared" si="982"/>
        <v>-69.248849230401333</v>
      </c>
      <c r="T509">
        <f t="shared" si="983"/>
        <v>-6.9248849230401338E-2</v>
      </c>
    </row>
    <row r="510" spans="1:20" x14ac:dyDescent="0.25">
      <c r="A510" s="5">
        <v>44083</v>
      </c>
      <c r="B510">
        <v>6.3250000000000001E-2</v>
      </c>
      <c r="C510">
        <v>6.7500000000000004E-2</v>
      </c>
      <c r="D510">
        <v>6.0049999999999999E-2</v>
      </c>
      <c r="E510">
        <v>6.5839999999999996E-2</v>
      </c>
      <c r="F510">
        <v>7155972.7999999998</v>
      </c>
      <c r="G510">
        <v>0</v>
      </c>
      <c r="L510" t="s">
        <v>7</v>
      </c>
      <c r="M510" t="s">
        <v>8</v>
      </c>
      <c r="N510" t="s">
        <v>7</v>
      </c>
      <c r="P510">
        <f t="shared" si="979"/>
        <v>0.55436241610738057</v>
      </c>
      <c r="Q510">
        <f t="shared" si="980"/>
        <v>3967002.371006697</v>
      </c>
      <c r="R510">
        <f t="shared" si="981"/>
        <v>-7274101.3354489021</v>
      </c>
      <c r="S510">
        <f t="shared" si="982"/>
        <v>-72.741013354489027</v>
      </c>
      <c r="T510">
        <f t="shared" si="983"/>
        <v>-7.2741013354489029E-2</v>
      </c>
    </row>
    <row r="511" spans="1:20" x14ac:dyDescent="0.25">
      <c r="A511" s="5">
        <v>44082</v>
      </c>
      <c r="B511">
        <v>6.5949999999999995E-2</v>
      </c>
      <c r="C511">
        <v>7.127E-2</v>
      </c>
      <c r="D511">
        <v>5.9819999999999998E-2</v>
      </c>
      <c r="E511">
        <v>6.3189999999999996E-2</v>
      </c>
      <c r="F511">
        <v>8125749.4000000004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-0.41135371179039348</v>
      </c>
      <c r="Q511">
        <f t="shared" si="980"/>
        <v>-3342557.1767685628</v>
      </c>
      <c r="R511">
        <f t="shared" si="981"/>
        <v>-11241103.7064556</v>
      </c>
      <c r="S511">
        <f t="shared" si="982"/>
        <v>-112.411037064556</v>
      </c>
      <c r="T511">
        <f t="shared" si="983"/>
        <v>-0.112411037064556</v>
      </c>
    </row>
    <row r="512" spans="1:20" x14ac:dyDescent="0.25">
      <c r="A512" s="5">
        <v>44081</v>
      </c>
      <c r="B512">
        <v>6.8650000000000003E-2</v>
      </c>
      <c r="C512">
        <v>6.9989999999999997E-2</v>
      </c>
      <c r="D512">
        <v>5.8540000000000002E-2</v>
      </c>
      <c r="E512">
        <v>6.615E-2</v>
      </c>
      <c r="F512">
        <v>6562284.7999999998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0.32925764192139773</v>
      </c>
      <c r="Q512">
        <f t="shared" si="980"/>
        <v>2160682.4188646311</v>
      </c>
      <c r="R512">
        <f t="shared" si="981"/>
        <v>-7898546.5296870368</v>
      </c>
      <c r="S512">
        <f t="shared" si="982"/>
        <v>-78.985465296870373</v>
      </c>
      <c r="T512">
        <f t="shared" si="983"/>
        <v>-7.8985465296870366E-2</v>
      </c>
    </row>
    <row r="513" spans="1:20" x14ac:dyDescent="0.25">
      <c r="A513" s="5">
        <v>44080</v>
      </c>
      <c r="B513">
        <v>6.114E-2</v>
      </c>
      <c r="C513">
        <v>7.3840000000000003E-2</v>
      </c>
      <c r="D513">
        <v>5.5750000000000001E-2</v>
      </c>
      <c r="E513">
        <v>6.8650000000000003E-2</v>
      </c>
      <c r="F513">
        <v>17570196.800000001</v>
      </c>
      <c r="G513">
        <v>0</v>
      </c>
      <c r="L513" t="s">
        <v>8</v>
      </c>
      <c r="M513" t="s">
        <v>8</v>
      </c>
      <c r="N513" t="s">
        <v>7</v>
      </c>
      <c r="P513">
        <f t="shared" si="979"/>
        <v>0.42620232172470984</v>
      </c>
      <c r="Q513">
        <f t="shared" si="980"/>
        <v>7488458.6693200674</v>
      </c>
      <c r="R513">
        <f t="shared" si="981"/>
        <v>-10059228.948551668</v>
      </c>
      <c r="S513">
        <f t="shared" si="982"/>
        <v>-100.59228948551667</v>
      </c>
      <c r="T513">
        <f t="shared" si="983"/>
        <v>-0.10059228948551667</v>
      </c>
    </row>
    <row r="514" spans="1:20" x14ac:dyDescent="0.25">
      <c r="A514" s="5">
        <v>44079</v>
      </c>
      <c r="B514">
        <v>7.6009999999999994E-2</v>
      </c>
      <c r="C514">
        <v>8.6999999999999994E-2</v>
      </c>
      <c r="D514">
        <v>5.4809999999999998E-2</v>
      </c>
      <c r="E514">
        <v>6.055E-2</v>
      </c>
      <c r="F514">
        <v>16768285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-0.64336750543647081</v>
      </c>
      <c r="Q514">
        <f t="shared" si="980"/>
        <v>-10788169.690897793</v>
      </c>
      <c r="R514">
        <f t="shared" si="981"/>
        <v>-17547687.617871735</v>
      </c>
      <c r="S514">
        <f t="shared" si="982"/>
        <v>-175.47687617871736</v>
      </c>
      <c r="T514">
        <f t="shared" si="983"/>
        <v>-0.17547687617871735</v>
      </c>
    </row>
    <row r="515" spans="1:20" x14ac:dyDescent="0.25">
      <c r="A515" s="5">
        <v>44078</v>
      </c>
      <c r="B515">
        <v>7.041E-2</v>
      </c>
      <c r="C515">
        <v>7.9829999999999998E-2</v>
      </c>
      <c r="D515">
        <v>6.5040000000000001E-2</v>
      </c>
      <c r="E515">
        <v>7.6009999999999994E-2</v>
      </c>
      <c r="F515">
        <v>11024157.9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0.48343475321162888</v>
      </c>
      <c r="Q515">
        <f t="shared" si="980"/>
        <v>5329461.0537525294</v>
      </c>
      <c r="R515">
        <f t="shared" si="981"/>
        <v>-6759517.9269739436</v>
      </c>
      <c r="S515">
        <f t="shared" si="982"/>
        <v>-67.595179269739432</v>
      </c>
      <c r="T515">
        <f t="shared" si="983"/>
        <v>-6.759517926973943E-2</v>
      </c>
    </row>
    <row r="516" spans="1:20" x14ac:dyDescent="0.25">
      <c r="A516" s="5">
        <v>44077</v>
      </c>
      <c r="B516">
        <v>9.4740000000000005E-2</v>
      </c>
      <c r="C516">
        <v>9.5630000000000007E-2</v>
      </c>
      <c r="D516">
        <v>6.6839999999999997E-2</v>
      </c>
      <c r="E516">
        <v>7.0699999999999999E-2</v>
      </c>
      <c r="F516">
        <v>19608322.5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-0.73185133726988527</v>
      </c>
      <c r="Q516">
        <f t="shared" si="980"/>
        <v>-14350377.043244179</v>
      </c>
      <c r="R516">
        <f t="shared" si="981"/>
        <v>-12088978.980726473</v>
      </c>
      <c r="S516">
        <f t="shared" si="982"/>
        <v>-120.88978980726473</v>
      </c>
      <c r="T516">
        <f t="shared" si="983"/>
        <v>-0.12088978980726474</v>
      </c>
    </row>
    <row r="517" spans="1:20" x14ac:dyDescent="0.25">
      <c r="A517" s="5">
        <v>44076</v>
      </c>
      <c r="B517">
        <v>0.11026</v>
      </c>
      <c r="C517">
        <v>0.11616</v>
      </c>
      <c r="D517">
        <v>8.7679999999999994E-2</v>
      </c>
      <c r="E517">
        <v>9.4750000000000001E-2</v>
      </c>
      <c r="F517">
        <v>17047085.899999999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-0.50351123595505576</v>
      </c>
      <c r="Q517">
        <f t="shared" si="980"/>
        <v>-8583399.2909410037</v>
      </c>
      <c r="R517">
        <f t="shared" si="981"/>
        <v>2261398.0625177063</v>
      </c>
      <c r="S517">
        <f t="shared" si="982"/>
        <v>22.613980625177064</v>
      </c>
      <c r="T517">
        <f t="shared" si="983"/>
        <v>2.2613980625177065E-2</v>
      </c>
    </row>
    <row r="518" spans="1:20" x14ac:dyDescent="0.25">
      <c r="A518" s="5">
        <v>44075</v>
      </c>
      <c r="B518">
        <v>0.11649</v>
      </c>
      <c r="C518">
        <v>0.12690000000000001</v>
      </c>
      <c r="D518">
        <v>0.10832</v>
      </c>
      <c r="E518">
        <v>0.11078</v>
      </c>
      <c r="F518">
        <v>16600746.699999999</v>
      </c>
      <c r="G518">
        <v>0</v>
      </c>
      <c r="L518" t="s">
        <v>8</v>
      </c>
      <c r="M518" t="s">
        <v>8</v>
      </c>
      <c r="N518" t="s">
        <v>8</v>
      </c>
      <c r="P518">
        <f t="shared" ref="P518:P581" si="984">IF(C518=D518,0,((E518-D518)-(C518-E518))/(C518-D518))</f>
        <v>-0.73519913885898791</v>
      </c>
      <c r="Q518">
        <f t="shared" ref="Q518:Q581" si="985">F518*P518</f>
        <v>-12204854.678256184</v>
      </c>
      <c r="R518">
        <f t="shared" ref="R518:R581" si="986">R519+Q518</f>
        <v>10844797.35345871</v>
      </c>
      <c r="S518">
        <f t="shared" ref="S518:S581" si="987">R518/100000</f>
        <v>108.44797353458711</v>
      </c>
      <c r="T518">
        <f t="shared" ref="T518:T581" si="988">S518/1000</f>
        <v>0.1084479735345871</v>
      </c>
    </row>
    <row r="519" spans="1:20" x14ac:dyDescent="0.25">
      <c r="A519" s="5">
        <v>44074</v>
      </c>
      <c r="B519">
        <v>0.12001000000000001</v>
      </c>
      <c r="C519">
        <v>0.1235</v>
      </c>
      <c r="D519">
        <v>0.11423</v>
      </c>
      <c r="E519">
        <v>0.1164</v>
      </c>
      <c r="F519">
        <v>6845702.4000000004</v>
      </c>
      <c r="G519">
        <v>0</v>
      </c>
      <c r="L519" t="s">
        <v>8</v>
      </c>
      <c r="M519" t="s">
        <v>8</v>
      </c>
      <c r="N519" t="s">
        <v>8</v>
      </c>
      <c r="P519">
        <f t="shared" si="984"/>
        <v>-0.53182308522114241</v>
      </c>
      <c r="Q519">
        <f t="shared" si="985"/>
        <v>-3640702.5708737792</v>
      </c>
      <c r="R519">
        <f t="shared" si="986"/>
        <v>23049652.031714894</v>
      </c>
      <c r="S519">
        <f t="shared" si="987"/>
        <v>230.49652031714893</v>
      </c>
      <c r="T519">
        <f t="shared" si="988"/>
        <v>0.23049652031714893</v>
      </c>
    </row>
    <row r="520" spans="1:20" x14ac:dyDescent="0.25">
      <c r="A520" s="5">
        <v>44073</v>
      </c>
      <c r="B520">
        <v>0.11394</v>
      </c>
      <c r="C520">
        <v>0.12606999999999999</v>
      </c>
      <c r="D520">
        <v>0.1105</v>
      </c>
      <c r="E520">
        <v>0.12003999999999999</v>
      </c>
      <c r="F520">
        <v>12212072.199999999</v>
      </c>
      <c r="G520">
        <v>0</v>
      </c>
      <c r="L520" t="s">
        <v>7</v>
      </c>
      <c r="M520" t="s">
        <v>8</v>
      </c>
      <c r="N520" t="s">
        <v>8</v>
      </c>
      <c r="P520">
        <f t="shared" si="984"/>
        <v>0.22543352601156083</v>
      </c>
      <c r="Q520">
        <f t="shared" si="985"/>
        <v>2753010.4959537587</v>
      </c>
      <c r="R520">
        <f t="shared" si="986"/>
        <v>26690354.602588672</v>
      </c>
      <c r="S520">
        <f t="shared" si="987"/>
        <v>266.90354602588673</v>
      </c>
      <c r="T520">
        <f t="shared" si="988"/>
        <v>0.26690354602588673</v>
      </c>
    </row>
    <row r="521" spans="1:20" x14ac:dyDescent="0.25">
      <c r="A521" s="5">
        <v>44072</v>
      </c>
      <c r="B521">
        <v>0.11973</v>
      </c>
      <c r="C521">
        <v>0.12069000000000001</v>
      </c>
      <c r="D521">
        <v>0.11375</v>
      </c>
      <c r="E521">
        <v>0.114</v>
      </c>
      <c r="F521">
        <v>6110429.7000000002</v>
      </c>
      <c r="G521">
        <v>0</v>
      </c>
      <c r="L521" t="s">
        <v>7</v>
      </c>
      <c r="M521" t="s">
        <v>8</v>
      </c>
      <c r="N521" t="s">
        <v>8</v>
      </c>
      <c r="P521">
        <f t="shared" si="984"/>
        <v>-0.9279538904899135</v>
      </c>
      <c r="Q521">
        <f t="shared" si="985"/>
        <v>-5670197.0126801152</v>
      </c>
      <c r="R521">
        <f t="shared" si="986"/>
        <v>23937344.106634915</v>
      </c>
      <c r="S521">
        <f t="shared" si="987"/>
        <v>239.37344106634916</v>
      </c>
      <c r="T521">
        <f t="shared" si="988"/>
        <v>0.23937344106634917</v>
      </c>
    </row>
    <row r="522" spans="1:20" x14ac:dyDescent="0.25">
      <c r="A522" s="5">
        <v>44071</v>
      </c>
      <c r="B522">
        <v>0.11233</v>
      </c>
      <c r="C522">
        <v>0.12499</v>
      </c>
      <c r="D522">
        <v>0.107</v>
      </c>
      <c r="E522">
        <v>0.12002</v>
      </c>
      <c r="F522">
        <v>15095201.199999999</v>
      </c>
      <c r="G522">
        <v>0</v>
      </c>
      <c r="L522" t="s">
        <v>8</v>
      </c>
      <c r="M522" t="s">
        <v>8</v>
      </c>
      <c r="N522" t="s">
        <v>8</v>
      </c>
      <c r="P522">
        <f t="shared" si="984"/>
        <v>0.44747081712062253</v>
      </c>
      <c r="Q522">
        <f t="shared" si="985"/>
        <v>6754662.0155642014</v>
      </c>
      <c r="R522">
        <f t="shared" si="986"/>
        <v>29607541.119315028</v>
      </c>
      <c r="S522">
        <f t="shared" si="987"/>
        <v>296.07541119315027</v>
      </c>
      <c r="T522">
        <f t="shared" si="988"/>
        <v>0.29607541119315028</v>
      </c>
    </row>
    <row r="523" spans="1:20" x14ac:dyDescent="0.25">
      <c r="A523" s="5">
        <v>44070</v>
      </c>
      <c r="B523">
        <v>0.11984</v>
      </c>
      <c r="C523">
        <v>0.121</v>
      </c>
      <c r="D523">
        <v>0.10199999999999999</v>
      </c>
      <c r="E523">
        <v>0.11183</v>
      </c>
      <c r="F523">
        <v>9711645.8000000007</v>
      </c>
      <c r="G523">
        <v>0</v>
      </c>
      <c r="L523" t="s">
        <v>7</v>
      </c>
      <c r="M523" t="s">
        <v>7</v>
      </c>
      <c r="N523" t="s">
        <v>8</v>
      </c>
      <c r="P523">
        <f t="shared" si="984"/>
        <v>3.4736842105263566E-2</v>
      </c>
      <c r="Q523">
        <f t="shared" si="985"/>
        <v>337351.90673684608</v>
      </c>
      <c r="R523">
        <f t="shared" si="986"/>
        <v>22852879.103750829</v>
      </c>
      <c r="S523">
        <f t="shared" si="987"/>
        <v>228.52879103750828</v>
      </c>
      <c r="T523">
        <f t="shared" si="988"/>
        <v>0.22852879103750828</v>
      </c>
    </row>
    <row r="524" spans="1:20" x14ac:dyDescent="0.25">
      <c r="A524" s="5">
        <v>44069</v>
      </c>
      <c r="B524">
        <v>0.12017</v>
      </c>
      <c r="C524">
        <v>0.125</v>
      </c>
      <c r="D524">
        <v>0.11254</v>
      </c>
      <c r="E524">
        <v>0.11978</v>
      </c>
      <c r="F524">
        <v>7688120.9000000004</v>
      </c>
      <c r="G524">
        <v>0</v>
      </c>
      <c r="L524" t="s">
        <v>8</v>
      </c>
      <c r="M524" t="s">
        <v>7</v>
      </c>
      <c r="N524" t="s">
        <v>8</v>
      </c>
      <c r="P524">
        <f t="shared" si="984"/>
        <v>0.16211878009630773</v>
      </c>
      <c r="Q524">
        <f t="shared" si="985"/>
        <v>1246388.7815409275</v>
      </c>
      <c r="R524">
        <f t="shared" si="986"/>
        <v>22515527.197013982</v>
      </c>
      <c r="S524">
        <f t="shared" si="987"/>
        <v>225.15527197013981</v>
      </c>
      <c r="T524">
        <f t="shared" si="988"/>
        <v>0.22515527197013982</v>
      </c>
    </row>
    <row r="525" spans="1:20" x14ac:dyDescent="0.25">
      <c r="A525" s="5">
        <v>44068</v>
      </c>
      <c r="B525">
        <v>0.12453</v>
      </c>
      <c r="C525">
        <v>0.13477</v>
      </c>
      <c r="D525">
        <v>0.11215</v>
      </c>
      <c r="E525">
        <v>0.12099</v>
      </c>
      <c r="F525">
        <v>10606506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-0.21839080459770113</v>
      </c>
      <c r="Q525">
        <f t="shared" si="985"/>
        <v>-2316363.3793103448</v>
      </c>
      <c r="R525">
        <f t="shared" si="986"/>
        <v>21269138.415473055</v>
      </c>
      <c r="S525">
        <f t="shared" si="987"/>
        <v>212.69138415473054</v>
      </c>
      <c r="T525">
        <f t="shared" si="988"/>
        <v>0.21269138415473055</v>
      </c>
    </row>
    <row r="526" spans="1:20" x14ac:dyDescent="0.25">
      <c r="A526" s="5">
        <v>44067</v>
      </c>
      <c r="B526">
        <v>0.14155999999999999</v>
      </c>
      <c r="C526">
        <v>0.14355000000000001</v>
      </c>
      <c r="D526">
        <v>0.12181</v>
      </c>
      <c r="E526">
        <v>0.1239</v>
      </c>
      <c r="F526">
        <v>11597912.6</v>
      </c>
      <c r="G526">
        <v>0</v>
      </c>
      <c r="L526" t="s">
        <v>7</v>
      </c>
      <c r="M526" t="s">
        <v>7</v>
      </c>
      <c r="N526" t="s">
        <v>8</v>
      </c>
      <c r="P526">
        <f t="shared" si="984"/>
        <v>-0.80772769089236485</v>
      </c>
      <c r="Q526">
        <f t="shared" si="985"/>
        <v>-9367955.1635694634</v>
      </c>
      <c r="R526">
        <f t="shared" si="986"/>
        <v>23585501.794783399</v>
      </c>
      <c r="S526">
        <f t="shared" si="987"/>
        <v>235.85501794783397</v>
      </c>
      <c r="T526">
        <f t="shared" si="988"/>
        <v>0.23585501794783398</v>
      </c>
    </row>
    <row r="527" spans="1:20" x14ac:dyDescent="0.25">
      <c r="A527" s="5">
        <v>44066</v>
      </c>
      <c r="B527">
        <v>0.11294</v>
      </c>
      <c r="C527">
        <v>0.14499999999999999</v>
      </c>
      <c r="D527">
        <v>0.11253000000000001</v>
      </c>
      <c r="E527">
        <v>0.14166999999999999</v>
      </c>
      <c r="F527">
        <v>25637702.800000001</v>
      </c>
      <c r="G527">
        <v>0</v>
      </c>
      <c r="L527" t="s">
        <v>8</v>
      </c>
      <c r="M527" t="s">
        <v>8</v>
      </c>
      <c r="N527" t="s">
        <v>8</v>
      </c>
      <c r="P527">
        <f t="shared" si="984"/>
        <v>0.79488758854327068</v>
      </c>
      <c r="Q527">
        <f t="shared" si="985"/>
        <v>20379091.754481059</v>
      </c>
      <c r="R527">
        <f t="shared" si="986"/>
        <v>32953456.95835286</v>
      </c>
      <c r="S527">
        <f t="shared" si="987"/>
        <v>329.53456958352859</v>
      </c>
      <c r="T527">
        <f t="shared" si="988"/>
        <v>0.32953456958352861</v>
      </c>
    </row>
    <row r="528" spans="1:20" x14ac:dyDescent="0.25">
      <c r="A528" s="5">
        <v>44065</v>
      </c>
      <c r="B528">
        <v>0.10650999999999999</v>
      </c>
      <c r="C528">
        <v>0.11497</v>
      </c>
      <c r="D528">
        <v>0.1038</v>
      </c>
      <c r="E528">
        <v>0.11294</v>
      </c>
      <c r="F528">
        <v>5200684.3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0.63652641002685695</v>
      </c>
      <c r="Q528">
        <f t="shared" si="985"/>
        <v>3310372.9071620372</v>
      </c>
      <c r="R528">
        <f t="shared" si="986"/>
        <v>12574365.203871801</v>
      </c>
      <c r="S528">
        <f t="shared" si="987"/>
        <v>125.74365203871801</v>
      </c>
      <c r="T528">
        <f t="shared" si="988"/>
        <v>0.12574365203871801</v>
      </c>
    </row>
    <row r="529" spans="1:20" x14ac:dyDescent="0.25">
      <c r="A529" s="5">
        <v>44064</v>
      </c>
      <c r="B529">
        <v>0.12443</v>
      </c>
      <c r="C529">
        <v>0.128</v>
      </c>
      <c r="D529">
        <v>0.10596999999999999</v>
      </c>
      <c r="E529">
        <v>0.10596999999999999</v>
      </c>
      <c r="F529">
        <v>7167203.4000000004</v>
      </c>
      <c r="G529">
        <v>0</v>
      </c>
      <c r="L529" t="s">
        <v>7</v>
      </c>
      <c r="M529" t="s">
        <v>7</v>
      </c>
      <c r="N529" t="s">
        <v>8</v>
      </c>
      <c r="P529">
        <f t="shared" si="984"/>
        <v>-1</v>
      </c>
      <c r="Q529">
        <f t="shared" si="985"/>
        <v>-7167203.4000000004</v>
      </c>
      <c r="R529">
        <f t="shared" si="986"/>
        <v>9263992.2967097647</v>
      </c>
      <c r="S529">
        <f t="shared" si="987"/>
        <v>92.639922967097647</v>
      </c>
      <c r="T529">
        <f t="shared" si="988"/>
        <v>9.2639922967097652E-2</v>
      </c>
    </row>
    <row r="530" spans="1:20" x14ac:dyDescent="0.25">
      <c r="A530" s="5">
        <v>44063</v>
      </c>
      <c r="B530">
        <v>0.11047999999999999</v>
      </c>
      <c r="C530">
        <v>0.13020999999999999</v>
      </c>
      <c r="D530">
        <v>0.10798000000000001</v>
      </c>
      <c r="E530">
        <v>0.12443</v>
      </c>
      <c r="F530">
        <v>10262262.199999999</v>
      </c>
      <c r="G530">
        <v>0</v>
      </c>
      <c r="L530" t="s">
        <v>8</v>
      </c>
      <c r="M530" t="s">
        <v>8</v>
      </c>
      <c r="N530" t="s">
        <v>8</v>
      </c>
      <c r="P530">
        <f t="shared" si="984"/>
        <v>0.47998200629779603</v>
      </c>
      <c r="Q530">
        <f t="shared" si="985"/>
        <v>4925701.1999100335</v>
      </c>
      <c r="R530">
        <f t="shared" si="986"/>
        <v>16431195.696709765</v>
      </c>
      <c r="S530">
        <f t="shared" si="987"/>
        <v>164.31195696709764</v>
      </c>
      <c r="T530">
        <f t="shared" si="988"/>
        <v>0.16431195696709763</v>
      </c>
    </row>
    <row r="531" spans="1:20" x14ac:dyDescent="0.25">
      <c r="A531" s="5">
        <v>44062</v>
      </c>
      <c r="B531">
        <v>0.11799999999999999</v>
      </c>
      <c r="C531">
        <v>0.1285</v>
      </c>
      <c r="D531">
        <v>0.1077</v>
      </c>
      <c r="E531">
        <v>0.11015</v>
      </c>
      <c r="F531">
        <v>9556848.9000000004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-0.76442307692307754</v>
      </c>
      <c r="Q531">
        <f t="shared" si="985"/>
        <v>-7305475.8418269288</v>
      </c>
      <c r="R531">
        <f t="shared" si="986"/>
        <v>11505494.496799732</v>
      </c>
      <c r="S531">
        <f t="shared" si="987"/>
        <v>115.05494496799732</v>
      </c>
      <c r="T531">
        <f t="shared" si="988"/>
        <v>0.11505494496799731</v>
      </c>
    </row>
    <row r="532" spans="1:20" x14ac:dyDescent="0.25">
      <c r="A532" s="5">
        <v>44061</v>
      </c>
      <c r="B532">
        <v>0.11924</v>
      </c>
      <c r="C532">
        <v>0.13400000000000001</v>
      </c>
      <c r="D532">
        <v>0.11</v>
      </c>
      <c r="E532">
        <v>0.11909</v>
      </c>
      <c r="F532">
        <v>8552343.6999999993</v>
      </c>
      <c r="G532">
        <v>0</v>
      </c>
      <c r="L532" t="s">
        <v>8</v>
      </c>
      <c r="M532" t="s">
        <v>8</v>
      </c>
      <c r="N532" t="s">
        <v>8</v>
      </c>
      <c r="P532">
        <f t="shared" si="984"/>
        <v>-0.24250000000000016</v>
      </c>
      <c r="Q532">
        <f t="shared" si="985"/>
        <v>-2073943.3472500013</v>
      </c>
      <c r="R532">
        <f t="shared" si="986"/>
        <v>18810970.33862666</v>
      </c>
      <c r="S532">
        <f t="shared" si="987"/>
        <v>188.1097033862666</v>
      </c>
      <c r="T532">
        <f t="shared" si="988"/>
        <v>0.18810970338626659</v>
      </c>
    </row>
    <row r="533" spans="1:20" x14ac:dyDescent="0.25">
      <c r="A533" s="5">
        <v>44060</v>
      </c>
      <c r="B533">
        <v>0.12504000000000001</v>
      </c>
      <c r="C533">
        <v>0.14063000000000001</v>
      </c>
      <c r="D533">
        <v>0.1021</v>
      </c>
      <c r="E533">
        <v>0.11985999999999999</v>
      </c>
      <c r="F533">
        <v>15949935.5</v>
      </c>
      <c r="G533">
        <v>0</v>
      </c>
      <c r="L533" t="s">
        <v>7</v>
      </c>
      <c r="M533" t="s">
        <v>7</v>
      </c>
      <c r="N533" t="s">
        <v>8</v>
      </c>
      <c r="P533">
        <f t="shared" si="984"/>
        <v>-7.8120944718401558E-2</v>
      </c>
      <c r="Q533">
        <f t="shared" si="985"/>
        <v>-1246024.0294575705</v>
      </c>
      <c r="R533">
        <f t="shared" si="986"/>
        <v>20884913.68587666</v>
      </c>
      <c r="S533">
        <f t="shared" si="987"/>
        <v>208.8491368587666</v>
      </c>
      <c r="T533">
        <f t="shared" si="988"/>
        <v>0.2088491368587666</v>
      </c>
    </row>
    <row r="534" spans="1:20" x14ac:dyDescent="0.25">
      <c r="A534" s="5">
        <v>44059</v>
      </c>
      <c r="B534">
        <v>0.11441</v>
      </c>
      <c r="C534">
        <v>0.13350000000000001</v>
      </c>
      <c r="D534">
        <v>0.1125</v>
      </c>
      <c r="E534">
        <v>0.12520000000000001</v>
      </c>
      <c r="F534">
        <v>11703078.5</v>
      </c>
      <c r="G534">
        <v>0</v>
      </c>
      <c r="L534" t="s">
        <v>7</v>
      </c>
      <c r="M534" t="s">
        <v>7</v>
      </c>
      <c r="N534" t="s">
        <v>8</v>
      </c>
      <c r="P534">
        <f t="shared" si="984"/>
        <v>0.20952380952380953</v>
      </c>
      <c r="Q534">
        <f t="shared" si="985"/>
        <v>2452073.5904761907</v>
      </c>
      <c r="R534">
        <f t="shared" si="986"/>
        <v>22130937.715334229</v>
      </c>
      <c r="S534">
        <f t="shared" si="987"/>
        <v>221.3093771533423</v>
      </c>
      <c r="T534">
        <f t="shared" si="988"/>
        <v>0.22130937715334228</v>
      </c>
    </row>
    <row r="535" spans="1:20" x14ac:dyDescent="0.25">
      <c r="A535" s="5">
        <v>44058</v>
      </c>
      <c r="B535">
        <v>0.12297</v>
      </c>
      <c r="C535">
        <v>0.12697</v>
      </c>
      <c r="D535">
        <v>0.11405999999999999</v>
      </c>
      <c r="E535">
        <v>0.11441</v>
      </c>
      <c r="F535">
        <v>10338717.199999999</v>
      </c>
      <c r="G535">
        <v>0</v>
      </c>
      <c r="L535" t="s">
        <v>7</v>
      </c>
      <c r="M535" t="s">
        <v>7</v>
      </c>
      <c r="N535" t="s">
        <v>8</v>
      </c>
      <c r="P535">
        <f t="shared" si="984"/>
        <v>-0.94577846630518936</v>
      </c>
      <c r="Q535">
        <f t="shared" si="985"/>
        <v>-9778136.0969790816</v>
      </c>
      <c r="R535">
        <f t="shared" si="986"/>
        <v>19678864.124858037</v>
      </c>
      <c r="S535">
        <f t="shared" si="987"/>
        <v>196.78864124858038</v>
      </c>
      <c r="T535">
        <f t="shared" si="988"/>
        <v>0.19678864124858036</v>
      </c>
    </row>
    <row r="536" spans="1:20" x14ac:dyDescent="0.25">
      <c r="A536" s="5">
        <v>44057</v>
      </c>
      <c r="B536">
        <v>0.12081</v>
      </c>
      <c r="C536">
        <v>0.1366</v>
      </c>
      <c r="D536">
        <v>0.11791</v>
      </c>
      <c r="E536">
        <v>0.12261</v>
      </c>
      <c r="F536">
        <v>16459004.699999999</v>
      </c>
      <c r="G536">
        <v>0</v>
      </c>
      <c r="L536" t="s">
        <v>7</v>
      </c>
      <c r="M536" t="s">
        <v>7</v>
      </c>
      <c r="N536" t="s">
        <v>8</v>
      </c>
      <c r="P536">
        <f t="shared" si="984"/>
        <v>-0.497057249866239</v>
      </c>
      <c r="Q536">
        <f t="shared" si="985"/>
        <v>-8181067.6117175017</v>
      </c>
      <c r="R536">
        <f t="shared" si="986"/>
        <v>29457000.221837118</v>
      </c>
      <c r="S536">
        <f t="shared" si="987"/>
        <v>294.5700022183712</v>
      </c>
      <c r="T536">
        <f t="shared" si="988"/>
        <v>0.29457000221837121</v>
      </c>
    </row>
    <row r="537" spans="1:20" x14ac:dyDescent="0.25">
      <c r="A537" s="5">
        <v>44056</v>
      </c>
      <c r="B537">
        <v>0.14226</v>
      </c>
      <c r="C537">
        <v>0.14749999999999999</v>
      </c>
      <c r="D537">
        <v>0.11162999999999999</v>
      </c>
      <c r="E537">
        <v>0.12064999999999999</v>
      </c>
      <c r="F537">
        <v>32404899.899999999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-0.49707276275439083</v>
      </c>
      <c r="Q537">
        <f t="shared" si="985"/>
        <v>-16107593.120072482</v>
      </c>
      <c r="R537">
        <f t="shared" si="986"/>
        <v>37638067.833554618</v>
      </c>
      <c r="S537">
        <f t="shared" si="987"/>
        <v>376.38067833554618</v>
      </c>
      <c r="T537">
        <f t="shared" si="988"/>
        <v>0.37638067833554617</v>
      </c>
    </row>
    <row r="538" spans="1:20" x14ac:dyDescent="0.25">
      <c r="A538" s="5">
        <v>44055</v>
      </c>
      <c r="B538">
        <v>0.10818</v>
      </c>
      <c r="C538">
        <v>0.15</v>
      </c>
      <c r="D538">
        <v>9.4359999999999999E-2</v>
      </c>
      <c r="E538">
        <v>0.14349999999999999</v>
      </c>
      <c r="F538">
        <v>76233604</v>
      </c>
      <c r="G538">
        <v>0</v>
      </c>
      <c r="L538" t="s">
        <v>7</v>
      </c>
      <c r="M538" t="s">
        <v>7</v>
      </c>
      <c r="N538" t="s">
        <v>7</v>
      </c>
      <c r="P538">
        <f t="shared" si="984"/>
        <v>0.76635514018691564</v>
      </c>
      <c r="Q538">
        <f t="shared" si="985"/>
        <v>58422014.280373812</v>
      </c>
      <c r="R538">
        <f t="shared" si="986"/>
        <v>53745660.953627102</v>
      </c>
      <c r="S538">
        <f t="shared" si="987"/>
        <v>537.456609536271</v>
      </c>
      <c r="T538">
        <f t="shared" si="988"/>
        <v>0.53745660953627106</v>
      </c>
    </row>
    <row r="539" spans="1:20" x14ac:dyDescent="0.25">
      <c r="A539" s="5">
        <v>44054</v>
      </c>
      <c r="B539">
        <v>0.11269</v>
      </c>
      <c r="C539">
        <v>0.14499000000000001</v>
      </c>
      <c r="D539">
        <v>8.5019999999999998E-2</v>
      </c>
      <c r="E539">
        <v>0.1084</v>
      </c>
      <c r="F539">
        <v>21229440.5</v>
      </c>
      <c r="G539">
        <v>0</v>
      </c>
      <c r="P539">
        <f t="shared" si="984"/>
        <v>-0.22027680506920144</v>
      </c>
      <c r="Q539">
        <f t="shared" si="985"/>
        <v>-4676353.3267467106</v>
      </c>
      <c r="R539">
        <f t="shared" si="986"/>
        <v>-4676353.3267467106</v>
      </c>
      <c r="S539">
        <f t="shared" si="987"/>
        <v>-46.763533267467103</v>
      </c>
      <c r="T539">
        <f t="shared" si="988"/>
        <v>-4.67635332674671E-2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KH723" sqref="KH723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$A$722</v>
      </c>
      <c r="D111" s="1" t="str">
        <f>ADDRESS(C121-1,D121,1,1)</f>
        <v>$KH$722</v>
      </c>
      <c r="E111"/>
    </row>
    <row r="112" spans="1:5" x14ac:dyDescent="0.25">
      <c r="A112" s="7">
        <v>12164.144957890772</v>
      </c>
      <c r="C112" s="1" t="str">
        <f>ADDRESS(C121,1,1,1)</f>
        <v>$A$723</v>
      </c>
      <c r="D112" s="1" t="str">
        <f>ADDRESS(C121,D121-1,1,1)</f>
        <v>$KG$723</v>
      </c>
      <c r="E112"/>
    </row>
    <row r="113" spans="1:5" x14ac:dyDescent="0.25">
      <c r="A113" s="7">
        <v>11925.63231165762</v>
      </c>
      <c r="C113" s="1" t="str">
        <f>ADDRESS(C121+1,1,1,1)</f>
        <v>$A$724</v>
      </c>
      <c r="D113" s="1" t="str">
        <f>ADDRESS(C121-1,D121+1,1,1)</f>
        <v>$KI$722</v>
      </c>
    </row>
    <row r="114" spans="1:5" x14ac:dyDescent="0.25">
      <c r="A114" s="7">
        <v>11691.796383978059</v>
      </c>
      <c r="C114" s="1" t="str">
        <f>ADDRESS(C121,D121,1,1)</f>
        <v>$KH$723</v>
      </c>
      <c r="D114" s="1" t="str">
        <f>ADDRESS(C121+1,D121+1,1,1)</f>
        <v>$KI$724</v>
      </c>
    </row>
    <row r="115" spans="1:5" x14ac:dyDescent="0.25">
      <c r="A115" s="7">
        <v>11462.545474488292</v>
      </c>
      <c r="C115" s="1" t="str">
        <f>ADDRESS(C121+1,D121,1,1)</f>
        <v>$KH$724</v>
      </c>
    </row>
    <row r="116" spans="1:5" x14ac:dyDescent="0.25">
      <c r="A116" s="7">
        <v>11237.789680870874</v>
      </c>
      <c r="C116" s="1">
        <f>C117-1</f>
        <v>722</v>
      </c>
    </row>
    <row r="117" spans="1:5" x14ac:dyDescent="0.25">
      <c r="A117" s="7">
        <v>11017.440863598895</v>
      </c>
      <c r="C117" s="1">
        <f>C121</f>
        <v>723</v>
      </c>
      <c r="D117" s="1">
        <f>D121</f>
        <v>294</v>
      </c>
    </row>
    <row r="118" spans="1:5" x14ac:dyDescent="0.25">
      <c r="A118" s="7">
        <v>10801.412611371465</v>
      </c>
      <c r="C118" s="1">
        <f>C117+1</f>
        <v>724</v>
      </c>
      <c r="D118" s="1">
        <f>D117+1</f>
        <v>295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723</v>
      </c>
      <c r="D121" s="19">
        <v>294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R723</v>
      </c>
      <c r="D123" s="1" t="str">
        <f>"C"&amp;D121</f>
        <v>C294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6.7666956032147993E-2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154" x14ac:dyDescent="0.25">
      <c r="A641" s="7">
        <v>0.34323433454431179</v>
      </c>
      <c r="B641"/>
      <c r="C641"/>
      <c r="D641"/>
      <c r="E641"/>
      <c r="F641" s="27" t="s">
        <v>7</v>
      </c>
    </row>
    <row r="642" spans="1:154" x14ac:dyDescent="0.25">
      <c r="A642" s="7">
        <v>0.33650424955324681</v>
      </c>
      <c r="B642"/>
      <c r="C642"/>
      <c r="D642"/>
      <c r="E642"/>
      <c r="F642" s="27" t="s">
        <v>7</v>
      </c>
    </row>
    <row r="643" spans="1:154" x14ac:dyDescent="0.25">
      <c r="A643" s="7">
        <v>0.3299061270129871</v>
      </c>
      <c r="B643"/>
      <c r="C643"/>
      <c r="D643"/>
      <c r="E643"/>
      <c r="F643" s="27" t="s">
        <v>7</v>
      </c>
    </row>
    <row r="644" spans="1:154" x14ac:dyDescent="0.25">
      <c r="A644" s="7">
        <v>0.32343737942449713</v>
      </c>
      <c r="B644"/>
      <c r="C644"/>
      <c r="D644"/>
      <c r="E644"/>
      <c r="F644" s="27" t="s">
        <v>7</v>
      </c>
    </row>
    <row r="645" spans="1:154" x14ac:dyDescent="0.25">
      <c r="A645" s="7">
        <v>0.31709547002401678</v>
      </c>
      <c r="B645"/>
      <c r="C645"/>
      <c r="D645"/>
      <c r="E645"/>
      <c r="F645" s="27" t="s">
        <v>7</v>
      </c>
    </row>
    <row r="646" spans="1:154" x14ac:dyDescent="0.25">
      <c r="A646" s="7">
        <v>0.31087791178825175</v>
      </c>
      <c r="B646"/>
      <c r="C646"/>
      <c r="D646"/>
      <c r="E646"/>
      <c r="F646" s="27" t="s">
        <v>7</v>
      </c>
      <c r="EI646" s="27" t="s">
        <v>8</v>
      </c>
    </row>
    <row r="647" spans="1:154" x14ac:dyDescent="0.25">
      <c r="A647" s="7">
        <v>0.30478226645907036</v>
      </c>
      <c r="B647"/>
      <c r="C647"/>
      <c r="D647"/>
      <c r="E647"/>
      <c r="F647" s="27" t="s">
        <v>7</v>
      </c>
      <c r="EI647" s="27" t="s">
        <v>8</v>
      </c>
      <c r="EJ647" s="27" t="s">
        <v>7</v>
      </c>
    </row>
    <row r="648" spans="1:154" x14ac:dyDescent="0.25">
      <c r="A648" s="7">
        <v>0.29880614358732388</v>
      </c>
      <c r="B648"/>
      <c r="C648"/>
      <c r="D648"/>
      <c r="E648"/>
      <c r="F648" s="27" t="s">
        <v>7</v>
      </c>
      <c r="EI648" s="27" t="s">
        <v>8</v>
      </c>
      <c r="EJ648" s="27" t="s">
        <v>7</v>
      </c>
    </row>
    <row r="649" spans="1:154" x14ac:dyDescent="0.25">
      <c r="A649" s="7">
        <v>0.2929471995954156</v>
      </c>
      <c r="B649"/>
      <c r="C649"/>
      <c r="D649"/>
      <c r="E649"/>
      <c r="F649" s="27" t="s">
        <v>7</v>
      </c>
      <c r="EI649" s="27" t="s">
        <v>8</v>
      </c>
      <c r="EJ649" s="27" t="s">
        <v>7</v>
      </c>
    </row>
    <row r="650" spans="1:154" x14ac:dyDescent="0.25">
      <c r="A650" s="7">
        <v>0.28720313685825055</v>
      </c>
      <c r="B650"/>
      <c r="C650"/>
      <c r="D650"/>
      <c r="E650"/>
      <c r="F650" s="27" t="s">
        <v>7</v>
      </c>
      <c r="EI650" s="27" t="s">
        <v>8</v>
      </c>
      <c r="EJ650" s="27" t="s">
        <v>7</v>
      </c>
    </row>
    <row r="651" spans="1:154" x14ac:dyDescent="0.25">
      <c r="A651" s="7">
        <v>0.28157170280220645</v>
      </c>
      <c r="B651"/>
      <c r="C651"/>
      <c r="D651"/>
      <c r="E651"/>
      <c r="F651" s="27" t="s">
        <v>7</v>
      </c>
      <c r="DU651" s="27" t="s">
        <v>8</v>
      </c>
      <c r="EI651" s="27" t="s">
        <v>8</v>
      </c>
      <c r="EJ651" s="27" t="s">
        <v>7</v>
      </c>
    </row>
    <row r="652" spans="1:154" x14ac:dyDescent="0.25">
      <c r="A652" s="7">
        <v>0.27605068902177105</v>
      </c>
      <c r="B652"/>
      <c r="C652"/>
      <c r="D652"/>
      <c r="E652"/>
      <c r="F652" s="27" t="s">
        <v>7</v>
      </c>
      <c r="DU652" s="27" t="s">
        <v>8</v>
      </c>
      <c r="DV652" s="27" t="s">
        <v>7</v>
      </c>
      <c r="DW652" s="27" t="s">
        <v>8</v>
      </c>
      <c r="EI652" s="27" t="s">
        <v>8</v>
      </c>
      <c r="EJ652" s="27" t="s">
        <v>7</v>
      </c>
    </row>
    <row r="653" spans="1:154" x14ac:dyDescent="0.25">
      <c r="A653" s="7">
        <v>0.27063793041350104</v>
      </c>
      <c r="B653"/>
      <c r="C653"/>
      <c r="D653"/>
      <c r="E653"/>
      <c r="F653" s="27" t="s">
        <v>7</v>
      </c>
      <c r="DU653" s="27" t="s">
        <v>8</v>
      </c>
      <c r="DV653" s="27" t="s">
        <v>7</v>
      </c>
      <c r="DW653" s="27" t="s">
        <v>8</v>
      </c>
      <c r="DX653" s="27" t="s">
        <v>7</v>
      </c>
      <c r="EI653" s="27" t="s">
        <v>8</v>
      </c>
      <c r="EJ653" s="27" t="s">
        <v>7</v>
      </c>
    </row>
    <row r="654" spans="1:154" x14ac:dyDescent="0.25">
      <c r="A654" s="7">
        <v>0.26533130432696184</v>
      </c>
      <c r="B654"/>
      <c r="C654"/>
      <c r="D654"/>
      <c r="E654"/>
      <c r="F654" s="27" t="s">
        <v>7</v>
      </c>
      <c r="DU654" s="27" t="s">
        <v>8</v>
      </c>
      <c r="DV654" s="27" t="s">
        <v>7</v>
      </c>
      <c r="DW654" s="27" t="s">
        <v>8</v>
      </c>
      <c r="DX654" s="27" t="s">
        <v>7</v>
      </c>
      <c r="EI654" s="27" t="s">
        <v>8</v>
      </c>
      <c r="EJ654" s="27" t="s">
        <v>7</v>
      </c>
      <c r="EW654" s="27" t="s">
        <v>8</v>
      </c>
    </row>
    <row r="655" spans="1:154" x14ac:dyDescent="0.25">
      <c r="A655" s="7">
        <v>0.26012872973231554</v>
      </c>
      <c r="B655"/>
      <c r="C655"/>
      <c r="D655"/>
      <c r="E655"/>
      <c r="F655" s="27" t="s">
        <v>7</v>
      </c>
      <c r="DU655" s="27" t="s">
        <v>8</v>
      </c>
      <c r="DV655" s="27" t="s">
        <v>7</v>
      </c>
      <c r="DW655" s="27" t="s">
        <v>8</v>
      </c>
      <c r="DX655" s="27" t="s">
        <v>7</v>
      </c>
      <c r="EI655" s="27" t="s">
        <v>8</v>
      </c>
      <c r="EJ655" s="27" t="s">
        <v>7</v>
      </c>
      <c r="EW655" s="27" t="s">
        <v>8</v>
      </c>
      <c r="EX655" s="27" t="s">
        <v>7</v>
      </c>
    </row>
    <row r="656" spans="1:154" x14ac:dyDescent="0.25">
      <c r="A656" s="7">
        <v>0.25502816640423093</v>
      </c>
      <c r="B656"/>
      <c r="C656"/>
      <c r="D656"/>
      <c r="E656"/>
      <c r="F656" s="27" t="s">
        <v>7</v>
      </c>
      <c r="DU656" s="27" t="s">
        <v>8</v>
      </c>
      <c r="DV656" s="27" t="s">
        <v>7</v>
      </c>
      <c r="DW656" s="27" t="s">
        <v>8</v>
      </c>
      <c r="DX656" s="27" t="s">
        <v>7</v>
      </c>
      <c r="EA656" s="27" t="s">
        <v>8</v>
      </c>
      <c r="EI656" s="27" t="s">
        <v>8</v>
      </c>
      <c r="EJ656" s="27" t="s">
        <v>7</v>
      </c>
      <c r="EW656" s="27" t="s">
        <v>8</v>
      </c>
      <c r="EX656" s="27" t="s">
        <v>7</v>
      </c>
    </row>
    <row r="657" spans="1:258" x14ac:dyDescent="0.25">
      <c r="A657" s="7">
        <v>0.25002761412179503</v>
      </c>
      <c r="B657"/>
      <c r="C657"/>
      <c r="D657"/>
      <c r="E657"/>
      <c r="F657" s="27" t="s">
        <v>7</v>
      </c>
      <c r="DU657" s="27" t="s">
        <v>8</v>
      </c>
      <c r="DV657" s="27" t="s">
        <v>7</v>
      </c>
      <c r="DW657" s="27" t="s">
        <v>8</v>
      </c>
      <c r="DX657" s="27" t="s">
        <v>7</v>
      </c>
      <c r="EA657" s="27" t="s">
        <v>8</v>
      </c>
      <c r="EB657" s="27" t="s">
        <v>7</v>
      </c>
      <c r="EI657" s="27" t="s">
        <v>8</v>
      </c>
      <c r="EJ657" s="27" t="s">
        <v>7</v>
      </c>
      <c r="EW657" s="27" t="s">
        <v>8</v>
      </c>
      <c r="EX657" s="27" t="s">
        <v>7</v>
      </c>
    </row>
    <row r="658" spans="1:258" x14ac:dyDescent="0.25">
      <c r="A658" s="7">
        <v>0.24512511188411276</v>
      </c>
      <c r="B658"/>
      <c r="C658"/>
      <c r="D658"/>
      <c r="E658"/>
      <c r="F658" s="27" t="s">
        <v>7</v>
      </c>
      <c r="DU658" s="27" t="s">
        <v>8</v>
      </c>
      <c r="DV658" s="27" t="s">
        <v>7</v>
      </c>
      <c r="DW658" s="27" t="s">
        <v>8</v>
      </c>
      <c r="DX658" s="27" t="s">
        <v>7</v>
      </c>
      <c r="EA658" s="27" t="s">
        <v>8</v>
      </c>
      <c r="EB658" s="27" t="s">
        <v>7</v>
      </c>
      <c r="EE658" s="27" t="s">
        <v>8</v>
      </c>
      <c r="EI658" s="27" t="s">
        <v>8</v>
      </c>
      <c r="EJ658" s="27" t="s">
        <v>7</v>
      </c>
      <c r="EK658" s="27" t="s">
        <v>8</v>
      </c>
      <c r="EW658" s="27" t="s">
        <v>8</v>
      </c>
      <c r="EX658" s="27" t="s">
        <v>7</v>
      </c>
    </row>
    <row r="659" spans="1:258" x14ac:dyDescent="0.25">
      <c r="A659" s="7">
        <v>0.24031873714128701</v>
      </c>
      <c r="B659"/>
      <c r="C659"/>
      <c r="D659"/>
      <c r="E659"/>
      <c r="F659" s="27" t="s">
        <v>7</v>
      </c>
      <c r="DU659" s="27" t="s">
        <v>8</v>
      </c>
      <c r="DV659" s="27" t="s">
        <v>7</v>
      </c>
      <c r="DW659" s="27" t="s">
        <v>8</v>
      </c>
      <c r="DX659" s="27" t="s">
        <v>7</v>
      </c>
      <c r="EA659" s="27" t="s">
        <v>8</v>
      </c>
      <c r="EB659" s="27" t="s">
        <v>7</v>
      </c>
      <c r="EE659" s="27" t="s">
        <v>8</v>
      </c>
      <c r="EF659" s="27" t="s">
        <v>7</v>
      </c>
      <c r="EI659" s="27" t="s">
        <v>8</v>
      </c>
      <c r="EJ659" s="27" t="s">
        <v>7</v>
      </c>
      <c r="EK659" s="27" t="s">
        <v>8</v>
      </c>
      <c r="EL659" s="27" t="s">
        <v>7</v>
      </c>
      <c r="EW659" s="27" t="s">
        <v>8</v>
      </c>
      <c r="EX659" s="27" t="s">
        <v>7</v>
      </c>
    </row>
    <row r="660" spans="1:258" x14ac:dyDescent="0.25">
      <c r="A660" s="7">
        <v>0.23560660504047748</v>
      </c>
      <c r="B660"/>
      <c r="C660"/>
      <c r="D660"/>
      <c r="E660"/>
      <c r="F660" s="27" t="s">
        <v>7</v>
      </c>
      <c r="DU660" s="27" t="s">
        <v>8</v>
      </c>
      <c r="DV660" s="27" t="s">
        <v>7</v>
      </c>
      <c r="DW660" s="27" t="s">
        <v>8</v>
      </c>
      <c r="DX660" s="27" t="s">
        <v>7</v>
      </c>
      <c r="EA660" s="27" t="s">
        <v>8</v>
      </c>
      <c r="EB660" s="27" t="s">
        <v>7</v>
      </c>
      <c r="EE660" s="27" t="s">
        <v>8</v>
      </c>
      <c r="EF660" s="27" t="s">
        <v>7</v>
      </c>
      <c r="EI660" s="27" t="s">
        <v>8</v>
      </c>
      <c r="EJ660" s="27" t="s">
        <v>7</v>
      </c>
      <c r="EK660" s="27" t="s">
        <v>8</v>
      </c>
      <c r="EL660" s="27" t="s">
        <v>7</v>
      </c>
      <c r="EW660" s="27" t="s">
        <v>8</v>
      </c>
      <c r="EX660" s="27" t="s">
        <v>7</v>
      </c>
    </row>
    <row r="661" spans="1:258" x14ac:dyDescent="0.25">
      <c r="A661" s="7">
        <v>0.23098686768674265</v>
      </c>
      <c r="B661"/>
      <c r="C661"/>
      <c r="D661"/>
      <c r="E661"/>
      <c r="F661" s="27" t="s">
        <v>7</v>
      </c>
      <c r="DU661" s="27" t="s">
        <v>8</v>
      </c>
      <c r="DV661" s="27" t="s">
        <v>7</v>
      </c>
      <c r="DX661" s="27" t="s">
        <v>7</v>
      </c>
      <c r="EA661" s="27" t="s">
        <v>8</v>
      </c>
      <c r="EB661" s="27" t="s">
        <v>7</v>
      </c>
      <c r="EE661" s="27" t="s">
        <v>8</v>
      </c>
      <c r="EF661" s="27" t="s">
        <v>7</v>
      </c>
      <c r="EG661" s="27" t="s">
        <v>8</v>
      </c>
      <c r="EI661" s="27" t="s">
        <v>8</v>
      </c>
      <c r="EJ661" s="27" t="s">
        <v>7</v>
      </c>
      <c r="EK661" s="27" t="s">
        <v>8</v>
      </c>
      <c r="EL661" s="27" t="s">
        <v>7</v>
      </c>
      <c r="EM661" s="27" t="s">
        <v>8</v>
      </c>
      <c r="EW661" s="27" t="s">
        <v>8</v>
      </c>
      <c r="EX661" s="27" t="s">
        <v>7</v>
      </c>
      <c r="FA661" s="27" t="s">
        <v>8</v>
      </c>
    </row>
    <row r="662" spans="1:258" x14ac:dyDescent="0.25">
      <c r="A662" s="7">
        <v>0.22645771341837515</v>
      </c>
      <c r="B662"/>
      <c r="C662"/>
      <c r="D662"/>
      <c r="E662"/>
      <c r="F662" s="27" t="s">
        <v>7</v>
      </c>
      <c r="DU662" s="27" t="s">
        <v>8</v>
      </c>
      <c r="DX662" s="27" t="s">
        <v>7</v>
      </c>
      <c r="DY662" s="27" t="s">
        <v>8</v>
      </c>
      <c r="EA662" s="27" t="s">
        <v>8</v>
      </c>
      <c r="EB662" s="27" t="s">
        <v>7</v>
      </c>
      <c r="EE662" s="27" t="s">
        <v>8</v>
      </c>
      <c r="EF662" s="27" t="s">
        <v>7</v>
      </c>
      <c r="EG662" s="27" t="s">
        <v>8</v>
      </c>
      <c r="EH662" s="27" t="s">
        <v>7</v>
      </c>
      <c r="EI662" s="27" t="s">
        <v>8</v>
      </c>
      <c r="EJ662" s="27" t="s">
        <v>7</v>
      </c>
      <c r="EL662" s="27" t="s">
        <v>7</v>
      </c>
      <c r="EM662" s="27" t="s">
        <v>8</v>
      </c>
      <c r="EN662" s="27" t="s">
        <v>7</v>
      </c>
      <c r="EW662" s="27" t="s">
        <v>8</v>
      </c>
      <c r="EX662" s="27" t="s">
        <v>7</v>
      </c>
      <c r="FA662" s="27" t="s">
        <v>8</v>
      </c>
      <c r="FB662" s="27" t="s">
        <v>7</v>
      </c>
    </row>
    <row r="663" spans="1:258" x14ac:dyDescent="0.25">
      <c r="A663" s="7">
        <v>0.22201736609644623</v>
      </c>
      <c r="B663"/>
      <c r="C663"/>
      <c r="D663"/>
      <c r="E663"/>
      <c r="F663" s="27" t="s">
        <v>7</v>
      </c>
      <c r="DU663" s="27" t="s">
        <v>8</v>
      </c>
      <c r="DX663" s="27" t="s">
        <v>7</v>
      </c>
      <c r="DY663" s="27" t="s">
        <v>8</v>
      </c>
      <c r="DZ663" s="27" t="s">
        <v>7</v>
      </c>
      <c r="EA663" s="27" t="s">
        <v>8</v>
      </c>
      <c r="EB663" s="27" t="s">
        <v>7</v>
      </c>
      <c r="EC663" s="27" t="s">
        <v>8</v>
      </c>
      <c r="EE663" s="27" t="s">
        <v>8</v>
      </c>
      <c r="EF663" s="27" t="s">
        <v>7</v>
      </c>
      <c r="EG663" s="27" t="s">
        <v>8</v>
      </c>
      <c r="EH663" s="27" t="s">
        <v>7</v>
      </c>
      <c r="EI663" s="27" t="s">
        <v>8</v>
      </c>
      <c r="EL663" s="27" t="s">
        <v>7</v>
      </c>
      <c r="EM663" s="27" t="s">
        <v>8</v>
      </c>
      <c r="EN663" s="27" t="s">
        <v>7</v>
      </c>
      <c r="EW663" s="27" t="s">
        <v>8</v>
      </c>
      <c r="EX663" s="27" t="s">
        <v>7</v>
      </c>
      <c r="FA663" s="27" t="s">
        <v>8</v>
      </c>
      <c r="FB663" s="27" t="s">
        <v>7</v>
      </c>
    </row>
    <row r="664" spans="1:258" x14ac:dyDescent="0.25">
      <c r="A664" s="7">
        <v>0.21766408440828061</v>
      </c>
      <c r="B664"/>
      <c r="C664"/>
      <c r="D664"/>
      <c r="E664"/>
      <c r="F664" s="27" t="s">
        <v>7</v>
      </c>
      <c r="DU664" s="27" t="s">
        <v>8</v>
      </c>
      <c r="DX664" s="27" t="s">
        <v>7</v>
      </c>
      <c r="DY664" s="27" t="s">
        <v>8</v>
      </c>
      <c r="DZ664" s="27" t="s">
        <v>7</v>
      </c>
      <c r="EA664" s="27" t="s">
        <v>8</v>
      </c>
      <c r="EB664" s="27" t="s">
        <v>7</v>
      </c>
      <c r="EC664" s="27" t="s">
        <v>8</v>
      </c>
      <c r="ED664" s="27" t="s">
        <v>7</v>
      </c>
      <c r="EE664" s="27" t="s">
        <v>8</v>
      </c>
      <c r="EF664" s="27" t="s">
        <v>7</v>
      </c>
      <c r="EG664" s="27" t="s">
        <v>8</v>
      </c>
      <c r="EH664" s="27" t="s">
        <v>7</v>
      </c>
      <c r="EI664" s="27" t="s">
        <v>8</v>
      </c>
      <c r="EL664" s="27" t="s">
        <v>7</v>
      </c>
      <c r="EM664" s="27" t="s">
        <v>8</v>
      </c>
      <c r="EN664" s="27" t="s">
        <v>7</v>
      </c>
      <c r="EW664" s="27" t="s">
        <v>8</v>
      </c>
      <c r="EX664" s="27" t="s">
        <v>7</v>
      </c>
      <c r="FA664" s="27" t="s">
        <v>8</v>
      </c>
      <c r="FB664" s="27" t="s">
        <v>7</v>
      </c>
      <c r="IW664" s="27" t="s">
        <v>8</v>
      </c>
    </row>
    <row r="665" spans="1:258" x14ac:dyDescent="0.25">
      <c r="A665" s="7">
        <v>0.21339616118458882</v>
      </c>
      <c r="B665"/>
      <c r="C665"/>
      <c r="D665"/>
      <c r="E665"/>
      <c r="F665" s="27" t="s">
        <v>7</v>
      </c>
      <c r="DU665" s="27" t="s">
        <v>8</v>
      </c>
      <c r="DX665" s="27" t="s">
        <v>7</v>
      </c>
      <c r="DY665" s="27" t="s">
        <v>8</v>
      </c>
      <c r="DZ665" s="27" t="s">
        <v>7</v>
      </c>
      <c r="EA665" s="27" t="s">
        <v>8</v>
      </c>
      <c r="EB665" s="27" t="s">
        <v>7</v>
      </c>
      <c r="EC665" s="27" t="s">
        <v>8</v>
      </c>
      <c r="ED665" s="27" t="s">
        <v>7</v>
      </c>
      <c r="EE665" s="27" t="s">
        <v>8</v>
      </c>
      <c r="EF665" s="27" t="s">
        <v>7</v>
      </c>
      <c r="EG665" s="27" t="s">
        <v>8</v>
      </c>
      <c r="EH665" s="27" t="s">
        <v>7</v>
      </c>
      <c r="EI665" s="27" t="s">
        <v>8</v>
      </c>
      <c r="EL665" s="27" t="s">
        <v>7</v>
      </c>
      <c r="EN665" s="27" t="s">
        <v>7</v>
      </c>
      <c r="EW665" s="27" t="s">
        <v>8</v>
      </c>
      <c r="EX665" s="27" t="s">
        <v>7</v>
      </c>
      <c r="FA665" s="27" t="s">
        <v>8</v>
      </c>
      <c r="FB665" s="27" t="s">
        <v>7</v>
      </c>
      <c r="IW665" s="27" t="s">
        <v>8</v>
      </c>
      <c r="IX665" s="27" t="s">
        <v>7</v>
      </c>
    </row>
    <row r="666" spans="1:258" x14ac:dyDescent="0.25">
      <c r="A666" s="7">
        <v>0.20921192272998904</v>
      </c>
      <c r="B666"/>
      <c r="C666"/>
      <c r="D666"/>
      <c r="E666"/>
      <c r="F666" s="27" t="s">
        <v>7</v>
      </c>
      <c r="DU666" s="27" t="s">
        <v>8</v>
      </c>
      <c r="DX666" s="27" t="s">
        <v>7</v>
      </c>
      <c r="DY666" s="27" t="s">
        <v>8</v>
      </c>
      <c r="DZ666" s="27" t="s">
        <v>7</v>
      </c>
      <c r="EA666" s="27" t="s">
        <v>8</v>
      </c>
      <c r="EB666" s="27" t="s">
        <v>7</v>
      </c>
      <c r="EC666" s="27" t="s">
        <v>8</v>
      </c>
      <c r="ED666" s="27" t="s">
        <v>7</v>
      </c>
      <c r="EE666" s="27" t="s">
        <v>8</v>
      </c>
      <c r="EF666" s="27" t="s">
        <v>7</v>
      </c>
      <c r="EG666" s="27" t="s">
        <v>8</v>
      </c>
      <c r="EH666" s="27" t="s">
        <v>7</v>
      </c>
      <c r="EI666" s="27" t="s">
        <v>8</v>
      </c>
      <c r="EN666" s="27" t="s">
        <v>7</v>
      </c>
      <c r="EW666" s="27" t="s">
        <v>8</v>
      </c>
      <c r="EX666" s="27" t="s">
        <v>7</v>
      </c>
      <c r="FA666" s="27" t="s">
        <v>8</v>
      </c>
      <c r="FB666" s="27" t="s">
        <v>7</v>
      </c>
      <c r="IW666" s="27" t="s">
        <v>8</v>
      </c>
      <c r="IX666" s="27" t="s">
        <v>7</v>
      </c>
    </row>
    <row r="667" spans="1:258" x14ac:dyDescent="0.25">
      <c r="A667" s="7">
        <v>0.20510972816665593</v>
      </c>
      <c r="B667"/>
      <c r="C667"/>
      <c r="D667"/>
      <c r="E667"/>
      <c r="F667" s="27" t="s">
        <v>7</v>
      </c>
      <c r="DU667" s="27" t="s">
        <v>8</v>
      </c>
      <c r="DX667" s="27" t="s">
        <v>7</v>
      </c>
      <c r="DY667" s="27" t="s">
        <v>8</v>
      </c>
      <c r="DZ667" s="27" t="s">
        <v>7</v>
      </c>
      <c r="EA667" s="27" t="s">
        <v>8</v>
      </c>
      <c r="EB667" s="27" t="s">
        <v>7</v>
      </c>
      <c r="ED667" s="27" t="s">
        <v>7</v>
      </c>
      <c r="EF667" s="27" t="s">
        <v>7</v>
      </c>
      <c r="EG667" s="27" t="s">
        <v>8</v>
      </c>
      <c r="EH667" s="27" t="s">
        <v>7</v>
      </c>
      <c r="EI667" s="27" t="s">
        <v>8</v>
      </c>
      <c r="EN667" s="27" t="s">
        <v>7</v>
      </c>
      <c r="EW667" s="27" t="s">
        <v>8</v>
      </c>
      <c r="EX667" s="27" t="s">
        <v>7</v>
      </c>
      <c r="FA667" s="27" t="s">
        <v>8</v>
      </c>
      <c r="FB667" s="27" t="s">
        <v>7</v>
      </c>
      <c r="IW667" s="27" t="s">
        <v>8</v>
      </c>
      <c r="IX667" s="27" t="s">
        <v>7</v>
      </c>
    </row>
    <row r="668" spans="1:258" x14ac:dyDescent="0.25">
      <c r="A668" s="7">
        <v>0.20108796879083912</v>
      </c>
      <c r="B668"/>
      <c r="C668"/>
      <c r="D668"/>
      <c r="E668"/>
      <c r="F668" s="27" t="s">
        <v>7</v>
      </c>
      <c r="DU668" s="27" t="s">
        <v>8</v>
      </c>
      <c r="DX668" s="27" t="s">
        <v>7</v>
      </c>
      <c r="DY668" s="27" t="s">
        <v>8</v>
      </c>
      <c r="DZ668" s="27" t="s">
        <v>7</v>
      </c>
      <c r="EA668" s="27" t="s">
        <v>8</v>
      </c>
      <c r="EF668" s="27" t="s">
        <v>7</v>
      </c>
      <c r="EG668" s="27" t="s">
        <v>8</v>
      </c>
      <c r="EH668" s="27" t="s">
        <v>7</v>
      </c>
      <c r="EI668" s="27" t="s">
        <v>8</v>
      </c>
      <c r="EN668" s="27" t="s">
        <v>7</v>
      </c>
      <c r="EO668" s="27" t="s">
        <v>8</v>
      </c>
      <c r="EW668" s="27" t="s">
        <v>8</v>
      </c>
      <c r="EX668" s="27" t="s">
        <v>7</v>
      </c>
      <c r="FA668" s="27" t="s">
        <v>8</v>
      </c>
      <c r="FB668" s="27" t="s">
        <v>7</v>
      </c>
      <c r="IW668" s="27" t="s">
        <v>8</v>
      </c>
      <c r="IX668" s="27" t="s">
        <v>7</v>
      </c>
    </row>
    <row r="669" spans="1:258" x14ac:dyDescent="0.25">
      <c r="A669" s="7">
        <v>0.19714506744199917</v>
      </c>
      <c r="B669"/>
      <c r="C669"/>
      <c r="D669"/>
      <c r="E669"/>
      <c r="F669" s="27" t="s">
        <v>7</v>
      </c>
      <c r="DU669" s="27" t="s">
        <v>8</v>
      </c>
      <c r="DX669" s="27" t="s">
        <v>7</v>
      </c>
      <c r="DY669" s="27" t="s">
        <v>8</v>
      </c>
      <c r="DZ669" s="27" t="s">
        <v>7</v>
      </c>
      <c r="EA669" s="27" t="s">
        <v>8</v>
      </c>
      <c r="EF669" s="27" t="s">
        <v>7</v>
      </c>
      <c r="EG669" s="27" t="s">
        <v>8</v>
      </c>
      <c r="EH669" s="27" t="s">
        <v>7</v>
      </c>
      <c r="EI669" s="27" t="s">
        <v>8</v>
      </c>
      <c r="EN669" s="27" t="s">
        <v>7</v>
      </c>
      <c r="EO669" s="27" t="s">
        <v>8</v>
      </c>
      <c r="EP669" s="27" t="s">
        <v>7</v>
      </c>
      <c r="EW669" s="27" t="s">
        <v>8</v>
      </c>
      <c r="EX669" s="27" t="s">
        <v>7</v>
      </c>
      <c r="FA669" s="27" t="s">
        <v>8</v>
      </c>
      <c r="FB669" s="27" t="s">
        <v>7</v>
      </c>
      <c r="IW669" s="27" t="s">
        <v>8</v>
      </c>
      <c r="IX669" s="27" t="s">
        <v>7</v>
      </c>
    </row>
    <row r="670" spans="1:258" x14ac:dyDescent="0.25">
      <c r="A670" s="7">
        <v>0.19327947788431293</v>
      </c>
      <c r="B670"/>
      <c r="C670"/>
      <c r="D670"/>
      <c r="E670"/>
      <c r="F670" s="27" t="s">
        <v>7</v>
      </c>
      <c r="DQ670" s="27" t="s">
        <v>8</v>
      </c>
      <c r="DU670" s="27" t="s">
        <v>8</v>
      </c>
      <c r="DX670" s="27" t="s">
        <v>7</v>
      </c>
      <c r="DY670" s="27" t="s">
        <v>8</v>
      </c>
      <c r="DZ670" s="27" t="s">
        <v>7</v>
      </c>
      <c r="EA670" s="27" t="s">
        <v>8</v>
      </c>
      <c r="EF670" s="27" t="s">
        <v>7</v>
      </c>
      <c r="EG670" s="27" t="s">
        <v>8</v>
      </c>
      <c r="EH670" s="27" t="s">
        <v>7</v>
      </c>
      <c r="EN670" s="27" t="s">
        <v>7</v>
      </c>
      <c r="EO670" s="27" t="s">
        <v>8</v>
      </c>
      <c r="EP670" s="27" t="s">
        <v>7</v>
      </c>
      <c r="EW670" s="27" t="s">
        <v>8</v>
      </c>
      <c r="EX670" s="27" t="s">
        <v>7</v>
      </c>
      <c r="FA670" s="27" t="s">
        <v>8</v>
      </c>
      <c r="FB670" s="27" t="s">
        <v>7</v>
      </c>
      <c r="IW670" s="27" t="s">
        <v>8</v>
      </c>
      <c r="IX670" s="27" t="s">
        <v>7</v>
      </c>
    </row>
    <row r="671" spans="1:258" x14ac:dyDescent="0.25">
      <c r="A671" s="7">
        <v>0.18948968420030682</v>
      </c>
      <c r="B671"/>
      <c r="C671"/>
      <c r="D671"/>
      <c r="E671"/>
      <c r="F671" s="27" t="s">
        <v>7</v>
      </c>
      <c r="DQ671" s="27" t="s">
        <v>8</v>
      </c>
      <c r="DR671" s="27" t="s">
        <v>7</v>
      </c>
      <c r="DU671" s="27" t="s">
        <v>8</v>
      </c>
      <c r="DX671" s="27" t="s">
        <v>7</v>
      </c>
      <c r="DY671" s="27" t="s">
        <v>8</v>
      </c>
      <c r="DZ671" s="27" t="s">
        <v>7</v>
      </c>
      <c r="EA671" s="27" t="s">
        <v>8</v>
      </c>
      <c r="EF671" s="27" t="s">
        <v>7</v>
      </c>
      <c r="EG671" s="27" t="s">
        <v>8</v>
      </c>
      <c r="EN671" s="27" t="s">
        <v>7</v>
      </c>
      <c r="EO671" s="27" t="s">
        <v>8</v>
      </c>
      <c r="EP671" s="27" t="s">
        <v>7</v>
      </c>
      <c r="EW671" s="27" t="s">
        <v>8</v>
      </c>
      <c r="EX671" s="27" t="s">
        <v>7</v>
      </c>
      <c r="FA671" s="27" t="s">
        <v>8</v>
      </c>
      <c r="FB671" s="27" t="s">
        <v>7</v>
      </c>
      <c r="IW671" s="27" t="s">
        <v>8</v>
      </c>
      <c r="IX671" s="27" t="s">
        <v>7</v>
      </c>
    </row>
    <row r="672" spans="1:258" x14ac:dyDescent="0.25">
      <c r="A672" s="7">
        <v>0.18577420019637925</v>
      </c>
      <c r="B672"/>
      <c r="C672"/>
      <c r="D672"/>
      <c r="E672"/>
      <c r="F672" s="27" t="s">
        <v>7</v>
      </c>
      <c r="DQ672" s="27" t="s">
        <v>8</v>
      </c>
      <c r="DR672" s="27" t="s">
        <v>7</v>
      </c>
      <c r="DS672" s="27" t="s">
        <v>8</v>
      </c>
      <c r="DU672" s="27" t="s">
        <v>8</v>
      </c>
      <c r="DX672" s="27" t="s">
        <v>7</v>
      </c>
      <c r="DY672" s="27" t="s">
        <v>8</v>
      </c>
      <c r="DZ672" s="27" t="s">
        <v>7</v>
      </c>
      <c r="EA672" s="27" t="s">
        <v>8</v>
      </c>
      <c r="EF672" s="27" t="s">
        <v>7</v>
      </c>
      <c r="EN672" s="27" t="s">
        <v>7</v>
      </c>
      <c r="EO672" s="27" t="s">
        <v>8</v>
      </c>
      <c r="EP672" s="27" t="s">
        <v>7</v>
      </c>
      <c r="EU672" s="27" t="s">
        <v>8</v>
      </c>
      <c r="EW672" s="27" t="s">
        <v>8</v>
      </c>
      <c r="EX672" s="27" t="s">
        <v>7</v>
      </c>
      <c r="EY672" s="27" t="s">
        <v>8</v>
      </c>
      <c r="FA672" s="27" t="s">
        <v>8</v>
      </c>
      <c r="FB672" s="27" t="s">
        <v>7</v>
      </c>
      <c r="IW672" s="27" t="s">
        <v>8</v>
      </c>
      <c r="IX672" s="27" t="s">
        <v>7</v>
      </c>
    </row>
    <row r="673" spans="1:264" x14ac:dyDescent="0.25">
      <c r="A673" s="7">
        <v>0.18213156881997963</v>
      </c>
      <c r="B673"/>
      <c r="C673"/>
      <c r="D673"/>
      <c r="E673"/>
      <c r="F673" s="27" t="s">
        <v>7</v>
      </c>
      <c r="DC673" s="27" t="s">
        <v>8</v>
      </c>
      <c r="DQ673" s="27" t="s">
        <v>8</v>
      </c>
      <c r="DR673" s="27" t="s">
        <v>7</v>
      </c>
      <c r="DS673" s="27" t="s">
        <v>8</v>
      </c>
      <c r="DT673" s="27" t="s">
        <v>7</v>
      </c>
      <c r="DU673" s="27" t="s">
        <v>8</v>
      </c>
      <c r="DX673" s="27" t="s">
        <v>7</v>
      </c>
      <c r="DZ673" s="27" t="s">
        <v>7</v>
      </c>
      <c r="EA673" s="27" t="s">
        <v>8</v>
      </c>
      <c r="EN673" s="27" t="s">
        <v>7</v>
      </c>
      <c r="EO673" s="27" t="s">
        <v>8</v>
      </c>
      <c r="EP673" s="27" t="s">
        <v>7</v>
      </c>
      <c r="EU673" s="27" t="s">
        <v>8</v>
      </c>
      <c r="EV673" s="27" t="s">
        <v>7</v>
      </c>
      <c r="EW673" s="27" t="s">
        <v>8</v>
      </c>
      <c r="EX673" s="27" t="s">
        <v>7</v>
      </c>
      <c r="EY673" s="27" t="s">
        <v>8</v>
      </c>
      <c r="EZ673" s="27" t="s">
        <v>7</v>
      </c>
      <c r="FA673" s="27" t="s">
        <v>8</v>
      </c>
      <c r="FB673" s="27" t="s">
        <v>7</v>
      </c>
      <c r="IW673" s="27" t="s">
        <v>8</v>
      </c>
      <c r="IX673" s="27" t="s">
        <v>7</v>
      </c>
    </row>
    <row r="674" spans="1:264" x14ac:dyDescent="0.25">
      <c r="A674" s="7">
        <v>0.17856036158821534</v>
      </c>
      <c r="B674"/>
      <c r="C674"/>
      <c r="D674"/>
      <c r="E674"/>
      <c r="F674" s="27" t="s">
        <v>7</v>
      </c>
      <c r="DC674" s="27" t="s">
        <v>8</v>
      </c>
      <c r="DD674" s="27" t="s">
        <v>7</v>
      </c>
      <c r="DQ674" s="27" t="s">
        <v>8</v>
      </c>
      <c r="DR674" s="27" t="s">
        <v>7</v>
      </c>
      <c r="DS674" s="27" t="s">
        <v>8</v>
      </c>
      <c r="DT674" s="27" t="s">
        <v>7</v>
      </c>
      <c r="DU674" s="27" t="s">
        <v>8</v>
      </c>
      <c r="DZ674" s="27" t="s">
        <v>7</v>
      </c>
      <c r="EA674" s="27" t="s">
        <v>8</v>
      </c>
      <c r="EN674" s="27" t="s">
        <v>7</v>
      </c>
      <c r="EO674" s="27" t="s">
        <v>8</v>
      </c>
      <c r="EP674" s="27" t="s">
        <v>7</v>
      </c>
      <c r="EQ674" s="27" t="s">
        <v>8</v>
      </c>
      <c r="EU674" s="27" t="s">
        <v>8</v>
      </c>
      <c r="EV674" s="27" t="s">
        <v>7</v>
      </c>
      <c r="EW674" s="27" t="s">
        <v>8</v>
      </c>
      <c r="EX674" s="27" t="s">
        <v>7</v>
      </c>
      <c r="EY674" s="27" t="s">
        <v>8</v>
      </c>
      <c r="EZ674" s="27" t="s">
        <v>7</v>
      </c>
      <c r="FA674" s="27" t="s">
        <v>8</v>
      </c>
      <c r="FB674" s="27" t="s">
        <v>7</v>
      </c>
      <c r="IW674" s="27" t="s">
        <v>8</v>
      </c>
      <c r="IX674" s="27" t="s">
        <v>7</v>
      </c>
    </row>
    <row r="675" spans="1:264" x14ac:dyDescent="0.25">
      <c r="A675" s="7">
        <v>0.17505917802766208</v>
      </c>
      <c r="B675"/>
      <c r="C675"/>
      <c r="D675"/>
      <c r="E675"/>
      <c r="F675" s="27" t="s">
        <v>7</v>
      </c>
      <c r="DC675" s="27" t="s">
        <v>8</v>
      </c>
      <c r="DD675" s="27" t="s">
        <v>7</v>
      </c>
      <c r="DQ675" s="27" t="s">
        <v>8</v>
      </c>
      <c r="DR675" s="27" t="s">
        <v>7</v>
      </c>
      <c r="DS675" s="27" t="s">
        <v>8</v>
      </c>
      <c r="DT675" s="27" t="s">
        <v>7</v>
      </c>
      <c r="DU675" s="27" t="s">
        <v>8</v>
      </c>
      <c r="DZ675" s="27" t="s">
        <v>7</v>
      </c>
      <c r="EN675" s="27" t="s">
        <v>7</v>
      </c>
      <c r="EO675" s="27" t="s">
        <v>8</v>
      </c>
      <c r="EP675" s="27" t="s">
        <v>7</v>
      </c>
      <c r="EQ675" s="27" t="s">
        <v>8</v>
      </c>
      <c r="ER675" s="27" t="s">
        <v>7</v>
      </c>
      <c r="EU675" s="27" t="s">
        <v>8</v>
      </c>
      <c r="EV675" s="27" t="s">
        <v>7</v>
      </c>
      <c r="EW675" s="27" t="s">
        <v>8</v>
      </c>
      <c r="EX675" s="27" t="s">
        <v>7</v>
      </c>
      <c r="EZ675" s="27" t="s">
        <v>7</v>
      </c>
      <c r="FA675" s="27" t="s">
        <v>8</v>
      </c>
      <c r="FB675" s="27" t="s">
        <v>7</v>
      </c>
      <c r="FC675" s="27" t="s">
        <v>8</v>
      </c>
      <c r="IW675" s="27" t="s">
        <v>8</v>
      </c>
      <c r="IX675" s="27" t="s">
        <v>7</v>
      </c>
    </row>
    <row r="676" spans="1:264" x14ac:dyDescent="0.25">
      <c r="A676" s="7">
        <v>0.17162664512515888</v>
      </c>
      <c r="B676"/>
      <c r="C676"/>
      <c r="D676"/>
      <c r="E676"/>
      <c r="F676" s="27" t="s">
        <v>7</v>
      </c>
      <c r="DC676" s="27" t="s">
        <v>8</v>
      </c>
      <c r="DD676" s="27" t="s">
        <v>7</v>
      </c>
      <c r="DQ676" s="27" t="s">
        <v>8</v>
      </c>
      <c r="DR676" s="27" t="s">
        <v>7</v>
      </c>
      <c r="DS676" s="27" t="s">
        <v>8</v>
      </c>
      <c r="DT676" s="27" t="s">
        <v>7</v>
      </c>
      <c r="DU676" s="27" t="s">
        <v>8</v>
      </c>
      <c r="EN676" s="27" t="s">
        <v>7</v>
      </c>
      <c r="EO676" s="27" t="s">
        <v>8</v>
      </c>
      <c r="EP676" s="27" t="s">
        <v>7</v>
      </c>
      <c r="EQ676" s="27" t="s">
        <v>8</v>
      </c>
      <c r="ER676" s="27" t="s">
        <v>7</v>
      </c>
      <c r="EU676" s="27" t="s">
        <v>8</v>
      </c>
      <c r="EV676" s="27" t="s">
        <v>7</v>
      </c>
      <c r="EW676" s="27" t="s">
        <v>8</v>
      </c>
      <c r="EZ676" s="27" t="s">
        <v>7</v>
      </c>
      <c r="FA676" s="27" t="s">
        <v>8</v>
      </c>
      <c r="FB676" s="27" t="s">
        <v>7</v>
      </c>
      <c r="FC676" s="27" t="s">
        <v>8</v>
      </c>
      <c r="FD676" s="27" t="s">
        <v>7</v>
      </c>
      <c r="IW676" s="27" t="s">
        <v>8</v>
      </c>
      <c r="IX676" s="27" t="s">
        <v>7</v>
      </c>
    </row>
    <row r="677" spans="1:264" x14ac:dyDescent="0.25">
      <c r="A677" s="7">
        <v>0.16826141678937145</v>
      </c>
      <c r="B677"/>
      <c r="C677"/>
      <c r="D677"/>
      <c r="E677"/>
      <c r="F677" s="27" t="s">
        <v>7</v>
      </c>
      <c r="DC677" s="27" t="s">
        <v>8</v>
      </c>
      <c r="DD677" s="27" t="s">
        <v>7</v>
      </c>
      <c r="DQ677" s="27" t="s">
        <v>8</v>
      </c>
      <c r="DR677" s="27" t="s">
        <v>7</v>
      </c>
      <c r="DS677" s="27" t="s">
        <v>8</v>
      </c>
      <c r="DT677" s="27" t="s">
        <v>7</v>
      </c>
      <c r="DU677" s="27" t="s">
        <v>8</v>
      </c>
      <c r="EN677" s="27" t="s">
        <v>7</v>
      </c>
      <c r="EP677" s="27" t="s">
        <v>7</v>
      </c>
      <c r="EQ677" s="27" t="s">
        <v>8</v>
      </c>
      <c r="ER677" s="27" t="s">
        <v>7</v>
      </c>
      <c r="EU677" s="27" t="s">
        <v>8</v>
      </c>
      <c r="EV677" s="27" t="s">
        <v>7</v>
      </c>
      <c r="EW677" s="27" t="s">
        <v>8</v>
      </c>
      <c r="EZ677" s="27" t="s">
        <v>7</v>
      </c>
      <c r="FA677" s="27" t="s">
        <v>8</v>
      </c>
      <c r="FB677" s="27" t="s">
        <v>7</v>
      </c>
      <c r="FC677" s="27" t="s">
        <v>8</v>
      </c>
      <c r="FD677" s="27" t="s">
        <v>7</v>
      </c>
      <c r="HK677" s="27" t="s">
        <v>8</v>
      </c>
      <c r="IW677" s="27" t="s">
        <v>8</v>
      </c>
      <c r="IX677" s="27" t="s">
        <v>7</v>
      </c>
    </row>
    <row r="678" spans="1:264" x14ac:dyDescent="0.25">
      <c r="A678" s="7">
        <v>0.16496217332291319</v>
      </c>
      <c r="B678"/>
      <c r="C678"/>
      <c r="D678"/>
      <c r="E678"/>
      <c r="F678" s="27" t="s">
        <v>7</v>
      </c>
      <c r="DC678" s="27" t="s">
        <v>8</v>
      </c>
      <c r="DD678" s="27" t="s">
        <v>7</v>
      </c>
      <c r="DQ678" s="27" t="s">
        <v>8</v>
      </c>
      <c r="DR678" s="27" t="s">
        <v>7</v>
      </c>
      <c r="DS678" s="27" t="s">
        <v>8</v>
      </c>
      <c r="DT678" s="27" t="s">
        <v>7</v>
      </c>
      <c r="DU678" s="27" t="s">
        <v>8</v>
      </c>
      <c r="EP678" s="27" t="s">
        <v>7</v>
      </c>
      <c r="EQ678" s="27" t="s">
        <v>8</v>
      </c>
      <c r="ER678" s="27" t="s">
        <v>7</v>
      </c>
      <c r="EU678" s="27" t="s">
        <v>8</v>
      </c>
      <c r="EV678" s="27" t="s">
        <v>7</v>
      </c>
      <c r="EW678" s="27" t="s">
        <v>8</v>
      </c>
      <c r="EZ678" s="27" t="s">
        <v>7</v>
      </c>
      <c r="FA678" s="27" t="s">
        <v>8</v>
      </c>
      <c r="FB678" s="27" t="s">
        <v>7</v>
      </c>
      <c r="FC678" s="27" t="s">
        <v>8</v>
      </c>
      <c r="FD678" s="27" t="s">
        <v>7</v>
      </c>
      <c r="HK678" s="27" t="s">
        <v>8</v>
      </c>
      <c r="HL678" s="27" t="s">
        <v>7</v>
      </c>
      <c r="IW678" s="27" t="s">
        <v>8</v>
      </c>
      <c r="IX678" s="27" t="s">
        <v>7</v>
      </c>
    </row>
    <row r="679" spans="1:264" x14ac:dyDescent="0.25">
      <c r="A679" s="7">
        <v>0.16172762090481685</v>
      </c>
      <c r="B679"/>
      <c r="C679"/>
      <c r="D679"/>
      <c r="E679"/>
      <c r="F679" s="27" t="s">
        <v>7</v>
      </c>
      <c r="DC679" s="27" t="s">
        <v>8</v>
      </c>
      <c r="DD679" s="27" t="s">
        <v>7</v>
      </c>
      <c r="DQ679" s="27" t="s">
        <v>8</v>
      </c>
      <c r="DR679" s="27" t="s">
        <v>7</v>
      </c>
      <c r="DS679" s="27" t="s">
        <v>8</v>
      </c>
      <c r="DT679" s="27" t="s">
        <v>7</v>
      </c>
      <c r="DU679" s="27" t="s">
        <v>8</v>
      </c>
      <c r="EP679" s="27" t="s">
        <v>7</v>
      </c>
      <c r="EQ679" s="27" t="s">
        <v>8</v>
      </c>
      <c r="ER679" s="27" t="s">
        <v>7</v>
      </c>
      <c r="ES679" s="27" t="s">
        <v>8</v>
      </c>
      <c r="EU679" s="27" t="s">
        <v>8</v>
      </c>
      <c r="EV679" s="27" t="s">
        <v>7</v>
      </c>
      <c r="EW679" s="27" t="s">
        <v>8</v>
      </c>
      <c r="EZ679" s="27" t="s">
        <v>7</v>
      </c>
      <c r="FA679" s="27" t="s">
        <v>8</v>
      </c>
      <c r="FB679" s="27" t="s">
        <v>7</v>
      </c>
      <c r="FC679" s="27" t="s">
        <v>8</v>
      </c>
      <c r="FD679" s="27" t="s">
        <v>7</v>
      </c>
      <c r="FQ679" s="27" t="s">
        <v>8</v>
      </c>
      <c r="HI679" s="27" t="s">
        <v>8</v>
      </c>
      <c r="HK679" s="27" t="s">
        <v>8</v>
      </c>
      <c r="HL679" s="27" t="s">
        <v>7</v>
      </c>
      <c r="IW679" s="27" t="s">
        <v>8</v>
      </c>
      <c r="IX679" s="27" t="s">
        <v>7</v>
      </c>
    </row>
    <row r="680" spans="1:264" x14ac:dyDescent="0.25">
      <c r="A680" s="7">
        <v>0.15855649108315376</v>
      </c>
      <c r="B680"/>
      <c r="C680"/>
      <c r="D680"/>
      <c r="E680"/>
      <c r="F680" s="27" t="s">
        <v>7</v>
      </c>
      <c r="DC680" s="27" t="s">
        <v>8</v>
      </c>
      <c r="DD680" s="27" t="s">
        <v>7</v>
      </c>
      <c r="DQ680" s="27" t="s">
        <v>8</v>
      </c>
      <c r="DR680" s="27" t="s">
        <v>7</v>
      </c>
      <c r="DS680" s="27" t="s">
        <v>8</v>
      </c>
      <c r="DT680" s="27" t="s">
        <v>7</v>
      </c>
      <c r="EP680" s="27" t="s">
        <v>7</v>
      </c>
      <c r="EQ680" s="27" t="s">
        <v>8</v>
      </c>
      <c r="ER680" s="27" t="s">
        <v>7</v>
      </c>
      <c r="ES680" s="27" t="s">
        <v>8</v>
      </c>
      <c r="ET680" s="27" t="s">
        <v>7</v>
      </c>
      <c r="EU680" s="27" t="s">
        <v>8</v>
      </c>
      <c r="EV680" s="27" t="s">
        <v>7</v>
      </c>
      <c r="EZ680" s="27" t="s">
        <v>7</v>
      </c>
      <c r="FA680" s="27" t="s">
        <v>8</v>
      </c>
      <c r="FB680" s="27" t="s">
        <v>7</v>
      </c>
      <c r="FC680" s="27" t="s">
        <v>8</v>
      </c>
      <c r="FD680" s="27" t="s">
        <v>7</v>
      </c>
      <c r="FQ680" s="27" t="s">
        <v>8</v>
      </c>
      <c r="FR680" s="27" t="s">
        <v>7</v>
      </c>
      <c r="HI680" s="27" t="s">
        <v>8</v>
      </c>
      <c r="HJ680" s="27" t="s">
        <v>7</v>
      </c>
      <c r="HK680" s="27" t="s">
        <v>8</v>
      </c>
      <c r="HL680" s="27" t="s">
        <v>7</v>
      </c>
      <c r="HM680" s="27" t="s">
        <v>8</v>
      </c>
      <c r="IW680" s="27" t="s">
        <v>8</v>
      </c>
      <c r="IX680" s="27" t="s">
        <v>7</v>
      </c>
    </row>
    <row r="681" spans="1:264" x14ac:dyDescent="0.25">
      <c r="A681" s="7">
        <v>0.15544754027760171</v>
      </c>
      <c r="B681"/>
      <c r="C681"/>
      <c r="D681"/>
      <c r="E681"/>
      <c r="F681" s="27" t="s">
        <v>7</v>
      </c>
      <c r="DC681" s="27" t="s">
        <v>8</v>
      </c>
      <c r="DD681" s="27" t="s">
        <v>7</v>
      </c>
      <c r="DE681" s="27" t="s">
        <v>8</v>
      </c>
      <c r="DQ681" s="27" t="s">
        <v>8</v>
      </c>
      <c r="DR681" s="27" t="s">
        <v>7</v>
      </c>
      <c r="EP681" s="27" t="s">
        <v>7</v>
      </c>
      <c r="EQ681" s="27" t="s">
        <v>8</v>
      </c>
      <c r="ER681" s="27" t="s">
        <v>7</v>
      </c>
      <c r="ES681" s="27" t="s">
        <v>8</v>
      </c>
      <c r="ET681" s="27" t="s">
        <v>7</v>
      </c>
      <c r="EU681" s="27" t="s">
        <v>8</v>
      </c>
      <c r="EZ681" s="27" t="s">
        <v>7</v>
      </c>
      <c r="FA681" s="27" t="s">
        <v>8</v>
      </c>
      <c r="FB681" s="27" t="s">
        <v>7</v>
      </c>
      <c r="FC681" s="27" t="s">
        <v>8</v>
      </c>
      <c r="FD681" s="27" t="s">
        <v>7</v>
      </c>
      <c r="FQ681" s="27" t="s">
        <v>8</v>
      </c>
      <c r="FR681" s="27" t="s">
        <v>7</v>
      </c>
      <c r="HG681" s="27" t="s">
        <v>8</v>
      </c>
      <c r="HI681" s="27" t="s">
        <v>8</v>
      </c>
      <c r="HJ681" s="27" t="s">
        <v>7</v>
      </c>
      <c r="HK681" s="27" t="s">
        <v>8</v>
      </c>
      <c r="HL681" s="27" t="s">
        <v>7</v>
      </c>
      <c r="HM681" s="27" t="s">
        <v>8</v>
      </c>
      <c r="HN681" s="27" t="s">
        <v>7</v>
      </c>
      <c r="IW681" s="27" t="s">
        <v>8</v>
      </c>
      <c r="IX681" s="27" t="s">
        <v>7</v>
      </c>
    </row>
    <row r="682" spans="1:264" x14ac:dyDescent="0.25">
      <c r="A682" s="7">
        <v>0.15239954929176638</v>
      </c>
      <c r="B682"/>
      <c r="C682"/>
      <c r="D682"/>
      <c r="E682"/>
      <c r="F682" s="27" t="s">
        <v>7</v>
      </c>
      <c r="DC682" s="27" t="s">
        <v>8</v>
      </c>
      <c r="DD682" s="27" t="s">
        <v>7</v>
      </c>
      <c r="DE682" s="27" t="s">
        <v>8</v>
      </c>
      <c r="DF682" s="27" t="s">
        <v>7</v>
      </c>
      <c r="DQ682" s="27" t="s">
        <v>8</v>
      </c>
      <c r="EP682" s="27" t="s">
        <v>7</v>
      </c>
      <c r="EQ682" s="27" t="s">
        <v>8</v>
      </c>
      <c r="ER682" s="27" t="s">
        <v>7</v>
      </c>
      <c r="ES682" s="27" t="s">
        <v>8</v>
      </c>
      <c r="ET682" s="27" t="s">
        <v>7</v>
      </c>
      <c r="EU682" s="27" t="s">
        <v>8</v>
      </c>
      <c r="EZ682" s="27" t="s">
        <v>7</v>
      </c>
      <c r="FA682" s="27" t="s">
        <v>8</v>
      </c>
      <c r="FB682" s="27" t="s">
        <v>7</v>
      </c>
      <c r="FC682" s="27" t="s">
        <v>8</v>
      </c>
      <c r="FD682" s="27" t="s">
        <v>7</v>
      </c>
      <c r="FQ682" s="27" t="s">
        <v>8</v>
      </c>
      <c r="FR682" s="27" t="s">
        <v>7</v>
      </c>
      <c r="HG682" s="27" t="s">
        <v>8</v>
      </c>
      <c r="HH682" s="27" t="s">
        <v>7</v>
      </c>
      <c r="HI682" s="27" t="s">
        <v>8</v>
      </c>
      <c r="HJ682" s="27" t="s">
        <v>7</v>
      </c>
      <c r="HK682" s="27" t="s">
        <v>8</v>
      </c>
      <c r="HL682" s="27" t="s">
        <v>7</v>
      </c>
      <c r="HM682" s="27" t="s">
        <v>8</v>
      </c>
      <c r="HN682" s="27" t="s">
        <v>7</v>
      </c>
      <c r="IW682" s="27" t="s">
        <v>8</v>
      </c>
      <c r="IX682" s="27" t="s">
        <v>7</v>
      </c>
    </row>
    <row r="683" spans="1:264" x14ac:dyDescent="0.25">
      <c r="A683" s="7">
        <v>0.14941132283506509</v>
      </c>
      <c r="B683"/>
      <c r="C683"/>
      <c r="D683"/>
      <c r="E683"/>
      <c r="F683" s="27" t="s">
        <v>7</v>
      </c>
      <c r="DC683" s="27" t="s">
        <v>8</v>
      </c>
      <c r="DD683" s="27" t="s">
        <v>7</v>
      </c>
      <c r="DE683" s="27" t="s">
        <v>8</v>
      </c>
      <c r="DF683" s="27" t="s">
        <v>7</v>
      </c>
      <c r="DQ683" s="27" t="s">
        <v>8</v>
      </c>
      <c r="EP683" s="27" t="s">
        <v>7</v>
      </c>
      <c r="ER683" s="27" t="s">
        <v>7</v>
      </c>
      <c r="ES683" s="27" t="s">
        <v>8</v>
      </c>
      <c r="ET683" s="27" t="s">
        <v>7</v>
      </c>
      <c r="EU683" s="27" t="s">
        <v>8</v>
      </c>
      <c r="EZ683" s="27" t="s">
        <v>7</v>
      </c>
      <c r="FA683" s="27" t="s">
        <v>8</v>
      </c>
      <c r="FB683" s="27" t="s">
        <v>7</v>
      </c>
      <c r="FC683" s="27" t="s">
        <v>8</v>
      </c>
      <c r="FD683" s="27" t="s">
        <v>7</v>
      </c>
      <c r="FQ683" s="27" t="s">
        <v>8</v>
      </c>
      <c r="FR683" s="27" t="s">
        <v>7</v>
      </c>
      <c r="HG683" s="27" t="s">
        <v>8</v>
      </c>
      <c r="HH683" s="27" t="s">
        <v>7</v>
      </c>
      <c r="HI683" s="27" t="s">
        <v>8</v>
      </c>
      <c r="HJ683" s="27" t="s">
        <v>7</v>
      </c>
      <c r="HK683" s="27" t="s">
        <v>8</v>
      </c>
      <c r="HL683" s="27" t="s">
        <v>7</v>
      </c>
      <c r="HM683" s="27" t="s">
        <v>8</v>
      </c>
      <c r="HN683" s="27" t="s">
        <v>7</v>
      </c>
      <c r="IW683" s="27" t="s">
        <v>8</v>
      </c>
      <c r="IX683" s="27" t="s">
        <v>7</v>
      </c>
    </row>
    <row r="684" spans="1:264" x14ac:dyDescent="0.25">
      <c r="A684" s="7">
        <v>0.14648168905398537</v>
      </c>
      <c r="B684"/>
      <c r="C684"/>
      <c r="D684"/>
      <c r="E684"/>
      <c r="F684" s="27" t="s">
        <v>7</v>
      </c>
      <c r="G684" s="27" t="s">
        <v>8</v>
      </c>
      <c r="DC684" s="27" t="s">
        <v>8</v>
      </c>
      <c r="DD684" s="27" t="s">
        <v>7</v>
      </c>
      <c r="DE684" s="27" t="s">
        <v>8</v>
      </c>
      <c r="DF684" s="27" t="s">
        <v>7</v>
      </c>
      <c r="DQ684" s="27" t="s">
        <v>8</v>
      </c>
      <c r="ER684" s="27" t="s">
        <v>7</v>
      </c>
      <c r="ES684" s="27" t="s">
        <v>8</v>
      </c>
      <c r="ET684" s="27" t="s">
        <v>7</v>
      </c>
      <c r="EU684" s="27" t="s">
        <v>8</v>
      </c>
      <c r="EZ684" s="27" t="s">
        <v>7</v>
      </c>
      <c r="FA684" s="27" t="s">
        <v>8</v>
      </c>
      <c r="FB684" s="27" t="s">
        <v>7</v>
      </c>
      <c r="FC684" s="27" t="s">
        <v>8</v>
      </c>
      <c r="FD684" s="27" t="s">
        <v>7</v>
      </c>
      <c r="FQ684" s="27" t="s">
        <v>8</v>
      </c>
      <c r="FR684" s="27" t="s">
        <v>7</v>
      </c>
      <c r="HG684" s="27" t="s">
        <v>8</v>
      </c>
      <c r="HH684" s="27" t="s">
        <v>7</v>
      </c>
      <c r="HI684" s="27" t="s">
        <v>8</v>
      </c>
      <c r="HJ684" s="27" t="s">
        <v>7</v>
      </c>
      <c r="HK684" s="27" t="s">
        <v>8</v>
      </c>
      <c r="HL684" s="27" t="s">
        <v>7</v>
      </c>
      <c r="HM684" s="27" t="s">
        <v>8</v>
      </c>
      <c r="HN684" s="27" t="s">
        <v>7</v>
      </c>
      <c r="HO684" s="27" t="s">
        <v>8</v>
      </c>
      <c r="IW684" s="27" t="s">
        <v>8</v>
      </c>
      <c r="IX684" s="27" t="s">
        <v>7</v>
      </c>
    </row>
    <row r="685" spans="1:264" x14ac:dyDescent="0.25">
      <c r="A685" s="7">
        <v>0.14360949907253467</v>
      </c>
      <c r="B685"/>
      <c r="C685"/>
      <c r="D685"/>
      <c r="E685"/>
      <c r="F685" s="27" t="s">
        <v>7</v>
      </c>
      <c r="G685" s="27" t="s">
        <v>8</v>
      </c>
      <c r="H685" s="27" t="s">
        <v>7</v>
      </c>
      <c r="M685" s="27" t="s">
        <v>8</v>
      </c>
      <c r="DC685" s="27" t="s">
        <v>8</v>
      </c>
      <c r="DD685" s="27" t="s">
        <v>7</v>
      </c>
      <c r="DE685" s="27" t="s">
        <v>8</v>
      </c>
      <c r="DF685" s="27" t="s">
        <v>7</v>
      </c>
      <c r="DQ685" s="27" t="s">
        <v>8</v>
      </c>
      <c r="ER685" s="27" t="s">
        <v>7</v>
      </c>
      <c r="ES685" s="27" t="s">
        <v>8</v>
      </c>
      <c r="ET685" s="27" t="s">
        <v>7</v>
      </c>
      <c r="EU685" s="27" t="s">
        <v>8</v>
      </c>
      <c r="EZ685" s="27" t="s">
        <v>7</v>
      </c>
      <c r="FB685" s="27" t="s">
        <v>7</v>
      </c>
      <c r="FC685" s="27" t="s">
        <v>8</v>
      </c>
      <c r="FD685" s="27" t="s">
        <v>7</v>
      </c>
      <c r="FQ685" s="27" t="s">
        <v>8</v>
      </c>
      <c r="FR685" s="27" t="s">
        <v>7</v>
      </c>
      <c r="HG685" s="27" t="s">
        <v>8</v>
      </c>
      <c r="HH685" s="27" t="s">
        <v>7</v>
      </c>
      <c r="HI685" s="27" t="s">
        <v>8</v>
      </c>
      <c r="HJ685" s="27" t="s">
        <v>7</v>
      </c>
      <c r="HK685" s="27" t="s">
        <v>8</v>
      </c>
      <c r="HL685" s="27" t="s">
        <v>7</v>
      </c>
      <c r="HM685" s="27" t="s">
        <v>8</v>
      </c>
      <c r="HN685" s="27" t="s">
        <v>7</v>
      </c>
      <c r="HO685" s="27" t="s">
        <v>8</v>
      </c>
      <c r="HP685" s="27" t="s">
        <v>7</v>
      </c>
      <c r="IM685" s="27" t="s">
        <v>8</v>
      </c>
      <c r="IW685" s="27" t="s">
        <v>8</v>
      </c>
      <c r="IX685" s="27" t="s">
        <v>7</v>
      </c>
    </row>
    <row r="686" spans="1:264" x14ac:dyDescent="0.25">
      <c r="A686" s="7">
        <v>0.14079362654170066</v>
      </c>
      <c r="B686"/>
      <c r="C686"/>
      <c r="D686"/>
      <c r="E686"/>
      <c r="F686" s="27" t="s">
        <v>7</v>
      </c>
      <c r="G686" s="27" t="s">
        <v>8</v>
      </c>
      <c r="H686" s="27" t="s">
        <v>7</v>
      </c>
      <c r="M686" s="27" t="s">
        <v>8</v>
      </c>
      <c r="N686" s="27" t="s">
        <v>7</v>
      </c>
      <c r="DA686" s="27" t="s">
        <v>8</v>
      </c>
      <c r="DC686" s="27" t="s">
        <v>8</v>
      </c>
      <c r="DD686" s="27" t="s">
        <v>7</v>
      </c>
      <c r="DE686" s="27" t="s">
        <v>8</v>
      </c>
      <c r="DF686" s="27" t="s">
        <v>7</v>
      </c>
      <c r="DG686" s="27" t="s">
        <v>8</v>
      </c>
      <c r="DK686" s="27" t="s">
        <v>8</v>
      </c>
      <c r="DQ686" s="27" t="s">
        <v>8</v>
      </c>
      <c r="ER686" s="27" t="s">
        <v>7</v>
      </c>
      <c r="ES686" s="27" t="s">
        <v>8</v>
      </c>
      <c r="ET686" s="27" t="s">
        <v>7</v>
      </c>
      <c r="FB686" s="27" t="s">
        <v>7</v>
      </c>
      <c r="FD686" s="27" t="s">
        <v>7</v>
      </c>
      <c r="FQ686" s="27" t="s">
        <v>8</v>
      </c>
      <c r="FR686" s="27" t="s">
        <v>7</v>
      </c>
      <c r="HG686" s="27" t="s">
        <v>8</v>
      </c>
      <c r="HH686" s="27" t="s">
        <v>7</v>
      </c>
      <c r="HI686" s="27" t="s">
        <v>8</v>
      </c>
      <c r="HJ686" s="27" t="s">
        <v>7</v>
      </c>
      <c r="HK686" s="27" t="s">
        <v>8</v>
      </c>
      <c r="HL686" s="27" t="s">
        <v>7</v>
      </c>
      <c r="HM686" s="27" t="s">
        <v>8</v>
      </c>
      <c r="HN686" s="27" t="s">
        <v>7</v>
      </c>
      <c r="HO686" s="27" t="s">
        <v>8</v>
      </c>
      <c r="HP686" s="27" t="s">
        <v>7</v>
      </c>
      <c r="IM686" s="27" t="s">
        <v>8</v>
      </c>
      <c r="IN686" s="27" t="s">
        <v>7</v>
      </c>
      <c r="IO686" s="27" t="s">
        <v>8</v>
      </c>
      <c r="IW686" s="27" t="s">
        <v>8</v>
      </c>
      <c r="IX686" s="27" t="s">
        <v>7</v>
      </c>
    </row>
    <row r="687" spans="1:264" x14ac:dyDescent="0.25">
      <c r="A687" s="7">
        <v>0.13803296719774574</v>
      </c>
      <c r="B687"/>
      <c r="C687"/>
      <c r="D687"/>
      <c r="E687"/>
      <c r="F687" s="27" t="s">
        <v>7</v>
      </c>
      <c r="G687" s="27" t="s">
        <v>8</v>
      </c>
      <c r="H687" s="27" t="s">
        <v>7</v>
      </c>
      <c r="M687" s="27" t="s">
        <v>8</v>
      </c>
      <c r="N687" s="27" t="s">
        <v>7</v>
      </c>
      <c r="DA687" s="27" t="s">
        <v>8</v>
      </c>
      <c r="DB687" s="27" t="s">
        <v>7</v>
      </c>
      <c r="DC687" s="27" t="s">
        <v>8</v>
      </c>
      <c r="DD687" s="27" t="s">
        <v>7</v>
      </c>
      <c r="DF687" s="27" t="s">
        <v>7</v>
      </c>
      <c r="DG687" s="27" t="s">
        <v>8</v>
      </c>
      <c r="DH687" s="27" t="s">
        <v>7</v>
      </c>
      <c r="DK687" s="27" t="s">
        <v>8</v>
      </c>
      <c r="DL687" s="27" t="s">
        <v>7</v>
      </c>
      <c r="DQ687" s="27" t="s">
        <v>8</v>
      </c>
      <c r="ER687" s="27" t="s">
        <v>7</v>
      </c>
      <c r="ES687" s="27" t="s">
        <v>8</v>
      </c>
      <c r="FD687" s="27" t="s">
        <v>7</v>
      </c>
      <c r="FQ687" s="27" t="s">
        <v>8</v>
      </c>
      <c r="FR687" s="27" t="s">
        <v>7</v>
      </c>
      <c r="GU687" s="27" t="s">
        <v>8</v>
      </c>
      <c r="HG687" s="27" t="s">
        <v>8</v>
      </c>
      <c r="HH687" s="27" t="s">
        <v>7</v>
      </c>
      <c r="HI687" s="27" t="s">
        <v>8</v>
      </c>
      <c r="HJ687" s="27" t="s">
        <v>7</v>
      </c>
      <c r="HK687" s="27" t="s">
        <v>8</v>
      </c>
      <c r="HL687" s="27" t="s">
        <v>7</v>
      </c>
      <c r="HM687" s="27" t="s">
        <v>8</v>
      </c>
      <c r="HN687" s="27" t="s">
        <v>7</v>
      </c>
      <c r="HO687" s="27" t="s">
        <v>8</v>
      </c>
      <c r="HP687" s="27" t="s">
        <v>7</v>
      </c>
      <c r="IM687" s="27" t="s">
        <v>8</v>
      </c>
      <c r="IN687" s="27" t="s">
        <v>7</v>
      </c>
      <c r="IO687" s="27" t="s">
        <v>8</v>
      </c>
      <c r="IP687" s="27" t="s">
        <v>7</v>
      </c>
      <c r="IW687" s="27" t="s">
        <v>8</v>
      </c>
      <c r="IX687" s="27" t="s">
        <v>7</v>
      </c>
      <c r="JC687" s="27" t="s">
        <v>8</v>
      </c>
    </row>
    <row r="688" spans="1:264" x14ac:dyDescent="0.25">
      <c r="A688" s="7">
        <v>0.1353264384291625</v>
      </c>
      <c r="B688"/>
      <c r="C688"/>
      <c r="D688"/>
      <c r="E688"/>
      <c r="F688" s="27" t="s">
        <v>7</v>
      </c>
      <c r="G688" s="27" t="s">
        <v>8</v>
      </c>
      <c r="H688" s="27" t="s">
        <v>7</v>
      </c>
      <c r="M688" s="27" t="s">
        <v>8</v>
      </c>
      <c r="N688" s="27" t="s">
        <v>7</v>
      </c>
      <c r="DA688" s="27" t="s">
        <v>8</v>
      </c>
      <c r="DB688" s="27" t="s">
        <v>7</v>
      </c>
      <c r="DC688" s="27" t="s">
        <v>8</v>
      </c>
      <c r="DF688" s="27" t="s">
        <v>7</v>
      </c>
      <c r="DG688" s="27" t="s">
        <v>8</v>
      </c>
      <c r="DH688" s="27" t="s">
        <v>7</v>
      </c>
      <c r="DK688" s="27" t="s">
        <v>8</v>
      </c>
      <c r="DL688" s="27" t="s">
        <v>7</v>
      </c>
      <c r="DQ688" s="27" t="s">
        <v>8</v>
      </c>
      <c r="ER688" s="27" t="s">
        <v>7</v>
      </c>
      <c r="ES688" s="27" t="s">
        <v>8</v>
      </c>
      <c r="FD688" s="27" t="s">
        <v>7</v>
      </c>
      <c r="FQ688" s="27" t="s">
        <v>8</v>
      </c>
      <c r="FR688" s="27" t="s">
        <v>7</v>
      </c>
      <c r="GU688" s="27" t="s">
        <v>8</v>
      </c>
      <c r="GV688" s="27" t="s">
        <v>7</v>
      </c>
      <c r="HG688" s="27" t="s">
        <v>8</v>
      </c>
      <c r="HH688" s="27" t="s">
        <v>7</v>
      </c>
      <c r="HI688" s="27" t="s">
        <v>8</v>
      </c>
      <c r="HJ688" s="27" t="s">
        <v>7</v>
      </c>
      <c r="HK688" s="27" t="s">
        <v>8</v>
      </c>
      <c r="HL688" s="27" t="s">
        <v>7</v>
      </c>
      <c r="HM688" s="27" t="s">
        <v>8</v>
      </c>
      <c r="HN688" s="27" t="s">
        <v>7</v>
      </c>
      <c r="HO688" s="27" t="s">
        <v>8</v>
      </c>
      <c r="HP688" s="27" t="s">
        <v>7</v>
      </c>
      <c r="HQ688" s="27" t="s">
        <v>8</v>
      </c>
      <c r="IM688" s="27" t="s">
        <v>8</v>
      </c>
      <c r="IN688" s="27" t="s">
        <v>7</v>
      </c>
      <c r="IO688" s="27" t="s">
        <v>8</v>
      </c>
      <c r="IP688" s="27" t="s">
        <v>7</v>
      </c>
      <c r="IW688" s="27" t="s">
        <v>8</v>
      </c>
      <c r="IX688" s="27" t="s">
        <v>7</v>
      </c>
      <c r="JC688" s="27" t="s">
        <v>8</v>
      </c>
      <c r="JD688" s="27" t="s">
        <v>7</v>
      </c>
    </row>
    <row r="689" spans="1:288" x14ac:dyDescent="0.25">
      <c r="A689" s="7">
        <v>0.13267297885212009</v>
      </c>
      <c r="B689"/>
      <c r="C689"/>
      <c r="D689"/>
      <c r="E689"/>
      <c r="F689" s="27" t="s">
        <v>7</v>
      </c>
      <c r="G689" s="27" t="s">
        <v>8</v>
      </c>
      <c r="H689" s="27" t="s">
        <v>7</v>
      </c>
      <c r="I689" s="27" t="s">
        <v>8</v>
      </c>
      <c r="M689" s="27" t="s">
        <v>8</v>
      </c>
      <c r="N689" s="27" t="s">
        <v>7</v>
      </c>
      <c r="DA689" s="27" t="s">
        <v>8</v>
      </c>
      <c r="DB689" s="27" t="s">
        <v>7</v>
      </c>
      <c r="DC689" s="27" t="s">
        <v>8</v>
      </c>
      <c r="DF689" s="27" t="s">
        <v>7</v>
      </c>
      <c r="DG689" s="27" t="s">
        <v>8</v>
      </c>
      <c r="DH689" s="27" t="s">
        <v>7</v>
      </c>
      <c r="DK689" s="27" t="s">
        <v>8</v>
      </c>
      <c r="DL689" s="27" t="s">
        <v>7</v>
      </c>
      <c r="DQ689" s="27" t="s">
        <v>8</v>
      </c>
      <c r="ER689" s="27" t="s">
        <v>7</v>
      </c>
      <c r="ES689" s="27" t="s">
        <v>8</v>
      </c>
      <c r="FD689" s="27" t="s">
        <v>7</v>
      </c>
      <c r="FE689" s="27" t="s">
        <v>8</v>
      </c>
      <c r="FQ689" s="27" t="s">
        <v>8</v>
      </c>
      <c r="FR689" s="27" t="s">
        <v>7</v>
      </c>
      <c r="GU689" s="27" t="s">
        <v>8</v>
      </c>
      <c r="GV689" s="27" t="s">
        <v>7</v>
      </c>
      <c r="GW689" s="27" t="s">
        <v>8</v>
      </c>
      <c r="GY689" s="27" t="s">
        <v>8</v>
      </c>
      <c r="HE689" s="27" t="s">
        <v>8</v>
      </c>
      <c r="HG689" s="27" t="s">
        <v>8</v>
      </c>
      <c r="HH689" s="27" t="s">
        <v>7</v>
      </c>
      <c r="HI689" s="27" t="s">
        <v>8</v>
      </c>
      <c r="HJ689" s="27" t="s">
        <v>7</v>
      </c>
      <c r="HK689" s="27" t="s">
        <v>8</v>
      </c>
      <c r="HL689" s="27" t="s">
        <v>7</v>
      </c>
      <c r="HM689" s="27" t="s">
        <v>8</v>
      </c>
      <c r="HN689" s="27" t="s">
        <v>7</v>
      </c>
      <c r="HO689" s="27" t="s">
        <v>8</v>
      </c>
      <c r="HP689" s="27" t="s">
        <v>7</v>
      </c>
      <c r="HQ689" s="27" t="s">
        <v>8</v>
      </c>
      <c r="HR689" s="27" t="s">
        <v>7</v>
      </c>
      <c r="IM689" s="27" t="s">
        <v>8</v>
      </c>
      <c r="IN689" s="27" t="s">
        <v>7</v>
      </c>
      <c r="IO689" s="27" t="s">
        <v>8</v>
      </c>
      <c r="IP689" s="27" t="s">
        <v>7</v>
      </c>
      <c r="IS689" s="27" t="s">
        <v>8</v>
      </c>
      <c r="IW689" s="27" t="s">
        <v>8</v>
      </c>
      <c r="IX689" s="27" t="s">
        <v>7</v>
      </c>
      <c r="JC689" s="27" t="s">
        <v>8</v>
      </c>
      <c r="JD689" s="27" t="s">
        <v>7</v>
      </c>
    </row>
    <row r="690" spans="1:288" x14ac:dyDescent="0.25">
      <c r="A690" s="7">
        <v>0.13007154789423539</v>
      </c>
      <c r="B690"/>
      <c r="C690"/>
      <c r="D690"/>
      <c r="E690"/>
      <c r="F690" s="27" t="s">
        <v>7</v>
      </c>
      <c r="G690" s="27" t="s">
        <v>8</v>
      </c>
      <c r="H690" s="27" t="s">
        <v>7</v>
      </c>
      <c r="I690" s="27" t="s">
        <v>8</v>
      </c>
      <c r="J690" s="27" t="s">
        <v>7</v>
      </c>
      <c r="K690" s="27" t="s">
        <v>8</v>
      </c>
      <c r="M690" s="27" t="s">
        <v>8</v>
      </c>
      <c r="N690" s="27" t="s">
        <v>7</v>
      </c>
      <c r="DA690" s="27" t="s">
        <v>8</v>
      </c>
      <c r="DB690" s="27" t="s">
        <v>7</v>
      </c>
      <c r="DC690" s="27" t="s">
        <v>8</v>
      </c>
      <c r="DF690" s="27" t="s">
        <v>7</v>
      </c>
      <c r="DG690" s="27" t="s">
        <v>8</v>
      </c>
      <c r="DH690" s="27" t="s">
        <v>7</v>
      </c>
      <c r="DI690" s="27" t="s">
        <v>8</v>
      </c>
      <c r="DK690" s="27" t="s">
        <v>8</v>
      </c>
      <c r="DL690" s="27" t="s">
        <v>7</v>
      </c>
      <c r="DQ690" s="27" t="s">
        <v>8</v>
      </c>
      <c r="ER690" s="27" t="s">
        <v>7</v>
      </c>
      <c r="ES690" s="27" t="s">
        <v>8</v>
      </c>
      <c r="FD690" s="27" t="s">
        <v>7</v>
      </c>
      <c r="FE690" s="27" t="s">
        <v>8</v>
      </c>
      <c r="FF690" s="27" t="s">
        <v>7</v>
      </c>
      <c r="FQ690" s="27" t="s">
        <v>8</v>
      </c>
      <c r="FR690" s="27" t="s">
        <v>7</v>
      </c>
      <c r="GU690" s="27" t="s">
        <v>8</v>
      </c>
      <c r="GV690" s="27" t="s">
        <v>7</v>
      </c>
      <c r="GW690" s="27" t="s">
        <v>8</v>
      </c>
      <c r="GX690" s="27" t="s">
        <v>7</v>
      </c>
      <c r="GY690" s="27" t="s">
        <v>8</v>
      </c>
      <c r="GZ690" s="27" t="s">
        <v>7</v>
      </c>
      <c r="HE690" s="27" t="s">
        <v>8</v>
      </c>
      <c r="HF690" s="27" t="s">
        <v>7</v>
      </c>
      <c r="HG690" s="27" t="s">
        <v>8</v>
      </c>
      <c r="HH690" s="27" t="s">
        <v>7</v>
      </c>
      <c r="HI690" s="27" t="s">
        <v>8</v>
      </c>
      <c r="HJ690" s="27" t="s">
        <v>7</v>
      </c>
      <c r="HK690" s="27" t="s">
        <v>8</v>
      </c>
      <c r="HL690" s="27" t="s">
        <v>7</v>
      </c>
      <c r="HN690" s="27" t="s">
        <v>7</v>
      </c>
      <c r="HO690" s="27" t="s">
        <v>8</v>
      </c>
      <c r="HP690" s="27" t="s">
        <v>7</v>
      </c>
      <c r="HQ690" s="27" t="s">
        <v>8</v>
      </c>
      <c r="HR690" s="27" t="s">
        <v>7</v>
      </c>
      <c r="HW690" s="27" t="s">
        <v>8</v>
      </c>
      <c r="IE690" s="27" t="s">
        <v>8</v>
      </c>
      <c r="IM690" s="27" t="s">
        <v>8</v>
      </c>
      <c r="IN690" s="27" t="s">
        <v>7</v>
      </c>
      <c r="IO690" s="27" t="s">
        <v>8</v>
      </c>
      <c r="IP690" s="27" t="s">
        <v>7</v>
      </c>
      <c r="IS690" s="27" t="s">
        <v>8</v>
      </c>
      <c r="IT690" s="27" t="s">
        <v>7</v>
      </c>
      <c r="IW690" s="27" t="s">
        <v>8</v>
      </c>
      <c r="IX690" s="27" t="s">
        <v>7</v>
      </c>
      <c r="JC690" s="27" t="s">
        <v>8</v>
      </c>
      <c r="JD690" s="27" t="s">
        <v>7</v>
      </c>
    </row>
    <row r="691" spans="1:288" x14ac:dyDescent="0.25">
      <c r="A691" s="7">
        <v>0.12752112538650529</v>
      </c>
      <c r="B691"/>
      <c r="C691"/>
      <c r="D691"/>
      <c r="E691"/>
      <c r="F691" s="27" t="s">
        <v>7</v>
      </c>
      <c r="G691" s="27" t="s">
        <v>8</v>
      </c>
      <c r="H691" s="27" t="s">
        <v>7</v>
      </c>
      <c r="I691" s="27" t="s">
        <v>8</v>
      </c>
      <c r="J691" s="27" t="s">
        <v>7</v>
      </c>
      <c r="K691" s="27" t="s">
        <v>8</v>
      </c>
      <c r="L691" s="27" t="s">
        <v>7</v>
      </c>
      <c r="M691" s="27" t="s">
        <v>8</v>
      </c>
      <c r="N691" s="27" t="s">
        <v>7</v>
      </c>
      <c r="DA691" s="27" t="s">
        <v>8</v>
      </c>
      <c r="DB691" s="27" t="s">
        <v>7</v>
      </c>
      <c r="DC691" s="27" t="s">
        <v>8</v>
      </c>
      <c r="DF691" s="27" t="s">
        <v>7</v>
      </c>
      <c r="DG691" s="27" t="s">
        <v>8</v>
      </c>
      <c r="DH691" s="27" t="s">
        <v>7</v>
      </c>
      <c r="DI691" s="27" t="s">
        <v>8</v>
      </c>
      <c r="DJ691" s="27" t="s">
        <v>7</v>
      </c>
      <c r="DK691" s="27" t="s">
        <v>8</v>
      </c>
      <c r="DL691" s="27" t="s">
        <v>7</v>
      </c>
      <c r="DQ691" s="27" t="s">
        <v>8</v>
      </c>
      <c r="ER691" s="27" t="s">
        <v>7</v>
      </c>
      <c r="ES691" s="27" t="s">
        <v>8</v>
      </c>
      <c r="FD691" s="27" t="s">
        <v>7</v>
      </c>
      <c r="FE691" s="27" t="s">
        <v>8</v>
      </c>
      <c r="FF691" s="27" t="s">
        <v>7</v>
      </c>
      <c r="FQ691" s="27" t="s">
        <v>8</v>
      </c>
      <c r="FR691" s="27" t="s">
        <v>7</v>
      </c>
      <c r="GU691" s="27" t="s">
        <v>8</v>
      </c>
      <c r="GV691" s="27" t="s">
        <v>7</v>
      </c>
      <c r="GW691" s="27" t="s">
        <v>8</v>
      </c>
      <c r="GX691" s="27" t="s">
        <v>7</v>
      </c>
      <c r="GY691" s="27" t="s">
        <v>8</v>
      </c>
      <c r="GZ691" s="27" t="s">
        <v>7</v>
      </c>
      <c r="HE691" s="27" t="s">
        <v>8</v>
      </c>
      <c r="HF691" s="27" t="s">
        <v>7</v>
      </c>
      <c r="HG691" s="27" t="s">
        <v>8</v>
      </c>
      <c r="HH691" s="27" t="s">
        <v>7</v>
      </c>
      <c r="HI691" s="27" t="s">
        <v>8</v>
      </c>
      <c r="HJ691" s="27" t="s">
        <v>7</v>
      </c>
      <c r="HN691" s="27" t="s">
        <v>7</v>
      </c>
      <c r="HO691" s="27" t="s">
        <v>8</v>
      </c>
      <c r="HP691" s="27" t="s">
        <v>7</v>
      </c>
      <c r="HQ691" s="27" t="s">
        <v>8</v>
      </c>
      <c r="HR691" s="27" t="s">
        <v>7</v>
      </c>
      <c r="HS691" s="27" t="s">
        <v>8</v>
      </c>
      <c r="HW691" s="27" t="s">
        <v>8</v>
      </c>
      <c r="HX691" s="27" t="s">
        <v>7</v>
      </c>
      <c r="HY691" s="27" t="s">
        <v>8</v>
      </c>
      <c r="IE691" s="27" t="s">
        <v>8</v>
      </c>
      <c r="IF691" s="27" t="s">
        <v>7</v>
      </c>
      <c r="IG691" s="27" t="s">
        <v>8</v>
      </c>
      <c r="IM691" s="27" t="s">
        <v>8</v>
      </c>
      <c r="IN691" s="27" t="s">
        <v>7</v>
      </c>
      <c r="IO691" s="27" t="s">
        <v>8</v>
      </c>
      <c r="IP691" s="27" t="s">
        <v>7</v>
      </c>
      <c r="IQ691" s="27" t="s">
        <v>8</v>
      </c>
      <c r="IS691" s="27" t="s">
        <v>8</v>
      </c>
      <c r="IT691" s="27" t="s">
        <v>7</v>
      </c>
      <c r="IW691" s="27" t="s">
        <v>8</v>
      </c>
      <c r="IX691" s="27" t="s">
        <v>7</v>
      </c>
      <c r="JC691" s="27" t="s">
        <v>8</v>
      </c>
      <c r="JD691" s="27" t="s">
        <v>7</v>
      </c>
    </row>
    <row r="692" spans="1:288" x14ac:dyDescent="0.25">
      <c r="A692" s="7">
        <v>0.12502071116324048</v>
      </c>
      <c r="B692"/>
      <c r="C692"/>
      <c r="D692"/>
      <c r="E692"/>
      <c r="F692" s="27" t="s">
        <v>7</v>
      </c>
      <c r="G692" s="27" t="s">
        <v>8</v>
      </c>
      <c r="H692" s="27" t="s">
        <v>7</v>
      </c>
      <c r="I692" s="27" t="s">
        <v>8</v>
      </c>
      <c r="J692" s="27" t="s">
        <v>7</v>
      </c>
      <c r="K692" s="27" t="s">
        <v>8</v>
      </c>
      <c r="L692" s="27" t="s">
        <v>7</v>
      </c>
      <c r="M692" s="27" t="s">
        <v>8</v>
      </c>
      <c r="N692" s="27" t="s">
        <v>7</v>
      </c>
      <c r="S692" s="27" t="s">
        <v>8</v>
      </c>
      <c r="DA692" s="27" t="s">
        <v>8</v>
      </c>
      <c r="DB692" s="27" t="s">
        <v>7</v>
      </c>
      <c r="DC692" s="27" t="s">
        <v>8</v>
      </c>
      <c r="DF692" s="27" t="s">
        <v>7</v>
      </c>
      <c r="DH692" s="27" t="s">
        <v>7</v>
      </c>
      <c r="DI692" s="27" t="s">
        <v>8</v>
      </c>
      <c r="DJ692" s="27" t="s">
        <v>7</v>
      </c>
      <c r="DK692" s="27" t="s">
        <v>8</v>
      </c>
      <c r="DL692" s="27" t="s">
        <v>7</v>
      </c>
      <c r="DQ692" s="27" t="s">
        <v>8</v>
      </c>
      <c r="ER692" s="27" t="s">
        <v>7</v>
      </c>
      <c r="ES692" s="27" t="s">
        <v>8</v>
      </c>
      <c r="FD692" s="27" t="s">
        <v>7</v>
      </c>
      <c r="FE692" s="27" t="s">
        <v>8</v>
      </c>
      <c r="FF692" s="27" t="s">
        <v>7</v>
      </c>
      <c r="FQ692" s="27" t="s">
        <v>8</v>
      </c>
      <c r="FR692" s="27" t="s">
        <v>7</v>
      </c>
      <c r="GU692" s="27" t="s">
        <v>8</v>
      </c>
      <c r="GV692" s="27" t="s">
        <v>7</v>
      </c>
      <c r="GW692" s="27" t="s">
        <v>8</v>
      </c>
      <c r="GX692" s="27" t="s">
        <v>7</v>
      </c>
      <c r="GY692" s="27" t="s">
        <v>8</v>
      </c>
      <c r="GZ692" s="27" t="s">
        <v>7</v>
      </c>
      <c r="HA692" s="27" t="s">
        <v>8</v>
      </c>
      <c r="HE692" s="27" t="s">
        <v>8</v>
      </c>
      <c r="HF692" s="27" t="s">
        <v>7</v>
      </c>
      <c r="HG692" s="27" t="s">
        <v>8</v>
      </c>
      <c r="HH692" s="27" t="s">
        <v>7</v>
      </c>
      <c r="HI692" s="27" t="s">
        <v>8</v>
      </c>
      <c r="HN692" s="27" t="s">
        <v>7</v>
      </c>
      <c r="HO692" s="27" t="s">
        <v>8</v>
      </c>
      <c r="HP692" s="27" t="s">
        <v>7</v>
      </c>
      <c r="HQ692" s="27" t="s">
        <v>8</v>
      </c>
      <c r="HR692" s="27" t="s">
        <v>7</v>
      </c>
      <c r="HS692" s="27" t="s">
        <v>8</v>
      </c>
      <c r="HT692" s="27" t="s">
        <v>7</v>
      </c>
      <c r="HW692" s="27" t="s">
        <v>8</v>
      </c>
      <c r="HX692" s="27" t="s">
        <v>7</v>
      </c>
      <c r="HY692" s="27" t="s">
        <v>8</v>
      </c>
      <c r="HZ692" s="27" t="s">
        <v>7</v>
      </c>
      <c r="IA692" s="27" t="s">
        <v>8</v>
      </c>
      <c r="IE692" s="27" t="s">
        <v>8</v>
      </c>
      <c r="IF692" s="27" t="s">
        <v>7</v>
      </c>
      <c r="IG692" s="27" t="s">
        <v>8</v>
      </c>
      <c r="IH692" s="27" t="s">
        <v>7</v>
      </c>
      <c r="IM692" s="27" t="s">
        <v>8</v>
      </c>
      <c r="IN692" s="27" t="s">
        <v>7</v>
      </c>
      <c r="IO692" s="27" t="s">
        <v>8</v>
      </c>
      <c r="IP692" s="27" t="s">
        <v>7</v>
      </c>
      <c r="IQ692" s="27" t="s">
        <v>8</v>
      </c>
      <c r="IR692" s="27" t="s">
        <v>7</v>
      </c>
      <c r="IS692" s="27" t="s">
        <v>8</v>
      </c>
      <c r="IT692" s="27" t="s">
        <v>7</v>
      </c>
      <c r="IW692" s="27" t="s">
        <v>8</v>
      </c>
      <c r="IX692" s="27" t="s">
        <v>7</v>
      </c>
      <c r="IY692" s="27" t="s">
        <v>8</v>
      </c>
      <c r="JA692" s="27" t="s">
        <v>8</v>
      </c>
      <c r="JC692" s="27" t="s">
        <v>8</v>
      </c>
      <c r="JD692" s="27" t="s">
        <v>7</v>
      </c>
    </row>
    <row r="693" spans="1:288" x14ac:dyDescent="0.25">
      <c r="A693" s="7">
        <v>0.1225693246698436</v>
      </c>
      <c r="B693"/>
      <c r="C693"/>
      <c r="D693"/>
      <c r="E693"/>
      <c r="F693" s="27" t="s">
        <v>7</v>
      </c>
      <c r="G693" s="27" t="s">
        <v>8</v>
      </c>
      <c r="H693" s="27" t="s">
        <v>7</v>
      </c>
      <c r="I693" s="27" t="s">
        <v>8</v>
      </c>
      <c r="J693" s="27" t="s">
        <v>7</v>
      </c>
      <c r="K693" s="27" t="s">
        <v>8</v>
      </c>
      <c r="L693" s="27" t="s">
        <v>7</v>
      </c>
      <c r="M693" s="27" t="s">
        <v>8</v>
      </c>
      <c r="N693" s="27" t="s">
        <v>7</v>
      </c>
      <c r="O693" s="27" t="s">
        <v>8</v>
      </c>
      <c r="Q693" s="27" t="s">
        <v>8</v>
      </c>
      <c r="S693" s="27" t="s">
        <v>8</v>
      </c>
      <c r="T693" s="27" t="s">
        <v>7</v>
      </c>
      <c r="DA693" s="27" t="s">
        <v>8</v>
      </c>
      <c r="DB693" s="27" t="s">
        <v>7</v>
      </c>
      <c r="DC693" s="27" t="s">
        <v>8</v>
      </c>
      <c r="DH693" s="27" t="s">
        <v>7</v>
      </c>
      <c r="DI693" s="27" t="s">
        <v>8</v>
      </c>
      <c r="DJ693" s="27" t="s">
        <v>7</v>
      </c>
      <c r="DK693" s="27" t="s">
        <v>8</v>
      </c>
      <c r="DL693" s="27" t="s">
        <v>7</v>
      </c>
      <c r="DQ693" s="27" t="s">
        <v>8</v>
      </c>
      <c r="ER693" s="27" t="s">
        <v>7</v>
      </c>
      <c r="ES693" s="27" t="s">
        <v>8</v>
      </c>
      <c r="FD693" s="27" t="s">
        <v>7</v>
      </c>
      <c r="FF693" s="27" t="s">
        <v>7</v>
      </c>
      <c r="FQ693" s="27" t="s">
        <v>8</v>
      </c>
      <c r="FR693" s="27" t="s">
        <v>7</v>
      </c>
      <c r="GU693" s="27" t="s">
        <v>8</v>
      </c>
      <c r="GV693" s="27" t="s">
        <v>7</v>
      </c>
      <c r="GW693" s="27" t="s">
        <v>8</v>
      </c>
      <c r="GX693" s="27" t="s">
        <v>7</v>
      </c>
      <c r="GY693" s="27" t="s">
        <v>8</v>
      </c>
      <c r="GZ693" s="27" t="s">
        <v>7</v>
      </c>
      <c r="HA693" s="27" t="s">
        <v>8</v>
      </c>
      <c r="HB693" s="27" t="s">
        <v>7</v>
      </c>
      <c r="HC693" s="27" t="s">
        <v>8</v>
      </c>
      <c r="HE693" s="27" t="s">
        <v>8</v>
      </c>
      <c r="HF693" s="27" t="s">
        <v>7</v>
      </c>
      <c r="HH693" s="27" t="s">
        <v>7</v>
      </c>
      <c r="HI693" s="27" t="s">
        <v>8</v>
      </c>
      <c r="HN693" s="27" t="s">
        <v>7</v>
      </c>
      <c r="HO693" s="27" t="s">
        <v>8</v>
      </c>
      <c r="HP693" s="27" t="s">
        <v>7</v>
      </c>
      <c r="HQ693" s="27" t="s">
        <v>8</v>
      </c>
      <c r="HR693" s="27" t="s">
        <v>7</v>
      </c>
      <c r="HS693" s="27" t="s">
        <v>8</v>
      </c>
      <c r="HT693" s="27" t="s">
        <v>7</v>
      </c>
      <c r="HW693" s="27" t="s">
        <v>8</v>
      </c>
      <c r="HX693" s="27" t="s">
        <v>7</v>
      </c>
      <c r="HY693" s="27" t="s">
        <v>8</v>
      </c>
      <c r="HZ693" s="27" t="s">
        <v>7</v>
      </c>
      <c r="IA693" s="27" t="s">
        <v>8</v>
      </c>
      <c r="IB693" s="27" t="s">
        <v>7</v>
      </c>
      <c r="IE693" s="27" t="s">
        <v>8</v>
      </c>
      <c r="IF693" s="27" t="s">
        <v>7</v>
      </c>
      <c r="IG693" s="27" t="s">
        <v>8</v>
      </c>
      <c r="IH693" s="27" t="s">
        <v>7</v>
      </c>
      <c r="IM693" s="27" t="s">
        <v>8</v>
      </c>
      <c r="IN693" s="27" t="s">
        <v>7</v>
      </c>
      <c r="IO693" s="27" t="s">
        <v>8</v>
      </c>
      <c r="IP693" s="27" t="s">
        <v>7</v>
      </c>
      <c r="IQ693" s="27" t="s">
        <v>8</v>
      </c>
      <c r="IR693" s="27" t="s">
        <v>7</v>
      </c>
      <c r="IS693" s="27" t="s">
        <v>8</v>
      </c>
      <c r="IT693" s="27" t="s">
        <v>7</v>
      </c>
      <c r="IW693" s="27" t="s">
        <v>8</v>
      </c>
      <c r="IX693" s="27" t="s">
        <v>7</v>
      </c>
      <c r="IY693" s="27" t="s">
        <v>8</v>
      </c>
      <c r="IZ693" s="27" t="s">
        <v>7</v>
      </c>
      <c r="JA693" s="27" t="s">
        <v>8</v>
      </c>
      <c r="JB693" s="27" t="s">
        <v>7</v>
      </c>
      <c r="JC693" s="27" t="s">
        <v>8</v>
      </c>
      <c r="JD693" s="27" t="s">
        <v>7</v>
      </c>
      <c r="JW693" s="27" t="s">
        <v>8</v>
      </c>
    </row>
    <row r="694" spans="1:288" x14ac:dyDescent="0.25">
      <c r="A694" s="7">
        <v>0.12016600457827803</v>
      </c>
      <c r="B694"/>
      <c r="C694"/>
      <c r="D694"/>
      <c r="E694"/>
      <c r="F694" s="27" t="s">
        <v>7</v>
      </c>
      <c r="G694" s="27" t="s">
        <v>8</v>
      </c>
      <c r="H694" s="27" t="s">
        <v>7</v>
      </c>
      <c r="I694" s="27" t="s">
        <v>8</v>
      </c>
      <c r="J694" s="27" t="s">
        <v>7</v>
      </c>
      <c r="K694" s="27" t="s">
        <v>8</v>
      </c>
      <c r="L694" s="27" t="s">
        <v>7</v>
      </c>
      <c r="M694" s="27" t="s">
        <v>8</v>
      </c>
      <c r="N694" s="27" t="s">
        <v>7</v>
      </c>
      <c r="O694" s="27" t="s">
        <v>8</v>
      </c>
      <c r="P694" s="27" t="s">
        <v>7</v>
      </c>
      <c r="Q694" s="27" t="s">
        <v>8</v>
      </c>
      <c r="R694" s="27" t="s">
        <v>7</v>
      </c>
      <c r="S694" s="27" t="s">
        <v>8</v>
      </c>
      <c r="T694" s="27" t="s">
        <v>7</v>
      </c>
      <c r="DA694" s="27" t="s">
        <v>8</v>
      </c>
      <c r="DB694" s="27" t="s">
        <v>7</v>
      </c>
      <c r="DC694" s="27" t="s">
        <v>8</v>
      </c>
      <c r="DH694" s="27" t="s">
        <v>7</v>
      </c>
      <c r="DI694" s="27" t="s">
        <v>8</v>
      </c>
      <c r="DJ694" s="27" t="s">
        <v>7</v>
      </c>
      <c r="DK694" s="27" t="s">
        <v>8</v>
      </c>
      <c r="DL694" s="27" t="s">
        <v>7</v>
      </c>
      <c r="DQ694" s="27" t="s">
        <v>8</v>
      </c>
      <c r="ER694" s="27" t="s">
        <v>7</v>
      </c>
      <c r="ES694" s="27" t="s">
        <v>8</v>
      </c>
      <c r="FF694" s="27" t="s">
        <v>7</v>
      </c>
      <c r="FQ694" s="27" t="s">
        <v>8</v>
      </c>
      <c r="FR694" s="27" t="s">
        <v>7</v>
      </c>
      <c r="GU694" s="27" t="s">
        <v>8</v>
      </c>
      <c r="GV694" s="27" t="s">
        <v>7</v>
      </c>
      <c r="GW694" s="27" t="s">
        <v>8</v>
      </c>
      <c r="GX694" s="27" t="s">
        <v>7</v>
      </c>
      <c r="GZ694" s="27" t="s">
        <v>7</v>
      </c>
      <c r="HA694" s="27" t="s">
        <v>8</v>
      </c>
      <c r="HB694" s="27" t="s">
        <v>7</v>
      </c>
      <c r="HC694" s="27" t="s">
        <v>8</v>
      </c>
      <c r="HD694" s="27" t="s">
        <v>7</v>
      </c>
      <c r="HE694" s="27" t="s">
        <v>8</v>
      </c>
      <c r="HH694" s="27" t="s">
        <v>7</v>
      </c>
      <c r="HI694" s="27" t="s">
        <v>8</v>
      </c>
      <c r="HN694" s="27" t="s">
        <v>7</v>
      </c>
      <c r="HO694" s="27" t="s">
        <v>8</v>
      </c>
      <c r="HP694" s="27" t="s">
        <v>7</v>
      </c>
      <c r="HQ694" s="27" t="s">
        <v>8</v>
      </c>
      <c r="HR694" s="27" t="s">
        <v>7</v>
      </c>
      <c r="HS694" s="27" t="s">
        <v>8</v>
      </c>
      <c r="HT694" s="27" t="s">
        <v>7</v>
      </c>
      <c r="HW694" s="27" t="s">
        <v>8</v>
      </c>
      <c r="HX694" s="27" t="s">
        <v>7</v>
      </c>
      <c r="HY694" s="27" t="s">
        <v>8</v>
      </c>
      <c r="HZ694" s="27" t="s">
        <v>7</v>
      </c>
      <c r="IA694" s="27" t="s">
        <v>8</v>
      </c>
      <c r="IB694" s="27" t="s">
        <v>7</v>
      </c>
      <c r="IE694" s="27" t="s">
        <v>8</v>
      </c>
      <c r="IF694" s="27" t="s">
        <v>7</v>
      </c>
      <c r="IG694" s="27" t="s">
        <v>8</v>
      </c>
      <c r="IH694" s="27" t="s">
        <v>7</v>
      </c>
      <c r="IK694" s="27" t="s">
        <v>8</v>
      </c>
      <c r="IM694" s="27" t="s">
        <v>8</v>
      </c>
      <c r="IN694" s="27" t="s">
        <v>7</v>
      </c>
      <c r="IO694" s="27" t="s">
        <v>8</v>
      </c>
      <c r="IP694" s="27" t="s">
        <v>7</v>
      </c>
      <c r="IQ694" s="27" t="s">
        <v>8</v>
      </c>
      <c r="IR694" s="27" t="s">
        <v>7</v>
      </c>
      <c r="IS694" s="27" t="s">
        <v>8</v>
      </c>
      <c r="IT694" s="27" t="s">
        <v>7</v>
      </c>
      <c r="IW694" s="27" t="s">
        <v>8</v>
      </c>
      <c r="IX694" s="27" t="s">
        <v>7</v>
      </c>
      <c r="IY694" s="27" t="s">
        <v>8</v>
      </c>
      <c r="IZ694" s="27" t="s">
        <v>7</v>
      </c>
      <c r="JA694" s="27" t="s">
        <v>8</v>
      </c>
      <c r="JB694" s="27" t="s">
        <v>7</v>
      </c>
      <c r="JC694" s="27" t="s">
        <v>8</v>
      </c>
      <c r="JD694" s="27" t="s">
        <v>7</v>
      </c>
      <c r="JW694" s="27" t="s">
        <v>8</v>
      </c>
      <c r="JX694" s="27" t="s">
        <v>7</v>
      </c>
    </row>
    <row r="695" spans="1:288" x14ac:dyDescent="0.25">
      <c r="A695" s="7">
        <v>0.1178098084100765</v>
      </c>
      <c r="B695"/>
      <c r="C695"/>
      <c r="D695"/>
      <c r="E695"/>
      <c r="F695" s="27" t="s">
        <v>7</v>
      </c>
      <c r="G695" s="27" t="s">
        <v>8</v>
      </c>
      <c r="H695" s="27" t="s">
        <v>7</v>
      </c>
      <c r="I695" s="27" t="s">
        <v>8</v>
      </c>
      <c r="J695" s="27" t="s">
        <v>7</v>
      </c>
      <c r="K695" s="27" t="s">
        <v>8</v>
      </c>
      <c r="L695" s="27" t="s">
        <v>7</v>
      </c>
      <c r="M695" s="27" t="s">
        <v>8</v>
      </c>
      <c r="N695" s="27" t="s">
        <v>7</v>
      </c>
      <c r="O695" s="27" t="s">
        <v>8</v>
      </c>
      <c r="P695" s="27" t="s">
        <v>7</v>
      </c>
      <c r="Q695" s="27" t="s">
        <v>8</v>
      </c>
      <c r="R695" s="27" t="s">
        <v>7</v>
      </c>
      <c r="S695" s="27" t="s">
        <v>8</v>
      </c>
      <c r="T695" s="27" t="s">
        <v>7</v>
      </c>
      <c r="DA695" s="27" t="s">
        <v>8</v>
      </c>
      <c r="DB695" s="27" t="s">
        <v>7</v>
      </c>
      <c r="DC695" s="27" t="s">
        <v>8</v>
      </c>
      <c r="DH695" s="27" t="s">
        <v>7</v>
      </c>
      <c r="DI695" s="27" t="s">
        <v>8</v>
      </c>
      <c r="DJ695" s="27" t="s">
        <v>7</v>
      </c>
      <c r="DK695" s="27" t="s">
        <v>8</v>
      </c>
      <c r="DL695" s="27" t="s">
        <v>7</v>
      </c>
      <c r="DO695" s="27" t="s">
        <v>8</v>
      </c>
      <c r="DQ695" s="27" t="s">
        <v>8</v>
      </c>
      <c r="ER695" s="27" t="s">
        <v>7</v>
      </c>
      <c r="ES695" s="27" t="s">
        <v>8</v>
      </c>
      <c r="FF695" s="27" t="s">
        <v>7</v>
      </c>
      <c r="FQ695" s="27" t="s">
        <v>8</v>
      </c>
      <c r="FR695" s="27" t="s">
        <v>7</v>
      </c>
      <c r="GU695" s="27" t="s">
        <v>8</v>
      </c>
      <c r="GV695" s="27" t="s">
        <v>7</v>
      </c>
      <c r="GW695" s="27" t="s">
        <v>8</v>
      </c>
      <c r="GZ695" s="27" t="s">
        <v>7</v>
      </c>
      <c r="HA695" s="27" t="s">
        <v>8</v>
      </c>
      <c r="HB695" s="27" t="s">
        <v>7</v>
      </c>
      <c r="HC695" s="27" t="s">
        <v>8</v>
      </c>
      <c r="HD695" s="27" t="s">
        <v>7</v>
      </c>
      <c r="HE695" s="27" t="s">
        <v>8</v>
      </c>
      <c r="HH695" s="27" t="s">
        <v>7</v>
      </c>
      <c r="HI695" s="27" t="s">
        <v>8</v>
      </c>
      <c r="HN695" s="27" t="s">
        <v>7</v>
      </c>
      <c r="HO695" s="27" t="s">
        <v>8</v>
      </c>
      <c r="HP695" s="27" t="s">
        <v>7</v>
      </c>
      <c r="HR695" s="27" t="s">
        <v>7</v>
      </c>
      <c r="HS695" s="27" t="s">
        <v>8</v>
      </c>
      <c r="HT695" s="27" t="s">
        <v>7</v>
      </c>
      <c r="HU695" s="27" t="s">
        <v>8</v>
      </c>
      <c r="HW695" s="27" t="s">
        <v>8</v>
      </c>
      <c r="HX695" s="27" t="s">
        <v>7</v>
      </c>
      <c r="HY695" s="27" t="s">
        <v>8</v>
      </c>
      <c r="HZ695" s="27" t="s">
        <v>7</v>
      </c>
      <c r="IA695" s="27" t="s">
        <v>8</v>
      </c>
      <c r="IB695" s="27" t="s">
        <v>7</v>
      </c>
      <c r="IC695" s="27" t="s">
        <v>8</v>
      </c>
      <c r="IE695" s="27" t="s">
        <v>8</v>
      </c>
      <c r="IF695" s="27" t="s">
        <v>7</v>
      </c>
      <c r="IG695" s="27" t="s">
        <v>8</v>
      </c>
      <c r="IH695" s="27" t="s">
        <v>7</v>
      </c>
      <c r="IK695" s="27" t="s">
        <v>8</v>
      </c>
      <c r="IL695" s="27" t="s">
        <v>7</v>
      </c>
      <c r="IM695" s="27" t="s">
        <v>8</v>
      </c>
      <c r="IN695" s="27" t="s">
        <v>7</v>
      </c>
      <c r="IO695" s="27" t="s">
        <v>8</v>
      </c>
      <c r="IP695" s="27" t="s">
        <v>7</v>
      </c>
      <c r="IQ695" s="27" t="s">
        <v>8</v>
      </c>
      <c r="IR695" s="27" t="s">
        <v>7</v>
      </c>
      <c r="IS695" s="27" t="s">
        <v>8</v>
      </c>
      <c r="IT695" s="27" t="s">
        <v>7</v>
      </c>
      <c r="IU695" s="27" t="s">
        <v>8</v>
      </c>
      <c r="IW695" s="27" t="s">
        <v>8</v>
      </c>
      <c r="IX695" s="27" t="s">
        <v>7</v>
      </c>
      <c r="IY695" s="27" t="s">
        <v>8</v>
      </c>
      <c r="IZ695" s="27" t="s">
        <v>7</v>
      </c>
      <c r="JA695" s="27" t="s">
        <v>8</v>
      </c>
      <c r="JB695" s="27" t="s">
        <v>7</v>
      </c>
      <c r="JC695" s="27" t="s">
        <v>8</v>
      </c>
      <c r="JD695" s="27" t="s">
        <v>7</v>
      </c>
      <c r="JQ695" s="27" t="s">
        <v>8</v>
      </c>
      <c r="JW695" s="27" t="s">
        <v>8</v>
      </c>
      <c r="JX695" s="27" t="s">
        <v>7</v>
      </c>
    </row>
    <row r="696" spans="1:288" x14ac:dyDescent="0.25">
      <c r="A696" s="7">
        <v>0.11549981216674166</v>
      </c>
      <c r="B696"/>
      <c r="C696"/>
      <c r="D696"/>
      <c r="E696"/>
      <c r="F696" s="27" t="s">
        <v>7</v>
      </c>
      <c r="G696" s="27" t="s">
        <v>8</v>
      </c>
      <c r="H696" s="27" t="s">
        <v>7</v>
      </c>
      <c r="I696" s="27" t="s">
        <v>8</v>
      </c>
      <c r="J696" s="27" t="s">
        <v>7</v>
      </c>
      <c r="K696" s="27" t="s">
        <v>8</v>
      </c>
      <c r="L696" s="27" t="s">
        <v>7</v>
      </c>
      <c r="M696" s="27" t="s">
        <v>8</v>
      </c>
      <c r="N696" s="27" t="s">
        <v>7</v>
      </c>
      <c r="O696" s="27" t="s">
        <v>8</v>
      </c>
      <c r="P696" s="27" t="s">
        <v>7</v>
      </c>
      <c r="Q696" s="27" t="s">
        <v>8</v>
      </c>
      <c r="R696" s="27" t="s">
        <v>7</v>
      </c>
      <c r="S696" s="27" t="s">
        <v>8</v>
      </c>
      <c r="T696" s="27" t="s">
        <v>7</v>
      </c>
      <c r="DA696" s="27" t="s">
        <v>8</v>
      </c>
      <c r="DB696" s="27" t="s">
        <v>7</v>
      </c>
      <c r="DC696" s="27" t="s">
        <v>8</v>
      </c>
      <c r="DH696" s="27" t="s">
        <v>7</v>
      </c>
      <c r="DI696" s="27" t="s">
        <v>8</v>
      </c>
      <c r="DJ696" s="27" t="s">
        <v>7</v>
      </c>
      <c r="DK696" s="27" t="s">
        <v>8</v>
      </c>
      <c r="DL696" s="27" t="s">
        <v>7</v>
      </c>
      <c r="DO696" s="27" t="s">
        <v>8</v>
      </c>
      <c r="DP696" s="27" t="s">
        <v>7</v>
      </c>
      <c r="DQ696" s="27" t="s">
        <v>8</v>
      </c>
      <c r="ER696" s="27" t="s">
        <v>7</v>
      </c>
      <c r="ES696" s="27" t="s">
        <v>8</v>
      </c>
      <c r="FF696" s="27" t="s">
        <v>7</v>
      </c>
      <c r="FQ696" s="27" t="s">
        <v>8</v>
      </c>
      <c r="FR696" s="27" t="s">
        <v>7</v>
      </c>
      <c r="GU696" s="27" t="s">
        <v>8</v>
      </c>
      <c r="GV696" s="27" t="s">
        <v>7</v>
      </c>
      <c r="GW696" s="27" t="s">
        <v>8</v>
      </c>
      <c r="GZ696" s="27" t="s">
        <v>7</v>
      </c>
      <c r="HA696" s="27" t="s">
        <v>8</v>
      </c>
      <c r="HB696" s="27" t="s">
        <v>7</v>
      </c>
      <c r="HC696" s="27" t="s">
        <v>8</v>
      </c>
      <c r="HD696" s="27" t="s">
        <v>7</v>
      </c>
      <c r="HE696" s="27" t="s">
        <v>8</v>
      </c>
      <c r="HH696" s="27" t="s">
        <v>7</v>
      </c>
      <c r="HI696" s="27" t="s">
        <v>8</v>
      </c>
      <c r="HN696" s="27" t="s">
        <v>7</v>
      </c>
      <c r="HO696" s="27" t="s">
        <v>8</v>
      </c>
      <c r="HR696" s="27" t="s">
        <v>7</v>
      </c>
      <c r="HS696" s="27" t="s">
        <v>8</v>
      </c>
      <c r="HT696" s="27" t="s">
        <v>7</v>
      </c>
      <c r="HU696" s="27" t="s">
        <v>8</v>
      </c>
      <c r="HV696" s="27" t="s">
        <v>7</v>
      </c>
      <c r="HW696" s="27" t="s">
        <v>8</v>
      </c>
      <c r="HX696" s="27" t="s">
        <v>7</v>
      </c>
      <c r="HY696" s="27" t="s">
        <v>8</v>
      </c>
      <c r="HZ696" s="27" t="s">
        <v>7</v>
      </c>
      <c r="IA696" s="27" t="s">
        <v>8</v>
      </c>
      <c r="IB696" s="27" t="s">
        <v>7</v>
      </c>
      <c r="IC696" s="27" t="s">
        <v>8</v>
      </c>
      <c r="ID696" s="27" t="s">
        <v>7</v>
      </c>
      <c r="IE696" s="27" t="s">
        <v>8</v>
      </c>
      <c r="IF696" s="27" t="s">
        <v>7</v>
      </c>
      <c r="IG696" s="27" t="s">
        <v>8</v>
      </c>
      <c r="IH696" s="27" t="s">
        <v>7</v>
      </c>
      <c r="II696" s="27" t="s">
        <v>8</v>
      </c>
      <c r="IK696" s="27" t="s">
        <v>8</v>
      </c>
      <c r="IL696" s="27" t="s">
        <v>7</v>
      </c>
      <c r="IM696" s="27" t="s">
        <v>8</v>
      </c>
      <c r="IN696" s="27" t="s">
        <v>7</v>
      </c>
      <c r="IO696" s="27" t="s">
        <v>8</v>
      </c>
      <c r="IP696" s="27" t="s">
        <v>7</v>
      </c>
      <c r="IR696" s="27" t="s">
        <v>7</v>
      </c>
      <c r="IT696" s="27" t="s">
        <v>7</v>
      </c>
      <c r="IU696" s="27" t="s">
        <v>8</v>
      </c>
      <c r="IV696" s="27" t="s">
        <v>7</v>
      </c>
      <c r="IW696" s="27" t="s">
        <v>8</v>
      </c>
      <c r="IX696" s="27" t="s">
        <v>7</v>
      </c>
      <c r="IY696" s="27" t="s">
        <v>8</v>
      </c>
      <c r="IZ696" s="27" t="s">
        <v>7</v>
      </c>
      <c r="JA696" s="27" t="s">
        <v>8</v>
      </c>
      <c r="JB696" s="27" t="s">
        <v>7</v>
      </c>
      <c r="JC696" s="27" t="s">
        <v>8</v>
      </c>
      <c r="JD696" s="27" t="s">
        <v>7</v>
      </c>
      <c r="JQ696" s="27" t="s">
        <v>8</v>
      </c>
      <c r="JR696" s="27" t="s">
        <v>7</v>
      </c>
      <c r="JW696" s="27" t="s">
        <v>8</v>
      </c>
      <c r="JX696" s="27" t="s">
        <v>7</v>
      </c>
    </row>
    <row r="697" spans="1:288" x14ac:dyDescent="0.25">
      <c r="A697" s="7">
        <v>0.11323510996739378</v>
      </c>
      <c r="B697"/>
      <c r="C697"/>
      <c r="D697"/>
      <c r="E697"/>
      <c r="F697" s="27" t="s">
        <v>7</v>
      </c>
      <c r="G697" s="27" t="s">
        <v>8</v>
      </c>
      <c r="H697" s="27" t="s">
        <v>7</v>
      </c>
      <c r="I697" s="27" t="s">
        <v>8</v>
      </c>
      <c r="J697" s="27" t="s">
        <v>7</v>
      </c>
      <c r="K697" s="27" t="s">
        <v>8</v>
      </c>
      <c r="L697" s="27" t="s">
        <v>7</v>
      </c>
      <c r="M697" s="27" t="s">
        <v>8</v>
      </c>
      <c r="N697" s="27" t="s">
        <v>7</v>
      </c>
      <c r="P697" s="27" t="s">
        <v>7</v>
      </c>
      <c r="Q697" s="27" t="s">
        <v>8</v>
      </c>
      <c r="R697" s="27" t="s">
        <v>7</v>
      </c>
      <c r="S697" s="27" t="s">
        <v>8</v>
      </c>
      <c r="T697" s="27" t="s">
        <v>7</v>
      </c>
      <c r="DA697" s="27" t="s">
        <v>8</v>
      </c>
      <c r="DB697" s="27" t="s">
        <v>7</v>
      </c>
      <c r="DC697" s="27" t="s">
        <v>8</v>
      </c>
      <c r="DH697" s="27" t="s">
        <v>7</v>
      </c>
      <c r="DI697" s="27" t="s">
        <v>8</v>
      </c>
      <c r="DJ697" s="27" t="s">
        <v>7</v>
      </c>
      <c r="DK697" s="27" t="s">
        <v>8</v>
      </c>
      <c r="DL697" s="27" t="s">
        <v>7</v>
      </c>
      <c r="DO697" s="27" t="s">
        <v>8</v>
      </c>
      <c r="DP697" s="27" t="s">
        <v>7</v>
      </c>
      <c r="DQ697" s="27" t="s">
        <v>8</v>
      </c>
      <c r="ER697" s="27" t="s">
        <v>7</v>
      </c>
      <c r="ES697" s="27" t="s">
        <v>8</v>
      </c>
      <c r="FF697" s="27" t="s">
        <v>7</v>
      </c>
      <c r="FQ697" s="27" t="s">
        <v>8</v>
      </c>
      <c r="FR697" s="27" t="s">
        <v>7</v>
      </c>
      <c r="GU697" s="27" t="s">
        <v>8</v>
      </c>
      <c r="GV697" s="27" t="s">
        <v>7</v>
      </c>
      <c r="GW697" s="27" t="s">
        <v>8</v>
      </c>
      <c r="GZ697" s="27" t="s">
        <v>7</v>
      </c>
      <c r="HA697" s="27" t="s">
        <v>8</v>
      </c>
      <c r="HB697" s="27" t="s">
        <v>7</v>
      </c>
      <c r="HC697" s="27" t="s">
        <v>8</v>
      </c>
      <c r="HD697" s="27" t="s">
        <v>7</v>
      </c>
      <c r="HE697" s="27" t="s">
        <v>8</v>
      </c>
      <c r="HH697" s="27" t="s">
        <v>7</v>
      </c>
      <c r="HI697" s="27" t="s">
        <v>8</v>
      </c>
      <c r="HN697" s="27" t="s">
        <v>7</v>
      </c>
      <c r="HO697" s="27" t="s">
        <v>8</v>
      </c>
      <c r="HR697" s="27" t="s">
        <v>7</v>
      </c>
      <c r="HS697" s="27" t="s">
        <v>8</v>
      </c>
      <c r="HT697" s="27" t="s">
        <v>7</v>
      </c>
      <c r="HU697" s="27" t="s">
        <v>8</v>
      </c>
      <c r="HV697" s="27" t="s">
        <v>7</v>
      </c>
      <c r="HW697" s="27" t="s">
        <v>8</v>
      </c>
      <c r="HX697" s="27" t="s">
        <v>7</v>
      </c>
      <c r="HY697" s="27" t="s">
        <v>8</v>
      </c>
      <c r="HZ697" s="27" t="s">
        <v>7</v>
      </c>
      <c r="IA697" s="27" t="s">
        <v>8</v>
      </c>
      <c r="IB697" s="27" t="s">
        <v>7</v>
      </c>
      <c r="IC697" s="27" t="s">
        <v>8</v>
      </c>
      <c r="ID697" s="27" t="s">
        <v>7</v>
      </c>
      <c r="IE697" s="27" t="s">
        <v>8</v>
      </c>
      <c r="IF697" s="27" t="s">
        <v>7</v>
      </c>
      <c r="IG697" s="27" t="s">
        <v>8</v>
      </c>
      <c r="IH697" s="27" t="s">
        <v>7</v>
      </c>
      <c r="II697" s="27" t="s">
        <v>8</v>
      </c>
      <c r="IJ697" s="27" t="s">
        <v>7</v>
      </c>
      <c r="IK697" s="27" t="s">
        <v>8</v>
      </c>
      <c r="IL697" s="27" t="s">
        <v>7</v>
      </c>
      <c r="IM697" s="27" t="s">
        <v>8</v>
      </c>
      <c r="IN697" s="27" t="s">
        <v>7</v>
      </c>
      <c r="IT697" s="27" t="s">
        <v>7</v>
      </c>
      <c r="IU697" s="27" t="s">
        <v>8</v>
      </c>
      <c r="IV697" s="27" t="s">
        <v>7</v>
      </c>
      <c r="IW697" s="27" t="s">
        <v>8</v>
      </c>
      <c r="IX697" s="27" t="s">
        <v>7</v>
      </c>
      <c r="IZ697" s="27" t="s">
        <v>7</v>
      </c>
      <c r="JB697" s="27" t="s">
        <v>7</v>
      </c>
      <c r="JD697" s="27" t="s">
        <v>7</v>
      </c>
      <c r="JQ697" s="27" t="s">
        <v>8</v>
      </c>
      <c r="JR697" s="27" t="s">
        <v>7</v>
      </c>
      <c r="JW697" s="27" t="s">
        <v>8</v>
      </c>
      <c r="JX697" s="27" t="s">
        <v>7</v>
      </c>
      <c r="JY697" s="27" t="s">
        <v>8</v>
      </c>
    </row>
    <row r="698" spans="1:288" x14ac:dyDescent="0.25">
      <c r="A698" s="7">
        <v>0.11101481369352331</v>
      </c>
      <c r="B698"/>
      <c r="C698"/>
      <c r="D698"/>
      <c r="E698"/>
      <c r="F698" s="27" t="s">
        <v>7</v>
      </c>
      <c r="G698" s="27" t="s">
        <v>8</v>
      </c>
      <c r="H698" s="27" t="s">
        <v>7</v>
      </c>
      <c r="I698" s="27" t="s">
        <v>8</v>
      </c>
      <c r="J698" s="27" t="s">
        <v>7</v>
      </c>
      <c r="K698" s="27" t="s">
        <v>8</v>
      </c>
      <c r="L698" s="27" t="s">
        <v>7</v>
      </c>
      <c r="M698" s="27" t="s">
        <v>8</v>
      </c>
      <c r="P698" s="27" t="s">
        <v>7</v>
      </c>
      <c r="Q698" s="27" t="s">
        <v>8</v>
      </c>
      <c r="R698" s="27" t="s">
        <v>7</v>
      </c>
      <c r="T698" s="27" t="s">
        <v>7</v>
      </c>
      <c r="DA698" s="27" t="s">
        <v>8</v>
      </c>
      <c r="DB698" s="27" t="s">
        <v>7</v>
      </c>
      <c r="DC698" s="27" t="s">
        <v>8</v>
      </c>
      <c r="DH698" s="27" t="s">
        <v>7</v>
      </c>
      <c r="DI698" s="27" t="s">
        <v>8</v>
      </c>
      <c r="DJ698" s="27" t="s">
        <v>7</v>
      </c>
      <c r="DK698" s="27" t="s">
        <v>8</v>
      </c>
      <c r="DL698" s="27" t="s">
        <v>7</v>
      </c>
      <c r="DO698" s="27" t="s">
        <v>8</v>
      </c>
      <c r="DP698" s="27" t="s">
        <v>7</v>
      </c>
      <c r="DQ698" s="27" t="s">
        <v>8</v>
      </c>
      <c r="ER698" s="27" t="s">
        <v>7</v>
      </c>
      <c r="FF698" s="27" t="s">
        <v>7</v>
      </c>
      <c r="FQ698" s="27" t="s">
        <v>8</v>
      </c>
      <c r="FR698" s="27" t="s">
        <v>7</v>
      </c>
      <c r="GU698" s="27" t="s">
        <v>8</v>
      </c>
      <c r="GV698" s="27" t="s">
        <v>7</v>
      </c>
      <c r="GW698" s="27" t="s">
        <v>8</v>
      </c>
      <c r="GZ698" s="27" t="s">
        <v>7</v>
      </c>
      <c r="HA698" s="27" t="s">
        <v>8</v>
      </c>
      <c r="HB698" s="27" t="s">
        <v>7</v>
      </c>
      <c r="HC698" s="27" t="s">
        <v>8</v>
      </c>
      <c r="HD698" s="27" t="s">
        <v>7</v>
      </c>
      <c r="HH698" s="27" t="s">
        <v>7</v>
      </c>
      <c r="HI698" s="27" t="s">
        <v>8</v>
      </c>
      <c r="HN698" s="27" t="s">
        <v>7</v>
      </c>
      <c r="HO698" s="27" t="s">
        <v>8</v>
      </c>
      <c r="HR698" s="27" t="s">
        <v>7</v>
      </c>
      <c r="HS698" s="27" t="s">
        <v>8</v>
      </c>
      <c r="HT698" s="27" t="s">
        <v>7</v>
      </c>
      <c r="HU698" s="27" t="s">
        <v>8</v>
      </c>
      <c r="HV698" s="27" t="s">
        <v>7</v>
      </c>
      <c r="HW698" s="27" t="s">
        <v>8</v>
      </c>
      <c r="HX698" s="27" t="s">
        <v>7</v>
      </c>
      <c r="HY698" s="27" t="s">
        <v>8</v>
      </c>
      <c r="HZ698" s="27" t="s">
        <v>7</v>
      </c>
      <c r="IA698" s="27" t="s">
        <v>8</v>
      </c>
      <c r="IB698" s="27" t="s">
        <v>7</v>
      </c>
      <c r="IC698" s="27" t="s">
        <v>8</v>
      </c>
      <c r="ID698" s="27" t="s">
        <v>7</v>
      </c>
      <c r="IF698" s="27" t="s">
        <v>7</v>
      </c>
      <c r="IH698" s="27" t="s">
        <v>7</v>
      </c>
      <c r="II698" s="27" t="s">
        <v>8</v>
      </c>
      <c r="IJ698" s="27" t="s">
        <v>7</v>
      </c>
      <c r="IK698" s="27" t="s">
        <v>8</v>
      </c>
      <c r="IL698" s="27" t="s">
        <v>7</v>
      </c>
      <c r="IT698" s="27" t="s">
        <v>7</v>
      </c>
      <c r="IU698" s="27" t="s">
        <v>8</v>
      </c>
      <c r="IV698" s="27" t="s">
        <v>7</v>
      </c>
      <c r="IW698" s="27" t="s">
        <v>8</v>
      </c>
      <c r="JD698" s="27" t="s">
        <v>7</v>
      </c>
      <c r="JQ698" s="27" t="s">
        <v>8</v>
      </c>
      <c r="JR698" s="27" t="s">
        <v>7</v>
      </c>
      <c r="JW698" s="27" t="s">
        <v>8</v>
      </c>
      <c r="JX698" s="27" t="s">
        <v>7</v>
      </c>
      <c r="JY698" s="27" t="s">
        <v>8</v>
      </c>
      <c r="JZ698" s="27" t="s">
        <v>7</v>
      </c>
    </row>
    <row r="699" spans="1:288" x14ac:dyDescent="0.25">
      <c r="A699" s="7">
        <v>0.10883805264070913</v>
      </c>
      <c r="B699"/>
      <c r="C699"/>
      <c r="D699"/>
      <c r="E699"/>
      <c r="F699" s="27" t="s">
        <v>7</v>
      </c>
      <c r="G699" s="27" t="s">
        <v>8</v>
      </c>
      <c r="H699" s="27" t="s">
        <v>7</v>
      </c>
      <c r="I699" s="27" t="s">
        <v>8</v>
      </c>
      <c r="J699" s="27" t="s">
        <v>7</v>
      </c>
      <c r="L699" s="27" t="s">
        <v>7</v>
      </c>
      <c r="M699" s="27" t="s">
        <v>8</v>
      </c>
      <c r="P699" s="27" t="s">
        <v>7</v>
      </c>
      <c r="Q699" s="27" t="s">
        <v>8</v>
      </c>
      <c r="T699" s="27" t="s">
        <v>7</v>
      </c>
      <c r="DA699" s="27" t="s">
        <v>8</v>
      </c>
      <c r="DB699" s="27" t="s">
        <v>7</v>
      </c>
      <c r="DC699" s="27" t="s">
        <v>8</v>
      </c>
      <c r="DH699" s="27" t="s">
        <v>7</v>
      </c>
      <c r="DI699" s="27" t="s">
        <v>8</v>
      </c>
      <c r="DJ699" s="27" t="s">
        <v>7</v>
      </c>
      <c r="DK699" s="27" t="s">
        <v>8</v>
      </c>
      <c r="DL699" s="27" t="s">
        <v>7</v>
      </c>
      <c r="DM699" s="27" t="s">
        <v>8</v>
      </c>
      <c r="DO699" s="27" t="s">
        <v>8</v>
      </c>
      <c r="DP699" s="27" t="s">
        <v>7</v>
      </c>
      <c r="DQ699" s="27" t="s">
        <v>8</v>
      </c>
      <c r="FF699" s="27" t="s">
        <v>7</v>
      </c>
      <c r="FQ699" s="27" t="s">
        <v>8</v>
      </c>
      <c r="FR699" s="27" t="s">
        <v>7</v>
      </c>
      <c r="GU699" s="27" t="s">
        <v>8</v>
      </c>
      <c r="GV699" s="27" t="s">
        <v>7</v>
      </c>
      <c r="GW699" s="27" t="s">
        <v>8</v>
      </c>
      <c r="GZ699" s="27" t="s">
        <v>7</v>
      </c>
      <c r="HA699" s="27" t="s">
        <v>8</v>
      </c>
      <c r="HB699" s="27" t="s">
        <v>7</v>
      </c>
      <c r="HH699" s="27" t="s">
        <v>7</v>
      </c>
      <c r="HI699" s="27" t="s">
        <v>8</v>
      </c>
      <c r="HN699" s="27" t="s">
        <v>7</v>
      </c>
      <c r="HO699" s="27" t="s">
        <v>8</v>
      </c>
      <c r="HR699" s="27" t="s">
        <v>7</v>
      </c>
      <c r="HT699" s="27" t="s">
        <v>7</v>
      </c>
      <c r="HU699" s="27" t="s">
        <v>8</v>
      </c>
      <c r="HV699" s="27" t="s">
        <v>7</v>
      </c>
      <c r="HW699" s="27" t="s">
        <v>8</v>
      </c>
      <c r="HX699" s="27" t="s">
        <v>7</v>
      </c>
      <c r="HY699" s="27" t="s">
        <v>8</v>
      </c>
      <c r="HZ699" s="27" t="s">
        <v>7</v>
      </c>
      <c r="IA699" s="27" t="s">
        <v>8</v>
      </c>
      <c r="IB699" s="27" t="s">
        <v>7</v>
      </c>
      <c r="IH699" s="27" t="s">
        <v>7</v>
      </c>
      <c r="II699" s="27" t="s">
        <v>8</v>
      </c>
      <c r="IJ699" s="27" t="s">
        <v>7</v>
      </c>
      <c r="IT699" s="27" t="s">
        <v>7</v>
      </c>
      <c r="IU699" s="27" t="s">
        <v>8</v>
      </c>
      <c r="IV699" s="27" t="s">
        <v>7</v>
      </c>
      <c r="IW699" s="27" t="s">
        <v>8</v>
      </c>
      <c r="JD699" s="27" t="s">
        <v>7</v>
      </c>
      <c r="JE699" s="27" t="s">
        <v>8</v>
      </c>
      <c r="JQ699" s="27" t="s">
        <v>8</v>
      </c>
      <c r="JR699" s="27" t="s">
        <v>7</v>
      </c>
      <c r="JW699" s="27" t="s">
        <v>8</v>
      </c>
      <c r="JX699" s="27" t="s">
        <v>7</v>
      </c>
      <c r="JY699" s="27" t="s">
        <v>8</v>
      </c>
      <c r="JZ699" s="27" t="s">
        <v>7</v>
      </c>
      <c r="KA699" s="27" t="s">
        <v>8</v>
      </c>
    </row>
    <row r="700" spans="1:288" x14ac:dyDescent="0.25">
      <c r="A700" s="7">
        <v>0.10670397317716582</v>
      </c>
      <c r="B700"/>
      <c r="C700"/>
      <c r="D700"/>
      <c r="E700"/>
      <c r="F700" s="27" t="s">
        <v>7</v>
      </c>
      <c r="G700" s="27" t="s">
        <v>8</v>
      </c>
      <c r="H700" s="27" t="s">
        <v>7</v>
      </c>
      <c r="I700" s="27" t="s">
        <v>8</v>
      </c>
      <c r="L700" s="27" t="s">
        <v>7</v>
      </c>
      <c r="M700" s="27" t="s">
        <v>8</v>
      </c>
      <c r="P700" s="27" t="s">
        <v>7</v>
      </c>
      <c r="Q700" s="27" t="s">
        <v>8</v>
      </c>
      <c r="T700" s="27" t="s">
        <v>7</v>
      </c>
      <c r="DA700" s="27" t="s">
        <v>8</v>
      </c>
      <c r="DB700" s="27" t="s">
        <v>7</v>
      </c>
      <c r="DC700" s="27" t="s">
        <v>8</v>
      </c>
      <c r="DH700" s="27" t="s">
        <v>7</v>
      </c>
      <c r="DI700" s="27" t="s">
        <v>8</v>
      </c>
      <c r="DJ700" s="27" t="s">
        <v>7</v>
      </c>
      <c r="DK700" s="27" t="s">
        <v>8</v>
      </c>
      <c r="DL700" s="27" t="s">
        <v>7</v>
      </c>
      <c r="DM700" s="27" t="s">
        <v>8</v>
      </c>
      <c r="DN700" s="27" t="s">
        <v>7</v>
      </c>
      <c r="DO700" s="27" t="s">
        <v>8</v>
      </c>
      <c r="DP700" s="27" t="s">
        <v>7</v>
      </c>
      <c r="FF700" s="27" t="s">
        <v>7</v>
      </c>
      <c r="FQ700" s="27" t="s">
        <v>8</v>
      </c>
      <c r="FR700" s="27" t="s">
        <v>7</v>
      </c>
      <c r="GU700" s="27" t="s">
        <v>8</v>
      </c>
      <c r="GV700" s="27" t="s">
        <v>7</v>
      </c>
      <c r="GW700" s="27" t="s">
        <v>8</v>
      </c>
      <c r="GZ700" s="27" t="s">
        <v>7</v>
      </c>
      <c r="HA700" s="27" t="s">
        <v>8</v>
      </c>
      <c r="HH700" s="27" t="s">
        <v>7</v>
      </c>
      <c r="HI700" s="27" t="s">
        <v>8</v>
      </c>
      <c r="HN700" s="27" t="s">
        <v>7</v>
      </c>
      <c r="HO700" s="27" t="s">
        <v>8</v>
      </c>
      <c r="HT700" s="27" t="s">
        <v>7</v>
      </c>
      <c r="HU700" s="27" t="s">
        <v>8</v>
      </c>
      <c r="HV700" s="27" t="s">
        <v>7</v>
      </c>
      <c r="HW700" s="27" t="s">
        <v>8</v>
      </c>
      <c r="HX700" s="27" t="s">
        <v>7</v>
      </c>
      <c r="HY700" s="27" t="s">
        <v>8</v>
      </c>
      <c r="HZ700" s="27" t="s">
        <v>7</v>
      </c>
      <c r="IA700" s="27" t="s">
        <v>8</v>
      </c>
      <c r="IH700" s="27" t="s">
        <v>7</v>
      </c>
      <c r="IT700" s="27" t="s">
        <v>7</v>
      </c>
      <c r="IV700" s="27" t="s">
        <v>7</v>
      </c>
      <c r="IW700" s="27" t="s">
        <v>8</v>
      </c>
      <c r="JD700" s="27" t="s">
        <v>7</v>
      </c>
      <c r="JE700" s="27" t="s">
        <v>8</v>
      </c>
      <c r="JF700" s="27" t="s">
        <v>7</v>
      </c>
      <c r="JQ700" s="27" t="s">
        <v>8</v>
      </c>
      <c r="JR700" s="27" t="s">
        <v>7</v>
      </c>
      <c r="JW700" s="27" t="s">
        <v>8</v>
      </c>
      <c r="JX700" s="27" t="s">
        <v>7</v>
      </c>
      <c r="JY700" s="27" t="s">
        <v>8</v>
      </c>
      <c r="JZ700" s="27" t="s">
        <v>7</v>
      </c>
      <c r="KA700" s="27" t="s">
        <v>8</v>
      </c>
      <c r="KB700" s="27" t="s">
        <v>7</v>
      </c>
    </row>
    <row r="701" spans="1:288" x14ac:dyDescent="0.25">
      <c r="A701" s="7">
        <v>0.1046117384089861</v>
      </c>
      <c r="B701"/>
      <c r="C701"/>
      <c r="D701"/>
      <c r="E701"/>
      <c r="F701" s="27" t="s">
        <v>7</v>
      </c>
      <c r="G701" s="27" t="s">
        <v>8</v>
      </c>
      <c r="H701" s="27" t="s">
        <v>7</v>
      </c>
      <c r="I701" s="27" t="s">
        <v>8</v>
      </c>
      <c r="L701" s="27" t="s">
        <v>7</v>
      </c>
      <c r="P701" s="27" t="s">
        <v>7</v>
      </c>
      <c r="Q701" s="27" t="s">
        <v>8</v>
      </c>
      <c r="T701" s="27" t="s">
        <v>7</v>
      </c>
      <c r="DA701" s="27" t="s">
        <v>8</v>
      </c>
      <c r="DB701" s="27" t="s">
        <v>7</v>
      </c>
      <c r="DC701" s="27" t="s">
        <v>8</v>
      </c>
      <c r="DH701" s="27" t="s">
        <v>7</v>
      </c>
      <c r="DI701" s="27" t="s">
        <v>8</v>
      </c>
      <c r="DJ701" s="27" t="s">
        <v>7</v>
      </c>
      <c r="DK701" s="27" t="s">
        <v>8</v>
      </c>
      <c r="DL701" s="27" t="s">
        <v>7</v>
      </c>
      <c r="DM701" s="27" t="s">
        <v>8</v>
      </c>
      <c r="DN701" s="27" t="s">
        <v>7</v>
      </c>
      <c r="DO701" s="27" t="s">
        <v>8</v>
      </c>
      <c r="FF701" s="27" t="s">
        <v>7</v>
      </c>
      <c r="FQ701" s="27" t="s">
        <v>8</v>
      </c>
      <c r="FR701" s="27" t="s">
        <v>7</v>
      </c>
      <c r="GU701" s="27" t="s">
        <v>8</v>
      </c>
      <c r="GV701" s="27" t="s">
        <v>7</v>
      </c>
      <c r="GW701" s="27" t="s">
        <v>8</v>
      </c>
      <c r="GZ701" s="27" t="s">
        <v>7</v>
      </c>
      <c r="HA701" s="27" t="s">
        <v>8</v>
      </c>
      <c r="HH701" s="27" t="s">
        <v>7</v>
      </c>
      <c r="HI701" s="27" t="s">
        <v>8</v>
      </c>
      <c r="HN701" s="27" t="s">
        <v>7</v>
      </c>
      <c r="HT701" s="27" t="s">
        <v>7</v>
      </c>
      <c r="HU701" s="27" t="s">
        <v>8</v>
      </c>
      <c r="HV701" s="27" t="s">
        <v>7</v>
      </c>
      <c r="HW701" s="27" t="s">
        <v>8</v>
      </c>
      <c r="HX701" s="27" t="s">
        <v>7</v>
      </c>
      <c r="HZ701" s="27" t="s">
        <v>7</v>
      </c>
      <c r="IA701" s="27" t="s">
        <v>8</v>
      </c>
      <c r="IV701" s="27" t="s">
        <v>7</v>
      </c>
      <c r="JD701" s="27" t="s">
        <v>7</v>
      </c>
      <c r="JE701" s="27" t="s">
        <v>8</v>
      </c>
      <c r="JF701" s="27" t="s">
        <v>7</v>
      </c>
      <c r="JQ701" s="27" t="s">
        <v>8</v>
      </c>
      <c r="JR701" s="27" t="s">
        <v>7</v>
      </c>
      <c r="JW701" s="27" t="s">
        <v>8</v>
      </c>
      <c r="JX701" s="27" t="s">
        <v>7</v>
      </c>
      <c r="JY701" s="27" t="s">
        <v>8</v>
      </c>
      <c r="JZ701" s="27" t="s">
        <v>7</v>
      </c>
      <c r="KA701" s="27" t="s">
        <v>8</v>
      </c>
      <c r="KB701" s="27" t="s">
        <v>7</v>
      </c>
    </row>
    <row r="702" spans="1:288" x14ac:dyDescent="0.25">
      <c r="A702" s="7">
        <v>0.10256052785194716</v>
      </c>
      <c r="B702"/>
      <c r="C702"/>
      <c r="D702"/>
      <c r="E702"/>
      <c r="F702" s="27" t="s">
        <v>7</v>
      </c>
      <c r="G702" s="27" t="s">
        <v>8</v>
      </c>
      <c r="H702" s="27" t="s">
        <v>7</v>
      </c>
      <c r="P702" s="27" t="s">
        <v>7</v>
      </c>
      <c r="T702" s="27" t="s">
        <v>7</v>
      </c>
      <c r="DA702" s="27" t="s">
        <v>8</v>
      </c>
      <c r="DB702" s="27" t="s">
        <v>7</v>
      </c>
      <c r="DC702" s="27" t="s">
        <v>8</v>
      </c>
      <c r="DH702" s="27" t="s">
        <v>7</v>
      </c>
      <c r="DI702" s="27" t="s">
        <v>8</v>
      </c>
      <c r="DJ702" s="27" t="s">
        <v>7</v>
      </c>
      <c r="DK702" s="27" t="s">
        <v>8</v>
      </c>
      <c r="DL702" s="27" t="s">
        <v>7</v>
      </c>
      <c r="DM702" s="27" t="s">
        <v>8</v>
      </c>
      <c r="DN702" s="27" t="s">
        <v>7</v>
      </c>
      <c r="DO702" s="27" t="s">
        <v>8</v>
      </c>
      <c r="FF702" s="27" t="s">
        <v>7</v>
      </c>
      <c r="FG702" s="27" t="s">
        <v>8</v>
      </c>
      <c r="FQ702" s="27" t="s">
        <v>8</v>
      </c>
      <c r="FR702" s="27" t="s">
        <v>7</v>
      </c>
      <c r="GS702" s="27" t="s">
        <v>8</v>
      </c>
      <c r="GU702" s="27" t="s">
        <v>8</v>
      </c>
      <c r="GV702" s="27" t="s">
        <v>7</v>
      </c>
      <c r="GW702" s="27" t="s">
        <v>8</v>
      </c>
      <c r="GZ702" s="27" t="s">
        <v>7</v>
      </c>
      <c r="HH702" s="27" t="s">
        <v>7</v>
      </c>
      <c r="HI702" s="27" t="s">
        <v>8</v>
      </c>
      <c r="HT702" s="27" t="s">
        <v>7</v>
      </c>
      <c r="HU702" s="27" t="s">
        <v>8</v>
      </c>
      <c r="HV702" s="27" t="s">
        <v>7</v>
      </c>
      <c r="HZ702" s="27" t="s">
        <v>7</v>
      </c>
      <c r="IA702" s="27" t="s">
        <v>8</v>
      </c>
      <c r="JD702" s="27" t="s">
        <v>7</v>
      </c>
      <c r="JE702" s="27" t="s">
        <v>8</v>
      </c>
      <c r="JF702" s="27" t="s">
        <v>7</v>
      </c>
      <c r="JQ702" s="27" t="s">
        <v>8</v>
      </c>
      <c r="JR702" s="27" t="s">
        <v>7</v>
      </c>
      <c r="JW702" s="27" t="s">
        <v>8</v>
      </c>
      <c r="JX702" s="27" t="s">
        <v>7</v>
      </c>
      <c r="JY702" s="27" t="s">
        <v>8</v>
      </c>
      <c r="JZ702" s="27" t="s">
        <v>7</v>
      </c>
      <c r="KA702" s="27" t="s">
        <v>8</v>
      </c>
      <c r="KB702" s="27" t="s">
        <v>7</v>
      </c>
    </row>
    <row r="703" spans="1:288" x14ac:dyDescent="0.25">
      <c r="A703" s="7">
        <v>0.10054953710975212</v>
      </c>
      <c r="B703"/>
      <c r="C703"/>
      <c r="D703"/>
      <c r="E703"/>
      <c r="F703" s="27" t="s">
        <v>7</v>
      </c>
      <c r="G703" s="27" t="s">
        <v>8</v>
      </c>
      <c r="T703" s="27" t="s">
        <v>7</v>
      </c>
      <c r="DA703" s="27" t="s">
        <v>8</v>
      </c>
      <c r="DB703" s="27" t="s">
        <v>7</v>
      </c>
      <c r="DC703" s="27" t="s">
        <v>8</v>
      </c>
      <c r="DH703" s="27" t="s">
        <v>7</v>
      </c>
      <c r="DI703" s="27" t="s">
        <v>8</v>
      </c>
      <c r="DJ703" s="27" t="s">
        <v>7</v>
      </c>
      <c r="DK703" s="27" t="s">
        <v>8</v>
      </c>
      <c r="DL703" s="27" t="s">
        <v>7</v>
      </c>
      <c r="DM703" s="27" t="s">
        <v>8</v>
      </c>
      <c r="DN703" s="27" t="s">
        <v>7</v>
      </c>
      <c r="DO703" s="27" t="s">
        <v>8</v>
      </c>
      <c r="FF703" s="27" t="s">
        <v>7</v>
      </c>
      <c r="FG703" s="27" t="s">
        <v>8</v>
      </c>
      <c r="FH703" s="27" t="s">
        <v>7</v>
      </c>
      <c r="FQ703" s="27" t="s">
        <v>8</v>
      </c>
      <c r="FR703" s="27" t="s">
        <v>7</v>
      </c>
      <c r="GS703" s="27" t="s">
        <v>8</v>
      </c>
      <c r="GT703" s="27" t="s">
        <v>7</v>
      </c>
      <c r="GU703" s="27" t="s">
        <v>8</v>
      </c>
      <c r="GV703" s="27" t="s">
        <v>7</v>
      </c>
      <c r="GW703" s="27" t="s">
        <v>8</v>
      </c>
      <c r="HH703" s="27" t="s">
        <v>7</v>
      </c>
      <c r="HT703" s="27" t="s">
        <v>7</v>
      </c>
      <c r="HU703" s="27" t="s">
        <v>8</v>
      </c>
      <c r="HZ703" s="27" t="s">
        <v>7</v>
      </c>
      <c r="IA703" s="27" t="s">
        <v>8</v>
      </c>
      <c r="JD703" s="27" t="s">
        <v>7</v>
      </c>
      <c r="JE703" s="27" t="s">
        <v>8</v>
      </c>
      <c r="JF703" s="27" t="s">
        <v>7</v>
      </c>
      <c r="JQ703" s="27" t="s">
        <v>8</v>
      </c>
      <c r="JR703" s="27" t="s">
        <v>7</v>
      </c>
      <c r="JW703" s="27" t="s">
        <v>8</v>
      </c>
      <c r="JX703" s="27" t="s">
        <v>7</v>
      </c>
      <c r="JY703" s="27" t="s">
        <v>8</v>
      </c>
      <c r="JZ703" s="27" t="s">
        <v>7</v>
      </c>
      <c r="KA703" s="27" t="s">
        <v>8</v>
      </c>
      <c r="KB703" s="27" t="s">
        <v>7</v>
      </c>
    </row>
    <row r="704" spans="1:288" x14ac:dyDescent="0.25">
      <c r="A704" s="7">
        <v>9.8577977558580512E-2</v>
      </c>
      <c r="B704"/>
      <c r="C704"/>
      <c r="D704"/>
      <c r="E704"/>
      <c r="F704" s="27" t="s">
        <v>7</v>
      </c>
      <c r="G704" s="27" t="s">
        <v>8</v>
      </c>
      <c r="T704" s="27" t="s">
        <v>7</v>
      </c>
      <c r="DA704" s="27" t="s">
        <v>8</v>
      </c>
      <c r="DB704" s="27" t="s">
        <v>7</v>
      </c>
      <c r="DC704" s="27" t="s">
        <v>8</v>
      </c>
      <c r="DH704" s="27" t="s">
        <v>7</v>
      </c>
      <c r="DI704" s="27" t="s">
        <v>8</v>
      </c>
      <c r="DJ704" s="27" t="s">
        <v>7</v>
      </c>
      <c r="DK704" s="27" t="s">
        <v>8</v>
      </c>
      <c r="DL704" s="27" t="s">
        <v>7</v>
      </c>
      <c r="DM704" s="27" t="s">
        <v>8</v>
      </c>
      <c r="DN704" s="27" t="s">
        <v>7</v>
      </c>
      <c r="DO704" s="27" t="s">
        <v>8</v>
      </c>
      <c r="FF704" s="27" t="s">
        <v>7</v>
      </c>
      <c r="FG704" s="27" t="s">
        <v>8</v>
      </c>
      <c r="FH704" s="27" t="s">
        <v>7</v>
      </c>
      <c r="FI704" s="27" t="s">
        <v>8</v>
      </c>
      <c r="FQ704" s="27" t="s">
        <v>8</v>
      </c>
      <c r="FR704" s="27" t="s">
        <v>7</v>
      </c>
      <c r="GS704" s="27" t="s">
        <v>8</v>
      </c>
      <c r="GT704" s="27" t="s">
        <v>7</v>
      </c>
      <c r="GU704" s="27" t="s">
        <v>8</v>
      </c>
      <c r="GV704" s="27" t="s">
        <v>7</v>
      </c>
      <c r="GW704" s="27" t="s">
        <v>8</v>
      </c>
      <c r="HT704" s="27" t="s">
        <v>7</v>
      </c>
      <c r="HZ704" s="27" t="s">
        <v>7</v>
      </c>
      <c r="JD704" s="27" t="s">
        <v>7</v>
      </c>
      <c r="JE704" s="27" t="s">
        <v>8</v>
      </c>
      <c r="JF704" s="27" t="s">
        <v>7</v>
      </c>
      <c r="JG704" s="27" t="s">
        <v>8</v>
      </c>
      <c r="JO704" s="27" t="s">
        <v>8</v>
      </c>
      <c r="JQ704" s="27" t="s">
        <v>8</v>
      </c>
      <c r="JR704" s="27" t="s">
        <v>7</v>
      </c>
      <c r="JW704" s="27" t="s">
        <v>8</v>
      </c>
      <c r="JX704" s="27" t="s">
        <v>7</v>
      </c>
      <c r="JY704" s="27" t="s">
        <v>8</v>
      </c>
      <c r="JZ704" s="27" t="s">
        <v>7</v>
      </c>
      <c r="KA704" s="27" t="s">
        <v>8</v>
      </c>
      <c r="KB704" s="27" t="s">
        <v>7</v>
      </c>
    </row>
    <row r="705" spans="1:294" x14ac:dyDescent="0.25">
      <c r="A705" s="7">
        <v>9.6645076037824032E-2</v>
      </c>
      <c r="B705"/>
      <c r="C705"/>
      <c r="D705"/>
      <c r="E705"/>
      <c r="F705" s="27" t="s">
        <v>7</v>
      </c>
      <c r="G705" s="27" t="s">
        <v>8</v>
      </c>
      <c r="T705" s="27" t="s">
        <v>7</v>
      </c>
      <c r="CY705" s="27" t="s">
        <v>8</v>
      </c>
      <c r="DA705" s="27" t="s">
        <v>8</v>
      </c>
      <c r="DB705" s="27" t="s">
        <v>7</v>
      </c>
      <c r="DC705" s="27" t="s">
        <v>8</v>
      </c>
      <c r="DH705" s="27" t="s">
        <v>7</v>
      </c>
      <c r="DI705" s="27" t="s">
        <v>8</v>
      </c>
      <c r="DJ705" s="27" t="s">
        <v>7</v>
      </c>
      <c r="DL705" s="27" t="s">
        <v>7</v>
      </c>
      <c r="DM705" s="27" t="s">
        <v>8</v>
      </c>
      <c r="DN705" s="27" t="s">
        <v>7</v>
      </c>
      <c r="FF705" s="27" t="s">
        <v>7</v>
      </c>
      <c r="FG705" s="27" t="s">
        <v>8</v>
      </c>
      <c r="FH705" s="27" t="s">
        <v>7</v>
      </c>
      <c r="FI705" s="27" t="s">
        <v>8</v>
      </c>
      <c r="FJ705" s="27" t="s">
        <v>7</v>
      </c>
      <c r="FQ705" s="27" t="s">
        <v>8</v>
      </c>
      <c r="FR705" s="27" t="s">
        <v>7</v>
      </c>
      <c r="GQ705" s="27" t="s">
        <v>8</v>
      </c>
      <c r="GS705" s="27" t="s">
        <v>8</v>
      </c>
      <c r="GT705" s="27" t="s">
        <v>7</v>
      </c>
      <c r="GU705" s="27" t="s">
        <v>8</v>
      </c>
      <c r="GV705" s="27" t="s">
        <v>7</v>
      </c>
      <c r="JD705" s="27" t="s">
        <v>7</v>
      </c>
      <c r="JE705" s="27" t="s">
        <v>8</v>
      </c>
      <c r="JF705" s="27" t="s">
        <v>7</v>
      </c>
      <c r="JG705" s="27" t="s">
        <v>8</v>
      </c>
      <c r="JH705" s="27" t="s">
        <v>7</v>
      </c>
      <c r="JI705" s="27" t="s">
        <v>8</v>
      </c>
      <c r="JO705" s="27" t="s">
        <v>8</v>
      </c>
      <c r="JP705" s="27" t="s">
        <v>7</v>
      </c>
      <c r="JQ705" s="27" t="s">
        <v>8</v>
      </c>
      <c r="JR705" s="27" t="s">
        <v>7</v>
      </c>
      <c r="JU705" s="27" t="s">
        <v>8</v>
      </c>
      <c r="JW705" s="27" t="s">
        <v>8</v>
      </c>
      <c r="JX705" s="27" t="s">
        <v>7</v>
      </c>
      <c r="JY705" s="27" t="s">
        <v>8</v>
      </c>
      <c r="JZ705" s="27" t="s">
        <v>7</v>
      </c>
      <c r="KA705" s="27" t="s">
        <v>8</v>
      </c>
      <c r="KB705" s="27" t="s">
        <v>7</v>
      </c>
      <c r="KC705" s="27" t="s">
        <v>8</v>
      </c>
    </row>
    <row r="706" spans="1:294" x14ac:dyDescent="0.25">
      <c r="A706" s="7">
        <v>9.4750074546886304E-2</v>
      </c>
      <c r="B706"/>
      <c r="C706"/>
      <c r="D706"/>
      <c r="E706"/>
      <c r="F706" s="27" t="s">
        <v>7</v>
      </c>
      <c r="T706" s="27" t="s">
        <v>7</v>
      </c>
      <c r="AC706" s="27" t="s">
        <v>8</v>
      </c>
      <c r="CY706" s="27" t="s">
        <v>8</v>
      </c>
      <c r="CZ706" s="27" t="s">
        <v>7</v>
      </c>
      <c r="DA706" s="27" t="s">
        <v>8</v>
      </c>
      <c r="DB706" s="27" t="s">
        <v>7</v>
      </c>
      <c r="DC706" s="27" t="s">
        <v>8</v>
      </c>
      <c r="DH706" s="27" t="s">
        <v>7</v>
      </c>
      <c r="DI706" s="27" t="s">
        <v>8</v>
      </c>
      <c r="DL706" s="27" t="s">
        <v>7</v>
      </c>
      <c r="DM706" s="27" t="s">
        <v>8</v>
      </c>
      <c r="FF706" s="27" t="s">
        <v>7</v>
      </c>
      <c r="FG706" s="27" t="s">
        <v>8</v>
      </c>
      <c r="FH706" s="27" t="s">
        <v>7</v>
      </c>
      <c r="FI706" s="27" t="s">
        <v>8</v>
      </c>
      <c r="FJ706" s="27" t="s">
        <v>7</v>
      </c>
      <c r="FK706" s="27" t="s">
        <v>8</v>
      </c>
      <c r="FQ706" s="27" t="s">
        <v>8</v>
      </c>
      <c r="FR706" s="27" t="s">
        <v>7</v>
      </c>
      <c r="FW706" s="27" t="s">
        <v>8</v>
      </c>
      <c r="GQ706" s="27" t="s">
        <v>8</v>
      </c>
      <c r="GR706" s="27" t="s">
        <v>7</v>
      </c>
      <c r="GS706" s="27" t="s">
        <v>8</v>
      </c>
      <c r="GT706" s="27" t="s">
        <v>7</v>
      </c>
      <c r="GU706" s="27" t="s">
        <v>8</v>
      </c>
      <c r="JD706" s="27" t="s">
        <v>7</v>
      </c>
      <c r="JE706" s="27" t="s">
        <v>8</v>
      </c>
      <c r="JF706" s="27" t="s">
        <v>7</v>
      </c>
      <c r="JG706" s="27" t="s">
        <v>8</v>
      </c>
      <c r="JH706" s="27" t="s">
        <v>7</v>
      </c>
      <c r="JI706" s="27" t="s">
        <v>8</v>
      </c>
      <c r="JJ706" s="27" t="s">
        <v>7</v>
      </c>
      <c r="JO706" s="27" t="s">
        <v>8</v>
      </c>
      <c r="JP706" s="27" t="s">
        <v>7</v>
      </c>
      <c r="JQ706" s="27" t="s">
        <v>8</v>
      </c>
      <c r="JR706" s="27" t="s">
        <v>7</v>
      </c>
      <c r="JU706" s="27" t="s">
        <v>8</v>
      </c>
      <c r="JV706" s="27" t="s">
        <v>7</v>
      </c>
      <c r="JW706" s="27" t="s">
        <v>8</v>
      </c>
      <c r="JX706" s="27" t="s">
        <v>7</v>
      </c>
      <c r="JY706" s="27" t="s">
        <v>8</v>
      </c>
      <c r="JZ706" s="27" t="s">
        <v>7</v>
      </c>
      <c r="KA706" s="27" t="s">
        <v>8</v>
      </c>
      <c r="KB706" s="27" t="s">
        <v>7</v>
      </c>
      <c r="KC706" s="27" t="s">
        <v>8</v>
      </c>
      <c r="KD706" s="27" t="s">
        <v>7</v>
      </c>
    </row>
    <row r="707" spans="1:294" x14ac:dyDescent="0.25">
      <c r="A707" s="7">
        <v>9.2892229947927743E-2</v>
      </c>
      <c r="B707"/>
      <c r="C707"/>
      <c r="D707"/>
      <c r="E707"/>
      <c r="T707" s="27" t="s">
        <v>7</v>
      </c>
      <c r="AC707" s="27" t="s">
        <v>8</v>
      </c>
      <c r="AD707" s="27" t="s">
        <v>7</v>
      </c>
      <c r="CY707" s="27" t="s">
        <v>8</v>
      </c>
      <c r="CZ707" s="27" t="s">
        <v>7</v>
      </c>
      <c r="DA707" s="27" t="s">
        <v>8</v>
      </c>
      <c r="DB707" s="27" t="s">
        <v>7</v>
      </c>
      <c r="DC707" s="27" t="s">
        <v>8</v>
      </c>
      <c r="DH707" s="27" t="s">
        <v>7</v>
      </c>
      <c r="DI707" s="27" t="s">
        <v>8</v>
      </c>
      <c r="DL707" s="27" t="s">
        <v>7</v>
      </c>
      <c r="DM707" s="27" t="s">
        <v>8</v>
      </c>
      <c r="FF707" s="27" t="s">
        <v>7</v>
      </c>
      <c r="FG707" s="27" t="s">
        <v>8</v>
      </c>
      <c r="FH707" s="27" t="s">
        <v>7</v>
      </c>
      <c r="FI707" s="27" t="s">
        <v>8</v>
      </c>
      <c r="FJ707" s="27" t="s">
        <v>7</v>
      </c>
      <c r="FK707" s="27" t="s">
        <v>8</v>
      </c>
      <c r="FL707" s="27" t="s">
        <v>7</v>
      </c>
      <c r="FQ707" s="27" t="s">
        <v>8</v>
      </c>
      <c r="FR707" s="27" t="s">
        <v>7</v>
      </c>
      <c r="FS707" s="27" t="s">
        <v>8</v>
      </c>
      <c r="FW707" s="27" t="s">
        <v>8</v>
      </c>
      <c r="FX707" s="27" t="s">
        <v>7</v>
      </c>
      <c r="GQ707" s="27" t="s">
        <v>8</v>
      </c>
      <c r="GR707" s="27" t="s">
        <v>7</v>
      </c>
      <c r="GS707" s="27" t="s">
        <v>8</v>
      </c>
      <c r="GT707" s="27" t="s">
        <v>7</v>
      </c>
      <c r="GU707" s="27" t="s">
        <v>8</v>
      </c>
      <c r="JD707" s="27" t="s">
        <v>7</v>
      </c>
      <c r="JE707" s="27" t="s">
        <v>8</v>
      </c>
      <c r="JF707" s="27" t="s">
        <v>7</v>
      </c>
      <c r="JG707" s="27" t="s">
        <v>8</v>
      </c>
      <c r="JH707" s="27" t="s">
        <v>7</v>
      </c>
      <c r="JI707" s="27" t="s">
        <v>8</v>
      </c>
      <c r="JJ707" s="27" t="s">
        <v>7</v>
      </c>
      <c r="JO707" s="27" t="s">
        <v>8</v>
      </c>
      <c r="JP707" s="27" t="s">
        <v>7</v>
      </c>
      <c r="JR707" s="27" t="s">
        <v>7</v>
      </c>
      <c r="JU707" s="27" t="s">
        <v>8</v>
      </c>
      <c r="JV707" s="27" t="s">
        <v>7</v>
      </c>
      <c r="JW707" s="27" t="s">
        <v>8</v>
      </c>
      <c r="JX707" s="27" t="s">
        <v>7</v>
      </c>
      <c r="JY707" s="27" t="s">
        <v>8</v>
      </c>
      <c r="JZ707" s="27" t="s">
        <v>7</v>
      </c>
      <c r="KA707" s="27" t="s">
        <v>8</v>
      </c>
      <c r="KB707" s="27" t="s">
        <v>7</v>
      </c>
      <c r="KC707" s="27" t="s">
        <v>8</v>
      </c>
      <c r="KD707" s="27" t="s">
        <v>7</v>
      </c>
    </row>
    <row r="708" spans="1:294" x14ac:dyDescent="0.25">
      <c r="A708" s="7">
        <v>9.1070813674438963E-2</v>
      </c>
      <c r="B708"/>
      <c r="C708"/>
      <c r="D708"/>
      <c r="E708"/>
      <c r="T708" s="27" t="s">
        <v>7</v>
      </c>
      <c r="AC708" s="27" t="s">
        <v>8</v>
      </c>
      <c r="AD708" s="27" t="s">
        <v>7</v>
      </c>
      <c r="CY708" s="27" t="s">
        <v>8</v>
      </c>
      <c r="CZ708" s="27" t="s">
        <v>7</v>
      </c>
      <c r="DA708" s="27" t="s">
        <v>8</v>
      </c>
      <c r="DB708" s="27" t="s">
        <v>7</v>
      </c>
      <c r="DH708" s="27" t="s">
        <v>7</v>
      </c>
      <c r="DI708" s="27" t="s">
        <v>8</v>
      </c>
      <c r="DL708" s="27" t="s">
        <v>7</v>
      </c>
      <c r="DM708" s="27" t="s">
        <v>8</v>
      </c>
      <c r="FF708" s="27" t="s">
        <v>7</v>
      </c>
      <c r="FG708" s="27" t="s">
        <v>8</v>
      </c>
      <c r="FH708" s="27" t="s">
        <v>7</v>
      </c>
      <c r="FI708" s="27" t="s">
        <v>8</v>
      </c>
      <c r="FJ708" s="27" t="s">
        <v>7</v>
      </c>
      <c r="FK708" s="27" t="s">
        <v>8</v>
      </c>
      <c r="FL708" s="27" t="s">
        <v>7</v>
      </c>
      <c r="FQ708" s="27" t="s">
        <v>8</v>
      </c>
      <c r="FR708" s="27" t="s">
        <v>7</v>
      </c>
      <c r="FS708" s="27" t="s">
        <v>8</v>
      </c>
      <c r="FT708" s="27" t="s">
        <v>7</v>
      </c>
      <c r="FW708" s="27" t="s">
        <v>8</v>
      </c>
      <c r="FX708" s="27" t="s">
        <v>7</v>
      </c>
      <c r="GQ708" s="27" t="s">
        <v>8</v>
      </c>
      <c r="GR708" s="27" t="s">
        <v>7</v>
      </c>
      <c r="GS708" s="27" t="s">
        <v>8</v>
      </c>
      <c r="GT708" s="27" t="s">
        <v>7</v>
      </c>
      <c r="JD708" s="27" t="s">
        <v>7</v>
      </c>
      <c r="JE708" s="27" t="s">
        <v>8</v>
      </c>
      <c r="JF708" s="27" t="s">
        <v>7</v>
      </c>
      <c r="JG708" s="27" t="s">
        <v>8</v>
      </c>
      <c r="JH708" s="27" t="s">
        <v>7</v>
      </c>
      <c r="JI708" s="27" t="s">
        <v>8</v>
      </c>
      <c r="JJ708" s="27" t="s">
        <v>7</v>
      </c>
      <c r="JM708" s="27" t="s">
        <v>8</v>
      </c>
      <c r="JO708" s="27" t="s">
        <v>8</v>
      </c>
      <c r="JR708" s="27" t="s">
        <v>7</v>
      </c>
      <c r="JU708" s="27" t="s">
        <v>8</v>
      </c>
      <c r="JV708" s="27" t="s">
        <v>7</v>
      </c>
      <c r="JW708" s="27" t="s">
        <v>8</v>
      </c>
      <c r="JX708" s="27" t="s">
        <v>7</v>
      </c>
      <c r="JY708" s="27" t="s">
        <v>8</v>
      </c>
      <c r="JZ708" s="27" t="s">
        <v>7</v>
      </c>
      <c r="KB708" s="27" t="s">
        <v>7</v>
      </c>
      <c r="KC708" s="27" t="s">
        <v>8</v>
      </c>
      <c r="KD708" s="27" t="s">
        <v>7</v>
      </c>
    </row>
    <row r="709" spans="1:294" x14ac:dyDescent="0.25">
      <c r="A709" s="7">
        <v>8.9285111445528392E-2</v>
      </c>
      <c r="B709"/>
      <c r="C709"/>
      <c r="D709"/>
      <c r="E709"/>
      <c r="T709" s="27" t="s">
        <v>7</v>
      </c>
      <c r="AC709" s="27" t="s">
        <v>8</v>
      </c>
      <c r="AD709" s="27" t="s">
        <v>7</v>
      </c>
      <c r="CY709" s="27" t="s">
        <v>8</v>
      </c>
      <c r="CZ709" s="27" t="s">
        <v>7</v>
      </c>
      <c r="DA709" s="27" t="s">
        <v>8</v>
      </c>
      <c r="DH709" s="27" t="s">
        <v>7</v>
      </c>
      <c r="DL709" s="27" t="s">
        <v>7</v>
      </c>
      <c r="FF709" s="27" t="s">
        <v>7</v>
      </c>
      <c r="FG709" s="27" t="s">
        <v>8</v>
      </c>
      <c r="FH709" s="27" t="s">
        <v>7</v>
      </c>
      <c r="FI709" s="27" t="s">
        <v>8</v>
      </c>
      <c r="FJ709" s="27" t="s">
        <v>7</v>
      </c>
      <c r="FK709" s="27" t="s">
        <v>8</v>
      </c>
      <c r="FL709" s="27" t="s">
        <v>7</v>
      </c>
      <c r="FO709" s="27" t="s">
        <v>8</v>
      </c>
      <c r="FQ709" s="27" t="s">
        <v>8</v>
      </c>
      <c r="FR709" s="27" t="s">
        <v>7</v>
      </c>
      <c r="FS709" s="27" t="s">
        <v>8</v>
      </c>
      <c r="FT709" s="27" t="s">
        <v>7</v>
      </c>
      <c r="FU709" s="27" t="s">
        <v>8</v>
      </c>
      <c r="FW709" s="27" t="s">
        <v>8</v>
      </c>
      <c r="FX709" s="27" t="s">
        <v>7</v>
      </c>
      <c r="GQ709" s="27" t="s">
        <v>8</v>
      </c>
      <c r="GR709" s="27" t="s">
        <v>7</v>
      </c>
      <c r="GS709" s="27" t="s">
        <v>8</v>
      </c>
      <c r="JD709" s="27" t="s">
        <v>7</v>
      </c>
      <c r="JE709" s="27" t="s">
        <v>8</v>
      </c>
      <c r="JF709" s="27" t="s">
        <v>7</v>
      </c>
      <c r="JG709" s="27" t="s">
        <v>8</v>
      </c>
      <c r="JH709" s="27" t="s">
        <v>7</v>
      </c>
      <c r="JI709" s="27" t="s">
        <v>8</v>
      </c>
      <c r="JJ709" s="27" t="s">
        <v>7</v>
      </c>
      <c r="JM709" s="27" t="s">
        <v>8</v>
      </c>
      <c r="JN709" s="27" t="s">
        <v>7</v>
      </c>
      <c r="JO709" s="27" t="s">
        <v>8</v>
      </c>
      <c r="JR709" s="27" t="s">
        <v>7</v>
      </c>
      <c r="JU709" s="27" t="s">
        <v>8</v>
      </c>
      <c r="JV709" s="27" t="s">
        <v>7</v>
      </c>
      <c r="JW709" s="27" t="s">
        <v>8</v>
      </c>
      <c r="JX709" s="27" t="s">
        <v>7</v>
      </c>
      <c r="JY709" s="27" t="s">
        <v>8</v>
      </c>
      <c r="KB709" s="27" t="s">
        <v>7</v>
      </c>
      <c r="KC709" s="27" t="s">
        <v>8</v>
      </c>
      <c r="KD709" s="27" t="s">
        <v>7</v>
      </c>
    </row>
    <row r="710" spans="1:294" x14ac:dyDescent="0.25">
      <c r="A710" s="7">
        <v>8.7534422985812155E-2</v>
      </c>
      <c r="B710"/>
      <c r="C710"/>
      <c r="D710"/>
      <c r="E710"/>
      <c r="T710" s="27" t="s">
        <v>7</v>
      </c>
      <c r="AC710" s="27" t="s">
        <v>8</v>
      </c>
      <c r="AD710" s="27" t="s">
        <v>7</v>
      </c>
      <c r="CY710" s="27" t="s">
        <v>8</v>
      </c>
      <c r="CZ710" s="27" t="s">
        <v>7</v>
      </c>
      <c r="DA710" s="27" t="s">
        <v>8</v>
      </c>
      <c r="FF710" s="27" t="s">
        <v>7</v>
      </c>
      <c r="FG710" s="27" t="s">
        <v>8</v>
      </c>
      <c r="FH710" s="27" t="s">
        <v>7</v>
      </c>
      <c r="FI710" s="27" t="s">
        <v>8</v>
      </c>
      <c r="FJ710" s="27" t="s">
        <v>7</v>
      </c>
      <c r="FK710" s="27" t="s">
        <v>8</v>
      </c>
      <c r="FL710" s="27" t="s">
        <v>7</v>
      </c>
      <c r="FO710" s="27" t="s">
        <v>8</v>
      </c>
      <c r="FP710" s="27" t="s">
        <v>7</v>
      </c>
      <c r="FQ710" s="27" t="s">
        <v>8</v>
      </c>
      <c r="FR710" s="27" t="s">
        <v>7</v>
      </c>
      <c r="FS710" s="27" t="s">
        <v>8</v>
      </c>
      <c r="FT710" s="27" t="s">
        <v>7</v>
      </c>
      <c r="FU710" s="27" t="s">
        <v>8</v>
      </c>
      <c r="FV710" s="27" t="s">
        <v>7</v>
      </c>
      <c r="FW710" s="27" t="s">
        <v>8</v>
      </c>
      <c r="FX710" s="27" t="s">
        <v>7</v>
      </c>
      <c r="GE710" s="27" t="s">
        <v>8</v>
      </c>
      <c r="GQ710" s="27" t="s">
        <v>8</v>
      </c>
      <c r="GR710" s="27" t="s">
        <v>7</v>
      </c>
      <c r="GS710" s="27" t="s">
        <v>8</v>
      </c>
      <c r="JD710" s="27" t="s">
        <v>7</v>
      </c>
      <c r="JE710" s="27" t="s">
        <v>8</v>
      </c>
      <c r="JF710" s="27" t="s">
        <v>7</v>
      </c>
      <c r="JG710" s="27" t="s">
        <v>8</v>
      </c>
      <c r="JH710" s="27" t="s">
        <v>7</v>
      </c>
      <c r="JI710" s="27" t="s">
        <v>8</v>
      </c>
      <c r="JJ710" s="27" t="s">
        <v>7</v>
      </c>
      <c r="JK710" s="27" t="s">
        <v>8</v>
      </c>
      <c r="JM710" s="27" t="s">
        <v>8</v>
      </c>
      <c r="JN710" s="27" t="s">
        <v>7</v>
      </c>
      <c r="JO710" s="27" t="s">
        <v>8</v>
      </c>
      <c r="JR710" s="27" t="s">
        <v>7</v>
      </c>
      <c r="JS710" s="27" t="s">
        <v>8</v>
      </c>
      <c r="JU710" s="27" t="s">
        <v>8</v>
      </c>
      <c r="JV710" s="27" t="s">
        <v>7</v>
      </c>
      <c r="JW710" s="27" t="s">
        <v>8</v>
      </c>
      <c r="JX710" s="27" t="s">
        <v>7</v>
      </c>
      <c r="JY710" s="27" t="s">
        <v>8</v>
      </c>
      <c r="KB710" s="27" t="s">
        <v>7</v>
      </c>
      <c r="KC710" s="27" t="s">
        <v>8</v>
      </c>
      <c r="KD710" s="27" t="s">
        <v>7</v>
      </c>
    </row>
    <row r="711" spans="1:294" x14ac:dyDescent="0.25">
      <c r="A711" s="7">
        <v>8.5818061750796232E-2</v>
      </c>
      <c r="B711"/>
      <c r="C711"/>
      <c r="D711"/>
      <c r="E711"/>
      <c r="T711" s="27" t="s">
        <v>7</v>
      </c>
      <c r="AC711" s="27" t="s">
        <v>8</v>
      </c>
      <c r="AD711" s="27" t="s">
        <v>7</v>
      </c>
      <c r="CY711" s="27" t="s">
        <v>8</v>
      </c>
      <c r="CZ711" s="27" t="s">
        <v>7</v>
      </c>
      <c r="DA711" s="27" t="s">
        <v>8</v>
      </c>
      <c r="FF711" s="27" t="s">
        <v>7</v>
      </c>
      <c r="FG711" s="27" t="s">
        <v>8</v>
      </c>
      <c r="FH711" s="27" t="s">
        <v>7</v>
      </c>
      <c r="FI711" s="27" t="s">
        <v>8</v>
      </c>
      <c r="FJ711" s="27" t="s">
        <v>7</v>
      </c>
      <c r="FK711" s="27" t="s">
        <v>8</v>
      </c>
      <c r="FL711" s="27" t="s">
        <v>7</v>
      </c>
      <c r="FM711" s="27" t="s">
        <v>8</v>
      </c>
      <c r="FO711" s="27" t="s">
        <v>8</v>
      </c>
      <c r="FP711" s="27" t="s">
        <v>7</v>
      </c>
      <c r="FQ711" s="27" t="s">
        <v>8</v>
      </c>
      <c r="FR711" s="27" t="s">
        <v>7</v>
      </c>
      <c r="FS711" s="27" t="s">
        <v>8</v>
      </c>
      <c r="FT711" s="27" t="s">
        <v>7</v>
      </c>
      <c r="FU711" s="27" t="s">
        <v>8</v>
      </c>
      <c r="FV711" s="27" t="s">
        <v>7</v>
      </c>
      <c r="FW711" s="27" t="s">
        <v>8</v>
      </c>
      <c r="FX711" s="27" t="s">
        <v>7</v>
      </c>
      <c r="GC711" s="27" t="s">
        <v>8</v>
      </c>
      <c r="GE711" s="27" t="s">
        <v>8</v>
      </c>
      <c r="GF711" s="27" t="s">
        <v>7</v>
      </c>
      <c r="GQ711" s="27" t="s">
        <v>8</v>
      </c>
      <c r="GR711" s="27" t="s">
        <v>7</v>
      </c>
      <c r="GS711" s="27" t="s">
        <v>8</v>
      </c>
      <c r="JD711" s="27" t="s">
        <v>7</v>
      </c>
      <c r="JE711" s="27" t="s">
        <v>8</v>
      </c>
      <c r="JF711" s="27" t="s">
        <v>7</v>
      </c>
      <c r="JH711" s="27" t="s">
        <v>7</v>
      </c>
      <c r="JJ711" s="27" t="s">
        <v>7</v>
      </c>
      <c r="JK711" s="27" t="s">
        <v>8</v>
      </c>
      <c r="JL711" s="27" t="s">
        <v>7</v>
      </c>
      <c r="JM711" s="27" t="s">
        <v>8</v>
      </c>
      <c r="JN711" s="27" t="s">
        <v>7</v>
      </c>
      <c r="JO711" s="27" t="s">
        <v>8</v>
      </c>
      <c r="JR711" s="27" t="s">
        <v>7</v>
      </c>
      <c r="JS711" s="27" t="s">
        <v>8</v>
      </c>
      <c r="JT711" s="27" t="s">
        <v>7</v>
      </c>
      <c r="JU711" s="27" t="s">
        <v>8</v>
      </c>
      <c r="JV711" s="27" t="s">
        <v>7</v>
      </c>
      <c r="JW711" s="27" t="s">
        <v>8</v>
      </c>
      <c r="JX711" s="27" t="s">
        <v>7</v>
      </c>
      <c r="JY711" s="27" t="s">
        <v>8</v>
      </c>
      <c r="KB711" s="27" t="s">
        <v>7</v>
      </c>
      <c r="KC711" s="27" t="s">
        <v>8</v>
      </c>
      <c r="KD711" s="27" t="s">
        <v>7</v>
      </c>
    </row>
    <row r="712" spans="1:294" x14ac:dyDescent="0.25">
      <c r="A712" s="7">
        <v>8.4135354657643366E-2</v>
      </c>
      <c r="B712"/>
      <c r="C712"/>
      <c r="D712"/>
      <c r="E712"/>
      <c r="T712" s="27" t="s">
        <v>7</v>
      </c>
      <c r="AC712" s="27" t="s">
        <v>8</v>
      </c>
      <c r="AD712" s="27" t="s">
        <v>7</v>
      </c>
      <c r="CY712" s="27" t="s">
        <v>8</v>
      </c>
      <c r="CZ712" s="27" t="s">
        <v>7</v>
      </c>
      <c r="DA712" s="27" t="s">
        <v>8</v>
      </c>
      <c r="FF712" s="27" t="s">
        <v>7</v>
      </c>
      <c r="FG712" s="27" t="s">
        <v>8</v>
      </c>
      <c r="FH712" s="27" t="s">
        <v>7</v>
      </c>
      <c r="FI712" s="27" t="s">
        <v>8</v>
      </c>
      <c r="FJ712" s="27" t="s">
        <v>7</v>
      </c>
      <c r="FK712" s="27" t="s">
        <v>8</v>
      </c>
      <c r="FL712" s="27" t="s">
        <v>7</v>
      </c>
      <c r="FM712" s="27" t="s">
        <v>8</v>
      </c>
      <c r="FN712" s="27" t="s">
        <v>7</v>
      </c>
      <c r="FO712" s="27" t="s">
        <v>8</v>
      </c>
      <c r="FP712" s="27" t="s">
        <v>7</v>
      </c>
      <c r="FQ712" s="27" t="s">
        <v>8</v>
      </c>
      <c r="FR712" s="27" t="s">
        <v>7</v>
      </c>
      <c r="FS712" s="27" t="s">
        <v>8</v>
      </c>
      <c r="FT712" s="27" t="s">
        <v>7</v>
      </c>
      <c r="FU712" s="27" t="s">
        <v>8</v>
      </c>
      <c r="FV712" s="27" t="s">
        <v>7</v>
      </c>
      <c r="FX712" s="27" t="s">
        <v>7</v>
      </c>
      <c r="GC712" s="27" t="s">
        <v>8</v>
      </c>
      <c r="GD712" s="27" t="s">
        <v>7</v>
      </c>
      <c r="GE712" s="27" t="s">
        <v>8</v>
      </c>
      <c r="GF712" s="27" t="s">
        <v>7</v>
      </c>
      <c r="GQ712" s="27" t="s">
        <v>8</v>
      </c>
      <c r="GR712" s="27" t="s">
        <v>7</v>
      </c>
      <c r="JD712" s="27" t="s">
        <v>7</v>
      </c>
      <c r="JE712" s="27" t="s">
        <v>8</v>
      </c>
      <c r="JJ712" s="27" t="s">
        <v>7</v>
      </c>
      <c r="JK712" s="27" t="s">
        <v>8</v>
      </c>
      <c r="JL712" s="27" t="s">
        <v>7</v>
      </c>
      <c r="JM712" s="27" t="s">
        <v>8</v>
      </c>
      <c r="JN712" s="27" t="s">
        <v>7</v>
      </c>
      <c r="JO712" s="27" t="s">
        <v>8</v>
      </c>
      <c r="JR712" s="27" t="s">
        <v>7</v>
      </c>
      <c r="JS712" s="27" t="s">
        <v>8</v>
      </c>
      <c r="JT712" s="27" t="s">
        <v>7</v>
      </c>
      <c r="JU712" s="27" t="s">
        <v>8</v>
      </c>
      <c r="JV712" s="27" t="s">
        <v>7</v>
      </c>
      <c r="JW712" s="27" t="s">
        <v>8</v>
      </c>
      <c r="JX712" s="27" t="s">
        <v>7</v>
      </c>
      <c r="JY712" s="27" t="s">
        <v>8</v>
      </c>
      <c r="KB712" s="27" t="s">
        <v>7</v>
      </c>
      <c r="KC712" s="27" t="s">
        <v>8</v>
      </c>
      <c r="KD712" s="27" t="s">
        <v>7</v>
      </c>
    </row>
    <row r="713" spans="1:294" x14ac:dyDescent="0.25">
      <c r="A713" s="7">
        <v>8.248564182121898E-2</v>
      </c>
      <c r="B713"/>
      <c r="C713"/>
      <c r="D713"/>
      <c r="E713"/>
      <c r="T713" s="27" t="s">
        <v>7</v>
      </c>
      <c r="AC713" s="27" t="s">
        <v>8</v>
      </c>
      <c r="AD713" s="27" t="s">
        <v>7</v>
      </c>
      <c r="CY713" s="27" t="s">
        <v>8</v>
      </c>
      <c r="CZ713" s="27" t="s">
        <v>7</v>
      </c>
      <c r="DA713" s="27" t="s">
        <v>8</v>
      </c>
      <c r="FF713" s="27" t="s">
        <v>7</v>
      </c>
      <c r="FG713" s="27" t="s">
        <v>8</v>
      </c>
      <c r="FH713" s="27" t="s">
        <v>7</v>
      </c>
      <c r="FI713" s="27" t="s">
        <v>8</v>
      </c>
      <c r="FJ713" s="27" t="s">
        <v>7</v>
      </c>
      <c r="FK713" s="27" t="s">
        <v>8</v>
      </c>
      <c r="FL713" s="27" t="s">
        <v>7</v>
      </c>
      <c r="FM713" s="27" t="s">
        <v>8</v>
      </c>
      <c r="FN713" s="27" t="s">
        <v>7</v>
      </c>
      <c r="FO713" s="27" t="s">
        <v>8</v>
      </c>
      <c r="FP713" s="27" t="s">
        <v>7</v>
      </c>
      <c r="FQ713" s="27" t="s">
        <v>8</v>
      </c>
      <c r="FR713" s="27" t="s">
        <v>7</v>
      </c>
      <c r="FS713" s="27" t="s">
        <v>8</v>
      </c>
      <c r="FT713" s="27" t="s">
        <v>7</v>
      </c>
      <c r="FU713" s="27" t="s">
        <v>8</v>
      </c>
      <c r="FX713" s="27" t="s">
        <v>7</v>
      </c>
      <c r="GC713" s="27" t="s">
        <v>8</v>
      </c>
      <c r="GD713" s="27" t="s">
        <v>7</v>
      </c>
      <c r="GE713" s="27" t="s">
        <v>8</v>
      </c>
      <c r="GF713" s="27" t="s">
        <v>7</v>
      </c>
      <c r="GI713" s="27" t="s">
        <v>8</v>
      </c>
      <c r="GQ713" s="27" t="s">
        <v>8</v>
      </c>
      <c r="JD713" s="27" t="s">
        <v>7</v>
      </c>
      <c r="JJ713" s="27" t="s">
        <v>7</v>
      </c>
      <c r="JK713" s="27" t="s">
        <v>8</v>
      </c>
      <c r="JL713" s="27" t="s">
        <v>7</v>
      </c>
      <c r="JM713" s="27" t="s">
        <v>8</v>
      </c>
      <c r="JN713" s="27" t="s">
        <v>7</v>
      </c>
      <c r="JO713" s="27" t="s">
        <v>8</v>
      </c>
      <c r="JR713" s="27" t="s">
        <v>7</v>
      </c>
      <c r="JT713" s="27" t="s">
        <v>7</v>
      </c>
      <c r="JV713" s="27" t="s">
        <v>7</v>
      </c>
      <c r="JW713" s="27" t="s">
        <v>8</v>
      </c>
      <c r="JX713" s="27" t="s">
        <v>7</v>
      </c>
      <c r="JY713" s="27" t="s">
        <v>8</v>
      </c>
      <c r="KB713" s="27" t="s">
        <v>7</v>
      </c>
      <c r="KD713" s="27" t="s">
        <v>7</v>
      </c>
    </row>
    <row r="714" spans="1:294" x14ac:dyDescent="0.25">
      <c r="A714" s="7">
        <v>8.0868276295312735E-2</v>
      </c>
      <c r="B714"/>
      <c r="C714"/>
      <c r="D714"/>
      <c r="E714"/>
      <c r="T714" s="27" t="s">
        <v>7</v>
      </c>
      <c r="AC714" s="27" t="s">
        <v>8</v>
      </c>
      <c r="AD714" s="27" t="s">
        <v>7</v>
      </c>
      <c r="CY714" s="27" t="s">
        <v>8</v>
      </c>
      <c r="CZ714" s="27" t="s">
        <v>7</v>
      </c>
      <c r="FF714" s="27" t="s">
        <v>7</v>
      </c>
      <c r="FG714" s="27" t="s">
        <v>8</v>
      </c>
      <c r="FH714" s="27" t="s">
        <v>7</v>
      </c>
      <c r="FI714" s="27" t="s">
        <v>8</v>
      </c>
      <c r="FJ714" s="27" t="s">
        <v>7</v>
      </c>
      <c r="FK714" s="27" t="s">
        <v>8</v>
      </c>
      <c r="FL714" s="27" t="s">
        <v>7</v>
      </c>
      <c r="FM714" s="27" t="s">
        <v>8</v>
      </c>
      <c r="FN714" s="27" t="s">
        <v>7</v>
      </c>
      <c r="FO714" s="27" t="s">
        <v>8</v>
      </c>
      <c r="FP714" s="27" t="s">
        <v>7</v>
      </c>
      <c r="FQ714" s="27" t="s">
        <v>8</v>
      </c>
      <c r="FR714" s="27" t="s">
        <v>7</v>
      </c>
      <c r="FS714" s="27" t="s">
        <v>8</v>
      </c>
      <c r="FT714" s="27" t="s">
        <v>7</v>
      </c>
      <c r="FU714" s="27" t="s">
        <v>8</v>
      </c>
      <c r="FX714" s="27" t="s">
        <v>7</v>
      </c>
      <c r="GC714" s="27" t="s">
        <v>8</v>
      </c>
      <c r="GD714" s="27" t="s">
        <v>7</v>
      </c>
      <c r="GE714" s="27" t="s">
        <v>8</v>
      </c>
      <c r="GF714" s="27" t="s">
        <v>7</v>
      </c>
      <c r="GI714" s="27" t="s">
        <v>8</v>
      </c>
      <c r="GJ714" s="27" t="s">
        <v>7</v>
      </c>
      <c r="GO714" s="27" t="s">
        <v>8</v>
      </c>
      <c r="GQ714" s="27" t="s">
        <v>8</v>
      </c>
      <c r="JJ714" s="27" t="s">
        <v>7</v>
      </c>
      <c r="JK714" s="27" t="s">
        <v>8</v>
      </c>
      <c r="JL714" s="27" t="s">
        <v>7</v>
      </c>
      <c r="JM714" s="27" t="s">
        <v>8</v>
      </c>
      <c r="JN714" s="27" t="s">
        <v>7</v>
      </c>
      <c r="JO714" s="27" t="s">
        <v>8</v>
      </c>
      <c r="JV714" s="27" t="s">
        <v>7</v>
      </c>
      <c r="JW714" s="27" t="s">
        <v>8</v>
      </c>
      <c r="JX714" s="27" t="s">
        <v>7</v>
      </c>
      <c r="JY714" s="27" t="s">
        <v>8</v>
      </c>
      <c r="KD714" s="27" t="s">
        <v>7</v>
      </c>
    </row>
    <row r="715" spans="1:294" x14ac:dyDescent="0.25">
      <c r="A715" s="7">
        <v>7.9282623818934056E-2</v>
      </c>
      <c r="B715"/>
      <c r="C715"/>
      <c r="D715"/>
      <c r="E715"/>
      <c r="T715" s="27" t="s">
        <v>7</v>
      </c>
      <c r="AA715" s="27" t="s">
        <v>8</v>
      </c>
      <c r="AC715" s="27" t="s">
        <v>8</v>
      </c>
      <c r="AD715" s="27" t="s">
        <v>7</v>
      </c>
      <c r="CY715" s="27" t="s">
        <v>8</v>
      </c>
      <c r="FF715" s="27" t="s">
        <v>7</v>
      </c>
      <c r="FG715" s="27" t="s">
        <v>8</v>
      </c>
      <c r="FH715" s="27" t="s">
        <v>7</v>
      </c>
      <c r="FI715" s="27" t="s">
        <v>8</v>
      </c>
      <c r="FJ715" s="27" t="s">
        <v>7</v>
      </c>
      <c r="FK715" s="27" t="s">
        <v>8</v>
      </c>
      <c r="FL715" s="27" t="s">
        <v>7</v>
      </c>
      <c r="FM715" s="27" t="s">
        <v>8</v>
      </c>
      <c r="FN715" s="27" t="s">
        <v>7</v>
      </c>
      <c r="FO715" s="27" t="s">
        <v>8</v>
      </c>
      <c r="FP715" s="27" t="s">
        <v>7</v>
      </c>
      <c r="FQ715" s="27" t="s">
        <v>8</v>
      </c>
      <c r="FR715" s="27" t="s">
        <v>7</v>
      </c>
      <c r="FS715" s="27" t="s">
        <v>8</v>
      </c>
      <c r="FT715" s="27" t="s">
        <v>7</v>
      </c>
      <c r="FU715" s="27" t="s">
        <v>8</v>
      </c>
      <c r="FX715" s="27" t="s">
        <v>7</v>
      </c>
      <c r="GC715" s="27" t="s">
        <v>8</v>
      </c>
      <c r="GD715" s="27" t="s">
        <v>7</v>
      </c>
      <c r="GE715" s="27" t="s">
        <v>8</v>
      </c>
      <c r="GF715" s="27" t="s">
        <v>7</v>
      </c>
      <c r="GI715" s="27" t="s">
        <v>8</v>
      </c>
      <c r="GJ715" s="27" t="s">
        <v>7</v>
      </c>
      <c r="GO715" s="27" t="s">
        <v>8</v>
      </c>
      <c r="GP715" s="27" t="s">
        <v>7</v>
      </c>
      <c r="GQ715" s="27" t="s">
        <v>8</v>
      </c>
      <c r="JJ715" s="27" t="s">
        <v>7</v>
      </c>
      <c r="JK715" s="27" t="s">
        <v>8</v>
      </c>
      <c r="JL715" s="27" t="s">
        <v>7</v>
      </c>
      <c r="JN715" s="27" t="s">
        <v>7</v>
      </c>
      <c r="JV715" s="27" t="s">
        <v>7</v>
      </c>
      <c r="JX715" s="27" t="s">
        <v>7</v>
      </c>
      <c r="KD715" s="27" t="s">
        <v>7</v>
      </c>
    </row>
    <row r="716" spans="1:294" x14ac:dyDescent="0.25">
      <c r="A716" s="7">
        <v>7.7728062567582412E-2</v>
      </c>
      <c r="B716"/>
      <c r="C716"/>
      <c r="D716"/>
      <c r="E716"/>
      <c r="T716" s="27" t="s">
        <v>7</v>
      </c>
      <c r="AA716" s="27" t="s">
        <v>8</v>
      </c>
      <c r="AB716" s="27" t="s">
        <v>7</v>
      </c>
      <c r="AC716" s="27" t="s">
        <v>8</v>
      </c>
      <c r="AD716" s="27" t="s">
        <v>7</v>
      </c>
      <c r="AU716" s="27" t="s">
        <v>8</v>
      </c>
      <c r="CY716" s="27" t="s">
        <v>8</v>
      </c>
      <c r="FF716" s="27" t="s">
        <v>7</v>
      </c>
      <c r="FG716" s="27" t="s">
        <v>8</v>
      </c>
      <c r="FH716" s="27" t="s">
        <v>7</v>
      </c>
      <c r="FI716" s="27" t="s">
        <v>8</v>
      </c>
      <c r="FJ716" s="27" t="s">
        <v>7</v>
      </c>
      <c r="FK716" s="27" t="s">
        <v>8</v>
      </c>
      <c r="FL716" s="27" t="s">
        <v>7</v>
      </c>
      <c r="FM716" s="27" t="s">
        <v>8</v>
      </c>
      <c r="FN716" s="27" t="s">
        <v>7</v>
      </c>
      <c r="FP716" s="27" t="s">
        <v>7</v>
      </c>
      <c r="FQ716" s="27" t="s">
        <v>8</v>
      </c>
      <c r="FR716" s="27" t="s">
        <v>7</v>
      </c>
      <c r="FS716" s="27" t="s">
        <v>8</v>
      </c>
      <c r="FT716" s="27" t="s">
        <v>7</v>
      </c>
      <c r="FU716" s="27" t="s">
        <v>8</v>
      </c>
      <c r="FX716" s="27" t="s">
        <v>7</v>
      </c>
      <c r="FY716" s="27" t="s">
        <v>8</v>
      </c>
      <c r="GC716" s="27" t="s">
        <v>8</v>
      </c>
      <c r="GD716" s="27" t="s">
        <v>7</v>
      </c>
      <c r="GE716" s="27" t="s">
        <v>8</v>
      </c>
      <c r="GF716" s="27" t="s">
        <v>7</v>
      </c>
      <c r="GG716" s="27" t="s">
        <v>8</v>
      </c>
      <c r="GI716" s="27" t="s">
        <v>8</v>
      </c>
      <c r="GJ716" s="27" t="s">
        <v>7</v>
      </c>
      <c r="GO716" s="27" t="s">
        <v>8</v>
      </c>
      <c r="GP716" s="27" t="s">
        <v>7</v>
      </c>
      <c r="GQ716" s="27" t="s">
        <v>8</v>
      </c>
      <c r="JJ716" s="27" t="s">
        <v>7</v>
      </c>
      <c r="KD716" s="27" t="s">
        <v>7</v>
      </c>
    </row>
    <row r="717" spans="1:294" x14ac:dyDescent="0.25">
      <c r="A717" s="7">
        <v>7.6203982909394521E-2</v>
      </c>
      <c r="B717"/>
      <c r="C717"/>
      <c r="D717"/>
      <c r="E717"/>
      <c r="T717" s="27" t="s">
        <v>7</v>
      </c>
      <c r="Y717" s="27" t="s">
        <v>8</v>
      </c>
      <c r="AA717" s="27" t="s">
        <v>8</v>
      </c>
      <c r="AB717" s="27" t="s">
        <v>7</v>
      </c>
      <c r="AC717" s="27" t="s">
        <v>8</v>
      </c>
      <c r="AD717" s="27" t="s">
        <v>7</v>
      </c>
      <c r="AU717" s="27" t="s">
        <v>8</v>
      </c>
      <c r="AV717" s="27" t="s">
        <v>7</v>
      </c>
      <c r="CQ717" s="27" t="s">
        <v>8</v>
      </c>
      <c r="CY717" s="27" t="s">
        <v>8</v>
      </c>
      <c r="FF717" s="27" t="s">
        <v>7</v>
      </c>
      <c r="FG717" s="27" t="s">
        <v>8</v>
      </c>
      <c r="FH717" s="27" t="s">
        <v>7</v>
      </c>
      <c r="FI717" s="27" t="s">
        <v>8</v>
      </c>
      <c r="FJ717" s="27" t="s">
        <v>7</v>
      </c>
      <c r="FK717" s="27" t="s">
        <v>8</v>
      </c>
      <c r="FL717" s="27" t="s">
        <v>7</v>
      </c>
      <c r="FM717" s="27" t="s">
        <v>8</v>
      </c>
      <c r="FP717" s="27" t="s">
        <v>7</v>
      </c>
      <c r="FQ717" s="27" t="s">
        <v>8</v>
      </c>
      <c r="FR717" s="27" t="s">
        <v>7</v>
      </c>
      <c r="FS717" s="27" t="s">
        <v>8</v>
      </c>
      <c r="FT717" s="27" t="s">
        <v>7</v>
      </c>
      <c r="FU717" s="27" t="s">
        <v>8</v>
      </c>
      <c r="FX717" s="27" t="s">
        <v>7</v>
      </c>
      <c r="FY717" s="27" t="s">
        <v>8</v>
      </c>
      <c r="FZ717" s="27" t="s">
        <v>7</v>
      </c>
      <c r="GC717" s="27" t="s">
        <v>8</v>
      </c>
      <c r="GD717" s="27" t="s">
        <v>7</v>
      </c>
      <c r="GE717" s="27" t="s">
        <v>8</v>
      </c>
      <c r="GF717" s="27" t="s">
        <v>7</v>
      </c>
      <c r="GG717" s="27" t="s">
        <v>8</v>
      </c>
      <c r="GH717" s="27" t="s">
        <v>7</v>
      </c>
      <c r="GI717" s="27" t="s">
        <v>8</v>
      </c>
      <c r="GJ717" s="27" t="s">
        <v>7</v>
      </c>
      <c r="GO717" s="27" t="s">
        <v>8</v>
      </c>
      <c r="GP717" s="27" t="s">
        <v>7</v>
      </c>
      <c r="GQ717" s="27" t="s">
        <v>8</v>
      </c>
      <c r="KD717" s="27" t="s">
        <v>7</v>
      </c>
    </row>
    <row r="718" spans="1:294" x14ac:dyDescent="0.25">
      <c r="A718" s="7">
        <v>7.4709787166073058E-2</v>
      </c>
      <c r="B718"/>
      <c r="C718"/>
      <c r="D718"/>
      <c r="E718"/>
      <c r="T718" s="27" t="s">
        <v>7</v>
      </c>
      <c r="Y718" s="27" t="s">
        <v>8</v>
      </c>
      <c r="Z718" s="27" t="s">
        <v>7</v>
      </c>
      <c r="AA718" s="27" t="s">
        <v>8</v>
      </c>
      <c r="AB718" s="27" t="s">
        <v>7</v>
      </c>
      <c r="AC718" s="27" t="s">
        <v>8</v>
      </c>
      <c r="AD718" s="27" t="s">
        <v>7</v>
      </c>
      <c r="AM718" s="27" t="s">
        <v>8</v>
      </c>
      <c r="AU718" s="27" t="s">
        <v>8</v>
      </c>
      <c r="AV718" s="27" t="s">
        <v>7</v>
      </c>
      <c r="CQ718" s="27" t="s">
        <v>8</v>
      </c>
      <c r="CR718" s="27" t="s">
        <v>7</v>
      </c>
      <c r="CY718" s="27" t="s">
        <v>8</v>
      </c>
      <c r="FF718" s="27" t="s">
        <v>7</v>
      </c>
      <c r="FG718" s="27" t="s">
        <v>8</v>
      </c>
      <c r="FH718" s="27" t="s">
        <v>7</v>
      </c>
      <c r="FI718" s="27" t="s">
        <v>8</v>
      </c>
      <c r="FJ718" s="27" t="s">
        <v>7</v>
      </c>
      <c r="FK718" s="27" t="s">
        <v>8</v>
      </c>
      <c r="FL718" s="27" t="s">
        <v>7</v>
      </c>
      <c r="FM718" s="27" t="s">
        <v>8</v>
      </c>
      <c r="FP718" s="27" t="s">
        <v>7</v>
      </c>
      <c r="FR718" s="27" t="s">
        <v>7</v>
      </c>
      <c r="FS718" s="27" t="s">
        <v>8</v>
      </c>
      <c r="FT718" s="27" t="s">
        <v>7</v>
      </c>
      <c r="FU718" s="27" t="s">
        <v>8</v>
      </c>
      <c r="FX718" s="27" t="s">
        <v>7</v>
      </c>
      <c r="FY718" s="27" t="s">
        <v>8</v>
      </c>
      <c r="FZ718" s="27" t="s">
        <v>7</v>
      </c>
      <c r="GA718" s="27" t="s">
        <v>8</v>
      </c>
      <c r="GC718" s="27" t="s">
        <v>8</v>
      </c>
      <c r="GD718" s="27" t="s">
        <v>7</v>
      </c>
      <c r="GE718" s="27" t="s">
        <v>8</v>
      </c>
      <c r="GF718" s="27" t="s">
        <v>7</v>
      </c>
      <c r="GG718" s="27" t="s">
        <v>8</v>
      </c>
      <c r="GH718" s="27" t="s">
        <v>7</v>
      </c>
      <c r="GI718" s="27" t="s">
        <v>8</v>
      </c>
      <c r="GJ718" s="27" t="s">
        <v>7</v>
      </c>
      <c r="GK718" s="27" t="s">
        <v>8</v>
      </c>
      <c r="GO718" s="27" t="s">
        <v>8</v>
      </c>
      <c r="GP718" s="27" t="s">
        <v>7</v>
      </c>
      <c r="GQ718" s="27" t="s">
        <v>8</v>
      </c>
      <c r="KD718" s="27" t="s">
        <v>7</v>
      </c>
      <c r="KE718" s="27" t="s">
        <v>8</v>
      </c>
      <c r="KG718" s="27" t="s">
        <v>8</v>
      </c>
    </row>
    <row r="719" spans="1:294" x14ac:dyDescent="0.25">
      <c r="A719" s="7">
        <v>7.3244889378503E-2</v>
      </c>
      <c r="B719"/>
      <c r="C719"/>
      <c r="D719"/>
      <c r="E719"/>
      <c r="T719" s="27" t="s">
        <v>7</v>
      </c>
      <c r="U719" s="27" t="s">
        <v>8</v>
      </c>
      <c r="Y719" s="27" t="s">
        <v>8</v>
      </c>
      <c r="Z719" s="27" t="s">
        <v>7</v>
      </c>
      <c r="AA719" s="27" t="s">
        <v>8</v>
      </c>
      <c r="AB719" s="27" t="s">
        <v>7</v>
      </c>
      <c r="AC719" s="27" t="s">
        <v>8</v>
      </c>
      <c r="AD719" s="27" t="s">
        <v>7</v>
      </c>
      <c r="AI719" s="27" t="s">
        <v>8</v>
      </c>
      <c r="AM719" s="27" t="s">
        <v>8</v>
      </c>
      <c r="AN719" s="27" t="s">
        <v>7</v>
      </c>
      <c r="AO719" s="27" t="s">
        <v>8</v>
      </c>
      <c r="AU719" s="27" t="s">
        <v>8</v>
      </c>
      <c r="AV719" s="27" t="s">
        <v>7</v>
      </c>
      <c r="CQ719" s="27" t="s">
        <v>8</v>
      </c>
      <c r="CR719" s="27" t="s">
        <v>7</v>
      </c>
      <c r="CS719" s="27" t="s">
        <v>8</v>
      </c>
      <c r="CW719" s="27" t="s">
        <v>8</v>
      </c>
      <c r="CY719" s="27" t="s">
        <v>8</v>
      </c>
      <c r="FF719" s="27" t="s">
        <v>7</v>
      </c>
      <c r="FG719" s="27" t="s">
        <v>8</v>
      </c>
      <c r="FH719" s="27" t="s">
        <v>7</v>
      </c>
      <c r="FI719" s="27" t="s">
        <v>8</v>
      </c>
      <c r="FJ719" s="27" t="s">
        <v>7</v>
      </c>
      <c r="FK719" s="27" t="s">
        <v>8</v>
      </c>
      <c r="FL719" s="27" t="s">
        <v>7</v>
      </c>
      <c r="FM719" s="27" t="s">
        <v>8</v>
      </c>
      <c r="FR719" s="27" t="s">
        <v>7</v>
      </c>
      <c r="FS719" s="27" t="s">
        <v>8</v>
      </c>
      <c r="FT719" s="27" t="s">
        <v>7</v>
      </c>
      <c r="FU719" s="27" t="s">
        <v>8</v>
      </c>
      <c r="FX719" s="27" t="s">
        <v>7</v>
      </c>
      <c r="FY719" s="27" t="s">
        <v>8</v>
      </c>
      <c r="FZ719" s="27" t="s">
        <v>7</v>
      </c>
      <c r="GA719" s="27" t="s">
        <v>8</v>
      </c>
      <c r="GB719" s="27" t="s">
        <v>7</v>
      </c>
      <c r="GC719" s="27" t="s">
        <v>8</v>
      </c>
      <c r="GD719" s="27" t="s">
        <v>7</v>
      </c>
      <c r="GF719" s="27" t="s">
        <v>7</v>
      </c>
      <c r="GG719" s="27" t="s">
        <v>8</v>
      </c>
      <c r="GH719" s="27" t="s">
        <v>7</v>
      </c>
      <c r="GI719" s="27" t="s">
        <v>8</v>
      </c>
      <c r="GJ719" s="27" t="s">
        <v>7</v>
      </c>
      <c r="GK719" s="27" t="s">
        <v>8</v>
      </c>
      <c r="GL719" s="27" t="s">
        <v>7</v>
      </c>
      <c r="GM719" s="27" t="s">
        <v>8</v>
      </c>
      <c r="GO719" s="27" t="s">
        <v>8</v>
      </c>
      <c r="GP719" s="27" t="s">
        <v>7</v>
      </c>
      <c r="KD719" s="27" t="s">
        <v>7</v>
      </c>
      <c r="KE719" s="27" t="s">
        <v>8</v>
      </c>
      <c r="KF719" s="27" t="s">
        <v>7</v>
      </c>
      <c r="KG719" s="27" t="s">
        <v>8</v>
      </c>
      <c r="KH719" s="27" t="s">
        <v>7</v>
      </c>
    </row>
    <row r="720" spans="1:294" x14ac:dyDescent="0.25">
      <c r="A720" s="7">
        <v>7.1808715076963722E-2</v>
      </c>
      <c r="B720"/>
      <c r="C720"/>
      <c r="D720"/>
      <c r="E720"/>
      <c r="T720" s="27" t="s">
        <v>7</v>
      </c>
      <c r="U720" s="27" t="s">
        <v>8</v>
      </c>
      <c r="V720" s="27" t="s">
        <v>7</v>
      </c>
      <c r="Y720" s="27" t="s">
        <v>8</v>
      </c>
      <c r="Z720" s="27" t="s">
        <v>7</v>
      </c>
      <c r="AA720" s="27" t="s">
        <v>8</v>
      </c>
      <c r="AB720" s="27" t="s">
        <v>7</v>
      </c>
      <c r="AC720" s="27" t="s">
        <v>8</v>
      </c>
      <c r="AD720" s="27" t="s">
        <v>7</v>
      </c>
      <c r="AI720" s="27" t="s">
        <v>8</v>
      </c>
      <c r="AJ720" s="27" t="s">
        <v>7</v>
      </c>
      <c r="AM720" s="27" t="s">
        <v>8</v>
      </c>
      <c r="AN720" s="27" t="s">
        <v>7</v>
      </c>
      <c r="AO720" s="27" t="s">
        <v>8</v>
      </c>
      <c r="AP720" s="27" t="s">
        <v>7</v>
      </c>
      <c r="AU720" s="27" t="s">
        <v>8</v>
      </c>
      <c r="AV720" s="27" t="s">
        <v>7</v>
      </c>
      <c r="CQ720" s="27" t="s">
        <v>8</v>
      </c>
      <c r="CR720" s="27" t="s">
        <v>7</v>
      </c>
      <c r="CS720" s="27" t="s">
        <v>8</v>
      </c>
      <c r="CT720" s="27" t="s">
        <v>7</v>
      </c>
      <c r="CW720" s="27" t="s">
        <v>8</v>
      </c>
      <c r="CX720" s="27" t="s">
        <v>7</v>
      </c>
      <c r="CY720" s="27" t="s">
        <v>8</v>
      </c>
      <c r="FF720" s="27" t="s">
        <v>7</v>
      </c>
      <c r="FG720" s="27" t="s">
        <v>8</v>
      </c>
      <c r="FH720" s="27" t="s">
        <v>7</v>
      </c>
      <c r="FJ720" s="27" t="s">
        <v>7</v>
      </c>
      <c r="FK720" s="27" t="s">
        <v>8</v>
      </c>
      <c r="FL720" s="27" t="s">
        <v>7</v>
      </c>
      <c r="FM720" s="27" t="s">
        <v>8</v>
      </c>
      <c r="FR720" s="27" t="s">
        <v>7</v>
      </c>
      <c r="FT720" s="27" t="s">
        <v>7</v>
      </c>
      <c r="FU720" s="27" t="s">
        <v>8</v>
      </c>
      <c r="FX720" s="27" t="s">
        <v>7</v>
      </c>
      <c r="FY720" s="27" t="s">
        <v>8</v>
      </c>
      <c r="FZ720" s="27" t="s">
        <v>7</v>
      </c>
      <c r="GA720" s="27" t="s">
        <v>8</v>
      </c>
      <c r="GB720" s="27" t="s">
        <v>7</v>
      </c>
      <c r="GC720" s="27" t="s">
        <v>8</v>
      </c>
      <c r="GF720" s="27" t="s">
        <v>7</v>
      </c>
      <c r="GG720" s="27" t="s">
        <v>8</v>
      </c>
      <c r="GH720" s="27" t="s">
        <v>7</v>
      </c>
      <c r="GI720" s="27" t="s">
        <v>8</v>
      </c>
      <c r="GJ720" s="27" t="s">
        <v>7</v>
      </c>
      <c r="GK720" s="27" t="s">
        <v>8</v>
      </c>
      <c r="GL720" s="27" t="s">
        <v>7</v>
      </c>
      <c r="GM720" s="27" t="s">
        <v>8</v>
      </c>
      <c r="GN720" s="27" t="s">
        <v>7</v>
      </c>
      <c r="GO720" s="27" t="s">
        <v>8</v>
      </c>
      <c r="KD720" s="27" t="s">
        <v>7</v>
      </c>
      <c r="KE720" s="27" t="s">
        <v>8</v>
      </c>
      <c r="KF720" s="27" t="s">
        <v>7</v>
      </c>
      <c r="KG720" s="27" t="s">
        <v>8</v>
      </c>
      <c r="KH720" s="27" t="s">
        <v>7</v>
      </c>
    </row>
    <row r="721" spans="1:294" x14ac:dyDescent="0.25">
      <c r="A721" s="7">
        <v>7.0400701055846782E-2</v>
      </c>
      <c r="B721"/>
      <c r="C721"/>
      <c r="D721"/>
      <c r="E721"/>
      <c r="T721" s="27" t="s">
        <v>7</v>
      </c>
      <c r="U721" s="27" t="s">
        <v>8</v>
      </c>
      <c r="V721" s="27" t="s">
        <v>7</v>
      </c>
      <c r="W721" s="27" t="s">
        <v>8</v>
      </c>
      <c r="Y721" s="27" t="s">
        <v>8</v>
      </c>
      <c r="Z721" s="27" t="s">
        <v>7</v>
      </c>
      <c r="AA721" s="27" t="s">
        <v>8</v>
      </c>
      <c r="AB721" s="27" t="s">
        <v>7</v>
      </c>
      <c r="AC721" s="27" t="s">
        <v>8</v>
      </c>
      <c r="AD721" s="27" t="s">
        <v>7</v>
      </c>
      <c r="AE721" s="27" t="s">
        <v>8</v>
      </c>
      <c r="AI721" s="27" t="s">
        <v>8</v>
      </c>
      <c r="AJ721" s="27" t="s">
        <v>7</v>
      </c>
      <c r="AM721" s="27" t="s">
        <v>8</v>
      </c>
      <c r="AN721" s="27" t="s">
        <v>7</v>
      </c>
      <c r="AO721" s="27" t="s">
        <v>8</v>
      </c>
      <c r="AP721" s="27" t="s">
        <v>7</v>
      </c>
      <c r="AU721" s="27" t="s">
        <v>8</v>
      </c>
      <c r="AV721" s="27" t="s">
        <v>7</v>
      </c>
      <c r="CQ721" s="27" t="s">
        <v>8</v>
      </c>
      <c r="CR721" s="27" t="s">
        <v>7</v>
      </c>
      <c r="CS721" s="27" t="s">
        <v>8</v>
      </c>
      <c r="CT721" s="27" t="s">
        <v>7</v>
      </c>
      <c r="CW721" s="27" t="s">
        <v>8</v>
      </c>
      <c r="CX721" s="27" t="s">
        <v>7</v>
      </c>
      <c r="CY721" s="27" t="s">
        <v>8</v>
      </c>
      <c r="FF721" s="27" t="s">
        <v>7</v>
      </c>
      <c r="FG721" s="27" t="s">
        <v>8</v>
      </c>
      <c r="FJ721" s="27" t="s">
        <v>7</v>
      </c>
      <c r="FK721" s="27" t="s">
        <v>8</v>
      </c>
      <c r="FL721" s="27" t="s">
        <v>7</v>
      </c>
      <c r="FM721" s="27" t="s">
        <v>8</v>
      </c>
      <c r="FT721" s="27" t="s">
        <v>7</v>
      </c>
      <c r="FX721" s="27" t="s">
        <v>7</v>
      </c>
      <c r="FY721" s="27" t="s">
        <v>8</v>
      </c>
      <c r="FZ721" s="27" t="s">
        <v>7</v>
      </c>
      <c r="GA721" s="27" t="s">
        <v>8</v>
      </c>
      <c r="GB721" s="27" t="s">
        <v>7</v>
      </c>
      <c r="GC721" s="27" t="s">
        <v>8</v>
      </c>
      <c r="GF721" s="27" t="s">
        <v>7</v>
      </c>
      <c r="GH721" s="27" t="s">
        <v>7</v>
      </c>
      <c r="GI721" s="27" t="s">
        <v>8</v>
      </c>
      <c r="GJ721" s="27" t="s">
        <v>7</v>
      </c>
      <c r="GK721" s="27" t="s">
        <v>8</v>
      </c>
      <c r="GL721" s="27" t="s">
        <v>7</v>
      </c>
      <c r="GM721" s="27" t="s">
        <v>8</v>
      </c>
      <c r="GN721" s="27" t="s">
        <v>7</v>
      </c>
      <c r="GO721" s="27" t="s">
        <v>8</v>
      </c>
      <c r="KD721" s="27" t="s">
        <v>7</v>
      </c>
      <c r="KE721" s="27" t="s">
        <v>8</v>
      </c>
      <c r="KF721" s="27" t="s">
        <v>7</v>
      </c>
      <c r="KG721" s="27" t="s">
        <v>8</v>
      </c>
      <c r="KH721" s="27" t="s">
        <v>7</v>
      </c>
    </row>
    <row r="722" spans="1:294" x14ac:dyDescent="0.25">
      <c r="A722" s="7">
        <v>6.9020295152790956E-2</v>
      </c>
      <c r="B722"/>
      <c r="C722"/>
      <c r="D722"/>
      <c r="E722"/>
      <c r="T722" s="27" t="s">
        <v>7</v>
      </c>
      <c r="U722" s="27" t="s">
        <v>8</v>
      </c>
      <c r="V722" s="27" t="s">
        <v>7</v>
      </c>
      <c r="W722" s="27" t="s">
        <v>8</v>
      </c>
      <c r="X722" s="27" t="s">
        <v>7</v>
      </c>
      <c r="Y722" s="27" t="s">
        <v>8</v>
      </c>
      <c r="Z722" s="27" t="s">
        <v>7</v>
      </c>
      <c r="AA722" s="27" t="s">
        <v>8</v>
      </c>
      <c r="AB722" s="27" t="s">
        <v>7</v>
      </c>
      <c r="AC722" s="27" t="s">
        <v>8</v>
      </c>
      <c r="AD722" s="27" t="s">
        <v>7</v>
      </c>
      <c r="AE722" s="27" t="s">
        <v>8</v>
      </c>
      <c r="AF722" s="27" t="s">
        <v>7</v>
      </c>
      <c r="AI722" s="27" t="s">
        <v>8</v>
      </c>
      <c r="AJ722" s="27" t="s">
        <v>7</v>
      </c>
      <c r="AM722" s="27" t="s">
        <v>8</v>
      </c>
      <c r="AN722" s="27" t="s">
        <v>7</v>
      </c>
      <c r="AO722" s="27" t="s">
        <v>8</v>
      </c>
      <c r="AP722" s="27" t="s">
        <v>7</v>
      </c>
      <c r="AU722" s="27" t="s">
        <v>8</v>
      </c>
      <c r="AV722" s="27" t="s">
        <v>7</v>
      </c>
      <c r="AW722" s="27" t="s">
        <v>8</v>
      </c>
      <c r="AY722" s="27" t="s">
        <v>8</v>
      </c>
      <c r="CQ722" s="27" t="s">
        <v>8</v>
      </c>
      <c r="CR722" s="27" t="s">
        <v>7</v>
      </c>
      <c r="CS722" s="27" t="s">
        <v>8</v>
      </c>
      <c r="CT722" s="27" t="s">
        <v>7</v>
      </c>
      <c r="CU722" s="27" t="s">
        <v>8</v>
      </c>
      <c r="CW722" s="27" t="s">
        <v>8</v>
      </c>
      <c r="CX722" s="27" t="s">
        <v>7</v>
      </c>
      <c r="CY722" s="27" t="s">
        <v>8</v>
      </c>
      <c r="FF722" s="27" t="s">
        <v>7</v>
      </c>
      <c r="FG722" s="27" t="s">
        <v>8</v>
      </c>
      <c r="FJ722" s="27" t="s">
        <v>7</v>
      </c>
      <c r="FK722" s="27" t="s">
        <v>8</v>
      </c>
      <c r="FL722" s="27" t="s">
        <v>7</v>
      </c>
      <c r="FM722" s="27" t="s">
        <v>8</v>
      </c>
      <c r="FX722" s="27" t="s">
        <v>7</v>
      </c>
      <c r="FY722" s="27" t="s">
        <v>8</v>
      </c>
      <c r="FZ722" s="27" t="s">
        <v>7</v>
      </c>
      <c r="GA722" s="27" t="s">
        <v>8</v>
      </c>
      <c r="GB722" s="27" t="s">
        <v>7</v>
      </c>
      <c r="GC722" s="27" t="s">
        <v>8</v>
      </c>
      <c r="GH722" s="27" t="s">
        <v>7</v>
      </c>
      <c r="GI722" s="27" t="s">
        <v>8</v>
      </c>
      <c r="GJ722" s="27" t="s">
        <v>7</v>
      </c>
      <c r="GK722" s="27" t="s">
        <v>8</v>
      </c>
      <c r="GL722" s="27" t="s">
        <v>7</v>
      </c>
      <c r="GM722" s="27" t="s">
        <v>8</v>
      </c>
      <c r="GN722" s="27" t="s">
        <v>7</v>
      </c>
      <c r="KD722" s="27" t="s">
        <v>7</v>
      </c>
      <c r="KE722" s="27" t="s">
        <v>8</v>
      </c>
      <c r="KF722" s="27" t="s">
        <v>7</v>
      </c>
      <c r="KG722" s="27" t="s">
        <v>8</v>
      </c>
      <c r="KH722" s="27" t="s">
        <v>7</v>
      </c>
    </row>
    <row r="723" spans="1:294" x14ac:dyDescent="0.25">
      <c r="A723" s="7">
        <v>6.7666956032147993E-2</v>
      </c>
      <c r="B723"/>
      <c r="C723"/>
      <c r="D723"/>
      <c r="E723"/>
      <c r="T723" s="27" t="s">
        <v>7</v>
      </c>
      <c r="U723" s="27" t="s">
        <v>8</v>
      </c>
      <c r="V723" s="27" t="s">
        <v>7</v>
      </c>
      <c r="W723" s="27" t="s">
        <v>8</v>
      </c>
      <c r="X723" s="27" t="s">
        <v>7</v>
      </c>
      <c r="Y723" s="27" t="s">
        <v>8</v>
      </c>
      <c r="Z723" s="27" t="s">
        <v>7</v>
      </c>
      <c r="AA723" s="27" t="s">
        <v>8</v>
      </c>
      <c r="AB723" s="27" t="s">
        <v>7</v>
      </c>
      <c r="AC723" s="27" t="s">
        <v>8</v>
      </c>
      <c r="AD723" s="27" t="s">
        <v>7</v>
      </c>
      <c r="AE723" s="27" t="s">
        <v>8</v>
      </c>
      <c r="AF723" s="27" t="s">
        <v>7</v>
      </c>
      <c r="AI723" s="27" t="s">
        <v>8</v>
      </c>
      <c r="AJ723" s="27" t="s">
        <v>7</v>
      </c>
      <c r="AM723" s="27" t="s">
        <v>8</v>
      </c>
      <c r="AN723" s="27" t="s">
        <v>7</v>
      </c>
      <c r="AP723" s="27" t="s">
        <v>7</v>
      </c>
      <c r="AQ723" s="27" t="s">
        <v>8</v>
      </c>
      <c r="AU723" s="27" t="s">
        <v>8</v>
      </c>
      <c r="AV723" s="27" t="s">
        <v>7</v>
      </c>
      <c r="AW723" s="27" t="s">
        <v>8</v>
      </c>
      <c r="AX723" s="27" t="s">
        <v>7</v>
      </c>
      <c r="AY723" s="27" t="s">
        <v>8</v>
      </c>
      <c r="AZ723" s="27" t="s">
        <v>7</v>
      </c>
      <c r="BO723" s="27" t="s">
        <v>8</v>
      </c>
      <c r="CQ723" s="27" t="s">
        <v>8</v>
      </c>
      <c r="CR723" s="27" t="s">
        <v>7</v>
      </c>
      <c r="CS723" s="27" t="s">
        <v>8</v>
      </c>
      <c r="CT723" s="27" t="s">
        <v>7</v>
      </c>
      <c r="CU723" s="27" t="s">
        <v>8</v>
      </c>
      <c r="CV723" s="27" t="s">
        <v>7</v>
      </c>
      <c r="CW723" s="27" t="s">
        <v>8</v>
      </c>
      <c r="CX723" s="27" t="s">
        <v>7</v>
      </c>
      <c r="CY723" s="27" t="s">
        <v>8</v>
      </c>
      <c r="FF723" s="27" t="s">
        <v>7</v>
      </c>
      <c r="FG723" s="27" t="s">
        <v>8</v>
      </c>
      <c r="FJ723" s="27" t="s">
        <v>7</v>
      </c>
      <c r="FK723" s="27" t="s">
        <v>8</v>
      </c>
      <c r="FL723" s="27" t="s">
        <v>7</v>
      </c>
      <c r="FM723" s="27" t="s">
        <v>8</v>
      </c>
      <c r="FX723" s="27" t="s">
        <v>7</v>
      </c>
      <c r="FY723" s="27" t="s">
        <v>8</v>
      </c>
      <c r="FZ723" s="27" t="s">
        <v>7</v>
      </c>
      <c r="GA723" s="27" t="s">
        <v>8</v>
      </c>
      <c r="GB723" s="27" t="s">
        <v>7</v>
      </c>
      <c r="GC723" s="27" t="s">
        <v>8</v>
      </c>
      <c r="GH723" s="27" t="s">
        <v>7</v>
      </c>
      <c r="GI723" s="27" t="s">
        <v>8</v>
      </c>
      <c r="GJ723" s="27" t="s">
        <v>7</v>
      </c>
      <c r="GK723" s="27" t="s">
        <v>8</v>
      </c>
      <c r="GL723" s="27" t="s">
        <v>7</v>
      </c>
      <c r="GM723" s="27" t="s">
        <v>8</v>
      </c>
      <c r="KD723" s="27" t="s">
        <v>7</v>
      </c>
      <c r="KE723" s="27" t="s">
        <v>8</v>
      </c>
      <c r="KF723" s="27" t="s">
        <v>7</v>
      </c>
      <c r="KG723" s="27" t="s">
        <v>8</v>
      </c>
      <c r="KH723" s="27" t="s">
        <v>7</v>
      </c>
    </row>
    <row r="724" spans="1:294" x14ac:dyDescent="0.25">
      <c r="A724" s="7">
        <v>6.6340152972694105E-2</v>
      </c>
      <c r="B724"/>
      <c r="C724"/>
      <c r="D724"/>
      <c r="E724"/>
      <c r="T724" s="27" t="s">
        <v>7</v>
      </c>
      <c r="U724" s="27" t="s">
        <v>8</v>
      </c>
      <c r="V724" s="27" t="s">
        <v>7</v>
      </c>
      <c r="W724" s="27" t="s">
        <v>8</v>
      </c>
      <c r="X724" s="27" t="s">
        <v>7</v>
      </c>
      <c r="Y724" s="27" t="s">
        <v>8</v>
      </c>
      <c r="Z724" s="27" t="s">
        <v>7</v>
      </c>
      <c r="AB724" s="27" t="s">
        <v>7</v>
      </c>
      <c r="AD724" s="27" t="s">
        <v>7</v>
      </c>
      <c r="AE724" s="27" t="s">
        <v>8</v>
      </c>
      <c r="AF724" s="27" t="s">
        <v>7</v>
      </c>
      <c r="AI724" s="27" t="s">
        <v>8</v>
      </c>
      <c r="AJ724" s="27" t="s">
        <v>7</v>
      </c>
      <c r="AM724" s="27" t="s">
        <v>8</v>
      </c>
      <c r="AP724" s="27" t="s">
        <v>7</v>
      </c>
      <c r="AQ724" s="27" t="s">
        <v>8</v>
      </c>
      <c r="AR724" s="27" t="s">
        <v>7</v>
      </c>
      <c r="AU724" s="27" t="s">
        <v>8</v>
      </c>
      <c r="AV724" s="27" t="s">
        <v>7</v>
      </c>
      <c r="AW724" s="27" t="s">
        <v>8</v>
      </c>
      <c r="AX724" s="27" t="s">
        <v>7</v>
      </c>
      <c r="AY724" s="27" t="s">
        <v>8</v>
      </c>
      <c r="AZ724" s="27" t="s">
        <v>7</v>
      </c>
      <c r="BO724" s="27" t="s">
        <v>8</v>
      </c>
      <c r="BP724" s="27" t="s">
        <v>7</v>
      </c>
      <c r="CQ724" s="27" t="s">
        <v>8</v>
      </c>
      <c r="CR724" s="27" t="s">
        <v>7</v>
      </c>
      <c r="CS724" s="27" t="s">
        <v>8</v>
      </c>
      <c r="CT724" s="27" t="s">
        <v>7</v>
      </c>
      <c r="CU724" s="27" t="s">
        <v>8</v>
      </c>
      <c r="CV724" s="27" t="s">
        <v>7</v>
      </c>
      <c r="CW724" s="27" t="s">
        <v>8</v>
      </c>
      <c r="CX724" s="27" t="s">
        <v>7</v>
      </c>
      <c r="CY724" s="27" t="s">
        <v>8</v>
      </c>
      <c r="FF724" s="27" t="s">
        <v>7</v>
      </c>
      <c r="FG724" s="27" t="s">
        <v>8</v>
      </c>
      <c r="FJ724" s="27" t="s">
        <v>7</v>
      </c>
      <c r="FK724" s="27" t="s">
        <v>8</v>
      </c>
      <c r="FL724" s="27" t="s">
        <v>7</v>
      </c>
      <c r="FX724" s="27" t="s">
        <v>7</v>
      </c>
      <c r="FY724" s="27" t="s">
        <v>8</v>
      </c>
      <c r="FZ724" s="27" t="s">
        <v>7</v>
      </c>
      <c r="GB724" s="27" t="s">
        <v>7</v>
      </c>
      <c r="GC724" s="27" t="s">
        <v>8</v>
      </c>
      <c r="GH724" s="27" t="s">
        <v>7</v>
      </c>
      <c r="GI724" s="27" t="s">
        <v>8</v>
      </c>
      <c r="GJ724" s="27" t="s">
        <v>7</v>
      </c>
      <c r="GK724" s="27" t="s">
        <v>8</v>
      </c>
      <c r="GL724" s="27" t="s">
        <v>7</v>
      </c>
      <c r="KD724" s="27" t="s">
        <v>7</v>
      </c>
      <c r="KE724" s="27" t="s">
        <v>8</v>
      </c>
      <c r="KF724" s="27" t="s">
        <v>7</v>
      </c>
      <c r="KG724" s="27" t="s">
        <v>8</v>
      </c>
    </row>
    <row r="725" spans="1:294" x14ac:dyDescent="0.25">
      <c r="A725" s="7">
        <v>6.5039365659504023E-2</v>
      </c>
      <c r="B725"/>
      <c r="C725"/>
      <c r="D725"/>
      <c r="E725"/>
      <c r="T725" s="27" t="s">
        <v>7</v>
      </c>
      <c r="U725" s="27" t="s">
        <v>8</v>
      </c>
      <c r="V725" s="27" t="s">
        <v>7</v>
      </c>
      <c r="W725" s="27" t="s">
        <v>8</v>
      </c>
      <c r="X725" s="27" t="s">
        <v>7</v>
      </c>
      <c r="Y725" s="27" t="s">
        <v>8</v>
      </c>
      <c r="AD725" s="27" t="s">
        <v>7</v>
      </c>
      <c r="AE725" s="27" t="s">
        <v>8</v>
      </c>
      <c r="AF725" s="27" t="s">
        <v>7</v>
      </c>
      <c r="AG725" s="27" t="s">
        <v>8</v>
      </c>
      <c r="AI725" s="27" t="s">
        <v>8</v>
      </c>
      <c r="AJ725" s="27" t="s">
        <v>7</v>
      </c>
      <c r="AK725" s="27" t="s">
        <v>8</v>
      </c>
      <c r="AM725" s="27" t="s">
        <v>8</v>
      </c>
      <c r="AP725" s="27" t="s">
        <v>7</v>
      </c>
      <c r="AQ725" s="27" t="s">
        <v>8</v>
      </c>
      <c r="AR725" s="27" t="s">
        <v>7</v>
      </c>
      <c r="AU725" s="27" t="s">
        <v>8</v>
      </c>
      <c r="AV725" s="27" t="s">
        <v>7</v>
      </c>
      <c r="AW725" s="27" t="s">
        <v>8</v>
      </c>
      <c r="AX725" s="27" t="s">
        <v>7</v>
      </c>
      <c r="AY725" s="27" t="s">
        <v>8</v>
      </c>
      <c r="AZ725" s="27" t="s">
        <v>7</v>
      </c>
      <c r="BO725" s="27" t="s">
        <v>8</v>
      </c>
      <c r="BP725" s="27" t="s">
        <v>7</v>
      </c>
      <c r="BU725" s="27" t="s">
        <v>8</v>
      </c>
      <c r="CQ725" s="27" t="s">
        <v>8</v>
      </c>
      <c r="CR725" s="27" t="s">
        <v>7</v>
      </c>
      <c r="CS725" s="27" t="s">
        <v>8</v>
      </c>
      <c r="CT725" s="27" t="s">
        <v>7</v>
      </c>
      <c r="CU725" s="27" t="s">
        <v>8</v>
      </c>
      <c r="CV725" s="27" t="s">
        <v>7</v>
      </c>
      <c r="CW725" s="27" t="s">
        <v>8</v>
      </c>
      <c r="CX725" s="27" t="s">
        <v>7</v>
      </c>
      <c r="CY725" s="27" t="s">
        <v>8</v>
      </c>
      <c r="FF725" s="27" t="s">
        <v>7</v>
      </c>
      <c r="FG725" s="27" t="s">
        <v>8</v>
      </c>
      <c r="FJ725" s="27" t="s">
        <v>7</v>
      </c>
      <c r="FK725" s="27" t="s">
        <v>8</v>
      </c>
      <c r="FX725" s="27" t="s">
        <v>7</v>
      </c>
      <c r="FY725" s="27" t="s">
        <v>8</v>
      </c>
      <c r="GB725" s="27" t="s">
        <v>7</v>
      </c>
      <c r="GC725" s="27" t="s">
        <v>8</v>
      </c>
      <c r="GH725" s="27" t="s">
        <v>7</v>
      </c>
      <c r="GJ725" s="27" t="s">
        <v>7</v>
      </c>
      <c r="GK725" s="27" t="s">
        <v>8</v>
      </c>
      <c r="KD725" s="27" t="s">
        <v>7</v>
      </c>
      <c r="KE725" s="27" t="s">
        <v>8</v>
      </c>
      <c r="KF725" s="27" t="s">
        <v>7</v>
      </c>
      <c r="KG725" s="27" t="s">
        <v>8</v>
      </c>
    </row>
    <row r="726" spans="1:294" x14ac:dyDescent="0.25">
      <c r="A726" s="7">
        <v>6.3764083979905906E-2</v>
      </c>
      <c r="B726"/>
      <c r="C726"/>
      <c r="D726"/>
      <c r="E726"/>
      <c r="T726" s="27" t="s">
        <v>7</v>
      </c>
      <c r="U726" s="27" t="s">
        <v>8</v>
      </c>
      <c r="V726" s="27" t="s">
        <v>7</v>
      </c>
      <c r="W726" s="27" t="s">
        <v>8</v>
      </c>
      <c r="X726" s="27" t="s">
        <v>7</v>
      </c>
      <c r="Y726" s="27" t="s">
        <v>8</v>
      </c>
      <c r="AD726" s="27" t="s">
        <v>7</v>
      </c>
      <c r="AF726" s="27" t="s">
        <v>7</v>
      </c>
      <c r="AG726" s="27" t="s">
        <v>8</v>
      </c>
      <c r="AH726" s="27" t="s">
        <v>7</v>
      </c>
      <c r="AI726" s="27" t="s">
        <v>8</v>
      </c>
      <c r="AJ726" s="27" t="s">
        <v>7</v>
      </c>
      <c r="AK726" s="27" t="s">
        <v>8</v>
      </c>
      <c r="AL726" s="27" t="s">
        <v>7</v>
      </c>
      <c r="AM726" s="27" t="s">
        <v>8</v>
      </c>
      <c r="AP726" s="27" t="s">
        <v>7</v>
      </c>
      <c r="AQ726" s="27" t="s">
        <v>8</v>
      </c>
      <c r="AR726" s="27" t="s">
        <v>7</v>
      </c>
      <c r="AS726" s="27" t="s">
        <v>8</v>
      </c>
      <c r="AU726" s="27" t="s">
        <v>8</v>
      </c>
      <c r="AV726" s="27" t="s">
        <v>7</v>
      </c>
      <c r="AW726" s="27" t="s">
        <v>8</v>
      </c>
      <c r="AX726" s="27" t="s">
        <v>7</v>
      </c>
      <c r="AY726" s="27" t="s">
        <v>8</v>
      </c>
      <c r="AZ726" s="27" t="s">
        <v>7</v>
      </c>
      <c r="BO726" s="27" t="s">
        <v>8</v>
      </c>
      <c r="BP726" s="27" t="s">
        <v>7</v>
      </c>
      <c r="BQ726" s="27" t="s">
        <v>8</v>
      </c>
      <c r="BS726" s="27" t="s">
        <v>8</v>
      </c>
      <c r="BU726" s="27" t="s">
        <v>8</v>
      </c>
      <c r="BV726" s="27" t="s">
        <v>7</v>
      </c>
      <c r="CQ726" s="27" t="s">
        <v>8</v>
      </c>
      <c r="CR726" s="27" t="s">
        <v>7</v>
      </c>
      <c r="CS726" s="27" t="s">
        <v>8</v>
      </c>
      <c r="CT726" s="27" t="s">
        <v>7</v>
      </c>
      <c r="CU726" s="27" t="s">
        <v>8</v>
      </c>
      <c r="CV726" s="27" t="s">
        <v>7</v>
      </c>
      <c r="CW726" s="27" t="s">
        <v>8</v>
      </c>
      <c r="CX726" s="27" t="s">
        <v>7</v>
      </c>
      <c r="CY726" s="27" t="s">
        <v>8</v>
      </c>
      <c r="FF726" s="27" t="s">
        <v>7</v>
      </c>
      <c r="FJ726" s="27" t="s">
        <v>7</v>
      </c>
      <c r="FK726" s="27" t="s">
        <v>8</v>
      </c>
      <c r="FX726" s="27" t="s">
        <v>7</v>
      </c>
      <c r="FY726" s="27" t="s">
        <v>8</v>
      </c>
      <c r="GB726" s="27" t="s">
        <v>7</v>
      </c>
      <c r="GJ726" s="27" t="s">
        <v>7</v>
      </c>
      <c r="GK726" s="27" t="s">
        <v>8</v>
      </c>
      <c r="KD726" s="27" t="s">
        <v>7</v>
      </c>
      <c r="KF726" s="27" t="s">
        <v>7</v>
      </c>
      <c r="KG726" s="27" t="s">
        <v>8</v>
      </c>
    </row>
    <row r="727" spans="1:294" x14ac:dyDescent="0.25">
      <c r="A727" s="7">
        <v>6.251380782343717E-2</v>
      </c>
      <c r="B727"/>
      <c r="C727"/>
      <c r="D727"/>
      <c r="E727"/>
      <c r="T727" s="27" t="s">
        <v>7</v>
      </c>
      <c r="U727" s="27" t="s">
        <v>8</v>
      </c>
      <c r="V727" s="27" t="s">
        <v>7</v>
      </c>
      <c r="W727" s="27" t="s">
        <v>8</v>
      </c>
      <c r="X727" s="27" t="s">
        <v>7</v>
      </c>
      <c r="Y727" s="27" t="s">
        <v>8</v>
      </c>
      <c r="AF727" s="27" t="s">
        <v>7</v>
      </c>
      <c r="AG727" s="27" t="s">
        <v>8</v>
      </c>
      <c r="AH727" s="27" t="s">
        <v>7</v>
      </c>
      <c r="AI727" s="27" t="s">
        <v>8</v>
      </c>
      <c r="AJ727" s="27" t="s">
        <v>7</v>
      </c>
      <c r="AK727" s="27" t="s">
        <v>8</v>
      </c>
      <c r="AL727" s="27" t="s">
        <v>7</v>
      </c>
      <c r="AM727" s="27" t="s">
        <v>8</v>
      </c>
      <c r="AP727" s="27" t="s">
        <v>7</v>
      </c>
      <c r="AQ727" s="27" t="s">
        <v>8</v>
      </c>
      <c r="AR727" s="27" t="s">
        <v>7</v>
      </c>
      <c r="AS727" s="27" t="s">
        <v>8</v>
      </c>
      <c r="AT727" s="27" t="s">
        <v>7</v>
      </c>
      <c r="AU727" s="27" t="s">
        <v>8</v>
      </c>
      <c r="AV727" s="27" t="s">
        <v>7</v>
      </c>
      <c r="AW727" s="27" t="s">
        <v>8</v>
      </c>
      <c r="AX727" s="27" t="s">
        <v>7</v>
      </c>
      <c r="AY727" s="27" t="s">
        <v>8</v>
      </c>
      <c r="AZ727" s="27" t="s">
        <v>7</v>
      </c>
      <c r="BO727" s="27" t="s">
        <v>8</v>
      </c>
      <c r="BP727" s="27" t="s">
        <v>7</v>
      </c>
      <c r="BQ727" s="27" t="s">
        <v>8</v>
      </c>
      <c r="BR727" s="27" t="s">
        <v>7</v>
      </c>
      <c r="BS727" s="27" t="s">
        <v>8</v>
      </c>
      <c r="BT727" s="27" t="s">
        <v>7</v>
      </c>
      <c r="BU727" s="27" t="s">
        <v>8</v>
      </c>
      <c r="BV727" s="27" t="s">
        <v>7</v>
      </c>
      <c r="CQ727" s="27" t="s">
        <v>8</v>
      </c>
      <c r="CR727" s="27" t="s">
        <v>7</v>
      </c>
      <c r="CS727" s="27" t="s">
        <v>8</v>
      </c>
      <c r="CT727" s="27" t="s">
        <v>7</v>
      </c>
      <c r="CV727" s="27" t="s">
        <v>7</v>
      </c>
      <c r="CW727" s="27" t="s">
        <v>8</v>
      </c>
      <c r="CX727" s="27" t="s">
        <v>7</v>
      </c>
      <c r="CY727" s="27" t="s">
        <v>8</v>
      </c>
      <c r="FJ727" s="27" t="s">
        <v>7</v>
      </c>
      <c r="FK727" s="27" t="s">
        <v>8</v>
      </c>
      <c r="FX727" s="27" t="s">
        <v>7</v>
      </c>
      <c r="FY727" s="27" t="s">
        <v>8</v>
      </c>
      <c r="GJ727" s="27" t="s">
        <v>7</v>
      </c>
      <c r="GK727" s="27" t="s">
        <v>8</v>
      </c>
      <c r="KF727" s="27" t="s">
        <v>7</v>
      </c>
      <c r="KG727" s="27" t="s">
        <v>8</v>
      </c>
    </row>
    <row r="728" spans="1:294" x14ac:dyDescent="0.25">
      <c r="A728" s="7">
        <v>6.1288046885722716E-2</v>
      </c>
      <c r="B728"/>
      <c r="C728"/>
      <c r="D728"/>
      <c r="E728"/>
      <c r="T728" s="27" t="s">
        <v>7</v>
      </c>
      <c r="U728" s="27" t="s">
        <v>8</v>
      </c>
      <c r="V728" s="27" t="s">
        <v>7</v>
      </c>
      <c r="W728" s="27" t="s">
        <v>8</v>
      </c>
      <c r="X728" s="27" t="s">
        <v>7</v>
      </c>
      <c r="Y728" s="27" t="s">
        <v>8</v>
      </c>
      <c r="AF728" s="27" t="s">
        <v>7</v>
      </c>
      <c r="AH728" s="27" t="s">
        <v>7</v>
      </c>
      <c r="AI728" s="27" t="s">
        <v>8</v>
      </c>
      <c r="AJ728" s="27" t="s">
        <v>7</v>
      </c>
      <c r="AK728" s="27" t="s">
        <v>8</v>
      </c>
      <c r="AL728" s="27" t="s">
        <v>7</v>
      </c>
      <c r="AP728" s="27" t="s">
        <v>7</v>
      </c>
      <c r="AQ728" s="27" t="s">
        <v>8</v>
      </c>
      <c r="AR728" s="27" t="s">
        <v>7</v>
      </c>
      <c r="AS728" s="27" t="s">
        <v>8</v>
      </c>
      <c r="AT728" s="27" t="s">
        <v>7</v>
      </c>
      <c r="AU728" s="27" t="s">
        <v>8</v>
      </c>
      <c r="AV728" s="27" t="s">
        <v>7</v>
      </c>
      <c r="AW728" s="27" t="s">
        <v>8</v>
      </c>
      <c r="AX728" s="27" t="s">
        <v>7</v>
      </c>
      <c r="AY728" s="27" t="s">
        <v>8</v>
      </c>
      <c r="AZ728" s="27" t="s">
        <v>7</v>
      </c>
      <c r="BO728" s="27" t="s">
        <v>8</v>
      </c>
      <c r="BP728" s="27" t="s">
        <v>7</v>
      </c>
      <c r="BQ728" s="27" t="s">
        <v>8</v>
      </c>
      <c r="BR728" s="27" t="s">
        <v>7</v>
      </c>
      <c r="BS728" s="27" t="s">
        <v>8</v>
      </c>
      <c r="BT728" s="27" t="s">
        <v>7</v>
      </c>
      <c r="BU728" s="27" t="s">
        <v>8</v>
      </c>
      <c r="BV728" s="27" t="s">
        <v>7</v>
      </c>
      <c r="CQ728" s="27" t="s">
        <v>8</v>
      </c>
      <c r="CR728" s="27" t="s">
        <v>7</v>
      </c>
      <c r="CS728" s="27" t="s">
        <v>8</v>
      </c>
      <c r="CV728" s="27" t="s">
        <v>7</v>
      </c>
      <c r="CW728" s="27" t="s">
        <v>8</v>
      </c>
      <c r="CX728" s="27" t="s">
        <v>7</v>
      </c>
      <c r="FJ728" s="27" t="s">
        <v>7</v>
      </c>
      <c r="FK728" s="27" t="s">
        <v>8</v>
      </c>
      <c r="FX728" s="27" t="s">
        <v>7</v>
      </c>
      <c r="FY728" s="27" t="s">
        <v>8</v>
      </c>
      <c r="GJ728" s="27" t="s">
        <v>7</v>
      </c>
      <c r="GK728" s="27" t="s">
        <v>8</v>
      </c>
      <c r="KF728" s="27" t="s">
        <v>7</v>
      </c>
    </row>
    <row r="729" spans="1:294" x14ac:dyDescent="0.25">
      <c r="A729" s="7">
        <v>6.0086320476198739E-2</v>
      </c>
      <c r="B729"/>
      <c r="C729"/>
      <c r="D729"/>
      <c r="E729"/>
      <c r="T729" s="27" t="s">
        <v>7</v>
      </c>
      <c r="U729" s="27" t="s">
        <v>8</v>
      </c>
      <c r="V729" s="27" t="s">
        <v>7</v>
      </c>
      <c r="W729" s="27" t="s">
        <v>8</v>
      </c>
      <c r="X729" s="27" t="s">
        <v>7</v>
      </c>
      <c r="AH729" s="27" t="s">
        <v>7</v>
      </c>
      <c r="AI729" s="27" t="s">
        <v>8</v>
      </c>
      <c r="AJ729" s="27" t="s">
        <v>7</v>
      </c>
      <c r="AK729" s="27" t="s">
        <v>8</v>
      </c>
      <c r="AP729" s="27" t="s">
        <v>7</v>
      </c>
      <c r="AQ729" s="27" t="s">
        <v>8</v>
      </c>
      <c r="AR729" s="27" t="s">
        <v>7</v>
      </c>
      <c r="AS729" s="27" t="s">
        <v>8</v>
      </c>
      <c r="AT729" s="27" t="s">
        <v>7</v>
      </c>
      <c r="AU729" s="27" t="s">
        <v>8</v>
      </c>
      <c r="AV729" s="27" t="s">
        <v>7</v>
      </c>
      <c r="AX729" s="27" t="s">
        <v>7</v>
      </c>
      <c r="AY729" s="27" t="s">
        <v>8</v>
      </c>
      <c r="AZ729" s="27" t="s">
        <v>7</v>
      </c>
      <c r="BO729" s="27" t="s">
        <v>8</v>
      </c>
      <c r="BP729" s="27" t="s">
        <v>7</v>
      </c>
      <c r="BQ729" s="27" t="s">
        <v>8</v>
      </c>
      <c r="BR729" s="27" t="s">
        <v>7</v>
      </c>
      <c r="BS729" s="27" t="s">
        <v>8</v>
      </c>
      <c r="BT729" s="27" t="s">
        <v>7</v>
      </c>
      <c r="BU729" s="27" t="s">
        <v>8</v>
      </c>
      <c r="BV729" s="27" t="s">
        <v>7</v>
      </c>
      <c r="CQ729" s="27" t="s">
        <v>8</v>
      </c>
      <c r="CR729" s="27" t="s">
        <v>7</v>
      </c>
      <c r="CS729" s="27" t="s">
        <v>8</v>
      </c>
      <c r="CV729" s="27" t="s">
        <v>7</v>
      </c>
      <c r="CW729" s="27" t="s">
        <v>8</v>
      </c>
      <c r="FJ729" s="27" t="s">
        <v>7</v>
      </c>
      <c r="FK729" s="27" t="s">
        <v>8</v>
      </c>
      <c r="FX729" s="27" t="s">
        <v>7</v>
      </c>
      <c r="FY729" s="27" t="s">
        <v>8</v>
      </c>
      <c r="GJ729" s="18" t="s">
        <v>7</v>
      </c>
      <c r="GK729" s="27" t="s">
        <v>8</v>
      </c>
    </row>
    <row r="730" spans="1:294" x14ac:dyDescent="0.25">
      <c r="A730" s="7">
        <v>5.8908157329606609E-2</v>
      </c>
      <c r="B730"/>
      <c r="C730"/>
      <c r="D730"/>
      <c r="E730"/>
      <c r="T730" s="27" t="s">
        <v>7</v>
      </c>
      <c r="U730" s="27" t="s">
        <v>8</v>
      </c>
      <c r="V730" s="27" t="s">
        <v>7</v>
      </c>
      <c r="AH730" s="27" t="s">
        <v>7</v>
      </c>
      <c r="AI730" s="27" t="s">
        <v>8</v>
      </c>
      <c r="AJ730" s="27" t="s">
        <v>7</v>
      </c>
      <c r="AK730" s="27" t="s">
        <v>8</v>
      </c>
      <c r="AP730" s="27" t="s">
        <v>7</v>
      </c>
      <c r="AQ730" s="27" t="s">
        <v>8</v>
      </c>
      <c r="AR730" s="27" t="s">
        <v>7</v>
      </c>
      <c r="AS730" s="27" t="s">
        <v>8</v>
      </c>
      <c r="AT730" s="27" t="s">
        <v>7</v>
      </c>
      <c r="AX730" s="27" t="s">
        <v>7</v>
      </c>
      <c r="AY730" s="27" t="s">
        <v>8</v>
      </c>
      <c r="AZ730" s="27" t="s">
        <v>7</v>
      </c>
      <c r="BI730" s="27" t="s">
        <v>8</v>
      </c>
      <c r="BO730" s="27" t="s">
        <v>8</v>
      </c>
      <c r="BP730" s="27" t="s">
        <v>7</v>
      </c>
      <c r="BQ730" s="27" t="s">
        <v>8</v>
      </c>
      <c r="BR730" s="27" t="s">
        <v>7</v>
      </c>
      <c r="BS730" s="27" t="s">
        <v>8</v>
      </c>
      <c r="BT730" s="27" t="s">
        <v>7</v>
      </c>
      <c r="BV730" s="27" t="s">
        <v>7</v>
      </c>
      <c r="CQ730" s="27" t="s">
        <v>8</v>
      </c>
      <c r="CR730" s="27" t="s">
        <v>7</v>
      </c>
      <c r="CS730" s="27" t="s">
        <v>8</v>
      </c>
      <c r="CV730" s="27" t="s">
        <v>7</v>
      </c>
      <c r="FJ730" s="27" t="s">
        <v>7</v>
      </c>
      <c r="FK730" s="27" t="s">
        <v>8</v>
      </c>
      <c r="FX730" s="27" t="s">
        <v>7</v>
      </c>
      <c r="FY730" s="27" t="s">
        <v>8</v>
      </c>
      <c r="GJ730" s="27" t="s">
        <v>7</v>
      </c>
      <c r="GK730" s="27" t="s">
        <v>8</v>
      </c>
    </row>
    <row r="731" spans="1:294" x14ac:dyDescent="0.25">
      <c r="A731" s="7">
        <v>5.7753095421182947E-2</v>
      </c>
      <c r="B731"/>
      <c r="C731"/>
      <c r="D731"/>
      <c r="E731"/>
      <c r="T731" s="27" t="s">
        <v>7</v>
      </c>
      <c r="U731" s="27" t="s">
        <v>8</v>
      </c>
      <c r="AH731" s="27" t="s">
        <v>7</v>
      </c>
      <c r="AI731" s="27" t="s">
        <v>8</v>
      </c>
      <c r="AJ731" s="27" t="s">
        <v>7</v>
      </c>
      <c r="AK731" s="27" t="s">
        <v>8</v>
      </c>
      <c r="AP731" s="27" t="s">
        <v>7</v>
      </c>
      <c r="AR731" s="27" t="s">
        <v>7</v>
      </c>
      <c r="AS731" s="27" t="s">
        <v>8</v>
      </c>
      <c r="AX731" s="27" t="s">
        <v>7</v>
      </c>
      <c r="AZ731" s="27" t="s">
        <v>7</v>
      </c>
      <c r="BG731" s="27" t="s">
        <v>8</v>
      </c>
      <c r="BI731" s="27" t="s">
        <v>8</v>
      </c>
      <c r="BJ731" s="27" t="s">
        <v>7</v>
      </c>
      <c r="BO731" s="27" t="s">
        <v>8</v>
      </c>
      <c r="BP731" s="27" t="s">
        <v>7</v>
      </c>
      <c r="BQ731" s="27" t="s">
        <v>8</v>
      </c>
      <c r="BR731" s="27" t="s">
        <v>7</v>
      </c>
      <c r="BS731" s="27" t="s">
        <v>8</v>
      </c>
      <c r="BV731" s="27" t="s">
        <v>7</v>
      </c>
      <c r="CO731" s="27" t="s">
        <v>8</v>
      </c>
      <c r="CQ731" s="27" t="s">
        <v>8</v>
      </c>
      <c r="CR731" s="27" t="s">
        <v>7</v>
      </c>
      <c r="CS731" s="27" t="s">
        <v>8</v>
      </c>
      <c r="FJ731" s="27" t="s">
        <v>7</v>
      </c>
      <c r="FK731" s="27" t="s">
        <v>8</v>
      </c>
      <c r="FX731" s="27" t="s">
        <v>7</v>
      </c>
      <c r="FY731" s="27" t="s">
        <v>8</v>
      </c>
      <c r="GJ731" s="27" t="s">
        <v>7</v>
      </c>
      <c r="GK731" s="27" t="s">
        <v>8</v>
      </c>
    </row>
    <row r="732" spans="1:294" x14ac:dyDescent="0.25">
      <c r="A732" s="7">
        <v>5.6620681785473484E-2</v>
      </c>
      <c r="B732"/>
      <c r="C732"/>
      <c r="D732"/>
      <c r="E732"/>
      <c r="T732" s="27" t="s">
        <v>7</v>
      </c>
      <c r="U732" s="27" t="s">
        <v>8</v>
      </c>
      <c r="AH732" s="27" t="s">
        <v>7</v>
      </c>
      <c r="AI732" s="27" t="s">
        <v>8</v>
      </c>
      <c r="AJ732" s="27" t="s">
        <v>7</v>
      </c>
      <c r="AK732" s="27" t="s">
        <v>8</v>
      </c>
      <c r="AR732" s="27" t="s">
        <v>7</v>
      </c>
      <c r="AS732" s="27" t="s">
        <v>8</v>
      </c>
      <c r="AZ732" s="27" t="s">
        <v>7</v>
      </c>
      <c r="BA732" s="27" t="s">
        <v>8</v>
      </c>
      <c r="BG732" s="27" t="s">
        <v>8</v>
      </c>
      <c r="BH732" s="27" t="s">
        <v>7</v>
      </c>
      <c r="BI732" s="27" t="s">
        <v>8</v>
      </c>
      <c r="BJ732" s="27" t="s">
        <v>7</v>
      </c>
      <c r="BO732" s="27" t="s">
        <v>8</v>
      </c>
      <c r="BP732" s="27" t="s">
        <v>7</v>
      </c>
      <c r="BQ732" s="27" t="s">
        <v>8</v>
      </c>
      <c r="BR732" s="27" t="s">
        <v>7</v>
      </c>
      <c r="BV732" s="27" t="s">
        <v>7</v>
      </c>
      <c r="BW732" s="27" t="s">
        <v>8</v>
      </c>
      <c r="BY732" s="27" t="s">
        <v>8</v>
      </c>
      <c r="CO732" s="27" t="s">
        <v>8</v>
      </c>
      <c r="CP732" s="27" t="s">
        <v>7</v>
      </c>
      <c r="CQ732" s="27" t="s">
        <v>8</v>
      </c>
      <c r="CR732" s="27" t="s">
        <v>7</v>
      </c>
      <c r="CS732" s="27" t="s">
        <v>8</v>
      </c>
      <c r="FJ732" s="27" t="s">
        <v>7</v>
      </c>
      <c r="FK732" s="27" t="s">
        <v>8</v>
      </c>
      <c r="FX732" s="27" t="s">
        <v>7</v>
      </c>
      <c r="FY732" s="27" t="s">
        <v>8</v>
      </c>
      <c r="GJ732" s="27" t="s">
        <v>7</v>
      </c>
      <c r="GK732" s="27" t="s">
        <v>8</v>
      </c>
    </row>
    <row r="733" spans="1:294" x14ac:dyDescent="0.25">
      <c r="A733" s="7">
        <v>5.5510472338699497E-2</v>
      </c>
      <c r="B733"/>
      <c r="C733"/>
      <c r="D733"/>
      <c r="E733"/>
      <c r="T733" s="27" t="s">
        <v>7</v>
      </c>
      <c r="AH733" s="27" t="s">
        <v>7</v>
      </c>
      <c r="AI733" s="27" t="s">
        <v>8</v>
      </c>
      <c r="AJ733" s="27" t="s">
        <v>7</v>
      </c>
      <c r="AK733" s="27" t="s">
        <v>8</v>
      </c>
      <c r="AR733" s="27" t="s">
        <v>7</v>
      </c>
      <c r="AS733" s="27" t="s">
        <v>8</v>
      </c>
      <c r="AZ733" s="27" t="s">
        <v>7</v>
      </c>
      <c r="BA733" s="27" t="s">
        <v>8</v>
      </c>
      <c r="BB733" s="27" t="s">
        <v>7</v>
      </c>
      <c r="BG733" s="27" t="s">
        <v>8</v>
      </c>
      <c r="BH733" s="27" t="s">
        <v>7</v>
      </c>
      <c r="BI733" s="27" t="s">
        <v>8</v>
      </c>
      <c r="BJ733" s="27" t="s">
        <v>7</v>
      </c>
      <c r="BK733" s="27" t="s">
        <v>8</v>
      </c>
      <c r="BO733" s="27" t="s">
        <v>8</v>
      </c>
      <c r="BP733" s="27" t="s">
        <v>7</v>
      </c>
      <c r="BQ733" s="27" t="s">
        <v>8</v>
      </c>
      <c r="BV733" s="27" t="s">
        <v>7</v>
      </c>
      <c r="BW733" s="27" t="s">
        <v>8</v>
      </c>
      <c r="BX733" s="27" t="s">
        <v>7</v>
      </c>
      <c r="BY733" s="27" t="s">
        <v>8</v>
      </c>
      <c r="BZ733" s="27" t="s">
        <v>7</v>
      </c>
      <c r="CM733" s="27" t="s">
        <v>8</v>
      </c>
      <c r="CO733" s="27" t="s">
        <v>8</v>
      </c>
      <c r="CP733" s="27" t="s">
        <v>7</v>
      </c>
      <c r="CQ733" s="27" t="s">
        <v>8</v>
      </c>
      <c r="CR733" s="27" t="s">
        <v>7</v>
      </c>
      <c r="CS733" s="27" t="s">
        <v>8</v>
      </c>
      <c r="FJ733" s="27" t="s">
        <v>7</v>
      </c>
      <c r="FK733" s="27" t="s">
        <v>8</v>
      </c>
      <c r="FX733" s="27" t="s">
        <v>7</v>
      </c>
      <c r="FY733" s="27" t="s">
        <v>8</v>
      </c>
      <c r="GJ733" s="27" t="s">
        <v>7</v>
      </c>
      <c r="GK733" s="27" t="s">
        <v>8</v>
      </c>
    </row>
    <row r="734" spans="1:294" x14ac:dyDescent="0.25">
      <c r="A734" s="7">
        <v>5.4422031704607354E-2</v>
      </c>
      <c r="B734"/>
      <c r="C734"/>
      <c r="D734"/>
      <c r="E734"/>
      <c r="AH734" s="27" t="s">
        <v>7</v>
      </c>
      <c r="AI734" s="27" t="s">
        <v>8</v>
      </c>
      <c r="AJ734" s="27" t="s">
        <v>7</v>
      </c>
      <c r="AK734" s="27" t="s">
        <v>8</v>
      </c>
      <c r="AR734" s="27" t="s">
        <v>7</v>
      </c>
      <c r="AS734" s="27" t="s">
        <v>8</v>
      </c>
      <c r="AZ734" s="27" t="s">
        <v>7</v>
      </c>
      <c r="BA734" s="27" t="s">
        <v>8</v>
      </c>
      <c r="BB734" s="27" t="s">
        <v>7</v>
      </c>
      <c r="BE734" s="27" t="s">
        <v>8</v>
      </c>
      <c r="BG734" s="27" t="s">
        <v>8</v>
      </c>
      <c r="BH734" s="27" t="s">
        <v>7</v>
      </c>
      <c r="BI734" s="27" t="s">
        <v>8</v>
      </c>
      <c r="BJ734" s="27" t="s">
        <v>7</v>
      </c>
      <c r="BK734" s="27" t="s">
        <v>8</v>
      </c>
      <c r="BL734" s="27" t="s">
        <v>7</v>
      </c>
      <c r="BM734" s="27" t="s">
        <v>8</v>
      </c>
      <c r="BO734" s="27" t="s">
        <v>8</v>
      </c>
      <c r="BP734" s="27" t="s">
        <v>7</v>
      </c>
      <c r="BQ734" s="27" t="s">
        <v>8</v>
      </c>
      <c r="BV734" s="27" t="s">
        <v>7</v>
      </c>
      <c r="BW734" s="27" t="s">
        <v>8</v>
      </c>
      <c r="BX734" s="27" t="s">
        <v>7</v>
      </c>
      <c r="BY734" s="27" t="s">
        <v>8</v>
      </c>
      <c r="BZ734" s="27" t="s">
        <v>7</v>
      </c>
      <c r="CM734" s="27" t="s">
        <v>8</v>
      </c>
      <c r="CN734" s="27" t="s">
        <v>7</v>
      </c>
      <c r="CO734" s="27" t="s">
        <v>8</v>
      </c>
      <c r="CP734" s="27" t="s">
        <v>7</v>
      </c>
      <c r="CQ734" s="27" t="s">
        <v>8</v>
      </c>
      <c r="CR734" s="27" t="s">
        <v>7</v>
      </c>
      <c r="CS734" s="27" t="s">
        <v>8</v>
      </c>
      <c r="FJ734" s="27" t="s">
        <v>7</v>
      </c>
      <c r="FK734" s="27" t="s">
        <v>8</v>
      </c>
      <c r="FX734" s="27" t="s">
        <v>7</v>
      </c>
      <c r="FY734" s="27" t="s">
        <v>8</v>
      </c>
      <c r="GJ734" s="27" t="s">
        <v>7</v>
      </c>
      <c r="GK734" s="27" t="s">
        <v>8</v>
      </c>
    </row>
    <row r="735" spans="1:294" x14ac:dyDescent="0.25">
      <c r="A735" s="7">
        <v>5.3354933043732705E-2</v>
      </c>
      <c r="B735"/>
      <c r="C735"/>
      <c r="D735"/>
      <c r="E735"/>
      <c r="AH735" s="27" t="s">
        <v>7</v>
      </c>
      <c r="AI735" s="27" t="s">
        <v>8</v>
      </c>
      <c r="AJ735" s="27" t="s">
        <v>7</v>
      </c>
      <c r="AK735" s="27" t="s">
        <v>8</v>
      </c>
      <c r="AR735" s="27" t="s">
        <v>7</v>
      </c>
      <c r="AS735" s="27" t="s">
        <v>8</v>
      </c>
      <c r="AZ735" s="27" t="s">
        <v>7</v>
      </c>
      <c r="BA735" s="27" t="s">
        <v>8</v>
      </c>
      <c r="BB735" s="27" t="s">
        <v>7</v>
      </c>
      <c r="BE735" s="27" t="s">
        <v>8</v>
      </c>
      <c r="BF735" s="27" t="s">
        <v>7</v>
      </c>
      <c r="BG735" s="27" t="s">
        <v>8</v>
      </c>
      <c r="BH735" s="27" t="s">
        <v>7</v>
      </c>
      <c r="BI735" s="27" t="s">
        <v>8</v>
      </c>
      <c r="BJ735" s="27" t="s">
        <v>7</v>
      </c>
      <c r="BK735" s="27" t="s">
        <v>8</v>
      </c>
      <c r="BL735" s="27" t="s">
        <v>7</v>
      </c>
      <c r="BM735" s="27" t="s">
        <v>8</v>
      </c>
      <c r="BN735" s="27" t="s">
        <v>7</v>
      </c>
      <c r="BO735" s="27" t="s">
        <v>8</v>
      </c>
      <c r="BP735" s="27" t="s">
        <v>7</v>
      </c>
      <c r="BQ735" s="27" t="s">
        <v>8</v>
      </c>
      <c r="BV735" s="27" t="s">
        <v>7</v>
      </c>
      <c r="BW735" s="27" t="s">
        <v>8</v>
      </c>
      <c r="BX735" s="27" t="s">
        <v>7</v>
      </c>
      <c r="BY735" s="27" t="s">
        <v>8</v>
      </c>
      <c r="BZ735" s="27" t="s">
        <v>7</v>
      </c>
      <c r="CM735" s="27" t="s">
        <v>8</v>
      </c>
      <c r="CN735" s="27" t="s">
        <v>7</v>
      </c>
      <c r="CO735" s="27" t="s">
        <v>8</v>
      </c>
      <c r="CP735" s="27" t="s">
        <v>7</v>
      </c>
      <c r="CQ735" s="27" t="s">
        <v>8</v>
      </c>
      <c r="CR735" s="27" t="s">
        <v>7</v>
      </c>
      <c r="CS735" s="27" t="s">
        <v>8</v>
      </c>
      <c r="FJ735" s="27" t="s">
        <v>7</v>
      </c>
      <c r="FX735" s="27" t="s">
        <v>7</v>
      </c>
      <c r="FY735" s="27" t="s">
        <v>8</v>
      </c>
      <c r="GJ735" s="27" t="s">
        <v>7</v>
      </c>
    </row>
    <row r="736" spans="1:294" x14ac:dyDescent="0.25">
      <c r="A736" s="7">
        <v>5.2308757886012455E-2</v>
      </c>
      <c r="B736"/>
      <c r="C736"/>
      <c r="D736"/>
      <c r="E736"/>
      <c r="AH736" s="27" t="s">
        <v>7</v>
      </c>
      <c r="AI736" s="27" t="s">
        <v>8</v>
      </c>
      <c r="AJ736" s="27" t="s">
        <v>7</v>
      </c>
      <c r="AK736" s="27" t="s">
        <v>8</v>
      </c>
      <c r="AR736" s="27" t="s">
        <v>7</v>
      </c>
      <c r="AS736" s="27" t="s">
        <v>8</v>
      </c>
      <c r="AZ736" s="27" t="s">
        <v>7</v>
      </c>
      <c r="BA736" s="27" t="s">
        <v>8</v>
      </c>
      <c r="BB736" s="27" t="s">
        <v>7</v>
      </c>
      <c r="BE736" s="27" t="s">
        <v>8</v>
      </c>
      <c r="BF736" s="27" t="s">
        <v>7</v>
      </c>
      <c r="BG736" s="27" t="s">
        <v>8</v>
      </c>
      <c r="BH736" s="27" t="s">
        <v>7</v>
      </c>
      <c r="BI736" s="27" t="s">
        <v>8</v>
      </c>
      <c r="BJ736" s="27" t="s">
        <v>7</v>
      </c>
      <c r="BK736" s="27" t="s">
        <v>8</v>
      </c>
      <c r="BL736" s="27" t="s">
        <v>7</v>
      </c>
      <c r="BM736" s="27" t="s">
        <v>8</v>
      </c>
      <c r="BN736" s="27" t="s">
        <v>7</v>
      </c>
      <c r="BO736" s="27" t="s">
        <v>8</v>
      </c>
      <c r="BP736" s="27" t="s">
        <v>7</v>
      </c>
      <c r="BQ736" s="27" t="s">
        <v>8</v>
      </c>
      <c r="BV736" s="27" t="s">
        <v>7</v>
      </c>
      <c r="BW736" s="27" t="s">
        <v>8</v>
      </c>
      <c r="BX736" s="27" t="s">
        <v>7</v>
      </c>
      <c r="BY736" s="27" t="s">
        <v>8</v>
      </c>
      <c r="BZ736" s="27" t="s">
        <v>7</v>
      </c>
      <c r="CM736" s="27" t="s">
        <v>8</v>
      </c>
      <c r="CN736" s="27" t="s">
        <v>7</v>
      </c>
      <c r="CO736" s="27" t="s">
        <v>8</v>
      </c>
      <c r="CP736" s="27" t="s">
        <v>7</v>
      </c>
      <c r="CQ736" s="27" t="s">
        <v>8</v>
      </c>
      <c r="CR736" s="27" t="s">
        <v>7</v>
      </c>
      <c r="FX736" s="27" t="s">
        <v>7</v>
      </c>
    </row>
    <row r="737" spans="1:95" x14ac:dyDescent="0.25">
      <c r="A737" s="7">
        <v>5.1283095966678877E-2</v>
      </c>
      <c r="B737"/>
      <c r="C737"/>
      <c r="D737"/>
      <c r="E737"/>
      <c r="AH737" s="27" t="s">
        <v>7</v>
      </c>
      <c r="AI737" s="27" t="s">
        <v>8</v>
      </c>
      <c r="AJ737" s="27" t="s">
        <v>7</v>
      </c>
      <c r="AR737" s="27" t="s">
        <v>7</v>
      </c>
      <c r="AS737" s="27" t="s">
        <v>8</v>
      </c>
      <c r="AZ737" s="27" t="s">
        <v>7</v>
      </c>
      <c r="BB737" s="27" t="s">
        <v>7</v>
      </c>
      <c r="BE737" s="27" t="s">
        <v>8</v>
      </c>
      <c r="BF737" s="27" t="s">
        <v>7</v>
      </c>
      <c r="BG737" s="27" t="s">
        <v>8</v>
      </c>
      <c r="BH737" s="27" t="s">
        <v>7</v>
      </c>
      <c r="BI737" s="27" t="s">
        <v>8</v>
      </c>
      <c r="BJ737" s="27" t="s">
        <v>7</v>
      </c>
      <c r="BL737" s="27" t="s">
        <v>7</v>
      </c>
      <c r="BM737" s="27" t="s">
        <v>8</v>
      </c>
      <c r="BN737" s="27" t="s">
        <v>7</v>
      </c>
      <c r="BO737" s="27" t="s">
        <v>8</v>
      </c>
      <c r="BP737" s="27" t="s">
        <v>7</v>
      </c>
      <c r="BQ737" s="27" t="s">
        <v>8</v>
      </c>
      <c r="BV737" s="27" t="s">
        <v>7</v>
      </c>
      <c r="BX737" s="27" t="s">
        <v>7</v>
      </c>
      <c r="BY737" s="27" t="s">
        <v>8</v>
      </c>
      <c r="BZ737" s="27" t="s">
        <v>7</v>
      </c>
      <c r="CM737" s="27" t="s">
        <v>8</v>
      </c>
      <c r="CN737" s="27" t="s">
        <v>7</v>
      </c>
      <c r="CO737" s="27" t="s">
        <v>8</v>
      </c>
      <c r="CP737" s="27" t="s">
        <v>7</v>
      </c>
      <c r="CQ737" s="27" t="s">
        <v>8</v>
      </c>
    </row>
    <row r="738" spans="1:95" x14ac:dyDescent="0.25">
      <c r="A738" s="7">
        <v>5.0277545065371444E-2</v>
      </c>
      <c r="B738"/>
      <c r="C738"/>
      <c r="D738"/>
      <c r="E738"/>
      <c r="AH738" s="27" t="s">
        <v>7</v>
      </c>
      <c r="AI738" s="27" t="s">
        <v>8</v>
      </c>
      <c r="AR738" s="27" t="s">
        <v>7</v>
      </c>
      <c r="BB738" s="27" t="s">
        <v>7</v>
      </c>
      <c r="BC738" s="27" t="s">
        <v>8</v>
      </c>
      <c r="BE738" s="27" t="s">
        <v>8</v>
      </c>
      <c r="BF738" s="27" t="s">
        <v>7</v>
      </c>
      <c r="BG738" s="27" t="s">
        <v>8</v>
      </c>
      <c r="BH738" s="27" t="s">
        <v>7</v>
      </c>
      <c r="BI738" s="27" t="s">
        <v>8</v>
      </c>
      <c r="BL738" s="27" t="s">
        <v>7</v>
      </c>
      <c r="BM738" s="27" t="s">
        <v>8</v>
      </c>
      <c r="BN738" s="27" t="s">
        <v>7</v>
      </c>
      <c r="BP738" s="27" t="s">
        <v>7</v>
      </c>
      <c r="BQ738" s="27" t="s">
        <v>8</v>
      </c>
      <c r="BX738" s="27" t="s">
        <v>7</v>
      </c>
      <c r="BY738" s="27" t="s">
        <v>8</v>
      </c>
      <c r="BZ738" s="27" t="s">
        <v>7</v>
      </c>
      <c r="CM738" s="27" t="s">
        <v>8</v>
      </c>
      <c r="CN738" s="27" t="s">
        <v>7</v>
      </c>
      <c r="CO738" s="27" t="s">
        <v>8</v>
      </c>
      <c r="CP738" s="27" t="s">
        <v>7</v>
      </c>
      <c r="CQ738" s="27" t="s">
        <v>8</v>
      </c>
    </row>
    <row r="739" spans="1:95" x14ac:dyDescent="0.25">
      <c r="A739" s="7">
        <v>4.9291710848403378E-2</v>
      </c>
      <c r="B739"/>
      <c r="C739"/>
      <c r="D739"/>
      <c r="E739"/>
      <c r="AH739" s="27" t="s">
        <v>7</v>
      </c>
      <c r="AI739" s="27" t="s">
        <v>8</v>
      </c>
      <c r="BB739" s="27" t="s">
        <v>7</v>
      </c>
      <c r="BC739" s="27" t="s">
        <v>8</v>
      </c>
      <c r="BD739" s="27" t="s">
        <v>7</v>
      </c>
      <c r="BE739" s="27" t="s">
        <v>8</v>
      </c>
      <c r="BF739" s="27" t="s">
        <v>7</v>
      </c>
      <c r="BG739" s="27" t="s">
        <v>8</v>
      </c>
      <c r="BH739" s="27" t="s">
        <v>7</v>
      </c>
      <c r="BI739" s="27" t="s">
        <v>8</v>
      </c>
      <c r="BL739" s="27" t="s">
        <v>7</v>
      </c>
      <c r="BP739" s="27" t="s">
        <v>7</v>
      </c>
      <c r="BX739" s="27" t="s">
        <v>7</v>
      </c>
      <c r="BZ739" s="27" t="s">
        <v>7</v>
      </c>
      <c r="CM739" s="27" t="s">
        <v>8</v>
      </c>
      <c r="CN739" s="27" t="s">
        <v>7</v>
      </c>
      <c r="CO739" s="27" t="s">
        <v>8</v>
      </c>
      <c r="CP739" s="27" t="s">
        <v>7</v>
      </c>
      <c r="CQ739" s="27" t="s">
        <v>8</v>
      </c>
    </row>
    <row r="740" spans="1:95" x14ac:dyDescent="0.25">
      <c r="A740" s="7">
        <v>4.8325206714120959E-2</v>
      </c>
      <c r="B740"/>
      <c r="C740"/>
      <c r="D740"/>
      <c r="E740"/>
      <c r="AH740" s="27" t="s">
        <v>7</v>
      </c>
      <c r="AI740" s="27" t="s">
        <v>8</v>
      </c>
      <c r="BB740" s="27" t="s">
        <v>7</v>
      </c>
      <c r="BC740" s="27" t="s">
        <v>8</v>
      </c>
      <c r="BD740" s="27" t="s">
        <v>7</v>
      </c>
      <c r="BE740" s="27" t="s">
        <v>8</v>
      </c>
      <c r="BF740" s="27" t="s">
        <v>7</v>
      </c>
      <c r="BG740" s="27" t="s">
        <v>8</v>
      </c>
      <c r="BH740" s="27" t="s">
        <v>7</v>
      </c>
      <c r="BZ740" s="27" t="s">
        <v>7</v>
      </c>
      <c r="CM740" s="27" t="s">
        <v>8</v>
      </c>
      <c r="CN740" s="27" t="s">
        <v>7</v>
      </c>
      <c r="CO740" s="27" t="s">
        <v>8</v>
      </c>
      <c r="CP740" s="27" t="s">
        <v>7</v>
      </c>
    </row>
    <row r="741" spans="1:95" x14ac:dyDescent="0.25">
      <c r="A741" s="7">
        <v>4.7377653641295057E-2</v>
      </c>
      <c r="B741"/>
      <c r="C741"/>
      <c r="D741"/>
      <c r="E741"/>
      <c r="AH741" s="27" t="s">
        <v>7</v>
      </c>
      <c r="AI741" s="27" t="s">
        <v>8</v>
      </c>
      <c r="BB741" s="27" t="s">
        <v>7</v>
      </c>
      <c r="BC741" s="27" t="s">
        <v>8</v>
      </c>
      <c r="BD741" s="27" t="s">
        <v>7</v>
      </c>
      <c r="BE741" s="27" t="s">
        <v>8</v>
      </c>
      <c r="BF741" s="27" t="s">
        <v>7</v>
      </c>
      <c r="BG741" s="27" t="s">
        <v>8</v>
      </c>
      <c r="BZ741" s="27" t="s">
        <v>7</v>
      </c>
      <c r="CM741" s="27" t="s">
        <v>8</v>
      </c>
      <c r="CN741" s="27" t="s">
        <v>7</v>
      </c>
      <c r="CO741" s="27" t="s">
        <v>8</v>
      </c>
    </row>
    <row r="742" spans="1:95" x14ac:dyDescent="0.25">
      <c r="A742" s="7">
        <v>4.644868004048535E-2</v>
      </c>
      <c r="B742"/>
      <c r="C742"/>
      <c r="D742"/>
      <c r="E742"/>
      <c r="AH742" s="27" t="s">
        <v>7</v>
      </c>
      <c r="AI742" s="27" t="s">
        <v>8</v>
      </c>
      <c r="BB742" s="27" t="s">
        <v>7</v>
      </c>
      <c r="BC742" s="27" t="s">
        <v>8</v>
      </c>
      <c r="BD742" s="27" t="s">
        <v>7</v>
      </c>
      <c r="BE742" s="27" t="s">
        <v>8</v>
      </c>
      <c r="BF742" s="27" t="s">
        <v>7</v>
      </c>
      <c r="BG742" s="27" t="s">
        <v>8</v>
      </c>
      <c r="BZ742" s="27" t="s">
        <v>7</v>
      </c>
      <c r="CK742" s="27" t="s">
        <v>8</v>
      </c>
      <c r="CM742" s="27" t="s">
        <v>8</v>
      </c>
      <c r="CN742" s="27" t="s">
        <v>7</v>
      </c>
      <c r="CO742" s="27" t="s">
        <v>8</v>
      </c>
    </row>
    <row r="743" spans="1:95" x14ac:dyDescent="0.25">
      <c r="A743" s="7">
        <v>4.5537921608318974E-2</v>
      </c>
      <c r="B743"/>
      <c r="C743"/>
      <c r="D743"/>
      <c r="E743"/>
      <c r="AH743" s="27" t="s">
        <v>7</v>
      </c>
      <c r="AI743" s="27" t="s">
        <v>8</v>
      </c>
      <c r="BB743" s="27" t="s">
        <v>7</v>
      </c>
      <c r="BD743" s="27" t="s">
        <v>7</v>
      </c>
      <c r="BE743" s="27" t="s">
        <v>8</v>
      </c>
      <c r="BF743" s="27" t="s">
        <v>7</v>
      </c>
      <c r="BZ743" s="27" t="s">
        <v>7</v>
      </c>
      <c r="CA743" s="27" t="s">
        <v>8</v>
      </c>
      <c r="CK743" s="27" t="s">
        <v>8</v>
      </c>
      <c r="CL743" s="27" t="s">
        <v>7</v>
      </c>
      <c r="CM743" s="27" t="s">
        <v>8</v>
      </c>
      <c r="CN743" s="27" t="s">
        <v>7</v>
      </c>
      <c r="CO743" s="27" t="s">
        <v>8</v>
      </c>
    </row>
    <row r="744" spans="1:95" x14ac:dyDescent="0.25">
      <c r="A744" s="7">
        <v>4.4645021184626446E-2</v>
      </c>
      <c r="B744"/>
      <c r="C744"/>
      <c r="D744"/>
      <c r="E744"/>
      <c r="AH744" s="27" t="s">
        <v>7</v>
      </c>
      <c r="AI744" s="27" t="s">
        <v>8</v>
      </c>
      <c r="BD744" s="27" t="s">
        <v>7</v>
      </c>
      <c r="BE744" s="27" t="s">
        <v>8</v>
      </c>
      <c r="BZ744" s="27" t="s">
        <v>7</v>
      </c>
      <c r="CA744" s="27" t="s">
        <v>8</v>
      </c>
      <c r="CB744" s="27" t="s">
        <v>7</v>
      </c>
      <c r="CK744" s="27" t="s">
        <v>8</v>
      </c>
      <c r="CL744" s="27" t="s">
        <v>7</v>
      </c>
      <c r="CM744" s="27" t="s">
        <v>8</v>
      </c>
      <c r="CN744" s="27" t="s">
        <v>7</v>
      </c>
      <c r="CO744" s="27" t="s">
        <v>8</v>
      </c>
    </row>
    <row r="745" spans="1:95" x14ac:dyDescent="0.25">
      <c r="A745" s="7">
        <v>4.3769628612378868E-2</v>
      </c>
      <c r="B745"/>
      <c r="C745"/>
      <c r="D745"/>
      <c r="E745"/>
      <c r="AH745" s="27" t="s">
        <v>7</v>
      </c>
      <c r="AI745" s="27" t="s">
        <v>8</v>
      </c>
      <c r="BD745" s="27" t="s">
        <v>7</v>
      </c>
      <c r="BE745" s="27" t="s">
        <v>8</v>
      </c>
      <c r="BZ745" s="27" t="s">
        <v>7</v>
      </c>
      <c r="CA745" s="27" t="s">
        <v>8</v>
      </c>
      <c r="CB745" s="27" t="s">
        <v>7</v>
      </c>
      <c r="CK745" s="27" t="s">
        <v>8</v>
      </c>
      <c r="CL745" s="27" t="s">
        <v>7</v>
      </c>
      <c r="CM745" s="27" t="s">
        <v>8</v>
      </c>
      <c r="CN745" s="27" t="s">
        <v>7</v>
      </c>
      <c r="CO745" s="27" t="s">
        <v>8</v>
      </c>
    </row>
    <row r="746" spans="1:95" x14ac:dyDescent="0.25">
      <c r="A746" s="7">
        <v>4.2911400600371442E-2</v>
      </c>
      <c r="B746"/>
      <c r="C746"/>
      <c r="D746"/>
      <c r="E746"/>
      <c r="AH746" s="27" t="s">
        <v>7</v>
      </c>
      <c r="BD746" s="27" t="s">
        <v>7</v>
      </c>
      <c r="BE746" s="27" t="s">
        <v>8</v>
      </c>
      <c r="BZ746" s="27" t="s">
        <v>7</v>
      </c>
      <c r="CA746" s="27" t="s">
        <v>8</v>
      </c>
      <c r="CB746" s="27" t="s">
        <v>7</v>
      </c>
      <c r="CK746" s="27" t="s">
        <v>8</v>
      </c>
      <c r="CL746" s="27" t="s">
        <v>7</v>
      </c>
      <c r="CM746" s="27" t="s">
        <v>8</v>
      </c>
      <c r="CN746" s="27" t="s">
        <v>7</v>
      </c>
      <c r="CO746" s="27" t="s">
        <v>8</v>
      </c>
    </row>
    <row r="747" spans="1:95" x14ac:dyDescent="0.25">
      <c r="A747" s="7">
        <v>4.2070000588599457E-2</v>
      </c>
      <c r="B747"/>
      <c r="C747"/>
      <c r="D747"/>
      <c r="E747"/>
      <c r="BD747" s="27" t="s">
        <v>7</v>
      </c>
      <c r="BE747" s="27" t="s">
        <v>8</v>
      </c>
      <c r="BZ747" s="27" t="s">
        <v>7</v>
      </c>
      <c r="CA747" s="27" t="s">
        <v>8</v>
      </c>
      <c r="CB747" s="27" t="s">
        <v>7</v>
      </c>
      <c r="CG747" s="27" t="s">
        <v>8</v>
      </c>
      <c r="CI747" s="27" t="s">
        <v>8</v>
      </c>
      <c r="CK747" s="27" t="s">
        <v>8</v>
      </c>
      <c r="CL747" s="27" t="s">
        <v>7</v>
      </c>
      <c r="CM747" s="27" t="s">
        <v>8</v>
      </c>
      <c r="CN747" s="27" t="s">
        <v>7</v>
      </c>
      <c r="CO747" s="27" t="s">
        <v>8</v>
      </c>
    </row>
    <row r="748" spans="1:95" x14ac:dyDescent="0.25">
      <c r="A748" s="7">
        <v>4.1245098616273977E-2</v>
      </c>
      <c r="B748"/>
      <c r="C748"/>
      <c r="D748"/>
      <c r="E748"/>
      <c r="BD748" s="27" t="s">
        <v>7</v>
      </c>
      <c r="BE748" s="27" t="s">
        <v>8</v>
      </c>
      <c r="BZ748" s="27" t="s">
        <v>7</v>
      </c>
      <c r="CA748" s="27" t="s">
        <v>8</v>
      </c>
      <c r="CB748" s="27" t="s">
        <v>7</v>
      </c>
      <c r="CE748" s="27" t="s">
        <v>8</v>
      </c>
      <c r="CG748" s="27" t="s">
        <v>8</v>
      </c>
      <c r="CH748" s="27" t="s">
        <v>7</v>
      </c>
      <c r="CI748" s="27" t="s">
        <v>8</v>
      </c>
      <c r="CJ748" s="27" t="s">
        <v>7</v>
      </c>
      <c r="CK748" s="27" t="s">
        <v>8</v>
      </c>
      <c r="CL748" s="27" t="s">
        <v>7</v>
      </c>
      <c r="CM748" s="27" t="s">
        <v>8</v>
      </c>
      <c r="CN748" s="27" t="s">
        <v>7</v>
      </c>
      <c r="CO748" s="27" t="s">
        <v>8</v>
      </c>
    </row>
    <row r="749" spans="1:95" x14ac:dyDescent="0.25">
      <c r="A749" s="7">
        <v>4.043637119242547E-2</v>
      </c>
      <c r="B749"/>
      <c r="C749"/>
      <c r="D749"/>
      <c r="E749"/>
      <c r="BD749" s="27" t="s">
        <v>7</v>
      </c>
      <c r="BE749" s="27" t="s">
        <v>8</v>
      </c>
      <c r="BZ749" s="27" t="s">
        <v>7</v>
      </c>
      <c r="CA749" s="27" t="s">
        <v>8</v>
      </c>
      <c r="CB749" s="27" t="s">
        <v>7</v>
      </c>
      <c r="CE749" s="27" t="s">
        <v>8</v>
      </c>
      <c r="CF749" s="27" t="s">
        <v>7</v>
      </c>
      <c r="CG749" s="27" t="s">
        <v>8</v>
      </c>
      <c r="CH749" s="27" t="s">
        <v>7</v>
      </c>
      <c r="CI749" s="27" t="s">
        <v>8</v>
      </c>
      <c r="CJ749" s="27" t="s">
        <v>7</v>
      </c>
      <c r="CK749" s="27" t="s">
        <v>8</v>
      </c>
      <c r="CL749" s="27" t="s">
        <v>7</v>
      </c>
      <c r="CM749" s="27" t="s">
        <v>8</v>
      </c>
      <c r="CN749" s="27" t="s">
        <v>7</v>
      </c>
      <c r="CO749" s="27" t="s">
        <v>8</v>
      </c>
    </row>
    <row r="750" spans="1:95" x14ac:dyDescent="0.25">
      <c r="A750" s="7">
        <v>3.9643501169044582E-2</v>
      </c>
      <c r="B750"/>
      <c r="C750"/>
      <c r="D750"/>
      <c r="E750"/>
      <c r="BD750" s="27" t="s">
        <v>7</v>
      </c>
      <c r="BE750" s="27" t="s">
        <v>8</v>
      </c>
      <c r="BZ750" s="27" t="s">
        <v>7</v>
      </c>
      <c r="CA750" s="27" t="s">
        <v>8</v>
      </c>
      <c r="CB750" s="27" t="s">
        <v>7</v>
      </c>
      <c r="CE750" s="27" t="s">
        <v>8</v>
      </c>
      <c r="CF750" s="27" t="s">
        <v>7</v>
      </c>
      <c r="CG750" s="27" t="s">
        <v>8</v>
      </c>
      <c r="CH750" s="27" t="s">
        <v>7</v>
      </c>
      <c r="CI750" s="27" t="s">
        <v>8</v>
      </c>
      <c r="CJ750" s="27" t="s">
        <v>7</v>
      </c>
      <c r="CK750" s="27" t="s">
        <v>8</v>
      </c>
      <c r="CL750" s="27" t="s">
        <v>7</v>
      </c>
      <c r="CN750" s="27" t="s">
        <v>7</v>
      </c>
      <c r="CO750" s="27" t="s">
        <v>8</v>
      </c>
    </row>
    <row r="751" spans="1:95" x14ac:dyDescent="0.25">
      <c r="A751" s="7">
        <v>3.8866177616710372E-2</v>
      </c>
      <c r="B751"/>
      <c r="C751"/>
      <c r="D751"/>
      <c r="E751"/>
      <c r="BD751" s="27" t="s">
        <v>7</v>
      </c>
      <c r="BZ751" s="27" t="s">
        <v>7</v>
      </c>
      <c r="CB751" s="27" t="s">
        <v>7</v>
      </c>
      <c r="CE751" s="27" t="s">
        <v>8</v>
      </c>
      <c r="CF751" s="27" t="s">
        <v>7</v>
      </c>
      <c r="CG751" s="27" t="s">
        <v>8</v>
      </c>
      <c r="CH751" s="27" t="s">
        <v>7</v>
      </c>
      <c r="CI751" s="27" t="s">
        <v>8</v>
      </c>
      <c r="CJ751" s="27" t="s">
        <v>7</v>
      </c>
      <c r="CK751" s="27" t="s">
        <v>8</v>
      </c>
      <c r="CN751" s="27" t="s">
        <v>7</v>
      </c>
      <c r="CO751" s="27" t="s">
        <v>8</v>
      </c>
    </row>
    <row r="752" spans="1:95" x14ac:dyDescent="0.25">
      <c r="A752" s="7">
        <v>3.8104095702657229E-2</v>
      </c>
      <c r="B752"/>
      <c r="C752"/>
      <c r="D752"/>
      <c r="E752"/>
      <c r="CB752" s="27" t="s">
        <v>7</v>
      </c>
      <c r="CC752" s="27" t="s">
        <v>8</v>
      </c>
      <c r="CE752" s="27" t="s">
        <v>8</v>
      </c>
      <c r="CF752" s="27" t="s">
        <v>7</v>
      </c>
      <c r="CG752" s="27" t="s">
        <v>8</v>
      </c>
      <c r="CH752" s="27" t="s">
        <v>7</v>
      </c>
      <c r="CI752" s="27" t="s">
        <v>8</v>
      </c>
      <c r="CJ752" s="27" t="s">
        <v>7</v>
      </c>
      <c r="CK752" s="27" t="s">
        <v>8</v>
      </c>
      <c r="CN752" s="27" t="s">
        <v>7</v>
      </c>
      <c r="CO752" s="27" t="s">
        <v>8</v>
      </c>
    </row>
    <row r="753" spans="1:93" x14ac:dyDescent="0.25">
      <c r="A753" s="7">
        <v>3.7356956571232579E-2</v>
      </c>
      <c r="B753"/>
      <c r="C753"/>
      <c r="D753"/>
      <c r="E753"/>
      <c r="CB753" s="27" t="s">
        <v>7</v>
      </c>
      <c r="CC753" s="27" t="s">
        <v>8</v>
      </c>
      <c r="CD753" s="27" t="s">
        <v>7</v>
      </c>
      <c r="CE753" s="27" t="s">
        <v>8</v>
      </c>
      <c r="CF753" s="27" t="s">
        <v>7</v>
      </c>
      <c r="CG753" s="27" t="s">
        <v>8</v>
      </c>
      <c r="CH753" s="27" t="s">
        <v>7</v>
      </c>
      <c r="CI753" s="27" t="s">
        <v>8</v>
      </c>
      <c r="CJ753" s="27" t="s">
        <v>7</v>
      </c>
      <c r="CK753" s="27" t="s">
        <v>8</v>
      </c>
      <c r="CN753" s="27" t="s">
        <v>7</v>
      </c>
      <c r="CO753" s="27" t="s">
        <v>8</v>
      </c>
    </row>
    <row r="754" spans="1:93" x14ac:dyDescent="0.25">
      <c r="A754" s="7">
        <v>3.6624467226698605E-2</v>
      </c>
      <c r="B754"/>
      <c r="C754"/>
      <c r="D754"/>
      <c r="E754"/>
      <c r="CB754" s="27" t="s">
        <v>7</v>
      </c>
      <c r="CC754" s="27" t="s">
        <v>8</v>
      </c>
      <c r="CD754" s="27" t="s">
        <v>7</v>
      </c>
      <c r="CE754" s="27" t="s">
        <v>8</v>
      </c>
      <c r="CF754" s="27" t="s">
        <v>7</v>
      </c>
      <c r="CG754" s="27" t="s">
        <v>8</v>
      </c>
      <c r="CH754" s="27" t="s">
        <v>7</v>
      </c>
      <c r="CI754" s="27" t="s">
        <v>8</v>
      </c>
      <c r="CJ754" s="27" t="s">
        <v>7</v>
      </c>
      <c r="CN754" s="27" t="s">
        <v>7</v>
      </c>
      <c r="CO754" s="27" t="s">
        <v>8</v>
      </c>
    </row>
    <row r="755" spans="1:93" x14ac:dyDescent="0.25">
      <c r="A755" s="7">
        <v>3.5906340418331961E-2</v>
      </c>
      <c r="B755"/>
      <c r="C755"/>
      <c r="D755"/>
      <c r="E755"/>
      <c r="CB755" s="27" t="s">
        <v>7</v>
      </c>
      <c r="CC755" s="27" t="s">
        <v>8</v>
      </c>
      <c r="CD755" s="27" t="s">
        <v>7</v>
      </c>
      <c r="CE755" s="27" t="s">
        <v>8</v>
      </c>
      <c r="CF755" s="27" t="s">
        <v>7</v>
      </c>
      <c r="CG755" s="27" t="s">
        <v>8</v>
      </c>
      <c r="CH755" s="27" t="s">
        <v>7</v>
      </c>
      <c r="CI755" s="27" t="s">
        <v>8</v>
      </c>
      <c r="CN755" s="27" t="s">
        <v>7</v>
      </c>
      <c r="CO755" s="27" t="s">
        <v>8</v>
      </c>
    </row>
    <row r="756" spans="1:93" x14ac:dyDescent="0.25">
      <c r="A756" s="7">
        <v>3.5202294527776436E-2</v>
      </c>
      <c r="B756"/>
      <c r="C756"/>
      <c r="D756"/>
      <c r="E756"/>
      <c r="CB756" s="27" t="s">
        <v>7</v>
      </c>
      <c r="CC756" s="27" t="s">
        <v>8</v>
      </c>
      <c r="CD756" s="27" t="s">
        <v>7</v>
      </c>
      <c r="CE756" s="27" t="s">
        <v>8</v>
      </c>
      <c r="CF756" s="27" t="s">
        <v>7</v>
      </c>
      <c r="CG756" s="27" t="s">
        <v>8</v>
      </c>
      <c r="CH756" s="27" t="s">
        <v>7</v>
      </c>
      <c r="CI756" s="27" t="s">
        <v>8</v>
      </c>
      <c r="CN756" s="27" t="s">
        <v>7</v>
      </c>
    </row>
    <row r="757" spans="1:93" x14ac:dyDescent="0.25">
      <c r="A757" s="7">
        <v>3.451205345860435E-2</v>
      </c>
      <c r="B757"/>
      <c r="C757"/>
      <c r="D757"/>
      <c r="E757"/>
      <c r="CB757" s="27" t="s">
        <v>7</v>
      </c>
      <c r="CC757" s="27" t="s">
        <v>8</v>
      </c>
      <c r="CD757" s="27" t="s">
        <v>7</v>
      </c>
      <c r="CF757" s="27" t="s">
        <v>7</v>
      </c>
      <c r="CG757" s="27" t="s">
        <v>8</v>
      </c>
      <c r="CH757" s="27" t="s">
        <v>7</v>
      </c>
    </row>
    <row r="758" spans="1:93" x14ac:dyDescent="0.25">
      <c r="A758" s="7">
        <v>3.3835346528043479E-2</v>
      </c>
      <c r="B758"/>
      <c r="C758"/>
      <c r="D758"/>
      <c r="E758"/>
      <c r="CB758" s="27" t="s">
        <v>7</v>
      </c>
      <c r="CC758" s="27" t="s">
        <v>8</v>
      </c>
      <c r="CF758" s="27" t="s">
        <v>7</v>
      </c>
    </row>
    <row r="759" spans="1:93" x14ac:dyDescent="0.25">
      <c r="A759" s="7">
        <v>3.3171908360826938E-2</v>
      </c>
      <c r="B759"/>
      <c r="C759"/>
      <c r="D759"/>
      <c r="E759"/>
      <c r="CB759" s="27" t="s">
        <v>7</v>
      </c>
      <c r="CC759" s="27" t="s">
        <v>8</v>
      </c>
    </row>
    <row r="760" spans="1:93" x14ac:dyDescent="0.25">
      <c r="A760" s="7">
        <v>3.2521478785124451E-2</v>
      </c>
      <c r="B760"/>
      <c r="C760"/>
      <c r="D760"/>
      <c r="E760"/>
      <c r="CB760" s="27" t="s">
        <v>7</v>
      </c>
      <c r="CC760" s="27" t="s">
        <v>8</v>
      </c>
    </row>
    <row r="761" spans="1:93" x14ac:dyDescent="0.25">
      <c r="A761" s="7">
        <v>3.1883802730514173E-2</v>
      </c>
      <c r="B761"/>
      <c r="C761"/>
      <c r="D761"/>
      <c r="E761"/>
      <c r="CB761" s="27" t="s">
        <v>7</v>
      </c>
    </row>
    <row r="762" spans="1:93" x14ac:dyDescent="0.25">
      <c r="A762" s="7">
        <v>3.1258630127955073E-2</v>
      </c>
      <c r="B762"/>
      <c r="C762"/>
      <c r="D762"/>
      <c r="E762"/>
    </row>
    <row r="763" spans="1:93" x14ac:dyDescent="0.25">
      <c r="A763" s="7">
        <v>3.064571581172066E-2</v>
      </c>
      <c r="B763"/>
      <c r="C763"/>
      <c r="D763"/>
      <c r="E763"/>
    </row>
    <row r="764" spans="1:93" x14ac:dyDescent="0.25">
      <c r="A764" s="7">
        <v>3.0044819423255549E-2</v>
      </c>
      <c r="B764"/>
      <c r="C764"/>
      <c r="D764"/>
      <c r="E764"/>
    </row>
    <row r="765" spans="1:93" x14ac:dyDescent="0.25">
      <c r="A765" s="7">
        <v>2.9455705316917203E-2</v>
      </c>
      <c r="B765"/>
      <c r="C765"/>
      <c r="D765"/>
      <c r="E765"/>
    </row>
    <row r="766" spans="1:93" x14ac:dyDescent="0.25">
      <c r="A766" s="7">
        <v>2.8878142467565884E-2</v>
      </c>
      <c r="B766"/>
      <c r="C766"/>
      <c r="D766"/>
      <c r="E766"/>
    </row>
    <row r="767" spans="1:93" x14ac:dyDescent="0.25">
      <c r="A767" s="7">
        <v>2.8311904379966554E-2</v>
      </c>
      <c r="B767"/>
      <c r="C767"/>
      <c r="D767"/>
      <c r="E767"/>
    </row>
    <row r="768" spans="1:93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40" operator="equal">
      <formula>$U$1</formula>
    </cfRule>
    <cfRule type="cellIs" dxfId="89" priority="941" operator="equal">
      <formula>$S$1</formula>
    </cfRule>
  </conditionalFormatting>
  <conditionalFormatting sqref="D27">
    <cfRule type="cellIs" dxfId="88" priority="938" operator="equal">
      <formula>$S$1</formula>
    </cfRule>
    <cfRule type="cellIs" dxfId="87" priority="939" operator="equal">
      <formula>$U$1</formula>
    </cfRule>
  </conditionalFormatting>
  <conditionalFormatting sqref="C164">
    <cfRule type="cellIs" dxfId="86" priority="936" operator="equal">
      <formula>$U$1</formula>
    </cfRule>
    <cfRule type="cellIs" dxfId="85" priority="937" operator="equal">
      <formula>$S$1</formula>
    </cfRule>
  </conditionalFormatting>
  <conditionalFormatting sqref="D164">
    <cfRule type="cellIs" dxfId="84" priority="934" operator="equal">
      <formula>$S$1</formula>
    </cfRule>
    <cfRule type="cellIs" dxfId="83" priority="935" operator="equal">
      <formula>$U$1</formula>
    </cfRule>
  </conditionalFormatting>
  <conditionalFormatting sqref="C55">
    <cfRule type="cellIs" dxfId="82" priority="932" operator="equal">
      <formula>$U$1</formula>
    </cfRule>
    <cfRule type="cellIs" dxfId="81" priority="933" operator="equal">
      <formula>$S$1</formula>
    </cfRule>
  </conditionalFormatting>
  <conditionalFormatting sqref="D55">
    <cfRule type="cellIs" dxfId="80" priority="930" operator="equal">
      <formula>$S$1</formula>
    </cfRule>
    <cfRule type="cellIs" dxfId="79" priority="931" operator="equal">
      <formula>$U$1</formula>
    </cfRule>
  </conditionalFormatting>
  <conditionalFormatting sqref="C89">
    <cfRule type="cellIs" dxfId="78" priority="928" operator="equal">
      <formula>$U$1</formula>
    </cfRule>
    <cfRule type="cellIs" dxfId="77" priority="929" operator="equal">
      <formula>$S$1</formula>
    </cfRule>
  </conditionalFormatting>
  <conditionalFormatting sqref="D89">
    <cfRule type="cellIs" dxfId="76" priority="926" operator="equal">
      <formula>$S$1</formula>
    </cfRule>
    <cfRule type="cellIs" dxfId="75" priority="927" operator="equal">
      <formula>$U$1</formula>
    </cfRule>
  </conditionalFormatting>
  <conditionalFormatting sqref="C136">
    <cfRule type="cellIs" dxfId="74" priority="924" operator="equal">
      <formula>$U$1</formula>
    </cfRule>
    <cfRule type="cellIs" dxfId="73" priority="925" operator="equal">
      <formula>$S$1</formula>
    </cfRule>
  </conditionalFormatting>
  <conditionalFormatting sqref="D136">
    <cfRule type="cellIs" dxfId="72" priority="922" operator="equal">
      <formula>$S$1</formula>
    </cfRule>
    <cfRule type="cellIs" dxfId="71" priority="923" operator="equal">
      <formula>$U$1</formula>
    </cfRule>
  </conditionalFormatting>
  <conditionalFormatting sqref="C1">
    <cfRule type="cellIs" dxfId="70" priority="92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FE294" sqref="FE294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$A$293</v>
      </c>
      <c r="D111" s="1" t="str">
        <f>ADDRESS(C121-1,D121,1,1)</f>
        <v>$FE$293</v>
      </c>
      <c r="E111"/>
    </row>
    <row r="112" spans="1:5" x14ac:dyDescent="0.25">
      <c r="A112" s="30">
        <v>515.50191262726139</v>
      </c>
      <c r="C112" s="1" t="str">
        <f>ADDRESS(C121,1,1,1)</f>
        <v>$A$294</v>
      </c>
      <c r="D112" s="1" t="str">
        <f>ADDRESS(C121,D121-1,1,1)</f>
        <v>$FD$294</v>
      </c>
      <c r="E112"/>
    </row>
    <row r="113" spans="1:5" x14ac:dyDescent="0.25">
      <c r="A113" s="30">
        <v>490.95420250215363</v>
      </c>
      <c r="C113" s="1" t="str">
        <f>ADDRESS(C121+1,1,1,1)</f>
        <v>$A$295</v>
      </c>
      <c r="D113" s="1" t="str">
        <f>ADDRESS(C121-1,D121+1,1,1)</f>
        <v>$FF$293</v>
      </c>
    </row>
    <row r="114" spans="1:5" x14ac:dyDescent="0.25">
      <c r="A114" s="30">
        <v>467.57543095443202</v>
      </c>
      <c r="C114" s="1" t="str">
        <f>ADDRESS(C121,D121,1,1)</f>
        <v>$FE$294</v>
      </c>
      <c r="D114" s="1" t="str">
        <f>ADDRESS(C121+1,D121+1,1,1)</f>
        <v>$FF$295</v>
      </c>
    </row>
    <row r="115" spans="1:5" x14ac:dyDescent="0.25">
      <c r="A115" s="30">
        <v>445.30993424231622</v>
      </c>
      <c r="C115" s="1" t="str">
        <f>ADDRESS(C121+1,D121,1,1)</f>
        <v>$FE$295</v>
      </c>
    </row>
    <row r="116" spans="1:5" x14ac:dyDescent="0.25">
      <c r="A116" s="30">
        <v>424.10469927839637</v>
      </c>
      <c r="C116" s="1">
        <f>C117-1</f>
        <v>293</v>
      </c>
    </row>
    <row r="117" spans="1:5" x14ac:dyDescent="0.25">
      <c r="A117" s="30">
        <v>403.9092374079965</v>
      </c>
      <c r="C117" s="1">
        <f>C121</f>
        <v>294</v>
      </c>
      <c r="D117" s="1">
        <f>D121</f>
        <v>161</v>
      </c>
    </row>
    <row r="118" spans="1:5" x14ac:dyDescent="0.25">
      <c r="A118" s="30">
        <v>384.6754641980919</v>
      </c>
      <c r="C118" s="1">
        <f>C117+1</f>
        <v>295</v>
      </c>
      <c r="D118" s="1">
        <f>D117+1</f>
        <v>162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294</v>
      </c>
      <c r="D121" s="19">
        <v>161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R294</v>
      </c>
      <c r="D123" s="1" t="str">
        <f>"C"&amp;D121</f>
        <v>C161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7.1742721991251604E-2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143" x14ac:dyDescent="0.25">
      <c r="A257" s="30">
        <v>0.43629668761085438</v>
      </c>
      <c r="B257"/>
      <c r="C257"/>
      <c r="D257"/>
      <c r="E257"/>
      <c r="F257" s="27" t="s">
        <v>7</v>
      </c>
    </row>
    <row r="258" spans="1:143" x14ac:dyDescent="0.25">
      <c r="A258" s="30">
        <v>0.41552065486748019</v>
      </c>
      <c r="B258"/>
      <c r="C258"/>
      <c r="D258"/>
      <c r="E258"/>
      <c r="F258" s="27" t="s">
        <v>7</v>
      </c>
    </row>
    <row r="259" spans="1:143" x14ac:dyDescent="0.25">
      <c r="A259" s="30">
        <v>0.39573395701664765</v>
      </c>
      <c r="B259"/>
      <c r="C259"/>
      <c r="D259"/>
      <c r="E259"/>
      <c r="F259" s="27" t="s">
        <v>7</v>
      </c>
    </row>
    <row r="260" spans="1:143" x14ac:dyDescent="0.25">
      <c r="A260" s="30">
        <v>0.37688948287299762</v>
      </c>
      <c r="B260"/>
      <c r="C260"/>
      <c r="D260"/>
      <c r="E260"/>
      <c r="F260" s="27" t="s">
        <v>7</v>
      </c>
    </row>
    <row r="261" spans="1:143" x14ac:dyDescent="0.25">
      <c r="A261" s="30">
        <v>0.35894236464094997</v>
      </c>
      <c r="B261"/>
      <c r="C261"/>
      <c r="D261"/>
      <c r="E261"/>
      <c r="F261" s="27" t="s">
        <v>7</v>
      </c>
    </row>
    <row r="262" spans="1:143" x14ac:dyDescent="0.25">
      <c r="A262" s="30">
        <v>0.34184987108661891</v>
      </c>
      <c r="B262"/>
      <c r="C262"/>
      <c r="D262"/>
      <c r="E262"/>
      <c r="F262" s="27" t="s">
        <v>7</v>
      </c>
    </row>
    <row r="263" spans="1:143" x14ac:dyDescent="0.25">
      <c r="A263" s="30">
        <v>0.32557130579677979</v>
      </c>
      <c r="B263"/>
      <c r="C263"/>
      <c r="D263"/>
      <c r="E263"/>
      <c r="F263" s="27" t="s">
        <v>7</v>
      </c>
    </row>
    <row r="264" spans="1:143" x14ac:dyDescent="0.25">
      <c r="A264" s="30">
        <v>0.3100679102826473</v>
      </c>
      <c r="B264"/>
      <c r="C264"/>
      <c r="D264"/>
      <c r="E264"/>
      <c r="F264" s="27" t="s">
        <v>7</v>
      </c>
      <c r="CG264" s="27" t="s">
        <v>8</v>
      </c>
    </row>
    <row r="265" spans="1:143" x14ac:dyDescent="0.25">
      <c r="A265" s="30">
        <v>0.2953027716977592</v>
      </c>
      <c r="B265"/>
      <c r="C265"/>
      <c r="D265"/>
      <c r="E265"/>
      <c r="F265" s="27" t="s">
        <v>7</v>
      </c>
      <c r="CG265" s="27" t="s">
        <v>8</v>
      </c>
      <c r="CH265" s="27" t="s">
        <v>7</v>
      </c>
    </row>
    <row r="266" spans="1:143" x14ac:dyDescent="0.25">
      <c r="A266" s="30">
        <v>0.28124073495024676</v>
      </c>
      <c r="B266"/>
      <c r="C266"/>
      <c r="D266"/>
      <c r="E266"/>
      <c r="F266" s="27" t="s">
        <v>7</v>
      </c>
      <c r="BW266" s="27" t="s">
        <v>8</v>
      </c>
      <c r="CG266" s="27" t="s">
        <v>8</v>
      </c>
      <c r="CH266" s="27" t="s">
        <v>7</v>
      </c>
    </row>
    <row r="267" spans="1:143" x14ac:dyDescent="0.25">
      <c r="A267" s="30">
        <v>0.26784831900023492</v>
      </c>
      <c r="B267"/>
      <c r="C267"/>
      <c r="D267"/>
      <c r="E267"/>
      <c r="F267" s="27" t="s">
        <v>7</v>
      </c>
      <c r="BW267" s="27" t="s">
        <v>8</v>
      </c>
      <c r="BX267" s="27" t="s">
        <v>7</v>
      </c>
      <c r="BY267" s="27" t="s">
        <v>8</v>
      </c>
      <c r="CG267" s="27" t="s">
        <v>8</v>
      </c>
      <c r="CH267" s="27" t="s">
        <v>7</v>
      </c>
      <c r="CM267" s="27" t="s">
        <v>8</v>
      </c>
    </row>
    <row r="268" spans="1:143" x14ac:dyDescent="0.25">
      <c r="A268" s="30">
        <v>0.25509363714308075</v>
      </c>
      <c r="B268"/>
      <c r="C268"/>
      <c r="D268"/>
      <c r="E268"/>
      <c r="F268" s="27" t="s">
        <v>7</v>
      </c>
      <c r="BW268" s="27" t="s">
        <v>8</v>
      </c>
      <c r="BX268" s="27" t="s">
        <v>7</v>
      </c>
      <c r="BY268" s="27" t="s">
        <v>8</v>
      </c>
      <c r="BZ268" s="27" t="s">
        <v>7</v>
      </c>
      <c r="CC268" s="27" t="s">
        <v>8</v>
      </c>
      <c r="CG268" s="27" t="s">
        <v>8</v>
      </c>
      <c r="CH268" s="27" t="s">
        <v>7</v>
      </c>
      <c r="CM268" s="27" t="s">
        <v>8</v>
      </c>
      <c r="CN268" s="27" t="s">
        <v>7</v>
      </c>
    </row>
    <row r="269" spans="1:143" x14ac:dyDescent="0.25">
      <c r="A269" s="30">
        <v>0.24294632108864825</v>
      </c>
      <c r="B269"/>
      <c r="C269"/>
      <c r="D269"/>
      <c r="E269"/>
      <c r="F269" s="27" t="s">
        <v>7</v>
      </c>
      <c r="BW269" s="27" t="s">
        <v>8</v>
      </c>
      <c r="BX269" s="27" t="s">
        <v>7</v>
      </c>
      <c r="BY269" s="27" t="s">
        <v>8</v>
      </c>
      <c r="BZ269" s="27" t="s">
        <v>7</v>
      </c>
      <c r="CC269" s="27" t="s">
        <v>8</v>
      </c>
      <c r="CD269" s="27" t="s">
        <v>7</v>
      </c>
      <c r="CE269" s="27" t="s">
        <v>8</v>
      </c>
      <c r="CG269" s="27" t="s">
        <v>8</v>
      </c>
      <c r="CH269" s="27" t="s">
        <v>7</v>
      </c>
      <c r="CM269" s="27" t="s">
        <v>8</v>
      </c>
      <c r="CN269" s="27" t="s">
        <v>7</v>
      </c>
    </row>
    <row r="270" spans="1:143" x14ac:dyDescent="0.25">
      <c r="A270" s="30">
        <v>0.23137744865585538</v>
      </c>
      <c r="B270"/>
      <c r="C270"/>
      <c r="D270"/>
      <c r="E270"/>
      <c r="F270" s="27" t="s">
        <v>7</v>
      </c>
      <c r="BW270" s="27" t="s">
        <v>8</v>
      </c>
      <c r="BX270" s="27" t="s">
        <v>7</v>
      </c>
      <c r="BZ270" s="27" t="s">
        <v>7</v>
      </c>
      <c r="CC270" s="27" t="s">
        <v>8</v>
      </c>
      <c r="CD270" s="27" t="s">
        <v>7</v>
      </c>
      <c r="CE270" s="27" t="s">
        <v>8</v>
      </c>
      <c r="CF270" s="27" t="s">
        <v>7</v>
      </c>
      <c r="CG270" s="27" t="s">
        <v>8</v>
      </c>
      <c r="CH270" s="27" t="s">
        <v>7</v>
      </c>
      <c r="CM270" s="27" t="s">
        <v>8</v>
      </c>
      <c r="CN270" s="27" t="s">
        <v>7</v>
      </c>
      <c r="CO270" s="27" t="s">
        <v>8</v>
      </c>
    </row>
    <row r="271" spans="1:143" x14ac:dyDescent="0.25">
      <c r="A271" s="30">
        <v>0.22035947491033836</v>
      </c>
      <c r="B271"/>
      <c r="C271"/>
      <c r="D271"/>
      <c r="E271"/>
      <c r="F271" s="27" t="s">
        <v>7</v>
      </c>
      <c r="BW271" s="27" t="s">
        <v>8</v>
      </c>
      <c r="BZ271" s="27" t="s">
        <v>7</v>
      </c>
      <c r="CA271" s="27" t="s">
        <v>8</v>
      </c>
      <c r="CC271" s="27" t="s">
        <v>8</v>
      </c>
      <c r="CD271" s="27" t="s">
        <v>7</v>
      </c>
      <c r="CE271" s="27" t="s">
        <v>8</v>
      </c>
      <c r="CF271" s="27" t="s">
        <v>7</v>
      </c>
      <c r="CG271" s="27" t="s">
        <v>8</v>
      </c>
      <c r="CH271" s="27" t="s">
        <v>7</v>
      </c>
      <c r="CM271" s="27" t="s">
        <v>8</v>
      </c>
      <c r="CN271" s="27" t="s">
        <v>7</v>
      </c>
      <c r="CO271" s="27" t="s">
        <v>8</v>
      </c>
      <c r="CP271" s="27" t="s">
        <v>7</v>
      </c>
    </row>
    <row r="272" spans="1:143" x14ac:dyDescent="0.25">
      <c r="A272" s="30">
        <v>0.20986616658127455</v>
      </c>
      <c r="B272"/>
      <c r="C272"/>
      <c r="D272"/>
      <c r="E272"/>
      <c r="F272" s="27" t="s">
        <v>7</v>
      </c>
      <c r="BW272" s="27" t="s">
        <v>8</v>
      </c>
      <c r="BZ272" s="27" t="s">
        <v>7</v>
      </c>
      <c r="CA272" s="27" t="s">
        <v>8</v>
      </c>
      <c r="CB272" s="27" t="s">
        <v>7</v>
      </c>
      <c r="CC272" s="27" t="s">
        <v>8</v>
      </c>
      <c r="CD272" s="27" t="s">
        <v>7</v>
      </c>
      <c r="CF272" s="27" t="s">
        <v>7</v>
      </c>
      <c r="CG272" s="27" t="s">
        <v>8</v>
      </c>
      <c r="CH272" s="27" t="s">
        <v>7</v>
      </c>
      <c r="CM272" s="27" t="s">
        <v>8</v>
      </c>
      <c r="CN272" s="27" t="s">
        <v>7</v>
      </c>
      <c r="CO272" s="27" t="s">
        <v>8</v>
      </c>
      <c r="CP272" s="27" t="s">
        <v>7</v>
      </c>
      <c r="EM272" s="27" t="s">
        <v>8</v>
      </c>
    </row>
    <row r="273" spans="1:159" x14ac:dyDescent="0.25">
      <c r="A273" s="30">
        <v>0.19987253960121379</v>
      </c>
      <c r="B273"/>
      <c r="C273"/>
      <c r="D273"/>
      <c r="E273"/>
      <c r="F273" s="27" t="s">
        <v>7</v>
      </c>
      <c r="BW273" s="27" t="s">
        <v>8</v>
      </c>
      <c r="BZ273" s="27" t="s">
        <v>7</v>
      </c>
      <c r="CA273" s="27" t="s">
        <v>8</v>
      </c>
      <c r="CB273" s="27" t="s">
        <v>7</v>
      </c>
      <c r="CC273" s="27" t="s">
        <v>8</v>
      </c>
      <c r="CF273" s="27" t="s">
        <v>7</v>
      </c>
      <c r="CG273" s="27" t="s">
        <v>8</v>
      </c>
      <c r="CH273" s="27" t="s">
        <v>7</v>
      </c>
      <c r="CI273" s="27" t="s">
        <v>8</v>
      </c>
      <c r="CM273" s="27" t="s">
        <v>8</v>
      </c>
      <c r="CN273" s="27" t="s">
        <v>7</v>
      </c>
      <c r="CO273" s="27" t="s">
        <v>8</v>
      </c>
      <c r="CP273" s="27" t="s">
        <v>7</v>
      </c>
      <c r="EM273" s="27" t="s">
        <v>8</v>
      </c>
      <c r="EN273" s="27" t="s">
        <v>7</v>
      </c>
    </row>
    <row r="274" spans="1:159" x14ac:dyDescent="0.25">
      <c r="A274" s="30">
        <v>0.19035479962020352</v>
      </c>
      <c r="B274"/>
      <c r="C274"/>
      <c r="D274"/>
      <c r="E274"/>
      <c r="F274" s="27" t="s">
        <v>7</v>
      </c>
      <c r="BU274" s="27" t="s">
        <v>8</v>
      </c>
      <c r="BW274" s="27" t="s">
        <v>8</v>
      </c>
      <c r="BZ274" s="27" t="s">
        <v>7</v>
      </c>
      <c r="CB274" s="27" t="s">
        <v>7</v>
      </c>
      <c r="CC274" s="27" t="s">
        <v>8</v>
      </c>
      <c r="CF274" s="27" t="s">
        <v>7</v>
      </c>
      <c r="CH274" s="27" t="s">
        <v>7</v>
      </c>
      <c r="CI274" s="27" t="s">
        <v>8</v>
      </c>
      <c r="CJ274" s="27" t="s">
        <v>7</v>
      </c>
      <c r="CM274" s="27" t="s">
        <v>8</v>
      </c>
      <c r="CN274" s="27" t="s">
        <v>7</v>
      </c>
      <c r="CO274" s="27" t="s">
        <v>8</v>
      </c>
      <c r="CP274" s="27" t="s">
        <v>7</v>
      </c>
      <c r="EM274" s="27" t="s">
        <v>8</v>
      </c>
      <c r="EN274" s="27" t="s">
        <v>7</v>
      </c>
    </row>
    <row r="275" spans="1:159" x14ac:dyDescent="0.25">
      <c r="A275" s="30">
        <v>0.18129028535257471</v>
      </c>
      <c r="B275"/>
      <c r="C275"/>
      <c r="D275"/>
      <c r="E275"/>
      <c r="F275" s="27" t="s">
        <v>7</v>
      </c>
      <c r="BO275" s="27" t="s">
        <v>8</v>
      </c>
      <c r="BU275" s="27" t="s">
        <v>8</v>
      </c>
      <c r="BV275" s="27" t="s">
        <v>7</v>
      </c>
      <c r="BW275" s="27" t="s">
        <v>8</v>
      </c>
      <c r="CB275" s="27" t="s">
        <v>7</v>
      </c>
      <c r="CC275" s="27" t="s">
        <v>8</v>
      </c>
      <c r="CH275" s="27" t="s">
        <v>7</v>
      </c>
      <c r="CI275" s="27" t="s">
        <v>8</v>
      </c>
      <c r="CJ275" s="27" t="s">
        <v>7</v>
      </c>
      <c r="CM275" s="27" t="s">
        <v>8</v>
      </c>
      <c r="CN275" s="27" t="s">
        <v>7</v>
      </c>
      <c r="CO275" s="27" t="s">
        <v>8</v>
      </c>
      <c r="CP275" s="27" t="s">
        <v>7</v>
      </c>
      <c r="EM275" s="27" t="s">
        <v>8</v>
      </c>
      <c r="EN275" s="27" t="s">
        <v>7</v>
      </c>
    </row>
    <row r="276" spans="1:159" x14ac:dyDescent="0.25">
      <c r="A276" s="30">
        <v>0.17265741462149967</v>
      </c>
      <c r="B276"/>
      <c r="C276"/>
      <c r="D276"/>
      <c r="E276"/>
      <c r="F276" s="27" t="s">
        <v>7</v>
      </c>
      <c r="BO276" s="27" t="s">
        <v>8</v>
      </c>
      <c r="BP276" s="27" t="s">
        <v>7</v>
      </c>
      <c r="BU276" s="27" t="s">
        <v>8</v>
      </c>
      <c r="BV276" s="27" t="s">
        <v>7</v>
      </c>
      <c r="BW276" s="27" t="s">
        <v>8</v>
      </c>
      <c r="CB276" s="27" t="s">
        <v>7</v>
      </c>
      <c r="CH276" s="27" t="s">
        <v>7</v>
      </c>
      <c r="CJ276" s="27" t="s">
        <v>7</v>
      </c>
      <c r="CK276" s="27" t="s">
        <v>8</v>
      </c>
      <c r="CM276" s="27" t="s">
        <v>8</v>
      </c>
      <c r="CN276" s="27" t="s">
        <v>7</v>
      </c>
      <c r="CO276" s="27" t="s">
        <v>8</v>
      </c>
      <c r="CP276" s="27" t="s">
        <v>7</v>
      </c>
      <c r="CQ276" s="27" t="s">
        <v>8</v>
      </c>
      <c r="EM276" s="27" t="s">
        <v>8</v>
      </c>
      <c r="EN276" s="27" t="s">
        <v>7</v>
      </c>
    </row>
    <row r="277" spans="1:159" x14ac:dyDescent="0.25">
      <c r="A277" s="30">
        <v>0.16443563297285677</v>
      </c>
      <c r="B277"/>
      <c r="C277"/>
      <c r="D277"/>
      <c r="E277"/>
      <c r="F277" s="27" t="s">
        <v>7</v>
      </c>
      <c r="BO277" s="27" t="s">
        <v>8</v>
      </c>
      <c r="BP277" s="27" t="s">
        <v>7</v>
      </c>
      <c r="BU277" s="27" t="s">
        <v>8</v>
      </c>
      <c r="BV277" s="27" t="s">
        <v>7</v>
      </c>
      <c r="BW277" s="27" t="s">
        <v>8</v>
      </c>
      <c r="CJ277" s="27" t="s">
        <v>7</v>
      </c>
      <c r="CK277" s="27" t="s">
        <v>8</v>
      </c>
      <c r="CL277" s="27" t="s">
        <v>7</v>
      </c>
      <c r="CM277" s="27" t="s">
        <v>8</v>
      </c>
      <c r="CN277" s="27" t="s">
        <v>7</v>
      </c>
      <c r="CO277" s="27" t="s">
        <v>8</v>
      </c>
      <c r="CP277" s="27" t="s">
        <v>7</v>
      </c>
      <c r="CQ277" s="27" t="s">
        <v>8</v>
      </c>
      <c r="CR277" s="27" t="s">
        <v>7</v>
      </c>
      <c r="DA277" s="27" t="s">
        <v>8</v>
      </c>
      <c r="DU277" s="27" t="s">
        <v>8</v>
      </c>
      <c r="DW277" s="27" t="s">
        <v>8</v>
      </c>
      <c r="EM277" s="27" t="s">
        <v>8</v>
      </c>
      <c r="EN277" s="27" t="s">
        <v>7</v>
      </c>
    </row>
    <row r="278" spans="1:159" x14ac:dyDescent="0.25">
      <c r="A278" s="30">
        <v>0.15660536473605399</v>
      </c>
      <c r="B278"/>
      <c r="C278"/>
      <c r="D278"/>
      <c r="E278"/>
      <c r="F278" s="27" t="s">
        <v>7</v>
      </c>
      <c r="BO278" s="27" t="s">
        <v>8</v>
      </c>
      <c r="BP278" s="27" t="s">
        <v>7</v>
      </c>
      <c r="BU278" s="27" t="s">
        <v>8</v>
      </c>
      <c r="BV278" s="27" t="s">
        <v>7</v>
      </c>
      <c r="CJ278" s="27" t="s">
        <v>7</v>
      </c>
      <c r="CK278" s="27" t="s">
        <v>8</v>
      </c>
      <c r="CL278" s="27" t="s">
        <v>7</v>
      </c>
      <c r="CM278" s="27" t="s">
        <v>8</v>
      </c>
      <c r="CN278" s="27" t="s">
        <v>7</v>
      </c>
      <c r="CO278" s="27" t="s">
        <v>8</v>
      </c>
      <c r="CP278" s="27" t="s">
        <v>7</v>
      </c>
      <c r="CQ278" s="27" t="s">
        <v>8</v>
      </c>
      <c r="CR278" s="27" t="s">
        <v>7</v>
      </c>
      <c r="DA278" s="27" t="s">
        <v>8</v>
      </c>
      <c r="DB278" s="27" t="s">
        <v>7</v>
      </c>
      <c r="DQ278" s="27" t="s">
        <v>8</v>
      </c>
      <c r="DS278" s="27" t="s">
        <v>8</v>
      </c>
      <c r="DU278" s="27" t="s">
        <v>8</v>
      </c>
      <c r="DV278" s="27" t="s">
        <v>7</v>
      </c>
      <c r="DW278" s="27" t="s">
        <v>8</v>
      </c>
      <c r="DX278" s="27" t="s">
        <v>7</v>
      </c>
      <c r="EM278" s="27" t="s">
        <v>8</v>
      </c>
      <c r="EN278" s="27" t="s">
        <v>7</v>
      </c>
    </row>
    <row r="279" spans="1:159" x14ac:dyDescent="0.25">
      <c r="A279" s="30">
        <v>0.14914796641528946</v>
      </c>
      <c r="B279"/>
      <c r="C279"/>
      <c r="D279"/>
      <c r="E279"/>
      <c r="F279" s="27" t="s">
        <v>7</v>
      </c>
      <c r="BO279" s="27" t="s">
        <v>8</v>
      </c>
      <c r="BP279" s="27" t="s">
        <v>7</v>
      </c>
      <c r="BU279" s="27" t="s">
        <v>8</v>
      </c>
      <c r="CJ279" s="27" t="s">
        <v>7</v>
      </c>
      <c r="CL279" s="27" t="s">
        <v>7</v>
      </c>
      <c r="CM279" s="27" t="s">
        <v>8</v>
      </c>
      <c r="CN279" s="27" t="s">
        <v>7</v>
      </c>
      <c r="CO279" s="27" t="s">
        <v>8</v>
      </c>
      <c r="CP279" s="27" t="s">
        <v>7</v>
      </c>
      <c r="CQ279" s="27" t="s">
        <v>8</v>
      </c>
      <c r="CR279" s="27" t="s">
        <v>7</v>
      </c>
      <c r="DA279" s="27" t="s">
        <v>8</v>
      </c>
      <c r="DB279" s="27" t="s">
        <v>7</v>
      </c>
      <c r="DQ279" s="27" t="s">
        <v>8</v>
      </c>
      <c r="DR279" s="27" t="s">
        <v>7</v>
      </c>
      <c r="DS279" s="27" t="s">
        <v>8</v>
      </c>
      <c r="DT279" s="27" t="s">
        <v>7</v>
      </c>
      <c r="DU279" s="27" t="s">
        <v>8</v>
      </c>
      <c r="DV279" s="27" t="s">
        <v>7</v>
      </c>
      <c r="DW279" s="27" t="s">
        <v>8</v>
      </c>
      <c r="DX279" s="27" t="s">
        <v>7</v>
      </c>
      <c r="DY279" s="27" t="s">
        <v>8</v>
      </c>
      <c r="EM279" s="27" t="s">
        <v>8</v>
      </c>
      <c r="EN279" s="27" t="s">
        <v>7</v>
      </c>
    </row>
    <row r="280" spans="1:159" x14ac:dyDescent="0.25">
      <c r="A280" s="30">
        <v>0.14204568230027562</v>
      </c>
      <c r="B280"/>
      <c r="C280"/>
      <c r="D280"/>
      <c r="E280"/>
      <c r="F280" s="27" t="s">
        <v>7</v>
      </c>
      <c r="G280" s="27" t="s">
        <v>8</v>
      </c>
      <c r="M280" s="27" t="s">
        <v>8</v>
      </c>
      <c r="BO280" s="27" t="s">
        <v>8</v>
      </c>
      <c r="BP280" s="27" t="s">
        <v>7</v>
      </c>
      <c r="BU280" s="27" t="s">
        <v>8</v>
      </c>
      <c r="CL280" s="27" t="s">
        <v>7</v>
      </c>
      <c r="CM280" s="27" t="s">
        <v>8</v>
      </c>
      <c r="CN280" s="27" t="s">
        <v>7</v>
      </c>
      <c r="CP280" s="27" t="s">
        <v>7</v>
      </c>
      <c r="CR280" s="27" t="s">
        <v>7</v>
      </c>
      <c r="DA280" s="27" t="s">
        <v>8</v>
      </c>
      <c r="DB280" s="27" t="s">
        <v>7</v>
      </c>
      <c r="DQ280" s="27" t="s">
        <v>8</v>
      </c>
      <c r="DR280" s="27" t="s">
        <v>7</v>
      </c>
      <c r="DS280" s="27" t="s">
        <v>8</v>
      </c>
      <c r="DT280" s="27" t="s">
        <v>7</v>
      </c>
      <c r="DU280" s="27" t="s">
        <v>8</v>
      </c>
      <c r="DV280" s="27" t="s">
        <v>7</v>
      </c>
      <c r="DW280" s="27" t="s">
        <v>8</v>
      </c>
      <c r="DX280" s="27" t="s">
        <v>7</v>
      </c>
      <c r="DY280" s="27" t="s">
        <v>8</v>
      </c>
      <c r="DZ280" s="27" t="s">
        <v>7</v>
      </c>
      <c r="EI280" s="27" t="s">
        <v>8</v>
      </c>
      <c r="EK280" s="27" t="s">
        <v>8</v>
      </c>
      <c r="EM280" s="27" t="s">
        <v>8</v>
      </c>
      <c r="EN280" s="27" t="s">
        <v>7</v>
      </c>
      <c r="EO280" s="27" t="s">
        <v>8</v>
      </c>
      <c r="EW280" s="27" t="s">
        <v>8</v>
      </c>
    </row>
    <row r="281" spans="1:159" x14ac:dyDescent="0.25">
      <c r="A281" s="30">
        <v>0.13528160219073862</v>
      </c>
      <c r="B281"/>
      <c r="C281"/>
      <c r="D281"/>
      <c r="E281"/>
      <c r="F281" s="27" t="s">
        <v>7</v>
      </c>
      <c r="G281" s="27" t="s">
        <v>8</v>
      </c>
      <c r="H281" s="27" t="s">
        <v>7</v>
      </c>
      <c r="M281" s="27" t="s">
        <v>8</v>
      </c>
      <c r="N281" s="27" t="s">
        <v>7</v>
      </c>
      <c r="BM281" s="27" t="s">
        <v>8</v>
      </c>
      <c r="BO281" s="27" t="s">
        <v>8</v>
      </c>
      <c r="BP281" s="27" t="s">
        <v>7</v>
      </c>
      <c r="BS281" s="27" t="s">
        <v>8</v>
      </c>
      <c r="BU281" s="27" t="s">
        <v>8</v>
      </c>
      <c r="CL281" s="27" t="s">
        <v>7</v>
      </c>
      <c r="CM281" s="27" t="s">
        <v>8</v>
      </c>
      <c r="CR281" s="27" t="s">
        <v>7</v>
      </c>
      <c r="DA281" s="27" t="s">
        <v>8</v>
      </c>
      <c r="DB281" s="27" t="s">
        <v>7</v>
      </c>
      <c r="DM281" s="27" t="s">
        <v>8</v>
      </c>
      <c r="DQ281" s="27" t="s">
        <v>8</v>
      </c>
      <c r="DR281" s="27" t="s">
        <v>7</v>
      </c>
      <c r="DS281" s="27" t="s">
        <v>8</v>
      </c>
      <c r="DT281" s="27" t="s">
        <v>7</v>
      </c>
      <c r="DU281" s="27" t="s">
        <v>8</v>
      </c>
      <c r="DV281" s="27" t="s">
        <v>7</v>
      </c>
      <c r="DX281" s="27" t="s">
        <v>7</v>
      </c>
      <c r="DY281" s="27" t="s">
        <v>8</v>
      </c>
      <c r="DZ281" s="27" t="s">
        <v>7</v>
      </c>
      <c r="EE281" s="27" t="s">
        <v>8</v>
      </c>
      <c r="EI281" s="27" t="s">
        <v>8</v>
      </c>
      <c r="EJ281" s="27" t="s">
        <v>7</v>
      </c>
      <c r="EK281" s="27" t="s">
        <v>8</v>
      </c>
      <c r="EL281" s="27" t="s">
        <v>7</v>
      </c>
      <c r="EM281" s="27" t="s">
        <v>8</v>
      </c>
      <c r="EN281" s="27" t="s">
        <v>7</v>
      </c>
      <c r="EO281" s="27" t="s">
        <v>8</v>
      </c>
      <c r="EP281" s="27" t="s">
        <v>7</v>
      </c>
      <c r="EW281" s="27" t="s">
        <v>8</v>
      </c>
      <c r="EX281" s="27" t="s">
        <v>7</v>
      </c>
    </row>
    <row r="282" spans="1:159" x14ac:dyDescent="0.25">
      <c r="A282" s="30">
        <v>0.12883962113403674</v>
      </c>
      <c r="B282"/>
      <c r="C282"/>
      <c r="D282"/>
      <c r="E282"/>
      <c r="F282" s="27" t="s">
        <v>7</v>
      </c>
      <c r="G282" s="27" t="s">
        <v>8</v>
      </c>
      <c r="H282" s="27" t="s">
        <v>7</v>
      </c>
      <c r="I282" s="27" t="s">
        <v>8</v>
      </c>
      <c r="K282" s="27" t="s">
        <v>8</v>
      </c>
      <c r="M282" s="27" t="s">
        <v>8</v>
      </c>
      <c r="N282" s="27" t="s">
        <v>7</v>
      </c>
      <c r="BM282" s="27" t="s">
        <v>8</v>
      </c>
      <c r="BN282" s="27" t="s">
        <v>7</v>
      </c>
      <c r="BO282" s="27" t="s">
        <v>8</v>
      </c>
      <c r="BP282" s="27" t="s">
        <v>7</v>
      </c>
      <c r="BQ282" s="27" t="s">
        <v>8</v>
      </c>
      <c r="BS282" s="27" t="s">
        <v>8</v>
      </c>
      <c r="BT282" s="27" t="s">
        <v>7</v>
      </c>
      <c r="BU282" s="27" t="s">
        <v>8</v>
      </c>
      <c r="CL282" s="27" t="s">
        <v>7</v>
      </c>
      <c r="CM282" s="27" t="s">
        <v>8</v>
      </c>
      <c r="CR282" s="27" t="s">
        <v>7</v>
      </c>
      <c r="DA282" s="27" t="s">
        <v>8</v>
      </c>
      <c r="DB282" s="27" t="s">
        <v>7</v>
      </c>
      <c r="DM282" s="27" t="s">
        <v>8</v>
      </c>
      <c r="DN282" s="27" t="s">
        <v>7</v>
      </c>
      <c r="DO282" s="27" t="s">
        <v>8</v>
      </c>
      <c r="DQ282" s="27" t="s">
        <v>8</v>
      </c>
      <c r="DR282" s="27" t="s">
        <v>7</v>
      </c>
      <c r="DS282" s="27" t="s">
        <v>8</v>
      </c>
      <c r="DT282" s="27" t="s">
        <v>7</v>
      </c>
      <c r="DX282" s="27" t="s">
        <v>7</v>
      </c>
      <c r="DY282" s="27" t="s">
        <v>8</v>
      </c>
      <c r="DZ282" s="27" t="s">
        <v>7</v>
      </c>
      <c r="EA282" s="27" t="s">
        <v>8</v>
      </c>
      <c r="EE282" s="27" t="s">
        <v>8</v>
      </c>
      <c r="EF282" s="27" t="s">
        <v>7</v>
      </c>
      <c r="EG282" s="27" t="s">
        <v>8</v>
      </c>
      <c r="EI282" s="27" t="s">
        <v>8</v>
      </c>
      <c r="EJ282" s="27" t="s">
        <v>7</v>
      </c>
      <c r="EK282" s="27" t="s">
        <v>8</v>
      </c>
      <c r="EL282" s="27" t="s">
        <v>7</v>
      </c>
      <c r="EM282" s="27" t="s">
        <v>8</v>
      </c>
      <c r="EN282" s="27" t="s">
        <v>7</v>
      </c>
      <c r="EO282" s="27" t="s">
        <v>8</v>
      </c>
      <c r="EP282" s="27" t="s">
        <v>7</v>
      </c>
      <c r="EW282" s="27" t="s">
        <v>8</v>
      </c>
      <c r="EX282" s="27" t="s">
        <v>7</v>
      </c>
    </row>
    <row r="283" spans="1:159" x14ac:dyDescent="0.25">
      <c r="A283" s="30">
        <v>0.12270440108003494</v>
      </c>
      <c r="B283"/>
      <c r="C283"/>
      <c r="D283"/>
      <c r="E283"/>
      <c r="F283" s="27" t="s">
        <v>7</v>
      </c>
      <c r="G283" s="27" t="s">
        <v>8</v>
      </c>
      <c r="H283" s="27" t="s">
        <v>7</v>
      </c>
      <c r="I283" s="27" t="s">
        <v>8</v>
      </c>
      <c r="J283" s="27" t="s">
        <v>7</v>
      </c>
      <c r="K283" s="27" t="s">
        <v>8</v>
      </c>
      <c r="L283" s="27" t="s">
        <v>7</v>
      </c>
      <c r="M283" s="27" t="s">
        <v>8</v>
      </c>
      <c r="N283" s="27" t="s">
        <v>7</v>
      </c>
      <c r="O283" s="27" t="s">
        <v>8</v>
      </c>
      <c r="BM283" s="27" t="s">
        <v>8</v>
      </c>
      <c r="BN283" s="27" t="s">
        <v>7</v>
      </c>
      <c r="BO283" s="27" t="s">
        <v>8</v>
      </c>
      <c r="BP283" s="27" t="s">
        <v>7</v>
      </c>
      <c r="BQ283" s="27" t="s">
        <v>8</v>
      </c>
      <c r="BR283" s="27" t="s">
        <v>7</v>
      </c>
      <c r="BS283" s="27" t="s">
        <v>8</v>
      </c>
      <c r="BT283" s="27" t="s">
        <v>7</v>
      </c>
      <c r="BU283" s="27" t="s">
        <v>8</v>
      </c>
      <c r="CL283" s="27" t="s">
        <v>7</v>
      </c>
      <c r="CM283" s="27" t="s">
        <v>8</v>
      </c>
      <c r="CR283" s="27" t="s">
        <v>7</v>
      </c>
      <c r="DA283" s="27" t="s">
        <v>8</v>
      </c>
      <c r="DB283" s="27" t="s">
        <v>7</v>
      </c>
      <c r="DM283" s="27" t="s">
        <v>8</v>
      </c>
      <c r="DN283" s="27" t="s">
        <v>7</v>
      </c>
      <c r="DO283" s="27" t="s">
        <v>8</v>
      </c>
      <c r="DP283" s="27" t="s">
        <v>7</v>
      </c>
      <c r="DQ283" s="27" t="s">
        <v>8</v>
      </c>
      <c r="DR283" s="27" t="s">
        <v>7</v>
      </c>
      <c r="DS283" s="27" t="s">
        <v>8</v>
      </c>
      <c r="DX283" s="27" t="s">
        <v>7</v>
      </c>
      <c r="DY283" s="27" t="s">
        <v>8</v>
      </c>
      <c r="DZ283" s="27" t="s">
        <v>7</v>
      </c>
      <c r="EA283" s="27" t="s">
        <v>8</v>
      </c>
      <c r="EB283" s="27" t="s">
        <v>7</v>
      </c>
      <c r="EC283" s="27" t="s">
        <v>8</v>
      </c>
      <c r="EE283" s="27" t="s">
        <v>8</v>
      </c>
      <c r="EF283" s="27" t="s">
        <v>7</v>
      </c>
      <c r="EG283" s="27" t="s">
        <v>8</v>
      </c>
      <c r="EH283" s="27" t="s">
        <v>7</v>
      </c>
      <c r="EI283" s="27" t="s">
        <v>8</v>
      </c>
      <c r="EJ283" s="27" t="s">
        <v>7</v>
      </c>
      <c r="EK283" s="27" t="s">
        <v>8</v>
      </c>
      <c r="EL283" s="27" t="s">
        <v>7</v>
      </c>
      <c r="EM283" s="27" t="s">
        <v>8</v>
      </c>
      <c r="EN283" s="27" t="s">
        <v>7</v>
      </c>
      <c r="EO283" s="27" t="s">
        <v>8</v>
      </c>
      <c r="EP283" s="27" t="s">
        <v>7</v>
      </c>
      <c r="EW283" s="27" t="s">
        <v>8</v>
      </c>
      <c r="EX283" s="27" t="s">
        <v>7</v>
      </c>
    </row>
    <row r="284" spans="1:159" x14ac:dyDescent="0.25">
      <c r="A284" s="30">
        <v>0.11686133436193799</v>
      </c>
      <c r="B284"/>
      <c r="C284"/>
      <c r="D284"/>
      <c r="E284"/>
      <c r="F284" s="27" t="s">
        <v>7</v>
      </c>
      <c r="G284" s="27" t="s">
        <v>8</v>
      </c>
      <c r="H284" s="27" t="s">
        <v>7</v>
      </c>
      <c r="I284" s="27" t="s">
        <v>8</v>
      </c>
      <c r="J284" s="27" t="s">
        <v>7</v>
      </c>
      <c r="K284" s="27" t="s">
        <v>8</v>
      </c>
      <c r="L284" s="27" t="s">
        <v>7</v>
      </c>
      <c r="M284" s="27" t="s">
        <v>8</v>
      </c>
      <c r="N284" s="27" t="s">
        <v>7</v>
      </c>
      <c r="O284" s="27" t="s">
        <v>8</v>
      </c>
      <c r="P284" s="27" t="s">
        <v>7</v>
      </c>
      <c r="BM284" s="27" t="s">
        <v>8</v>
      </c>
      <c r="BN284" s="27" t="s">
        <v>7</v>
      </c>
      <c r="BO284" s="27" t="s">
        <v>8</v>
      </c>
      <c r="BP284" s="27" t="s">
        <v>7</v>
      </c>
      <c r="BQ284" s="27" t="s">
        <v>8</v>
      </c>
      <c r="BR284" s="27" t="s">
        <v>7</v>
      </c>
      <c r="BS284" s="27" t="s">
        <v>8</v>
      </c>
      <c r="BT284" s="27" t="s">
        <v>7</v>
      </c>
      <c r="BU284" s="27" t="s">
        <v>8</v>
      </c>
      <c r="CL284" s="27" t="s">
        <v>7</v>
      </c>
      <c r="CM284" s="27" t="s">
        <v>8</v>
      </c>
      <c r="CR284" s="27" t="s">
        <v>7</v>
      </c>
      <c r="DA284" s="27" t="s">
        <v>8</v>
      </c>
      <c r="DB284" s="27" t="s">
        <v>7</v>
      </c>
      <c r="DM284" s="27" t="s">
        <v>8</v>
      </c>
      <c r="DN284" s="27" t="s">
        <v>7</v>
      </c>
      <c r="DO284" s="27" t="s">
        <v>8</v>
      </c>
      <c r="DP284" s="27" t="s">
        <v>7</v>
      </c>
      <c r="DQ284" s="27" t="s">
        <v>8</v>
      </c>
      <c r="DR284" s="27" t="s">
        <v>7</v>
      </c>
      <c r="DS284" s="27" t="s">
        <v>8</v>
      </c>
      <c r="DX284" s="27" t="s">
        <v>7</v>
      </c>
      <c r="DY284" s="27" t="s">
        <v>8</v>
      </c>
      <c r="DZ284" s="27" t="s">
        <v>7</v>
      </c>
      <c r="EA284" s="27" t="s">
        <v>8</v>
      </c>
      <c r="EB284" s="27" t="s">
        <v>7</v>
      </c>
      <c r="EC284" s="27" t="s">
        <v>8</v>
      </c>
      <c r="ED284" s="27" t="s">
        <v>7</v>
      </c>
      <c r="EE284" s="27" t="s">
        <v>8</v>
      </c>
      <c r="EF284" s="27" t="s">
        <v>7</v>
      </c>
      <c r="EG284" s="27" t="s">
        <v>8</v>
      </c>
      <c r="EH284" s="27" t="s">
        <v>7</v>
      </c>
      <c r="EI284" s="27" t="s">
        <v>8</v>
      </c>
      <c r="EJ284" s="27" t="s">
        <v>7</v>
      </c>
      <c r="EL284" s="27" t="s">
        <v>7</v>
      </c>
      <c r="EM284" s="27" t="s">
        <v>8</v>
      </c>
      <c r="EN284" s="27" t="s">
        <v>7</v>
      </c>
      <c r="EO284" s="27" t="s">
        <v>8</v>
      </c>
      <c r="EP284" s="27" t="s">
        <v>7</v>
      </c>
      <c r="ES284" s="27" t="s">
        <v>8</v>
      </c>
      <c r="EW284" s="27" t="s">
        <v>8</v>
      </c>
      <c r="EX284" s="27" t="s">
        <v>7</v>
      </c>
    </row>
    <row r="285" spans="1:159" x14ac:dyDescent="0.25">
      <c r="A285" s="30">
        <v>0.11129650891613138</v>
      </c>
      <c r="B285"/>
      <c r="C285"/>
      <c r="D285"/>
      <c r="E285"/>
      <c r="F285" s="27" t="s">
        <v>7</v>
      </c>
      <c r="G285" s="27" t="s">
        <v>8</v>
      </c>
      <c r="H285" s="27" t="s">
        <v>7</v>
      </c>
      <c r="I285" s="27" t="s">
        <v>8</v>
      </c>
      <c r="J285" s="27" t="s">
        <v>7</v>
      </c>
      <c r="L285" s="27" t="s">
        <v>7</v>
      </c>
      <c r="M285" s="27" t="s">
        <v>8</v>
      </c>
      <c r="N285" s="27" t="s">
        <v>7</v>
      </c>
      <c r="O285" s="27" t="s">
        <v>8</v>
      </c>
      <c r="P285" s="27" t="s">
        <v>7</v>
      </c>
      <c r="BM285" s="27" t="s">
        <v>8</v>
      </c>
      <c r="BN285" s="27" t="s">
        <v>7</v>
      </c>
      <c r="BO285" s="27" t="s">
        <v>8</v>
      </c>
      <c r="BP285" s="27" t="s">
        <v>7</v>
      </c>
      <c r="BQ285" s="27" t="s">
        <v>8</v>
      </c>
      <c r="BR285" s="27" t="s">
        <v>7</v>
      </c>
      <c r="BS285" s="27" t="s">
        <v>8</v>
      </c>
      <c r="BT285" s="27" t="s">
        <v>7</v>
      </c>
      <c r="BU285" s="27" t="s">
        <v>8</v>
      </c>
      <c r="CL285" s="27" t="s">
        <v>7</v>
      </c>
      <c r="CR285" s="27" t="s">
        <v>7</v>
      </c>
      <c r="DA285" s="27" t="s">
        <v>8</v>
      </c>
      <c r="DB285" s="27" t="s">
        <v>7</v>
      </c>
      <c r="DM285" s="27" t="s">
        <v>8</v>
      </c>
      <c r="DN285" s="27" t="s">
        <v>7</v>
      </c>
      <c r="DO285" s="27" t="s">
        <v>8</v>
      </c>
      <c r="DP285" s="27" t="s">
        <v>7</v>
      </c>
      <c r="DQ285" s="27" t="s">
        <v>8</v>
      </c>
      <c r="DR285" s="27" t="s">
        <v>7</v>
      </c>
      <c r="DS285" s="27" t="s">
        <v>8</v>
      </c>
      <c r="DX285" s="27" t="s">
        <v>7</v>
      </c>
      <c r="DY285" s="27" t="s">
        <v>8</v>
      </c>
      <c r="DZ285" s="27" t="s">
        <v>7</v>
      </c>
      <c r="EA285" s="27" t="s">
        <v>8</v>
      </c>
      <c r="EB285" s="27" t="s">
        <v>7</v>
      </c>
      <c r="EC285" s="27" t="s">
        <v>8</v>
      </c>
      <c r="ED285" s="27" t="s">
        <v>7</v>
      </c>
      <c r="EE285" s="27" t="s">
        <v>8</v>
      </c>
      <c r="EF285" s="27" t="s">
        <v>7</v>
      </c>
      <c r="EH285" s="27" t="s">
        <v>7</v>
      </c>
      <c r="EI285" s="27" t="s">
        <v>8</v>
      </c>
      <c r="EL285" s="27" t="s">
        <v>7</v>
      </c>
      <c r="EM285" s="27" t="s">
        <v>8</v>
      </c>
      <c r="EN285" s="27" t="s">
        <v>7</v>
      </c>
      <c r="EP285" s="27" t="s">
        <v>7</v>
      </c>
      <c r="ES285" s="27" t="s">
        <v>8</v>
      </c>
      <c r="ET285" s="27" t="s">
        <v>7</v>
      </c>
      <c r="EW285" s="27" t="s">
        <v>8</v>
      </c>
      <c r="EX285" s="27" t="s">
        <v>7</v>
      </c>
      <c r="EY285" s="27" t="s">
        <v>8</v>
      </c>
    </row>
    <row r="286" spans="1:159" x14ac:dyDescent="0.25">
      <c r="A286" s="30">
        <v>0.10599667515822032</v>
      </c>
      <c r="B286"/>
      <c r="C286"/>
      <c r="D286"/>
      <c r="E286"/>
      <c r="F286" s="27" t="s">
        <v>7</v>
      </c>
      <c r="G286" s="27" t="s">
        <v>8</v>
      </c>
      <c r="H286" s="27" t="s">
        <v>7</v>
      </c>
      <c r="L286" s="27" t="s">
        <v>7</v>
      </c>
      <c r="N286" s="27" t="s">
        <v>7</v>
      </c>
      <c r="P286" s="27" t="s">
        <v>7</v>
      </c>
      <c r="BK286" s="27" t="s">
        <v>8</v>
      </c>
      <c r="BM286" s="27" t="s">
        <v>8</v>
      </c>
      <c r="BN286" s="27" t="s">
        <v>7</v>
      </c>
      <c r="BO286" s="27" t="s">
        <v>8</v>
      </c>
      <c r="BP286" s="27" t="s">
        <v>7</v>
      </c>
      <c r="BQ286" s="27" t="s">
        <v>8</v>
      </c>
      <c r="BR286" s="27" t="s">
        <v>7</v>
      </c>
      <c r="BS286" s="27" t="s">
        <v>8</v>
      </c>
      <c r="BT286" s="27" t="s">
        <v>7</v>
      </c>
      <c r="BU286" s="27" t="s">
        <v>8</v>
      </c>
      <c r="CR286" s="27" t="s">
        <v>7</v>
      </c>
      <c r="DA286" s="27" t="s">
        <v>8</v>
      </c>
      <c r="DB286" s="27" t="s">
        <v>7</v>
      </c>
      <c r="DM286" s="27" t="s">
        <v>8</v>
      </c>
      <c r="DN286" s="27" t="s">
        <v>7</v>
      </c>
      <c r="DO286" s="27" t="s">
        <v>8</v>
      </c>
      <c r="DP286" s="27" t="s">
        <v>7</v>
      </c>
      <c r="DR286" s="27" t="s">
        <v>7</v>
      </c>
      <c r="DS286" s="27" t="s">
        <v>8</v>
      </c>
      <c r="DX286" s="27" t="s">
        <v>7</v>
      </c>
      <c r="DZ286" s="27" t="s">
        <v>7</v>
      </c>
      <c r="EA286" s="27" t="s">
        <v>8</v>
      </c>
      <c r="EB286" s="27" t="s">
        <v>7</v>
      </c>
      <c r="ED286" s="27" t="s">
        <v>7</v>
      </c>
      <c r="EE286" s="27" t="s">
        <v>8</v>
      </c>
      <c r="EH286" s="27" t="s">
        <v>7</v>
      </c>
      <c r="EL286" s="27" t="s">
        <v>7</v>
      </c>
      <c r="EP286" s="27" t="s">
        <v>7</v>
      </c>
      <c r="EQ286" s="27" t="s">
        <v>8</v>
      </c>
      <c r="ES286" s="27" t="s">
        <v>8</v>
      </c>
      <c r="ET286" s="27" t="s">
        <v>7</v>
      </c>
      <c r="EW286" s="27" t="s">
        <v>8</v>
      </c>
      <c r="EX286" s="27" t="s">
        <v>7</v>
      </c>
      <c r="EY286" s="27" t="s">
        <v>8</v>
      </c>
      <c r="EZ286" s="27" t="s">
        <v>7</v>
      </c>
      <c r="FA286" s="27" t="s">
        <v>8</v>
      </c>
    </row>
    <row r="287" spans="1:159" x14ac:dyDescent="0.25">
      <c r="A287" s="30">
        <v>0.10094921443640027</v>
      </c>
      <c r="B287"/>
      <c r="C287"/>
      <c r="D287"/>
      <c r="E287"/>
      <c r="F287" s="27" t="s">
        <v>7</v>
      </c>
      <c r="G287" s="27" t="s">
        <v>8</v>
      </c>
      <c r="P287" s="27" t="s">
        <v>7</v>
      </c>
      <c r="BK287" s="27" t="s">
        <v>8</v>
      </c>
      <c r="BL287" s="27" t="s">
        <v>7</v>
      </c>
      <c r="BM287" s="27" t="s">
        <v>8</v>
      </c>
      <c r="BN287" s="27" t="s">
        <v>7</v>
      </c>
      <c r="BO287" s="27" t="s">
        <v>8</v>
      </c>
      <c r="BP287" s="27" t="s">
        <v>7</v>
      </c>
      <c r="BQ287" s="27" t="s">
        <v>8</v>
      </c>
      <c r="BR287" s="27" t="s">
        <v>7</v>
      </c>
      <c r="BS287" s="27" t="s">
        <v>8</v>
      </c>
      <c r="BT287" s="27" t="s">
        <v>7</v>
      </c>
      <c r="BU287" s="27" t="s">
        <v>8</v>
      </c>
      <c r="CR287" s="27" t="s">
        <v>7</v>
      </c>
      <c r="CS287" s="27" t="s">
        <v>8</v>
      </c>
      <c r="DA287" s="27" t="s">
        <v>8</v>
      </c>
      <c r="DB287" s="27" t="s">
        <v>7</v>
      </c>
      <c r="DM287" s="27" t="s">
        <v>8</v>
      </c>
      <c r="DN287" s="27" t="s">
        <v>7</v>
      </c>
      <c r="DR287" s="27" t="s">
        <v>7</v>
      </c>
      <c r="DZ287" s="27" t="s">
        <v>7</v>
      </c>
      <c r="ED287" s="27" t="s">
        <v>7</v>
      </c>
      <c r="EP287" s="27" t="s">
        <v>7</v>
      </c>
      <c r="EQ287" s="27" t="s">
        <v>8</v>
      </c>
      <c r="ER287" s="27" t="s">
        <v>7</v>
      </c>
      <c r="ES287" s="27" t="s">
        <v>8</v>
      </c>
      <c r="ET287" s="27" t="s">
        <v>7</v>
      </c>
      <c r="EW287" s="27" t="s">
        <v>8</v>
      </c>
      <c r="EX287" s="27" t="s">
        <v>7</v>
      </c>
      <c r="EY287" s="27" t="s">
        <v>8</v>
      </c>
      <c r="EZ287" s="27" t="s">
        <v>7</v>
      </c>
      <c r="FA287" s="27" t="s">
        <v>8</v>
      </c>
      <c r="FB287" s="27" t="s">
        <v>7</v>
      </c>
    </row>
    <row r="288" spans="1:159" x14ac:dyDescent="0.25">
      <c r="A288" s="30">
        <v>9.6142108987047836E-2</v>
      </c>
      <c r="B288"/>
      <c r="C288"/>
      <c r="D288"/>
      <c r="E288"/>
      <c r="F288" s="27" t="s">
        <v>7</v>
      </c>
      <c r="P288" s="27" t="s">
        <v>7</v>
      </c>
      <c r="BI288" s="27" t="s">
        <v>8</v>
      </c>
      <c r="BK288" s="27" t="s">
        <v>8</v>
      </c>
      <c r="BL288" s="27" t="s">
        <v>7</v>
      </c>
      <c r="BM288" s="27" t="s">
        <v>8</v>
      </c>
      <c r="BN288" s="27" t="s">
        <v>7</v>
      </c>
      <c r="BO288" s="27" t="s">
        <v>8</v>
      </c>
      <c r="BP288" s="27" t="s">
        <v>7</v>
      </c>
      <c r="BQ288" s="27" t="s">
        <v>8</v>
      </c>
      <c r="BR288" s="27" t="s">
        <v>7</v>
      </c>
      <c r="BT288" s="27" t="s">
        <v>7</v>
      </c>
      <c r="BU288" s="27" t="s">
        <v>8</v>
      </c>
      <c r="CR288" s="27" t="s">
        <v>7</v>
      </c>
      <c r="CS288" s="27" t="s">
        <v>8</v>
      </c>
      <c r="CT288" s="27" t="s">
        <v>7</v>
      </c>
      <c r="CU288" s="27" t="s">
        <v>8</v>
      </c>
      <c r="DA288" s="27" t="s">
        <v>8</v>
      </c>
      <c r="DB288" s="27" t="s">
        <v>7</v>
      </c>
      <c r="DE288" s="27" t="s">
        <v>8</v>
      </c>
      <c r="DM288" s="27" t="s">
        <v>8</v>
      </c>
      <c r="EP288" s="27" t="s">
        <v>7</v>
      </c>
      <c r="EQ288" s="27" t="s">
        <v>8</v>
      </c>
      <c r="ER288" s="27" t="s">
        <v>7</v>
      </c>
      <c r="ES288" s="27" t="s">
        <v>8</v>
      </c>
      <c r="ET288" s="27" t="s">
        <v>7</v>
      </c>
      <c r="EU288" s="27" t="s">
        <v>8</v>
      </c>
      <c r="EW288" s="27" t="s">
        <v>8</v>
      </c>
      <c r="EX288" s="27" t="s">
        <v>7</v>
      </c>
      <c r="EY288" s="27" t="s">
        <v>8</v>
      </c>
      <c r="EZ288" s="27" t="s">
        <v>7</v>
      </c>
      <c r="FA288" s="27" t="s">
        <v>8</v>
      </c>
      <c r="FB288" s="27" t="s">
        <v>7</v>
      </c>
      <c r="FC288" s="27" t="s">
        <v>8</v>
      </c>
    </row>
    <row r="289" spans="1:161" x14ac:dyDescent="0.25">
      <c r="A289" s="30">
        <v>9.1563913320997906E-2</v>
      </c>
      <c r="B289"/>
      <c r="C289"/>
      <c r="D289"/>
      <c r="E289"/>
      <c r="P289" s="27" t="s">
        <v>7</v>
      </c>
      <c r="BI289" s="27" t="s">
        <v>8</v>
      </c>
      <c r="BJ289" s="27" t="s">
        <v>7</v>
      </c>
      <c r="BK289" s="27" t="s">
        <v>8</v>
      </c>
      <c r="BL289" s="27" t="s">
        <v>7</v>
      </c>
      <c r="BM289" s="27" t="s">
        <v>8</v>
      </c>
      <c r="BN289" s="27" t="s">
        <v>7</v>
      </c>
      <c r="BP289" s="27" t="s">
        <v>7</v>
      </c>
      <c r="BT289" s="27" t="s">
        <v>7</v>
      </c>
      <c r="CR289" s="27" t="s">
        <v>7</v>
      </c>
      <c r="CS289" s="27" t="s">
        <v>8</v>
      </c>
      <c r="CT289" s="27" t="s">
        <v>7</v>
      </c>
      <c r="CU289" s="27" t="s">
        <v>8</v>
      </c>
      <c r="CV289" s="27" t="s">
        <v>7</v>
      </c>
      <c r="CW289" s="27" t="s">
        <v>8</v>
      </c>
      <c r="DA289" s="27" t="s">
        <v>8</v>
      </c>
      <c r="DB289" s="27" t="s">
        <v>7</v>
      </c>
      <c r="DC289" s="27" t="s">
        <v>8</v>
      </c>
      <c r="DE289" s="27" t="s">
        <v>8</v>
      </c>
      <c r="DF289" s="27" t="s">
        <v>7</v>
      </c>
      <c r="DM289" s="27" t="s">
        <v>8</v>
      </c>
      <c r="EP289" s="27" t="s">
        <v>7</v>
      </c>
      <c r="EQ289" s="27" t="s">
        <v>8</v>
      </c>
      <c r="ER289" s="27" t="s">
        <v>7</v>
      </c>
      <c r="ES289" s="27" t="s">
        <v>8</v>
      </c>
      <c r="ET289" s="27" t="s">
        <v>7</v>
      </c>
      <c r="EU289" s="27" t="s">
        <v>8</v>
      </c>
      <c r="EV289" s="27" t="s">
        <v>7</v>
      </c>
      <c r="EW289" s="27" t="s">
        <v>8</v>
      </c>
      <c r="EX289" s="27" t="s">
        <v>7</v>
      </c>
      <c r="EY289" s="27" t="s">
        <v>8</v>
      </c>
      <c r="EZ289" s="27" t="s">
        <v>7</v>
      </c>
      <c r="FB289" s="27" t="s">
        <v>7</v>
      </c>
      <c r="FC289" s="27" t="s">
        <v>8</v>
      </c>
      <c r="FD289" s="27" t="s">
        <v>7</v>
      </c>
    </row>
    <row r="290" spans="1:161" x14ac:dyDescent="0.25">
      <c r="A290" s="30">
        <v>8.7203726972378923E-2</v>
      </c>
      <c r="B290"/>
      <c r="C290"/>
      <c r="D290"/>
      <c r="E290"/>
      <c r="P290" s="27" t="s">
        <v>7</v>
      </c>
      <c r="BI290" s="27" t="s">
        <v>8</v>
      </c>
      <c r="BJ290" s="27" t="s">
        <v>7</v>
      </c>
      <c r="BK290" s="27" t="s">
        <v>8</v>
      </c>
      <c r="BL290" s="27" t="s">
        <v>7</v>
      </c>
      <c r="CR290" s="27" t="s">
        <v>7</v>
      </c>
      <c r="CS290" s="27" t="s">
        <v>8</v>
      </c>
      <c r="CT290" s="27" t="s">
        <v>7</v>
      </c>
      <c r="CU290" s="27" t="s">
        <v>8</v>
      </c>
      <c r="CV290" s="27" t="s">
        <v>7</v>
      </c>
      <c r="CW290" s="27" t="s">
        <v>8</v>
      </c>
      <c r="CX290" s="27" t="s">
        <v>7</v>
      </c>
      <c r="CY290" s="27" t="s">
        <v>8</v>
      </c>
      <c r="DA290" s="27" t="s">
        <v>8</v>
      </c>
      <c r="DB290" s="27" t="s">
        <v>7</v>
      </c>
      <c r="DC290" s="27" t="s">
        <v>8</v>
      </c>
      <c r="DD290" s="27" t="s">
        <v>7</v>
      </c>
      <c r="DE290" s="27" t="s">
        <v>8</v>
      </c>
      <c r="DF290" s="27" t="s">
        <v>7</v>
      </c>
      <c r="DI290" s="27" t="s">
        <v>8</v>
      </c>
      <c r="DM290" s="27" t="s">
        <v>8</v>
      </c>
      <c r="EP290" s="27" t="s">
        <v>7</v>
      </c>
      <c r="EQ290" s="27" t="s">
        <v>8</v>
      </c>
      <c r="ER290" s="27" t="s">
        <v>7</v>
      </c>
      <c r="ES290" s="27" t="s">
        <v>8</v>
      </c>
      <c r="ET290" s="27" t="s">
        <v>7</v>
      </c>
      <c r="EU290" s="27" t="s">
        <v>8</v>
      </c>
      <c r="EV290" s="27" t="s">
        <v>7</v>
      </c>
      <c r="EW290" s="27" t="s">
        <v>8</v>
      </c>
      <c r="EX290" s="27" t="s">
        <v>7</v>
      </c>
      <c r="EY290" s="27" t="s">
        <v>8</v>
      </c>
      <c r="FB290" s="27" t="s">
        <v>7</v>
      </c>
      <c r="FC290" s="27" t="s">
        <v>8</v>
      </c>
      <c r="FD290" s="27" t="s">
        <v>7</v>
      </c>
    </row>
    <row r="291" spans="1:161" x14ac:dyDescent="0.25">
      <c r="A291" s="30">
        <v>8.3051168545122747E-2</v>
      </c>
      <c r="B291"/>
      <c r="C291"/>
      <c r="D291"/>
      <c r="E291"/>
      <c r="P291" s="27" t="s">
        <v>7</v>
      </c>
      <c r="BI291" s="27" t="s">
        <v>8</v>
      </c>
      <c r="BJ291" s="27" t="s">
        <v>7</v>
      </c>
      <c r="CR291" s="27" t="s">
        <v>7</v>
      </c>
      <c r="CS291" s="27" t="s">
        <v>8</v>
      </c>
      <c r="CT291" s="27" t="s">
        <v>7</v>
      </c>
      <c r="CU291" s="27" t="s">
        <v>8</v>
      </c>
      <c r="CV291" s="27" t="s">
        <v>7</v>
      </c>
      <c r="CW291" s="27" t="s">
        <v>8</v>
      </c>
      <c r="CX291" s="27" t="s">
        <v>7</v>
      </c>
      <c r="CY291" s="27" t="s">
        <v>8</v>
      </c>
      <c r="CZ291" s="27" t="s">
        <v>7</v>
      </c>
      <c r="DA291" s="27" t="s">
        <v>8</v>
      </c>
      <c r="DB291" s="27" t="s">
        <v>7</v>
      </c>
      <c r="DC291" s="27" t="s">
        <v>8</v>
      </c>
      <c r="DD291" s="27" t="s">
        <v>7</v>
      </c>
      <c r="DE291" s="27" t="s">
        <v>8</v>
      </c>
      <c r="DF291" s="27" t="s">
        <v>7</v>
      </c>
      <c r="DI291" s="27" t="s">
        <v>8</v>
      </c>
      <c r="DJ291" s="27" t="s">
        <v>7</v>
      </c>
      <c r="DM291" s="27" t="s">
        <v>8</v>
      </c>
      <c r="EP291" s="27" t="s">
        <v>7</v>
      </c>
      <c r="ER291" s="27" t="s">
        <v>7</v>
      </c>
      <c r="ES291" s="27" t="s">
        <v>8</v>
      </c>
      <c r="ET291" s="27" t="s">
        <v>7</v>
      </c>
      <c r="EV291" s="27" t="s">
        <v>7</v>
      </c>
      <c r="EX291" s="27" t="s">
        <v>7</v>
      </c>
      <c r="EY291" s="27" t="s">
        <v>8</v>
      </c>
      <c r="FB291" s="27" t="s">
        <v>7</v>
      </c>
      <c r="FD291" s="27" t="s">
        <v>7</v>
      </c>
    </row>
    <row r="292" spans="1:161" x14ac:dyDescent="0.25">
      <c r="A292" s="30">
        <v>7.9096350995354961E-2</v>
      </c>
      <c r="B292"/>
      <c r="C292"/>
      <c r="D292"/>
      <c r="E292"/>
      <c r="P292" s="27" t="s">
        <v>7</v>
      </c>
      <c r="S292" s="27" t="s">
        <v>8</v>
      </c>
      <c r="BI292" s="27" t="s">
        <v>8</v>
      </c>
      <c r="CR292" s="27" t="s">
        <v>7</v>
      </c>
      <c r="CS292" s="27" t="s">
        <v>8</v>
      </c>
      <c r="CT292" s="27" t="s">
        <v>7</v>
      </c>
      <c r="CU292" s="27" t="s">
        <v>8</v>
      </c>
      <c r="CV292" s="27" t="s">
        <v>7</v>
      </c>
      <c r="CW292" s="27" t="s">
        <v>8</v>
      </c>
      <c r="CX292" s="27" t="s">
        <v>7</v>
      </c>
      <c r="CY292" s="27" t="s">
        <v>8</v>
      </c>
      <c r="CZ292" s="27" t="s">
        <v>7</v>
      </c>
      <c r="DA292" s="27" t="s">
        <v>8</v>
      </c>
      <c r="DB292" s="27" t="s">
        <v>7</v>
      </c>
      <c r="DC292" s="27" t="s">
        <v>8</v>
      </c>
      <c r="DD292" s="27" t="s">
        <v>7</v>
      </c>
      <c r="DE292" s="27" t="s">
        <v>8</v>
      </c>
      <c r="DF292" s="27" t="s">
        <v>7</v>
      </c>
      <c r="DI292" s="27" t="s">
        <v>8</v>
      </c>
      <c r="DJ292" s="27" t="s">
        <v>7</v>
      </c>
      <c r="DK292" s="27" t="s">
        <v>8</v>
      </c>
      <c r="DM292" s="27" t="s">
        <v>8</v>
      </c>
      <c r="ER292" s="27" t="s">
        <v>7</v>
      </c>
      <c r="EX292" s="27" t="s">
        <v>7</v>
      </c>
      <c r="FD292" s="27" t="s">
        <v>7</v>
      </c>
    </row>
    <row r="293" spans="1:161" x14ac:dyDescent="0.25">
      <c r="A293" s="30">
        <v>7.5329858090814217E-2</v>
      </c>
      <c r="B293"/>
      <c r="C293"/>
      <c r="D293"/>
      <c r="E293"/>
      <c r="P293" s="27" t="s">
        <v>7</v>
      </c>
      <c r="S293" s="27" t="s">
        <v>8</v>
      </c>
      <c r="T293" s="27" t="s">
        <v>7</v>
      </c>
      <c r="Y293" s="27" t="s">
        <v>8</v>
      </c>
      <c r="BA293" s="27" t="s">
        <v>8</v>
      </c>
      <c r="BI293" s="27" t="s">
        <v>8</v>
      </c>
      <c r="CR293" s="27" t="s">
        <v>7</v>
      </c>
      <c r="CS293" s="27" t="s">
        <v>8</v>
      </c>
      <c r="CT293" s="27" t="s">
        <v>7</v>
      </c>
      <c r="CU293" s="27" t="s">
        <v>8</v>
      </c>
      <c r="CV293" s="27" t="s">
        <v>7</v>
      </c>
      <c r="CW293" s="27" t="s">
        <v>8</v>
      </c>
      <c r="CX293" s="27" t="s">
        <v>7</v>
      </c>
      <c r="CY293" s="27" t="s">
        <v>8</v>
      </c>
      <c r="CZ293" s="27" t="s">
        <v>7</v>
      </c>
      <c r="DB293" s="27" t="s">
        <v>7</v>
      </c>
      <c r="DC293" s="27" t="s">
        <v>8</v>
      </c>
      <c r="DD293" s="27" t="s">
        <v>7</v>
      </c>
      <c r="DE293" s="27" t="s">
        <v>8</v>
      </c>
      <c r="DF293" s="27" t="s">
        <v>7</v>
      </c>
      <c r="DG293" s="27" t="s">
        <v>8</v>
      </c>
      <c r="DI293" s="27" t="s">
        <v>8</v>
      </c>
      <c r="DJ293" s="27" t="s">
        <v>7</v>
      </c>
      <c r="DK293" s="27" t="s">
        <v>8</v>
      </c>
      <c r="DL293" s="27" t="s">
        <v>7</v>
      </c>
      <c r="DM293" s="27" t="s">
        <v>8</v>
      </c>
      <c r="FD293" s="27" t="s">
        <v>7</v>
      </c>
    </row>
    <row r="294" spans="1:161" x14ac:dyDescent="0.25">
      <c r="A294" s="30">
        <v>7.1742721991251604E-2</v>
      </c>
      <c r="B294"/>
      <c r="C294"/>
      <c r="D294"/>
      <c r="E294"/>
      <c r="P294" s="27" t="s">
        <v>7</v>
      </c>
      <c r="Q294" s="27" t="s">
        <v>8</v>
      </c>
      <c r="S294" s="27" t="s">
        <v>8</v>
      </c>
      <c r="T294" s="27" t="s">
        <v>7</v>
      </c>
      <c r="U294" s="27" t="s">
        <v>8</v>
      </c>
      <c r="W294" s="27" t="s">
        <v>8</v>
      </c>
      <c r="Y294" s="27" t="s">
        <v>8</v>
      </c>
      <c r="Z294" s="27" t="s">
        <v>7</v>
      </c>
      <c r="BA294" s="27" t="s">
        <v>8</v>
      </c>
      <c r="BB294" s="27" t="s">
        <v>7</v>
      </c>
      <c r="BC294" s="27" t="s">
        <v>8</v>
      </c>
      <c r="BE294" s="27" t="s">
        <v>8</v>
      </c>
      <c r="BG294" s="27" t="s">
        <v>8</v>
      </c>
      <c r="BI294" s="27" t="s">
        <v>8</v>
      </c>
      <c r="CR294" s="27" t="s">
        <v>7</v>
      </c>
      <c r="CS294" s="27" t="s">
        <v>8</v>
      </c>
      <c r="CT294" s="27" t="s">
        <v>7</v>
      </c>
      <c r="CV294" s="27" t="s">
        <v>7</v>
      </c>
      <c r="CW294" s="27" t="s">
        <v>8</v>
      </c>
      <c r="CX294" s="27" t="s">
        <v>7</v>
      </c>
      <c r="CY294" s="27" t="s">
        <v>8</v>
      </c>
      <c r="DB294" s="27" t="s">
        <v>7</v>
      </c>
      <c r="DD294" s="27" t="s">
        <v>7</v>
      </c>
      <c r="DF294" s="27" t="s">
        <v>7</v>
      </c>
      <c r="DG294" s="27" t="s">
        <v>8</v>
      </c>
      <c r="DH294" s="27" t="s">
        <v>7</v>
      </c>
      <c r="DI294" s="27" t="s">
        <v>8</v>
      </c>
      <c r="DJ294" s="27" t="s">
        <v>7</v>
      </c>
      <c r="DK294" s="27" t="s">
        <v>8</v>
      </c>
      <c r="DL294" s="27" t="s">
        <v>7</v>
      </c>
      <c r="DM294" s="27" t="s">
        <v>8</v>
      </c>
      <c r="FD294" s="27" t="s">
        <v>7</v>
      </c>
      <c r="FE294" s="27" t="s">
        <v>8</v>
      </c>
    </row>
    <row r="295" spans="1:161" x14ac:dyDescent="0.25">
      <c r="A295" s="30">
        <v>6.8326401896430078E-2</v>
      </c>
      <c r="B295"/>
      <c r="C295"/>
      <c r="D295"/>
      <c r="E295"/>
      <c r="P295" s="27" t="s">
        <v>7</v>
      </c>
      <c r="Q295" s="27" t="s">
        <v>8</v>
      </c>
      <c r="R295" s="27" t="s">
        <v>7</v>
      </c>
      <c r="S295" s="27" t="s">
        <v>8</v>
      </c>
      <c r="T295" s="27" t="s">
        <v>7</v>
      </c>
      <c r="U295" s="27" t="s">
        <v>8</v>
      </c>
      <c r="V295" s="27" t="s">
        <v>7</v>
      </c>
      <c r="W295" s="27" t="s">
        <v>8</v>
      </c>
      <c r="X295" s="27" t="s">
        <v>7</v>
      </c>
      <c r="Y295" s="27" t="s">
        <v>8</v>
      </c>
      <c r="Z295" s="27" t="s">
        <v>7</v>
      </c>
      <c r="AA295" s="27" t="s">
        <v>8</v>
      </c>
      <c r="AI295" s="27" t="s">
        <v>8</v>
      </c>
      <c r="BA295" s="27" t="s">
        <v>8</v>
      </c>
      <c r="BB295" s="27" t="s">
        <v>7</v>
      </c>
      <c r="BC295" s="27" t="s">
        <v>8</v>
      </c>
      <c r="BD295" s="27" t="s">
        <v>7</v>
      </c>
      <c r="BE295" s="27" t="s">
        <v>8</v>
      </c>
      <c r="BF295" s="27" t="s">
        <v>7</v>
      </c>
      <c r="BG295" s="27" t="s">
        <v>8</v>
      </c>
      <c r="BH295" s="27" t="s">
        <v>7</v>
      </c>
      <c r="BI295" s="27" t="s">
        <v>8</v>
      </c>
      <c r="CR295" s="27" t="s">
        <v>7</v>
      </c>
      <c r="CS295" s="27" t="s">
        <v>8</v>
      </c>
      <c r="CV295" s="27" t="s">
        <v>7</v>
      </c>
      <c r="CW295" s="27" t="s">
        <v>8</v>
      </c>
      <c r="CX295" s="27" t="s">
        <v>7</v>
      </c>
      <c r="DF295" s="27" t="s">
        <v>7</v>
      </c>
      <c r="DG295" s="27" t="s">
        <v>8</v>
      </c>
      <c r="DH295" s="27" t="s">
        <v>7</v>
      </c>
      <c r="DI295" s="27" t="s">
        <v>8</v>
      </c>
      <c r="DJ295" s="27" t="s">
        <v>7</v>
      </c>
      <c r="DK295" s="27" t="s">
        <v>8</v>
      </c>
      <c r="DL295" s="27" t="s">
        <v>7</v>
      </c>
      <c r="DM295" s="27" t="s">
        <v>8</v>
      </c>
      <c r="FD295" s="27" t="s">
        <v>7</v>
      </c>
      <c r="FE295" s="27" t="s">
        <v>8</v>
      </c>
    </row>
    <row r="296" spans="1:161" x14ac:dyDescent="0.25">
      <c r="A296" s="30">
        <v>6.5072763710885759E-2</v>
      </c>
      <c r="B296"/>
      <c r="C296"/>
      <c r="D296"/>
      <c r="E296"/>
      <c r="P296" s="27" t="s">
        <v>7</v>
      </c>
      <c r="Q296" s="27" t="s">
        <v>8</v>
      </c>
      <c r="R296" s="27" t="s">
        <v>7</v>
      </c>
      <c r="S296" s="27" t="s">
        <v>8</v>
      </c>
      <c r="T296" s="27" t="s">
        <v>7</v>
      </c>
      <c r="U296" s="27" t="s">
        <v>8</v>
      </c>
      <c r="V296" s="27" t="s">
        <v>7</v>
      </c>
      <c r="W296" s="27" t="s">
        <v>8</v>
      </c>
      <c r="X296" s="27" t="s">
        <v>7</v>
      </c>
      <c r="Y296" s="27" t="s">
        <v>8</v>
      </c>
      <c r="Z296" s="27" t="s">
        <v>7</v>
      </c>
      <c r="AA296" s="27" t="s">
        <v>8</v>
      </c>
      <c r="AB296" s="27" t="s">
        <v>7</v>
      </c>
      <c r="AI296" s="27" t="s">
        <v>8</v>
      </c>
      <c r="AJ296" s="27" t="s">
        <v>7</v>
      </c>
      <c r="AK296" s="27" t="s">
        <v>8</v>
      </c>
      <c r="BA296" s="27" t="s">
        <v>8</v>
      </c>
      <c r="BB296" s="27" t="s">
        <v>7</v>
      </c>
      <c r="BC296" s="27" t="s">
        <v>8</v>
      </c>
      <c r="BD296" s="27" t="s">
        <v>7</v>
      </c>
      <c r="BE296" s="27" t="s">
        <v>8</v>
      </c>
      <c r="BF296" s="27" t="s">
        <v>7</v>
      </c>
      <c r="BG296" s="27" t="s">
        <v>8</v>
      </c>
      <c r="BH296" s="27" t="s">
        <v>7</v>
      </c>
      <c r="BI296" s="27" t="s">
        <v>8</v>
      </c>
      <c r="CR296" s="27" t="s">
        <v>7</v>
      </c>
      <c r="CV296" s="27" t="s">
        <v>7</v>
      </c>
      <c r="CW296" s="27" t="s">
        <v>8</v>
      </c>
      <c r="DF296" s="27" t="s">
        <v>7</v>
      </c>
      <c r="DG296" s="27" t="s">
        <v>8</v>
      </c>
      <c r="DH296" s="27" t="s">
        <v>7</v>
      </c>
      <c r="DJ296" s="27" t="s">
        <v>7</v>
      </c>
      <c r="DL296" s="27" t="s">
        <v>7</v>
      </c>
      <c r="DM296" s="27" t="s">
        <v>8</v>
      </c>
      <c r="FD296" s="27" t="s">
        <v>7</v>
      </c>
      <c r="FE296" s="27" t="s">
        <v>8</v>
      </c>
    </row>
    <row r="297" spans="1:161" x14ac:dyDescent="0.25">
      <c r="A297" s="30">
        <v>6.197406067703403E-2</v>
      </c>
      <c r="B297"/>
      <c r="C297"/>
      <c r="D297"/>
      <c r="E297"/>
      <c r="P297" s="27" t="s">
        <v>7</v>
      </c>
      <c r="Q297" s="27" t="s">
        <v>8</v>
      </c>
      <c r="R297" s="27" t="s">
        <v>7</v>
      </c>
      <c r="S297" s="27" t="s">
        <v>8</v>
      </c>
      <c r="T297" s="27" t="s">
        <v>7</v>
      </c>
      <c r="U297" s="27" t="s">
        <v>8</v>
      </c>
      <c r="V297" s="27" t="s">
        <v>7</v>
      </c>
      <c r="W297" s="27" t="s">
        <v>8</v>
      </c>
      <c r="X297" s="27" t="s">
        <v>7</v>
      </c>
      <c r="Y297" s="27" t="s">
        <v>8</v>
      </c>
      <c r="Z297" s="27" t="s">
        <v>7</v>
      </c>
      <c r="AA297" s="27" t="s">
        <v>8</v>
      </c>
      <c r="AB297" s="27" t="s">
        <v>7</v>
      </c>
      <c r="AI297" s="27" t="s">
        <v>8</v>
      </c>
      <c r="AJ297" s="27" t="s">
        <v>7</v>
      </c>
      <c r="AK297" s="27" t="s">
        <v>8</v>
      </c>
      <c r="AL297" s="27" t="s">
        <v>7</v>
      </c>
      <c r="BA297" s="27" t="s">
        <v>8</v>
      </c>
      <c r="BB297" s="27" t="s">
        <v>7</v>
      </c>
      <c r="BC297" s="27" t="s">
        <v>8</v>
      </c>
      <c r="BD297" s="27" t="s">
        <v>7</v>
      </c>
      <c r="BE297" s="27" t="s">
        <v>8</v>
      </c>
      <c r="BF297" s="27" t="s">
        <v>7</v>
      </c>
      <c r="BG297" s="27" t="s">
        <v>8</v>
      </c>
      <c r="BH297" s="27" t="s">
        <v>7</v>
      </c>
      <c r="CV297" s="27" t="s">
        <v>7</v>
      </c>
      <c r="CW297" s="27" t="s">
        <v>8</v>
      </c>
      <c r="DF297" s="27" t="s">
        <v>7</v>
      </c>
      <c r="DG297" s="27" t="s">
        <v>8</v>
      </c>
      <c r="DL297" s="18" t="s">
        <v>7</v>
      </c>
      <c r="DM297" s="27" t="s">
        <v>8</v>
      </c>
      <c r="FD297" s="27" t="s">
        <v>7</v>
      </c>
    </row>
    <row r="298" spans="1:161" x14ac:dyDescent="0.25">
      <c r="A298" s="30">
        <v>5.9022914930508576E-2</v>
      </c>
      <c r="B298"/>
      <c r="C298"/>
      <c r="D298"/>
      <c r="E298"/>
      <c r="P298" s="27" t="s">
        <v>7</v>
      </c>
      <c r="Q298" s="27" t="s">
        <v>8</v>
      </c>
      <c r="R298" s="27" t="s">
        <v>7</v>
      </c>
      <c r="T298" s="27" t="s">
        <v>7</v>
      </c>
      <c r="U298" s="27" t="s">
        <v>8</v>
      </c>
      <c r="V298" s="27" t="s">
        <v>7</v>
      </c>
      <c r="W298" s="27" t="s">
        <v>8</v>
      </c>
      <c r="X298" s="27" t="s">
        <v>7</v>
      </c>
      <c r="Y298" s="27" t="s">
        <v>8</v>
      </c>
      <c r="Z298" s="27" t="s">
        <v>7</v>
      </c>
      <c r="AB298" s="27" t="s">
        <v>7</v>
      </c>
      <c r="AG298" s="27" t="s">
        <v>8</v>
      </c>
      <c r="AI298" s="27" t="s">
        <v>8</v>
      </c>
      <c r="AJ298" s="27" t="s">
        <v>7</v>
      </c>
      <c r="AK298" s="27" t="s">
        <v>8</v>
      </c>
      <c r="AL298" s="27" t="s">
        <v>7</v>
      </c>
      <c r="BA298" s="27" t="s">
        <v>8</v>
      </c>
      <c r="BB298" s="27" t="s">
        <v>7</v>
      </c>
      <c r="BD298" s="27" t="s">
        <v>7</v>
      </c>
      <c r="BE298" s="27" t="s">
        <v>8</v>
      </c>
      <c r="BF298" s="27" t="s">
        <v>7</v>
      </c>
      <c r="CV298" s="27" t="s">
        <v>7</v>
      </c>
      <c r="CW298" s="27" t="s">
        <v>8</v>
      </c>
      <c r="DF298" s="27" t="s">
        <v>7</v>
      </c>
      <c r="DG298" s="27" t="s">
        <v>8</v>
      </c>
      <c r="DL298" s="27" t="s">
        <v>7</v>
      </c>
      <c r="DM298" s="27" t="s">
        <v>8</v>
      </c>
    </row>
    <row r="299" spans="1:161" x14ac:dyDescent="0.25">
      <c r="A299" s="30">
        <v>5.6212299933817669E-2</v>
      </c>
      <c r="B299"/>
      <c r="C299"/>
      <c r="D299"/>
      <c r="E299"/>
      <c r="P299" s="27" t="s">
        <v>7</v>
      </c>
      <c r="T299" s="27" t="s">
        <v>7</v>
      </c>
      <c r="U299" s="27" t="s">
        <v>8</v>
      </c>
      <c r="V299" s="27" t="s">
        <v>7</v>
      </c>
      <c r="W299" s="27" t="s">
        <v>8</v>
      </c>
      <c r="X299" s="27" t="s">
        <v>7</v>
      </c>
      <c r="Y299" s="27" t="s">
        <v>8</v>
      </c>
      <c r="AB299" s="27" t="s">
        <v>7</v>
      </c>
      <c r="AE299" s="27" t="s">
        <v>8</v>
      </c>
      <c r="AG299" s="27" t="s">
        <v>8</v>
      </c>
      <c r="AH299" s="27" t="s">
        <v>7</v>
      </c>
      <c r="AI299" s="27" t="s">
        <v>8</v>
      </c>
      <c r="AJ299" s="27" t="s">
        <v>7</v>
      </c>
      <c r="AK299" s="27" t="s">
        <v>8</v>
      </c>
      <c r="AL299" s="27" t="s">
        <v>7</v>
      </c>
      <c r="AY299" s="27" t="s">
        <v>8</v>
      </c>
      <c r="BA299" s="27" t="s">
        <v>8</v>
      </c>
      <c r="BD299" s="27" t="s">
        <v>7</v>
      </c>
      <c r="BE299" s="27" t="s">
        <v>8</v>
      </c>
      <c r="CV299" s="27" t="s">
        <v>7</v>
      </c>
      <c r="CW299" s="27" t="s">
        <v>8</v>
      </c>
      <c r="DF299" s="27" t="s">
        <v>7</v>
      </c>
      <c r="DG299" s="27" t="s">
        <v>8</v>
      </c>
      <c r="DL299" s="27" t="s">
        <v>7</v>
      </c>
      <c r="DM299" s="27" t="s">
        <v>8</v>
      </c>
    </row>
    <row r="300" spans="1:161" x14ac:dyDescent="0.25">
      <c r="A300" s="30">
        <v>5.3535523746492994E-2</v>
      </c>
      <c r="B300"/>
      <c r="C300"/>
      <c r="D300"/>
      <c r="E300"/>
      <c r="T300" s="27" t="s">
        <v>7</v>
      </c>
      <c r="U300" s="27" t="s">
        <v>8</v>
      </c>
      <c r="V300" s="27" t="s">
        <v>7</v>
      </c>
      <c r="W300" s="27" t="s">
        <v>8</v>
      </c>
      <c r="X300" s="27" t="s">
        <v>7</v>
      </c>
      <c r="Y300" s="27" t="s">
        <v>8</v>
      </c>
      <c r="AB300" s="27" t="s">
        <v>7</v>
      </c>
      <c r="AC300" s="27" t="s">
        <v>8</v>
      </c>
      <c r="AE300" s="27" t="s">
        <v>8</v>
      </c>
      <c r="AF300" s="27" t="s">
        <v>7</v>
      </c>
      <c r="AG300" s="27" t="s">
        <v>8</v>
      </c>
      <c r="AH300" s="27" t="s">
        <v>7</v>
      </c>
      <c r="AI300" s="27" t="s">
        <v>8</v>
      </c>
      <c r="AJ300" s="27" t="s">
        <v>7</v>
      </c>
      <c r="AK300" s="27" t="s">
        <v>8</v>
      </c>
      <c r="AL300" s="27" t="s">
        <v>7</v>
      </c>
      <c r="AW300" s="27" t="s">
        <v>8</v>
      </c>
      <c r="AY300" s="27" t="s">
        <v>8</v>
      </c>
      <c r="AZ300" s="27" t="s">
        <v>7</v>
      </c>
      <c r="BA300" s="27" t="s">
        <v>8</v>
      </c>
      <c r="BD300" s="27" t="s">
        <v>7</v>
      </c>
      <c r="CV300" s="27" t="s">
        <v>7</v>
      </c>
      <c r="DF300" s="27" t="s">
        <v>7</v>
      </c>
      <c r="DL300" s="27" t="s">
        <v>7</v>
      </c>
    </row>
    <row r="301" spans="1:161" x14ac:dyDescent="0.25">
      <c r="A301" s="30">
        <v>5.0986213091898068E-2</v>
      </c>
      <c r="B301"/>
      <c r="C301"/>
      <c r="D301"/>
      <c r="E301"/>
      <c r="T301" s="27" t="s">
        <v>7</v>
      </c>
      <c r="U301" s="27" t="s">
        <v>8</v>
      </c>
      <c r="V301" s="27" t="s">
        <v>7</v>
      </c>
      <c r="X301" s="27" t="s">
        <v>7</v>
      </c>
      <c r="AB301" s="27" t="s">
        <v>7</v>
      </c>
      <c r="AC301" s="27" t="s">
        <v>8</v>
      </c>
      <c r="AD301" s="27" t="s">
        <v>7</v>
      </c>
      <c r="AE301" s="27" t="s">
        <v>8</v>
      </c>
      <c r="AF301" s="27" t="s">
        <v>7</v>
      </c>
      <c r="AG301" s="27" t="s">
        <v>8</v>
      </c>
      <c r="AH301" s="27" t="s">
        <v>7</v>
      </c>
      <c r="AI301" s="27" t="s">
        <v>8</v>
      </c>
      <c r="AJ301" s="27" t="s">
        <v>7</v>
      </c>
      <c r="AL301" s="27" t="s">
        <v>7</v>
      </c>
      <c r="AW301" s="27" t="s">
        <v>8</v>
      </c>
      <c r="AX301" s="27" t="s">
        <v>7</v>
      </c>
      <c r="AY301" s="27" t="s">
        <v>8</v>
      </c>
      <c r="AZ301" s="27" t="s">
        <v>7</v>
      </c>
      <c r="BA301" s="27" t="s">
        <v>8</v>
      </c>
    </row>
    <row r="302" spans="1:161" x14ac:dyDescent="0.25">
      <c r="A302" s="30">
        <v>4.8558298182760043E-2</v>
      </c>
      <c r="B302"/>
      <c r="C302"/>
      <c r="D302"/>
      <c r="E302"/>
      <c r="T302" s="27" t="s">
        <v>7</v>
      </c>
      <c r="U302" s="27" t="s">
        <v>8</v>
      </c>
      <c r="AB302" s="27" t="s">
        <v>7</v>
      </c>
      <c r="AC302" s="27" t="s">
        <v>8</v>
      </c>
      <c r="AD302" s="27" t="s">
        <v>7</v>
      </c>
      <c r="AE302" s="27" t="s">
        <v>8</v>
      </c>
      <c r="AF302" s="27" t="s">
        <v>7</v>
      </c>
      <c r="AH302" s="27" t="s">
        <v>7</v>
      </c>
      <c r="AL302" s="27" t="s">
        <v>7</v>
      </c>
      <c r="AW302" s="27" t="s">
        <v>8</v>
      </c>
      <c r="AX302" s="27" t="s">
        <v>7</v>
      </c>
      <c r="AY302" s="27" t="s">
        <v>8</v>
      </c>
      <c r="AZ302" s="27" t="s">
        <v>7</v>
      </c>
    </row>
    <row r="303" spans="1:161" x14ac:dyDescent="0.25">
      <c r="A303" s="30">
        <v>4.6245998269295263E-2</v>
      </c>
      <c r="B303"/>
      <c r="C303"/>
      <c r="D303"/>
      <c r="E303"/>
      <c r="T303" s="27" t="s">
        <v>7</v>
      </c>
      <c r="U303" s="27" t="s">
        <v>8</v>
      </c>
      <c r="AB303" s="27" t="s">
        <v>7</v>
      </c>
      <c r="AC303" s="27" t="s">
        <v>8</v>
      </c>
      <c r="AD303" s="27" t="s">
        <v>7</v>
      </c>
      <c r="AL303" s="27" t="s">
        <v>7</v>
      </c>
      <c r="AM303" s="27" t="s">
        <v>8</v>
      </c>
      <c r="AU303" s="27" t="s">
        <v>8</v>
      </c>
      <c r="AW303" s="27" t="s">
        <v>8</v>
      </c>
      <c r="AX303" s="27" t="s">
        <v>7</v>
      </c>
      <c r="AY303" s="27" t="s">
        <v>8</v>
      </c>
    </row>
    <row r="304" spans="1:161" x14ac:dyDescent="0.25">
      <c r="A304" s="30">
        <v>4.4043807875519279E-2</v>
      </c>
      <c r="B304"/>
      <c r="C304"/>
      <c r="D304"/>
      <c r="E304"/>
      <c r="T304" s="27" t="s">
        <v>7</v>
      </c>
      <c r="AB304" s="27" t="s">
        <v>7</v>
      </c>
      <c r="AC304" s="27" t="s">
        <v>8</v>
      </c>
      <c r="AL304" s="27" t="s">
        <v>7</v>
      </c>
      <c r="AM304" s="27" t="s">
        <v>8</v>
      </c>
      <c r="AN304" s="27" t="s">
        <v>7</v>
      </c>
      <c r="AU304" s="27" t="s">
        <v>8</v>
      </c>
      <c r="AV304" s="27" t="s">
        <v>7</v>
      </c>
      <c r="AW304" s="27" t="s">
        <v>8</v>
      </c>
      <c r="AX304" s="27" t="s">
        <v>7</v>
      </c>
      <c r="AY304" s="27" t="s">
        <v>8</v>
      </c>
    </row>
    <row r="305" spans="1:51" x14ac:dyDescent="0.25">
      <c r="A305" s="30">
        <v>4.1946483690970725E-2</v>
      </c>
      <c r="B305"/>
      <c r="C305"/>
      <c r="D305"/>
      <c r="E305"/>
      <c r="AB305" s="27" t="s">
        <v>7</v>
      </c>
      <c r="AC305" s="27" t="s">
        <v>8</v>
      </c>
      <c r="AL305" s="27" t="s">
        <v>7</v>
      </c>
      <c r="AM305" s="27" t="s">
        <v>8</v>
      </c>
      <c r="AN305" s="27" t="s">
        <v>7</v>
      </c>
      <c r="AO305" s="27" t="s">
        <v>8</v>
      </c>
      <c r="AQ305" s="27" t="s">
        <v>8</v>
      </c>
      <c r="AS305" s="27" t="s">
        <v>8</v>
      </c>
      <c r="AU305" s="27" t="s">
        <v>8</v>
      </c>
      <c r="AV305" s="27" t="s">
        <v>7</v>
      </c>
      <c r="AW305" s="27" t="s">
        <v>8</v>
      </c>
      <c r="AX305" s="27" t="s">
        <v>7</v>
      </c>
      <c r="AY305" s="27" t="s">
        <v>8</v>
      </c>
    </row>
    <row r="306" spans="1:51" x14ac:dyDescent="0.25">
      <c r="A306" s="30">
        <v>3.9949032086638768E-2</v>
      </c>
      <c r="B306"/>
      <c r="C306"/>
      <c r="D306"/>
      <c r="E306"/>
      <c r="AB306" s="27" t="s">
        <v>7</v>
      </c>
      <c r="AL306" s="27" t="s">
        <v>7</v>
      </c>
      <c r="AN306" s="27" t="s">
        <v>7</v>
      </c>
      <c r="AO306" s="27" t="s">
        <v>8</v>
      </c>
      <c r="AP306" s="27" t="s">
        <v>7</v>
      </c>
      <c r="AQ306" s="27" t="s">
        <v>8</v>
      </c>
      <c r="AR306" s="27" t="s">
        <v>7</v>
      </c>
      <c r="AS306" s="27" t="s">
        <v>8</v>
      </c>
      <c r="AT306" s="27" t="s">
        <v>7</v>
      </c>
      <c r="AU306" s="27" t="s">
        <v>8</v>
      </c>
      <c r="AV306" s="27" t="s">
        <v>7</v>
      </c>
      <c r="AX306" s="27" t="s">
        <v>7</v>
      </c>
      <c r="AY306" s="27" t="s">
        <v>8</v>
      </c>
    </row>
    <row r="307" spans="1:51" x14ac:dyDescent="0.25">
      <c r="A307" s="30">
        <v>3.8046697225370241E-2</v>
      </c>
      <c r="B307"/>
      <c r="C307"/>
      <c r="D307"/>
      <c r="E307"/>
      <c r="AN307" s="27" t="s">
        <v>7</v>
      </c>
      <c r="AO307" s="27" t="s">
        <v>8</v>
      </c>
      <c r="AP307" s="27" t="s">
        <v>7</v>
      </c>
      <c r="AQ307" s="27" t="s">
        <v>8</v>
      </c>
      <c r="AR307" s="27" t="s">
        <v>7</v>
      </c>
      <c r="AS307" s="27" t="s">
        <v>8</v>
      </c>
      <c r="AT307" s="27" t="s">
        <v>7</v>
      </c>
      <c r="AU307" s="27" t="s">
        <v>8</v>
      </c>
      <c r="AX307" s="27" t="s">
        <v>7</v>
      </c>
      <c r="AY307" s="27" t="s">
        <v>8</v>
      </c>
    </row>
    <row r="308" spans="1:51" x14ac:dyDescent="0.25">
      <c r="A308" s="30">
        <v>3.6234949738447833E-2</v>
      </c>
      <c r="B308"/>
      <c r="C308"/>
      <c r="D308"/>
      <c r="E308"/>
      <c r="AN308" s="27" t="s">
        <v>7</v>
      </c>
      <c r="AO308" s="27" t="s">
        <v>8</v>
      </c>
      <c r="AP308" s="27" t="s">
        <v>7</v>
      </c>
      <c r="AQ308" s="27" t="s">
        <v>8</v>
      </c>
      <c r="AR308" s="27" t="s">
        <v>7</v>
      </c>
      <c r="AS308" s="27" t="s">
        <v>8</v>
      </c>
      <c r="AT308" s="27" t="s">
        <v>7</v>
      </c>
      <c r="AX308" s="27" t="s">
        <v>7</v>
      </c>
    </row>
    <row r="309" spans="1:51" x14ac:dyDescent="0.25">
      <c r="A309" s="30">
        <v>3.4509475941378875E-2</v>
      </c>
      <c r="B309"/>
      <c r="C309"/>
      <c r="D309"/>
      <c r="E309"/>
      <c r="AN309" s="27" t="s">
        <v>7</v>
      </c>
      <c r="AO309" s="27" t="s">
        <v>8</v>
      </c>
      <c r="AP309" s="27" t="s">
        <v>7</v>
      </c>
      <c r="AR309" s="27" t="s">
        <v>7</v>
      </c>
    </row>
    <row r="310" spans="1:51" x14ac:dyDescent="0.25">
      <c r="A310" s="30">
        <v>3.286616756321796E-2</v>
      </c>
      <c r="B310"/>
      <c r="C310"/>
      <c r="D310"/>
      <c r="E310"/>
      <c r="AN310" s="27" t="s">
        <v>7</v>
      </c>
    </row>
    <row r="311" spans="1:51" x14ac:dyDescent="0.25">
      <c r="A311" s="30">
        <v>3.1301111964969472E-2</v>
      </c>
      <c r="B311"/>
      <c r="C311"/>
      <c r="D311"/>
      <c r="E311"/>
    </row>
    <row r="312" spans="1:51" x14ac:dyDescent="0.25">
      <c r="A312" s="30">
        <v>2.9810582823780438E-2</v>
      </c>
      <c r="B312"/>
      <c r="C312"/>
      <c r="D312"/>
      <c r="E312"/>
    </row>
    <row r="313" spans="1:51" x14ac:dyDescent="0.25">
      <c r="A313" s="30">
        <v>2.8391031260743264E-2</v>
      </c>
      <c r="B313"/>
      <c r="C313"/>
      <c r="D313"/>
      <c r="E313"/>
    </row>
    <row r="314" spans="1:51" x14ac:dyDescent="0.25">
      <c r="A314" s="30">
        <v>2.7039077391184052E-2</v>
      </c>
      <c r="B314"/>
      <c r="C314"/>
      <c r="D314"/>
      <c r="E314"/>
    </row>
    <row r="315" spans="1:51" x14ac:dyDescent="0.25">
      <c r="A315" s="30">
        <v>2.5751502277318133E-2</v>
      </c>
      <c r="B315"/>
      <c r="C315"/>
      <c r="D315"/>
      <c r="E315"/>
    </row>
    <row r="316" spans="1:51" x14ac:dyDescent="0.25">
      <c r="A316" s="30">
        <v>2.4525240264112496E-2</v>
      </c>
      <c r="B316"/>
      <c r="C316"/>
      <c r="D316"/>
      <c r="E316"/>
    </row>
    <row r="317" spans="1:51" x14ac:dyDescent="0.25">
      <c r="A317" s="30">
        <v>2.3357371680107129E-2</v>
      </c>
      <c r="B317"/>
      <c r="C317"/>
      <c r="D317"/>
      <c r="E317"/>
    </row>
    <row r="318" spans="1:51" x14ac:dyDescent="0.25">
      <c r="A318" s="30">
        <v>2.2245115885816305E-2</v>
      </c>
      <c r="B318"/>
      <c r="C318"/>
      <c r="D318"/>
      <c r="E318"/>
    </row>
    <row r="319" spans="1:51" x14ac:dyDescent="0.25">
      <c r="A319" s="30">
        <v>2.1185824653158377E-2</v>
      </c>
      <c r="B319"/>
      <c r="C319"/>
      <c r="D319"/>
      <c r="E319"/>
    </row>
    <row r="320" spans="1:51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55" operator="equal">
      <formula>$U$1</formula>
    </cfRule>
    <cfRule type="cellIs" dxfId="67" priority="956" operator="equal">
      <formula>$S$1</formula>
    </cfRule>
  </conditionalFormatting>
  <conditionalFormatting sqref="D136">
    <cfRule type="cellIs" dxfId="66" priority="953" operator="equal">
      <formula>$S$1</formula>
    </cfRule>
    <cfRule type="cellIs" dxfId="65" priority="954" operator="equal">
      <formula>$U$1</formula>
    </cfRule>
  </conditionalFormatting>
  <conditionalFormatting sqref="C162">
    <cfRule type="cellIs" dxfId="64" priority="951" operator="equal">
      <formula>$U$1</formula>
    </cfRule>
    <cfRule type="cellIs" dxfId="63" priority="952" operator="equal">
      <formula>$S$1</formula>
    </cfRule>
  </conditionalFormatting>
  <conditionalFormatting sqref="D162">
    <cfRule type="cellIs" dxfId="62" priority="949" operator="equal">
      <formula>$S$1</formula>
    </cfRule>
    <cfRule type="cellIs" dxfId="61" priority="950" operator="equal">
      <formula>$U$1</formula>
    </cfRule>
  </conditionalFormatting>
  <conditionalFormatting sqref="C187">
    <cfRule type="cellIs" dxfId="60" priority="947" operator="equal">
      <formula>$U$1</formula>
    </cfRule>
    <cfRule type="cellIs" dxfId="59" priority="948" operator="equal">
      <formula>$S$1</formula>
    </cfRule>
  </conditionalFormatting>
  <conditionalFormatting sqref="D187">
    <cfRule type="cellIs" dxfId="58" priority="945" operator="equal">
      <formula>$S$1</formula>
    </cfRule>
    <cfRule type="cellIs" dxfId="57" priority="946" operator="equal">
      <formula>$U$1</formula>
    </cfRule>
  </conditionalFormatting>
  <conditionalFormatting sqref="C212">
    <cfRule type="cellIs" dxfId="56" priority="943" operator="equal">
      <formula>$U$1</formula>
    </cfRule>
    <cfRule type="cellIs" dxfId="55" priority="944" operator="equal">
      <formula>$S$1</formula>
    </cfRule>
  </conditionalFormatting>
  <conditionalFormatting sqref="D212">
    <cfRule type="cellIs" dxfId="54" priority="941" operator="equal">
      <formula>$S$1</formula>
    </cfRule>
    <cfRule type="cellIs" dxfId="53" priority="942" operator="equal">
      <formula>$U$1</formula>
    </cfRule>
  </conditionalFormatting>
  <conditionalFormatting sqref="C237">
    <cfRule type="cellIs" dxfId="52" priority="939" operator="equal">
      <formula>$U$1</formula>
    </cfRule>
    <cfRule type="cellIs" dxfId="51" priority="940" operator="equal">
      <formula>$S$1</formula>
    </cfRule>
  </conditionalFormatting>
  <conditionalFormatting sqref="D237">
    <cfRule type="cellIs" dxfId="50" priority="937" operator="equal">
      <formula>$S$1</formula>
    </cfRule>
    <cfRule type="cellIs" dxfId="49" priority="938" operator="equal">
      <formula>$U$1</formula>
    </cfRule>
  </conditionalFormatting>
  <conditionalFormatting sqref="C106">
    <cfRule type="cellIs" dxfId="48" priority="935" operator="equal">
      <formula>$U$1</formula>
    </cfRule>
    <cfRule type="cellIs" dxfId="47" priority="936" operator="equal">
      <formula>$S$1</formula>
    </cfRule>
  </conditionalFormatting>
  <conditionalFormatting sqref="D106">
    <cfRule type="cellIs" dxfId="46" priority="933" operator="equal">
      <formula>$S$1</formula>
    </cfRule>
    <cfRule type="cellIs" dxfId="45" priority="934" operator="equal">
      <formula>$U$1</formula>
    </cfRule>
  </conditionalFormatting>
  <conditionalFormatting sqref="C81">
    <cfRule type="cellIs" dxfId="44" priority="931" operator="equal">
      <formula>$U$1</formula>
    </cfRule>
    <cfRule type="cellIs" dxfId="43" priority="932" operator="equal">
      <formula>$S$1</formula>
    </cfRule>
  </conditionalFormatting>
  <conditionalFormatting sqref="D81">
    <cfRule type="cellIs" dxfId="42" priority="929" operator="equal">
      <formula>$S$1</formula>
    </cfRule>
    <cfRule type="cellIs" dxfId="41" priority="930" operator="equal">
      <formula>$U$1</formula>
    </cfRule>
  </conditionalFormatting>
  <conditionalFormatting sqref="C56">
    <cfRule type="cellIs" dxfId="40" priority="927" operator="equal">
      <formula>$U$1</formula>
    </cfRule>
    <cfRule type="cellIs" dxfId="39" priority="928" operator="equal">
      <formula>$S$1</formula>
    </cfRule>
  </conditionalFormatting>
  <conditionalFormatting sqref="D56">
    <cfRule type="cellIs" dxfId="38" priority="925" operator="equal">
      <formula>$S$1</formula>
    </cfRule>
    <cfRule type="cellIs" dxfId="37" priority="926" operator="equal">
      <formula>$U$1</formula>
    </cfRule>
  </conditionalFormatting>
  <conditionalFormatting sqref="C31">
    <cfRule type="cellIs" dxfId="36" priority="923" operator="equal">
      <formula>$U$1</formula>
    </cfRule>
    <cfRule type="cellIs" dxfId="35" priority="924" operator="equal">
      <formula>$S$1</formula>
    </cfRule>
  </conditionalFormatting>
  <conditionalFormatting sqref="D31">
    <cfRule type="cellIs" dxfId="34" priority="921" operator="equal">
      <formula>$S$1</formula>
    </cfRule>
    <cfRule type="cellIs" dxfId="33" priority="92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H150" sqref="BH150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$A$149</v>
      </c>
      <c r="D111" s="1" t="str">
        <f>ADDRESS(C121-1,D121,1,1)</f>
        <v>$BH$149</v>
      </c>
      <c r="E111"/>
    </row>
    <row r="112" spans="1:5" x14ac:dyDescent="0.25">
      <c r="A112" s="30">
        <v>2.3579476910000019</v>
      </c>
      <c r="C112" s="1" t="str">
        <f>ADDRESS(C121,1,1,1)</f>
        <v>$A$150</v>
      </c>
      <c r="D112" s="1" t="str">
        <f>ADDRESS(C121,D121-1,1,1)</f>
        <v>$BG$150</v>
      </c>
      <c r="E112"/>
    </row>
    <row r="113" spans="1:6" x14ac:dyDescent="0.25">
      <c r="A113" s="30">
        <v>2.1435888100000016</v>
      </c>
      <c r="C113" s="1" t="str">
        <f>ADDRESS(C121+1,1,1,1)</f>
        <v>$A$151</v>
      </c>
      <c r="D113" s="1" t="str">
        <f>ADDRESS(C121-1,D121+1,1,1)</f>
        <v>$BI$149</v>
      </c>
    </row>
    <row r="114" spans="1:6" x14ac:dyDescent="0.25">
      <c r="A114" s="30">
        <v>1.9487171000000014</v>
      </c>
      <c r="C114" s="1" t="str">
        <f>ADDRESS(C121,D121,1,1)</f>
        <v>$BH$150</v>
      </c>
      <c r="D114" s="1" t="str">
        <f>ADDRESS(C121+1,D121+1,1,1)</f>
        <v>$BI$151</v>
      </c>
    </row>
    <row r="115" spans="1:6" x14ac:dyDescent="0.25">
      <c r="A115" s="30">
        <v>1.7715610000000011</v>
      </c>
      <c r="C115" s="1" t="str">
        <f>ADDRESS(C121+1,D121,1,1)</f>
        <v>$BH$151</v>
      </c>
    </row>
    <row r="116" spans="1:6" x14ac:dyDescent="0.25">
      <c r="A116" s="30">
        <v>1.6105100000000008</v>
      </c>
      <c r="C116" s="1">
        <f>C117-1</f>
        <v>149</v>
      </c>
    </row>
    <row r="117" spans="1:6" x14ac:dyDescent="0.25">
      <c r="A117" s="30">
        <v>1.4641000000000006</v>
      </c>
      <c r="C117" s="1">
        <f>C121</f>
        <v>150</v>
      </c>
      <c r="D117" s="1">
        <f>D121</f>
        <v>60</v>
      </c>
    </row>
    <row r="118" spans="1:6" x14ac:dyDescent="0.25">
      <c r="A118" s="30">
        <v>1.3310000000000004</v>
      </c>
      <c r="C118" s="1">
        <f>C117+1</f>
        <v>151</v>
      </c>
      <c r="D118" s="1">
        <f>D117+1</f>
        <v>61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150</v>
      </c>
      <c r="D121" s="19">
        <v>60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R150</v>
      </c>
      <c r="D123" s="1" t="str">
        <f>"C"&amp;D121</f>
        <v>C60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6.3039408631284613E-2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59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59" x14ac:dyDescent="0.25">
      <c r="A130" s="30">
        <v>0.42409761837248428</v>
      </c>
      <c r="C130" s="6"/>
      <c r="D130" s="6"/>
      <c r="E130"/>
      <c r="F130" s="27" t="s">
        <v>7</v>
      </c>
    </row>
    <row r="131" spans="1:59" x14ac:dyDescent="0.25">
      <c r="A131" s="30">
        <v>0.38554328942953109</v>
      </c>
      <c r="E131"/>
      <c r="F131" s="27" t="s">
        <v>7</v>
      </c>
    </row>
    <row r="132" spans="1:59" x14ac:dyDescent="0.25">
      <c r="A132" s="30">
        <v>0.35049389948139187</v>
      </c>
      <c r="C132" s="1" t="s">
        <v>13</v>
      </c>
      <c r="E132"/>
      <c r="F132" s="27" t="s">
        <v>7</v>
      </c>
    </row>
    <row r="133" spans="1:59" x14ac:dyDescent="0.25">
      <c r="A133" s="30">
        <v>0.31863081771035617</v>
      </c>
      <c r="C133" s="1" t="str">
        <f>C122</f>
        <v>O</v>
      </c>
      <c r="E133"/>
      <c r="F133" s="27" t="s">
        <v>7</v>
      </c>
      <c r="AE133" s="27" t="s">
        <v>8</v>
      </c>
    </row>
    <row r="134" spans="1:59" x14ac:dyDescent="0.25">
      <c r="A134" s="30">
        <v>0.28966437973668741</v>
      </c>
      <c r="C134"/>
      <c r="D134"/>
      <c r="E134"/>
      <c r="F134" s="27" t="s">
        <v>7</v>
      </c>
      <c r="AE134" s="27" t="s">
        <v>8</v>
      </c>
      <c r="AF134" s="27" t="s">
        <v>7</v>
      </c>
    </row>
    <row r="135" spans="1:59" x14ac:dyDescent="0.25">
      <c r="A135" s="30">
        <v>0.2633312543060794</v>
      </c>
      <c r="C135" s="1" t="s">
        <v>14</v>
      </c>
      <c r="E135"/>
      <c r="F135" s="27" t="s">
        <v>7</v>
      </c>
      <c r="AC135" s="27" t="s">
        <v>8</v>
      </c>
      <c r="AE135" s="27" t="s">
        <v>8</v>
      </c>
      <c r="AF135" s="27" t="s">
        <v>7</v>
      </c>
      <c r="AG135" s="27" t="s">
        <v>8</v>
      </c>
    </row>
    <row r="136" spans="1:59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AC136" s="27" t="s">
        <v>8</v>
      </c>
      <c r="AD136" s="27" t="s">
        <v>7</v>
      </c>
      <c r="AE136" s="27" t="s">
        <v>8</v>
      </c>
      <c r="AF136" s="27" t="s">
        <v>7</v>
      </c>
      <c r="AG136" s="27" t="s">
        <v>8</v>
      </c>
      <c r="AH136" s="27" t="s">
        <v>7</v>
      </c>
    </row>
    <row r="137" spans="1:59" x14ac:dyDescent="0.25">
      <c r="A137" s="30">
        <v>0.2176291357901482</v>
      </c>
      <c r="E137"/>
      <c r="F137" s="27" t="s">
        <v>7</v>
      </c>
      <c r="AC137" s="27" t="s">
        <v>8</v>
      </c>
      <c r="AD137" s="27" t="s">
        <v>7</v>
      </c>
      <c r="AE137" s="27" t="s">
        <v>8</v>
      </c>
      <c r="AF137" s="27" t="s">
        <v>7</v>
      </c>
      <c r="AG137" s="27" t="s">
        <v>8</v>
      </c>
      <c r="AH137" s="27" t="s">
        <v>7</v>
      </c>
      <c r="AI137" s="27" t="s">
        <v>8</v>
      </c>
      <c r="BA137" s="27" t="s">
        <v>8</v>
      </c>
    </row>
    <row r="138" spans="1:59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AC138" s="27" t="s">
        <v>8</v>
      </c>
      <c r="AD138" s="27" t="s">
        <v>7</v>
      </c>
      <c r="AE138" s="27" t="s">
        <v>8</v>
      </c>
      <c r="AF138" s="27" t="s">
        <v>7</v>
      </c>
      <c r="AG138" s="27" t="s">
        <v>8</v>
      </c>
      <c r="AH138" s="27" t="s">
        <v>7</v>
      </c>
      <c r="AI138" s="27" t="s">
        <v>8</v>
      </c>
      <c r="AJ138" s="27" t="s">
        <v>7</v>
      </c>
      <c r="BA138" s="27" t="s">
        <v>8</v>
      </c>
      <c r="BB138" s="27" t="s">
        <v>7</v>
      </c>
    </row>
    <row r="139" spans="1:59" x14ac:dyDescent="0.25">
      <c r="A139" s="30">
        <v>0.17985878990921333</v>
      </c>
      <c r="E139"/>
      <c r="F139" s="27" t="s">
        <v>7</v>
      </c>
      <c r="Y139" s="27" t="s">
        <v>8</v>
      </c>
      <c r="AC139" s="27" t="s">
        <v>8</v>
      </c>
      <c r="AD139" s="27" t="s">
        <v>7</v>
      </c>
      <c r="AF139" s="27" t="s">
        <v>7</v>
      </c>
      <c r="AG139" s="27" t="s">
        <v>8</v>
      </c>
      <c r="AH139" s="27" t="s">
        <v>7</v>
      </c>
      <c r="AI139" s="27" t="s">
        <v>8</v>
      </c>
      <c r="AJ139" s="27" t="s">
        <v>7</v>
      </c>
      <c r="BA139" s="27" t="s">
        <v>8</v>
      </c>
      <c r="BB139" s="27" t="s">
        <v>7</v>
      </c>
    </row>
    <row r="140" spans="1:59" x14ac:dyDescent="0.25">
      <c r="A140" s="30">
        <v>0.16350799082655756</v>
      </c>
      <c r="C140" s="1">
        <v>0</v>
      </c>
      <c r="E140"/>
      <c r="F140" s="27" t="s">
        <v>7</v>
      </c>
      <c r="Y140" s="27" t="s">
        <v>8</v>
      </c>
      <c r="Z140" s="27" t="s">
        <v>7</v>
      </c>
      <c r="AC140" s="27" t="s">
        <v>8</v>
      </c>
      <c r="AF140" s="27" t="s">
        <v>7</v>
      </c>
      <c r="AG140" s="27" t="s">
        <v>8</v>
      </c>
      <c r="AH140" s="27" t="s">
        <v>7</v>
      </c>
      <c r="AI140" s="27" t="s">
        <v>8</v>
      </c>
      <c r="AJ140" s="27" t="s">
        <v>7</v>
      </c>
      <c r="AO140" s="27" t="s">
        <v>8</v>
      </c>
      <c r="AW140" s="27" t="s">
        <v>8</v>
      </c>
      <c r="BA140" s="27" t="s">
        <v>8</v>
      </c>
      <c r="BB140" s="27" t="s">
        <v>7</v>
      </c>
    </row>
    <row r="141" spans="1:59" x14ac:dyDescent="0.25">
      <c r="A141" s="30">
        <v>0.14864362802414322</v>
      </c>
      <c r="C141" s="1">
        <v>1</v>
      </c>
      <c r="E141"/>
      <c r="F141" s="27" t="s">
        <v>7</v>
      </c>
      <c r="Y141" s="27" t="s">
        <v>8</v>
      </c>
      <c r="Z141" s="27" t="s">
        <v>7</v>
      </c>
      <c r="AC141" s="27" t="s">
        <v>8</v>
      </c>
      <c r="AF141" s="27" t="s">
        <v>7</v>
      </c>
      <c r="AG141" s="27" t="s">
        <v>8</v>
      </c>
      <c r="AH141" s="27" t="s">
        <v>7</v>
      </c>
      <c r="AJ141" s="27" t="s">
        <v>7</v>
      </c>
      <c r="AO141" s="27" t="s">
        <v>8</v>
      </c>
      <c r="AP141" s="27" t="s">
        <v>7</v>
      </c>
      <c r="AU141" s="27" t="s">
        <v>8</v>
      </c>
      <c r="AW141" s="27" t="s">
        <v>8</v>
      </c>
      <c r="AX141" s="27" t="s">
        <v>7</v>
      </c>
      <c r="AY141" s="27" t="s">
        <v>8</v>
      </c>
      <c r="BA141" s="27" t="s">
        <v>8</v>
      </c>
      <c r="BB141" s="27" t="s">
        <v>7</v>
      </c>
    </row>
    <row r="142" spans="1:59" x14ac:dyDescent="0.25">
      <c r="A142" s="30">
        <v>0.13513057093103928</v>
      </c>
      <c r="C142" s="1">
        <v>2</v>
      </c>
      <c r="E142"/>
      <c r="F142" s="27" t="s">
        <v>7</v>
      </c>
      <c r="G142" s="27" t="s">
        <v>8</v>
      </c>
      <c r="W142" s="27" t="s">
        <v>8</v>
      </c>
      <c r="Y142" s="27" t="s">
        <v>8</v>
      </c>
      <c r="Z142" s="27" t="s">
        <v>7</v>
      </c>
      <c r="AA142" s="27" t="s">
        <v>8</v>
      </c>
      <c r="AC142" s="27" t="s">
        <v>8</v>
      </c>
      <c r="AF142" s="27" t="s">
        <v>7</v>
      </c>
      <c r="AG142" s="27" t="s">
        <v>8</v>
      </c>
      <c r="AJ142" s="27" t="s">
        <v>7</v>
      </c>
      <c r="AO142" s="27" t="s">
        <v>8</v>
      </c>
      <c r="AP142" s="27" t="s">
        <v>7</v>
      </c>
      <c r="AS142" s="27" t="s">
        <v>8</v>
      </c>
      <c r="AU142" s="27" t="s">
        <v>8</v>
      </c>
      <c r="AV142" s="27" t="s">
        <v>7</v>
      </c>
      <c r="AW142" s="27" t="s">
        <v>8</v>
      </c>
      <c r="AX142" s="27" t="s">
        <v>7</v>
      </c>
      <c r="AY142" s="27" t="s">
        <v>8</v>
      </c>
      <c r="AZ142" s="27" t="s">
        <v>7</v>
      </c>
      <c r="BA142" s="27" t="s">
        <v>8</v>
      </c>
      <c r="BB142" s="27" t="s">
        <v>7</v>
      </c>
      <c r="BE142" s="27" t="s">
        <v>8</v>
      </c>
    </row>
    <row r="143" spans="1:59" x14ac:dyDescent="0.25">
      <c r="A143" s="30">
        <v>0.12284597357367205</v>
      </c>
      <c r="C143" s="1">
        <v>3</v>
      </c>
      <c r="E143"/>
      <c r="F143" s="27" t="s">
        <v>7</v>
      </c>
      <c r="G143" s="27" t="s">
        <v>8</v>
      </c>
      <c r="H143" s="27" t="s">
        <v>7</v>
      </c>
      <c r="W143" s="27" t="s">
        <v>8</v>
      </c>
      <c r="X143" s="27" t="s">
        <v>7</v>
      </c>
      <c r="Y143" s="27" t="s">
        <v>8</v>
      </c>
      <c r="Z143" s="27" t="s">
        <v>7</v>
      </c>
      <c r="AA143" s="27" t="s">
        <v>8</v>
      </c>
      <c r="AB143" s="27" t="s">
        <v>7</v>
      </c>
      <c r="AC143" s="27" t="s">
        <v>8</v>
      </c>
      <c r="AF143" s="27" t="s">
        <v>7</v>
      </c>
      <c r="AG143" s="27" t="s">
        <v>8</v>
      </c>
      <c r="AJ143" s="27" t="s">
        <v>7</v>
      </c>
      <c r="AO143" s="27" t="s">
        <v>8</v>
      </c>
      <c r="AP143" s="27" t="s">
        <v>7</v>
      </c>
      <c r="AS143" s="27" t="s">
        <v>8</v>
      </c>
      <c r="AT143" s="27" t="s">
        <v>7</v>
      </c>
      <c r="AU143" s="27" t="s">
        <v>8</v>
      </c>
      <c r="AV143" s="27" t="s">
        <v>7</v>
      </c>
      <c r="AW143" s="27" t="s">
        <v>8</v>
      </c>
      <c r="AX143" s="27" t="s">
        <v>7</v>
      </c>
      <c r="AY143" s="27" t="s">
        <v>8</v>
      </c>
      <c r="AZ143" s="27" t="s">
        <v>7</v>
      </c>
      <c r="BA143" s="27" t="s">
        <v>8</v>
      </c>
      <c r="BB143" s="27" t="s">
        <v>7</v>
      </c>
      <c r="BE143" s="27" t="s">
        <v>8</v>
      </c>
      <c r="BF143" s="27" t="s">
        <v>7</v>
      </c>
    </row>
    <row r="144" spans="1:59" x14ac:dyDescent="0.25">
      <c r="A144" s="30">
        <v>0.11167815779424731</v>
      </c>
      <c r="C144" s="1">
        <v>4</v>
      </c>
      <c r="E144"/>
      <c r="F144" s="27" t="s">
        <v>7</v>
      </c>
      <c r="G144" s="27" t="s">
        <v>8</v>
      </c>
      <c r="H144" s="27" t="s">
        <v>7</v>
      </c>
      <c r="W144" s="27" t="s">
        <v>8</v>
      </c>
      <c r="X144" s="27" t="s">
        <v>7</v>
      </c>
      <c r="Y144" s="27" t="s">
        <v>8</v>
      </c>
      <c r="Z144" s="27" t="s">
        <v>7</v>
      </c>
      <c r="AA144" s="27" t="s">
        <v>8</v>
      </c>
      <c r="AB144" s="27" t="s">
        <v>7</v>
      </c>
      <c r="AC144" s="27" t="s">
        <v>8</v>
      </c>
      <c r="AF144" s="27" t="s">
        <v>7</v>
      </c>
      <c r="AJ144" s="27" t="s">
        <v>7</v>
      </c>
      <c r="AO144" s="27" t="s">
        <v>8</v>
      </c>
      <c r="AP144" s="27" t="s">
        <v>7</v>
      </c>
      <c r="AS144" s="27" t="s">
        <v>8</v>
      </c>
      <c r="AT144" s="27" t="s">
        <v>7</v>
      </c>
      <c r="AU144" s="27" t="s">
        <v>8</v>
      </c>
      <c r="AV144" s="27" t="s">
        <v>7</v>
      </c>
      <c r="AW144" s="27" t="s">
        <v>8</v>
      </c>
      <c r="AX144" s="27" t="s">
        <v>7</v>
      </c>
      <c r="AZ144" s="27" t="s">
        <v>7</v>
      </c>
      <c r="BA144" s="27" t="s">
        <v>8</v>
      </c>
      <c r="BB144" s="27" t="s">
        <v>7</v>
      </c>
      <c r="BC144" s="27" t="s">
        <v>8</v>
      </c>
      <c r="BE144" s="27" t="s">
        <v>8</v>
      </c>
      <c r="BF144" s="27" t="s">
        <v>7</v>
      </c>
      <c r="BG144" s="27" t="s">
        <v>8</v>
      </c>
    </row>
    <row r="145" spans="1:60" x14ac:dyDescent="0.25">
      <c r="A145" s="30">
        <v>0.10152559799477026</v>
      </c>
      <c r="B145"/>
      <c r="C145"/>
      <c r="D145"/>
      <c r="E145"/>
      <c r="F145" s="27" t="s">
        <v>7</v>
      </c>
      <c r="H145" s="27" t="s">
        <v>7</v>
      </c>
      <c r="W145" s="27" t="s">
        <v>8</v>
      </c>
      <c r="X145" s="27" t="s">
        <v>7</v>
      </c>
      <c r="Y145" s="27" t="s">
        <v>8</v>
      </c>
      <c r="Z145" s="27" t="s">
        <v>7</v>
      </c>
      <c r="AA145" s="27" t="s">
        <v>8</v>
      </c>
      <c r="AB145" s="27" t="s">
        <v>7</v>
      </c>
      <c r="AC145" s="27" t="s">
        <v>8</v>
      </c>
      <c r="AJ145" s="27" t="s">
        <v>7</v>
      </c>
      <c r="AK145" s="27" t="s">
        <v>8</v>
      </c>
      <c r="AO145" s="27" t="s">
        <v>8</v>
      </c>
      <c r="AP145" s="27" t="s">
        <v>7</v>
      </c>
      <c r="AS145" s="27" t="s">
        <v>8</v>
      </c>
      <c r="AT145" s="27" t="s">
        <v>7</v>
      </c>
      <c r="AV145" s="27" t="s">
        <v>7</v>
      </c>
      <c r="AZ145" s="27" t="s">
        <v>7</v>
      </c>
      <c r="BB145" s="27" t="s">
        <v>7</v>
      </c>
      <c r="BC145" s="27" t="s">
        <v>8</v>
      </c>
      <c r="BD145" s="27" t="s">
        <v>7</v>
      </c>
      <c r="BE145" s="27" t="s">
        <v>8</v>
      </c>
      <c r="BF145" s="27" t="s">
        <v>7</v>
      </c>
      <c r="BG145" s="27" t="s">
        <v>8</v>
      </c>
      <c r="BH145" s="27" t="s">
        <v>7</v>
      </c>
    </row>
    <row r="146" spans="1:60" x14ac:dyDescent="0.25">
      <c r="A146" s="30">
        <v>9.2295998177063854E-2</v>
      </c>
      <c r="B146"/>
      <c r="C146"/>
      <c r="D146"/>
      <c r="E146"/>
      <c r="H146" s="27" t="s">
        <v>7</v>
      </c>
      <c r="I146" s="27" t="s">
        <v>8</v>
      </c>
      <c r="W146" s="27" t="s">
        <v>8</v>
      </c>
      <c r="X146" s="27" t="s">
        <v>7</v>
      </c>
      <c r="Z146" s="27" t="s">
        <v>7</v>
      </c>
      <c r="AB146" s="27" t="s">
        <v>7</v>
      </c>
      <c r="AJ146" s="27" t="s">
        <v>7</v>
      </c>
      <c r="AK146" s="27" t="s">
        <v>8</v>
      </c>
      <c r="AL146" s="27" t="s">
        <v>7</v>
      </c>
      <c r="AM146" s="27" t="s">
        <v>8</v>
      </c>
      <c r="AO146" s="27" t="s">
        <v>8</v>
      </c>
      <c r="AP146" s="27" t="s">
        <v>7</v>
      </c>
      <c r="AS146" s="27" t="s">
        <v>8</v>
      </c>
      <c r="BB146" s="27" t="s">
        <v>7</v>
      </c>
      <c r="BC146" s="27" t="s">
        <v>8</v>
      </c>
      <c r="BD146" s="27" t="s">
        <v>7</v>
      </c>
      <c r="BE146" s="27" t="s">
        <v>8</v>
      </c>
      <c r="BF146" s="27" t="s">
        <v>7</v>
      </c>
      <c r="BG146" s="27" t="s">
        <v>8</v>
      </c>
      <c r="BH146" s="27" t="s">
        <v>7</v>
      </c>
    </row>
    <row r="147" spans="1:60" x14ac:dyDescent="0.25">
      <c r="A147" s="30">
        <v>8.3905452888239848E-2</v>
      </c>
      <c r="B147"/>
      <c r="C147"/>
      <c r="D147"/>
      <c r="E147"/>
      <c r="H147" s="27" t="s">
        <v>7</v>
      </c>
      <c r="I147" s="27" t="s">
        <v>8</v>
      </c>
      <c r="J147" s="27" t="s">
        <v>7</v>
      </c>
      <c r="W147" s="27" t="s">
        <v>8</v>
      </c>
      <c r="AJ147" s="27" t="s">
        <v>7</v>
      </c>
      <c r="AK147" s="27" t="s">
        <v>8</v>
      </c>
      <c r="AL147" s="27" t="s">
        <v>7</v>
      </c>
      <c r="AM147" s="27" t="s">
        <v>8</v>
      </c>
      <c r="AN147" s="27" t="s">
        <v>7</v>
      </c>
      <c r="AO147" s="27" t="s">
        <v>8</v>
      </c>
      <c r="AP147" s="27" t="s">
        <v>7</v>
      </c>
      <c r="AQ147" s="27" t="s">
        <v>8</v>
      </c>
      <c r="AS147" s="27" t="s">
        <v>8</v>
      </c>
      <c r="BB147" s="27" t="s">
        <v>7</v>
      </c>
      <c r="BD147" s="27" t="s">
        <v>7</v>
      </c>
      <c r="BF147" s="27" t="s">
        <v>7</v>
      </c>
      <c r="BH147" s="27" t="s">
        <v>7</v>
      </c>
    </row>
    <row r="148" spans="1:60" x14ac:dyDescent="0.25">
      <c r="A148" s="30">
        <v>7.6277684443854396E-2</v>
      </c>
      <c r="B148"/>
      <c r="C148"/>
      <c r="D148"/>
      <c r="E148"/>
      <c r="H148" s="27" t="s">
        <v>7</v>
      </c>
      <c r="I148" s="27" t="s">
        <v>8</v>
      </c>
      <c r="J148" s="27" t="s">
        <v>7</v>
      </c>
      <c r="O148" s="27" t="s">
        <v>8</v>
      </c>
      <c r="U148" s="27" t="s">
        <v>8</v>
      </c>
      <c r="W148" s="27" t="s">
        <v>8</v>
      </c>
      <c r="AJ148" s="27" t="s">
        <v>7</v>
      </c>
      <c r="AK148" s="27" t="s">
        <v>8</v>
      </c>
      <c r="AL148" s="27" t="s">
        <v>7</v>
      </c>
      <c r="AM148" s="27" t="s">
        <v>8</v>
      </c>
      <c r="AN148" s="27" t="s">
        <v>7</v>
      </c>
      <c r="AO148" s="27" t="s">
        <v>8</v>
      </c>
      <c r="AP148" s="27" t="s">
        <v>7</v>
      </c>
      <c r="AQ148" s="27" t="s">
        <v>8</v>
      </c>
      <c r="AR148" s="27" t="s">
        <v>7</v>
      </c>
      <c r="AS148" s="27" t="s">
        <v>8</v>
      </c>
      <c r="BH148" s="27" t="s">
        <v>7</v>
      </c>
    </row>
    <row r="149" spans="1:60" x14ac:dyDescent="0.25">
      <c r="A149" s="30">
        <v>6.9343349494413078E-2</v>
      </c>
      <c r="B149"/>
      <c r="C149"/>
      <c r="D149"/>
      <c r="E149"/>
      <c r="H149" s="27" t="s">
        <v>7</v>
      </c>
      <c r="I149" s="27" t="s">
        <v>8</v>
      </c>
      <c r="J149" s="27" t="s">
        <v>7</v>
      </c>
      <c r="K149" s="27" t="s">
        <v>8</v>
      </c>
      <c r="M149" s="27" t="s">
        <v>8</v>
      </c>
      <c r="O149" s="27" t="s">
        <v>8</v>
      </c>
      <c r="P149" s="27" t="s">
        <v>7</v>
      </c>
      <c r="U149" s="27" t="s">
        <v>8</v>
      </c>
      <c r="V149" s="27" t="s">
        <v>7</v>
      </c>
      <c r="W149" s="27" t="s">
        <v>8</v>
      </c>
      <c r="AJ149" s="27" t="s">
        <v>7</v>
      </c>
      <c r="AL149" s="27" t="s">
        <v>7</v>
      </c>
      <c r="AM149" s="27" t="s">
        <v>8</v>
      </c>
      <c r="AN149" s="27" t="s">
        <v>7</v>
      </c>
      <c r="AP149" s="27" t="s">
        <v>7</v>
      </c>
      <c r="AQ149" s="27" t="s">
        <v>8</v>
      </c>
      <c r="AR149" s="27" t="s">
        <v>7</v>
      </c>
      <c r="AS149" s="27" t="s">
        <v>8</v>
      </c>
      <c r="BH149" s="27" t="s">
        <v>7</v>
      </c>
    </row>
    <row r="150" spans="1:60" x14ac:dyDescent="0.25">
      <c r="A150" s="30">
        <v>6.3039408631284613E-2</v>
      </c>
      <c r="B150"/>
      <c r="C150"/>
      <c r="D150"/>
      <c r="E150"/>
      <c r="H150" s="27" t="s">
        <v>7</v>
      </c>
      <c r="I150" s="27" t="s">
        <v>8</v>
      </c>
      <c r="J150" s="27" t="s">
        <v>7</v>
      </c>
      <c r="K150" s="27" t="s">
        <v>8</v>
      </c>
      <c r="L150" s="27" t="s">
        <v>7</v>
      </c>
      <c r="M150" s="27" t="s">
        <v>8</v>
      </c>
      <c r="N150" s="27" t="s">
        <v>7</v>
      </c>
      <c r="O150" s="27" t="s">
        <v>8</v>
      </c>
      <c r="P150" s="27" t="s">
        <v>7</v>
      </c>
      <c r="Q150" s="27" t="s">
        <v>8</v>
      </c>
      <c r="U150" s="27" t="s">
        <v>8</v>
      </c>
      <c r="V150" s="27" t="s">
        <v>7</v>
      </c>
      <c r="W150" s="27" t="s">
        <v>8</v>
      </c>
      <c r="AL150" s="27" t="s">
        <v>7</v>
      </c>
      <c r="AM150" s="27" t="s">
        <v>8</v>
      </c>
      <c r="AP150" s="27" t="s">
        <v>7</v>
      </c>
      <c r="AQ150" s="27" t="s">
        <v>8</v>
      </c>
      <c r="AR150" s="18" t="s">
        <v>7</v>
      </c>
      <c r="AS150" s="27" t="s">
        <v>8</v>
      </c>
      <c r="BH150" s="27" t="s">
        <v>7</v>
      </c>
    </row>
    <row r="151" spans="1:60" x14ac:dyDescent="0.25">
      <c r="A151" s="30">
        <v>5.7308553301167818E-2</v>
      </c>
      <c r="B151"/>
      <c r="C151"/>
      <c r="D151"/>
      <c r="E151"/>
      <c r="H151" s="27" t="s">
        <v>7</v>
      </c>
      <c r="J151" s="27" t="s">
        <v>7</v>
      </c>
      <c r="K151" s="27" t="s">
        <v>8</v>
      </c>
      <c r="L151" s="27" t="s">
        <v>7</v>
      </c>
      <c r="M151" s="27" t="s">
        <v>8</v>
      </c>
      <c r="N151" s="27" t="s">
        <v>7</v>
      </c>
      <c r="O151" s="27" t="s">
        <v>8</v>
      </c>
      <c r="P151" s="27" t="s">
        <v>7</v>
      </c>
      <c r="Q151" s="27" t="s">
        <v>8</v>
      </c>
      <c r="R151" s="27" t="s">
        <v>7</v>
      </c>
      <c r="U151" s="27" t="s">
        <v>8</v>
      </c>
      <c r="V151" s="27" t="s">
        <v>7</v>
      </c>
      <c r="W151" s="27" t="s">
        <v>8</v>
      </c>
      <c r="AL151" s="27" t="s">
        <v>7</v>
      </c>
      <c r="AP151" s="27" t="s">
        <v>7</v>
      </c>
      <c r="AQ151" s="27" t="s">
        <v>8</v>
      </c>
      <c r="AR151" s="27" t="s">
        <v>7</v>
      </c>
    </row>
    <row r="152" spans="1:60" x14ac:dyDescent="0.25">
      <c r="A152" s="30">
        <v>5.2098684819243464E-2</v>
      </c>
      <c r="B152"/>
      <c r="C152"/>
      <c r="D152"/>
      <c r="E152"/>
      <c r="J152" s="27" t="s">
        <v>7</v>
      </c>
      <c r="K152" s="27" t="s">
        <v>8</v>
      </c>
      <c r="L152" s="27" t="s">
        <v>7</v>
      </c>
      <c r="N152" s="27" t="s">
        <v>7</v>
      </c>
      <c r="P152" s="27" t="s">
        <v>7</v>
      </c>
      <c r="Q152" s="27" t="s">
        <v>8</v>
      </c>
      <c r="R152" s="27" t="s">
        <v>7</v>
      </c>
      <c r="S152" s="27" t="s">
        <v>8</v>
      </c>
      <c r="U152" s="27" t="s">
        <v>8</v>
      </c>
      <c r="V152" s="27" t="s">
        <v>7</v>
      </c>
      <c r="AP152" s="27" t="s">
        <v>7</v>
      </c>
    </row>
    <row r="153" spans="1:60" x14ac:dyDescent="0.25">
      <c r="A153" s="30">
        <v>4.7362440744766775E-2</v>
      </c>
      <c r="B153"/>
      <c r="C153"/>
      <c r="D153"/>
      <c r="E153"/>
      <c r="J153" s="27" t="s">
        <v>7</v>
      </c>
      <c r="K153" s="27" t="s">
        <v>8</v>
      </c>
      <c r="P153" s="27" t="s">
        <v>7</v>
      </c>
      <c r="Q153" s="27" t="s">
        <v>8</v>
      </c>
      <c r="R153" s="27" t="s">
        <v>7</v>
      </c>
      <c r="S153" s="27" t="s">
        <v>8</v>
      </c>
      <c r="T153" s="27" t="s">
        <v>7</v>
      </c>
      <c r="U153" s="27" t="s">
        <v>8</v>
      </c>
    </row>
    <row r="154" spans="1:60" x14ac:dyDescent="0.25">
      <c r="A154" s="30">
        <v>4.3056764313424332E-2</v>
      </c>
      <c r="B154"/>
      <c r="C154"/>
      <c r="D154"/>
      <c r="E154"/>
      <c r="J154" s="27" t="s">
        <v>7</v>
      </c>
      <c r="P154" s="27" t="s">
        <v>7</v>
      </c>
      <c r="Q154" s="27" t="s">
        <v>8</v>
      </c>
      <c r="R154" s="27" t="s">
        <v>7</v>
      </c>
      <c r="S154" s="27" t="s">
        <v>8</v>
      </c>
      <c r="T154" s="27" t="s">
        <v>7</v>
      </c>
      <c r="U154" s="27" t="s">
        <v>8</v>
      </c>
    </row>
    <row r="155" spans="1:60" x14ac:dyDescent="0.25">
      <c r="A155" s="30">
        <v>3.9142513012203929E-2</v>
      </c>
      <c r="B155"/>
      <c r="C155"/>
      <c r="D155"/>
      <c r="E155"/>
      <c r="P155" s="27" t="s">
        <v>7</v>
      </c>
      <c r="R155" s="27" t="s">
        <v>7</v>
      </c>
      <c r="S155" s="27" t="s">
        <v>8</v>
      </c>
      <c r="T155" s="27" t="s">
        <v>7</v>
      </c>
      <c r="U155" s="27" t="s">
        <v>8</v>
      </c>
    </row>
    <row r="156" spans="1:60" x14ac:dyDescent="0.25">
      <c r="A156" s="30">
        <v>3.55841027383672E-2</v>
      </c>
      <c r="B156"/>
      <c r="C156"/>
      <c r="D156"/>
      <c r="E156"/>
      <c r="R156" s="27" t="s">
        <v>7</v>
      </c>
      <c r="S156" s="27" t="s">
        <v>8</v>
      </c>
      <c r="T156" s="27" t="s">
        <v>7</v>
      </c>
    </row>
    <row r="157" spans="1:60" x14ac:dyDescent="0.25">
      <c r="A157" s="30">
        <v>3.2349184307606541E-2</v>
      </c>
      <c r="B157"/>
      <c r="C157"/>
      <c r="D157"/>
      <c r="E157"/>
      <c r="R157" s="27" t="s">
        <v>7</v>
      </c>
    </row>
    <row r="158" spans="1:60" x14ac:dyDescent="0.25">
      <c r="A158" s="30">
        <v>2.9408349370551395E-2</v>
      </c>
      <c r="B158"/>
      <c r="C158"/>
      <c r="D158"/>
      <c r="E158"/>
    </row>
    <row r="159" spans="1:60" x14ac:dyDescent="0.25">
      <c r="A159" s="30">
        <v>2.6734863064137627E-2</v>
      </c>
      <c r="B159"/>
      <c r="C159"/>
      <c r="D159"/>
      <c r="E159"/>
    </row>
    <row r="160" spans="1:60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39" operator="equal">
      <formula>$U$1</formula>
    </cfRule>
    <cfRule type="cellIs" dxfId="30" priority="940" operator="equal">
      <formula>$S$1</formula>
    </cfRule>
  </conditionalFormatting>
  <conditionalFormatting sqref="D136">
    <cfRule type="cellIs" dxfId="29" priority="937" operator="equal">
      <formula>$S$1</formula>
    </cfRule>
    <cfRule type="cellIs" dxfId="28" priority="938" operator="equal">
      <formula>$U$1</formula>
    </cfRule>
  </conditionalFormatting>
  <conditionalFormatting sqref="C102">
    <cfRule type="cellIs" dxfId="27" priority="935" operator="equal">
      <formula>$U$1</formula>
    </cfRule>
    <cfRule type="cellIs" dxfId="26" priority="936" operator="equal">
      <formula>$S$1</formula>
    </cfRule>
  </conditionalFormatting>
  <conditionalFormatting sqref="D102">
    <cfRule type="cellIs" dxfId="25" priority="933" operator="equal">
      <formula>$S$1</formula>
    </cfRule>
    <cfRule type="cellIs" dxfId="24" priority="934" operator="equal">
      <formula>$U$1</formula>
    </cfRule>
  </conditionalFormatting>
  <conditionalFormatting sqref="C77">
    <cfRule type="cellIs" dxfId="23" priority="931" operator="equal">
      <formula>$U$1</formula>
    </cfRule>
    <cfRule type="cellIs" dxfId="22" priority="932" operator="equal">
      <formula>$S$1</formula>
    </cfRule>
  </conditionalFormatting>
  <conditionalFormatting sqref="D77">
    <cfRule type="cellIs" dxfId="21" priority="929" operator="equal">
      <formula>$S$1</formula>
    </cfRule>
    <cfRule type="cellIs" dxfId="20" priority="930" operator="equal">
      <formula>$U$1</formula>
    </cfRule>
  </conditionalFormatting>
  <conditionalFormatting sqref="C52">
    <cfRule type="cellIs" dxfId="19" priority="927" operator="equal">
      <formula>$U$1</formula>
    </cfRule>
    <cfRule type="cellIs" dxfId="18" priority="928" operator="equal">
      <formula>$S$1</formula>
    </cfRule>
  </conditionalFormatting>
  <conditionalFormatting sqref="D52">
    <cfRule type="cellIs" dxfId="17" priority="925" operator="equal">
      <formula>$S$1</formula>
    </cfRule>
    <cfRule type="cellIs" dxfId="16" priority="926" operator="equal">
      <formula>$U$1</formula>
    </cfRule>
  </conditionalFormatting>
  <conditionalFormatting sqref="C26">
    <cfRule type="cellIs" dxfId="15" priority="923" operator="equal">
      <formula>$U$1</formula>
    </cfRule>
    <cfRule type="cellIs" dxfId="14" priority="924" operator="equal">
      <formula>$S$1</formula>
    </cfRule>
  </conditionalFormatting>
  <conditionalFormatting sqref="D26">
    <cfRule type="cellIs" dxfId="13" priority="921" operator="equal">
      <formula>$S$1</formula>
    </cfRule>
    <cfRule type="cellIs" dxfId="12" priority="92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2022-01-28T01:17:54Z</dcterms:modified>
</cp:coreProperties>
</file>