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5931E323-E7C5-41E2-9069-FFFEA49BD928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6" i="5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D136" i="5" s="1"/>
  <c r="C118" i="3"/>
  <c r="C122" i="3"/>
  <c r="C133" i="3" s="1"/>
  <c r="D136" i="3" s="1"/>
  <c r="C118" i="4"/>
  <c r="C122" i="4"/>
  <c r="C133" i="4" s="1"/>
  <c r="D136" i="4" s="1"/>
  <c r="R765" i="1"/>
  <c r="C136" i="5" l="1"/>
  <c r="C138" i="5" s="1"/>
  <c r="C136" i="3"/>
  <c r="C138" i="3" s="1"/>
  <c r="C136" i="4"/>
  <c r="C138" i="4" s="1"/>
  <c r="R764" i="1"/>
  <c r="S765" i="1"/>
  <c r="T765" i="1" s="1"/>
  <c r="S764" i="1" l="1"/>
  <c r="T764" i="1" s="1"/>
  <c r="R763" i="1"/>
  <c r="S763" i="1" l="1"/>
  <c r="T763" i="1" s="1"/>
  <c r="R762" i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S758" i="1" l="1"/>
  <c r="T758" i="1" s="1"/>
  <c r="R757" i="1"/>
  <c r="S757" i="1" l="1"/>
  <c r="T757" i="1" s="1"/>
  <c r="R756" i="1"/>
  <c r="S756" i="1" l="1"/>
  <c r="T756" i="1" s="1"/>
  <c r="R755" i="1"/>
  <c r="R754" i="1" l="1"/>
  <c r="S755" i="1"/>
  <c r="T755" i="1" s="1"/>
  <c r="R753" i="1" l="1"/>
  <c r="S754" i="1"/>
  <c r="T754" i="1" s="1"/>
  <c r="R752" i="1" l="1"/>
  <c r="S753" i="1"/>
  <c r="T753" i="1" s="1"/>
  <c r="S752" i="1" l="1"/>
  <c r="T752" i="1" s="1"/>
  <c r="R751" i="1"/>
  <c r="S751" i="1" l="1"/>
  <c r="T751" i="1" s="1"/>
  <c r="R750" i="1"/>
  <c r="S750" i="1" l="1"/>
  <c r="T750" i="1" s="1"/>
  <c r="R749" i="1"/>
  <c r="S749" i="1" l="1"/>
  <c r="T749" i="1" s="1"/>
  <c r="R748" i="1"/>
  <c r="S748" i="1" l="1"/>
  <c r="T748" i="1" s="1"/>
  <c r="R747" i="1"/>
  <c r="R746" i="1" l="1"/>
  <c r="S747" i="1"/>
  <c r="T747" i="1" s="1"/>
  <c r="R745" i="1" l="1"/>
  <c r="S746" i="1"/>
  <c r="T746" i="1" s="1"/>
  <c r="S745" i="1" l="1"/>
  <c r="T745" i="1" s="1"/>
  <c r="R744" i="1"/>
  <c r="S744" i="1" l="1"/>
  <c r="T744" i="1" s="1"/>
  <c r="R743" i="1"/>
  <c r="S743" i="1" l="1"/>
  <c r="T743" i="1" s="1"/>
  <c r="R742" i="1"/>
  <c r="R741" i="1" l="1"/>
  <c r="S742" i="1"/>
  <c r="T742" i="1" s="1"/>
  <c r="R740" i="1" l="1"/>
  <c r="S741" i="1"/>
  <c r="T741" i="1" s="1"/>
  <c r="R739" i="1" l="1"/>
  <c r="S740" i="1"/>
  <c r="T740" i="1" s="1"/>
  <c r="S739" i="1" l="1"/>
  <c r="T739" i="1" s="1"/>
  <c r="R738" i="1"/>
  <c r="S738" i="1" l="1"/>
  <c r="T738" i="1" s="1"/>
  <c r="R737" i="1"/>
  <c r="S737" i="1" l="1"/>
  <c r="T737" i="1" s="1"/>
  <c r="R736" i="1"/>
  <c r="S736" i="1" l="1"/>
  <c r="T736" i="1" s="1"/>
  <c r="R735" i="1"/>
  <c r="R734" i="1" l="1"/>
  <c r="S735" i="1"/>
  <c r="T735" i="1" s="1"/>
  <c r="R733" i="1" l="1"/>
  <c r="S734" i="1"/>
  <c r="T734" i="1" s="1"/>
  <c r="S733" i="1" l="1"/>
  <c r="T733" i="1" s="1"/>
  <c r="R732" i="1"/>
  <c r="S732" i="1" l="1"/>
  <c r="T732" i="1" s="1"/>
  <c r="R731" i="1"/>
  <c r="S731" i="1" l="1"/>
  <c r="T731" i="1" s="1"/>
  <c r="R730" i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S726" i="1" l="1"/>
  <c r="T726" i="1" s="1"/>
  <c r="R725" i="1"/>
  <c r="S725" i="1" l="1"/>
  <c r="T725" i="1" s="1"/>
  <c r="R724" i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S720" i="1" l="1"/>
  <c r="T720" i="1" s="1"/>
  <c r="R719" i="1"/>
  <c r="S719" i="1" l="1"/>
  <c r="T719" i="1" s="1"/>
  <c r="R718" i="1"/>
  <c r="S718" i="1" l="1"/>
  <c r="T718" i="1" s="1"/>
  <c r="R717" i="1"/>
  <c r="R716" i="1" l="1"/>
  <c r="S717" i="1"/>
  <c r="T717" i="1" s="1"/>
  <c r="S716" i="1" l="1"/>
  <c r="T716" i="1" s="1"/>
  <c r="R715" i="1"/>
  <c r="R714" i="1" l="1"/>
  <c r="S715" i="1"/>
  <c r="T715" i="1" s="1"/>
  <c r="S714" i="1" l="1"/>
  <c r="T714" i="1" s="1"/>
  <c r="R713" i="1"/>
  <c r="R712" i="1" l="1"/>
  <c r="S713" i="1"/>
  <c r="T713" i="1" s="1"/>
  <c r="S712" i="1" l="1"/>
  <c r="T712" i="1" s="1"/>
  <c r="R711" i="1"/>
  <c r="R710" i="1" l="1"/>
  <c r="S711" i="1"/>
  <c r="T711" i="1" s="1"/>
  <c r="S710" i="1" l="1"/>
  <c r="T710" i="1" s="1"/>
  <c r="R709" i="1"/>
  <c r="S709" i="1" l="1"/>
  <c r="T709" i="1" s="1"/>
  <c r="R708" i="1"/>
  <c r="R707" i="1" l="1"/>
  <c r="S708" i="1"/>
  <c r="T708" i="1" s="1"/>
  <c r="R706" i="1" l="1"/>
  <c r="S707" i="1"/>
  <c r="T707" i="1" s="1"/>
  <c r="S706" i="1" l="1"/>
  <c r="T706" i="1" s="1"/>
  <c r="R705" i="1"/>
  <c r="S705" i="1" l="1"/>
  <c r="T705" i="1" s="1"/>
  <c r="R704" i="1"/>
  <c r="R703" i="1" l="1"/>
  <c r="S704" i="1"/>
  <c r="T704" i="1" s="1"/>
  <c r="R702" i="1" l="1"/>
  <c r="S703" i="1"/>
  <c r="T703" i="1" s="1"/>
  <c r="R701" i="1" l="1"/>
  <c r="S702" i="1"/>
  <c r="T702" i="1" s="1"/>
  <c r="S701" i="1" l="1"/>
  <c r="T701" i="1" s="1"/>
  <c r="R700" i="1"/>
  <c r="R699" i="1" l="1"/>
  <c r="S700" i="1"/>
  <c r="T700" i="1" s="1"/>
  <c r="S699" i="1" l="1"/>
  <c r="T699" i="1" s="1"/>
  <c r="R698" i="1"/>
  <c r="R697" i="1" l="1"/>
  <c r="S698" i="1"/>
  <c r="T698" i="1" s="1"/>
  <c r="S697" i="1" l="1"/>
  <c r="T697" i="1" s="1"/>
  <c r="R696" i="1"/>
  <c r="S696" i="1" l="1"/>
  <c r="T696" i="1" s="1"/>
  <c r="R695" i="1"/>
  <c r="S695" i="1" l="1"/>
  <c r="T695" i="1" s="1"/>
  <c r="R694" i="1"/>
  <c r="R693" i="1" l="1"/>
  <c r="S694" i="1"/>
  <c r="T694" i="1" s="1"/>
  <c r="R692" i="1" l="1"/>
  <c r="S693" i="1"/>
  <c r="T693" i="1" s="1"/>
  <c r="S692" i="1" l="1"/>
  <c r="T692" i="1" s="1"/>
  <c r="R691" i="1"/>
  <c r="R690" i="1" l="1"/>
  <c r="S691" i="1"/>
  <c r="T691" i="1" s="1"/>
  <c r="R689" i="1" l="1"/>
  <c r="S690" i="1"/>
  <c r="T690" i="1" s="1"/>
  <c r="R688" i="1" l="1"/>
  <c r="S689" i="1"/>
  <c r="T689" i="1" s="1"/>
  <c r="S688" i="1" l="1"/>
  <c r="T688" i="1" s="1"/>
  <c r="R687" i="1"/>
  <c r="S687" i="1" l="1"/>
  <c r="T687" i="1" s="1"/>
  <c r="R686" i="1"/>
  <c r="S686" i="1" l="1"/>
  <c r="T686" i="1" s="1"/>
  <c r="R685" i="1"/>
  <c r="R684" i="1" l="1"/>
  <c r="S685" i="1"/>
  <c r="T685" i="1" s="1"/>
  <c r="S684" i="1" l="1"/>
  <c r="T684" i="1" s="1"/>
  <c r="R683" i="1"/>
  <c r="R682" i="1" l="1"/>
  <c r="S683" i="1"/>
  <c r="T683" i="1" s="1"/>
  <c r="S682" i="1" l="1"/>
  <c r="T682" i="1" s="1"/>
  <c r="R681" i="1"/>
  <c r="R680" i="1" l="1"/>
  <c r="S681" i="1"/>
  <c r="T681" i="1" s="1"/>
  <c r="S680" i="1" l="1"/>
  <c r="T680" i="1" s="1"/>
  <c r="R679" i="1"/>
  <c r="S679" i="1" l="1"/>
  <c r="T679" i="1" s="1"/>
  <c r="R678" i="1"/>
  <c r="R677" i="1" l="1"/>
  <c r="S678" i="1"/>
  <c r="T678" i="1" s="1"/>
  <c r="S677" i="1" l="1"/>
  <c r="T677" i="1" s="1"/>
  <c r="R676" i="1"/>
  <c r="S676" i="1" l="1"/>
  <c r="T676" i="1" s="1"/>
  <c r="R675" i="1"/>
  <c r="S675" i="1" l="1"/>
  <c r="T675" i="1" s="1"/>
  <c r="R674" i="1"/>
  <c r="S674" i="1" l="1"/>
  <c r="T674" i="1" s="1"/>
  <c r="R673" i="1"/>
  <c r="R672" i="1" l="1"/>
  <c r="S673" i="1"/>
  <c r="T673" i="1" s="1"/>
  <c r="R671" i="1" l="1"/>
  <c r="S672" i="1"/>
  <c r="T672" i="1" s="1"/>
  <c r="R670" i="1" l="1"/>
  <c r="S671" i="1"/>
  <c r="T671" i="1" s="1"/>
  <c r="S670" i="1" l="1"/>
  <c r="T670" i="1" s="1"/>
  <c r="R669" i="1"/>
  <c r="S669" i="1" l="1"/>
  <c r="T669" i="1" s="1"/>
  <c r="R668" i="1"/>
  <c r="S668" i="1" l="1"/>
  <c r="T668" i="1" s="1"/>
  <c r="R667" i="1"/>
  <c r="R666" i="1" l="1"/>
  <c r="S667" i="1"/>
  <c r="T667" i="1" s="1"/>
  <c r="S666" i="1" l="1"/>
  <c r="T666" i="1" s="1"/>
  <c r="R665" i="1"/>
  <c r="R664" i="1" l="1"/>
  <c r="S665" i="1"/>
  <c r="T665" i="1" s="1"/>
  <c r="S664" i="1" l="1"/>
  <c r="T664" i="1" s="1"/>
  <c r="R663" i="1"/>
  <c r="R662" i="1" l="1"/>
  <c r="S663" i="1"/>
  <c r="T663" i="1" s="1"/>
  <c r="S662" i="1" l="1"/>
  <c r="T662" i="1" s="1"/>
  <c r="R661" i="1"/>
  <c r="R660" i="1" l="1"/>
  <c r="S661" i="1"/>
  <c r="T661" i="1" s="1"/>
  <c r="R659" i="1" l="1"/>
  <c r="S660" i="1"/>
  <c r="T660" i="1" s="1"/>
  <c r="R658" i="1" l="1"/>
  <c r="S659" i="1"/>
  <c r="T659" i="1" s="1"/>
  <c r="S658" i="1" l="1"/>
  <c r="T658" i="1" s="1"/>
  <c r="R657" i="1"/>
  <c r="S657" i="1" l="1"/>
  <c r="T657" i="1" s="1"/>
  <c r="R656" i="1"/>
  <c r="S656" i="1" l="1"/>
  <c r="T656" i="1" s="1"/>
  <c r="R655" i="1"/>
  <c r="R654" i="1" l="1"/>
  <c r="S655" i="1"/>
  <c r="T655" i="1" s="1"/>
  <c r="S654" i="1" l="1"/>
  <c r="T654" i="1" s="1"/>
  <c r="R653" i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S649" i="1" l="1"/>
  <c r="T649" i="1" s="1"/>
  <c r="R648" i="1"/>
  <c r="S648" i="1" l="1"/>
  <c r="T648" i="1" s="1"/>
  <c r="R647" i="1"/>
  <c r="S647" i="1" l="1"/>
  <c r="T647" i="1" s="1"/>
  <c r="R646" i="1"/>
  <c r="S646" i="1" l="1"/>
  <c r="T646" i="1" s="1"/>
  <c r="R645" i="1"/>
  <c r="S645" i="1" l="1"/>
  <c r="T645" i="1" s="1"/>
  <c r="R644" i="1"/>
  <c r="R643" i="1" l="1"/>
  <c r="S644" i="1"/>
  <c r="T644" i="1" s="1"/>
  <c r="R642" i="1" l="1"/>
  <c r="S643" i="1"/>
  <c r="T643" i="1" s="1"/>
  <c r="R641" i="1" l="1"/>
  <c r="S642" i="1"/>
  <c r="T642" i="1" s="1"/>
  <c r="S641" i="1" l="1"/>
  <c r="T641" i="1" s="1"/>
  <c r="R640" i="1"/>
  <c r="S640" i="1" l="1"/>
  <c r="T640" i="1" s="1"/>
  <c r="R639" i="1"/>
  <c r="S639" i="1" l="1"/>
  <c r="T639" i="1" s="1"/>
  <c r="R638" i="1"/>
  <c r="R637" i="1" l="1"/>
  <c r="S638" i="1"/>
  <c r="T638" i="1" s="1"/>
  <c r="R636" i="1" l="1"/>
  <c r="S637" i="1"/>
  <c r="T637" i="1" s="1"/>
  <c r="S636" i="1" l="1"/>
  <c r="T636" i="1" s="1"/>
  <c r="R635" i="1"/>
  <c r="S635" i="1" l="1"/>
  <c r="T635" i="1" s="1"/>
  <c r="R634" i="1"/>
  <c r="S634" i="1" l="1"/>
  <c r="T634" i="1" s="1"/>
  <c r="R633" i="1"/>
  <c r="S633" i="1" l="1"/>
  <c r="T633" i="1" s="1"/>
  <c r="R632" i="1"/>
  <c r="R631" i="1" l="1"/>
  <c r="S632" i="1"/>
  <c r="T632" i="1" s="1"/>
  <c r="R630" i="1" l="1"/>
  <c r="S631" i="1"/>
  <c r="T631" i="1" s="1"/>
  <c r="S630" i="1" l="1"/>
  <c r="T630" i="1" s="1"/>
  <c r="R629" i="1"/>
  <c r="S629" i="1" l="1"/>
  <c r="T629" i="1" s="1"/>
  <c r="R628" i="1"/>
  <c r="R627" i="1" l="1"/>
  <c r="S628" i="1"/>
  <c r="T628" i="1" s="1"/>
  <c r="R626" i="1" l="1"/>
  <c r="S627" i="1"/>
  <c r="T627" i="1" s="1"/>
  <c r="R625" i="1" l="1"/>
  <c r="S626" i="1"/>
  <c r="T626" i="1" s="1"/>
  <c r="S625" i="1" l="1"/>
  <c r="T625" i="1" s="1"/>
  <c r="R624" i="1"/>
  <c r="S624" i="1" l="1"/>
  <c r="T624" i="1" s="1"/>
  <c r="R623" i="1"/>
  <c r="S623" i="1" l="1"/>
  <c r="T623" i="1" s="1"/>
  <c r="R622" i="1"/>
  <c r="R621" i="1" l="1"/>
  <c r="S622" i="1"/>
  <c r="T622" i="1" s="1"/>
  <c r="R620" i="1" l="1"/>
  <c r="S621" i="1"/>
  <c r="T621" i="1" s="1"/>
  <c r="R619" i="1" l="1"/>
  <c r="S620" i="1"/>
  <c r="T620" i="1" s="1"/>
  <c r="S619" i="1" l="1"/>
  <c r="T619" i="1" s="1"/>
  <c r="R618" i="1"/>
  <c r="S618" i="1" l="1"/>
  <c r="T618" i="1" s="1"/>
  <c r="R617" i="1"/>
  <c r="S617" i="1" l="1"/>
  <c r="T617" i="1" s="1"/>
  <c r="R616" i="1"/>
  <c r="R615" i="1" l="1"/>
  <c r="S616" i="1"/>
  <c r="T616" i="1" s="1"/>
  <c r="R614" i="1" l="1"/>
  <c r="S615" i="1"/>
  <c r="T615" i="1" s="1"/>
  <c r="R613" i="1" l="1"/>
  <c r="S614" i="1"/>
  <c r="T614" i="1" s="1"/>
  <c r="S613" i="1" l="1"/>
  <c r="T613" i="1" s="1"/>
  <c r="R612" i="1"/>
  <c r="R611" i="1" l="1"/>
  <c r="S612" i="1"/>
  <c r="T612" i="1" s="1"/>
  <c r="S611" i="1" l="1"/>
  <c r="T611" i="1" s="1"/>
  <c r="R610" i="1"/>
  <c r="R609" i="1" l="1"/>
  <c r="S610" i="1"/>
  <c r="T610" i="1" s="1"/>
  <c r="S609" i="1" l="1"/>
  <c r="T609" i="1" s="1"/>
  <c r="R608" i="1"/>
  <c r="R607" i="1" l="1"/>
  <c r="S608" i="1"/>
  <c r="T608" i="1" s="1"/>
  <c r="S607" i="1" l="1"/>
  <c r="T607" i="1" s="1"/>
  <c r="R606" i="1"/>
  <c r="R605" i="1" l="1"/>
  <c r="S606" i="1"/>
  <c r="T606" i="1" s="1"/>
  <c r="S605" i="1" l="1"/>
  <c r="T605" i="1" s="1"/>
  <c r="R604" i="1"/>
  <c r="S604" i="1" l="1"/>
  <c r="T604" i="1" s="1"/>
  <c r="R603" i="1"/>
  <c r="S603" i="1" l="1"/>
  <c r="T603" i="1" s="1"/>
  <c r="R602" i="1"/>
  <c r="S602" i="1" l="1"/>
  <c r="T602" i="1" s="1"/>
  <c r="R601" i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S597" i="1" l="1"/>
  <c r="T597" i="1" s="1"/>
  <c r="R596" i="1"/>
  <c r="S596" i="1" l="1"/>
  <c r="T596" i="1" s="1"/>
  <c r="R595" i="1"/>
  <c r="S595" i="1" l="1"/>
  <c r="T595" i="1" s="1"/>
  <c r="R594" i="1"/>
  <c r="R593" i="1" l="1"/>
  <c r="S594" i="1"/>
  <c r="T594" i="1" s="1"/>
  <c r="R592" i="1" l="1"/>
  <c r="S593" i="1"/>
  <c r="T593" i="1" s="1"/>
  <c r="S592" i="1" l="1"/>
  <c r="T592" i="1" s="1"/>
  <c r="R591" i="1"/>
  <c r="S591" i="1" l="1"/>
  <c r="T591" i="1" s="1"/>
  <c r="R590" i="1"/>
  <c r="S590" i="1" l="1"/>
  <c r="T590" i="1" s="1"/>
  <c r="R589" i="1"/>
  <c r="R588" i="1" l="1"/>
  <c r="S589" i="1"/>
  <c r="T589" i="1" s="1"/>
  <c r="R587" i="1" l="1"/>
  <c r="S588" i="1"/>
  <c r="T588" i="1" s="1"/>
  <c r="S587" i="1" l="1"/>
  <c r="T587" i="1" s="1"/>
  <c r="R586" i="1"/>
  <c r="S586" i="1" l="1"/>
  <c r="T586" i="1" s="1"/>
  <c r="R585" i="1"/>
  <c r="S585" i="1" l="1"/>
  <c r="T585" i="1" s="1"/>
  <c r="R584" i="1"/>
  <c r="R583" i="1" l="1"/>
  <c r="S584" i="1"/>
  <c r="T584" i="1" s="1"/>
  <c r="R582" i="1" l="1"/>
  <c r="S583" i="1"/>
  <c r="T583" i="1" s="1"/>
  <c r="S582" i="1" l="1"/>
  <c r="T582" i="1" s="1"/>
  <c r="R581" i="1"/>
  <c r="S581" i="1" l="1"/>
  <c r="T581" i="1" s="1"/>
  <c r="R580" i="1"/>
  <c r="S580" i="1" l="1"/>
  <c r="T580" i="1" s="1"/>
  <c r="R579" i="1"/>
  <c r="R578" i="1" l="1"/>
  <c r="S579" i="1"/>
  <c r="T579" i="1" s="1"/>
  <c r="S578" i="1" l="1"/>
  <c r="T578" i="1" s="1"/>
  <c r="R577" i="1"/>
  <c r="S577" i="1" l="1"/>
  <c r="T577" i="1" s="1"/>
  <c r="R576" i="1"/>
  <c r="S576" i="1" l="1"/>
  <c r="T576" i="1" s="1"/>
  <c r="R575" i="1"/>
  <c r="R574" i="1" l="1"/>
  <c r="S575" i="1"/>
  <c r="T575" i="1" s="1"/>
  <c r="R573" i="1" l="1"/>
  <c r="S574" i="1"/>
  <c r="T574" i="1" s="1"/>
  <c r="R572" i="1" l="1"/>
  <c r="S573" i="1"/>
  <c r="T573" i="1" s="1"/>
  <c r="S572" i="1" l="1"/>
  <c r="T572" i="1" s="1"/>
  <c r="R571" i="1"/>
  <c r="S571" i="1" l="1"/>
  <c r="T571" i="1" s="1"/>
  <c r="R570" i="1"/>
  <c r="S570" i="1" l="1"/>
  <c r="T570" i="1" s="1"/>
  <c r="R569" i="1"/>
  <c r="R568" i="1" l="1"/>
  <c r="S569" i="1"/>
  <c r="T569" i="1" s="1"/>
  <c r="R567" i="1" l="1"/>
  <c r="S568" i="1"/>
  <c r="T568" i="1" s="1"/>
  <c r="R566" i="1" l="1"/>
  <c r="S567" i="1"/>
  <c r="T567" i="1" s="1"/>
  <c r="S566" i="1" l="1"/>
  <c r="T566" i="1" s="1"/>
  <c r="R565" i="1"/>
  <c r="S565" i="1" l="1"/>
  <c r="T565" i="1" s="1"/>
  <c r="R564" i="1"/>
  <c r="S564" i="1" l="1"/>
  <c r="T564" i="1" s="1"/>
  <c r="R563" i="1"/>
  <c r="R562" i="1" l="1"/>
  <c r="S563" i="1"/>
  <c r="T563" i="1" s="1"/>
  <c r="R561" i="1" l="1"/>
  <c r="S562" i="1"/>
  <c r="T562" i="1" s="1"/>
  <c r="R560" i="1" l="1"/>
  <c r="S561" i="1"/>
  <c r="T561" i="1" s="1"/>
  <c r="S560" i="1" l="1"/>
  <c r="T560" i="1" s="1"/>
  <c r="R559" i="1"/>
  <c r="S559" i="1" l="1"/>
  <c r="T559" i="1" s="1"/>
  <c r="R558" i="1"/>
  <c r="S558" i="1" l="1"/>
  <c r="T558" i="1" s="1"/>
  <c r="R557" i="1"/>
  <c r="R556" i="1" l="1"/>
  <c r="S557" i="1"/>
  <c r="T557" i="1" s="1"/>
  <c r="S556" i="1" l="1"/>
  <c r="T556" i="1" s="1"/>
  <c r="R555" i="1"/>
  <c r="R554" i="1" l="1"/>
  <c r="S555" i="1"/>
  <c r="T555" i="1" s="1"/>
  <c r="S554" i="1" l="1"/>
  <c r="T554" i="1" s="1"/>
  <c r="R553" i="1"/>
  <c r="R552" i="1" l="1"/>
  <c r="S553" i="1"/>
  <c r="T553" i="1" s="1"/>
  <c r="S552" i="1" l="1"/>
  <c r="T552" i="1" s="1"/>
  <c r="R551" i="1"/>
  <c r="R550" i="1" l="1"/>
  <c r="S551" i="1"/>
  <c r="T551" i="1" s="1"/>
  <c r="S550" i="1" l="1"/>
  <c r="T550" i="1" s="1"/>
  <c r="R549" i="1"/>
  <c r="S549" i="1" l="1"/>
  <c r="T549" i="1" s="1"/>
  <c r="R548" i="1"/>
  <c r="R547" i="1" l="1"/>
  <c r="S548" i="1"/>
  <c r="T548" i="1" s="1"/>
  <c r="S547" i="1" l="1"/>
  <c r="T547" i="1" s="1"/>
  <c r="R546" i="1"/>
  <c r="R545" i="1" l="1"/>
  <c r="S546" i="1"/>
  <c r="T546" i="1" s="1"/>
  <c r="S545" i="1" l="1"/>
  <c r="T545" i="1" s="1"/>
  <c r="R544" i="1"/>
  <c r="R543" i="1" l="1"/>
  <c r="S544" i="1"/>
  <c r="T544" i="1" s="1"/>
  <c r="S543" i="1" l="1"/>
  <c r="T543" i="1" s="1"/>
  <c r="R542" i="1"/>
  <c r="R541" i="1" l="1"/>
  <c r="S542" i="1"/>
  <c r="T542" i="1" s="1"/>
  <c r="S541" i="1" l="1"/>
  <c r="T541" i="1" s="1"/>
  <c r="R540" i="1"/>
  <c r="R539" i="1" l="1"/>
  <c r="S540" i="1"/>
  <c r="T540" i="1" s="1"/>
  <c r="S539" i="1" l="1"/>
  <c r="T539" i="1" s="1"/>
  <c r="R538" i="1"/>
  <c r="R537" i="1" l="1"/>
  <c r="S538" i="1"/>
  <c r="T538" i="1" s="1"/>
  <c r="S537" i="1" l="1"/>
  <c r="T537" i="1" s="1"/>
  <c r="R536" i="1"/>
  <c r="R535" i="1" l="1"/>
  <c r="S536" i="1"/>
  <c r="T536" i="1" s="1"/>
  <c r="S535" i="1" l="1"/>
  <c r="T535" i="1" s="1"/>
  <c r="R534" i="1"/>
  <c r="R533" i="1" l="1"/>
  <c r="S534" i="1"/>
  <c r="T534" i="1" s="1"/>
  <c r="S533" i="1" l="1"/>
  <c r="T533" i="1" s="1"/>
  <c r="R532" i="1"/>
  <c r="S532" i="1" l="1"/>
  <c r="T532" i="1" s="1"/>
  <c r="R531" i="1"/>
  <c r="S531" i="1" l="1"/>
  <c r="T531" i="1" s="1"/>
  <c r="R530" i="1"/>
  <c r="R529" i="1" l="1"/>
  <c r="S530" i="1"/>
  <c r="T530" i="1" s="1"/>
  <c r="R528" i="1" l="1"/>
  <c r="S529" i="1"/>
  <c r="T529" i="1" s="1"/>
  <c r="R527" i="1" l="1"/>
  <c r="S528" i="1"/>
  <c r="T528" i="1" s="1"/>
  <c r="S527" i="1" l="1"/>
  <c r="T527" i="1" s="1"/>
  <c r="R526" i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S522" i="1" l="1"/>
  <c r="T522" i="1" s="1"/>
  <c r="R521" i="1"/>
  <c r="S521" i="1" l="1"/>
  <c r="T521" i="1" s="1"/>
  <c r="R520" i="1"/>
  <c r="R519" i="1" l="1"/>
  <c r="S520" i="1"/>
  <c r="T520" i="1" s="1"/>
  <c r="R518" i="1" l="1"/>
  <c r="S519" i="1"/>
  <c r="T519" i="1" s="1"/>
  <c r="R517" i="1" l="1"/>
  <c r="S518" i="1"/>
  <c r="T518" i="1" s="1"/>
  <c r="S517" i="1" l="1"/>
  <c r="T517" i="1" s="1"/>
  <c r="R516" i="1"/>
  <c r="S516" i="1" l="1"/>
  <c r="T516" i="1" s="1"/>
  <c r="R515" i="1"/>
  <c r="S515" i="1" l="1"/>
  <c r="T515" i="1" s="1"/>
  <c r="R514" i="1"/>
  <c r="R513" i="1" l="1"/>
  <c r="S514" i="1"/>
  <c r="T514" i="1" s="1"/>
  <c r="S513" i="1" l="1"/>
  <c r="T513" i="1" s="1"/>
  <c r="R512" i="1"/>
  <c r="S512" i="1" l="1"/>
  <c r="T512" i="1" s="1"/>
  <c r="R511" i="1"/>
  <c r="S511" i="1" l="1"/>
  <c r="T511" i="1" s="1"/>
  <c r="R510" i="1"/>
  <c r="R509" i="1" l="1"/>
  <c r="S510" i="1"/>
  <c r="T510" i="1" s="1"/>
  <c r="R508" i="1" l="1"/>
  <c r="S509" i="1"/>
  <c r="T509" i="1" s="1"/>
  <c r="R507" i="1" l="1"/>
  <c r="S508" i="1"/>
  <c r="T508" i="1" s="1"/>
  <c r="S507" i="1" l="1"/>
  <c r="T507" i="1" s="1"/>
  <c r="R506" i="1"/>
  <c r="S506" i="1" l="1"/>
  <c r="T506" i="1" s="1"/>
  <c r="R505" i="1"/>
  <c r="R504" i="1" l="1"/>
  <c r="S505" i="1"/>
  <c r="T505" i="1" s="1"/>
  <c r="S504" i="1" l="1"/>
  <c r="T504" i="1" s="1"/>
  <c r="R503" i="1"/>
  <c r="R502" i="1" l="1"/>
  <c r="S503" i="1"/>
  <c r="T503" i="1" s="1"/>
  <c r="S502" i="1" l="1"/>
  <c r="T502" i="1" s="1"/>
  <c r="R501" i="1"/>
  <c r="R500" i="1" l="1"/>
  <c r="S501" i="1"/>
  <c r="T501" i="1" s="1"/>
  <c r="S500" i="1" l="1"/>
  <c r="T500" i="1" s="1"/>
  <c r="R499" i="1"/>
  <c r="R498" i="1" l="1"/>
  <c r="S499" i="1"/>
  <c r="T499" i="1" s="1"/>
  <c r="S498" i="1" l="1"/>
  <c r="T498" i="1" s="1"/>
  <c r="R497" i="1"/>
  <c r="S497" i="1" l="1"/>
  <c r="T497" i="1" s="1"/>
  <c r="R496" i="1"/>
  <c r="R495" i="1" l="1"/>
  <c r="S496" i="1"/>
  <c r="T496" i="1" s="1"/>
  <c r="R494" i="1" l="1"/>
  <c r="S495" i="1"/>
  <c r="T495" i="1" s="1"/>
  <c r="R493" i="1" l="1"/>
  <c r="S494" i="1"/>
  <c r="T494" i="1" s="1"/>
  <c r="S493" i="1" l="1"/>
  <c r="T493" i="1" s="1"/>
  <c r="R492" i="1"/>
  <c r="S492" i="1" l="1"/>
  <c r="T492" i="1" s="1"/>
  <c r="R491" i="1"/>
  <c r="R490" i="1" l="1"/>
  <c r="S491" i="1"/>
  <c r="T491" i="1" s="1"/>
  <c r="R489" i="1" l="1"/>
  <c r="S490" i="1"/>
  <c r="T490" i="1" s="1"/>
  <c r="R488" i="1" l="1"/>
  <c r="S489" i="1"/>
  <c r="T489" i="1" s="1"/>
  <c r="S488" i="1" l="1"/>
  <c r="T488" i="1" s="1"/>
  <c r="R487" i="1"/>
  <c r="S487" i="1" l="1"/>
  <c r="T487" i="1" s="1"/>
  <c r="R486" i="1"/>
  <c r="S486" i="1" l="1"/>
  <c r="T486" i="1" s="1"/>
  <c r="R485" i="1"/>
  <c r="R484" i="1" l="1"/>
  <c r="S485" i="1"/>
  <c r="T485" i="1" s="1"/>
  <c r="S484" i="1" l="1"/>
  <c r="T484" i="1" s="1"/>
  <c r="R483" i="1"/>
  <c r="S483" i="1" l="1"/>
  <c r="T483" i="1" s="1"/>
  <c r="R482" i="1"/>
  <c r="S482" i="1" l="1"/>
  <c r="T482" i="1" s="1"/>
  <c r="R481" i="1"/>
  <c r="R480" i="1" l="1"/>
  <c r="S481" i="1"/>
  <c r="T481" i="1" s="1"/>
  <c r="S480" i="1" l="1"/>
  <c r="T480" i="1" s="1"/>
  <c r="R479" i="1"/>
  <c r="R478" i="1" l="1"/>
  <c r="S479" i="1"/>
  <c r="T479" i="1" s="1"/>
  <c r="S478" i="1" l="1"/>
  <c r="T478" i="1" s="1"/>
  <c r="R477" i="1"/>
  <c r="R476" i="1" l="1"/>
  <c r="S477" i="1"/>
  <c r="T477" i="1" s="1"/>
  <c r="S476" i="1" l="1"/>
  <c r="T476" i="1" s="1"/>
  <c r="R475" i="1"/>
  <c r="S475" i="1" l="1"/>
  <c r="T475" i="1" s="1"/>
  <c r="R474" i="1"/>
  <c r="S474" i="1" l="1"/>
  <c r="T474" i="1" s="1"/>
  <c r="R473" i="1"/>
  <c r="S473" i="1" l="1"/>
  <c r="T473" i="1" s="1"/>
  <c r="R472" i="1"/>
  <c r="S472" i="1" l="1"/>
  <c r="T472" i="1" s="1"/>
  <c r="R471" i="1"/>
  <c r="S471" i="1" l="1"/>
  <c r="T471" i="1" s="1"/>
  <c r="R470" i="1"/>
  <c r="R469" i="1" l="1"/>
  <c r="S470" i="1"/>
  <c r="T470" i="1" s="1"/>
  <c r="S469" i="1" l="1"/>
  <c r="T469" i="1" s="1"/>
  <c r="R468" i="1"/>
  <c r="R467" i="1" l="1"/>
  <c r="S468" i="1"/>
  <c r="T468" i="1" s="1"/>
  <c r="S467" i="1" l="1"/>
  <c r="T467" i="1" s="1"/>
  <c r="R466" i="1"/>
  <c r="R465" i="1" l="1"/>
  <c r="S466" i="1"/>
  <c r="T466" i="1" s="1"/>
  <c r="S465" i="1" l="1"/>
  <c r="T465" i="1" s="1"/>
  <c r="R464" i="1"/>
  <c r="S464" i="1" l="1"/>
  <c r="T464" i="1" s="1"/>
  <c r="R463" i="1"/>
  <c r="S463" i="1" l="1"/>
  <c r="T463" i="1" s="1"/>
  <c r="R462" i="1"/>
  <c r="S462" i="1" l="1"/>
  <c r="T462" i="1" s="1"/>
  <c r="R461" i="1"/>
  <c r="S461" i="1" l="1"/>
  <c r="T461" i="1" s="1"/>
  <c r="R460" i="1"/>
  <c r="R459" i="1" l="1"/>
  <c r="S460" i="1"/>
  <c r="T460" i="1" s="1"/>
  <c r="S459" i="1" l="1"/>
  <c r="T459" i="1" s="1"/>
  <c r="R458" i="1"/>
  <c r="R457" i="1" l="1"/>
  <c r="S458" i="1"/>
  <c r="T458" i="1" s="1"/>
  <c r="S457" i="1" l="1"/>
  <c r="T457" i="1" s="1"/>
  <c r="R456" i="1"/>
  <c r="S456" i="1" l="1"/>
  <c r="T456" i="1" s="1"/>
  <c r="R455" i="1"/>
  <c r="S455" i="1" l="1"/>
  <c r="T455" i="1" s="1"/>
  <c r="R454" i="1"/>
  <c r="S454" i="1" l="1"/>
  <c r="T454" i="1" s="1"/>
  <c r="R453" i="1"/>
  <c r="S453" i="1" l="1"/>
  <c r="T453" i="1" s="1"/>
  <c r="R452" i="1"/>
  <c r="S452" i="1" l="1"/>
  <c r="T452" i="1" s="1"/>
  <c r="R451" i="1"/>
  <c r="R450" i="1" l="1"/>
  <c r="S451" i="1"/>
  <c r="T451" i="1" s="1"/>
  <c r="R449" i="1" l="1"/>
  <c r="S450" i="1"/>
  <c r="T450" i="1" s="1"/>
  <c r="R448" i="1" l="1"/>
  <c r="S449" i="1"/>
  <c r="T449" i="1" s="1"/>
  <c r="S448" i="1" l="1"/>
  <c r="T448" i="1" s="1"/>
  <c r="R447" i="1"/>
  <c r="S447" i="1" l="1"/>
  <c r="T447" i="1" s="1"/>
  <c r="R446" i="1"/>
  <c r="S446" i="1" l="1"/>
  <c r="T446" i="1" s="1"/>
  <c r="R445" i="1"/>
  <c r="R444" i="1" l="1"/>
  <c r="S445" i="1"/>
  <c r="T445" i="1" s="1"/>
  <c r="S444" i="1" l="1"/>
  <c r="T444" i="1" s="1"/>
  <c r="R443" i="1"/>
  <c r="R442" i="1" l="1"/>
  <c r="S443" i="1"/>
  <c r="T443" i="1" s="1"/>
  <c r="S442" i="1" l="1"/>
  <c r="T442" i="1" s="1"/>
  <c r="R441" i="1"/>
  <c r="S441" i="1" l="1"/>
  <c r="T441" i="1" s="1"/>
  <c r="R440" i="1"/>
  <c r="S440" i="1" l="1"/>
  <c r="T440" i="1" s="1"/>
  <c r="R439" i="1"/>
  <c r="R438" i="1" l="1"/>
  <c r="S439" i="1"/>
  <c r="T439" i="1" s="1"/>
  <c r="R437" i="1" l="1"/>
  <c r="S438" i="1"/>
  <c r="T438" i="1" s="1"/>
  <c r="R436" i="1" l="1"/>
  <c r="S437" i="1"/>
  <c r="T437" i="1" s="1"/>
  <c r="S436" i="1" l="1"/>
  <c r="T436" i="1" s="1"/>
  <c r="R435" i="1"/>
  <c r="S435" i="1" l="1"/>
  <c r="T435" i="1" s="1"/>
  <c r="R434" i="1"/>
  <c r="S434" i="1" l="1"/>
  <c r="T434" i="1" s="1"/>
  <c r="R433" i="1"/>
  <c r="S433" i="1" l="1"/>
  <c r="T433" i="1" s="1"/>
  <c r="R432" i="1"/>
  <c r="S432" i="1" l="1"/>
  <c r="T432" i="1" s="1"/>
  <c r="R431" i="1"/>
  <c r="R430" i="1" l="1"/>
  <c r="S431" i="1"/>
  <c r="T431" i="1" s="1"/>
  <c r="R429" i="1" l="1"/>
  <c r="S430" i="1"/>
  <c r="T430" i="1" s="1"/>
  <c r="R428" i="1" l="1"/>
  <c r="S429" i="1"/>
  <c r="T429" i="1" s="1"/>
  <c r="S428" i="1" l="1"/>
  <c r="T428" i="1" s="1"/>
  <c r="R427" i="1"/>
  <c r="S427" i="1" l="1"/>
  <c r="T427" i="1" s="1"/>
  <c r="R426" i="1"/>
  <c r="R425" i="1" l="1"/>
  <c r="S426" i="1"/>
  <c r="T426" i="1" s="1"/>
  <c r="S425" i="1" l="1"/>
  <c r="T425" i="1" s="1"/>
  <c r="R424" i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S415" i="1" l="1"/>
  <c r="T415" i="1" s="1"/>
  <c r="R414" i="1"/>
  <c r="R413" i="1" l="1"/>
  <c r="S414" i="1"/>
  <c r="T414" i="1" s="1"/>
  <c r="S413" i="1" l="1"/>
  <c r="T413" i="1" s="1"/>
  <c r="R412" i="1"/>
  <c r="R411" i="1" l="1"/>
  <c r="S412" i="1"/>
  <c r="T412" i="1" s="1"/>
  <c r="R410" i="1" l="1"/>
  <c r="S411" i="1"/>
  <c r="T411" i="1" s="1"/>
  <c r="R409" i="1" l="1"/>
  <c r="S410" i="1"/>
  <c r="T410" i="1" s="1"/>
  <c r="S409" i="1" l="1"/>
  <c r="T409" i="1" s="1"/>
  <c r="R408" i="1"/>
  <c r="S408" i="1" l="1"/>
  <c r="T408" i="1" s="1"/>
  <c r="R407" i="1"/>
  <c r="R406" i="1" l="1"/>
  <c r="S407" i="1"/>
  <c r="T407" i="1" s="1"/>
  <c r="R405" i="1" l="1"/>
  <c r="S406" i="1"/>
  <c r="T406" i="1" s="1"/>
  <c r="S405" i="1" l="1"/>
  <c r="T405" i="1" s="1"/>
  <c r="R404" i="1"/>
  <c r="R403" i="1" l="1"/>
  <c r="S404" i="1"/>
  <c r="T404" i="1" s="1"/>
  <c r="R402" i="1" l="1"/>
  <c r="S403" i="1"/>
  <c r="T403" i="1" s="1"/>
  <c r="R401" i="1" l="1"/>
  <c r="S402" i="1"/>
  <c r="T402" i="1" s="1"/>
  <c r="S401" i="1" l="1"/>
  <c r="T401" i="1" s="1"/>
  <c r="R400" i="1"/>
  <c r="S400" i="1" l="1"/>
  <c r="T400" i="1" s="1"/>
  <c r="R399" i="1"/>
  <c r="R398" i="1" l="1"/>
  <c r="S399" i="1"/>
  <c r="T399" i="1" s="1"/>
  <c r="S398" i="1" l="1"/>
  <c r="T398" i="1" s="1"/>
  <c r="R397" i="1"/>
  <c r="R396" i="1" l="1"/>
  <c r="S397" i="1"/>
  <c r="T397" i="1" s="1"/>
  <c r="R395" i="1" l="1"/>
  <c r="S396" i="1"/>
  <c r="T396" i="1" s="1"/>
  <c r="S395" i="1" l="1"/>
  <c r="T395" i="1" s="1"/>
  <c r="R394" i="1"/>
  <c r="S394" i="1" l="1"/>
  <c r="T394" i="1" s="1"/>
  <c r="R393" i="1"/>
  <c r="S393" i="1" l="1"/>
  <c r="T393" i="1" s="1"/>
  <c r="R392" i="1"/>
  <c r="R391" i="1" l="1"/>
  <c r="S392" i="1"/>
  <c r="T392" i="1" s="1"/>
  <c r="R390" i="1" l="1"/>
  <c r="S391" i="1"/>
  <c r="T391" i="1" s="1"/>
  <c r="R389" i="1" l="1"/>
  <c r="S390" i="1"/>
  <c r="T390" i="1" s="1"/>
  <c r="S389" i="1" l="1"/>
  <c r="T389" i="1" s="1"/>
  <c r="R388" i="1"/>
  <c r="S388" i="1" l="1"/>
  <c r="T388" i="1" s="1"/>
  <c r="R387" i="1"/>
  <c r="S387" i="1" l="1"/>
  <c r="T387" i="1" s="1"/>
  <c r="R386" i="1"/>
  <c r="S386" i="1" l="1"/>
  <c r="T386" i="1" s="1"/>
  <c r="R385" i="1"/>
  <c r="S385" i="1" l="1"/>
  <c r="T385" i="1" s="1"/>
  <c r="R384" i="1"/>
  <c r="R383" i="1" l="1"/>
  <c r="S384" i="1"/>
  <c r="T384" i="1" s="1"/>
  <c r="S383" i="1" l="1"/>
  <c r="T383" i="1" s="1"/>
  <c r="R382" i="1"/>
  <c r="S382" i="1" l="1"/>
  <c r="T382" i="1" s="1"/>
  <c r="R381" i="1"/>
  <c r="S381" i="1" l="1"/>
  <c r="T381" i="1" s="1"/>
  <c r="R380" i="1"/>
  <c r="R379" i="1" l="1"/>
  <c r="S380" i="1"/>
  <c r="T380" i="1" s="1"/>
  <c r="S379" i="1" l="1"/>
  <c r="T379" i="1" s="1"/>
  <c r="R378" i="1"/>
  <c r="S378" i="1" l="1"/>
  <c r="T378" i="1" s="1"/>
  <c r="R377" i="1"/>
  <c r="S377" i="1" l="1"/>
  <c r="T377" i="1" s="1"/>
  <c r="R376" i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S372" i="1" l="1"/>
  <c r="T372" i="1" s="1"/>
  <c r="R371" i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S364" i="1" l="1"/>
  <c r="T364" i="1" s="1"/>
  <c r="R363" i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S340" i="1" l="1"/>
  <c r="T340" i="1" s="1"/>
  <c r="R339" i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S324" i="1" l="1"/>
  <c r="T324" i="1" s="1"/>
  <c r="R323" i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S316" i="1" l="1"/>
  <c r="T316" i="1" s="1"/>
  <c r="R315" i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S308" i="1" l="1"/>
  <c r="T308" i="1" s="1"/>
  <c r="R307" i="1"/>
  <c r="S307" i="1" l="1"/>
  <c r="T307" i="1" s="1"/>
  <c r="R306" i="1"/>
  <c r="S306" i="1" l="1"/>
  <c r="T306" i="1" s="1"/>
  <c r="R305" i="1"/>
  <c r="R304" i="1" l="1"/>
  <c r="S305" i="1"/>
  <c r="T305" i="1" s="1"/>
  <c r="R303" i="1" l="1"/>
  <c r="S304" i="1"/>
  <c r="T304" i="1" s="1"/>
  <c r="R302" i="1" l="1"/>
  <c r="S303" i="1"/>
  <c r="T303" i="1" s="1"/>
  <c r="S302" i="1" l="1"/>
  <c r="T302" i="1" s="1"/>
  <c r="R301" i="1"/>
  <c r="R300" i="1" l="1"/>
  <c r="S301" i="1"/>
  <c r="T301" i="1" s="1"/>
  <c r="S300" i="1" l="1"/>
  <c r="T300" i="1" s="1"/>
  <c r="R299" i="1"/>
  <c r="R298" i="1" l="1"/>
  <c r="S299" i="1"/>
  <c r="T299" i="1" s="1"/>
  <c r="S298" i="1" l="1"/>
  <c r="T298" i="1" s="1"/>
  <c r="R297" i="1"/>
  <c r="S297" i="1" l="1"/>
  <c r="T297" i="1" s="1"/>
  <c r="R296" i="1"/>
  <c r="S296" i="1" l="1"/>
  <c r="T296" i="1" s="1"/>
  <c r="R295" i="1"/>
  <c r="S295" i="1" l="1"/>
  <c r="T295" i="1" s="1"/>
  <c r="R294" i="1"/>
  <c r="R293" i="1" l="1"/>
  <c r="S294" i="1"/>
  <c r="T294" i="1" s="1"/>
  <c r="S293" i="1" l="1"/>
  <c r="T293" i="1" s="1"/>
  <c r="R292" i="1"/>
  <c r="S292" i="1" l="1"/>
  <c r="T292" i="1" s="1"/>
  <c r="R291" i="1"/>
  <c r="S291" i="1" l="1"/>
  <c r="T291" i="1" s="1"/>
  <c r="R290" i="1"/>
  <c r="R289" i="1" l="1"/>
  <c r="S290" i="1"/>
  <c r="T290" i="1" s="1"/>
  <c r="S289" i="1" l="1"/>
  <c r="T289" i="1" s="1"/>
  <c r="R288" i="1"/>
  <c r="S288" i="1" l="1"/>
  <c r="T288" i="1" s="1"/>
  <c r="R287" i="1"/>
  <c r="S287" i="1" l="1"/>
  <c r="T287" i="1" s="1"/>
  <c r="R286" i="1"/>
  <c r="R285" i="1" l="1"/>
  <c r="S286" i="1"/>
  <c r="T286" i="1" s="1"/>
  <c r="S285" i="1" l="1"/>
  <c r="T285" i="1" s="1"/>
  <c r="R284" i="1"/>
  <c r="R283" i="1" l="1"/>
  <c r="S284" i="1"/>
  <c r="T284" i="1" s="1"/>
  <c r="S283" i="1" l="1"/>
  <c r="T283" i="1" s="1"/>
  <c r="R282" i="1"/>
  <c r="R281" i="1" l="1"/>
  <c r="S282" i="1"/>
  <c r="T282" i="1" s="1"/>
  <c r="S281" i="1" l="1"/>
  <c r="T281" i="1" s="1"/>
  <c r="R280" i="1"/>
  <c r="R279" i="1" l="1"/>
  <c r="S280" i="1"/>
  <c r="T280" i="1" s="1"/>
  <c r="S279" i="1" l="1"/>
  <c r="T279" i="1" s="1"/>
  <c r="R278" i="1"/>
  <c r="R277" i="1" l="1"/>
  <c r="S278" i="1"/>
  <c r="T278" i="1" s="1"/>
  <c r="S277" i="1" l="1"/>
  <c r="T277" i="1" s="1"/>
  <c r="R276" i="1"/>
  <c r="S276" i="1" l="1"/>
  <c r="T276" i="1" s="1"/>
  <c r="R275" i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S271" i="1" l="1"/>
  <c r="T271" i="1" s="1"/>
  <c r="R270" i="1"/>
  <c r="R269" i="1" l="1"/>
  <c r="S270" i="1"/>
  <c r="T270" i="1" s="1"/>
  <c r="S269" i="1" l="1"/>
  <c r="T269" i="1" s="1"/>
  <c r="R268" i="1"/>
  <c r="R267" i="1" l="1"/>
  <c r="S268" i="1"/>
  <c r="T268" i="1" s="1"/>
  <c r="R266" i="1" l="1"/>
  <c r="S267" i="1"/>
  <c r="T267" i="1" s="1"/>
  <c r="R265" i="1" l="1"/>
  <c r="S266" i="1"/>
  <c r="T266" i="1" s="1"/>
  <c r="S265" i="1" l="1"/>
  <c r="T265" i="1" s="1"/>
  <c r="R264" i="1"/>
  <c r="S264" i="1" l="1"/>
  <c r="T264" i="1" s="1"/>
  <c r="R263" i="1"/>
  <c r="S263" i="1" l="1"/>
  <c r="T263" i="1" s="1"/>
  <c r="R262" i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S258" i="1" l="1"/>
  <c r="T258" i="1" s="1"/>
  <c r="R257" i="1"/>
  <c r="S257" i="1" l="1"/>
  <c r="T257" i="1" s="1"/>
  <c r="R256" i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S250" i="1" l="1"/>
  <c r="T250" i="1" s="1"/>
  <c r="R249" i="1"/>
  <c r="S249" i="1" l="1"/>
  <c r="T249" i="1" s="1"/>
  <c r="R248" i="1"/>
  <c r="S248" i="1" l="1"/>
  <c r="T248" i="1" s="1"/>
  <c r="R247" i="1"/>
  <c r="R246" i="1" l="1"/>
  <c r="S247" i="1"/>
  <c r="T247" i="1" s="1"/>
  <c r="S246" i="1" l="1"/>
  <c r="T246" i="1" s="1"/>
  <c r="R245" i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S241" i="1" l="1"/>
  <c r="T241" i="1" s="1"/>
  <c r="R240" i="1"/>
  <c r="S240" i="1" l="1"/>
  <c r="T240" i="1" s="1"/>
  <c r="R239" i="1"/>
  <c r="S239" i="1" l="1"/>
  <c r="T239" i="1" s="1"/>
  <c r="R238" i="1"/>
  <c r="R237" i="1" l="1"/>
  <c r="S238" i="1"/>
  <c r="T238" i="1" s="1"/>
  <c r="S237" i="1" l="1"/>
  <c r="T237" i="1" s="1"/>
  <c r="R236" i="1"/>
  <c r="R235" i="1" l="1"/>
  <c r="S236" i="1"/>
  <c r="T236" i="1" s="1"/>
  <c r="S235" i="1" l="1"/>
  <c r="T235" i="1" s="1"/>
  <c r="R234" i="1"/>
  <c r="S234" i="1" l="1"/>
  <c r="T234" i="1" s="1"/>
  <c r="R233" i="1"/>
  <c r="S233" i="1" l="1"/>
  <c r="T233" i="1" s="1"/>
  <c r="R232" i="1"/>
  <c r="R231" i="1" l="1"/>
  <c r="S232" i="1"/>
  <c r="T232" i="1" s="1"/>
  <c r="S231" i="1" l="1"/>
  <c r="T231" i="1" s="1"/>
  <c r="R230" i="1"/>
  <c r="R229" i="1" l="1"/>
  <c r="S230" i="1"/>
  <c r="T230" i="1" s="1"/>
  <c r="S229" i="1" l="1"/>
  <c r="T229" i="1" s="1"/>
  <c r="R228" i="1"/>
  <c r="S228" i="1" l="1"/>
  <c r="T228" i="1" s="1"/>
  <c r="R227" i="1"/>
  <c r="S227" i="1" l="1"/>
  <c r="T227" i="1" s="1"/>
  <c r="R226" i="1"/>
  <c r="R225" i="1" l="1"/>
  <c r="S226" i="1"/>
  <c r="T226" i="1" s="1"/>
  <c r="R224" i="1" l="1"/>
  <c r="S225" i="1"/>
  <c r="T225" i="1" s="1"/>
  <c r="S224" i="1" l="1"/>
  <c r="T224" i="1" s="1"/>
  <c r="R223" i="1"/>
  <c r="R222" i="1" l="1"/>
  <c r="S223" i="1"/>
  <c r="T223" i="1" s="1"/>
  <c r="S222" i="1" l="1"/>
  <c r="T222" i="1" s="1"/>
  <c r="R221" i="1"/>
  <c r="R220" i="1" l="1"/>
  <c r="S221" i="1"/>
  <c r="T221" i="1" s="1"/>
  <c r="R219" i="1" l="1"/>
  <c r="S220" i="1"/>
  <c r="T220" i="1" s="1"/>
  <c r="R218" i="1" l="1"/>
  <c r="S219" i="1"/>
  <c r="T219" i="1" s="1"/>
  <c r="S218" i="1" l="1"/>
  <c r="T218" i="1" s="1"/>
  <c r="R217" i="1"/>
  <c r="S217" i="1" l="1"/>
  <c r="T217" i="1" s="1"/>
  <c r="R216" i="1"/>
  <c r="S216" i="1" l="1"/>
  <c r="T216" i="1" s="1"/>
  <c r="R215" i="1"/>
  <c r="R214" i="1" l="1"/>
  <c r="S215" i="1"/>
  <c r="T215" i="1" s="1"/>
  <c r="R213" i="1" l="1"/>
  <c r="S214" i="1"/>
  <c r="T214" i="1" s="1"/>
  <c r="S213" i="1" l="1"/>
  <c r="T213" i="1" s="1"/>
  <c r="R212" i="1"/>
  <c r="S212" i="1" l="1"/>
  <c r="T212" i="1" s="1"/>
  <c r="R211" i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S207" i="1" l="1"/>
  <c r="T207" i="1" s="1"/>
  <c r="R206" i="1"/>
  <c r="S206" i="1" l="1"/>
  <c r="T206" i="1" s="1"/>
  <c r="R205" i="1"/>
  <c r="S205" i="1" l="1"/>
  <c r="T205" i="1" s="1"/>
  <c r="R204" i="1"/>
  <c r="R203" i="1" l="1"/>
  <c r="S204" i="1"/>
  <c r="T204" i="1" s="1"/>
  <c r="R202" i="1" l="1"/>
  <c r="S203" i="1"/>
  <c r="T203" i="1" s="1"/>
  <c r="R201" i="1" l="1"/>
  <c r="S202" i="1"/>
  <c r="T202" i="1" s="1"/>
  <c r="S201" i="1" l="1"/>
  <c r="T201" i="1" s="1"/>
  <c r="R200" i="1"/>
  <c r="S200" i="1" l="1"/>
  <c r="T200" i="1" s="1"/>
  <c r="R199" i="1"/>
  <c r="R198" i="1" l="1"/>
  <c r="S199" i="1"/>
  <c r="T199" i="1" s="1"/>
  <c r="S198" i="1" l="1"/>
  <c r="T198" i="1" s="1"/>
  <c r="R197" i="1"/>
  <c r="R196" i="1" l="1"/>
  <c r="S197" i="1"/>
  <c r="T197" i="1" s="1"/>
  <c r="S196" i="1" l="1"/>
  <c r="T196" i="1" s="1"/>
  <c r="R195" i="1"/>
  <c r="S195" i="1" l="1"/>
  <c r="T195" i="1" s="1"/>
  <c r="R194" i="1"/>
  <c r="R193" i="1" l="1"/>
  <c r="S194" i="1"/>
  <c r="T194" i="1" s="1"/>
  <c r="S193" i="1" l="1"/>
  <c r="T193" i="1" s="1"/>
  <c r="R192" i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S187" i="1" l="1"/>
  <c r="T187" i="1" s="1"/>
  <c r="R186" i="1"/>
  <c r="S186" i="1" l="1"/>
  <c r="T186" i="1" s="1"/>
  <c r="R185" i="1"/>
  <c r="S185" i="1" l="1"/>
  <c r="T185" i="1" s="1"/>
  <c r="R184" i="1"/>
  <c r="S184" i="1" l="1"/>
  <c r="T184" i="1" s="1"/>
  <c r="R183" i="1"/>
  <c r="S183" i="1" l="1"/>
  <c r="T183" i="1" s="1"/>
  <c r="R182" i="1"/>
  <c r="R181" i="1" l="1"/>
  <c r="S182" i="1"/>
  <c r="T182" i="1" s="1"/>
  <c r="R180" i="1" l="1"/>
  <c r="S181" i="1"/>
  <c r="T181" i="1" s="1"/>
  <c r="R179" i="1" l="1"/>
  <c r="S180" i="1"/>
  <c r="T180" i="1" s="1"/>
  <c r="S179" i="1" l="1"/>
  <c r="T179" i="1" s="1"/>
  <c r="R178" i="1"/>
  <c r="S178" i="1" l="1"/>
  <c r="T178" i="1" s="1"/>
  <c r="R177" i="1"/>
  <c r="S177" i="1" l="1"/>
  <c r="T177" i="1" s="1"/>
  <c r="R176" i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S171" i="1" l="1"/>
  <c r="T171" i="1" s="1"/>
  <c r="R170" i="1"/>
  <c r="R169" i="1" l="1"/>
  <c r="S170" i="1"/>
  <c r="T170" i="1" s="1"/>
  <c r="R168" i="1" l="1"/>
  <c r="S169" i="1"/>
  <c r="T169" i="1" s="1"/>
  <c r="R167" i="1" l="1"/>
  <c r="S168" i="1"/>
  <c r="T168" i="1" s="1"/>
  <c r="S167" i="1" l="1"/>
  <c r="T167" i="1" s="1"/>
  <c r="R166" i="1"/>
  <c r="S166" i="1" l="1"/>
  <c r="T166" i="1" s="1"/>
  <c r="R165" i="1"/>
  <c r="S165" i="1" l="1"/>
  <c r="T165" i="1" s="1"/>
  <c r="R164" i="1"/>
  <c r="R163" i="1" l="1"/>
  <c r="S164" i="1"/>
  <c r="T164" i="1" s="1"/>
  <c r="R162" i="1" l="1"/>
  <c r="S163" i="1"/>
  <c r="T163" i="1" s="1"/>
  <c r="R161" i="1" l="1"/>
  <c r="S162" i="1"/>
  <c r="T162" i="1" s="1"/>
  <c r="S161" i="1" l="1"/>
  <c r="T161" i="1" s="1"/>
  <c r="R160" i="1"/>
  <c r="S160" i="1" l="1"/>
  <c r="T160" i="1" s="1"/>
  <c r="R159" i="1"/>
  <c r="R158" i="1" l="1"/>
  <c r="S159" i="1"/>
  <c r="T159" i="1" s="1"/>
  <c r="R157" i="1" l="1"/>
  <c r="S158" i="1"/>
  <c r="T158" i="1" s="1"/>
  <c r="R156" i="1" l="1"/>
  <c r="S157" i="1"/>
  <c r="T157" i="1" s="1"/>
  <c r="S156" i="1" l="1"/>
  <c r="T156" i="1" s="1"/>
  <c r="R155" i="1"/>
  <c r="S155" i="1" l="1"/>
  <c r="T155" i="1" s="1"/>
  <c r="R154" i="1"/>
  <c r="S154" i="1" l="1"/>
  <c r="T154" i="1" s="1"/>
  <c r="R153" i="1"/>
  <c r="R152" i="1" l="1"/>
  <c r="S153" i="1"/>
  <c r="T153" i="1" s="1"/>
  <c r="S152" i="1" l="1"/>
  <c r="T152" i="1" s="1"/>
  <c r="R151" i="1"/>
  <c r="R150" i="1" l="1"/>
  <c r="S151" i="1"/>
  <c r="T151" i="1" s="1"/>
  <c r="S150" i="1" l="1"/>
  <c r="T150" i="1" s="1"/>
  <c r="R149" i="1"/>
  <c r="R148" i="1" l="1"/>
  <c r="S149" i="1"/>
  <c r="T149" i="1" s="1"/>
  <c r="S148" i="1" l="1"/>
  <c r="T148" i="1" s="1"/>
  <c r="R147" i="1"/>
  <c r="S147" i="1" l="1"/>
  <c r="T147" i="1" s="1"/>
  <c r="R146" i="1"/>
  <c r="S146" i="1" l="1"/>
  <c r="T146" i="1" s="1"/>
  <c r="R145" i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S140" i="1" l="1"/>
  <c r="T140" i="1" s="1"/>
  <c r="R139" i="1"/>
  <c r="R138" i="1" l="1"/>
  <c r="S139" i="1"/>
  <c r="T139" i="1" s="1"/>
  <c r="S138" i="1" l="1"/>
  <c r="T138" i="1" s="1"/>
  <c r="R137" i="1"/>
  <c r="R136" i="1" l="1"/>
  <c r="S137" i="1"/>
  <c r="T137" i="1" s="1"/>
  <c r="R135" i="1" l="1"/>
  <c r="S136" i="1"/>
  <c r="T136" i="1" s="1"/>
  <c r="R134" i="1" l="1"/>
  <c r="S135" i="1"/>
  <c r="T135" i="1" s="1"/>
  <c r="S134" i="1" l="1"/>
  <c r="T134" i="1" s="1"/>
  <c r="R133" i="1"/>
  <c r="S133" i="1" l="1"/>
  <c r="T133" i="1" s="1"/>
  <c r="R132" i="1"/>
  <c r="R131" i="1" l="1"/>
  <c r="S132" i="1"/>
  <c r="T132" i="1" s="1"/>
  <c r="S131" i="1" l="1"/>
  <c r="T131" i="1" s="1"/>
  <c r="R130" i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S126" i="1" l="1"/>
  <c r="T126" i="1" s="1"/>
  <c r="R125" i="1"/>
  <c r="S125" i="1" l="1"/>
  <c r="T125" i="1" s="1"/>
  <c r="R124" i="1"/>
  <c r="R123" i="1" l="1"/>
  <c r="S124" i="1"/>
  <c r="T124" i="1" s="1"/>
  <c r="R122" i="1" l="1"/>
  <c r="S123" i="1"/>
  <c r="T123" i="1" s="1"/>
  <c r="R121" i="1" l="1"/>
  <c r="S122" i="1"/>
  <c r="T122" i="1" s="1"/>
  <c r="S121" i="1" l="1"/>
  <c r="T121" i="1" s="1"/>
  <c r="R120" i="1"/>
  <c r="S120" i="1" l="1"/>
  <c r="T120" i="1" s="1"/>
  <c r="R119" i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S114" i="1" l="1"/>
  <c r="T114" i="1" s="1"/>
  <c r="R113" i="1"/>
  <c r="S113" i="1" l="1"/>
  <c r="T113" i="1" s="1"/>
  <c r="R112" i="1"/>
  <c r="R111" i="1" l="1"/>
  <c r="S112" i="1"/>
  <c r="T112" i="1" s="1"/>
  <c r="R110" i="1" l="1"/>
  <c r="S111" i="1"/>
  <c r="T111" i="1" s="1"/>
  <c r="R109" i="1" l="1"/>
  <c r="S110" i="1"/>
  <c r="T110" i="1" s="1"/>
  <c r="S109" i="1" l="1"/>
  <c r="T109" i="1" s="1"/>
  <c r="R108" i="1"/>
  <c r="S108" i="1" l="1"/>
  <c r="T108" i="1" s="1"/>
  <c r="R107" i="1"/>
  <c r="R106" i="1" l="1"/>
  <c r="S107" i="1"/>
  <c r="T107" i="1" s="1"/>
  <c r="S106" i="1" l="1"/>
  <c r="T106" i="1" s="1"/>
  <c r="R105" i="1"/>
  <c r="R104" i="1" l="1"/>
  <c r="S105" i="1"/>
  <c r="T105" i="1" s="1"/>
  <c r="R103" i="1" l="1"/>
  <c r="S104" i="1"/>
  <c r="T104" i="1" s="1"/>
  <c r="R102" i="1" l="1"/>
  <c r="S103" i="1"/>
  <c r="T103" i="1" s="1"/>
  <c r="S102" i="1" l="1"/>
  <c r="T102" i="1" s="1"/>
  <c r="R101" i="1"/>
  <c r="S101" i="1" l="1"/>
  <c r="T101" i="1" s="1"/>
  <c r="R100" i="1"/>
  <c r="S100" i="1" l="1"/>
  <c r="T100" i="1" s="1"/>
  <c r="R99" i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S94" i="1" l="1"/>
  <c r="T94" i="1" s="1"/>
  <c r="R93" i="1"/>
  <c r="S93" i="1" l="1"/>
  <c r="T93" i="1" s="1"/>
  <c r="R92" i="1"/>
  <c r="S92" i="1" l="1"/>
  <c r="T92" i="1" s="1"/>
  <c r="R91" i="1"/>
  <c r="S91" i="1" l="1"/>
  <c r="T91" i="1" s="1"/>
  <c r="R90" i="1"/>
  <c r="R89" i="1" l="1"/>
  <c r="S90" i="1"/>
  <c r="T90" i="1" s="1"/>
  <c r="R88" i="1" l="1"/>
  <c r="S89" i="1"/>
  <c r="T89" i="1" s="1"/>
  <c r="S88" i="1" l="1"/>
  <c r="T88" i="1" s="1"/>
  <c r="R87" i="1"/>
  <c r="R86" i="1" l="1"/>
  <c r="S87" i="1"/>
  <c r="T87" i="1" s="1"/>
  <c r="R85" i="1" l="1"/>
  <c r="S86" i="1"/>
  <c r="T86" i="1" s="1"/>
  <c r="R84" i="1" l="1"/>
  <c r="S85" i="1"/>
  <c r="T85" i="1" s="1"/>
  <c r="S84" i="1" l="1"/>
  <c r="T84" i="1" s="1"/>
  <c r="R83" i="1"/>
  <c r="S83" i="1" l="1"/>
  <c r="T83" i="1" s="1"/>
  <c r="R82" i="1"/>
  <c r="S82" i="1" l="1"/>
  <c r="T82" i="1" s="1"/>
  <c r="R81" i="1"/>
  <c r="R80" i="1" l="1"/>
  <c r="S81" i="1"/>
  <c r="T81" i="1" s="1"/>
  <c r="R79" i="1" l="1"/>
  <c r="S80" i="1"/>
  <c r="T80" i="1" s="1"/>
  <c r="R78" i="1" l="1"/>
  <c r="S79" i="1"/>
  <c r="T79" i="1" s="1"/>
  <c r="S78" i="1" l="1"/>
  <c r="T78" i="1" s="1"/>
  <c r="R77" i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R69" i="1" l="1"/>
  <c r="S70" i="1"/>
  <c r="T70" i="1" s="1"/>
  <c r="R68" i="1" l="1"/>
  <c r="S69" i="1"/>
  <c r="T69" i="1" s="1"/>
  <c r="R67" i="1" l="1"/>
  <c r="S68" i="1"/>
  <c r="T68" i="1" s="1"/>
  <c r="S67" i="1" l="1"/>
  <c r="T67" i="1" s="1"/>
  <c r="R66" i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S62" i="1" l="1"/>
  <c r="T62" i="1" s="1"/>
  <c r="R61" i="1"/>
  <c r="S61" i="1" l="1"/>
  <c r="T61" i="1" s="1"/>
  <c r="R60" i="1"/>
  <c r="R59" i="1" l="1"/>
  <c r="S60" i="1"/>
  <c r="T60" i="1" s="1"/>
  <c r="R58" i="1" l="1"/>
  <c r="S59" i="1"/>
  <c r="T59" i="1" s="1"/>
  <c r="R57" i="1" l="1"/>
  <c r="S58" i="1"/>
  <c r="T58" i="1" s="1"/>
  <c r="S57" i="1" l="1"/>
  <c r="T57" i="1" s="1"/>
  <c r="R56" i="1"/>
  <c r="S56" i="1" l="1"/>
  <c r="T56" i="1" s="1"/>
  <c r="R55" i="1"/>
  <c r="S55" i="1" l="1"/>
  <c r="T55" i="1" s="1"/>
  <c r="R54" i="1"/>
  <c r="R53" i="1" l="1"/>
  <c r="S54" i="1"/>
  <c r="T54" i="1" s="1"/>
  <c r="R52" i="1" l="1"/>
  <c r="S53" i="1"/>
  <c r="T53" i="1" s="1"/>
  <c r="R51" i="1" l="1"/>
  <c r="S52" i="1"/>
  <c r="T52" i="1" s="1"/>
  <c r="S51" i="1" l="1"/>
  <c r="T51" i="1" s="1"/>
  <c r="R50" i="1"/>
  <c r="R49" i="1" l="1"/>
  <c r="S50" i="1"/>
  <c r="T50" i="1" s="1"/>
  <c r="S49" i="1" l="1"/>
  <c r="T49" i="1" s="1"/>
  <c r="R48" i="1"/>
  <c r="R47" i="1" l="1"/>
  <c r="S48" i="1"/>
  <c r="T48" i="1" s="1"/>
  <c r="S47" i="1" l="1"/>
  <c r="T47" i="1" s="1"/>
  <c r="R46" i="1"/>
  <c r="S46" i="1" l="1"/>
  <c r="T46" i="1" s="1"/>
  <c r="R45" i="1"/>
  <c r="S45" i="1" l="1"/>
  <c r="T45" i="1" s="1"/>
  <c r="R44" i="1"/>
  <c r="R43" i="1" l="1"/>
  <c r="S44" i="1"/>
  <c r="T44" i="1" s="1"/>
  <c r="S43" i="1" l="1"/>
  <c r="T43" i="1" s="1"/>
  <c r="R42" i="1"/>
  <c r="R41" i="1" l="1"/>
  <c r="S42" i="1"/>
  <c r="T42" i="1" s="1"/>
  <c r="S41" i="1" l="1"/>
  <c r="T41" i="1" s="1"/>
  <c r="R40" i="1"/>
  <c r="R39" i="1" l="1"/>
  <c r="S40" i="1"/>
  <c r="T40" i="1" s="1"/>
  <c r="S39" i="1" l="1"/>
  <c r="T39" i="1" s="1"/>
  <c r="R38" i="1"/>
  <c r="S38" i="1" l="1"/>
  <c r="T38" i="1" s="1"/>
  <c r="R37" i="1"/>
  <c r="R36" i="1" l="1"/>
  <c r="S37" i="1"/>
  <c r="T37" i="1" s="1"/>
  <c r="S36" i="1" l="1"/>
  <c r="T36" i="1" s="1"/>
  <c r="R35" i="1"/>
  <c r="R34" i="1" l="1"/>
  <c r="S35" i="1"/>
  <c r="T35" i="1" s="1"/>
  <c r="S34" i="1" l="1"/>
  <c r="T34" i="1" s="1"/>
  <c r="R33" i="1"/>
  <c r="S33" i="1" l="1"/>
  <c r="T33" i="1" s="1"/>
  <c r="R32" i="1"/>
  <c r="R31" i="1" l="1"/>
  <c r="S32" i="1"/>
  <c r="T32" i="1" s="1"/>
  <c r="R30" i="1" l="1"/>
  <c r="S31" i="1"/>
  <c r="T31" i="1" s="1"/>
  <c r="R29" i="1" l="1"/>
  <c r="S30" i="1"/>
  <c r="T30" i="1" s="1"/>
  <c r="S29" i="1" l="1"/>
  <c r="T29" i="1" s="1"/>
  <c r="R28" i="1"/>
  <c r="R27" i="1" l="1"/>
  <c r="S28" i="1"/>
  <c r="T28" i="1" s="1"/>
  <c r="S27" i="1" l="1"/>
  <c r="T27" i="1" s="1"/>
  <c r="R26" i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<sst xmlns="http://schemas.openxmlformats.org/spreadsheetml/2006/main" count="2361" uniqueCount="34">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</sst>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9.5399999999999999E-3</c:v>
                </c:pt>
                <c:pt idx="1">
                  <c:v>9.7800000000000005E-3</c:v>
                </c:pt>
                <c:pt idx="2">
                  <c:v>9.7199999999999995E-3</c:v>
                </c:pt>
                <c:pt idx="3">
                  <c:v>9.3399999999999993E-3</c:v>
                </c:pt>
                <c:pt idx="4">
                  <c:v>9.6900000000000007E-3</c:v>
                </c:pt>
                <c:pt idx="5">
                  <c:v>9.3500000000000007E-3</c:v>
                </c:pt>
                <c:pt idx="6">
                  <c:v>1.0019999999999999E-2</c:v>
                </c:pt>
                <c:pt idx="7">
                  <c:v>1.234E-2</c:v>
                </c:pt>
                <c:pt idx="8">
                  <c:v>1.2670000000000001E-2</c:v>
                </c:pt>
                <c:pt idx="9">
                  <c:v>1.3220000000000001E-2</c:v>
                </c:pt>
                <c:pt idx="10">
                  <c:v>1.3140000000000001E-2</c:v>
                </c:pt>
                <c:pt idx="11">
                  <c:v>1.396E-2</c:v>
                </c:pt>
                <c:pt idx="12">
                  <c:v>1.388E-2</c:v>
                </c:pt>
                <c:pt idx="13">
                  <c:v>1.389E-2</c:v>
                </c:pt>
                <c:pt idx="14">
                  <c:v>1.3769999999999999E-2</c:v>
                </c:pt>
                <c:pt idx="15">
                  <c:v>1.4749999999999999E-2</c:v>
                </c:pt>
                <c:pt idx="16">
                  <c:v>1.3860000000000001E-2</c:v>
                </c:pt>
                <c:pt idx="17">
                  <c:v>1.312E-2</c:v>
                </c:pt>
                <c:pt idx="18">
                  <c:v>1.4030000000000001E-2</c:v>
                </c:pt>
                <c:pt idx="19">
                  <c:v>1.392E-2</c:v>
                </c:pt>
                <c:pt idx="20">
                  <c:v>1.4540000000000001E-2</c:v>
                </c:pt>
                <c:pt idx="21">
                  <c:v>1.576E-2</c:v>
                </c:pt>
                <c:pt idx="22">
                  <c:v>1.601E-2</c:v>
                </c:pt>
                <c:pt idx="23">
                  <c:v>1.721E-2</c:v>
                </c:pt>
                <c:pt idx="24">
                  <c:v>1.7309999999999999E-2</c:v>
                </c:pt>
                <c:pt idx="25">
                  <c:v>1.7670000000000002E-2</c:v>
                </c:pt>
                <c:pt idx="26">
                  <c:v>1.7749999999999998E-2</c:v>
                </c:pt>
                <c:pt idx="27">
                  <c:v>1.703E-2</c:v>
                </c:pt>
                <c:pt idx="28">
                  <c:v>1.711E-2</c:v>
                </c:pt>
                <c:pt idx="29">
                  <c:v>1.6910000000000001E-2</c:v>
                </c:pt>
                <c:pt idx="30">
                  <c:v>1.7600000000000001E-2</c:v>
                </c:pt>
                <c:pt idx="31">
                  <c:v>1.908E-2</c:v>
                </c:pt>
                <c:pt idx="32">
                  <c:v>1.9369999999999998E-2</c:v>
                </c:pt>
                <c:pt idx="33">
                  <c:v>1.8380000000000001E-2</c:v>
                </c:pt>
                <c:pt idx="34">
                  <c:v>1.7979999999999999E-2</c:v>
                </c:pt>
                <c:pt idx="35">
                  <c:v>1.8429999999999998E-2</c:v>
                </c:pt>
                <c:pt idx="36">
                  <c:v>1.7239999999999998E-2</c:v>
                </c:pt>
                <c:pt idx="37">
                  <c:v>1.7350000000000001E-2</c:v>
                </c:pt>
                <c:pt idx="38">
                  <c:v>1.6639999999999999E-2</c:v>
                </c:pt>
                <c:pt idx="39">
                  <c:v>1.6740000000000001E-2</c:v>
                </c:pt>
                <c:pt idx="40">
                  <c:v>1.6969999999999999E-2</c:v>
                </c:pt>
                <c:pt idx="41">
                  <c:v>1.6379999999999999E-2</c:v>
                </c:pt>
                <c:pt idx="42">
                  <c:v>1.746E-2</c:v>
                </c:pt>
                <c:pt idx="43">
                  <c:v>1.7729999999999999E-2</c:v>
                </c:pt>
                <c:pt idx="44">
                  <c:v>1.7469999999999999E-2</c:v>
                </c:pt>
                <c:pt idx="45">
                  <c:v>1.712E-2</c:v>
                </c:pt>
                <c:pt idx="46">
                  <c:v>1.8749999999999999E-2</c:v>
                </c:pt>
                <c:pt idx="47">
                  <c:v>1.7950000000000001E-2</c:v>
                </c:pt>
                <c:pt idx="48">
                  <c:v>1.7670000000000002E-2</c:v>
                </c:pt>
                <c:pt idx="49">
                  <c:v>1.813E-2</c:v>
                </c:pt>
                <c:pt idx="50">
                  <c:v>1.983E-2</c:v>
                </c:pt>
                <c:pt idx="51">
                  <c:v>1.9769999999999999E-2</c:v>
                </c:pt>
                <c:pt idx="52">
                  <c:v>1.9869999999999999E-2</c:v>
                </c:pt>
                <c:pt idx="53">
                  <c:v>1.9820000000000001E-2</c:v>
                </c:pt>
                <c:pt idx="54">
                  <c:v>1.9369999999999998E-2</c:v>
                </c:pt>
                <c:pt idx="55">
                  <c:v>2.2710000000000001E-2</c:v>
                </c:pt>
                <c:pt idx="56">
                  <c:v>2.4039999999999999E-2</c:v>
                </c:pt>
                <c:pt idx="57">
                  <c:v>2.3140000000000001E-2</c:v>
                </c:pt>
                <c:pt idx="58">
                  <c:v>2.367E-2</c:v>
                </c:pt>
                <c:pt idx="59">
                  <c:v>2.3820000000000001E-2</c:v>
                </c:pt>
                <c:pt idx="60">
                  <c:v>2.4049999999999998E-2</c:v>
                </c:pt>
                <c:pt idx="61">
                  <c:v>2.359E-2</c:v>
                </c:pt>
                <c:pt idx="62">
                  <c:v>2.2960000000000001E-2</c:v>
                </c:pt>
                <c:pt idx="63">
                  <c:v>2.5270000000000001E-2</c:v>
                </c:pt>
                <c:pt idx="64">
                  <c:v>2.4459999999999999E-2</c:v>
                </c:pt>
                <c:pt idx="65">
                  <c:v>2.5420000000000002E-2</c:v>
                </c:pt>
                <c:pt idx="66">
                  <c:v>2.5520000000000001E-2</c:v>
                </c:pt>
                <c:pt idx="67">
                  <c:v>2.7189999999999999E-2</c:v>
                </c:pt>
                <c:pt idx="68">
                  <c:v>2.8240000000000001E-2</c:v>
                </c:pt>
                <c:pt idx="69">
                  <c:v>2.647E-2</c:v>
                </c:pt>
                <c:pt idx="70">
                  <c:v>2.5049999999999999E-2</c:v>
                </c:pt>
                <c:pt idx="71">
                  <c:v>2.9780000000000001E-2</c:v>
                </c:pt>
                <c:pt idx="72">
                  <c:v>2.6450000000000001E-2</c:v>
                </c:pt>
                <c:pt idx="73">
                  <c:v>2.8979999999999999E-2</c:v>
                </c:pt>
                <c:pt idx="74">
                  <c:v>3.0120000000000001E-2</c:v>
                </c:pt>
                <c:pt idx="75">
                  <c:v>3.2190000000000003E-2</c:v>
                </c:pt>
                <c:pt idx="76">
                  <c:v>3.4959999999999998E-2</c:v>
                </c:pt>
                <c:pt idx="77">
                  <c:v>2.9950000000000001E-2</c:v>
                </c:pt>
                <c:pt idx="78">
                  <c:v>2.9190000000000001E-2</c:v>
                </c:pt>
                <c:pt idx="79">
                  <c:v>2.605E-2</c:v>
                </c:pt>
                <c:pt idx="80">
                  <c:v>2.4670000000000001E-2</c:v>
                </c:pt>
                <c:pt idx="81">
                  <c:v>2.419E-2</c:v>
                </c:pt>
                <c:pt idx="82">
                  <c:v>2.3699999999999999E-2</c:v>
                </c:pt>
                <c:pt idx="83">
                  <c:v>2.3259999999999999E-2</c:v>
                </c:pt>
                <c:pt idx="84">
                  <c:v>2.3519999999999999E-2</c:v>
                </c:pt>
                <c:pt idx="85">
                  <c:v>2.46E-2</c:v>
                </c:pt>
                <c:pt idx="86">
                  <c:v>2.4899999999999999E-2</c:v>
                </c:pt>
                <c:pt idx="87">
                  <c:v>2.3869999999999999E-2</c:v>
                </c:pt>
                <c:pt idx="88">
                  <c:v>2.4209999999999999E-2</c:v>
                </c:pt>
                <c:pt idx="89">
                  <c:v>2.2280000000000001E-2</c:v>
                </c:pt>
                <c:pt idx="90">
                  <c:v>2.2599999999999999E-2</c:v>
                </c:pt>
                <c:pt idx="91">
                  <c:v>2.23E-2</c:v>
                </c:pt>
                <c:pt idx="92">
                  <c:v>2.0740000000000001E-2</c:v>
                </c:pt>
                <c:pt idx="93">
                  <c:v>2.266E-2</c:v>
                </c:pt>
                <c:pt idx="94">
                  <c:v>2.3539999999999998E-2</c:v>
                </c:pt>
                <c:pt idx="95">
                  <c:v>2.2839999999999999E-2</c:v>
                </c:pt>
                <c:pt idx="96">
                  <c:v>2.4240000000000001E-2</c:v>
                </c:pt>
                <c:pt idx="97">
                  <c:v>2.4129999999999999E-2</c:v>
                </c:pt>
                <c:pt idx="98">
                  <c:v>2.3910000000000001E-2</c:v>
                </c:pt>
                <c:pt idx="99">
                  <c:v>2.554E-2</c:v>
                </c:pt>
                <c:pt idx="100">
                  <c:v>2.3720000000000001E-2</c:v>
                </c:pt>
                <c:pt idx="101">
                  <c:v>2.3769999999999999E-2</c:v>
                </c:pt>
                <c:pt idx="102">
                  <c:v>2.4150000000000001E-2</c:v>
                </c:pt>
                <c:pt idx="103">
                  <c:v>2.469E-2</c:v>
                </c:pt>
                <c:pt idx="104">
                  <c:v>2.5270000000000001E-2</c:v>
                </c:pt>
                <c:pt idx="105">
                  <c:v>2.4459999999999999E-2</c:v>
                </c:pt>
                <c:pt idx="106">
                  <c:v>2.3650000000000001E-2</c:v>
                </c:pt>
                <c:pt idx="107">
                  <c:v>2.3189999999999999E-2</c:v>
                </c:pt>
                <c:pt idx="108">
                  <c:v>2.402E-2</c:v>
                </c:pt>
                <c:pt idx="109">
                  <c:v>2.4400000000000002E-2</c:v>
                </c:pt>
                <c:pt idx="110">
                  <c:v>2.5579999999999999E-2</c:v>
                </c:pt>
                <c:pt idx="111">
                  <c:v>2.4039999999999999E-2</c:v>
                </c:pt>
                <c:pt idx="112">
                  <c:v>2.24E-2</c:v>
                </c:pt>
                <c:pt idx="113">
                  <c:v>2.2749999999999999E-2</c:v>
                </c:pt>
                <c:pt idx="114">
                  <c:v>2.2509999999999999E-2</c:v>
                </c:pt>
                <c:pt idx="115">
                  <c:v>2.2599999999999999E-2</c:v>
                </c:pt>
                <c:pt idx="116">
                  <c:v>2.1839999999999998E-2</c:v>
                </c:pt>
                <c:pt idx="117">
                  <c:v>2.1479999999999999E-2</c:v>
                </c:pt>
                <c:pt idx="118">
                  <c:v>2.1569999999999999E-2</c:v>
                </c:pt>
                <c:pt idx="119">
                  <c:v>1.9599999999999999E-2</c:v>
                </c:pt>
                <c:pt idx="120">
                  <c:v>1.8429999999999998E-2</c:v>
                </c:pt>
                <c:pt idx="121">
                  <c:v>1.822E-2</c:v>
                </c:pt>
                <c:pt idx="122">
                  <c:v>1.8839999999999999E-2</c:v>
                </c:pt>
                <c:pt idx="123">
                  <c:v>1.9990000000000001E-2</c:v>
                </c:pt>
                <c:pt idx="124">
                  <c:v>1.942E-2</c:v>
                </c:pt>
                <c:pt idx="125">
                  <c:v>1.9900000000000001E-2</c:v>
                </c:pt>
                <c:pt idx="126">
                  <c:v>2.1600000000000001E-2</c:v>
                </c:pt>
                <c:pt idx="127">
                  <c:v>2.1270000000000001E-2</c:v>
                </c:pt>
                <c:pt idx="128">
                  <c:v>1.9300000000000001E-2</c:v>
                </c:pt>
                <c:pt idx="129">
                  <c:v>2.2929999999999999E-2</c:v>
                </c:pt>
                <c:pt idx="130">
                  <c:v>2.5139999999999999E-2</c:v>
                </c:pt>
                <c:pt idx="131">
                  <c:v>2.7060000000000001E-2</c:v>
                </c:pt>
                <c:pt idx="132">
                  <c:v>2.3390000000000001E-2</c:v>
                </c:pt>
                <c:pt idx="133">
                  <c:v>2.4E-2</c:v>
                </c:pt>
                <c:pt idx="134">
                  <c:v>2.4930000000000001E-2</c:v>
                </c:pt>
                <c:pt idx="135">
                  <c:v>2.392E-2</c:v>
                </c:pt>
                <c:pt idx="136">
                  <c:v>2.2960000000000001E-2</c:v>
                </c:pt>
                <c:pt idx="137">
                  <c:v>2.47E-2</c:v>
                </c:pt>
                <c:pt idx="138">
                  <c:v>2.402E-2</c:v>
                </c:pt>
                <c:pt idx="139">
                  <c:v>2.3900000000000001E-2</c:v>
                </c:pt>
                <c:pt idx="140">
                  <c:v>2.4760000000000001E-2</c:v>
                </c:pt>
                <c:pt idx="141">
                  <c:v>2.5409999999999999E-2</c:v>
                </c:pt>
                <c:pt idx="142">
                  <c:v>2.4760000000000001E-2</c:v>
                </c:pt>
                <c:pt idx="143">
                  <c:v>3.082E-2</c:v>
                </c:pt>
                <c:pt idx="144">
                  <c:v>3.1419999999999997E-2</c:v>
                </c:pt>
                <c:pt idx="145">
                  <c:v>2.9149999999999999E-2</c:v>
                </c:pt>
                <c:pt idx="146">
                  <c:v>2.8539999999999999E-2</c:v>
                </c:pt>
                <c:pt idx="147">
                  <c:v>2.8320000000000001E-2</c:v>
                </c:pt>
                <c:pt idx="148">
                  <c:v>2.896E-2</c:v>
                </c:pt>
                <c:pt idx="149">
                  <c:v>2.6630000000000001E-2</c:v>
                </c:pt>
                <c:pt idx="150">
                  <c:v>2.6190000000000001E-2</c:v>
                </c:pt>
                <c:pt idx="151">
                  <c:v>2.7900000000000001E-2</c:v>
                </c:pt>
                <c:pt idx="152">
                  <c:v>2.7490000000000001E-2</c:v>
                </c:pt>
                <c:pt idx="153">
                  <c:v>2.862E-2</c:v>
                </c:pt>
                <c:pt idx="154">
                  <c:v>2.6120000000000001E-2</c:v>
                </c:pt>
                <c:pt idx="155">
                  <c:v>2.9000000000000001E-2</c:v>
                </c:pt>
                <c:pt idx="156">
                  <c:v>2.775E-2</c:v>
                </c:pt>
                <c:pt idx="157">
                  <c:v>3.0429999999999999E-2</c:v>
                </c:pt>
                <c:pt idx="158">
                  <c:v>3.1800000000000002E-2</c:v>
                </c:pt>
                <c:pt idx="159">
                  <c:v>3.184E-2</c:v>
                </c:pt>
                <c:pt idx="160">
                  <c:v>3.3829999999999999E-2</c:v>
                </c:pt>
                <c:pt idx="161">
                  <c:v>3.4389999999999997E-2</c:v>
                </c:pt>
                <c:pt idx="162">
                  <c:v>3.2410000000000001E-2</c:v>
                </c:pt>
                <c:pt idx="163">
                  <c:v>3.1890000000000002E-2</c:v>
                </c:pt>
                <c:pt idx="164">
                  <c:v>3.5479999999999998E-2</c:v>
                </c:pt>
                <c:pt idx="165">
                  <c:v>3.4779999999999998E-2</c:v>
                </c:pt>
                <c:pt idx="166">
                  <c:v>3.4680000000000002E-2</c:v>
                </c:pt>
                <c:pt idx="167">
                  <c:v>3.2349999999999997E-2</c:v>
                </c:pt>
                <c:pt idx="168">
                  <c:v>2.911E-2</c:v>
                </c:pt>
                <c:pt idx="169">
                  <c:v>3.0300000000000001E-2</c:v>
                </c:pt>
                <c:pt idx="170">
                  <c:v>3.073E-2</c:v>
                </c:pt>
                <c:pt idx="171">
                  <c:v>2.7E-2</c:v>
                </c:pt>
                <c:pt idx="172">
                  <c:v>2.5080000000000002E-2</c:v>
                </c:pt>
                <c:pt idx="173">
                  <c:v>2.6450000000000001E-2</c:v>
                </c:pt>
                <c:pt idx="174">
                  <c:v>2.6370000000000001E-2</c:v>
                </c:pt>
                <c:pt idx="175">
                  <c:v>2.4479999999999998E-2</c:v>
                </c:pt>
                <c:pt idx="176">
                  <c:v>2.409E-2</c:v>
                </c:pt>
                <c:pt idx="177">
                  <c:v>2.2780000000000002E-2</c:v>
                </c:pt>
                <c:pt idx="178">
                  <c:v>2.358E-2</c:v>
                </c:pt>
                <c:pt idx="179">
                  <c:v>2.2960000000000001E-2</c:v>
                </c:pt>
                <c:pt idx="180">
                  <c:v>2.1729999999999999E-2</c:v>
                </c:pt>
                <c:pt idx="181">
                  <c:v>2.2380000000000001E-2</c:v>
                </c:pt>
                <c:pt idx="182">
                  <c:v>2.2270000000000002E-2</c:v>
                </c:pt>
                <c:pt idx="183">
                  <c:v>2.102E-2</c:v>
                </c:pt>
                <c:pt idx="184">
                  <c:v>2.0930000000000001E-2</c:v>
                </c:pt>
                <c:pt idx="185">
                  <c:v>2.044E-2</c:v>
                </c:pt>
                <c:pt idx="186">
                  <c:v>2.0389999999999998E-2</c:v>
                </c:pt>
                <c:pt idx="187">
                  <c:v>1.917E-2</c:v>
                </c:pt>
                <c:pt idx="188">
                  <c:v>1.865E-2</c:v>
                </c:pt>
                <c:pt idx="189">
                  <c:v>1.8249999999999999E-2</c:v>
                </c:pt>
                <c:pt idx="190">
                  <c:v>1.755E-2</c:v>
                </c:pt>
                <c:pt idx="191">
                  <c:v>1.6310000000000002E-2</c:v>
                </c:pt>
                <c:pt idx="192">
                  <c:v>1.7649999999999999E-2</c:v>
                </c:pt>
                <c:pt idx="193">
                  <c:v>1.8800000000000001E-2</c:v>
                </c:pt>
                <c:pt idx="194">
                  <c:v>1.8360000000000001E-2</c:v>
                </c:pt>
                <c:pt idx="195">
                  <c:v>1.8329999999999999E-2</c:v>
                </c:pt>
                <c:pt idx="196">
                  <c:v>2.0199999999999999E-2</c:v>
                </c:pt>
                <c:pt idx="197">
                  <c:v>1.9630000000000002E-2</c:v>
                </c:pt>
                <c:pt idx="198">
                  <c:v>1.975E-2</c:v>
                </c:pt>
                <c:pt idx="199">
                  <c:v>1.9970000000000002E-2</c:v>
                </c:pt>
                <c:pt idx="200">
                  <c:v>2.111E-2</c:v>
                </c:pt>
                <c:pt idx="201">
                  <c:v>2.0559999999999998E-2</c:v>
                </c:pt>
                <c:pt idx="202">
                  <c:v>2.0990000000000002E-2</c:v>
                </c:pt>
                <c:pt idx="203">
                  <c:v>2.0799999999999999E-2</c:v>
                </c:pt>
                <c:pt idx="204">
                  <c:v>2.2259999999999999E-2</c:v>
                </c:pt>
                <c:pt idx="205">
                  <c:v>2.2849999999999999E-2</c:v>
                </c:pt>
                <c:pt idx="206">
                  <c:v>2.2200000000000001E-2</c:v>
                </c:pt>
                <c:pt idx="207">
                  <c:v>2.358E-2</c:v>
                </c:pt>
                <c:pt idx="208">
                  <c:v>2.3619999999999999E-2</c:v>
                </c:pt>
                <c:pt idx="209">
                  <c:v>2.3099999999999999E-2</c:v>
                </c:pt>
                <c:pt idx="210">
                  <c:v>2.1700000000000001E-2</c:v>
                </c:pt>
                <c:pt idx="211">
                  <c:v>2.3050000000000001E-2</c:v>
                </c:pt>
                <c:pt idx="212">
                  <c:v>2.2859999999999998E-2</c:v>
                </c:pt>
                <c:pt idx="213">
                  <c:v>2.197E-2</c:v>
                </c:pt>
                <c:pt idx="214">
                  <c:v>2.1870000000000001E-2</c:v>
                </c:pt>
                <c:pt idx="215">
                  <c:v>2.0760000000000001E-2</c:v>
                </c:pt>
                <c:pt idx="216">
                  <c:v>2.0230000000000001E-2</c:v>
                </c:pt>
                <c:pt idx="217">
                  <c:v>2.2589999999999999E-2</c:v>
                </c:pt>
                <c:pt idx="218">
                  <c:v>2.1950000000000001E-2</c:v>
                </c:pt>
                <c:pt idx="219">
                  <c:v>2.095E-2</c:v>
                </c:pt>
                <c:pt idx="220">
                  <c:v>2.23E-2</c:v>
                </c:pt>
                <c:pt idx="221">
                  <c:v>2.751E-2</c:v>
                </c:pt>
                <c:pt idx="222">
                  <c:v>2.4230000000000002E-2</c:v>
                </c:pt>
                <c:pt idx="223">
                  <c:v>2.5239999999999999E-2</c:v>
                </c:pt>
                <c:pt idx="224">
                  <c:v>2.759E-2</c:v>
                </c:pt>
                <c:pt idx="225">
                  <c:v>2.8039999999999999E-2</c:v>
                </c:pt>
                <c:pt idx="226">
                  <c:v>2.8500000000000001E-2</c:v>
                </c:pt>
                <c:pt idx="227">
                  <c:v>2.9340000000000001E-2</c:v>
                </c:pt>
                <c:pt idx="228">
                  <c:v>0.03</c:v>
                </c:pt>
                <c:pt idx="229">
                  <c:v>2.5659999999999999E-2</c:v>
                </c:pt>
                <c:pt idx="230">
                  <c:v>2.7369999999999998E-2</c:v>
                </c:pt>
                <c:pt idx="231">
                  <c:v>2.9870000000000001E-2</c:v>
                </c:pt>
                <c:pt idx="232">
                  <c:v>3.075E-2</c:v>
                </c:pt>
                <c:pt idx="233">
                  <c:v>3.0110000000000001E-2</c:v>
                </c:pt>
                <c:pt idx="234">
                  <c:v>2.7210000000000002E-2</c:v>
                </c:pt>
                <c:pt idx="235">
                  <c:v>3.3140000000000003E-2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0C-4D7F-A375-DD0FF0813ED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-68.285367098267201</c:v>
                </c:pt>
                <c:pt idx="1">
                  <c:v>-68.266916381493004</c:v>
                </c:pt>
                <c:pt idx="2">
                  <c:v>-67.323830758442156</c:v>
                </c:pt>
                <c:pt idx="3">
                  <c:v>-68.137490792910242</c:v>
                </c:pt>
                <c:pt idx="4">
                  <c:v>-69.485329691214332</c:v>
                </c:pt>
                <c:pt idx="5">
                  <c:v>-69.681532807250377</c:v>
                </c:pt>
                <c:pt idx="6">
                  <c:v>-69.820240970927514</c:v>
                </c:pt>
                <c:pt idx="7">
                  <c:v>-67.318216912958761</c:v>
                </c:pt>
                <c:pt idx="8">
                  <c:v>-66.556680372882425</c:v>
                </c:pt>
                <c:pt idx="9">
                  <c:v>-66.001548837206755</c:v>
                </c:pt>
                <c:pt idx="10">
                  <c:v>-66.583819527641538</c:v>
                </c:pt>
                <c:pt idx="11">
                  <c:v>-65.954736247734999</c:v>
                </c:pt>
                <c:pt idx="12">
                  <c:v>-66.079587253832557</c:v>
                </c:pt>
                <c:pt idx="13">
                  <c:v>-65.960086363220327</c:v>
                </c:pt>
                <c:pt idx="14">
                  <c:v>-66.081729084272936</c:v>
                </c:pt>
                <c:pt idx="15">
                  <c:v>-64.566155971796761</c:v>
                </c:pt>
                <c:pt idx="16">
                  <c:v>-64.97315259745713</c:v>
                </c:pt>
                <c:pt idx="17">
                  <c:v>-65.766169990484656</c:v>
                </c:pt>
                <c:pt idx="18">
                  <c:v>-65.418632904198944</c:v>
                </c:pt>
                <c:pt idx="19">
                  <c:v>-66.07780954902654</c:v>
                </c:pt>
                <c:pt idx="20">
                  <c:v>-65.494816653836651</c:v>
                </c:pt>
                <c:pt idx="21">
                  <c:v>-64.053167838764196</c:v>
                </c:pt>
                <c:pt idx="22">
                  <c:v>-64.015903577025071</c:v>
                </c:pt>
                <c:pt idx="23">
                  <c:v>-63.278329995394301</c:v>
                </c:pt>
                <c:pt idx="24">
                  <c:v>-63.25311597768787</c:v>
                </c:pt>
                <c:pt idx="25">
                  <c:v>-62.043459258509785</c:v>
                </c:pt>
                <c:pt idx="26">
                  <c:v>-62.1049824776007</c:v>
                </c:pt>
                <c:pt idx="27">
                  <c:v>-62.416039032749211</c:v>
                </c:pt>
                <c:pt idx="28">
                  <c:v>-61.894549738650859</c:v>
                </c:pt>
                <c:pt idx="29">
                  <c:v>-61.948207301860734</c:v>
                </c:pt>
                <c:pt idx="30">
                  <c:v>-61.13779485757501</c:v>
                </c:pt>
                <c:pt idx="31">
                  <c:v>-59.673941483972527</c:v>
                </c:pt>
                <c:pt idx="32">
                  <c:v>-58.423352626604107</c:v>
                </c:pt>
                <c:pt idx="33">
                  <c:v>-59.188511807535782</c:v>
                </c:pt>
                <c:pt idx="34">
                  <c:v>-59.563461499202454</c:v>
                </c:pt>
                <c:pt idx="35">
                  <c:v>-58.790785904542254</c:v>
                </c:pt>
                <c:pt idx="36">
                  <c:v>-59.413143541113683</c:v>
                </c:pt>
                <c:pt idx="37">
                  <c:v>-58.365060218982521</c:v>
                </c:pt>
                <c:pt idx="38">
                  <c:v>-58.882356253693267</c:v>
                </c:pt>
                <c:pt idx="39">
                  <c:v>-59.466092979154254</c:v>
                </c:pt>
                <c:pt idx="40">
                  <c:v>-59.175767252095426</c:v>
                </c:pt>
                <c:pt idx="41">
                  <c:v>-59.821928532710807</c:v>
                </c:pt>
                <c:pt idx="42">
                  <c:v>-58.898118085342389</c:v>
                </c:pt>
                <c:pt idx="43">
                  <c:v>-58.647017027342386</c:v>
                </c:pt>
                <c:pt idx="44">
                  <c:v>-59.454346513139484</c:v>
                </c:pt>
                <c:pt idx="45">
                  <c:v>-59.401955428290997</c:v>
                </c:pt>
                <c:pt idx="46">
                  <c:v>-58.640185068465676</c:v>
                </c:pt>
                <c:pt idx="47">
                  <c:v>-58.769276106763542</c:v>
                </c:pt>
                <c:pt idx="48">
                  <c:v>-58.840205994945364</c:v>
                </c:pt>
                <c:pt idx="49">
                  <c:v>-57.671293348746545</c:v>
                </c:pt>
                <c:pt idx="50">
                  <c:v>-56.106293659774572</c:v>
                </c:pt>
                <c:pt idx="51">
                  <c:v>-56.827742815463189</c:v>
                </c:pt>
                <c:pt idx="52">
                  <c:v>-55.99368822920151</c:v>
                </c:pt>
                <c:pt idx="53">
                  <c:v>-57.351077012140571</c:v>
                </c:pt>
                <c:pt idx="54">
                  <c:v>-58.156113078807238</c:v>
                </c:pt>
                <c:pt idx="55">
                  <c:v>-57.812395884345698</c:v>
                </c:pt>
                <c:pt idx="56">
                  <c:v>-55.666886613234595</c:v>
                </c:pt>
                <c:pt idx="57">
                  <c:v>-56.10442274638477</c:v>
                </c:pt>
                <c:pt idx="58">
                  <c:v>-55.416469002310698</c:v>
                </c:pt>
                <c:pt idx="59">
                  <c:v>-55.757195742310692</c:v>
                </c:pt>
                <c:pt idx="60">
                  <c:v>-54.935656974103793</c:v>
                </c:pt>
                <c:pt idx="61">
                  <c:v>-56.139918500770449</c:v>
                </c:pt>
                <c:pt idx="62">
                  <c:v>-55.636062885357603</c:v>
                </c:pt>
                <c:pt idx="63">
                  <c:v>-54.286367564730824</c:v>
                </c:pt>
                <c:pt idx="64">
                  <c:v>-55.724990060057934</c:v>
                </c:pt>
                <c:pt idx="65">
                  <c:v>-55.285694787644147</c:v>
                </c:pt>
                <c:pt idx="66">
                  <c:v>-55.490682549656732</c:v>
                </c:pt>
                <c:pt idx="67">
                  <c:v>-53.76224257998232</c:v>
                </c:pt>
                <c:pt idx="68">
                  <c:v>-51.599636782933146</c:v>
                </c:pt>
                <c:pt idx="69">
                  <c:v>-53.431274490519357</c:v>
                </c:pt>
                <c:pt idx="70">
                  <c:v>-54.263755533246623</c:v>
                </c:pt>
                <c:pt idx="71">
                  <c:v>-51.18590620498432</c:v>
                </c:pt>
                <c:pt idx="72">
                  <c:v>-55.180999526127174</c:v>
                </c:pt>
                <c:pt idx="73">
                  <c:v>-53.022387303727179</c:v>
                </c:pt>
                <c:pt idx="74">
                  <c:v>-50.266583314363018</c:v>
                </c:pt>
                <c:pt idx="75">
                  <c:v>-48.044075532753034</c:v>
                </c:pt>
                <c:pt idx="76">
                  <c:v>-45.890642505325758</c:v>
                </c:pt>
                <c:pt idx="77">
                  <c:v>-52.573163132419538</c:v>
                </c:pt>
                <c:pt idx="78">
                  <c:v>-49.434152238604518</c:v>
                </c:pt>
                <c:pt idx="79">
                  <c:v>-47.84991783635099</c:v>
                </c:pt>
                <c:pt idx="80">
                  <c:v>-49.968515318371203</c:v>
                </c:pt>
                <c:pt idx="81">
                  <c:v>-51.4195373611619</c:v>
                </c:pt>
                <c:pt idx="82">
                  <c:v>-52.190720231161897</c:v>
                </c:pt>
                <c:pt idx="83">
                  <c:v>-52.824293687452219</c:v>
                </c:pt>
                <c:pt idx="84">
                  <c:v>-52.423380286697501</c:v>
                </c:pt>
                <c:pt idx="85">
                  <c:v>-51.336779349697508</c:v>
                </c:pt>
                <c:pt idx="86">
                  <c:v>-51.515920340606591</c:v>
                </c:pt>
                <c:pt idx="87">
                  <c:v>-52.636672892398501</c:v>
                </c:pt>
                <c:pt idx="88">
                  <c:v>-52.749997963584939</c:v>
                </c:pt>
                <c:pt idx="89">
                  <c:v>-53.863633982037321</c:v>
                </c:pt>
                <c:pt idx="90">
                  <c:v>-52.19740688003732</c:v>
                </c:pt>
                <c:pt idx="91">
                  <c:v>-52.350487026275843</c:v>
                </c:pt>
                <c:pt idx="92">
                  <c:v>-53.84884992305696</c:v>
                </c:pt>
                <c:pt idx="93">
                  <c:v>-52.637418509109594</c:v>
                </c:pt>
                <c:pt idx="94">
                  <c:v>-50.798951556950499</c:v>
                </c:pt>
                <c:pt idx="95">
                  <c:v>-51.289656585950496</c:v>
                </c:pt>
                <c:pt idx="96">
                  <c:v>-49.628284327427771</c:v>
                </c:pt>
                <c:pt idx="97">
                  <c:v>-48.929236562427768</c:v>
                </c:pt>
                <c:pt idx="98">
                  <c:v>-48.372790320427761</c:v>
                </c:pt>
                <c:pt idx="99">
                  <c:v>-46.738396066055671</c:v>
                </c:pt>
                <c:pt idx="100">
                  <c:v>-48.187430689846288</c:v>
                </c:pt>
                <c:pt idx="101">
                  <c:v>-47.55954643651296</c:v>
                </c:pt>
                <c:pt idx="102">
                  <c:v>-45.799998012828745</c:v>
                </c:pt>
                <c:pt idx="103">
                  <c:v>-45.923251120773948</c:v>
                </c:pt>
                <c:pt idx="104">
                  <c:v>-44.535032444740885</c:v>
                </c:pt>
                <c:pt idx="105">
                  <c:v>-45.440315918729326</c:v>
                </c:pt>
                <c:pt idx="106">
                  <c:v>-45.440315918729326</c:v>
                </c:pt>
                <c:pt idx="107">
                  <c:v>-47.075600953132998</c:v>
                </c:pt>
                <c:pt idx="108">
                  <c:v>-47.094868901721242</c:v>
                </c:pt>
                <c:pt idx="109">
                  <c:v>-46.189416640416887</c:v>
                </c:pt>
                <c:pt idx="110">
                  <c:v>-43.499578328665059</c:v>
                </c:pt>
                <c:pt idx="111">
                  <c:v>-41.768428831369022</c:v>
                </c:pt>
                <c:pt idx="112">
                  <c:v>-42.875278039772375</c:v>
                </c:pt>
                <c:pt idx="113">
                  <c:v>-41.645877771626687</c:v>
                </c:pt>
                <c:pt idx="114">
                  <c:v>-41.188399413275036</c:v>
                </c:pt>
                <c:pt idx="115">
                  <c:v>-39.606916614341699</c:v>
                </c:pt>
                <c:pt idx="116">
                  <c:v>-40.737757595737051</c:v>
                </c:pt>
                <c:pt idx="117">
                  <c:v>-40.476673355737056</c:v>
                </c:pt>
                <c:pt idx="118">
                  <c:v>-40.188129712052842</c:v>
                </c:pt>
                <c:pt idx="119">
                  <c:v>-42.004892775467475</c:v>
                </c:pt>
                <c:pt idx="120">
                  <c:v>-43.294543376161919</c:v>
                </c:pt>
                <c:pt idx="121">
                  <c:v>-42.804612672661911</c:v>
                </c:pt>
                <c:pt idx="122">
                  <c:v>-41.862425221172558</c:v>
                </c:pt>
                <c:pt idx="123">
                  <c:v>-40.489055662095623</c:v>
                </c:pt>
                <c:pt idx="124">
                  <c:v>-41.349032548107026</c:v>
                </c:pt>
                <c:pt idx="125">
                  <c:v>-40.634395990792733</c:v>
                </c:pt>
                <c:pt idx="126">
                  <c:v>-40.387426774792743</c:v>
                </c:pt>
                <c:pt idx="127">
                  <c:v>-40.757435550792742</c:v>
                </c:pt>
                <c:pt idx="128">
                  <c:v>-42.582802381262539</c:v>
                </c:pt>
                <c:pt idx="129">
                  <c:v>-40.588933216008307</c:v>
                </c:pt>
                <c:pt idx="130">
                  <c:v>-38.988671844844667</c:v>
                </c:pt>
                <c:pt idx="131">
                  <c:v>-28.558968411679611</c:v>
                </c:pt>
                <c:pt idx="132">
                  <c:v>-26.371634097617118</c:v>
                </c:pt>
                <c:pt idx="133">
                  <c:v>-25.597386806673725</c:v>
                </c:pt>
                <c:pt idx="134">
                  <c:v>-25.031503654646702</c:v>
                </c:pt>
                <c:pt idx="135">
                  <c:v>-26.424699717677004</c:v>
                </c:pt>
                <c:pt idx="136">
                  <c:v>-28.17385045678499</c:v>
                </c:pt>
                <c:pt idx="137">
                  <c:v>-27.482325330314403</c:v>
                </c:pt>
                <c:pt idx="138">
                  <c:v>-27.642231181083634</c:v>
                </c:pt>
                <c:pt idx="139">
                  <c:v>-26.936534644241526</c:v>
                </c:pt>
                <c:pt idx="140">
                  <c:v>-26.268318504855021</c:v>
                </c:pt>
                <c:pt idx="141">
                  <c:v>-24.876944322390564</c:v>
                </c:pt>
                <c:pt idx="142">
                  <c:v>-26.18096227213217</c:v>
                </c:pt>
                <c:pt idx="143">
                  <c:v>-20.355321899743089</c:v>
                </c:pt>
                <c:pt idx="144">
                  <c:v>-19.825143190519789</c:v>
                </c:pt>
                <c:pt idx="145">
                  <c:v>-21.478980158950009</c:v>
                </c:pt>
                <c:pt idx="146">
                  <c:v>-21.551906458950004</c:v>
                </c:pt>
                <c:pt idx="147">
                  <c:v>-22.238709588260349</c:v>
                </c:pt>
                <c:pt idx="148">
                  <c:v>-21.203296907875743</c:v>
                </c:pt>
                <c:pt idx="149">
                  <c:v>-23.667138275742406</c:v>
                </c:pt>
                <c:pt idx="150">
                  <c:v>-23.811513561284581</c:v>
                </c:pt>
                <c:pt idx="151">
                  <c:v>-22.047313737038007</c:v>
                </c:pt>
                <c:pt idx="152">
                  <c:v>-22.431240346233412</c:v>
                </c:pt>
                <c:pt idx="153">
                  <c:v>-21.172660974333411</c:v>
                </c:pt>
                <c:pt idx="154">
                  <c:v>-22.239670404729679</c:v>
                </c:pt>
                <c:pt idx="155">
                  <c:v>-20.45616430939635</c:v>
                </c:pt>
                <c:pt idx="156">
                  <c:v>-22.40161306738943</c:v>
                </c:pt>
                <c:pt idx="157">
                  <c:v>-19.4736074866202</c:v>
                </c:pt>
                <c:pt idx="158">
                  <c:v>-17.547757640312501</c:v>
                </c:pt>
                <c:pt idx="159">
                  <c:v>-17.897220307812507</c:v>
                </c:pt>
                <c:pt idx="160">
                  <c:v>-12.066557250612506</c:v>
                </c:pt>
                <c:pt idx="161">
                  <c:v>-10.624374378539972</c:v>
                </c:pt>
                <c:pt idx="162">
                  <c:v>-13.752164687027369</c:v>
                </c:pt>
                <c:pt idx="163">
                  <c:v>-13.752164687027369</c:v>
                </c:pt>
                <c:pt idx="164">
                  <c:v>-9.8797396800691928</c:v>
                </c:pt>
                <c:pt idx="165">
                  <c:v>-8.2066457717130135</c:v>
                </c:pt>
                <c:pt idx="166">
                  <c:v>-10.963715593756801</c:v>
                </c:pt>
                <c:pt idx="167">
                  <c:v>-14.181573869422204</c:v>
                </c:pt>
                <c:pt idx="168">
                  <c:v>-17.046534739259595</c:v>
                </c:pt>
                <c:pt idx="169">
                  <c:v>-14.97713877098003</c:v>
                </c:pt>
                <c:pt idx="170">
                  <c:v>-9.9376400521608428</c:v>
                </c:pt>
                <c:pt idx="171">
                  <c:v>-13.461453256371369</c:v>
                </c:pt>
                <c:pt idx="172">
                  <c:v>-15.266654673971367</c:v>
                </c:pt>
                <c:pt idx="173">
                  <c:v>-13.54225848542592</c:v>
                </c:pt>
                <c:pt idx="174">
                  <c:v>-13.439461016510263</c:v>
                </c:pt>
                <c:pt idx="175">
                  <c:v>-15.950011382456211</c:v>
                </c:pt>
                <c:pt idx="176">
                  <c:v>-17.772320707294913</c:v>
                </c:pt>
                <c:pt idx="177">
                  <c:v>-18.501503873913617</c:v>
                </c:pt>
                <c:pt idx="178">
                  <c:v>-17.409072443809997</c:v>
                </c:pt>
                <c:pt idx="179">
                  <c:v>-17.910846342680056</c:v>
                </c:pt>
                <c:pt idx="180">
                  <c:v>-15.815176630053552</c:v>
                </c:pt>
                <c:pt idx="181">
                  <c:v>-15.786529698459344</c:v>
                </c:pt>
                <c:pt idx="182">
                  <c:v>-17.013337374331684</c:v>
                </c:pt>
                <c:pt idx="183">
                  <c:v>-17.964814076545707</c:v>
                </c:pt>
                <c:pt idx="184">
                  <c:v>-17.50428082987904</c:v>
                </c:pt>
                <c:pt idx="185">
                  <c:v>-18.443331190462981</c:v>
                </c:pt>
                <c:pt idx="186">
                  <c:v>-15.65593236891416</c:v>
                </c:pt>
                <c:pt idx="187">
                  <c:v>-16.735310132936505</c:v>
                </c:pt>
                <c:pt idx="188">
                  <c:v>-16.791883407355112</c:v>
                </c:pt>
                <c:pt idx="189">
                  <c:v>-17.387551871640827</c:v>
                </c:pt>
                <c:pt idx="190">
                  <c:v>-17.859807854282334</c:v>
                </c:pt>
                <c:pt idx="191">
                  <c:v>-18.292688620014552</c:v>
                </c:pt>
                <c:pt idx="192">
                  <c:v>-17.657105090763217</c:v>
                </c:pt>
                <c:pt idx="193">
                  <c:v>-17.255665156378186</c:v>
                </c:pt>
                <c:pt idx="194">
                  <c:v>-17.585413472754997</c:v>
                </c:pt>
                <c:pt idx="195">
                  <c:v>-16.889164582997211</c:v>
                </c:pt>
                <c:pt idx="196">
                  <c:v>-15.791115369768862</c:v>
                </c:pt>
                <c:pt idx="197">
                  <c:v>-16.684023088470159</c:v>
                </c:pt>
                <c:pt idx="198">
                  <c:v>-16.743154955522183</c:v>
                </c:pt>
                <c:pt idx="199">
                  <c:v>-16.19961626566711</c:v>
                </c:pt>
                <c:pt idx="200">
                  <c:v>-15.61560793871589</c:v>
                </c:pt>
                <c:pt idx="201">
                  <c:v>-15.904417386240643</c:v>
                </c:pt>
                <c:pt idx="202">
                  <c:v>-15.662228593907308</c:v>
                </c:pt>
                <c:pt idx="203">
                  <c:v>-15.965120379853255</c:v>
                </c:pt>
                <c:pt idx="204">
                  <c:v>-15.168151689965615</c:v>
                </c:pt>
                <c:pt idx="205">
                  <c:v>-14.270458363688242</c:v>
                </c:pt>
                <c:pt idx="206">
                  <c:v>-14.57213910284317</c:v>
                </c:pt>
                <c:pt idx="207">
                  <c:v>-13.930365800913345</c:v>
                </c:pt>
                <c:pt idx="208">
                  <c:v>-13.949042158780012</c:v>
                </c:pt>
                <c:pt idx="209">
                  <c:v>-14.126557401136697</c:v>
                </c:pt>
                <c:pt idx="210">
                  <c:v>-14.871747583711945</c:v>
                </c:pt>
                <c:pt idx="211">
                  <c:v>-14.604565642302255</c:v>
                </c:pt>
                <c:pt idx="212">
                  <c:v>-15.84368013267726</c:v>
                </c:pt>
                <c:pt idx="213">
                  <c:v>-15.49681578560959</c:v>
                </c:pt>
                <c:pt idx="214">
                  <c:v>-15.160706760758105</c:v>
                </c:pt>
                <c:pt idx="215">
                  <c:v>-16.373179764075644</c:v>
                </c:pt>
                <c:pt idx="216">
                  <c:v>-17.576850330109401</c:v>
                </c:pt>
                <c:pt idx="217">
                  <c:v>-16.308727882271565</c:v>
                </c:pt>
                <c:pt idx="218">
                  <c:v>-16.76661094293333</c:v>
                </c:pt>
                <c:pt idx="219">
                  <c:v>-16.49714720996036</c:v>
                </c:pt>
                <c:pt idx="220">
                  <c:v>-16.858212553815022</c:v>
                </c:pt>
                <c:pt idx="221">
                  <c:v>-11.107365431649418</c:v>
                </c:pt>
                <c:pt idx="222">
                  <c:v>-15.177478365626872</c:v>
                </c:pt>
                <c:pt idx="223">
                  <c:v>-14.41452838110426</c:v>
                </c:pt>
                <c:pt idx="224">
                  <c:v>-13.48984823532961</c:v>
                </c:pt>
                <c:pt idx="225">
                  <c:v>-13.08261347911143</c:v>
                </c:pt>
                <c:pt idx="226">
                  <c:v>-12.885455513715742</c:v>
                </c:pt>
                <c:pt idx="227">
                  <c:v>-11.518323607049075</c:v>
                </c:pt>
                <c:pt idx="228">
                  <c:v>-10.344235421594535</c:v>
                </c:pt>
                <c:pt idx="229">
                  <c:v>-12.499074636373294</c:v>
                </c:pt>
                <c:pt idx="230">
                  <c:v>-12.107425009866443</c:v>
                </c:pt>
                <c:pt idx="231">
                  <c:v>-11.269538747784251</c:v>
                </c:pt>
                <c:pt idx="232">
                  <c:v>-10.637993476113554</c:v>
                </c:pt>
                <c:pt idx="233">
                  <c:v>-8.0126116672936742</c:v>
                </c:pt>
                <c:pt idx="234">
                  <c:v>-10.099041651812028</c:v>
                </c:pt>
                <c:pt idx="235">
                  <c:v>-6.7284034881197208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0C-4D7F-A375-DD0FF0813E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268735"/>
        <c:axId val="143269151"/>
      </c:lineChart>
      <c:dateAx>
        <c:axId val="14326873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69151"/>
        <c:crosses val="autoZero"/>
        <c:auto val="1"/>
        <c:lblOffset val="100"/>
        <c:baseTimeUnit val="days"/>
      </c:dateAx>
      <c:valAx>
        <c:axId val="143269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68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9D21981-6AF2-4812-AB6C-75503B7A7E84}">
  <sheetPr codeName="Chart1"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485FAA7-B09C-4BC7-9875-E77579FE2D2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0.08</v>
      </c>
      <c r="D2" s="4">
        <f>MIN(D3:D1912)</f>
        <v>8.0000000000000002E-3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9.7800000000000005E-3</v>
      </c>
      <c r="C5">
        <v>9.8399999999999998E-3</v>
      </c>
      <c r="D5">
        <v>9.5300000000000003E-3</v>
      </c>
      <c r="E5">
        <v>9.5399999999999999E-3</v>
      </c>
      <c r="F5">
        <v>1972318</v>
      </c>
      <c r="G5">
        <v>9.5399999999999999E-3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-0.93548387096774444</v>
      </c>
      <c r="Q5">
        <f t="shared" ref="Q5" si="1">F5*P5</f>
        <v>-1845071.6774193598</v>
      </c>
      <c r="R5">
        <f t="shared" ref="R5" si="2">R6+Q5</f>
        <v>-6828536709.8267202</v>
      </c>
      <c r="S5">
        <f t="shared" ref="S5" si="3">R5/100000</f>
        <v>-68285.367098267205</v>
      </c>
      <c r="T5">
        <f t="shared" ref="T5" si="4">S5/1000</f>
        <v>-68.285367098267201</v>
      </c>
    </row>
    <row r="6" spans="1:20" x14ac:dyDescent="0.25">
      <c r="A6" s="5">
        <v>44587</v>
      </c>
      <c r="B6">
        <v>9.7400000000000004E-3</v>
      </c>
      <c r="C6">
        <v>1.0659999999999999E-2</v>
      </c>
      <c r="D6">
        <v>9.4800000000000006E-3</v>
      </c>
      <c r="E6">
        <v>9.7800000000000005E-3</v>
      </c>
      <c r="F6">
        <v>191869144</v>
      </c>
      <c r="G6">
        <v>9.7800000000000005E-3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-0.49152542372881314</v>
      </c>
      <c r="Q6">
        <f t="shared" ref="Q6" si="6">F6*P6</f>
        <v>-94308562.305084661</v>
      </c>
      <c r="R6">
        <f t="shared" ref="R6" si="7">R7+Q6</f>
        <v>-6826691638.1493006</v>
      </c>
      <c r="S6">
        <f t="shared" ref="S6" si="8">R6/100000</f>
        <v>-68266.916381493007</v>
      </c>
      <c r="T6">
        <f t="shared" ref="T6" si="9">S6/1000</f>
        <v>-68.266916381493004</v>
      </c>
    </row>
    <row r="7" spans="1:20" x14ac:dyDescent="0.25">
      <c r="A7" s="5">
        <v>44586</v>
      </c>
      <c r="B7">
        <v>9.3200000000000002E-3</v>
      </c>
      <c r="C7">
        <v>9.8600000000000007E-3</v>
      </c>
      <c r="D7">
        <v>8.9200000000000008E-3</v>
      </c>
      <c r="E7">
        <v>9.7199999999999995E-3</v>
      </c>
      <c r="F7">
        <v>115884914</v>
      </c>
      <c r="G7">
        <v>9.7199999999999995E-3</v>
      </c>
      <c r="L7" t="s">
        <v>8</v>
      </c>
      <c r="M7" t="s">
        <v>8</v>
      </c>
      <c r="N7" t="s">
        <v>7</v>
      </c>
      <c r="P7">
        <f t="shared" ref="P7" si="10">IF(C7=D7,0,((E7-D7)-(C7-E7))/(C7-D7))</f>
        <v>0.70212765957446543</v>
      </c>
      <c r="Q7">
        <f t="shared" ref="Q7" si="11">F7*P7</f>
        <v>81366003.446808204</v>
      </c>
      <c r="R7">
        <f t="shared" ref="R7" si="12">R8+Q7</f>
        <v>-6732383075.8442163</v>
      </c>
      <c r="S7">
        <f t="shared" ref="S7" si="13">R7/100000</f>
        <v>-67323.830758442156</v>
      </c>
      <c r="T7">
        <f t="shared" ref="T7" si="14">S7/1000</f>
        <v>-67.323830758442156</v>
      </c>
    </row>
    <row r="8" spans="1:20" x14ac:dyDescent="0.25">
      <c r="A8" s="5">
        <v>44585</v>
      </c>
      <c r="B8">
        <v>9.6900000000000007E-3</v>
      </c>
      <c r="C8">
        <v>9.7099999999999999E-3</v>
      </c>
      <c r="D8">
        <v>8.0000000000000002E-3</v>
      </c>
      <c r="E8">
        <v>9.3399999999999993E-3</v>
      </c>
      <c r="F8">
        <v>237608713</v>
      </c>
      <c r="G8">
        <v>9.3399999999999993E-3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0.56725146198830334</v>
      </c>
      <c r="Q8">
        <f t="shared" ref="Q8" si="16">F8*P8</f>
        <v>134783889.83040917</v>
      </c>
      <c r="R8">
        <f t="shared" ref="R8" si="17">R9+Q8</f>
        <v>-6813749079.2910242</v>
      </c>
      <c r="S8">
        <f t="shared" ref="S8" si="18">R8/100000</f>
        <v>-68137.490792910248</v>
      </c>
      <c r="T8">
        <f t="shared" ref="T8" si="19">S8/1000</f>
        <v>-68.137490792910242</v>
      </c>
    </row>
    <row r="9" spans="1:20" x14ac:dyDescent="0.25">
      <c r="A9" s="5">
        <v>44584</v>
      </c>
      <c r="B9">
        <v>9.3399999999999993E-3</v>
      </c>
      <c r="C9">
        <v>1.018E-2</v>
      </c>
      <c r="D9">
        <v>9.0699999999999999E-3</v>
      </c>
      <c r="E9">
        <v>9.6900000000000007E-3</v>
      </c>
      <c r="F9">
        <v>167527276</v>
      </c>
      <c r="G9">
        <v>9.6900000000000007E-3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0.11711711711711861</v>
      </c>
      <c r="Q9">
        <f t="shared" ref="Q9" si="21">F9*P9</f>
        <v>19620311.603603855</v>
      </c>
      <c r="R9">
        <f t="shared" ref="R9" si="22">R10+Q9</f>
        <v>-6948532969.1214333</v>
      </c>
      <c r="S9">
        <f t="shared" ref="S9" si="23">R9/100000</f>
        <v>-69485.329691214327</v>
      </c>
      <c r="T9">
        <f t="shared" ref="T9" si="24">S9/1000</f>
        <v>-69.485329691214332</v>
      </c>
    </row>
    <row r="10" spans="1:20" x14ac:dyDescent="0.25">
      <c r="A10" s="5">
        <v>44583</v>
      </c>
      <c r="B10">
        <v>1.0019999999999999E-2</v>
      </c>
      <c r="C10">
        <v>1.04E-2</v>
      </c>
      <c r="D10">
        <v>8.1700000000000002E-3</v>
      </c>
      <c r="E10">
        <v>9.3500000000000007E-3</v>
      </c>
      <c r="F10">
        <v>237937850</v>
      </c>
      <c r="G10">
        <v>9.3500000000000007E-3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5.8295964125561289E-2</v>
      </c>
      <c r="Q10">
        <f t="shared" ref="Q10" si="26">F10*P10</f>
        <v>13870816.367713183</v>
      </c>
      <c r="R10">
        <f t="shared" ref="R10" si="27">R11+Q10</f>
        <v>-6968153280.7250376</v>
      </c>
      <c r="S10">
        <f t="shared" ref="S10" si="28">R10/100000</f>
        <v>-69681.532807250376</v>
      </c>
      <c r="T10">
        <f t="shared" ref="T10" si="29">S10/1000</f>
        <v>-69.681532807250377</v>
      </c>
    </row>
    <row r="11" spans="1:20" x14ac:dyDescent="0.25">
      <c r="A11" s="5">
        <v>44582</v>
      </c>
      <c r="B11">
        <v>1.2319999999999999E-2</v>
      </c>
      <c r="C11">
        <v>1.2359999999999999E-2</v>
      </c>
      <c r="D11">
        <v>9.7999999999999997E-3</v>
      </c>
      <c r="E11">
        <v>1.0019999999999999E-2</v>
      </c>
      <c r="F11">
        <v>302131207</v>
      </c>
      <c r="G11">
        <v>1.0019999999999999E-2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-0.82812500000000022</v>
      </c>
      <c r="Q11">
        <f t="shared" ref="Q11" si="31">F11*P11</f>
        <v>-250202405.79687506</v>
      </c>
      <c r="R11">
        <f t="shared" ref="R11" si="32">R12+Q11</f>
        <v>-6982024097.0927505</v>
      </c>
      <c r="S11">
        <f t="shared" ref="S11" si="33">R11/100000</f>
        <v>-69820.240970927509</v>
      </c>
      <c r="T11">
        <f t="shared" ref="T11" si="34">S11/1000</f>
        <v>-69.820240970927514</v>
      </c>
    </row>
    <row r="12" spans="1:20" x14ac:dyDescent="0.25">
      <c r="A12" s="5">
        <v>44581</v>
      </c>
      <c r="B12">
        <v>1.2659999999999999E-2</v>
      </c>
      <c r="C12">
        <v>1.357E-2</v>
      </c>
      <c r="D12">
        <v>1.226E-2</v>
      </c>
      <c r="E12">
        <v>1.234E-2</v>
      </c>
      <c r="F12">
        <v>86748945</v>
      </c>
      <c r="G12">
        <v>1.234E-2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-0.87786259541984701</v>
      </c>
      <c r="Q12">
        <f t="shared" ref="Q12" si="36">F12*P12</f>
        <v>-76153654.007633567</v>
      </c>
      <c r="R12">
        <f t="shared" ref="R12" si="37">R13+Q12</f>
        <v>-6731821691.2958755</v>
      </c>
      <c r="S12">
        <f t="shared" ref="S12" si="38">R12/100000</f>
        <v>-67318.216912958756</v>
      </c>
      <c r="T12">
        <f t="shared" ref="T12" si="39">S12/1000</f>
        <v>-67.318216912958761</v>
      </c>
    </row>
    <row r="13" spans="1:20" x14ac:dyDescent="0.25">
      <c r="A13" s="5">
        <v>44580</v>
      </c>
      <c r="B13">
        <v>1.3220000000000001E-2</v>
      </c>
      <c r="C13">
        <v>1.3259999999999999E-2</v>
      </c>
      <c r="D13">
        <v>1.252E-2</v>
      </c>
      <c r="E13">
        <v>1.2670000000000001E-2</v>
      </c>
      <c r="F13">
        <v>93363031</v>
      </c>
      <c r="G13">
        <v>1.2670000000000001E-2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-0.59459459459459196</v>
      </c>
      <c r="Q13">
        <f t="shared" ref="Q13" si="41">F13*P13</f>
        <v>-55513153.567567319</v>
      </c>
      <c r="R13">
        <f t="shared" ref="R13" si="42">R14+Q13</f>
        <v>-6655668037.2882423</v>
      </c>
      <c r="S13">
        <f t="shared" ref="S13" si="43">R13/100000</f>
        <v>-66556.680372882431</v>
      </c>
      <c r="T13">
        <f t="shared" ref="T13" si="44">S13/1000</f>
        <v>-66.556680372882425</v>
      </c>
    </row>
    <row r="14" spans="1:20" x14ac:dyDescent="0.25">
      <c r="A14" s="5">
        <v>44579</v>
      </c>
      <c r="B14">
        <v>1.312E-2</v>
      </c>
      <c r="C14">
        <v>1.34E-2</v>
      </c>
      <c r="D14">
        <v>1.2710000000000001E-2</v>
      </c>
      <c r="E14">
        <v>1.3220000000000001E-2</v>
      </c>
      <c r="F14">
        <v>121747508</v>
      </c>
      <c r="G14">
        <v>1.3220000000000001E-2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0.47826086956521824</v>
      </c>
      <c r="Q14">
        <f t="shared" ref="Q14" si="46">F14*P14</f>
        <v>58227069.043478362</v>
      </c>
      <c r="R14">
        <f t="shared" ref="R14" si="47">R15+Q14</f>
        <v>-6600154883.7206755</v>
      </c>
      <c r="S14">
        <f t="shared" ref="S14" si="48">R14/100000</f>
        <v>-66001.548837206748</v>
      </c>
      <c r="T14">
        <f t="shared" ref="T14" si="49">S14/1000</f>
        <v>-66.001548837206755</v>
      </c>
    </row>
    <row r="15" spans="1:20" x14ac:dyDescent="0.25">
      <c r="A15" s="5">
        <v>44578</v>
      </c>
      <c r="B15">
        <v>1.3979999999999999E-2</v>
      </c>
      <c r="C15">
        <v>1.3979999999999999E-2</v>
      </c>
      <c r="D15">
        <v>1.291E-2</v>
      </c>
      <c r="E15">
        <v>1.3140000000000001E-2</v>
      </c>
      <c r="F15">
        <v>110347395</v>
      </c>
      <c r="G15">
        <v>1.3140000000000001E-2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-0.57009345794392319</v>
      </c>
      <c r="Q15">
        <f t="shared" ref="Q15" si="51">F15*P15</f>
        <v>-62908327.990653977</v>
      </c>
      <c r="R15">
        <f t="shared" ref="R15" si="52">R16+Q15</f>
        <v>-6658381952.7641535</v>
      </c>
      <c r="S15">
        <f t="shared" ref="S15" si="53">R15/100000</f>
        <v>-66583.819527641535</v>
      </c>
      <c r="T15">
        <f t="shared" ref="T15" si="54">S15/1000</f>
        <v>-66.583819527641538</v>
      </c>
    </row>
    <row r="16" spans="1:20" x14ac:dyDescent="0.25">
      <c r="A16" s="5">
        <v>44577</v>
      </c>
      <c r="B16">
        <v>1.388E-2</v>
      </c>
      <c r="C16">
        <v>1.4109999999999999E-2</v>
      </c>
      <c r="D16">
        <v>1.37E-2</v>
      </c>
      <c r="E16">
        <v>1.396E-2</v>
      </c>
      <c r="F16">
        <v>46535375</v>
      </c>
      <c r="G16">
        <v>1.396E-2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0.26829268292683173</v>
      </c>
      <c r="Q16">
        <f t="shared" ref="Q16" si="56">F16*P16</f>
        <v>12485100.609756213</v>
      </c>
      <c r="R16">
        <f t="shared" ref="R16" si="57">R17+Q16</f>
        <v>-6595473624.7734995</v>
      </c>
      <c r="S16">
        <f t="shared" ref="S16" si="58">R16/100000</f>
        <v>-65954.736247734996</v>
      </c>
      <c r="T16">
        <f t="shared" ref="T16" si="59">S16/1000</f>
        <v>-65.954736247734999</v>
      </c>
    </row>
    <row r="17" spans="1:20" x14ac:dyDescent="0.25">
      <c r="A17" s="5">
        <v>44576</v>
      </c>
      <c r="B17">
        <v>1.389E-2</v>
      </c>
      <c r="C17">
        <v>1.4409999999999999E-2</v>
      </c>
      <c r="D17">
        <v>1.3429999999999999E-2</v>
      </c>
      <c r="E17">
        <v>1.388E-2</v>
      </c>
      <c r="F17">
        <v>146388591</v>
      </c>
      <c r="G17">
        <v>1.388E-2</v>
      </c>
      <c r="L17" t="s">
        <v>7</v>
      </c>
      <c r="M17" t="s">
        <v>8</v>
      </c>
      <c r="N17" t="s">
        <v>7</v>
      </c>
      <c r="P17">
        <f t="shared" ref="P17" si="60">IF(C17=D17,0,((E17-D17)-(C17-E17))/(C17-D17))</f>
        <v>-8.1632653061222943E-2</v>
      </c>
      <c r="Q17">
        <f t="shared" ref="Q17" si="61">F17*P17</f>
        <v>-11950089.061224263</v>
      </c>
      <c r="R17">
        <f t="shared" ref="R17" si="62">R18+Q17</f>
        <v>-6607958725.383256</v>
      </c>
      <c r="S17">
        <f t="shared" ref="S17" si="63">R17/100000</f>
        <v>-66079.587253832564</v>
      </c>
      <c r="T17">
        <f t="shared" ref="T17" si="64">S17/1000</f>
        <v>-66.079587253832557</v>
      </c>
    </row>
    <row r="18" spans="1:20" x14ac:dyDescent="0.25">
      <c r="A18" s="5">
        <v>44575</v>
      </c>
      <c r="B18">
        <v>1.379E-2</v>
      </c>
      <c r="C18">
        <v>1.413E-2</v>
      </c>
      <c r="D18">
        <v>1.3559999999999999E-2</v>
      </c>
      <c r="E18">
        <v>1.389E-2</v>
      </c>
      <c r="F18">
        <v>77040390</v>
      </c>
      <c r="G18">
        <v>1.389E-2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0.15789473684210462</v>
      </c>
      <c r="Q18">
        <f t="shared" ref="Q18" si="66">F18*P18</f>
        <v>12164272.105263108</v>
      </c>
      <c r="R18">
        <f t="shared" ref="R18" si="67">R19+Q18</f>
        <v>-6596008636.322032</v>
      </c>
      <c r="S18">
        <f t="shared" ref="S18" si="68">R18/100000</f>
        <v>-65960.086363220325</v>
      </c>
      <c r="T18">
        <f t="shared" ref="T18" si="69">S18/1000</f>
        <v>-65.960086363220327</v>
      </c>
    </row>
    <row r="19" spans="1:20" x14ac:dyDescent="0.25">
      <c r="A19" s="5">
        <v>44574</v>
      </c>
      <c r="B19">
        <v>1.473E-2</v>
      </c>
      <c r="C19">
        <v>1.4800000000000001E-2</v>
      </c>
      <c r="D19">
        <v>1.375E-2</v>
      </c>
      <c r="E19">
        <v>1.3769999999999999E-2</v>
      </c>
      <c r="F19">
        <v>157559581</v>
      </c>
      <c r="G19">
        <v>1.3769999999999999E-2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-0.96190476190476348</v>
      </c>
      <c r="Q19">
        <f t="shared" ref="Q19" si="71">F19*P19</f>
        <v>-151557311.2476193</v>
      </c>
      <c r="R19">
        <f t="shared" ref="R19" si="72">R20+Q19</f>
        <v>-6608172908.4272947</v>
      </c>
      <c r="S19">
        <f t="shared" ref="S19" si="73">R19/100000</f>
        <v>-66081.729084272942</v>
      </c>
      <c r="T19">
        <f t="shared" ref="T19" si="74">S19/1000</f>
        <v>-66.081729084272936</v>
      </c>
    </row>
    <row r="20" spans="1:20" x14ac:dyDescent="0.25">
      <c r="A20" s="5">
        <v>44573</v>
      </c>
      <c r="B20">
        <v>1.384E-2</v>
      </c>
      <c r="C20">
        <v>1.5299999999999999E-2</v>
      </c>
      <c r="D20">
        <v>1.371E-2</v>
      </c>
      <c r="E20">
        <v>1.4749999999999999E-2</v>
      </c>
      <c r="F20">
        <v>132066252</v>
      </c>
      <c r="G20">
        <v>1.4749999999999999E-2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0.30817610062893036</v>
      </c>
      <c r="Q20">
        <f t="shared" ref="Q20" si="76">F20*P20</f>
        <v>40699662.566037677</v>
      </c>
      <c r="R20">
        <f t="shared" ref="R20" si="77">R21+Q20</f>
        <v>-6456615597.1796751</v>
      </c>
      <c r="S20">
        <f t="shared" ref="S20" si="78">R20/100000</f>
        <v>-64566.155971796754</v>
      </c>
      <c r="T20">
        <f t="shared" ref="T20" si="79">S20/1000</f>
        <v>-64.566155971796761</v>
      </c>
    </row>
    <row r="21" spans="1:20" x14ac:dyDescent="0.25">
      <c r="A21" s="5">
        <v>44572</v>
      </c>
      <c r="B21">
        <v>1.311E-2</v>
      </c>
      <c r="C21">
        <v>1.3990000000000001E-2</v>
      </c>
      <c r="D21">
        <v>1.29E-2</v>
      </c>
      <c r="E21">
        <v>1.3860000000000001E-2</v>
      </c>
      <c r="F21">
        <v>104143248</v>
      </c>
      <c r="G21">
        <v>1.3860000000000001E-2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0.7614678899082572</v>
      </c>
      <c r="Q21">
        <f t="shared" ref="Q21" si="81">F21*P21</f>
        <v>79301739.302752331</v>
      </c>
      <c r="R21">
        <f t="shared" ref="R21" si="82">R22+Q21</f>
        <v>-6497315259.7457132</v>
      </c>
      <c r="S21">
        <f t="shared" ref="S21" si="83">R21/100000</f>
        <v>-64973.152597457134</v>
      </c>
      <c r="T21">
        <f t="shared" ref="T21" si="84">S21/1000</f>
        <v>-64.97315259745713</v>
      </c>
    </row>
    <row r="22" spans="1:20" x14ac:dyDescent="0.25">
      <c r="A22" s="5">
        <v>44571</v>
      </c>
      <c r="B22">
        <v>1.4019999999999999E-2</v>
      </c>
      <c r="C22">
        <v>1.4160000000000001E-2</v>
      </c>
      <c r="D22">
        <v>1.2409999999999999E-2</v>
      </c>
      <c r="E22">
        <v>1.312E-2</v>
      </c>
      <c r="F22">
        <v>184299970</v>
      </c>
      <c r="G22">
        <v>1.312E-2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-0.18857142857142864</v>
      </c>
      <c r="Q22">
        <f t="shared" ref="Q22" si="86">F22*P22</f>
        <v>-34753708.628571443</v>
      </c>
      <c r="R22">
        <f t="shared" ref="R22" si="87">R23+Q22</f>
        <v>-6576616999.0484657</v>
      </c>
      <c r="S22">
        <f t="shared" ref="S22" si="88">R22/100000</f>
        <v>-65766.169990484661</v>
      </c>
      <c r="T22">
        <f t="shared" ref="T22" si="89">S22/1000</f>
        <v>-65.766169990484656</v>
      </c>
    </row>
    <row r="23" spans="1:20" x14ac:dyDescent="0.25">
      <c r="A23" s="5">
        <v>44570</v>
      </c>
      <c r="B23">
        <v>1.391E-2</v>
      </c>
      <c r="C23">
        <v>1.4239999999999999E-2</v>
      </c>
      <c r="D23">
        <v>1.337E-2</v>
      </c>
      <c r="E23">
        <v>1.4030000000000001E-2</v>
      </c>
      <c r="F23">
        <v>127440818</v>
      </c>
      <c r="G23">
        <v>1.4030000000000001E-2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0.51724137931034808</v>
      </c>
      <c r="Q23">
        <f t="shared" ref="Q23" si="91">F23*P23</f>
        <v>65917664.482759036</v>
      </c>
      <c r="R23">
        <f t="shared" ref="R23" si="92">R24+Q23</f>
        <v>-6541863290.4198942</v>
      </c>
      <c r="S23">
        <f t="shared" ref="S23" si="93">R23/100000</f>
        <v>-65418.632904198945</v>
      </c>
      <c r="T23">
        <f t="shared" ref="T23" si="94">S23/1000</f>
        <v>-65.418632904198944</v>
      </c>
    </row>
    <row r="24" spans="1:20" x14ac:dyDescent="0.25">
      <c r="A24" s="5">
        <v>44569</v>
      </c>
      <c r="B24">
        <v>1.456E-2</v>
      </c>
      <c r="C24">
        <v>1.495E-2</v>
      </c>
      <c r="D24">
        <v>1.337E-2</v>
      </c>
      <c r="E24">
        <v>1.392E-2</v>
      </c>
      <c r="F24">
        <v>191901828</v>
      </c>
      <c r="G24">
        <v>1.392E-2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-0.30379746835443011</v>
      </c>
      <c r="Q24">
        <f t="shared" ref="Q24" si="96">F24*P24</f>
        <v>-58299289.518987291</v>
      </c>
      <c r="R24">
        <f t="shared" ref="R24" si="97">R25+Q24</f>
        <v>-6607780954.9026537</v>
      </c>
      <c r="S24">
        <f t="shared" ref="S24" si="98">R24/100000</f>
        <v>-66077.80954902654</v>
      </c>
      <c r="T24">
        <f t="shared" ref="T24" si="99">S24/1000</f>
        <v>-66.07780954902654</v>
      </c>
    </row>
    <row r="25" spans="1:20" x14ac:dyDescent="0.25">
      <c r="A25" s="5">
        <v>44568</v>
      </c>
      <c r="B25">
        <v>1.5769999999999999E-2</v>
      </c>
      <c r="C25">
        <v>1.5789999999999998E-2</v>
      </c>
      <c r="D25">
        <v>1.4409999999999999E-2</v>
      </c>
      <c r="E25">
        <v>1.4540000000000001E-2</v>
      </c>
      <c r="F25">
        <v>177631729</v>
      </c>
      <c r="G25">
        <v>1.4540000000000001E-2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-0.81159420289854822</v>
      </c>
      <c r="Q25">
        <f t="shared" ref="Q25" si="101">F25*P25</f>
        <v>-144164881.50724593</v>
      </c>
      <c r="R25">
        <f t="shared" ref="R25" si="102">R26+Q25</f>
        <v>-6549481665.383666</v>
      </c>
      <c r="S25">
        <f t="shared" ref="S25" si="103">R25/100000</f>
        <v>-65494.816653836657</v>
      </c>
      <c r="T25">
        <f t="shared" ref="T25" si="104">S25/1000</f>
        <v>-65.494816653836651</v>
      </c>
    </row>
    <row r="26" spans="1:20" x14ac:dyDescent="0.25">
      <c r="A26" s="5">
        <v>44567</v>
      </c>
      <c r="B26">
        <v>1.601E-2</v>
      </c>
      <c r="C26">
        <v>1.6240000000000001E-2</v>
      </c>
      <c r="D26">
        <v>1.532E-2</v>
      </c>
      <c r="E26">
        <v>1.576E-2</v>
      </c>
      <c r="F26">
        <v>85707802</v>
      </c>
      <c r="G26">
        <v>1.576E-2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-4.3478260869567187E-2</v>
      </c>
      <c r="Q26">
        <f t="shared" ref="Q26" si="106">F26*P26</f>
        <v>-3726426.1739132125</v>
      </c>
      <c r="R26">
        <f t="shared" ref="R26" si="107">R27+Q26</f>
        <v>-6405316783.87642</v>
      </c>
      <c r="S26">
        <f t="shared" ref="S26" si="108">R26/100000</f>
        <v>-64053.167838764202</v>
      </c>
      <c r="T26">
        <f t="shared" ref="T26" si="109">S26/1000</f>
        <v>-64.053167838764196</v>
      </c>
    </row>
    <row r="27" spans="1:20" x14ac:dyDescent="0.25">
      <c r="A27" s="5">
        <v>44566</v>
      </c>
      <c r="B27">
        <v>1.721E-2</v>
      </c>
      <c r="C27">
        <v>1.8499999999999999E-2</v>
      </c>
      <c r="D27">
        <v>1.525E-2</v>
      </c>
      <c r="E27">
        <v>1.601E-2</v>
      </c>
      <c r="F27">
        <v>138561511</v>
      </c>
      <c r="G27">
        <v>1.601E-2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-0.53230769230769204</v>
      </c>
      <c r="Q27">
        <f t="shared" ref="Q27" si="111">F27*P27</f>
        <v>-73757358.163076892</v>
      </c>
      <c r="R27">
        <f t="shared" ref="R27" si="112">R28+Q27</f>
        <v>-6401590357.702507</v>
      </c>
      <c r="S27">
        <f t="shared" ref="S27" si="113">R27/100000</f>
        <v>-64015.90357702507</v>
      </c>
      <c r="T27">
        <f t="shared" ref="T27" si="114">S27/1000</f>
        <v>-64.015903577025071</v>
      </c>
    </row>
    <row r="28" spans="1:20" x14ac:dyDescent="0.25">
      <c r="A28" s="5">
        <v>44565</v>
      </c>
      <c r="B28">
        <v>1.729E-2</v>
      </c>
      <c r="C28">
        <v>1.7770000000000001E-2</v>
      </c>
      <c r="D28">
        <v>1.668E-2</v>
      </c>
      <c r="E28">
        <v>1.721E-2</v>
      </c>
      <c r="F28">
        <v>91610931</v>
      </c>
      <c r="G28">
        <v>1.721E-2</v>
      </c>
      <c r="L28" t="s">
        <v>7</v>
      </c>
      <c r="M28" t="s">
        <v>8</v>
      </c>
      <c r="N28" t="s">
        <v>7</v>
      </c>
      <c r="P28">
        <f t="shared" ref="P28" si="115">IF(C28=D28,0,((E28-D28)-(C28-E28))/(C28-D28))</f>
        <v>-2.7522935779818559E-2</v>
      </c>
      <c r="Q28">
        <f t="shared" ref="Q28" si="116">F28*P28</f>
        <v>-2521401.7706423891</v>
      </c>
      <c r="R28">
        <f t="shared" ref="R28" si="117">R29+Q28</f>
        <v>-6327832999.5394297</v>
      </c>
      <c r="S28">
        <f t="shared" ref="S28" si="118">R28/100000</f>
        <v>-63278.329995394299</v>
      </c>
      <c r="T28">
        <f t="shared" ref="T28" si="119">S28/1000</f>
        <v>-63.278329995394301</v>
      </c>
    </row>
    <row r="29" spans="1:20" x14ac:dyDescent="0.25">
      <c r="A29" s="5">
        <v>44564</v>
      </c>
      <c r="B29">
        <v>1.7649999999999999E-2</v>
      </c>
      <c r="C29">
        <v>1.839E-2</v>
      </c>
      <c r="D29">
        <v>1.6930000000000001E-2</v>
      </c>
      <c r="E29">
        <v>1.7309999999999999E-2</v>
      </c>
      <c r="F29">
        <v>252299830</v>
      </c>
      <c r="G29">
        <v>1.7309999999999999E-2</v>
      </c>
      <c r="L29" t="s">
        <v>8</v>
      </c>
      <c r="M29" t="s">
        <v>8</v>
      </c>
      <c r="N29" t="s">
        <v>7</v>
      </c>
      <c r="P29">
        <f t="shared" ref="P29" si="120">IF(C29=D29,0,((E29-D29)-(C29-E29))/(C29-D29))</f>
        <v>-0.47945205479452258</v>
      </c>
      <c r="Q29">
        <f t="shared" ref="Q29" si="121">F29*P29</f>
        <v>-120965671.91780873</v>
      </c>
      <c r="R29">
        <f t="shared" ref="R29" si="122">R30+Q29</f>
        <v>-6325311597.7687874</v>
      </c>
      <c r="S29">
        <f t="shared" ref="S29" si="123">R29/100000</f>
        <v>-63253.11597768787</v>
      </c>
      <c r="T29">
        <f t="shared" ref="T29" si="124">S29/1000</f>
        <v>-63.25311597768787</v>
      </c>
    </row>
    <row r="30" spans="1:20" x14ac:dyDescent="0.25">
      <c r="A30" s="5">
        <v>44563</v>
      </c>
      <c r="B30">
        <v>1.772E-2</v>
      </c>
      <c r="C30">
        <v>1.8069999999999999E-2</v>
      </c>
      <c r="D30">
        <v>1.719E-2</v>
      </c>
      <c r="E30">
        <v>1.7670000000000002E-2</v>
      </c>
      <c r="F30">
        <v>67675541</v>
      </c>
      <c r="G30">
        <v>1.7670000000000002E-2</v>
      </c>
      <c r="L30" t="s">
        <v>7</v>
      </c>
      <c r="M30" t="s">
        <v>8</v>
      </c>
      <c r="N30" t="s">
        <v>7</v>
      </c>
      <c r="P30">
        <f t="shared" ref="P30" si="125">IF(C30=D30,0,((E30-D30)-(C30-E30))/(C30-D30))</f>
        <v>9.0909090909095214E-2</v>
      </c>
      <c r="Q30">
        <f t="shared" ref="Q30" si="126">F30*P30</f>
        <v>6152321.9090912007</v>
      </c>
      <c r="R30">
        <f t="shared" ref="R30" si="127">R31+Q30</f>
        <v>-6204345925.8509789</v>
      </c>
      <c r="S30">
        <f t="shared" ref="S30" si="128">R30/100000</f>
        <v>-62043.459258509785</v>
      </c>
      <c r="T30">
        <f t="shared" ref="T30" si="129">S30/1000</f>
        <v>-62.043459258509785</v>
      </c>
    </row>
    <row r="31" spans="1:20" x14ac:dyDescent="0.25">
      <c r="A31" s="5">
        <v>44562</v>
      </c>
      <c r="B31">
        <v>1.704E-2</v>
      </c>
      <c r="C31">
        <v>1.805E-2</v>
      </c>
      <c r="D31">
        <v>1.704E-2</v>
      </c>
      <c r="E31">
        <v>1.7749999999999998E-2</v>
      </c>
      <c r="F31">
        <v>76626127</v>
      </c>
      <c r="G31">
        <v>1.7749999999999998E-2</v>
      </c>
      <c r="L31" t="s">
        <v>7</v>
      </c>
      <c r="M31" t="s">
        <v>8</v>
      </c>
      <c r="N31" t="s">
        <v>7</v>
      </c>
      <c r="P31">
        <f t="shared" ref="P31" si="130">IF(C31=D31,0,((E31-D31)-(C31-E31))/(C31-D31))</f>
        <v>0.40594059405940297</v>
      </c>
      <c r="Q31">
        <f t="shared" ref="Q31" si="131">F31*P31</f>
        <v>31105655.514851257</v>
      </c>
      <c r="R31">
        <f t="shared" ref="R31" si="132">R32+Q31</f>
        <v>-6210498247.7600698</v>
      </c>
      <c r="S31">
        <f t="shared" ref="S31" si="133">R31/100000</f>
        <v>-62104.982477600701</v>
      </c>
      <c r="T31">
        <f t="shared" ref="T31" si="134">S31/1000</f>
        <v>-62.1049824776007</v>
      </c>
    </row>
    <row r="32" spans="1:20" x14ac:dyDescent="0.25">
      <c r="A32" s="5">
        <v>44561</v>
      </c>
      <c r="B32">
        <v>1.7100000000000001E-2</v>
      </c>
      <c r="C32">
        <v>1.8499999999999999E-2</v>
      </c>
      <c r="D32">
        <v>1.6670000000000001E-2</v>
      </c>
      <c r="E32">
        <v>1.703E-2</v>
      </c>
      <c r="F32">
        <v>85975262</v>
      </c>
      <c r="G32">
        <v>1.703E-2</v>
      </c>
      <c r="L32" t="s">
        <v>8</v>
      </c>
      <c r="M32" t="s">
        <v>8</v>
      </c>
      <c r="N32" t="s">
        <v>7</v>
      </c>
      <c r="P32">
        <f t="shared" ref="P32" si="135">IF(C32=D32,0,((E32-D32)-(C32-E32))/(C32-D32))</f>
        <v>-0.60655737704918078</v>
      </c>
      <c r="Q32">
        <f t="shared" ref="Q32" si="136">F32*P32</f>
        <v>-52148929.409836106</v>
      </c>
      <c r="R32">
        <f t="shared" ref="R32" si="137">R33+Q32</f>
        <v>-6241603903.2749214</v>
      </c>
      <c r="S32">
        <f t="shared" ref="S32" si="138">R32/100000</f>
        <v>-62416.039032749213</v>
      </c>
      <c r="T32">
        <f t="shared" ref="T32" si="139">S32/1000</f>
        <v>-62.416039032749211</v>
      </c>
    </row>
    <row r="33" spans="1:20" x14ac:dyDescent="0.25">
      <c r="A33" s="5">
        <v>44560</v>
      </c>
      <c r="B33">
        <v>1.694E-2</v>
      </c>
      <c r="C33">
        <v>1.7479999999999999E-2</v>
      </c>
      <c r="D33">
        <v>1.6670000000000001E-2</v>
      </c>
      <c r="E33">
        <v>1.711E-2</v>
      </c>
      <c r="F33">
        <v>62089466</v>
      </c>
      <c r="G33">
        <v>1.711E-2</v>
      </c>
      <c r="L33" t="s">
        <v>7</v>
      </c>
      <c r="M33" t="s">
        <v>8</v>
      </c>
      <c r="N33" t="s">
        <v>7</v>
      </c>
      <c r="P33">
        <f t="shared" ref="P33" si="140">IF(C33=D33,0,((E33-D33)-(C33-E33))/(C33-D33))</f>
        <v>8.6419753086420706E-2</v>
      </c>
      <c r="Q33">
        <f t="shared" ref="Q33" si="141">F33*P33</f>
        <v>5365756.3209877135</v>
      </c>
      <c r="R33">
        <f t="shared" ref="R33" si="142">R34+Q33</f>
        <v>-6189454973.8650856</v>
      </c>
      <c r="S33">
        <f t="shared" ref="S33" si="143">R33/100000</f>
        <v>-61894.549738650858</v>
      </c>
      <c r="T33">
        <f t="shared" ref="T33" si="144">S33/1000</f>
        <v>-61.894549738650859</v>
      </c>
    </row>
    <row r="34" spans="1:20" x14ac:dyDescent="0.25">
      <c r="A34" s="5">
        <v>44559</v>
      </c>
      <c r="B34">
        <v>1.7610000000000001E-2</v>
      </c>
      <c r="C34">
        <v>1.8159999999999999E-2</v>
      </c>
      <c r="D34">
        <v>1.6760000000000001E-2</v>
      </c>
      <c r="E34">
        <v>1.6910000000000001E-2</v>
      </c>
      <c r="F34">
        <v>103143402</v>
      </c>
      <c r="G34">
        <v>1.6910000000000001E-2</v>
      </c>
      <c r="L34" t="s">
        <v>7</v>
      </c>
      <c r="M34" t="s">
        <v>8</v>
      </c>
      <c r="N34" t="s">
        <v>7</v>
      </c>
      <c r="P34">
        <f t="shared" ref="P34" si="145">IF(C34=D34,0,((E34-D34)-(C34-E34))/(C34-D34))</f>
        <v>-0.78571428571428426</v>
      </c>
      <c r="Q34">
        <f t="shared" ref="Q34" si="146">F34*P34</f>
        <v>-81041244.428571284</v>
      </c>
      <c r="R34">
        <f t="shared" ref="R34" si="147">R35+Q34</f>
        <v>-6194820730.1860733</v>
      </c>
      <c r="S34">
        <f t="shared" ref="S34" si="148">R34/100000</f>
        <v>-61948.207301860733</v>
      </c>
      <c r="T34">
        <f t="shared" ref="T34" si="149">S34/1000</f>
        <v>-61.948207301860734</v>
      </c>
    </row>
    <row r="35" spans="1:20" x14ac:dyDescent="0.25">
      <c r="A35" s="5">
        <v>44558</v>
      </c>
      <c r="B35">
        <v>1.9099999999999999E-2</v>
      </c>
      <c r="C35">
        <v>1.9109999999999999E-2</v>
      </c>
      <c r="D35">
        <v>1.7500000000000002E-2</v>
      </c>
      <c r="E35">
        <v>1.7600000000000001E-2</v>
      </c>
      <c r="F35">
        <v>167149215</v>
      </c>
      <c r="G35">
        <v>1.7600000000000001E-2</v>
      </c>
      <c r="L35" t="s">
        <v>7</v>
      </c>
      <c r="M35" t="s">
        <v>8</v>
      </c>
      <c r="N35" t="s">
        <v>7</v>
      </c>
      <c r="P35">
        <f t="shared" ref="P35" si="150">IF(C35=D35,0,((E35-D35)-(C35-E35))/(C35-D35))</f>
        <v>-0.87577639751552849</v>
      </c>
      <c r="Q35">
        <f t="shared" ref="Q35" si="151">F35*P35</f>
        <v>-146385337.36024854</v>
      </c>
      <c r="R35">
        <f t="shared" ref="R35" si="152">R36+Q35</f>
        <v>-6113779485.7575016</v>
      </c>
      <c r="S35">
        <f t="shared" ref="S35" si="153">R35/100000</f>
        <v>-61137.794857575012</v>
      </c>
      <c r="T35">
        <f t="shared" ref="T35" si="154">S35/1000</f>
        <v>-61.13779485757501</v>
      </c>
    </row>
    <row r="36" spans="1:20" x14ac:dyDescent="0.25">
      <c r="A36" s="5">
        <v>44557</v>
      </c>
      <c r="B36">
        <v>1.9390000000000001E-2</v>
      </c>
      <c r="C36">
        <v>2.0140000000000002E-2</v>
      </c>
      <c r="D36">
        <v>1.9E-2</v>
      </c>
      <c r="E36">
        <v>1.908E-2</v>
      </c>
      <c r="F36">
        <v>145476663</v>
      </c>
      <c r="G36">
        <v>1.908E-2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-0.85964912280701744</v>
      </c>
      <c r="Q36">
        <f t="shared" ref="Q36" si="156">F36*P36</f>
        <v>-125058885.7368421</v>
      </c>
      <c r="R36">
        <f t="shared" ref="R36" si="157">R37+Q36</f>
        <v>-5967394148.397253</v>
      </c>
      <c r="S36">
        <f t="shared" ref="S36" si="158">R36/100000</f>
        <v>-59673.941483972529</v>
      </c>
      <c r="T36">
        <f t="shared" ref="T36" si="159">S36/1000</f>
        <v>-59.673941483972527</v>
      </c>
    </row>
    <row r="37" spans="1:20" x14ac:dyDescent="0.25">
      <c r="A37" s="5">
        <v>44556</v>
      </c>
      <c r="B37">
        <v>1.8380000000000001E-2</v>
      </c>
      <c r="C37">
        <v>1.9890000000000001E-2</v>
      </c>
      <c r="D37">
        <v>1.8280000000000001E-2</v>
      </c>
      <c r="E37">
        <v>1.9369999999999998E-2</v>
      </c>
      <c r="F37">
        <v>216123909</v>
      </c>
      <c r="G37">
        <v>1.9369999999999998E-2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0.35403726708074162</v>
      </c>
      <c r="Q37">
        <f t="shared" ref="Q37" si="161">F37*P37</f>
        <v>76515918.093166903</v>
      </c>
      <c r="R37">
        <f t="shared" ref="R37" si="162">R38+Q37</f>
        <v>-5842335262.6604109</v>
      </c>
      <c r="S37">
        <f t="shared" ref="S37" si="163">R37/100000</f>
        <v>-58423.352626604108</v>
      </c>
      <c r="T37">
        <f t="shared" ref="T37" si="164">S37/1000</f>
        <v>-58.423352626604107</v>
      </c>
    </row>
    <row r="38" spans="1:20" x14ac:dyDescent="0.25">
      <c r="A38" s="5">
        <v>44555</v>
      </c>
      <c r="B38">
        <v>1.7979999999999999E-2</v>
      </c>
      <c r="C38">
        <v>1.8599999999999998E-2</v>
      </c>
      <c r="D38">
        <v>1.788E-2</v>
      </c>
      <c r="E38">
        <v>1.8380000000000001E-2</v>
      </c>
      <c r="F38">
        <v>96415635</v>
      </c>
      <c r="G38">
        <v>1.8380000000000001E-2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0.38888888888889317</v>
      </c>
      <c r="Q38">
        <f t="shared" ref="Q38" si="166">F38*P38</f>
        <v>37494969.166667081</v>
      </c>
      <c r="R38">
        <f t="shared" ref="R38" si="167">R39+Q38</f>
        <v>-5918851180.7535782</v>
      </c>
      <c r="S38">
        <f t="shared" ref="S38" si="168">R38/100000</f>
        <v>-59188.511807535782</v>
      </c>
      <c r="T38">
        <f t="shared" ref="T38" si="169">S38/1000</f>
        <v>-59.188511807535782</v>
      </c>
    </row>
    <row r="39" spans="1:20" x14ac:dyDescent="0.25">
      <c r="A39" s="5">
        <v>44554</v>
      </c>
      <c r="B39">
        <v>1.8429999999999998E-2</v>
      </c>
      <c r="C39">
        <v>1.8849999999999999E-2</v>
      </c>
      <c r="D39">
        <v>1.7819999999999999E-2</v>
      </c>
      <c r="E39">
        <v>1.7979999999999999E-2</v>
      </c>
      <c r="F39">
        <v>112092375</v>
      </c>
      <c r="G39">
        <v>1.7979999999999999E-2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-0.6893203883495137</v>
      </c>
      <c r="Q39">
        <f t="shared" ref="Q39" si="171">F39*P39</f>
        <v>-77267559.466019318</v>
      </c>
      <c r="R39">
        <f t="shared" ref="R39" si="172">R40+Q39</f>
        <v>-5956346149.9202452</v>
      </c>
      <c r="S39">
        <f t="shared" ref="S39" si="173">R39/100000</f>
        <v>-59563.461499202451</v>
      </c>
      <c r="T39">
        <f t="shared" ref="T39" si="174">S39/1000</f>
        <v>-59.563461499202454</v>
      </c>
    </row>
    <row r="40" spans="1:20" x14ac:dyDescent="0.25">
      <c r="A40" s="5">
        <v>44553</v>
      </c>
      <c r="B40">
        <v>1.7239999999999998E-2</v>
      </c>
      <c r="C40">
        <v>1.9E-2</v>
      </c>
      <c r="D40">
        <v>1.6899999999999998E-2</v>
      </c>
      <c r="E40">
        <v>1.8429999999999998E-2</v>
      </c>
      <c r="F40">
        <v>136140733</v>
      </c>
      <c r="G40">
        <v>1.8429999999999998E-2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0.45714285714285646</v>
      </c>
      <c r="Q40">
        <f t="shared" ref="Q40" si="176">F40*P40</f>
        <v>62235763.657142766</v>
      </c>
      <c r="R40">
        <f t="shared" ref="R40" si="177">R41+Q40</f>
        <v>-5879078590.4542255</v>
      </c>
      <c r="S40">
        <f t="shared" ref="S40" si="178">R40/100000</f>
        <v>-58790.785904542252</v>
      </c>
      <c r="T40">
        <f t="shared" ref="T40" si="179">S40/1000</f>
        <v>-58.790785904542254</v>
      </c>
    </row>
    <row r="41" spans="1:20" x14ac:dyDescent="0.25">
      <c r="A41" s="5">
        <v>44552</v>
      </c>
      <c r="B41">
        <v>1.7350000000000001E-2</v>
      </c>
      <c r="C41">
        <v>1.83E-2</v>
      </c>
      <c r="D41">
        <v>1.7080000000000001E-2</v>
      </c>
      <c r="E41">
        <v>1.7239999999999998E-2</v>
      </c>
      <c r="F41">
        <v>142073517</v>
      </c>
      <c r="G41">
        <v>1.7239999999999998E-2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-0.73770491803279159</v>
      </c>
      <c r="Q41">
        <f t="shared" ref="Q41" si="181">F41*P41</f>
        <v>-104808332.21311542</v>
      </c>
      <c r="R41">
        <f t="shared" ref="R41" si="182">R42+Q41</f>
        <v>-5941314354.1113682</v>
      </c>
      <c r="S41">
        <f t="shared" ref="S41" si="183">R41/100000</f>
        <v>-59413.143541113684</v>
      </c>
      <c r="T41">
        <f t="shared" ref="T41" si="184">S41/1000</f>
        <v>-59.413143541113683</v>
      </c>
    </row>
    <row r="42" spans="1:20" x14ac:dyDescent="0.25">
      <c r="A42" s="5">
        <v>44551</v>
      </c>
      <c r="B42">
        <v>1.6670000000000001E-2</v>
      </c>
      <c r="C42">
        <v>1.77E-2</v>
      </c>
      <c r="D42">
        <v>1.6490000000000001E-2</v>
      </c>
      <c r="E42">
        <v>1.7350000000000001E-2</v>
      </c>
      <c r="F42">
        <v>122731020</v>
      </c>
      <c r="G42">
        <v>1.7350000000000001E-2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0.42148760330578539</v>
      </c>
      <c r="Q42">
        <f t="shared" ref="Q42" si="186">F42*P42</f>
        <v>51729603.47107441</v>
      </c>
      <c r="R42">
        <f t="shared" ref="R42" si="187">R43+Q42</f>
        <v>-5836506021.8982525</v>
      </c>
      <c r="S42">
        <f t="shared" ref="S42" si="188">R42/100000</f>
        <v>-58365.060218982522</v>
      </c>
      <c r="T42">
        <f t="shared" ref="T42" si="189">S42/1000</f>
        <v>-58.365060218982521</v>
      </c>
    </row>
    <row r="43" spans="1:20" x14ac:dyDescent="0.25">
      <c r="A43" s="5">
        <v>44550</v>
      </c>
      <c r="B43">
        <v>1.6729999999999998E-2</v>
      </c>
      <c r="C43">
        <v>1.7010000000000001E-2</v>
      </c>
      <c r="D43">
        <v>1.5599999999999999E-2</v>
      </c>
      <c r="E43">
        <v>1.6639999999999999E-2</v>
      </c>
      <c r="F43">
        <v>122846087</v>
      </c>
      <c r="G43">
        <v>1.6639999999999999E-2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0.47517730496453636</v>
      </c>
      <c r="Q43">
        <f t="shared" ref="Q43" si="191">F43*P43</f>
        <v>58373672.546098962</v>
      </c>
      <c r="R43">
        <f t="shared" ref="R43" si="192">R44+Q43</f>
        <v>-5888235625.3693266</v>
      </c>
      <c r="S43">
        <f t="shared" ref="S43" si="193">R43/100000</f>
        <v>-58882.356253693266</v>
      </c>
      <c r="T43">
        <f t="shared" ref="T43" si="194">S43/1000</f>
        <v>-58.882356253693267</v>
      </c>
    </row>
    <row r="44" spans="1:20" x14ac:dyDescent="0.25">
      <c r="A44" s="5">
        <v>44549</v>
      </c>
      <c r="B44">
        <v>1.694E-2</v>
      </c>
      <c r="C44">
        <v>1.7299999999999999E-2</v>
      </c>
      <c r="D44">
        <v>1.6449999999999999E-2</v>
      </c>
      <c r="E44">
        <v>1.6740000000000001E-2</v>
      </c>
      <c r="F44">
        <v>91398840</v>
      </c>
      <c r="G44">
        <v>1.6740000000000001E-2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-0.31764705882352462</v>
      </c>
      <c r="Q44">
        <f t="shared" ref="Q44" si="196">F44*P44</f>
        <v>-29032572.705881916</v>
      </c>
      <c r="R44">
        <f t="shared" ref="R44" si="197">R45+Q44</f>
        <v>-5946609297.9154253</v>
      </c>
      <c r="S44">
        <f t="shared" ref="S44" si="198">R44/100000</f>
        <v>-59466.092979154251</v>
      </c>
      <c r="T44">
        <f t="shared" ref="T44" si="199">S44/1000</f>
        <v>-59.466092979154254</v>
      </c>
    </row>
    <row r="45" spans="1:20" x14ac:dyDescent="0.25">
      <c r="A45" s="5">
        <v>44548</v>
      </c>
      <c r="B45">
        <v>1.6369999999999999E-2</v>
      </c>
      <c r="C45">
        <v>1.7260000000000001E-2</v>
      </c>
      <c r="D45">
        <v>1.5959999999999998E-2</v>
      </c>
      <c r="E45">
        <v>1.6969999999999999E-2</v>
      </c>
      <c r="F45">
        <v>116668009</v>
      </c>
      <c r="G45">
        <v>1.6969999999999999E-2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0.55384615384615155</v>
      </c>
      <c r="Q45">
        <f t="shared" ref="Q45" si="201">F45*P45</f>
        <v>64616128.06153819</v>
      </c>
      <c r="R45">
        <f t="shared" ref="R45" si="202">R46+Q45</f>
        <v>-5917576725.2095432</v>
      </c>
      <c r="S45">
        <f t="shared" ref="S45" si="203">R45/100000</f>
        <v>-59175.767252095429</v>
      </c>
      <c r="T45">
        <f t="shared" ref="T45" si="204">S45/1000</f>
        <v>-59.175767252095426</v>
      </c>
    </row>
    <row r="46" spans="1:20" x14ac:dyDescent="0.25">
      <c r="A46" s="5">
        <v>44547</v>
      </c>
      <c r="B46">
        <v>1.7469999999999999E-2</v>
      </c>
      <c r="C46">
        <v>1.7639999999999999E-2</v>
      </c>
      <c r="D46">
        <v>1.6119999999999999E-2</v>
      </c>
      <c r="E46">
        <v>1.6379999999999999E-2</v>
      </c>
      <c r="F46">
        <v>140419188</v>
      </c>
      <c r="G46">
        <v>1.6379999999999999E-2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-0.65789473684210564</v>
      </c>
      <c r="Q46">
        <f t="shared" ref="Q46" si="206">F46*P46</f>
        <v>-92381044.736842155</v>
      </c>
      <c r="R46">
        <f t="shared" ref="R46" si="207">R47+Q46</f>
        <v>-5982192853.271081</v>
      </c>
      <c r="S46">
        <f t="shared" ref="S46" si="208">R46/100000</f>
        <v>-59821.928532710808</v>
      </c>
      <c r="T46">
        <f t="shared" ref="T46" si="209">S46/1000</f>
        <v>-59.821928532710807</v>
      </c>
    </row>
    <row r="47" spans="1:20" x14ac:dyDescent="0.25">
      <c r="A47" s="5">
        <v>44546</v>
      </c>
      <c r="B47">
        <v>1.7729999999999999E-2</v>
      </c>
      <c r="C47">
        <v>1.8149999999999999E-2</v>
      </c>
      <c r="D47">
        <v>1.7000000000000001E-2</v>
      </c>
      <c r="E47">
        <v>1.746E-2</v>
      </c>
      <c r="F47">
        <v>125550529</v>
      </c>
      <c r="G47">
        <v>1.746E-2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-0.2000000000000012</v>
      </c>
      <c r="Q47">
        <f t="shared" ref="Q47" si="211">F47*P47</f>
        <v>-25110105.80000015</v>
      </c>
      <c r="R47">
        <f t="shared" ref="R47" si="212">R48+Q47</f>
        <v>-5889811808.5342388</v>
      </c>
      <c r="S47">
        <f t="shared" ref="S47" si="213">R47/100000</f>
        <v>-58898.118085342387</v>
      </c>
      <c r="T47">
        <f t="shared" ref="T47" si="214">S47/1000</f>
        <v>-58.898118085342389</v>
      </c>
    </row>
    <row r="48" spans="1:20" x14ac:dyDescent="0.25">
      <c r="A48" s="5">
        <v>44545</v>
      </c>
      <c r="B48">
        <v>1.7500000000000002E-2</v>
      </c>
      <c r="C48">
        <v>1.8069999999999999E-2</v>
      </c>
      <c r="D48">
        <v>1.6E-2</v>
      </c>
      <c r="E48">
        <v>1.7729999999999999E-2</v>
      </c>
      <c r="F48">
        <v>120228204</v>
      </c>
      <c r="G48">
        <v>1.7729999999999999E-2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0.67149758454106256</v>
      </c>
      <c r="Q48">
        <f t="shared" ref="Q48" si="216">F48*P48</f>
        <v>80732948.579710111</v>
      </c>
      <c r="R48">
        <f t="shared" ref="R48" si="217">R49+Q48</f>
        <v>-5864701702.7342386</v>
      </c>
      <c r="S48">
        <f t="shared" ref="S48" si="218">R48/100000</f>
        <v>-58647.017027342386</v>
      </c>
      <c r="T48">
        <f t="shared" ref="T48" si="219">S48/1000</f>
        <v>-58.647017027342386</v>
      </c>
    </row>
    <row r="49" spans="1:20" x14ac:dyDescent="0.25">
      <c r="A49" s="5">
        <v>44544</v>
      </c>
      <c r="B49">
        <v>1.7080000000000001E-2</v>
      </c>
      <c r="C49">
        <v>1.8499999999999999E-2</v>
      </c>
      <c r="D49">
        <v>1.652E-2</v>
      </c>
      <c r="E49">
        <v>1.7469999999999999E-2</v>
      </c>
      <c r="F49">
        <v>129667935</v>
      </c>
      <c r="G49">
        <v>1.7469999999999999E-2</v>
      </c>
      <c r="L49" t="s">
        <v>8</v>
      </c>
      <c r="M49" t="s">
        <v>7</v>
      </c>
      <c r="N49" t="s">
        <v>7</v>
      </c>
      <c r="P49">
        <f t="shared" ref="P49" si="220">IF(C49=D49,0,((E49-D49)-(C49-E49))/(C49-D49))</f>
        <v>-4.0404040404040525E-2</v>
      </c>
      <c r="Q49">
        <f t="shared" ref="Q49" si="221">F49*P49</f>
        <v>-5239108.4848485002</v>
      </c>
      <c r="R49">
        <f t="shared" ref="R49" si="222">R50+Q49</f>
        <v>-5945434651.3139486</v>
      </c>
      <c r="S49">
        <f t="shared" ref="S49" si="223">R49/100000</f>
        <v>-59454.346513139484</v>
      </c>
      <c r="T49">
        <f t="shared" ref="T49" si="224">S49/1000</f>
        <v>-59.454346513139484</v>
      </c>
    </row>
    <row r="50" spans="1:20" x14ac:dyDescent="0.25">
      <c r="A50" s="5">
        <v>44543</v>
      </c>
      <c r="B50">
        <v>1.8710000000000001E-2</v>
      </c>
      <c r="C50">
        <v>1.8790000000000001E-2</v>
      </c>
      <c r="D50">
        <v>1.6500000000000001E-2</v>
      </c>
      <c r="E50">
        <v>1.712E-2</v>
      </c>
      <c r="F50">
        <v>166138488</v>
      </c>
      <c r="G50">
        <v>1.712E-2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-0.45851528384279572</v>
      </c>
      <c r="Q50">
        <f t="shared" ref="Q50" si="226">F50*P50</f>
        <v>-76177035.982532904</v>
      </c>
      <c r="R50">
        <f t="shared" ref="R50" si="227">R51+Q50</f>
        <v>-5940195542.8290997</v>
      </c>
      <c r="S50">
        <f t="shared" ref="S50" si="228">R50/100000</f>
        <v>-59401.955428290996</v>
      </c>
      <c r="T50">
        <f t="shared" ref="T50" si="229">S50/1000</f>
        <v>-59.401955428290997</v>
      </c>
    </row>
    <row r="51" spans="1:20" x14ac:dyDescent="0.25">
      <c r="A51" s="5">
        <v>44542</v>
      </c>
      <c r="B51">
        <v>1.8579999999999999E-2</v>
      </c>
      <c r="C51">
        <v>1.9140000000000001E-2</v>
      </c>
      <c r="D51">
        <v>1.8200000000000001E-2</v>
      </c>
      <c r="E51">
        <v>1.8749999999999999E-2</v>
      </c>
      <c r="F51">
        <v>75840985</v>
      </c>
      <c r="G51">
        <v>1.8749999999999999E-2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0.17021276595744358</v>
      </c>
      <c r="Q51">
        <f t="shared" ref="Q51" si="231">F51*P51</f>
        <v>12909103.82978699</v>
      </c>
      <c r="R51">
        <f t="shared" ref="R51" si="232">R52+Q51</f>
        <v>-5864018506.8465672</v>
      </c>
      <c r="S51">
        <f t="shared" ref="S51" si="233">R51/100000</f>
        <v>-58640.185068465675</v>
      </c>
      <c r="T51">
        <f t="shared" ref="T51" si="234">S51/1000</f>
        <v>-58.640185068465676</v>
      </c>
    </row>
    <row r="52" spans="1:20" x14ac:dyDescent="0.25">
      <c r="A52" s="5">
        <v>44541</v>
      </c>
      <c r="B52">
        <v>1.77E-2</v>
      </c>
      <c r="C52">
        <v>1.797E-2</v>
      </c>
      <c r="D52">
        <v>1.7309999999999999E-2</v>
      </c>
      <c r="E52">
        <v>1.7950000000000001E-2</v>
      </c>
      <c r="F52">
        <v>7550601</v>
      </c>
      <c r="G52">
        <v>1.7950000000000001E-2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0.93939393939394189</v>
      </c>
      <c r="Q52">
        <f t="shared" ref="Q52" si="236">F52*P52</f>
        <v>7092988.818181837</v>
      </c>
      <c r="R52">
        <f t="shared" ref="R52" si="237">R53+Q52</f>
        <v>-5876927610.6763544</v>
      </c>
      <c r="S52">
        <f t="shared" ref="S52" si="238">R52/100000</f>
        <v>-58769.276106763544</v>
      </c>
      <c r="T52">
        <f t="shared" ref="T52" si="239">S52/1000</f>
        <v>-58.769276106763542</v>
      </c>
    </row>
    <row r="53" spans="1:20" x14ac:dyDescent="0.25">
      <c r="A53" s="5">
        <v>44540</v>
      </c>
      <c r="B53">
        <v>1.8110000000000001E-2</v>
      </c>
      <c r="C53">
        <v>1.915E-2</v>
      </c>
      <c r="D53">
        <v>1.7440000000000001E-2</v>
      </c>
      <c r="E53">
        <v>1.7670000000000002E-2</v>
      </c>
      <c r="F53">
        <v>159907250</v>
      </c>
      <c r="G53">
        <v>1.7670000000000002E-2</v>
      </c>
      <c r="L53" t="s">
        <v>7</v>
      </c>
      <c r="M53" t="s">
        <v>8</v>
      </c>
      <c r="N53" t="s">
        <v>7</v>
      </c>
      <c r="P53">
        <f t="shared" ref="P53" si="240">IF(C53=D53,0,((E53-D53)-(C53-E53))/(C53-D53))</f>
        <v>-0.73099415204678242</v>
      </c>
      <c r="Q53">
        <f t="shared" ref="Q53" si="241">F53*P53</f>
        <v>-116891264.61988285</v>
      </c>
      <c r="R53">
        <f t="shared" ref="R53" si="242">R54+Q53</f>
        <v>-5884020599.4945364</v>
      </c>
      <c r="S53">
        <f t="shared" ref="S53" si="243">R53/100000</f>
        <v>-58840.205994945361</v>
      </c>
      <c r="T53">
        <f t="shared" ref="T53" si="244">S53/1000</f>
        <v>-58.840205994945364</v>
      </c>
    </row>
    <row r="54" spans="1:20" x14ac:dyDescent="0.25">
      <c r="A54" s="5">
        <v>44539</v>
      </c>
      <c r="B54">
        <v>1.983E-2</v>
      </c>
      <c r="C54">
        <v>2.0160000000000001E-2</v>
      </c>
      <c r="D54">
        <v>1.8020000000000001E-2</v>
      </c>
      <c r="E54">
        <v>1.813E-2</v>
      </c>
      <c r="F54">
        <v>174432257</v>
      </c>
      <c r="G54">
        <v>1.813E-2</v>
      </c>
      <c r="L54" t="s">
        <v>7</v>
      </c>
      <c r="M54" t="s">
        <v>8</v>
      </c>
      <c r="N54" t="s">
        <v>7</v>
      </c>
      <c r="P54">
        <f t="shared" ref="P54" si="245">IF(C54=D54,0,((E54-D54)-(C54-E54))/(C54-D54))</f>
        <v>-0.89719626168224387</v>
      </c>
      <c r="Q54">
        <f t="shared" ref="Q54" si="246">F54*P54</f>
        <v>-156499968.89719641</v>
      </c>
      <c r="R54">
        <f t="shared" ref="R54" si="247">R55+Q54</f>
        <v>-5767129334.8746538</v>
      </c>
      <c r="S54">
        <f t="shared" ref="S54" si="248">R54/100000</f>
        <v>-57671.293348746542</v>
      </c>
      <c r="T54">
        <f t="shared" ref="T54" si="249">S54/1000</f>
        <v>-57.671293348746545</v>
      </c>
    </row>
    <row r="55" spans="1:20" x14ac:dyDescent="0.25">
      <c r="A55" s="5">
        <v>44538</v>
      </c>
      <c r="B55">
        <v>1.9769999999999999E-2</v>
      </c>
      <c r="C55">
        <v>2.0240000000000001E-2</v>
      </c>
      <c r="D55">
        <v>1.857E-2</v>
      </c>
      <c r="E55">
        <v>1.983E-2</v>
      </c>
      <c r="F55">
        <v>141743540</v>
      </c>
      <c r="G55">
        <v>1.983E-2</v>
      </c>
      <c r="L55" t="s">
        <v>7</v>
      </c>
      <c r="M55" t="s">
        <v>8</v>
      </c>
      <c r="N55" t="s">
        <v>7</v>
      </c>
      <c r="P55">
        <f t="shared" ref="P55" si="250">IF(C55=D55,0,((E55-D55)-(C55-E55))/(C55-D55))</f>
        <v>0.50898203592814339</v>
      </c>
      <c r="Q55">
        <f t="shared" ref="Q55" si="251">F55*P55</f>
        <v>72144915.56886223</v>
      </c>
      <c r="R55">
        <f t="shared" ref="R55" si="252">R56+Q55</f>
        <v>-5610629365.977457</v>
      </c>
      <c r="S55">
        <f t="shared" ref="S55" si="253">R55/100000</f>
        <v>-56106.293659774572</v>
      </c>
      <c r="T55">
        <f t="shared" ref="T55" si="254">S55/1000</f>
        <v>-56.106293659774572</v>
      </c>
    </row>
    <row r="56" spans="1:20" x14ac:dyDescent="0.25">
      <c r="A56" s="5">
        <v>44537</v>
      </c>
      <c r="B56">
        <v>1.9869999999999999E-2</v>
      </c>
      <c r="C56">
        <v>2.06E-2</v>
      </c>
      <c r="D56">
        <v>1.9529999999999999E-2</v>
      </c>
      <c r="E56">
        <v>1.9769999999999999E-2</v>
      </c>
      <c r="F56">
        <v>151260747</v>
      </c>
      <c r="G56">
        <v>1.9769999999999999E-2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-0.55140186915887801</v>
      </c>
      <c r="Q56">
        <f t="shared" ref="Q56" si="256">F56*P56</f>
        <v>-83405458.626168147</v>
      </c>
      <c r="R56">
        <f t="shared" ref="R56" si="257">R57+Q56</f>
        <v>-5682774281.546319</v>
      </c>
      <c r="S56">
        <f t="shared" ref="S56" si="258">R56/100000</f>
        <v>-56827.742815463193</v>
      </c>
      <c r="T56">
        <f t="shared" ref="T56" si="259">S56/1000</f>
        <v>-56.827742815463189</v>
      </c>
    </row>
    <row r="57" spans="1:20" x14ac:dyDescent="0.25">
      <c r="A57" s="5">
        <v>44536</v>
      </c>
      <c r="B57">
        <v>1.9820000000000001E-2</v>
      </c>
      <c r="C57">
        <v>2.0719999999999999E-2</v>
      </c>
      <c r="D57">
        <v>1.7930000000000001E-2</v>
      </c>
      <c r="E57">
        <v>1.9869999999999999E-2</v>
      </c>
      <c r="F57">
        <v>347441716</v>
      </c>
      <c r="G57">
        <v>1.9869999999999999E-2</v>
      </c>
      <c r="L57" t="s">
        <v>7</v>
      </c>
      <c r="M57" t="s">
        <v>8</v>
      </c>
      <c r="N57" t="s">
        <v>7</v>
      </c>
      <c r="P57">
        <f t="shared" ref="P57" si="260">IF(C57=D57,0,((E57-D57)-(C57-E57))/(C57-D57))</f>
        <v>0.39068100358422875</v>
      </c>
      <c r="Q57">
        <f t="shared" ref="Q57" si="261">F57*P57</f>
        <v>135738878.2939066</v>
      </c>
      <c r="R57">
        <f t="shared" ref="R57" si="262">R58+Q57</f>
        <v>-5599368822.9201508</v>
      </c>
      <c r="S57">
        <f t="shared" ref="S57" si="263">R57/100000</f>
        <v>-55993.688229201507</v>
      </c>
      <c r="T57">
        <f t="shared" ref="T57" si="264">S57/1000</f>
        <v>-55.99368822920151</v>
      </c>
    </row>
    <row r="58" spans="1:20" x14ac:dyDescent="0.25">
      <c r="A58" s="5">
        <v>44535</v>
      </c>
      <c r="B58">
        <v>1.9369999999999998E-2</v>
      </c>
      <c r="C58">
        <v>2.0820000000000002E-2</v>
      </c>
      <c r="D58">
        <v>1.755E-2</v>
      </c>
      <c r="E58">
        <v>1.9820000000000001E-2</v>
      </c>
      <c r="F58">
        <v>207280940</v>
      </c>
      <c r="G58">
        <v>1.9820000000000001E-2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0.38837920489296618</v>
      </c>
      <c r="Q58">
        <f t="shared" ref="Q58" si="266">F58*P58</f>
        <v>80503606.666666627</v>
      </c>
      <c r="R58">
        <f t="shared" ref="R58" si="267">R59+Q58</f>
        <v>-5735107701.214057</v>
      </c>
      <c r="S58">
        <f t="shared" ref="S58" si="268">R58/100000</f>
        <v>-57351.077012140573</v>
      </c>
      <c r="T58">
        <f t="shared" ref="T58" si="269">S58/1000</f>
        <v>-57.351077012140571</v>
      </c>
    </row>
    <row r="59" spans="1:20" x14ac:dyDescent="0.25">
      <c r="A59" s="5">
        <v>44534</v>
      </c>
      <c r="B59">
        <v>2.2720000000000001E-2</v>
      </c>
      <c r="C59">
        <v>2.4E-2</v>
      </c>
      <c r="D59">
        <v>1.555E-2</v>
      </c>
      <c r="E59">
        <v>1.9369999999999998E-2</v>
      </c>
      <c r="F59">
        <v>358569172</v>
      </c>
      <c r="G59">
        <v>1.9369999999999998E-2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-9.5857988165680863E-2</v>
      </c>
      <c r="Q59">
        <f t="shared" ref="Q59" si="271">F59*P59</f>
        <v>-34371719.446153983</v>
      </c>
      <c r="R59">
        <f t="shared" ref="R59" si="272">R60+Q59</f>
        <v>-5815611307.880724</v>
      </c>
      <c r="S59">
        <f t="shared" ref="S59" si="273">R59/100000</f>
        <v>-58156.113078807241</v>
      </c>
      <c r="T59">
        <f t="shared" ref="T59" si="274">S59/1000</f>
        <v>-58.156113078807238</v>
      </c>
    </row>
    <row r="60" spans="1:20" x14ac:dyDescent="0.25">
      <c r="A60" s="5">
        <v>44533</v>
      </c>
      <c r="B60">
        <v>2.4039999999999999E-2</v>
      </c>
      <c r="C60">
        <v>2.589E-2</v>
      </c>
      <c r="D60">
        <v>2.2110000000000001E-2</v>
      </c>
      <c r="E60">
        <v>2.2710000000000001E-2</v>
      </c>
      <c r="F60">
        <v>314342056</v>
      </c>
      <c r="G60">
        <v>2.2710000000000001E-2</v>
      </c>
      <c r="L60" t="s">
        <v>8</v>
      </c>
      <c r="M60" t="s">
        <v>8</v>
      </c>
      <c r="N60" t="s">
        <v>7</v>
      </c>
      <c r="P60">
        <f t="shared" ref="P60" si="275">IF(C60=D60,0,((E60-D60)-(C60-E60))/(C60-D60))</f>
        <v>-0.68253968253968256</v>
      </c>
      <c r="Q60">
        <f t="shared" ref="Q60" si="276">F60*P60</f>
        <v>-214550927.1111111</v>
      </c>
      <c r="R60">
        <f t="shared" ref="R60" si="277">R61+Q60</f>
        <v>-5781239588.4345703</v>
      </c>
      <c r="S60">
        <f t="shared" ref="S60" si="278">R60/100000</f>
        <v>-57812.3958843457</v>
      </c>
      <c r="T60">
        <f t="shared" ref="T60" si="279">S60/1000</f>
        <v>-57.812395884345698</v>
      </c>
    </row>
    <row r="61" spans="1:20" x14ac:dyDescent="0.25">
      <c r="A61" s="5">
        <v>44532</v>
      </c>
      <c r="B61">
        <v>2.3109999999999999E-2</v>
      </c>
      <c r="C61">
        <v>2.52E-2</v>
      </c>
      <c r="D61">
        <v>2.247E-2</v>
      </c>
      <c r="E61">
        <v>2.4039999999999999E-2</v>
      </c>
      <c r="F61">
        <v>291335035</v>
      </c>
      <c r="G61">
        <v>2.4039999999999999E-2</v>
      </c>
      <c r="L61" t="s">
        <v>8</v>
      </c>
      <c r="M61" t="s">
        <v>7</v>
      </c>
      <c r="N61" t="s">
        <v>7</v>
      </c>
      <c r="P61">
        <f t="shared" ref="P61" si="280">IF(C61=D61,0,((E61-D61)-(C61-E61))/(C61-D61))</f>
        <v>0.15018315018314915</v>
      </c>
      <c r="Q61">
        <f t="shared" ref="Q61" si="281">F61*P61</f>
        <v>43753613.315018013</v>
      </c>
      <c r="R61">
        <f t="shared" ref="R61" si="282">R62+Q61</f>
        <v>-5566688661.3234596</v>
      </c>
      <c r="S61">
        <f t="shared" ref="S61" si="283">R61/100000</f>
        <v>-55666.886613234594</v>
      </c>
      <c r="T61">
        <f t="shared" ref="T61" si="284">S61/1000</f>
        <v>-55.666886613234595</v>
      </c>
    </row>
    <row r="62" spans="1:20" x14ac:dyDescent="0.25">
      <c r="A62" s="5">
        <v>44531</v>
      </c>
      <c r="B62">
        <v>2.368E-2</v>
      </c>
      <c r="C62">
        <v>2.4420000000000001E-2</v>
      </c>
      <c r="D62">
        <v>2.2800000000000001E-2</v>
      </c>
      <c r="E62">
        <v>2.3140000000000001E-2</v>
      </c>
      <c r="F62">
        <v>118562241</v>
      </c>
      <c r="G62">
        <v>2.3140000000000001E-2</v>
      </c>
      <c r="L62" t="s">
        <v>8</v>
      </c>
      <c r="M62" t="s">
        <v>7</v>
      </c>
      <c r="N62" t="s">
        <v>7</v>
      </c>
      <c r="P62">
        <f t="shared" ref="P62" si="285">IF(C62=D62,0,((E62-D62)-(C62-E62))/(C62-D62))</f>
        <v>-0.58024691358024683</v>
      </c>
      <c r="Q62">
        <f t="shared" ref="Q62" si="286">F62*P62</f>
        <v>-68795374.407407403</v>
      </c>
      <c r="R62">
        <f t="shared" ref="R62" si="287">R63+Q62</f>
        <v>-5610442274.6384773</v>
      </c>
      <c r="S62">
        <f t="shared" ref="S62" si="288">R62/100000</f>
        <v>-56104.422746384771</v>
      </c>
      <c r="T62">
        <f t="shared" ref="T62" si="289">S62/1000</f>
        <v>-56.10442274638477</v>
      </c>
    </row>
    <row r="63" spans="1:20" x14ac:dyDescent="0.25">
      <c r="A63" s="5">
        <v>44530</v>
      </c>
      <c r="B63">
        <v>2.383E-2</v>
      </c>
      <c r="C63">
        <v>2.4299999999999999E-2</v>
      </c>
      <c r="D63">
        <v>2.2759999999999999E-2</v>
      </c>
      <c r="E63">
        <v>2.367E-2</v>
      </c>
      <c r="F63">
        <v>187399707</v>
      </c>
      <c r="G63">
        <v>2.367E-2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0.18181818181818346</v>
      </c>
      <c r="Q63">
        <f t="shared" ref="Q63" si="291">F63*P63</f>
        <v>34072674.000000305</v>
      </c>
      <c r="R63">
        <f t="shared" ref="R63" si="292">R64+Q63</f>
        <v>-5541646900.2310696</v>
      </c>
      <c r="S63">
        <f t="shared" ref="S63" si="293">R63/100000</f>
        <v>-55416.469002310696</v>
      </c>
      <c r="T63">
        <f t="shared" ref="T63" si="294">S63/1000</f>
        <v>-55.416469002310698</v>
      </c>
    </row>
    <row r="64" spans="1:20" x14ac:dyDescent="0.25">
      <c r="A64" s="5">
        <v>44529</v>
      </c>
      <c r="B64">
        <v>2.4039999999999999E-2</v>
      </c>
      <c r="C64">
        <v>2.5000000000000001E-2</v>
      </c>
      <c r="D64">
        <v>2.3550000000000001E-2</v>
      </c>
      <c r="E64">
        <v>2.3820000000000001E-2</v>
      </c>
      <c r="F64">
        <v>130904529</v>
      </c>
      <c r="G64">
        <v>2.3820000000000001E-2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-0.62758620689655253</v>
      </c>
      <c r="Q64">
        <f t="shared" ref="Q64" si="296">F64*P64</f>
        <v>-82153876.820689768</v>
      </c>
      <c r="R64">
        <f t="shared" ref="R64" si="297">R65+Q64</f>
        <v>-5575719574.2310696</v>
      </c>
      <c r="S64">
        <f t="shared" ref="S64" si="298">R64/100000</f>
        <v>-55757.195742310694</v>
      </c>
      <c r="T64">
        <f t="shared" ref="T64" si="299">S64/1000</f>
        <v>-55.757195742310692</v>
      </c>
    </row>
    <row r="65" spans="1:20" x14ac:dyDescent="0.25">
      <c r="A65" s="5">
        <v>44528</v>
      </c>
      <c r="B65">
        <v>2.359E-2</v>
      </c>
      <c r="C65">
        <v>2.4400000000000002E-2</v>
      </c>
      <c r="D65">
        <v>2.1999999999999999E-2</v>
      </c>
      <c r="E65">
        <v>2.4049999999999998E-2</v>
      </c>
      <c r="F65">
        <v>170013392</v>
      </c>
      <c r="G65">
        <v>2.4049999999999998E-2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0.70833333333333115</v>
      </c>
      <c r="Q65">
        <f t="shared" ref="Q65" si="301">F65*P65</f>
        <v>120426152.6666663</v>
      </c>
      <c r="R65">
        <f t="shared" ref="R65" si="302">R66+Q65</f>
        <v>-5493565697.4103794</v>
      </c>
      <c r="S65">
        <f t="shared" ref="S65" si="303">R65/100000</f>
        <v>-54935.656974103797</v>
      </c>
      <c r="T65">
        <f t="shared" ref="T65" si="304">S65/1000</f>
        <v>-54.935656974103793</v>
      </c>
    </row>
    <row r="66" spans="1:20" x14ac:dyDescent="0.25">
      <c r="A66" s="5">
        <v>44527</v>
      </c>
      <c r="B66">
        <v>2.2919999999999999E-2</v>
      </c>
      <c r="C66">
        <v>2.5000000000000001E-2</v>
      </c>
      <c r="D66">
        <v>2.282E-2</v>
      </c>
      <c r="E66">
        <v>2.359E-2</v>
      </c>
      <c r="F66">
        <v>171625819</v>
      </c>
      <c r="G66">
        <v>2.359E-2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-0.29357798165137672</v>
      </c>
      <c r="Q66">
        <f t="shared" ref="Q66" si="306">F66*P66</f>
        <v>-50385561.541284502</v>
      </c>
      <c r="R66">
        <f t="shared" ref="R66" si="307">R67+Q66</f>
        <v>-5613991850.0770454</v>
      </c>
      <c r="S66">
        <f t="shared" ref="S66" si="308">R66/100000</f>
        <v>-56139.918500770451</v>
      </c>
      <c r="T66">
        <f t="shared" ref="T66" si="309">S66/1000</f>
        <v>-56.139918500770449</v>
      </c>
    </row>
    <row r="67" spans="1:20" x14ac:dyDescent="0.25">
      <c r="A67" s="5">
        <v>44526</v>
      </c>
      <c r="B67">
        <v>2.521E-2</v>
      </c>
      <c r="C67">
        <v>2.5610000000000001E-2</v>
      </c>
      <c r="D67">
        <v>2.2100000000000002E-2</v>
      </c>
      <c r="E67">
        <v>2.2960000000000001E-2</v>
      </c>
      <c r="F67">
        <v>264660926</v>
      </c>
      <c r="G67">
        <v>2.2960000000000001E-2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-0.50997150997151008</v>
      </c>
      <c r="Q67">
        <f t="shared" ref="Q67" si="311">F67*P67</f>
        <v>-134969532.0626781</v>
      </c>
      <c r="R67">
        <f t="shared" ref="R67" si="312">R68+Q67</f>
        <v>-5563606288.5357609</v>
      </c>
      <c r="S67">
        <f t="shared" ref="S67" si="313">R67/100000</f>
        <v>-55636.062885357605</v>
      </c>
      <c r="T67">
        <f t="shared" ref="T67" si="314">S67/1000</f>
        <v>-55.636062885357603</v>
      </c>
    </row>
    <row r="68" spans="1:20" x14ac:dyDescent="0.25">
      <c r="A68" s="5">
        <v>44525</v>
      </c>
      <c r="B68">
        <v>2.3769999999999999E-2</v>
      </c>
      <c r="C68">
        <v>2.5739999999999999E-2</v>
      </c>
      <c r="D68">
        <v>2.3599999999999999E-2</v>
      </c>
      <c r="E68">
        <v>2.5270000000000001E-2</v>
      </c>
      <c r="F68">
        <v>256554345</v>
      </c>
      <c r="G68">
        <v>2.5270000000000001E-2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0.56074766355140349</v>
      </c>
      <c r="Q68">
        <f t="shared" ref="Q68" si="316">F68*P68</f>
        <v>143862249.5327107</v>
      </c>
      <c r="R68">
        <f t="shared" ref="R68" si="317">R69+Q68</f>
        <v>-5428636756.4730825</v>
      </c>
      <c r="S68">
        <f t="shared" ref="S68" si="318">R68/100000</f>
        <v>-54286.367564730826</v>
      </c>
      <c r="T68">
        <f t="shared" ref="T68" si="319">S68/1000</f>
        <v>-54.286367564730824</v>
      </c>
    </row>
    <row r="69" spans="1:20" x14ac:dyDescent="0.25">
      <c r="A69" s="5">
        <v>44524</v>
      </c>
      <c r="B69">
        <v>2.5420000000000002E-2</v>
      </c>
      <c r="C69">
        <v>2.5669999999999998E-2</v>
      </c>
      <c r="D69">
        <v>2.4219999999999998E-2</v>
      </c>
      <c r="E69">
        <v>2.4459999999999999E-2</v>
      </c>
      <c r="F69">
        <v>65667850</v>
      </c>
      <c r="G69">
        <v>2.4459999999999999E-2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-0.66896551724137843</v>
      </c>
      <c r="Q69">
        <f t="shared" ref="Q69" si="321">F69*P69</f>
        <v>-43929527.241379254</v>
      </c>
      <c r="R69">
        <f t="shared" ref="R69" si="322">R70+Q69</f>
        <v>-5572499006.0057936</v>
      </c>
      <c r="S69">
        <f t="shared" ref="S69" si="323">R69/100000</f>
        <v>-55724.990060057935</v>
      </c>
      <c r="T69">
        <f t="shared" ref="T69" si="324">S69/1000</f>
        <v>-55.724990060057934</v>
      </c>
    </row>
    <row r="70" spans="1:20" x14ac:dyDescent="0.25">
      <c r="A70" s="5">
        <v>44523</v>
      </c>
      <c r="B70">
        <v>2.5499999999999998E-2</v>
      </c>
      <c r="C70">
        <v>2.613E-2</v>
      </c>
      <c r="D70">
        <v>2.4539999999999999E-2</v>
      </c>
      <c r="E70">
        <v>2.5420000000000002E-2</v>
      </c>
      <c r="F70">
        <v>191723848</v>
      </c>
      <c r="G70">
        <v>2.5420000000000002E-2</v>
      </c>
      <c r="L70" t="s">
        <v>7</v>
      </c>
      <c r="M70" t="s">
        <v>8</v>
      </c>
      <c r="N70" t="s">
        <v>7</v>
      </c>
      <c r="P70">
        <f t="shared" ref="P70" si="325">IF(C70=D70,0,((E70-D70)-(C70-E70))/(C70-D70))</f>
        <v>0.10691823899371281</v>
      </c>
      <c r="Q70">
        <f t="shared" ref="Q70" si="326">F70*P70</f>
        <v>20498776.201258268</v>
      </c>
      <c r="R70">
        <f t="shared" ref="R70" si="327">R71+Q70</f>
        <v>-5528569478.7644148</v>
      </c>
      <c r="S70">
        <f t="shared" ref="S70" si="328">R70/100000</f>
        <v>-55285.694787644148</v>
      </c>
      <c r="T70">
        <f t="shared" ref="T70" si="329">S70/1000</f>
        <v>-55.285694787644147</v>
      </c>
    </row>
    <row r="71" spans="1:20" x14ac:dyDescent="0.25">
      <c r="A71" s="5">
        <v>44522</v>
      </c>
      <c r="B71">
        <v>2.717E-2</v>
      </c>
      <c r="C71">
        <v>2.7439999999999999E-2</v>
      </c>
      <c r="D71">
        <v>2.529E-2</v>
      </c>
      <c r="E71">
        <v>2.5520000000000001E-2</v>
      </c>
      <c r="F71">
        <v>219890292</v>
      </c>
      <c r="G71">
        <v>2.5520000000000001E-2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-0.78604651162790595</v>
      </c>
      <c r="Q71">
        <f t="shared" ref="Q71" si="331">F71*P71</f>
        <v>-172843996.96744165</v>
      </c>
      <c r="R71">
        <f t="shared" ref="R71" si="332">R72+Q71</f>
        <v>-5549068254.9656734</v>
      </c>
      <c r="S71">
        <f t="shared" ref="S71" si="333">R71/100000</f>
        <v>-55490.682549656733</v>
      </c>
      <c r="T71">
        <f t="shared" ref="T71" si="334">S71/1000</f>
        <v>-55.490682549656732</v>
      </c>
    </row>
    <row r="72" spans="1:20" x14ac:dyDescent="0.25">
      <c r="A72" s="5">
        <v>44521</v>
      </c>
      <c r="B72">
        <v>2.826E-2</v>
      </c>
      <c r="C72">
        <v>2.9440000000000001E-2</v>
      </c>
      <c r="D72">
        <v>2.7E-2</v>
      </c>
      <c r="E72">
        <v>2.7189999999999999E-2</v>
      </c>
      <c r="F72">
        <v>256153308</v>
      </c>
      <c r="G72">
        <v>2.7189999999999999E-2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-0.84426229508196793</v>
      </c>
      <c r="Q72">
        <f t="shared" ref="Q72" si="336">F72*P72</f>
        <v>-216260579.70491821</v>
      </c>
      <c r="R72">
        <f t="shared" ref="R72" si="337">R73+Q72</f>
        <v>-5376224257.9982319</v>
      </c>
      <c r="S72">
        <f t="shared" ref="S72" si="338">R72/100000</f>
        <v>-53762.242579982318</v>
      </c>
      <c r="T72">
        <f t="shared" ref="T72" si="339">S72/1000</f>
        <v>-53.76224257998232</v>
      </c>
    </row>
    <row r="73" spans="1:20" x14ac:dyDescent="0.25">
      <c r="A73" s="5">
        <v>44520</v>
      </c>
      <c r="B73">
        <v>2.647E-2</v>
      </c>
      <c r="C73">
        <v>2.8809999999999999E-2</v>
      </c>
      <c r="D73">
        <v>2.6200000000000001E-2</v>
      </c>
      <c r="E73">
        <v>2.8240000000000001E-2</v>
      </c>
      <c r="F73">
        <v>325209144</v>
      </c>
      <c r="G73">
        <v>2.8240000000000001E-2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0.56321839080459912</v>
      </c>
      <c r="Q73">
        <f t="shared" ref="Q73" si="341">F73*P73</f>
        <v>183163770.75862116</v>
      </c>
      <c r="R73">
        <f t="shared" ref="R73" si="342">R74+Q73</f>
        <v>-5159963678.293314</v>
      </c>
      <c r="S73">
        <f t="shared" ref="S73" si="343">R73/100000</f>
        <v>-51599.636782933143</v>
      </c>
      <c r="T73">
        <f t="shared" ref="T73" si="344">S73/1000</f>
        <v>-51.599636782933146</v>
      </c>
    </row>
    <row r="74" spans="1:20" x14ac:dyDescent="0.25">
      <c r="A74" s="5">
        <v>44519</v>
      </c>
      <c r="B74">
        <v>2.4969999999999999E-2</v>
      </c>
      <c r="C74">
        <v>2.7380000000000002E-2</v>
      </c>
      <c r="D74">
        <v>2.4299999999999999E-2</v>
      </c>
      <c r="E74">
        <v>2.647E-2</v>
      </c>
      <c r="F74">
        <v>203495366</v>
      </c>
      <c r="G74">
        <v>2.647E-2</v>
      </c>
      <c r="L74" t="s">
        <v>7</v>
      </c>
      <c r="M74" t="s">
        <v>7</v>
      </c>
      <c r="N74" t="s">
        <v>7</v>
      </c>
      <c r="P74">
        <f t="shared" ref="P74" si="345">IF(C74=D74,0,((E74-D74)-(C74-E74))/(C74-D74))</f>
        <v>0.40909090909090895</v>
      </c>
      <c r="Q74">
        <f t="shared" ref="Q74" si="346">F74*P74</f>
        <v>83248104.272727251</v>
      </c>
      <c r="R74">
        <f t="shared" ref="R74" si="347">R75+Q74</f>
        <v>-5343127449.0519352</v>
      </c>
      <c r="S74">
        <f t="shared" ref="S74" si="348">R74/100000</f>
        <v>-53431.274490519354</v>
      </c>
      <c r="T74">
        <f t="shared" ref="T74" si="349">S74/1000</f>
        <v>-53.431274490519357</v>
      </c>
    </row>
    <row r="75" spans="1:20" x14ac:dyDescent="0.25">
      <c r="A75" s="5">
        <v>44518</v>
      </c>
      <c r="B75">
        <v>2.9700000000000001E-2</v>
      </c>
      <c r="C75">
        <v>3.0339999999999999E-2</v>
      </c>
      <c r="D75">
        <v>2.4240000000000001E-2</v>
      </c>
      <c r="E75">
        <v>2.5049999999999999E-2</v>
      </c>
      <c r="F75">
        <v>419082163</v>
      </c>
      <c r="G75">
        <v>2.5049999999999999E-2</v>
      </c>
      <c r="L75" t="s">
        <v>8</v>
      </c>
      <c r="M75" t="s">
        <v>7</v>
      </c>
      <c r="N75" t="s">
        <v>7</v>
      </c>
      <c r="P75">
        <f t="shared" ref="P75" si="350">IF(C75=D75,0,((E75-D75)-(C75-E75))/(C75-D75))</f>
        <v>-0.73442622950819725</v>
      </c>
      <c r="Q75">
        <f t="shared" ref="Q75" si="351">F75*P75</f>
        <v>-307784932.82622975</v>
      </c>
      <c r="R75">
        <f t="shared" ref="R75" si="352">R76+Q75</f>
        <v>-5426375553.3246622</v>
      </c>
      <c r="S75">
        <f t="shared" ref="S75" si="353">R75/100000</f>
        <v>-54263.755533246622</v>
      </c>
      <c r="T75">
        <f t="shared" ref="T75" si="354">S75/1000</f>
        <v>-54.263755533246623</v>
      </c>
    </row>
    <row r="76" spans="1:20" x14ac:dyDescent="0.25">
      <c r="A76" s="5">
        <v>44517</v>
      </c>
      <c r="B76">
        <v>2.6460000000000001E-2</v>
      </c>
      <c r="C76">
        <v>2.98E-2</v>
      </c>
      <c r="D76">
        <v>2.5600000000000001E-2</v>
      </c>
      <c r="E76">
        <v>2.9780000000000001E-2</v>
      </c>
      <c r="F76">
        <v>403350768</v>
      </c>
      <c r="G76">
        <v>2.9780000000000001E-2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0.99047619047619084</v>
      </c>
      <c r="Q76">
        <f t="shared" ref="Q76" si="356">F76*P76</f>
        <v>399509332.11428589</v>
      </c>
      <c r="R76">
        <f t="shared" ref="R76" si="357">R77+Q76</f>
        <v>-5118590620.4984322</v>
      </c>
      <c r="S76">
        <f t="shared" ref="S76" si="358">R76/100000</f>
        <v>-51185.90620498432</v>
      </c>
      <c r="T76">
        <f t="shared" ref="T76" si="359">S76/1000</f>
        <v>-51.18590620498432</v>
      </c>
    </row>
    <row r="77" spans="1:20" x14ac:dyDescent="0.25">
      <c r="A77" s="5">
        <v>44516</v>
      </c>
      <c r="B77">
        <v>2.8930000000000001E-2</v>
      </c>
      <c r="C77">
        <v>2.9319999999999999E-2</v>
      </c>
      <c r="D77">
        <v>2.5569999999999999E-2</v>
      </c>
      <c r="E77">
        <v>2.6450000000000001E-2</v>
      </c>
      <c r="F77">
        <v>406773660</v>
      </c>
      <c r="G77">
        <v>2.6450000000000001E-2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-0.5306666666666654</v>
      </c>
      <c r="Q77">
        <f t="shared" ref="Q77" si="361">F77*P77</f>
        <v>-215861222.23999947</v>
      </c>
      <c r="R77">
        <f t="shared" ref="R77" si="362">R78+Q77</f>
        <v>-5518099952.6127176</v>
      </c>
      <c r="S77">
        <f t="shared" ref="S77" si="363">R77/100000</f>
        <v>-55180.999526127176</v>
      </c>
      <c r="T77">
        <f t="shared" ref="T77" si="364">S77/1000</f>
        <v>-55.180999526127174</v>
      </c>
    </row>
    <row r="78" spans="1:20" x14ac:dyDescent="0.25">
      <c r="A78" s="5">
        <v>44515</v>
      </c>
      <c r="B78">
        <v>3.0130000000000001E-2</v>
      </c>
      <c r="C78">
        <v>3.2190000000000003E-2</v>
      </c>
      <c r="D78">
        <v>2.8729999999999999E-2</v>
      </c>
      <c r="E78">
        <v>2.8979999999999999E-2</v>
      </c>
      <c r="F78">
        <v>322131142</v>
      </c>
      <c r="G78">
        <v>2.8979999999999999E-2</v>
      </c>
      <c r="L78" t="s">
        <v>7</v>
      </c>
      <c r="M78" t="s">
        <v>7</v>
      </c>
      <c r="N78" t="s">
        <v>8</v>
      </c>
      <c r="P78">
        <f t="shared" ref="P78" si="365">IF(C78=D78,0,((E78-D78)-(C78-E78))/(C78-D78))</f>
        <v>-0.8554913294797688</v>
      </c>
      <c r="Q78">
        <f t="shared" ref="Q78" si="366">F78*P78</f>
        <v>-275580398.93641621</v>
      </c>
      <c r="R78">
        <f t="shared" ref="R78" si="367">R79+Q78</f>
        <v>-5302238730.3727179</v>
      </c>
      <c r="S78">
        <f t="shared" ref="S78" si="368">R78/100000</f>
        <v>-53022.387303727177</v>
      </c>
      <c r="T78">
        <f t="shared" ref="T78" si="369">S78/1000</f>
        <v>-53.022387303727179</v>
      </c>
    </row>
    <row r="79" spans="1:20" x14ac:dyDescent="0.25">
      <c r="A79" s="5">
        <v>44514</v>
      </c>
      <c r="B79">
        <v>3.2190000000000003E-2</v>
      </c>
      <c r="C79">
        <v>3.3579999999999999E-2</v>
      </c>
      <c r="D79">
        <v>2.9170000000000001E-2</v>
      </c>
      <c r="E79">
        <v>3.0120000000000001E-2</v>
      </c>
      <c r="F79">
        <v>390488419</v>
      </c>
      <c r="G79">
        <v>3.0120000000000001E-2</v>
      </c>
      <c r="L79" t="s">
        <v>7</v>
      </c>
      <c r="M79" t="s">
        <v>7</v>
      </c>
      <c r="N79" t="s">
        <v>8</v>
      </c>
      <c r="P79">
        <f t="shared" ref="P79" si="370">IF(C79=D79,0,((E79-D79)-(C79-E79))/(C79-D79))</f>
        <v>-0.56916099773242623</v>
      </c>
      <c r="Q79">
        <f t="shared" ref="Q79" si="371">F79*P79</f>
        <v>-222250778.16099772</v>
      </c>
      <c r="R79">
        <f t="shared" ref="R79" si="372">R80+Q79</f>
        <v>-5026658331.4363012</v>
      </c>
      <c r="S79">
        <f t="shared" ref="S79" si="373">R79/100000</f>
        <v>-50266.583314363015</v>
      </c>
      <c r="T79">
        <f t="shared" ref="T79" si="374">S79/1000</f>
        <v>-50.266583314363018</v>
      </c>
    </row>
    <row r="80" spans="1:20" x14ac:dyDescent="0.25">
      <c r="A80" s="5">
        <v>44513</v>
      </c>
      <c r="B80">
        <v>3.492E-2</v>
      </c>
      <c r="C80">
        <v>3.5290000000000002E-2</v>
      </c>
      <c r="D80">
        <v>3.082E-2</v>
      </c>
      <c r="E80">
        <v>3.2190000000000003E-2</v>
      </c>
      <c r="F80">
        <v>556407262</v>
      </c>
      <c r="G80">
        <v>3.2190000000000003E-2</v>
      </c>
      <c r="L80" t="s">
        <v>7</v>
      </c>
      <c r="M80" t="s">
        <v>7</v>
      </c>
      <c r="N80" t="s">
        <v>8</v>
      </c>
      <c r="P80">
        <f t="shared" ref="P80" si="375">IF(C80=D80,0,((E80-D80)-(C80-E80))/(C80-D80))</f>
        <v>-0.38702460850111742</v>
      </c>
      <c r="Q80">
        <f t="shared" ref="Q80" si="376">F80*P80</f>
        <v>-215343302.74272868</v>
      </c>
      <c r="R80">
        <f t="shared" ref="R80" si="377">R81+Q80</f>
        <v>-4804407553.2753038</v>
      </c>
      <c r="S80">
        <f t="shared" ref="S80" si="378">R80/100000</f>
        <v>-48044.075532753035</v>
      </c>
      <c r="T80">
        <f t="shared" ref="T80" si="379">S80/1000</f>
        <v>-48.044075532753034</v>
      </c>
    </row>
    <row r="81" spans="1:20" x14ac:dyDescent="0.25">
      <c r="A81" s="5">
        <v>44512</v>
      </c>
      <c r="B81">
        <v>2.9950000000000001E-2</v>
      </c>
      <c r="C81">
        <v>3.739E-2</v>
      </c>
      <c r="D81">
        <v>2.9819999999999999E-2</v>
      </c>
      <c r="E81">
        <v>3.4959999999999998E-2</v>
      </c>
      <c r="F81">
        <v>1866667201</v>
      </c>
      <c r="G81">
        <v>3.4959999999999998E-2</v>
      </c>
      <c r="L81" t="s">
        <v>8</v>
      </c>
      <c r="M81" t="s">
        <v>8</v>
      </c>
      <c r="N81" t="s">
        <v>8</v>
      </c>
      <c r="P81">
        <f t="shared" ref="P81" si="380">IF(C81=D81,0,((E81-D81)-(C81-E81))/(C81-D81))</f>
        <v>0.35799207397622151</v>
      </c>
      <c r="Q81">
        <f t="shared" ref="Q81" si="381">F81*P81</f>
        <v>668252062.70937836</v>
      </c>
      <c r="R81">
        <f t="shared" ref="R81" si="382">R82+Q81</f>
        <v>-4589064250.5325756</v>
      </c>
      <c r="S81">
        <f t="shared" ref="S81" si="383">R81/100000</f>
        <v>-45890.642505325755</v>
      </c>
      <c r="T81">
        <f t="shared" ref="T81" si="384">S81/1000</f>
        <v>-45.890642505325758</v>
      </c>
    </row>
    <row r="82" spans="1:20" x14ac:dyDescent="0.25">
      <c r="A82" s="5">
        <v>44511</v>
      </c>
      <c r="B82">
        <v>2.9180000000000001E-2</v>
      </c>
      <c r="C82">
        <v>3.4419999999999999E-2</v>
      </c>
      <c r="D82">
        <v>2.75E-2</v>
      </c>
      <c r="E82">
        <v>2.9950000000000001E-2</v>
      </c>
      <c r="F82">
        <v>1075344326</v>
      </c>
      <c r="G82">
        <v>2.9950000000000001E-2</v>
      </c>
      <c r="L82" t="s">
        <v>8</v>
      </c>
      <c r="M82" t="s">
        <v>7</v>
      </c>
      <c r="N82" t="s">
        <v>8</v>
      </c>
      <c r="P82">
        <f t="shared" ref="P82" si="385">IF(C82=D82,0,((E82-D82)-(C82-E82))/(C82-D82))</f>
        <v>-0.29190751445086671</v>
      </c>
      <c r="Q82">
        <f t="shared" ref="Q82" si="386">F82*P82</f>
        <v>-313901089.38150251</v>
      </c>
      <c r="R82">
        <f t="shared" ref="R82" si="387">R83+Q82</f>
        <v>-5257316313.2419538</v>
      </c>
      <c r="S82">
        <f t="shared" ref="S82" si="388">R82/100000</f>
        <v>-52573.16313241954</v>
      </c>
      <c r="T82">
        <f t="shared" ref="T82" si="389">S82/1000</f>
        <v>-52.573163132419538</v>
      </c>
    </row>
    <row r="83" spans="1:20" x14ac:dyDescent="0.25">
      <c r="A83" s="5">
        <v>44510</v>
      </c>
      <c r="B83">
        <v>2.6100000000000002E-2</v>
      </c>
      <c r="C83">
        <v>3.3000000000000002E-2</v>
      </c>
      <c r="D83">
        <v>2.5899999999999999E-2</v>
      </c>
      <c r="E83">
        <v>2.9190000000000001E-2</v>
      </c>
      <c r="F83">
        <v>2163089280</v>
      </c>
      <c r="G83">
        <v>2.9190000000000001E-2</v>
      </c>
      <c r="L83" t="s">
        <v>8</v>
      </c>
      <c r="M83" t="s">
        <v>8</v>
      </c>
      <c r="N83" t="s">
        <v>8</v>
      </c>
      <c r="P83">
        <f t="shared" ref="P83" si="390">IF(C83=D83,0,((E83-D83)-(C83-E83))/(C83-D83))</f>
        <v>-7.323943661971824E-2</v>
      </c>
      <c r="Q83">
        <f t="shared" ref="Q83" si="391">F83*P83</f>
        <v>-158423440.22535196</v>
      </c>
      <c r="R83">
        <f t="shared" ref="R83" si="392">R84+Q83</f>
        <v>-4943415223.8604517</v>
      </c>
      <c r="S83">
        <f t="shared" ref="S83" si="393">R83/100000</f>
        <v>-49434.152238604518</v>
      </c>
      <c r="T83">
        <f t="shared" ref="T83" si="394">S83/1000</f>
        <v>-49.434152238604518</v>
      </c>
    </row>
    <row r="84" spans="1:20" x14ac:dyDescent="0.25">
      <c r="A84" s="5">
        <v>44509</v>
      </c>
      <c r="B84">
        <v>2.4660000000000001E-2</v>
      </c>
      <c r="C84">
        <v>2.6429999999999999E-2</v>
      </c>
      <c r="D84">
        <v>2.445E-2</v>
      </c>
      <c r="E84">
        <v>2.605E-2</v>
      </c>
      <c r="F84">
        <v>343837952</v>
      </c>
      <c r="G84">
        <v>2.605E-2</v>
      </c>
      <c r="L84" t="s">
        <v>8</v>
      </c>
      <c r="M84" t="s">
        <v>8</v>
      </c>
      <c r="N84" t="s">
        <v>7</v>
      </c>
      <c r="P84">
        <f t="shared" ref="P84" si="395">IF(C84=D84,0,((E84-D84)-(C84-E84))/(C84-D84))</f>
        <v>0.61616161616161758</v>
      </c>
      <c r="Q84">
        <f t="shared" ref="Q84" si="396">F84*P84</f>
        <v>211859748.20202067</v>
      </c>
      <c r="R84">
        <f t="shared" ref="R84" si="397">R85+Q84</f>
        <v>-4784991783.6350994</v>
      </c>
      <c r="S84">
        <f t="shared" ref="S84" si="398">R84/100000</f>
        <v>-47849.917836350993</v>
      </c>
      <c r="T84">
        <f t="shared" ref="T84" si="399">S84/1000</f>
        <v>-47.84991783635099</v>
      </c>
    </row>
    <row r="85" spans="1:20" x14ac:dyDescent="0.25">
      <c r="A85" s="5">
        <v>44508</v>
      </c>
      <c r="B85">
        <v>2.419E-2</v>
      </c>
      <c r="C85">
        <v>2.478E-2</v>
      </c>
      <c r="D85">
        <v>2.392E-2</v>
      </c>
      <c r="E85">
        <v>2.4670000000000001E-2</v>
      </c>
      <c r="F85">
        <v>194981087</v>
      </c>
      <c r="G85">
        <v>2.4670000000000001E-2</v>
      </c>
      <c r="L85" t="s">
        <v>8</v>
      </c>
      <c r="M85" t="s">
        <v>8</v>
      </c>
      <c r="N85" t="s">
        <v>7</v>
      </c>
      <c r="P85">
        <f t="shared" ref="P85" si="400">IF(C85=D85,0,((E85-D85)-(C85-E85))/(C85-D85))</f>
        <v>0.74418604651163012</v>
      </c>
      <c r="Q85">
        <f t="shared" ref="Q85" si="401">F85*P85</f>
        <v>145102204.2790702</v>
      </c>
      <c r="R85">
        <f t="shared" ref="R85" si="402">R86+Q85</f>
        <v>-4996851531.8371201</v>
      </c>
      <c r="S85">
        <f t="shared" ref="S85" si="403">R85/100000</f>
        <v>-49968.515318371203</v>
      </c>
      <c r="T85">
        <f t="shared" ref="T85" si="404">S85/1000</f>
        <v>-49.968515318371203</v>
      </c>
    </row>
    <row r="86" spans="1:20" x14ac:dyDescent="0.25">
      <c r="A86" s="5">
        <v>44507</v>
      </c>
      <c r="B86">
        <v>2.3699999999999999E-2</v>
      </c>
      <c r="C86">
        <v>2.4479999999999998E-2</v>
      </c>
      <c r="D86">
        <v>2.332E-2</v>
      </c>
      <c r="E86">
        <v>2.419E-2</v>
      </c>
      <c r="F86">
        <v>154236574</v>
      </c>
      <c r="G86">
        <v>2.419E-2</v>
      </c>
      <c r="L86" t="s">
        <v>8</v>
      </c>
      <c r="M86" t="s">
        <v>8</v>
      </c>
      <c r="N86" t="s">
        <v>7</v>
      </c>
      <c r="P86">
        <f t="shared" ref="P86" si="405">IF(C86=D86,0,((E86-D86)-(C86-E86))/(C86-D86))</f>
        <v>0.50000000000000144</v>
      </c>
      <c r="Q86">
        <f t="shared" ref="Q86" si="406">F86*P86</f>
        <v>77118287.000000224</v>
      </c>
      <c r="R86">
        <f t="shared" ref="R86" si="407">R87+Q86</f>
        <v>-5141953736.11619</v>
      </c>
      <c r="S86">
        <f t="shared" ref="S86" si="408">R86/100000</f>
        <v>-51419.5373611619</v>
      </c>
      <c r="T86">
        <f t="shared" ref="T86" si="409">S86/1000</f>
        <v>-51.4195373611619</v>
      </c>
    </row>
    <row r="87" spans="1:20" x14ac:dyDescent="0.25">
      <c r="A87" s="5">
        <v>44506</v>
      </c>
      <c r="B87">
        <v>2.3279999999999999E-2</v>
      </c>
      <c r="C87">
        <v>2.3990000000000001E-2</v>
      </c>
      <c r="D87">
        <v>2.2749999999999999E-2</v>
      </c>
      <c r="E87">
        <v>2.3699999999999999E-2</v>
      </c>
      <c r="F87">
        <v>119035013</v>
      </c>
      <c r="G87">
        <v>2.3699999999999999E-2</v>
      </c>
      <c r="L87" t="s">
        <v>7</v>
      </c>
      <c r="M87" t="s">
        <v>8</v>
      </c>
      <c r="N87" t="s">
        <v>7</v>
      </c>
      <c r="P87">
        <f t="shared" ref="P87" si="410">IF(C87=D87,0,((E87-D87)-(C87-E87))/(C87-D87))</f>
        <v>0.53225806451612623</v>
      </c>
      <c r="Q87">
        <f t="shared" ref="Q87" si="411">F87*P87</f>
        <v>63357345.629031926</v>
      </c>
      <c r="R87">
        <f t="shared" ref="R87" si="412">R88+Q87</f>
        <v>-5219072023.11619</v>
      </c>
      <c r="S87">
        <f t="shared" ref="S87" si="413">R87/100000</f>
        <v>-52190.720231161897</v>
      </c>
      <c r="T87">
        <f t="shared" ref="T87" si="414">S87/1000</f>
        <v>-52.190720231161897</v>
      </c>
    </row>
    <row r="88" spans="1:20" x14ac:dyDescent="0.25">
      <c r="A88" s="5">
        <v>44505</v>
      </c>
      <c r="B88">
        <v>2.3529999999999999E-2</v>
      </c>
      <c r="C88">
        <v>2.3949999999999999E-2</v>
      </c>
      <c r="D88">
        <v>2.2890000000000001E-2</v>
      </c>
      <c r="E88">
        <v>2.3259999999999999E-2</v>
      </c>
      <c r="F88">
        <v>132802564</v>
      </c>
      <c r="G88">
        <v>2.3259999999999999E-2</v>
      </c>
      <c r="L88" t="s">
        <v>7</v>
      </c>
      <c r="M88" t="s">
        <v>8</v>
      </c>
      <c r="N88" t="s">
        <v>7</v>
      </c>
      <c r="P88">
        <f t="shared" ref="P88" si="415">IF(C88=D88,0,((E88-D88)-(C88-E88))/(C88-D88))</f>
        <v>-0.3018867924528314</v>
      </c>
      <c r="Q88">
        <f t="shared" ref="Q88" si="416">F88*P88</f>
        <v>-40091340.075471856</v>
      </c>
      <c r="R88">
        <f t="shared" ref="R88" si="417">R89+Q88</f>
        <v>-5282429368.7452221</v>
      </c>
      <c r="S88">
        <f t="shared" ref="S88" si="418">R88/100000</f>
        <v>-52824.29368745222</v>
      </c>
      <c r="T88">
        <f t="shared" ref="T88" si="419">S88/1000</f>
        <v>-52.824293687452219</v>
      </c>
    </row>
    <row r="89" spans="1:20" x14ac:dyDescent="0.25">
      <c r="A89" s="5">
        <v>44504</v>
      </c>
      <c r="B89">
        <v>2.46E-2</v>
      </c>
      <c r="C89">
        <v>2.4989999999999998E-2</v>
      </c>
      <c r="D89">
        <v>2.3189999999999999E-2</v>
      </c>
      <c r="E89">
        <v>2.3519999999999999E-2</v>
      </c>
      <c r="F89">
        <v>171568569</v>
      </c>
      <c r="G89">
        <v>2.3519999999999999E-2</v>
      </c>
      <c r="L89" t="s">
        <v>7</v>
      </c>
      <c r="M89" t="s">
        <v>8</v>
      </c>
      <c r="N89" t="s">
        <v>7</v>
      </c>
      <c r="P89">
        <f t="shared" ref="P89" si="420">IF(C89=D89,0,((E89-D89)-(C89-E89))/(C89-D89))</f>
        <v>-0.63333333333333275</v>
      </c>
      <c r="Q89">
        <f t="shared" ref="Q89" si="421">F89*P89</f>
        <v>-108660093.6999999</v>
      </c>
      <c r="R89">
        <f t="shared" ref="R89" si="422">R90+Q89</f>
        <v>-5242338028.6697502</v>
      </c>
      <c r="S89">
        <f t="shared" ref="S89" si="423">R89/100000</f>
        <v>-52423.380286697502</v>
      </c>
      <c r="T89">
        <f t="shared" ref="T89" si="424">S89/1000</f>
        <v>-52.423380286697501</v>
      </c>
    </row>
    <row r="90" spans="1:20" x14ac:dyDescent="0.25">
      <c r="A90" s="5">
        <v>44503</v>
      </c>
      <c r="B90">
        <v>2.4899999999999999E-2</v>
      </c>
      <c r="C90">
        <v>2.545E-2</v>
      </c>
      <c r="D90">
        <v>2.358E-2</v>
      </c>
      <c r="E90">
        <v>2.46E-2</v>
      </c>
      <c r="F90">
        <v>197055090</v>
      </c>
      <c r="G90">
        <v>2.46E-2</v>
      </c>
      <c r="L90" t="s">
        <v>7</v>
      </c>
      <c r="M90" t="s">
        <v>8</v>
      </c>
      <c r="N90" t="s">
        <v>7</v>
      </c>
      <c r="P90">
        <f t="shared" ref="P90" si="425">IF(C90=D90,0,((E90-D90)-(C90-E90))/(C90-D90))</f>
        <v>9.0909090909090912E-2</v>
      </c>
      <c r="Q90">
        <f t="shared" ref="Q90" si="426">F90*P90</f>
        <v>17914099.09090909</v>
      </c>
      <c r="R90">
        <f t="shared" ref="R90" si="427">R91+Q90</f>
        <v>-5133677934.9697504</v>
      </c>
      <c r="S90">
        <f t="shared" ref="S90" si="428">R90/100000</f>
        <v>-51336.779349697506</v>
      </c>
      <c r="T90">
        <f t="shared" ref="T90" si="429">S90/1000</f>
        <v>-51.336779349697508</v>
      </c>
    </row>
    <row r="91" spans="1:20" x14ac:dyDescent="0.25">
      <c r="A91" s="5">
        <v>44502</v>
      </c>
      <c r="B91">
        <v>2.3869999999999999E-2</v>
      </c>
      <c r="C91">
        <v>2.5399999999999999E-2</v>
      </c>
      <c r="D91">
        <v>2.367E-2</v>
      </c>
      <c r="E91">
        <v>2.4899999999999999E-2</v>
      </c>
      <c r="F91">
        <v>265603002</v>
      </c>
      <c r="G91">
        <v>2.4899999999999999E-2</v>
      </c>
      <c r="L91" t="s">
        <v>8</v>
      </c>
      <c r="M91" t="s">
        <v>8</v>
      </c>
      <c r="N91" t="s">
        <v>7</v>
      </c>
      <c r="P91">
        <f t="shared" ref="P91" si="430">IF(C91=D91,0,((E91-D91)-(C91-E91))/(C91-D91))</f>
        <v>0.42196531791907427</v>
      </c>
      <c r="Q91">
        <f t="shared" ref="Q91" si="431">F91*P91</f>
        <v>112075255.17919052</v>
      </c>
      <c r="R91">
        <f t="shared" ref="R91" si="432">R92+Q91</f>
        <v>-5151592034.0606594</v>
      </c>
      <c r="S91">
        <f t="shared" ref="S91" si="433">R91/100000</f>
        <v>-51515.920340606594</v>
      </c>
      <c r="T91">
        <f t="shared" ref="T91" si="434">S91/1000</f>
        <v>-51.515920340606591</v>
      </c>
    </row>
    <row r="92" spans="1:20" x14ac:dyDescent="0.25">
      <c r="A92" s="5">
        <v>44501</v>
      </c>
      <c r="B92">
        <v>2.4219999999999998E-2</v>
      </c>
      <c r="C92">
        <v>2.443E-2</v>
      </c>
      <c r="D92">
        <v>2.325E-2</v>
      </c>
      <c r="E92">
        <v>2.3869999999999999E-2</v>
      </c>
      <c r="F92">
        <v>222872640</v>
      </c>
      <c r="G92">
        <v>2.3869999999999999E-2</v>
      </c>
      <c r="L92" t="s">
        <v>7</v>
      </c>
      <c r="M92" t="s">
        <v>8</v>
      </c>
      <c r="N92" t="s">
        <v>7</v>
      </c>
      <c r="P92">
        <f t="shared" ref="P92" si="435">IF(C92=D92,0,((E92-D92)-(C92-E92))/(C92-D92))</f>
        <v>5.0847457627116552E-2</v>
      </c>
      <c r="Q92">
        <f t="shared" ref="Q92" si="436">F92*P92</f>
        <v>11332507.118643602</v>
      </c>
      <c r="R92">
        <f t="shared" ref="R92" si="437">R93+Q92</f>
        <v>-5263667289.23985</v>
      </c>
      <c r="S92">
        <f t="shared" ref="S92" si="438">R92/100000</f>
        <v>-52636.672892398499</v>
      </c>
      <c r="T92">
        <f t="shared" ref="T92" si="439">S92/1000</f>
        <v>-52.636672892398501</v>
      </c>
    </row>
    <row r="93" spans="1:20" x14ac:dyDescent="0.25">
      <c r="A93" s="5">
        <v>44500</v>
      </c>
      <c r="B93">
        <v>2.2290000000000001E-2</v>
      </c>
      <c r="C93">
        <v>2.5510000000000001E-2</v>
      </c>
      <c r="D93">
        <v>2.215E-2</v>
      </c>
      <c r="E93">
        <v>2.4209999999999999E-2</v>
      </c>
      <c r="F93">
        <v>492344345</v>
      </c>
      <c r="G93">
        <v>2.4209999999999999E-2</v>
      </c>
      <c r="L93" t="s">
        <v>8</v>
      </c>
      <c r="M93" t="s">
        <v>8</v>
      </c>
      <c r="N93" t="s">
        <v>7</v>
      </c>
      <c r="P93">
        <f t="shared" ref="P93" si="440">IF(C93=D93,0,((E93-D93)-(C93-E93))/(C93-D93))</f>
        <v>0.22619047619047511</v>
      </c>
      <c r="Q93">
        <f t="shared" ref="Q93" si="441">F93*P93</f>
        <v>111363601.84523757</v>
      </c>
      <c r="R93">
        <f t="shared" ref="R93" si="442">R94+Q93</f>
        <v>-5274999796.3584938</v>
      </c>
      <c r="S93">
        <f t="shared" ref="S93" si="443">R93/100000</f>
        <v>-52749.997963584938</v>
      </c>
      <c r="T93">
        <f t="shared" ref="T93" si="444">S93/1000</f>
        <v>-52.749997963584939</v>
      </c>
    </row>
    <row r="94" spans="1:20" x14ac:dyDescent="0.25">
      <c r="A94" s="5">
        <v>44499</v>
      </c>
      <c r="B94">
        <v>2.2599999999999999E-2</v>
      </c>
      <c r="C94">
        <v>2.4E-2</v>
      </c>
      <c r="D94">
        <v>2.1850000000000001E-2</v>
      </c>
      <c r="E94">
        <v>2.2280000000000001E-2</v>
      </c>
      <c r="F94">
        <v>277704517</v>
      </c>
      <c r="G94">
        <v>2.2280000000000001E-2</v>
      </c>
      <c r="L94" t="s">
        <v>8</v>
      </c>
      <c r="M94" t="s">
        <v>8</v>
      </c>
      <c r="N94" t="s">
        <v>7</v>
      </c>
      <c r="P94">
        <f t="shared" ref="P94" si="445">IF(C94=D94,0,((E94-D94)-(C94-E94))/(C94-D94))</f>
        <v>-0.6</v>
      </c>
      <c r="Q94">
        <f t="shared" ref="Q94" si="446">F94*P94</f>
        <v>-166622710.19999999</v>
      </c>
      <c r="R94">
        <f t="shared" ref="R94" si="447">R95+Q94</f>
        <v>-5386363398.2037315</v>
      </c>
      <c r="S94">
        <f t="shared" ref="S94" si="448">R94/100000</f>
        <v>-53863.633982037318</v>
      </c>
      <c r="T94">
        <f t="shared" ref="T94" si="449">S94/1000</f>
        <v>-53.863633982037321</v>
      </c>
    </row>
    <row r="95" spans="1:20" x14ac:dyDescent="0.25">
      <c r="A95" s="5">
        <v>44498</v>
      </c>
      <c r="B95">
        <v>2.2329999999999999E-2</v>
      </c>
      <c r="C95">
        <v>2.3099999999999999E-2</v>
      </c>
      <c r="D95">
        <v>2.2009999999999998E-2</v>
      </c>
      <c r="E95">
        <v>2.2599999999999999E-2</v>
      </c>
      <c r="F95">
        <v>185397066</v>
      </c>
      <c r="G95">
        <v>2.2599999999999999E-2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8.256880733944931E-2</v>
      </c>
      <c r="Q95">
        <f t="shared" ref="Q95" si="451">F95*P95</f>
        <v>15308014.623853168</v>
      </c>
      <c r="R95">
        <f t="shared" ref="R95" si="452">R96+Q95</f>
        <v>-5219740688.0037317</v>
      </c>
      <c r="S95">
        <f t="shared" ref="S95" si="453">R95/100000</f>
        <v>-52197.406880037321</v>
      </c>
      <c r="T95">
        <f t="shared" ref="T95" si="454">S95/1000</f>
        <v>-52.19740688003732</v>
      </c>
    </row>
    <row r="96" spans="1:20" x14ac:dyDescent="0.25">
      <c r="A96" s="5">
        <v>44497</v>
      </c>
      <c r="B96">
        <v>2.0740000000000001E-2</v>
      </c>
      <c r="C96">
        <v>2.2790000000000001E-2</v>
      </c>
      <c r="D96">
        <v>2.0459999999999999E-2</v>
      </c>
      <c r="E96">
        <v>2.23E-2</v>
      </c>
      <c r="F96">
        <v>258606337</v>
      </c>
      <c r="G96">
        <v>2.23E-2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0.579399141630901</v>
      </c>
      <c r="Q96">
        <f t="shared" ref="Q96" si="456">F96*P96</f>
        <v>149836289.67811152</v>
      </c>
      <c r="R96">
        <f t="shared" ref="R96" si="457">R97+Q96</f>
        <v>-5235048702.6275845</v>
      </c>
      <c r="S96">
        <f t="shared" ref="S96" si="458">R96/100000</f>
        <v>-52350.487026275841</v>
      </c>
      <c r="T96">
        <f t="shared" ref="T96" si="459">S96/1000</f>
        <v>-52.350487026275843</v>
      </c>
    </row>
    <row r="97" spans="1:20" x14ac:dyDescent="0.25">
      <c r="A97" s="5">
        <v>44496</v>
      </c>
      <c r="B97">
        <v>2.2679999999999999E-2</v>
      </c>
      <c r="C97">
        <v>2.3040000000000001E-2</v>
      </c>
      <c r="D97">
        <v>0.02</v>
      </c>
      <c r="E97">
        <v>2.0740000000000001E-2</v>
      </c>
      <c r="F97">
        <v>236073814</v>
      </c>
      <c r="G97">
        <v>2.0740000000000001E-2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-0.51315789473684159</v>
      </c>
      <c r="Q97">
        <f t="shared" ref="Q97" si="461">F97*P97</f>
        <v>-121143141.39473672</v>
      </c>
      <c r="R97">
        <f t="shared" ref="R97" si="462">R98+Q97</f>
        <v>-5384884992.3056955</v>
      </c>
      <c r="S97">
        <f t="shared" ref="S97" si="463">R97/100000</f>
        <v>-53848.849923056958</v>
      </c>
      <c r="T97">
        <f t="shared" ref="T97" si="464">S97/1000</f>
        <v>-53.84884992305696</v>
      </c>
    </row>
    <row r="98" spans="1:20" x14ac:dyDescent="0.25">
      <c r="A98" s="5">
        <v>44495</v>
      </c>
      <c r="B98">
        <v>2.3539999999999998E-2</v>
      </c>
      <c r="C98">
        <v>2.4170000000000001E-2</v>
      </c>
      <c r="D98">
        <v>2.2409999999999999E-2</v>
      </c>
      <c r="E98">
        <v>2.266E-2</v>
      </c>
      <c r="F98">
        <v>256801733</v>
      </c>
      <c r="G98">
        <v>2.266E-2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-0.71590909090909083</v>
      </c>
      <c r="Q98">
        <f t="shared" ref="Q98" si="466">F98*P98</f>
        <v>-183846695.21590906</v>
      </c>
      <c r="R98">
        <f t="shared" ref="R98" si="467">R99+Q98</f>
        <v>-5263741850.9109592</v>
      </c>
      <c r="S98">
        <f t="shared" ref="S98" si="468">R98/100000</f>
        <v>-52637.418509109593</v>
      </c>
      <c r="T98">
        <f t="shared" ref="T98" si="469">S98/1000</f>
        <v>-52.637418509109594</v>
      </c>
    </row>
    <row r="99" spans="1:20" x14ac:dyDescent="0.25">
      <c r="A99" s="5">
        <v>44494</v>
      </c>
      <c r="B99">
        <v>2.283E-2</v>
      </c>
      <c r="C99">
        <v>2.3959999999999999E-2</v>
      </c>
      <c r="D99">
        <v>2.2759999999999999E-2</v>
      </c>
      <c r="E99">
        <v>2.3539999999999998E-2</v>
      </c>
      <c r="F99">
        <v>163568343</v>
      </c>
      <c r="G99">
        <v>2.3539999999999998E-2</v>
      </c>
      <c r="L99" t="s">
        <v>7</v>
      </c>
      <c r="M99" t="s">
        <v>8</v>
      </c>
      <c r="N99" t="s">
        <v>8</v>
      </c>
      <c r="P99">
        <f t="shared" ref="P99" si="470">IF(C99=D99,0,((E99-D99)-(C99-E99))/(C99-D99))</f>
        <v>0.29999999999999943</v>
      </c>
      <c r="Q99">
        <f t="shared" ref="Q99" si="471">F99*P99</f>
        <v>49070502.899999909</v>
      </c>
      <c r="R99">
        <f t="shared" ref="R99" si="472">R100+Q99</f>
        <v>-5079895155.6950502</v>
      </c>
      <c r="S99">
        <f t="shared" ref="S99" si="473">R99/100000</f>
        <v>-50798.951556950502</v>
      </c>
      <c r="T99">
        <f t="shared" ref="T99" si="474">S99/1000</f>
        <v>-50.798951556950499</v>
      </c>
    </row>
    <row r="100" spans="1:20" x14ac:dyDescent="0.25">
      <c r="A100" s="5">
        <v>44493</v>
      </c>
      <c r="B100">
        <v>2.4240000000000001E-2</v>
      </c>
      <c r="C100">
        <v>2.4469999999999999E-2</v>
      </c>
      <c r="D100">
        <v>2.2710000000000001E-2</v>
      </c>
      <c r="E100">
        <v>2.2839999999999999E-2</v>
      </c>
      <c r="F100">
        <v>194934345</v>
      </c>
      <c r="G100">
        <v>2.2839999999999999E-2</v>
      </c>
      <c r="L100" t="s">
        <v>7</v>
      </c>
      <c r="M100" t="s">
        <v>8</v>
      </c>
      <c r="N100" t="s">
        <v>8</v>
      </c>
      <c r="P100">
        <f t="shared" ref="P100" si="475">IF(C100=D100,0,((E100-D100)-(C100-E100))/(C100-D100))</f>
        <v>-0.85227272727272918</v>
      </c>
      <c r="Q100">
        <f t="shared" ref="Q100" si="476">F100*P100</f>
        <v>-166137225.85227311</v>
      </c>
      <c r="R100">
        <f t="shared" ref="R100" si="477">R101+Q100</f>
        <v>-5128965658.5950499</v>
      </c>
      <c r="S100">
        <f t="shared" ref="S100" si="478">R100/100000</f>
        <v>-51289.656585950499</v>
      </c>
      <c r="T100">
        <f t="shared" ref="T100" si="479">S100/1000</f>
        <v>-51.289656585950496</v>
      </c>
    </row>
    <row r="101" spans="1:20" x14ac:dyDescent="0.25">
      <c r="A101" s="5">
        <v>44492</v>
      </c>
      <c r="B101">
        <v>2.4170000000000001E-2</v>
      </c>
      <c r="C101">
        <v>2.4989999999999998E-2</v>
      </c>
      <c r="D101">
        <v>2.3990000000000001E-2</v>
      </c>
      <c r="E101">
        <v>2.4240000000000001E-2</v>
      </c>
      <c r="F101">
        <v>139809553</v>
      </c>
      <c r="G101">
        <v>2.4240000000000001E-2</v>
      </c>
      <c r="L101" t="s">
        <v>7</v>
      </c>
      <c r="M101" t="s">
        <v>8</v>
      </c>
      <c r="N101" t="s">
        <v>8</v>
      </c>
      <c r="P101">
        <f t="shared" ref="P101" si="480">IF(C101=D101,0,((E101-D101)-(C101-E101))/(C101-D101))</f>
        <v>-0.49999999999999828</v>
      </c>
      <c r="Q101">
        <f t="shared" ref="Q101" si="481">F101*P101</f>
        <v>-69904776.499999762</v>
      </c>
      <c r="R101">
        <f t="shared" ref="R101" si="482">R102+Q101</f>
        <v>-4962828432.7427769</v>
      </c>
      <c r="S101">
        <f t="shared" ref="S101" si="483">R101/100000</f>
        <v>-49628.284327427769</v>
      </c>
      <c r="T101">
        <f t="shared" ref="T101" si="484">S101/1000</f>
        <v>-49.628284327427771</v>
      </c>
    </row>
    <row r="102" spans="1:20" x14ac:dyDescent="0.25">
      <c r="A102" s="5">
        <v>44491</v>
      </c>
      <c r="B102">
        <v>2.3900000000000001E-2</v>
      </c>
      <c r="C102">
        <v>2.495E-2</v>
      </c>
      <c r="D102">
        <v>2.375E-2</v>
      </c>
      <c r="E102">
        <v>2.4129999999999999E-2</v>
      </c>
      <c r="F102">
        <v>151758066</v>
      </c>
      <c r="G102">
        <v>2.4129999999999999E-2</v>
      </c>
      <c r="L102" t="s">
        <v>7</v>
      </c>
      <c r="M102" t="s">
        <v>8</v>
      </c>
      <c r="N102" t="s">
        <v>8</v>
      </c>
      <c r="P102">
        <f t="shared" ref="P102" si="485">IF(C102=D102,0,((E102-D102)-(C102-E102))/(C102-D102))</f>
        <v>-0.36666666666666919</v>
      </c>
      <c r="Q102">
        <f t="shared" ref="Q102" si="486">F102*P102</f>
        <v>-55644624.200000383</v>
      </c>
      <c r="R102">
        <f t="shared" ref="R102" si="487">R103+Q102</f>
        <v>-4892923656.2427769</v>
      </c>
      <c r="S102">
        <f t="shared" ref="S102" si="488">R102/100000</f>
        <v>-48929.236562427766</v>
      </c>
      <c r="T102">
        <f t="shared" ref="T102" si="489">S102/1000</f>
        <v>-48.929236562427768</v>
      </c>
    </row>
    <row r="103" spans="1:20" x14ac:dyDescent="0.25">
      <c r="A103" s="5">
        <v>44490</v>
      </c>
      <c r="B103">
        <v>2.555E-2</v>
      </c>
      <c r="C103">
        <v>2.597E-2</v>
      </c>
      <c r="D103">
        <v>2.3820000000000001E-2</v>
      </c>
      <c r="E103">
        <v>2.3910000000000001E-2</v>
      </c>
      <c r="F103">
        <v>178372977</v>
      </c>
      <c r="G103">
        <v>2.3910000000000001E-2</v>
      </c>
      <c r="L103" t="s">
        <v>7</v>
      </c>
      <c r="M103" t="s">
        <v>8</v>
      </c>
      <c r="N103" t="s">
        <v>8</v>
      </c>
      <c r="P103">
        <f t="shared" ref="P103" si="490">IF(C103=D103,0,((E103-D103)-(C103-E103))/(C103-D103))</f>
        <v>-0.916279069767442</v>
      </c>
      <c r="Q103">
        <f t="shared" ref="Q103" si="491">F103*P103</f>
        <v>-163439425.43720934</v>
      </c>
      <c r="R103">
        <f t="shared" ref="R103" si="492">R104+Q103</f>
        <v>-4837279032.0427761</v>
      </c>
      <c r="S103">
        <f t="shared" ref="S103" si="493">R103/100000</f>
        <v>-48372.790320427761</v>
      </c>
      <c r="T103">
        <f t="shared" ref="T103" si="494">S103/1000</f>
        <v>-48.372790320427761</v>
      </c>
    </row>
    <row r="104" spans="1:20" x14ac:dyDescent="0.25">
      <c r="A104" s="5">
        <v>44489</v>
      </c>
      <c r="B104">
        <v>2.3720000000000001E-2</v>
      </c>
      <c r="C104">
        <v>2.613E-2</v>
      </c>
      <c r="D104">
        <v>2.3359999999999999E-2</v>
      </c>
      <c r="E104">
        <v>2.554E-2</v>
      </c>
      <c r="F104">
        <v>252441881</v>
      </c>
      <c r="G104">
        <v>2.554E-2</v>
      </c>
      <c r="L104" t="s">
        <v>8</v>
      </c>
      <c r="M104" t="s">
        <v>8</v>
      </c>
      <c r="N104" t="s">
        <v>8</v>
      </c>
      <c r="P104">
        <f t="shared" ref="P104" si="495">IF(C104=D104,0,((E104-D104)-(C104-E104))/(C104-D104))</f>
        <v>0.57400722021660655</v>
      </c>
      <c r="Q104">
        <f t="shared" ref="Q104" si="496">F104*P104</f>
        <v>144903462.37906137</v>
      </c>
      <c r="R104">
        <f t="shared" ref="R104" si="497">R105+Q104</f>
        <v>-4673839606.605567</v>
      </c>
      <c r="S104">
        <f t="shared" ref="S104" si="498">R104/100000</f>
        <v>-46738.39606605567</v>
      </c>
      <c r="T104">
        <f t="shared" ref="T104" si="499">S104/1000</f>
        <v>-46.738396066055671</v>
      </c>
    </row>
    <row r="105" spans="1:20" x14ac:dyDescent="0.25">
      <c r="A105" s="5">
        <v>44488</v>
      </c>
      <c r="B105">
        <v>2.3779999999999999E-2</v>
      </c>
      <c r="C105">
        <v>2.419E-2</v>
      </c>
      <c r="D105">
        <v>2.3470000000000001E-2</v>
      </c>
      <c r="E105">
        <v>2.3720000000000001E-2</v>
      </c>
      <c r="F105">
        <v>205489392</v>
      </c>
      <c r="G105">
        <v>2.3720000000000001E-2</v>
      </c>
      <c r="L105" t="s">
        <v>7</v>
      </c>
      <c r="M105" t="s">
        <v>8</v>
      </c>
      <c r="N105" t="s">
        <v>8</v>
      </c>
      <c r="P105">
        <f t="shared" ref="P105" si="500">IF(C105=D105,0,((E105-D105)-(C105-E105))/(C105-D105))</f>
        <v>-0.30555555555555342</v>
      </c>
      <c r="Q105">
        <f t="shared" ref="Q105" si="501">F105*P105</f>
        <v>-62788425.333332896</v>
      </c>
      <c r="R105">
        <f t="shared" ref="R105" si="502">R106+Q105</f>
        <v>-4818743068.9846287</v>
      </c>
      <c r="S105">
        <f t="shared" ref="S105" si="503">R105/100000</f>
        <v>-48187.430689846289</v>
      </c>
      <c r="T105">
        <f t="shared" ref="T105" si="504">S105/1000</f>
        <v>-48.187430689846288</v>
      </c>
    </row>
    <row r="106" spans="1:20" x14ac:dyDescent="0.25">
      <c r="A106" s="5">
        <v>44487</v>
      </c>
      <c r="B106">
        <v>2.4170000000000001E-2</v>
      </c>
      <c r="C106">
        <v>2.6069999999999999E-2</v>
      </c>
      <c r="D106">
        <v>2.3220000000000001E-2</v>
      </c>
      <c r="E106">
        <v>2.3769999999999999E-2</v>
      </c>
      <c r="F106">
        <v>286555029</v>
      </c>
      <c r="G106">
        <v>2.3769999999999999E-2</v>
      </c>
      <c r="L106" t="s">
        <v>7</v>
      </c>
      <c r="M106" t="s">
        <v>8</v>
      </c>
      <c r="N106" t="s">
        <v>8</v>
      </c>
      <c r="P106">
        <f t="shared" ref="P106" si="505">IF(C106=D106,0,((E106-D106)-(C106-E106))/(C106-D106))</f>
        <v>-0.61403508771929916</v>
      </c>
      <c r="Q106">
        <f t="shared" ref="Q106" si="506">F106*P106</f>
        <v>-175954842.36842132</v>
      </c>
      <c r="R106">
        <f t="shared" ref="R106" si="507">R107+Q106</f>
        <v>-4755954643.6512957</v>
      </c>
      <c r="S106">
        <f t="shared" ref="S106" si="508">R106/100000</f>
        <v>-47559.546436512959</v>
      </c>
      <c r="T106">
        <f t="shared" ref="T106" si="509">S106/1000</f>
        <v>-47.55954643651296</v>
      </c>
    </row>
    <row r="107" spans="1:20" x14ac:dyDescent="0.25">
      <c r="A107" s="5">
        <v>44486</v>
      </c>
      <c r="B107">
        <v>2.4649999999999998E-2</v>
      </c>
      <c r="C107">
        <v>2.4799999999999999E-2</v>
      </c>
      <c r="D107">
        <v>2.334E-2</v>
      </c>
      <c r="E107">
        <v>2.4150000000000001E-2</v>
      </c>
      <c r="F107">
        <v>112468461</v>
      </c>
      <c r="G107">
        <v>2.4150000000000001E-2</v>
      </c>
      <c r="L107" t="s">
        <v>7</v>
      </c>
      <c r="M107" t="s">
        <v>8</v>
      </c>
      <c r="N107" t="s">
        <v>8</v>
      </c>
      <c r="P107">
        <f t="shared" ref="P107" si="510">IF(C107=D107,0,((E107-D107)-(C107-E107))/(C107-D107))</f>
        <v>0.10958904109589311</v>
      </c>
      <c r="Q107">
        <f t="shared" ref="Q107" si="511">F107*P107</f>
        <v>12325310.794520851</v>
      </c>
      <c r="R107">
        <f t="shared" ref="R107" si="512">R108+Q107</f>
        <v>-4579999801.2828741</v>
      </c>
      <c r="S107">
        <f t="shared" ref="S107" si="513">R107/100000</f>
        <v>-45799.998012828743</v>
      </c>
      <c r="T107">
        <f t="shared" ref="T107" si="514">S107/1000</f>
        <v>-45.799998012828745</v>
      </c>
    </row>
    <row r="108" spans="1:20" x14ac:dyDescent="0.25">
      <c r="A108" s="5">
        <v>44485</v>
      </c>
      <c r="B108">
        <v>2.529E-2</v>
      </c>
      <c r="C108">
        <v>2.5819999999999999E-2</v>
      </c>
      <c r="D108">
        <v>2.461E-2</v>
      </c>
      <c r="E108">
        <v>2.469E-2</v>
      </c>
      <c r="F108">
        <v>159975676</v>
      </c>
      <c r="G108">
        <v>2.469E-2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-0.86776859504132187</v>
      </c>
      <c r="Q108">
        <f t="shared" ref="Q108" si="516">F108*P108</f>
        <v>-138821867.60330573</v>
      </c>
      <c r="R108">
        <f t="shared" ref="R108" si="517">R109+Q108</f>
        <v>-4592325112.0773945</v>
      </c>
      <c r="S108">
        <f t="shared" ref="S108" si="518">R108/100000</f>
        <v>-45923.251120773944</v>
      </c>
      <c r="T108">
        <f t="shared" ref="T108" si="519">S108/1000</f>
        <v>-45.923251120773948</v>
      </c>
    </row>
    <row r="109" spans="1:20" x14ac:dyDescent="0.25">
      <c r="A109" s="5">
        <v>44484</v>
      </c>
      <c r="B109">
        <v>2.4469999999999999E-2</v>
      </c>
      <c r="C109">
        <v>2.58E-2</v>
      </c>
      <c r="D109">
        <v>2.4070000000000001E-2</v>
      </c>
      <c r="E109">
        <v>2.5270000000000001E-2</v>
      </c>
      <c r="F109">
        <v>233752300</v>
      </c>
      <c r="G109">
        <v>2.5270000000000001E-2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0.38728323699422018</v>
      </c>
      <c r="Q109">
        <f t="shared" ref="Q109" si="521">F109*P109</f>
        <v>90528347.398844048</v>
      </c>
      <c r="R109">
        <f t="shared" ref="R109" si="522">R110+Q109</f>
        <v>-4453503244.4740887</v>
      </c>
      <c r="S109">
        <f t="shared" ref="S109" si="523">R109/100000</f>
        <v>-44535.032444740886</v>
      </c>
      <c r="T109">
        <f t="shared" ref="T109" si="524">S109/1000</f>
        <v>-44.535032444740885</v>
      </c>
    </row>
    <row r="110" spans="1:20" x14ac:dyDescent="0.25">
      <c r="A110" s="5">
        <v>44483</v>
      </c>
      <c r="B110">
        <v>2.3630000000000002E-2</v>
      </c>
      <c r="C110">
        <v>2.5440000000000001E-2</v>
      </c>
      <c r="D110">
        <v>2.3480000000000001E-2</v>
      </c>
      <c r="E110">
        <v>2.4459999999999999E-2</v>
      </c>
      <c r="F110">
        <v>181549885</v>
      </c>
      <c r="G110">
        <v>2.4459999999999999E-2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-1.7701259958947012E-15</v>
      </c>
      <c r="Q110">
        <f t="shared" ref="Q110" si="526">F110*P110</f>
        <v>-3.2136617099019348E-7</v>
      </c>
      <c r="R110">
        <f t="shared" ref="R110" si="527">R111+Q110</f>
        <v>-4544031591.8729324</v>
      </c>
      <c r="S110">
        <f t="shared" ref="S110" si="528">R110/100000</f>
        <v>-45440.315918729328</v>
      </c>
      <c r="T110">
        <f t="shared" ref="T110" si="529">S110/1000</f>
        <v>-45.440315918729326</v>
      </c>
    </row>
    <row r="111" spans="1:20" x14ac:dyDescent="0.25">
      <c r="A111" s="5">
        <v>44482</v>
      </c>
      <c r="B111">
        <v>2.3189999999999999E-2</v>
      </c>
      <c r="C111">
        <v>2.393E-2</v>
      </c>
      <c r="D111">
        <v>2.1749999999999999E-2</v>
      </c>
      <c r="E111">
        <v>2.3650000000000001E-2</v>
      </c>
      <c r="F111">
        <v>220056875</v>
      </c>
      <c r="G111">
        <v>2.3650000000000001E-2</v>
      </c>
      <c r="L111" t="s">
        <v>7</v>
      </c>
      <c r="M111" t="s">
        <v>7</v>
      </c>
      <c r="N111" t="s">
        <v>8</v>
      </c>
      <c r="P111">
        <f t="shared" ref="P111" si="530">IF(C111=D111,0,((E111-D111)-(C111-E111))/(C111-D111))</f>
        <v>0.74311926605504697</v>
      </c>
      <c r="Q111">
        <f t="shared" ref="Q111" si="531">F111*P111</f>
        <v>163528503.44036722</v>
      </c>
      <c r="R111">
        <f t="shared" ref="R111" si="532">R112+Q111</f>
        <v>-4544031591.8729324</v>
      </c>
      <c r="S111">
        <f t="shared" ref="S111" si="533">R111/100000</f>
        <v>-45440.315918729328</v>
      </c>
      <c r="T111">
        <f t="shared" ref="T111" si="534">S111/1000</f>
        <v>-45.440315918729326</v>
      </c>
    </row>
    <row r="112" spans="1:20" x14ac:dyDescent="0.25">
      <c r="A112" s="5">
        <v>44481</v>
      </c>
      <c r="B112">
        <v>2.402E-2</v>
      </c>
      <c r="C112">
        <v>2.4029999999999999E-2</v>
      </c>
      <c r="D112">
        <v>2.2329999999999999E-2</v>
      </c>
      <c r="E112">
        <v>2.3189999999999999E-2</v>
      </c>
      <c r="F112">
        <v>163777563</v>
      </c>
      <c r="G112">
        <v>2.3189999999999999E-2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1.176470588235246E-2</v>
      </c>
      <c r="Q112">
        <f t="shared" ref="Q112" si="536">F112*P112</f>
        <v>1926794.8588234507</v>
      </c>
      <c r="R112">
        <f t="shared" ref="R112" si="537">R113+Q112</f>
        <v>-4707560095.3133001</v>
      </c>
      <c r="S112">
        <f t="shared" ref="S112" si="538">R112/100000</f>
        <v>-47075.600953132998</v>
      </c>
      <c r="T112">
        <f t="shared" ref="T112" si="539">S112/1000</f>
        <v>-47.075600953132998</v>
      </c>
    </row>
    <row r="113" spans="1:20" x14ac:dyDescent="0.25">
      <c r="A113" s="5">
        <v>44480</v>
      </c>
      <c r="B113">
        <v>2.4330000000000001E-2</v>
      </c>
      <c r="C113">
        <v>2.5950000000000001E-2</v>
      </c>
      <c r="D113">
        <v>2.342E-2</v>
      </c>
      <c r="E113">
        <v>2.402E-2</v>
      </c>
      <c r="F113">
        <v>172240167</v>
      </c>
      <c r="G113">
        <v>2.402E-2</v>
      </c>
      <c r="L113" t="s">
        <v>7</v>
      </c>
      <c r="M113" t="s">
        <v>8</v>
      </c>
      <c r="N113" t="s">
        <v>8</v>
      </c>
      <c r="P113">
        <f t="shared" ref="P113" si="540">IF(C113=D113,0,((E113-D113)-(C113-E113))/(C113-D113))</f>
        <v>-0.52569169960474338</v>
      </c>
      <c r="Q113">
        <f t="shared" ref="Q113" si="541">F113*P113</f>
        <v>-90545226.130434841</v>
      </c>
      <c r="R113">
        <f t="shared" ref="R113" si="542">R114+Q113</f>
        <v>-4709486890.1721239</v>
      </c>
      <c r="S113">
        <f t="shared" ref="S113" si="543">R113/100000</f>
        <v>-47094.868901721238</v>
      </c>
      <c r="T113">
        <f t="shared" ref="T113" si="544">S113/1000</f>
        <v>-47.094868901721242</v>
      </c>
    </row>
    <row r="114" spans="1:20" x14ac:dyDescent="0.25">
      <c r="A114" s="5">
        <v>44479</v>
      </c>
      <c r="B114">
        <v>2.562E-2</v>
      </c>
      <c r="C114">
        <v>2.7E-2</v>
      </c>
      <c r="D114">
        <v>2.426E-2</v>
      </c>
      <c r="E114">
        <v>2.4400000000000002E-2</v>
      </c>
      <c r="F114">
        <v>299599877</v>
      </c>
      <c r="G114">
        <v>2.4400000000000002E-2</v>
      </c>
      <c r="L114" t="s">
        <v>7</v>
      </c>
      <c r="M114" t="s">
        <v>8</v>
      </c>
      <c r="N114" t="s">
        <v>8</v>
      </c>
      <c r="P114">
        <f t="shared" ref="P114" si="545">IF(C114=D114,0,((E114-D114)-(C114-E114))/(C114-D114))</f>
        <v>-0.89781021897810132</v>
      </c>
      <c r="Q114">
        <f t="shared" ref="Q114" si="546">F114*P114</f>
        <v>-268983831.17518222</v>
      </c>
      <c r="R114">
        <f t="shared" ref="R114" si="547">R115+Q114</f>
        <v>-4618941664.0416889</v>
      </c>
      <c r="S114">
        <f t="shared" ref="S114" si="548">R114/100000</f>
        <v>-46189.416640416886</v>
      </c>
      <c r="T114">
        <f t="shared" ref="T114" si="549">S114/1000</f>
        <v>-46.189416640416887</v>
      </c>
    </row>
    <row r="115" spans="1:20" x14ac:dyDescent="0.25">
      <c r="A115" s="5">
        <v>44478</v>
      </c>
      <c r="B115">
        <v>2.4049999999999998E-2</v>
      </c>
      <c r="C115">
        <v>2.8230000000000002E-2</v>
      </c>
      <c r="D115">
        <v>2.3939999999999999E-2</v>
      </c>
      <c r="E115">
        <v>2.5579999999999999E-2</v>
      </c>
      <c r="F115">
        <v>735310034</v>
      </c>
      <c r="G115">
        <v>2.5579999999999999E-2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-0.23543123543123623</v>
      </c>
      <c r="Q115">
        <f t="shared" ref="Q115" si="551">F115*P115</f>
        <v>-173114949.7296043</v>
      </c>
      <c r="R115">
        <f t="shared" ref="R115" si="552">R116+Q115</f>
        <v>-4349957832.8665066</v>
      </c>
      <c r="S115">
        <f t="shared" ref="S115" si="553">R115/100000</f>
        <v>-43499.578328665062</v>
      </c>
      <c r="T115">
        <f t="shared" ref="T115" si="554">S115/1000</f>
        <v>-43.499578328665059</v>
      </c>
    </row>
    <row r="116" spans="1:20" x14ac:dyDescent="0.25">
      <c r="A116" s="5">
        <v>44477</v>
      </c>
      <c r="B116">
        <v>2.239E-2</v>
      </c>
      <c r="C116">
        <v>2.469E-2</v>
      </c>
      <c r="D116">
        <v>2.231E-2</v>
      </c>
      <c r="E116">
        <v>2.4039999999999999E-2</v>
      </c>
      <c r="F116">
        <v>243916770</v>
      </c>
      <c r="G116">
        <v>2.4039999999999999E-2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0.45378151260504102</v>
      </c>
      <c r="Q116">
        <f t="shared" ref="Q116" si="556">F116*P116</f>
        <v>110684920.84033589</v>
      </c>
      <c r="R116">
        <f t="shared" ref="R116" si="557">R117+Q116</f>
        <v>-4176842883.1369019</v>
      </c>
      <c r="S116">
        <f t="shared" ref="S116" si="558">R116/100000</f>
        <v>-41768.428831369019</v>
      </c>
      <c r="T116">
        <f t="shared" ref="T116" si="559">S116/1000</f>
        <v>-41.768428831369022</v>
      </c>
    </row>
    <row r="117" spans="1:20" x14ac:dyDescent="0.25">
      <c r="A117" s="5">
        <v>44476</v>
      </c>
      <c r="B117">
        <v>2.273E-2</v>
      </c>
      <c r="C117">
        <v>2.3599999999999999E-2</v>
      </c>
      <c r="D117">
        <v>2.2089999999999999E-2</v>
      </c>
      <c r="E117">
        <v>2.24E-2</v>
      </c>
      <c r="F117">
        <v>208583641</v>
      </c>
      <c r="G117">
        <v>2.24E-2</v>
      </c>
      <c r="L117" t="s">
        <v>7</v>
      </c>
      <c r="M117" t="s">
        <v>8</v>
      </c>
      <c r="N117" t="s">
        <v>8</v>
      </c>
      <c r="P117">
        <f t="shared" ref="P117" si="560">IF(C117=D117,0,((E117-D117)-(C117-E117))/(C117-D117))</f>
        <v>-0.58940397350993234</v>
      </c>
      <c r="Q117">
        <f t="shared" ref="Q117" si="561">F117*P117</f>
        <v>-122940026.81456923</v>
      </c>
      <c r="R117">
        <f t="shared" ref="R117" si="562">R118+Q117</f>
        <v>-4287527803.9772377</v>
      </c>
      <c r="S117">
        <f t="shared" ref="S117" si="563">R117/100000</f>
        <v>-42875.278039772376</v>
      </c>
      <c r="T117">
        <f t="shared" ref="T117" si="564">S117/1000</f>
        <v>-42.875278039772375</v>
      </c>
    </row>
    <row r="118" spans="1:20" x14ac:dyDescent="0.25">
      <c r="A118" s="5">
        <v>44475</v>
      </c>
      <c r="B118">
        <v>2.2509999999999999E-2</v>
      </c>
      <c r="C118">
        <v>2.4799999999999999E-2</v>
      </c>
      <c r="D118">
        <v>2.1160000000000002E-2</v>
      </c>
      <c r="E118">
        <v>2.2749999999999999E-2</v>
      </c>
      <c r="F118">
        <v>362004614</v>
      </c>
      <c r="G118">
        <v>2.2749999999999999E-2</v>
      </c>
      <c r="L118" t="s">
        <v>8</v>
      </c>
      <c r="M118" t="s">
        <v>8</v>
      </c>
      <c r="N118" t="s">
        <v>8</v>
      </c>
      <c r="P118">
        <f t="shared" ref="P118" si="565">IF(C118=D118,0,((E118-D118)-(C118-E118))/(C118-D118))</f>
        <v>-0.12637362637362703</v>
      </c>
      <c r="Q118">
        <f t="shared" ref="Q118" si="566">F118*P118</f>
        <v>-45747835.835165076</v>
      </c>
      <c r="R118">
        <f t="shared" ref="R118" si="567">R119+Q118</f>
        <v>-4164587777.1626687</v>
      </c>
      <c r="S118">
        <f t="shared" ref="S118" si="568">R118/100000</f>
        <v>-41645.877771626685</v>
      </c>
      <c r="T118">
        <f t="shared" ref="T118" si="569">S118/1000</f>
        <v>-41.645877771626687</v>
      </c>
    </row>
    <row r="119" spans="1:20" x14ac:dyDescent="0.25">
      <c r="A119" s="5">
        <v>44474</v>
      </c>
      <c r="B119">
        <v>2.2409999999999999E-2</v>
      </c>
      <c r="C119">
        <v>2.358E-2</v>
      </c>
      <c r="D119">
        <v>2.2079999999999999E-2</v>
      </c>
      <c r="E119">
        <v>2.2509999999999999E-2</v>
      </c>
      <c r="F119">
        <v>370660031</v>
      </c>
      <c r="G119">
        <v>2.2509999999999999E-2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-0.42666666666666742</v>
      </c>
      <c r="Q119">
        <f t="shared" ref="Q119" si="571">F119*P119</f>
        <v>-158148279.89333361</v>
      </c>
      <c r="R119">
        <f t="shared" ref="R119" si="572">R120+Q119</f>
        <v>-4118839941.3275037</v>
      </c>
      <c r="S119">
        <f t="shared" ref="S119" si="573">R119/100000</f>
        <v>-41188.399413275038</v>
      </c>
      <c r="T119">
        <f t="shared" ref="T119" si="574">S119/1000</f>
        <v>-41.188399413275036</v>
      </c>
    </row>
    <row r="120" spans="1:20" x14ac:dyDescent="0.25">
      <c r="A120" s="5">
        <v>44473</v>
      </c>
      <c r="B120">
        <v>2.1860000000000001E-2</v>
      </c>
      <c r="C120">
        <v>2.2849999999999999E-2</v>
      </c>
      <c r="D120">
        <v>2.1129999999999999E-2</v>
      </c>
      <c r="E120">
        <v>2.2599999999999999E-2</v>
      </c>
      <c r="F120">
        <v>159430040</v>
      </c>
      <c r="G120">
        <v>2.2599999999999999E-2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0.70930232558139494</v>
      </c>
      <c r="Q120">
        <f t="shared" ref="Q120" si="576">F120*P120</f>
        <v>113084098.13953482</v>
      </c>
      <c r="R120">
        <f t="shared" ref="R120" si="577">R121+Q120</f>
        <v>-3960691661.4341702</v>
      </c>
      <c r="S120">
        <f t="shared" ref="S120" si="578">R120/100000</f>
        <v>-39606.916614341702</v>
      </c>
      <c r="T120">
        <f t="shared" ref="T120" si="579">S120/1000</f>
        <v>-39.606916614341699</v>
      </c>
    </row>
    <row r="121" spans="1:20" x14ac:dyDescent="0.25">
      <c r="A121" s="5">
        <v>44472</v>
      </c>
      <c r="B121">
        <v>2.145E-2</v>
      </c>
      <c r="C121">
        <v>2.3E-2</v>
      </c>
      <c r="D121">
        <v>2.104E-2</v>
      </c>
      <c r="E121">
        <v>2.1839999999999998E-2</v>
      </c>
      <c r="F121">
        <v>142145864</v>
      </c>
      <c r="G121">
        <v>2.1839999999999998E-2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-0.18367346938775647</v>
      </c>
      <c r="Q121">
        <f t="shared" ref="Q121" si="581">F121*P121</f>
        <v>-26108424.000000194</v>
      </c>
      <c r="R121">
        <f t="shared" ref="R121" si="582">R122+Q121</f>
        <v>-4073775759.5737052</v>
      </c>
      <c r="S121">
        <f t="shared" ref="S121" si="583">R121/100000</f>
        <v>-40737.75759573705</v>
      </c>
      <c r="T121">
        <f t="shared" ref="T121" si="584">S121/1000</f>
        <v>-40.737757595737051</v>
      </c>
    </row>
    <row r="122" spans="1:20" x14ac:dyDescent="0.25">
      <c r="A122" s="5">
        <v>44471</v>
      </c>
      <c r="B122">
        <v>2.1579999999999998E-2</v>
      </c>
      <c r="C122">
        <v>2.23E-2</v>
      </c>
      <c r="D122">
        <v>2.0969999999999999E-2</v>
      </c>
      <c r="E122">
        <v>2.1479999999999999E-2</v>
      </c>
      <c r="F122">
        <v>123794531</v>
      </c>
      <c r="G122">
        <v>2.1479999999999999E-2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-0.233082706766918</v>
      </c>
      <c r="Q122">
        <f t="shared" ref="Q122" si="586">F122*P122</f>
        <v>-28854364.368421141</v>
      </c>
      <c r="R122">
        <f t="shared" ref="R122" si="587">R123+Q122</f>
        <v>-4047667335.5737052</v>
      </c>
      <c r="S122">
        <f t="shared" ref="S122" si="588">R122/100000</f>
        <v>-40476.673355737053</v>
      </c>
      <c r="T122">
        <f t="shared" ref="T122" si="589">S122/1000</f>
        <v>-40.476673355737056</v>
      </c>
    </row>
    <row r="123" spans="1:20" x14ac:dyDescent="0.25">
      <c r="A123" s="5">
        <v>44470</v>
      </c>
      <c r="B123">
        <v>1.958E-2</v>
      </c>
      <c r="C123">
        <v>2.1749999999999999E-2</v>
      </c>
      <c r="D123">
        <v>1.9290000000000002E-2</v>
      </c>
      <c r="E123">
        <v>2.1569999999999999E-2</v>
      </c>
      <c r="F123">
        <v>212820816</v>
      </c>
      <c r="G123">
        <v>2.1569999999999999E-2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0.85365853658536595</v>
      </c>
      <c r="Q123">
        <f t="shared" ref="Q123" si="591">F123*P123</f>
        <v>181676306.34146345</v>
      </c>
      <c r="R123">
        <f t="shared" ref="R123" si="592">R124+Q123</f>
        <v>-4018812971.2052841</v>
      </c>
      <c r="S123">
        <f t="shared" ref="S123" si="593">R123/100000</f>
        <v>-40188.12971205284</v>
      </c>
      <c r="T123">
        <f t="shared" ref="T123" si="594">S123/1000</f>
        <v>-40.188129712052842</v>
      </c>
    </row>
    <row r="124" spans="1:20" x14ac:dyDescent="0.25">
      <c r="A124" s="5">
        <v>44469</v>
      </c>
      <c r="B124">
        <v>1.8440000000000002E-2</v>
      </c>
      <c r="C124">
        <v>1.967E-2</v>
      </c>
      <c r="D124">
        <v>1.823E-2</v>
      </c>
      <c r="E124">
        <v>1.9599999999999999E-2</v>
      </c>
      <c r="F124">
        <v>142853605</v>
      </c>
      <c r="G124">
        <v>1.9599999999999999E-2</v>
      </c>
      <c r="L124" t="s">
        <v>7</v>
      </c>
      <c r="M124" t="s">
        <v>7</v>
      </c>
      <c r="N124" t="s">
        <v>7</v>
      </c>
      <c r="P124">
        <f t="shared" ref="P124" si="595">IF(C124=D124,0,((E124-D124)-(C124-E124))/(C124-D124))</f>
        <v>0.9027777777777769</v>
      </c>
      <c r="Q124">
        <f t="shared" ref="Q124" si="596">F124*P124</f>
        <v>128965060.06944431</v>
      </c>
      <c r="R124">
        <f t="shared" ref="R124" si="597">R125+Q124</f>
        <v>-4200489277.5467477</v>
      </c>
      <c r="S124">
        <f t="shared" ref="S124" si="598">R124/100000</f>
        <v>-42004.892775467473</v>
      </c>
      <c r="T124">
        <f t="shared" ref="T124" si="599">S124/1000</f>
        <v>-42.004892775467475</v>
      </c>
    </row>
    <row r="125" spans="1:20" x14ac:dyDescent="0.25">
      <c r="A125" s="5">
        <v>44468</v>
      </c>
      <c r="B125">
        <v>1.8200000000000001E-2</v>
      </c>
      <c r="C125">
        <v>1.9609999999999999E-2</v>
      </c>
      <c r="D125">
        <v>1.8010000000000002E-2</v>
      </c>
      <c r="E125">
        <v>1.8429999999999998E-2</v>
      </c>
      <c r="F125">
        <v>103143306</v>
      </c>
      <c r="G125">
        <v>1.8429999999999998E-2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-0.47500000000000314</v>
      </c>
      <c r="Q125">
        <f t="shared" ref="Q125" si="601">F125*P125</f>
        <v>-48993070.350000322</v>
      </c>
      <c r="R125">
        <f t="shared" ref="R125" si="602">R126+Q125</f>
        <v>-4329454337.6161919</v>
      </c>
      <c r="S125">
        <f t="shared" ref="S125" si="603">R125/100000</f>
        <v>-43294.543376161921</v>
      </c>
      <c r="T125">
        <f t="shared" ref="T125" si="604">S125/1000</f>
        <v>-43.294543376161919</v>
      </c>
    </row>
    <row r="126" spans="1:20" x14ac:dyDescent="0.25">
      <c r="A126" s="5">
        <v>44467</v>
      </c>
      <c r="B126">
        <v>1.8839999999999999E-2</v>
      </c>
      <c r="C126">
        <v>1.942E-2</v>
      </c>
      <c r="D126">
        <v>1.8010000000000002E-2</v>
      </c>
      <c r="E126">
        <v>1.822E-2</v>
      </c>
      <c r="F126">
        <v>134190334</v>
      </c>
      <c r="G126">
        <v>1.822E-2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-0.70212765957446999</v>
      </c>
      <c r="Q126">
        <f t="shared" ref="Q126" si="606">F126*P126</f>
        <v>-94218745.148936421</v>
      </c>
      <c r="R126">
        <f t="shared" ref="R126" si="607">R127+Q126</f>
        <v>-4280461267.2661915</v>
      </c>
      <c r="S126">
        <f t="shared" ref="S126" si="608">R126/100000</f>
        <v>-42804.612672661911</v>
      </c>
      <c r="T126">
        <f t="shared" ref="T126" si="609">S126/1000</f>
        <v>-42.804612672661911</v>
      </c>
    </row>
    <row r="127" spans="1:20" x14ac:dyDescent="0.25">
      <c r="A127" s="5">
        <v>44466</v>
      </c>
      <c r="B127">
        <v>1.9990000000000001E-2</v>
      </c>
      <c r="C127">
        <v>2.07E-2</v>
      </c>
      <c r="D127">
        <v>1.8749999999999999E-2</v>
      </c>
      <c r="E127">
        <v>1.8839999999999999E-2</v>
      </c>
      <c r="F127">
        <v>151303426</v>
      </c>
      <c r="G127">
        <v>1.8839999999999999E-2</v>
      </c>
      <c r="L127" t="s">
        <v>7</v>
      </c>
      <c r="M127" t="s">
        <v>7</v>
      </c>
      <c r="N127" t="s">
        <v>7</v>
      </c>
      <c r="P127">
        <f t="shared" ref="P127" si="610">IF(C127=D127,0,((E127-D127)-(C127-E127))/(C127-D127))</f>
        <v>-0.90769230769230791</v>
      </c>
      <c r="Q127">
        <f t="shared" ref="Q127" si="611">F127*P127</f>
        <v>-137336955.90769234</v>
      </c>
      <c r="R127">
        <f t="shared" ref="R127" si="612">R128+Q127</f>
        <v>-4186242522.1172552</v>
      </c>
      <c r="S127">
        <f t="shared" ref="S127" si="613">R127/100000</f>
        <v>-41862.425221172554</v>
      </c>
      <c r="T127">
        <f t="shared" ref="T127" si="614">S127/1000</f>
        <v>-41.862425221172558</v>
      </c>
    </row>
    <row r="128" spans="1:20" x14ac:dyDescent="0.25">
      <c r="A128" s="5">
        <v>44465</v>
      </c>
      <c r="B128">
        <v>1.9429999999999999E-2</v>
      </c>
      <c r="C128">
        <v>2.1440000000000001E-2</v>
      </c>
      <c r="D128">
        <v>1.7930000000000001E-2</v>
      </c>
      <c r="E128">
        <v>1.9990000000000001E-2</v>
      </c>
      <c r="F128">
        <v>494839159</v>
      </c>
      <c r="G128">
        <v>1.9990000000000001E-2</v>
      </c>
      <c r="L128" t="s">
        <v>8</v>
      </c>
      <c r="M128" t="s">
        <v>7</v>
      </c>
      <c r="N128" t="s">
        <v>7</v>
      </c>
      <c r="P128">
        <f t="shared" ref="P128" si="615">IF(C128=D128,0,((E128-D128)-(C128-E128))/(C128-D128))</f>
        <v>0.17378917378917366</v>
      </c>
      <c r="Q128">
        <f t="shared" ref="Q128" si="616">F128*P128</f>
        <v>85997688.601139545</v>
      </c>
      <c r="R128">
        <f t="shared" ref="R128" si="617">R129+Q128</f>
        <v>-4048905566.2095628</v>
      </c>
      <c r="S128">
        <f t="shared" ref="S128" si="618">R128/100000</f>
        <v>-40489.055662095627</v>
      </c>
      <c r="T128">
        <f t="shared" ref="T128" si="619">S128/1000</f>
        <v>-40.489055662095623</v>
      </c>
    </row>
    <row r="129" spans="1:20" x14ac:dyDescent="0.25">
      <c r="A129" s="5">
        <v>44464</v>
      </c>
      <c r="B129">
        <v>1.993E-2</v>
      </c>
      <c r="C129">
        <v>2.0760000000000001E-2</v>
      </c>
      <c r="D129">
        <v>1.9009999999999999E-2</v>
      </c>
      <c r="E129">
        <v>1.942E-2</v>
      </c>
      <c r="F129">
        <v>134474621</v>
      </c>
      <c r="G129">
        <v>1.942E-2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-0.53142857142857114</v>
      </c>
      <c r="Q129">
        <f t="shared" ref="Q129" si="621">F129*P129</f>
        <v>-71463655.731428534</v>
      </c>
      <c r="R129">
        <f t="shared" ref="R129" si="622">R130+Q129</f>
        <v>-4134903254.8107023</v>
      </c>
      <c r="S129">
        <f t="shared" ref="S129" si="623">R129/100000</f>
        <v>-41349.032548107025</v>
      </c>
      <c r="T129">
        <f t="shared" ref="T129" si="624">S129/1000</f>
        <v>-41.349032548107026</v>
      </c>
    </row>
    <row r="130" spans="1:20" x14ac:dyDescent="0.25">
      <c r="A130" s="5">
        <v>44463</v>
      </c>
      <c r="B130">
        <v>2.1600000000000001E-2</v>
      </c>
      <c r="C130">
        <v>2.1669999999999998E-2</v>
      </c>
      <c r="D130">
        <v>1.8519999999999998E-2</v>
      </c>
      <c r="E130">
        <v>1.9900000000000001E-2</v>
      </c>
      <c r="F130">
        <v>199475136</v>
      </c>
      <c r="G130">
        <v>1.9900000000000001E-2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-0.12380952380952207</v>
      </c>
      <c r="Q130">
        <f t="shared" ref="Q130" si="626">F130*P130</f>
        <v>-24696921.599999651</v>
      </c>
      <c r="R130">
        <f t="shared" ref="R130" si="627">R131+Q130</f>
        <v>-4063439599.0792737</v>
      </c>
      <c r="S130">
        <f t="shared" ref="S130" si="628">R130/100000</f>
        <v>-40634.395990792735</v>
      </c>
      <c r="T130">
        <f t="shared" ref="T130" si="629">S130/1000</f>
        <v>-40.634395990792733</v>
      </c>
    </row>
    <row r="131" spans="1:20" x14ac:dyDescent="0.25">
      <c r="A131" s="5">
        <v>44462</v>
      </c>
      <c r="B131">
        <v>2.1239999999999998E-2</v>
      </c>
      <c r="C131">
        <v>2.2120000000000001E-2</v>
      </c>
      <c r="D131">
        <v>2.0820000000000002E-2</v>
      </c>
      <c r="E131">
        <v>2.1600000000000001E-2</v>
      </c>
      <c r="F131">
        <v>185004388</v>
      </c>
      <c r="G131">
        <v>2.1600000000000001E-2</v>
      </c>
      <c r="L131" t="s">
        <v>8</v>
      </c>
      <c r="M131" t="s">
        <v>7</v>
      </c>
      <c r="N131" t="s">
        <v>7</v>
      </c>
      <c r="P131">
        <f t="shared" ref="P131" si="630">IF(C131=D131,0,((E131-D131)-(C131-E131))/(C131-D131))</f>
        <v>0.2</v>
      </c>
      <c r="Q131">
        <f t="shared" ref="Q131" si="631">F131*P131</f>
        <v>37000877.600000001</v>
      </c>
      <c r="R131">
        <f t="shared" ref="R131" si="632">R132+Q131</f>
        <v>-4038742677.4792743</v>
      </c>
      <c r="S131">
        <f t="shared" ref="S131" si="633">R131/100000</f>
        <v>-40387.426774792744</v>
      </c>
      <c r="T131">
        <f t="shared" ref="T131" si="634">S131/1000</f>
        <v>-40.387426774792743</v>
      </c>
    </row>
    <row r="132" spans="1:20" x14ac:dyDescent="0.25">
      <c r="A132" s="5">
        <v>44461</v>
      </c>
      <c r="B132">
        <v>1.9220000000000001E-2</v>
      </c>
      <c r="C132">
        <v>2.1780000000000001E-2</v>
      </c>
      <c r="D132">
        <v>1.8800000000000001E-2</v>
      </c>
      <c r="E132">
        <v>2.1270000000000001E-2</v>
      </c>
      <c r="F132">
        <v>277530263</v>
      </c>
      <c r="G132">
        <v>2.1270000000000001E-2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0.65771812080536907</v>
      </c>
      <c r="Q132">
        <f t="shared" ref="Q132" si="636">F132*P132</f>
        <v>182536683.04697984</v>
      </c>
      <c r="R132">
        <f t="shared" ref="R132" si="637">R133+Q132</f>
        <v>-4075743555.0792742</v>
      </c>
      <c r="S132">
        <f t="shared" ref="S132" si="638">R132/100000</f>
        <v>-40757.435550792739</v>
      </c>
      <c r="T132">
        <f t="shared" ref="T132" si="639">S132/1000</f>
        <v>-40.757435550792742</v>
      </c>
    </row>
    <row r="133" spans="1:20" x14ac:dyDescent="0.25">
      <c r="A133" s="5">
        <v>44460</v>
      </c>
      <c r="B133">
        <v>2.1559999999999999E-2</v>
      </c>
      <c r="C133">
        <v>2.1999999999999999E-2</v>
      </c>
      <c r="D133">
        <v>1.8460000000000001E-2</v>
      </c>
      <c r="E133">
        <v>1.9300000000000001E-2</v>
      </c>
      <c r="F133">
        <v>379478325</v>
      </c>
      <c r="G133">
        <v>1.9300000000000001E-2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-0.52542372881355881</v>
      </c>
      <c r="Q133">
        <f t="shared" ref="Q133" si="641">F133*P133</f>
        <v>-199386916.52542353</v>
      </c>
      <c r="R133">
        <f t="shared" ref="R133" si="642">R134+Q133</f>
        <v>-4258280238.1262541</v>
      </c>
      <c r="S133">
        <f t="shared" ref="S133" si="643">R133/100000</f>
        <v>-42582.80238126254</v>
      </c>
      <c r="T133">
        <f t="shared" ref="T133" si="644">S133/1000</f>
        <v>-42.582802381262539</v>
      </c>
    </row>
    <row r="134" spans="1:20" x14ac:dyDescent="0.25">
      <c r="A134" s="5">
        <v>44459</v>
      </c>
      <c r="B134">
        <v>2.5100000000000001E-2</v>
      </c>
      <c r="C134">
        <v>2.5250000000000002E-2</v>
      </c>
      <c r="D134">
        <v>2.2499999999999999E-2</v>
      </c>
      <c r="E134">
        <v>2.2929999999999999E-2</v>
      </c>
      <c r="F134">
        <v>232842263</v>
      </c>
      <c r="G134">
        <v>2.2929999999999999E-2</v>
      </c>
      <c r="L134" t="s">
        <v>7</v>
      </c>
      <c r="M134" t="s">
        <v>7</v>
      </c>
      <c r="N134" t="s">
        <v>8</v>
      </c>
      <c r="P134">
        <f t="shared" ref="P134" si="645">IF(C134=D134,0,((E134-D134)-(C134-E134))/(C134-D134))</f>
        <v>-0.6872727272727277</v>
      </c>
      <c r="Q134">
        <f t="shared" ref="Q134" si="646">F134*P134</f>
        <v>-160026137.11636373</v>
      </c>
      <c r="R134">
        <f t="shared" ref="R134" si="647">R135+Q134</f>
        <v>-4058893321.6008306</v>
      </c>
      <c r="S134">
        <f t="shared" ref="S134" si="648">R134/100000</f>
        <v>-40588.933216008307</v>
      </c>
      <c r="T134">
        <f t="shared" ref="T134" si="649">S134/1000</f>
        <v>-40.588933216008307</v>
      </c>
    </row>
    <row r="135" spans="1:20" x14ac:dyDescent="0.25">
      <c r="A135" s="5">
        <v>44458</v>
      </c>
      <c r="B135">
        <v>2.7099999999999999E-2</v>
      </c>
      <c r="C135">
        <v>3.015E-2</v>
      </c>
      <c r="D135">
        <v>2.5000000000000001E-2</v>
      </c>
      <c r="E135">
        <v>2.5139999999999999E-2</v>
      </c>
      <c r="F135">
        <v>1102935784</v>
      </c>
      <c r="G135">
        <v>2.5139999999999999E-2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-0.94563106796116592</v>
      </c>
      <c r="Q135">
        <f t="shared" ref="Q135" si="651">F135*P135</f>
        <v>-1042970343.3165058</v>
      </c>
      <c r="R135">
        <f t="shared" ref="R135" si="652">R136+Q135</f>
        <v>-3898867184.484467</v>
      </c>
      <c r="S135">
        <f t="shared" ref="S135" si="653">R135/100000</f>
        <v>-38988.67184484467</v>
      </c>
      <c r="T135">
        <f t="shared" ref="T135" si="654">S135/1000</f>
        <v>-38.988671844844667</v>
      </c>
    </row>
    <row r="136" spans="1:20" x14ac:dyDescent="0.25">
      <c r="A136" s="5">
        <v>44457</v>
      </c>
      <c r="B136">
        <v>2.341E-2</v>
      </c>
      <c r="C136">
        <v>3.2239999999999998E-2</v>
      </c>
      <c r="D136">
        <v>2.3279999999999999E-2</v>
      </c>
      <c r="E136">
        <v>2.7060000000000001E-2</v>
      </c>
      <c r="F136">
        <v>1399893961</v>
      </c>
      <c r="G136">
        <v>2.7060000000000001E-2</v>
      </c>
      <c r="L136" t="s">
        <v>8</v>
      </c>
      <c r="M136" t="s">
        <v>8</v>
      </c>
      <c r="N136" t="s">
        <v>8</v>
      </c>
      <c r="P136">
        <f t="shared" ref="P136" si="655">IF(C136=D136,0,((E136-D136)-(C136-E136))/(C136-D136))</f>
        <v>-0.15624999999999944</v>
      </c>
      <c r="Q136">
        <f t="shared" ref="Q136" si="656">F136*P136</f>
        <v>-218733431.40624923</v>
      </c>
      <c r="R136">
        <f t="shared" ref="R136" si="657">R137+Q136</f>
        <v>-2855896841.1679611</v>
      </c>
      <c r="S136">
        <f t="shared" ref="S136" si="658">R136/100000</f>
        <v>-28558.968411679612</v>
      </c>
      <c r="T136">
        <f t="shared" ref="T136" si="659">S136/1000</f>
        <v>-28.558968411679611</v>
      </c>
    </row>
    <row r="137" spans="1:20" x14ac:dyDescent="0.25">
      <c r="A137" s="5">
        <v>44456</v>
      </c>
      <c r="B137">
        <v>2.4E-2</v>
      </c>
      <c r="C137">
        <v>2.4570000000000002E-2</v>
      </c>
      <c r="D137">
        <v>2.298E-2</v>
      </c>
      <c r="E137">
        <v>2.3390000000000001E-2</v>
      </c>
      <c r="F137">
        <v>159877038</v>
      </c>
      <c r="G137">
        <v>2.3390000000000001E-2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-0.48427672955974799</v>
      </c>
      <c r="Q137">
        <f t="shared" ref="Q137" si="661">F137*P137</f>
        <v>-77424729.09433955</v>
      </c>
      <c r="R137">
        <f t="shared" ref="R137" si="662">R138+Q137</f>
        <v>-2637163409.7617121</v>
      </c>
      <c r="S137">
        <f t="shared" ref="S137" si="663">R137/100000</f>
        <v>-26371.63409761712</v>
      </c>
      <c r="T137">
        <f t="shared" ref="T137" si="664">S137/1000</f>
        <v>-26.371634097617118</v>
      </c>
    </row>
    <row r="138" spans="1:20" x14ac:dyDescent="0.25">
      <c r="A138" s="5">
        <v>44455</v>
      </c>
      <c r="B138">
        <v>2.4920000000000001E-2</v>
      </c>
      <c r="C138">
        <v>2.4989999999999998E-2</v>
      </c>
      <c r="D138">
        <v>2.351E-2</v>
      </c>
      <c r="E138">
        <v>2.4E-2</v>
      </c>
      <c r="F138">
        <v>167501413</v>
      </c>
      <c r="G138">
        <v>2.4E-2</v>
      </c>
      <c r="L138" t="s">
        <v>8</v>
      </c>
      <c r="M138" t="s">
        <v>7</v>
      </c>
      <c r="N138" t="s">
        <v>7</v>
      </c>
      <c r="P138">
        <f t="shared" ref="P138" si="665">IF(C138=D138,0,((E138-D138)-(C138-E138))/(C138-D138))</f>
        <v>-0.33783783783783611</v>
      </c>
      <c r="Q138">
        <f t="shared" ref="Q138" si="666">F138*P138</f>
        <v>-56588315.202702411</v>
      </c>
      <c r="R138">
        <f t="shared" ref="R138" si="667">R139+Q138</f>
        <v>-2559738680.6673727</v>
      </c>
      <c r="S138">
        <f t="shared" ref="S138" si="668">R138/100000</f>
        <v>-25597.386806673727</v>
      </c>
      <c r="T138">
        <f t="shared" ref="T138" si="669">S138/1000</f>
        <v>-25.597386806673725</v>
      </c>
    </row>
    <row r="139" spans="1:20" x14ac:dyDescent="0.25">
      <c r="A139" s="5">
        <v>44454</v>
      </c>
      <c r="B139">
        <v>2.392E-2</v>
      </c>
      <c r="C139">
        <v>2.4979999999999999E-2</v>
      </c>
      <c r="D139">
        <v>2.333E-2</v>
      </c>
      <c r="E139">
        <v>2.4930000000000001E-2</v>
      </c>
      <c r="F139">
        <v>148307968</v>
      </c>
      <c r="G139">
        <v>2.4930000000000001E-2</v>
      </c>
      <c r="L139" t="s">
        <v>8</v>
      </c>
      <c r="M139" t="s">
        <v>7</v>
      </c>
      <c r="N139" t="s">
        <v>7</v>
      </c>
      <c r="P139">
        <f t="shared" ref="P139" si="670">IF(C139=D139,0,((E139-D139)-(C139-E139))/(C139-D139))</f>
        <v>0.93939393939394178</v>
      </c>
      <c r="Q139">
        <f t="shared" ref="Q139" si="671">F139*P139</f>
        <v>139319606.30303067</v>
      </c>
      <c r="R139">
        <f t="shared" ref="R139" si="672">R140+Q139</f>
        <v>-2503150365.4646702</v>
      </c>
      <c r="S139">
        <f t="shared" ref="S139" si="673">R139/100000</f>
        <v>-25031.503654646702</v>
      </c>
      <c r="T139">
        <f t="shared" ref="T139" si="674">S139/1000</f>
        <v>-25.031503654646702</v>
      </c>
    </row>
    <row r="140" spans="1:20" x14ac:dyDescent="0.25">
      <c r="A140" s="5">
        <v>44453</v>
      </c>
      <c r="B140">
        <v>2.298E-2</v>
      </c>
      <c r="C140">
        <v>2.3990000000000001E-2</v>
      </c>
      <c r="D140">
        <v>2.1860000000000001E-2</v>
      </c>
      <c r="E140">
        <v>2.392E-2</v>
      </c>
      <c r="F140">
        <v>187220657</v>
      </c>
      <c r="G140">
        <v>2.392E-2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0.93427230046948295</v>
      </c>
      <c r="Q140">
        <f t="shared" ref="Q140" si="676">F140*P140</f>
        <v>174915073.91079801</v>
      </c>
      <c r="R140">
        <f t="shared" ref="R140" si="677">R141+Q140</f>
        <v>-2642469971.7677007</v>
      </c>
      <c r="S140">
        <f t="shared" ref="S140" si="678">R140/100000</f>
        <v>-26424.699717677006</v>
      </c>
      <c r="T140">
        <f t="shared" ref="T140" si="679">S140/1000</f>
        <v>-26.424699717677004</v>
      </c>
    </row>
    <row r="141" spans="1:20" x14ac:dyDescent="0.25">
      <c r="A141" s="5">
        <v>44452</v>
      </c>
      <c r="B141">
        <v>2.47E-2</v>
      </c>
      <c r="C141">
        <v>2.5049999999999999E-2</v>
      </c>
      <c r="D141">
        <v>2.1819999999999999E-2</v>
      </c>
      <c r="E141">
        <v>2.2960000000000001E-2</v>
      </c>
      <c r="F141">
        <v>235118543</v>
      </c>
      <c r="G141">
        <v>2.2960000000000001E-2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-0.29411764705882226</v>
      </c>
      <c r="Q141">
        <f t="shared" ref="Q141" si="681">F141*P141</f>
        <v>-69152512.647058532</v>
      </c>
      <c r="R141">
        <f t="shared" ref="R141" si="682">R142+Q141</f>
        <v>-2817385045.6784987</v>
      </c>
      <c r="S141">
        <f t="shared" ref="S141" si="683">R141/100000</f>
        <v>-28173.850456784989</v>
      </c>
      <c r="T141">
        <f t="shared" ref="T141" si="684">S141/1000</f>
        <v>-28.17385045678499</v>
      </c>
    </row>
    <row r="142" spans="1:20" x14ac:dyDescent="0.25">
      <c r="A142" s="5">
        <v>44451</v>
      </c>
      <c r="B142">
        <v>2.402E-2</v>
      </c>
      <c r="C142">
        <v>2.5600000000000001E-2</v>
      </c>
      <c r="D142">
        <v>2.3650000000000001E-2</v>
      </c>
      <c r="E142">
        <v>2.47E-2</v>
      </c>
      <c r="F142">
        <v>207877606</v>
      </c>
      <c r="G142">
        <v>2.47E-2</v>
      </c>
      <c r="L142" t="s">
        <v>7</v>
      </c>
      <c r="M142" t="s">
        <v>7</v>
      </c>
      <c r="N142" t="s">
        <v>7</v>
      </c>
      <c r="P142">
        <f t="shared" ref="P142" si="685">IF(C142=D142,0,((E142-D142)-(C142-E142))/(C142-D142))</f>
        <v>7.6923076923075553E-2</v>
      </c>
      <c r="Q142">
        <f t="shared" ref="Q142" si="686">F142*P142</f>
        <v>15990585.076922793</v>
      </c>
      <c r="R142">
        <f t="shared" ref="R142" si="687">R143+Q142</f>
        <v>-2748232533.0314403</v>
      </c>
      <c r="S142">
        <f t="shared" ref="S142" si="688">R142/100000</f>
        <v>-27482.325330314401</v>
      </c>
      <c r="T142">
        <f t="shared" ref="T142" si="689">S142/1000</f>
        <v>-27.482325330314403</v>
      </c>
    </row>
    <row r="143" spans="1:20" x14ac:dyDescent="0.25">
      <c r="A143" s="5">
        <v>44450</v>
      </c>
      <c r="B143">
        <v>2.3900000000000001E-2</v>
      </c>
      <c r="C143">
        <v>2.5989999999999999E-2</v>
      </c>
      <c r="D143">
        <v>2.2950000000000002E-2</v>
      </c>
      <c r="E143">
        <v>2.402E-2</v>
      </c>
      <c r="F143">
        <v>238368608</v>
      </c>
      <c r="G143">
        <v>2.402E-2</v>
      </c>
      <c r="L143" t="s">
        <v>8</v>
      </c>
      <c r="M143" t="s">
        <v>7</v>
      </c>
      <c r="N143" t="s">
        <v>7</v>
      </c>
      <c r="P143">
        <f t="shared" ref="P143" si="690">IF(C143=D143,0,((E143-D143)-(C143-E143))/(C143-D143))</f>
        <v>-0.29605263157894812</v>
      </c>
      <c r="Q143">
        <f t="shared" ref="Q143" si="691">F143*P143</f>
        <v>-70569653.684210703</v>
      </c>
      <c r="R143">
        <f t="shared" ref="R143" si="692">R144+Q143</f>
        <v>-2764223118.1083632</v>
      </c>
      <c r="S143">
        <f t="shared" ref="S143" si="693">R143/100000</f>
        <v>-27642.231181083633</v>
      </c>
      <c r="T143">
        <f t="shared" ref="T143" si="694">S143/1000</f>
        <v>-27.642231181083634</v>
      </c>
    </row>
    <row r="144" spans="1:20" x14ac:dyDescent="0.25">
      <c r="A144" s="5">
        <v>44449</v>
      </c>
      <c r="B144">
        <v>2.479E-2</v>
      </c>
      <c r="C144">
        <v>2.6009999999999998E-2</v>
      </c>
      <c r="D144">
        <v>2.2749999999999999E-2</v>
      </c>
      <c r="E144">
        <v>2.3900000000000001E-2</v>
      </c>
      <c r="F144">
        <v>226915064</v>
      </c>
      <c r="G144">
        <v>2.3900000000000001E-2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-0.29447852760736071</v>
      </c>
      <c r="Q144">
        <f t="shared" ref="Q144" si="696">F144*P144</f>
        <v>-66821613.938650019</v>
      </c>
      <c r="R144">
        <f t="shared" ref="R144" si="697">R145+Q144</f>
        <v>-2693653464.4241524</v>
      </c>
      <c r="S144">
        <f t="shared" ref="S144" si="698">R144/100000</f>
        <v>-26936.534644241525</v>
      </c>
      <c r="T144">
        <f t="shared" ref="T144" si="699">S144/1000</f>
        <v>-26.936534644241526</v>
      </c>
    </row>
    <row r="145" spans="1:20" x14ac:dyDescent="0.25">
      <c r="A145" s="5">
        <v>44448</v>
      </c>
      <c r="B145">
        <v>2.5430000000000001E-2</v>
      </c>
      <c r="C145">
        <v>2.6440000000000002E-2</v>
      </c>
      <c r="D145">
        <v>2.4330000000000001E-2</v>
      </c>
      <c r="E145">
        <v>2.4760000000000001E-2</v>
      </c>
      <c r="F145">
        <v>234863962</v>
      </c>
      <c r="G145">
        <v>2.4760000000000001E-2</v>
      </c>
      <c r="L145" t="s">
        <v>8</v>
      </c>
      <c r="M145" t="s">
        <v>7</v>
      </c>
      <c r="N145" t="s">
        <v>7</v>
      </c>
      <c r="P145">
        <f t="shared" ref="P145" si="700">IF(C145=D145,0,((E145-D145)-(C145-E145))/(C145-D145))</f>
        <v>-0.59241706161137475</v>
      </c>
      <c r="Q145">
        <f t="shared" ref="Q145" si="701">F145*P145</f>
        <v>-139137418.24644557</v>
      </c>
      <c r="R145">
        <f t="shared" ref="R145" si="702">R146+Q145</f>
        <v>-2626831850.4855022</v>
      </c>
      <c r="S145">
        <f t="shared" ref="S145" si="703">R145/100000</f>
        <v>-26268.318504855022</v>
      </c>
      <c r="T145">
        <f t="shared" ref="T145" si="704">S145/1000</f>
        <v>-26.268318504855021</v>
      </c>
    </row>
    <row r="146" spans="1:20" x14ac:dyDescent="0.25">
      <c r="A146" s="5">
        <v>44447</v>
      </c>
      <c r="B146">
        <v>2.477E-2</v>
      </c>
      <c r="C146">
        <v>2.6599999999999999E-2</v>
      </c>
      <c r="D146">
        <v>2.273E-2</v>
      </c>
      <c r="E146">
        <v>2.5409999999999999E-2</v>
      </c>
      <c r="F146">
        <v>338694595</v>
      </c>
      <c r="G146">
        <v>2.5409999999999999E-2</v>
      </c>
      <c r="L146" t="s">
        <v>7</v>
      </c>
      <c r="M146" t="s">
        <v>7</v>
      </c>
      <c r="N146" t="s">
        <v>7</v>
      </c>
      <c r="P146">
        <f t="shared" ref="P146" si="705">IF(C146=D146,0,((E146-D146)-(C146-E146))/(C146-D146))</f>
        <v>0.38501291989664055</v>
      </c>
      <c r="Q146">
        <f t="shared" ref="Q146" si="706">F146*P146</f>
        <v>130401794.97416012</v>
      </c>
      <c r="R146">
        <f t="shared" ref="R146" si="707">R147+Q146</f>
        <v>-2487694432.2390566</v>
      </c>
      <c r="S146">
        <f t="shared" ref="S146" si="708">R146/100000</f>
        <v>-24876.944322390566</v>
      </c>
      <c r="T146">
        <f t="shared" ref="T146" si="709">S146/1000</f>
        <v>-24.876944322390564</v>
      </c>
    </row>
    <row r="147" spans="1:20" x14ac:dyDescent="0.25">
      <c r="A147" s="5">
        <v>44446</v>
      </c>
      <c r="B147">
        <v>3.0790000000000001E-2</v>
      </c>
      <c r="C147">
        <v>3.2259999999999997E-2</v>
      </c>
      <c r="D147">
        <v>2.3470000000000001E-2</v>
      </c>
      <c r="E147">
        <v>2.4760000000000001E-2</v>
      </c>
      <c r="F147">
        <v>824595473</v>
      </c>
      <c r="G147">
        <v>2.4760000000000001E-2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-0.70648464163822522</v>
      </c>
      <c r="Q147">
        <f t="shared" ref="Q147" si="711">F147*P147</f>
        <v>-582564037.23890781</v>
      </c>
      <c r="R147">
        <f t="shared" ref="R147" si="712">R148+Q147</f>
        <v>-2618096227.2132168</v>
      </c>
      <c r="S147">
        <f t="shared" ref="S147" si="713">R147/100000</f>
        <v>-26180.962272132168</v>
      </c>
      <c r="T147">
        <f t="shared" ref="T147" si="714">S147/1000</f>
        <v>-26.18096227213217</v>
      </c>
    </row>
    <row r="148" spans="1:20" x14ac:dyDescent="0.25">
      <c r="A148" s="5">
        <v>44445</v>
      </c>
      <c r="B148">
        <v>3.1460000000000002E-2</v>
      </c>
      <c r="C148">
        <v>3.2590000000000001E-2</v>
      </c>
      <c r="D148">
        <v>2.9499999999999998E-2</v>
      </c>
      <c r="E148">
        <v>3.082E-2</v>
      </c>
      <c r="F148">
        <v>364056047</v>
      </c>
      <c r="G148">
        <v>3.082E-2</v>
      </c>
      <c r="L148" t="s">
        <v>7</v>
      </c>
      <c r="M148" t="s">
        <v>8</v>
      </c>
      <c r="N148" t="s">
        <v>7</v>
      </c>
      <c r="P148">
        <f t="shared" ref="P148" si="715">IF(C148=D148,0,((E148-D148)-(C148-E148))/(C148-D148))</f>
        <v>-0.14563106796116462</v>
      </c>
      <c r="Q148">
        <f t="shared" ref="Q148" si="716">F148*P148</f>
        <v>-53017870.92232994</v>
      </c>
      <c r="R148">
        <f t="shared" ref="R148" si="717">R149+Q148</f>
        <v>-2035532189.974309</v>
      </c>
      <c r="S148">
        <f t="shared" ref="S148" si="718">R148/100000</f>
        <v>-20355.321899743089</v>
      </c>
      <c r="T148">
        <f t="shared" ref="T148" si="719">S148/1000</f>
        <v>-20.355321899743089</v>
      </c>
    </row>
    <row r="149" spans="1:20" x14ac:dyDescent="0.25">
      <c r="A149" s="5">
        <v>44444</v>
      </c>
      <c r="B149">
        <v>2.9180000000000001E-2</v>
      </c>
      <c r="C149">
        <v>3.2550000000000003E-2</v>
      </c>
      <c r="D149">
        <v>2.911E-2</v>
      </c>
      <c r="E149">
        <v>3.1419999999999997E-2</v>
      </c>
      <c r="F149">
        <v>482135523</v>
      </c>
      <c r="G149">
        <v>3.1419999999999997E-2</v>
      </c>
      <c r="L149" t="s">
        <v>8</v>
      </c>
      <c r="M149" t="s">
        <v>8</v>
      </c>
      <c r="N149" t="s">
        <v>7</v>
      </c>
      <c r="P149">
        <f t="shared" ref="P149" si="720">IF(C149=D149,0,((E149-D149)-(C149-E149))/(C149-D149))</f>
        <v>0.34302325581395038</v>
      </c>
      <c r="Q149">
        <f t="shared" ref="Q149" si="721">F149*P149</f>
        <v>165383696.84302175</v>
      </c>
      <c r="R149">
        <f t="shared" ref="R149" si="722">R150+Q149</f>
        <v>-1982514319.0519791</v>
      </c>
      <c r="S149">
        <f t="shared" ref="S149" si="723">R149/100000</f>
        <v>-19825.14319051979</v>
      </c>
      <c r="T149">
        <f t="shared" ref="T149" si="724">S149/1000</f>
        <v>-19.825143190519789</v>
      </c>
    </row>
    <row r="150" spans="1:20" x14ac:dyDescent="0.25">
      <c r="A150" s="5">
        <v>44443</v>
      </c>
      <c r="B150">
        <v>2.853E-2</v>
      </c>
      <c r="C150">
        <v>0.03</v>
      </c>
      <c r="D150">
        <v>2.8250000000000001E-2</v>
      </c>
      <c r="E150">
        <v>2.9149999999999999E-2</v>
      </c>
      <c r="F150">
        <v>255242050</v>
      </c>
      <c r="G150">
        <v>2.9149999999999999E-2</v>
      </c>
      <c r="L150" t="s">
        <v>8</v>
      </c>
      <c r="M150" t="s">
        <v>8</v>
      </c>
      <c r="N150" t="s">
        <v>7</v>
      </c>
      <c r="P150">
        <f t="shared" ref="P150" si="725">IF(C150=D150,0,((E150-D150)-(C150-E150))/(C150-D150))</f>
        <v>2.8571428571427439E-2</v>
      </c>
      <c r="Q150">
        <f t="shared" ref="Q150" si="726">F150*P150</f>
        <v>7292629.9999997113</v>
      </c>
      <c r="R150">
        <f t="shared" ref="R150" si="727">R151+Q150</f>
        <v>-2147898015.8950009</v>
      </c>
      <c r="S150">
        <f t="shared" ref="S150" si="728">R150/100000</f>
        <v>-21478.980158950009</v>
      </c>
      <c r="T150">
        <f t="shared" ref="T150" si="729">S150/1000</f>
        <v>-21.478980158950009</v>
      </c>
    </row>
    <row r="151" spans="1:20" x14ac:dyDescent="0.25">
      <c r="A151" s="5">
        <v>44442</v>
      </c>
      <c r="B151">
        <v>2.8320000000000001E-2</v>
      </c>
      <c r="C151">
        <v>2.92E-2</v>
      </c>
      <c r="D151">
        <v>2.7459999999999998E-2</v>
      </c>
      <c r="E151">
        <v>2.8539999999999999E-2</v>
      </c>
      <c r="F151">
        <v>284532725</v>
      </c>
      <c r="G151">
        <v>2.8539999999999999E-2</v>
      </c>
      <c r="L151" t="s">
        <v>8</v>
      </c>
      <c r="M151" t="s">
        <v>7</v>
      </c>
      <c r="N151" t="s">
        <v>7</v>
      </c>
      <c r="P151">
        <f t="shared" ref="P151" si="730">IF(C151=D151,0,((E151-D151)-(C151-E151))/(C151-D151))</f>
        <v>0.24137931034482746</v>
      </c>
      <c r="Q151">
        <f t="shared" ref="Q151" si="731">F151*P151</f>
        <v>68680312.931034446</v>
      </c>
      <c r="R151">
        <f t="shared" ref="R151" si="732">R152+Q151</f>
        <v>-2155190645.8950005</v>
      </c>
      <c r="S151">
        <f t="shared" ref="S151" si="733">R151/100000</f>
        <v>-21551.906458950005</v>
      </c>
      <c r="T151">
        <f t="shared" ref="T151" si="734">S151/1000</f>
        <v>-21.551906458950004</v>
      </c>
    </row>
    <row r="152" spans="1:20" x14ac:dyDescent="0.25">
      <c r="A152" s="5">
        <v>44441</v>
      </c>
      <c r="B152">
        <v>2.8889999999999999E-2</v>
      </c>
      <c r="C152">
        <v>2.903E-2</v>
      </c>
      <c r="D152">
        <v>2.7990000000000001E-2</v>
      </c>
      <c r="E152">
        <v>2.8320000000000001E-2</v>
      </c>
      <c r="F152">
        <v>283376102</v>
      </c>
      <c r="G152">
        <v>2.8320000000000001E-2</v>
      </c>
      <c r="L152" t="s">
        <v>8</v>
      </c>
      <c r="M152" t="s">
        <v>7</v>
      </c>
      <c r="N152" t="s">
        <v>7</v>
      </c>
      <c r="P152">
        <f t="shared" ref="P152" si="735">IF(C152=D152,0,((E152-D152)-(C152-E152))/(C152-D152))</f>
        <v>-0.36538461538461409</v>
      </c>
      <c r="Q152">
        <f t="shared" ref="Q152" si="736">F152*P152</f>
        <v>-103541268.03846116</v>
      </c>
      <c r="R152">
        <f t="shared" ref="R152" si="737">R153+Q152</f>
        <v>-2223870958.826035</v>
      </c>
      <c r="S152">
        <f t="shared" ref="S152" si="738">R152/100000</f>
        <v>-22238.70958826035</v>
      </c>
      <c r="T152">
        <f t="shared" ref="T152" si="739">S152/1000</f>
        <v>-22.238709588260349</v>
      </c>
    </row>
    <row r="153" spans="1:20" x14ac:dyDescent="0.25">
      <c r="A153" s="5">
        <v>44440</v>
      </c>
      <c r="B153">
        <v>2.6610000000000002E-2</v>
      </c>
      <c r="C153">
        <v>2.913E-2</v>
      </c>
      <c r="D153">
        <v>2.613E-2</v>
      </c>
      <c r="E153">
        <v>2.896E-2</v>
      </c>
      <c r="F153">
        <v>277876846</v>
      </c>
      <c r="G153">
        <v>2.896E-2</v>
      </c>
      <c r="L153" t="s">
        <v>8</v>
      </c>
      <c r="M153" t="s">
        <v>7</v>
      </c>
      <c r="N153" t="s">
        <v>7</v>
      </c>
      <c r="P153">
        <f t="shared" ref="P153" si="740">IF(C153=D153,0,((E153-D153)-(C153-E153))/(C153-D153))</f>
        <v>0.8866666666666666</v>
      </c>
      <c r="Q153">
        <f t="shared" ref="Q153" si="741">F153*P153</f>
        <v>246384136.78666666</v>
      </c>
      <c r="R153">
        <f t="shared" ref="R153" si="742">R154+Q153</f>
        <v>-2120329690.7875741</v>
      </c>
      <c r="S153">
        <f t="shared" ref="S153" si="743">R153/100000</f>
        <v>-21203.296907875741</v>
      </c>
      <c r="T153">
        <f t="shared" ref="T153" si="744">S153/1000</f>
        <v>-21.203296907875743</v>
      </c>
    </row>
    <row r="154" spans="1:20" x14ac:dyDescent="0.25">
      <c r="A154" s="5">
        <v>44439</v>
      </c>
      <c r="B154">
        <v>2.6190000000000001E-2</v>
      </c>
      <c r="C154">
        <v>2.7400000000000001E-2</v>
      </c>
      <c r="D154">
        <v>2.5739999999999999E-2</v>
      </c>
      <c r="E154">
        <v>2.6630000000000001E-2</v>
      </c>
      <c r="F154">
        <v>199719145</v>
      </c>
      <c r="G154">
        <v>2.6630000000000001E-2</v>
      </c>
      <c r="L154" t="s">
        <v>7</v>
      </c>
      <c r="M154" t="s">
        <v>7</v>
      </c>
      <c r="N154" t="s">
        <v>7</v>
      </c>
      <c r="P154">
        <f t="shared" ref="P154" si="745">IF(C154=D154,0,((E154-D154)-(C154-E154))/(C154-D154))</f>
        <v>7.2289156626507187E-2</v>
      </c>
      <c r="Q154">
        <f t="shared" ref="Q154" si="746">F154*P154</f>
        <v>14437528.5542171</v>
      </c>
      <c r="R154">
        <f t="shared" ref="R154" si="747">R155+Q154</f>
        <v>-2366713827.5742407</v>
      </c>
      <c r="S154">
        <f t="shared" ref="S154" si="748">R154/100000</f>
        <v>-23667.138275742407</v>
      </c>
      <c r="T154">
        <f t="shared" ref="T154" si="749">S154/1000</f>
        <v>-23.667138275742406</v>
      </c>
    </row>
    <row r="155" spans="1:20" x14ac:dyDescent="0.25">
      <c r="A155" s="5">
        <v>44438</v>
      </c>
      <c r="B155">
        <v>2.7869999999999999E-2</v>
      </c>
      <c r="C155">
        <v>2.8139999999999998E-2</v>
      </c>
      <c r="D155">
        <v>2.5950000000000001E-2</v>
      </c>
      <c r="E155">
        <v>2.6190000000000001E-2</v>
      </c>
      <c r="F155">
        <v>225941381</v>
      </c>
      <c r="G155">
        <v>2.6190000000000001E-2</v>
      </c>
      <c r="L155" t="s">
        <v>7</v>
      </c>
      <c r="M155" t="s">
        <v>8</v>
      </c>
      <c r="N155" t="s">
        <v>7</v>
      </c>
      <c r="P155">
        <f t="shared" ref="P155" si="750">IF(C155=D155,0,((E155-D155)-(C155-E155))/(C155-D155))</f>
        <v>-0.7808219178082183</v>
      </c>
      <c r="Q155">
        <f t="shared" ref="Q155" si="751">F155*P155</f>
        <v>-176419982.42465734</v>
      </c>
      <c r="R155">
        <f t="shared" ref="R155" si="752">R156+Q155</f>
        <v>-2381151356.128458</v>
      </c>
      <c r="S155">
        <f t="shared" ref="S155" si="753">R155/100000</f>
        <v>-23811.513561284581</v>
      </c>
      <c r="T155">
        <f t="shared" ref="T155" si="754">S155/1000</f>
        <v>-23.811513561284581</v>
      </c>
    </row>
    <row r="156" spans="1:20" x14ac:dyDescent="0.25">
      <c r="A156" s="5">
        <v>44437</v>
      </c>
      <c r="B156">
        <v>2.75E-2</v>
      </c>
      <c r="C156">
        <v>2.852E-2</v>
      </c>
      <c r="D156">
        <v>2.6780000000000002E-2</v>
      </c>
      <c r="E156">
        <v>2.7900000000000001E-2</v>
      </c>
      <c r="F156">
        <v>133606460</v>
      </c>
      <c r="G156">
        <v>2.7900000000000001E-2</v>
      </c>
      <c r="L156" t="s">
        <v>7</v>
      </c>
      <c r="M156" t="s">
        <v>8</v>
      </c>
      <c r="N156" t="s">
        <v>7</v>
      </c>
      <c r="P156">
        <f t="shared" ref="P156" si="755">IF(C156=D156,0,((E156-D156)-(C156-E156))/(C156-D156))</f>
        <v>0.28735632183908094</v>
      </c>
      <c r="Q156">
        <f t="shared" ref="Q156" si="756">F156*P156</f>
        <v>38392660.919540294</v>
      </c>
      <c r="R156">
        <f t="shared" ref="R156" si="757">R157+Q156</f>
        <v>-2204731373.7038007</v>
      </c>
      <c r="S156">
        <f t="shared" ref="S156" si="758">R156/100000</f>
        <v>-22047.313737038006</v>
      </c>
      <c r="T156">
        <f t="shared" ref="T156" si="759">S156/1000</f>
        <v>-22.047313737038007</v>
      </c>
    </row>
    <row r="157" spans="1:20" x14ac:dyDescent="0.25">
      <c r="A157" s="5">
        <v>44436</v>
      </c>
      <c r="B157">
        <v>2.862E-2</v>
      </c>
      <c r="C157">
        <v>2.9000000000000001E-2</v>
      </c>
      <c r="D157">
        <v>2.7E-2</v>
      </c>
      <c r="E157">
        <v>2.7490000000000001E-2</v>
      </c>
      <c r="F157">
        <v>246780269</v>
      </c>
      <c r="G157">
        <v>2.7490000000000001E-2</v>
      </c>
      <c r="L157" t="s">
        <v>7</v>
      </c>
      <c r="M157" t="s">
        <v>8</v>
      </c>
      <c r="N157" t="s">
        <v>7</v>
      </c>
      <c r="P157">
        <f t="shared" ref="P157" si="760">IF(C157=D157,0,((E157-D157)-(C157-E157))/(C157-D157))</f>
        <v>-0.50999999999999956</v>
      </c>
      <c r="Q157">
        <f t="shared" ref="Q157" si="761">F157*P157</f>
        <v>-125857937.18999989</v>
      </c>
      <c r="R157">
        <f t="shared" ref="R157" si="762">R158+Q157</f>
        <v>-2243124034.6233411</v>
      </c>
      <c r="S157">
        <f t="shared" ref="S157" si="763">R157/100000</f>
        <v>-22431.240346233411</v>
      </c>
      <c r="T157">
        <f t="shared" ref="T157" si="764">S157/1000</f>
        <v>-22.431240346233412</v>
      </c>
    </row>
    <row r="158" spans="1:20" x14ac:dyDescent="0.25">
      <c r="A158" s="5">
        <v>44435</v>
      </c>
      <c r="B158">
        <v>2.6120000000000001E-2</v>
      </c>
      <c r="C158">
        <v>2.9899999999999999E-2</v>
      </c>
      <c r="D158">
        <v>2.5610000000000001E-2</v>
      </c>
      <c r="E158">
        <v>2.862E-2</v>
      </c>
      <c r="F158">
        <v>264593668</v>
      </c>
      <c r="G158">
        <v>2.862E-2</v>
      </c>
      <c r="L158" t="s">
        <v>8</v>
      </c>
      <c r="M158" t="s">
        <v>8</v>
      </c>
      <c r="N158" t="s">
        <v>7</v>
      </c>
      <c r="P158">
        <f t="shared" ref="P158" si="765">IF(C158=D158,0,((E158-D158)-(C158-E158))/(C158-D158))</f>
        <v>0.40326340326340315</v>
      </c>
      <c r="Q158">
        <f t="shared" ref="Q158" si="766">F158*P158</f>
        <v>106700943.03962702</v>
      </c>
      <c r="R158">
        <f t="shared" ref="R158" si="767">R159+Q158</f>
        <v>-2117266097.433341</v>
      </c>
      <c r="S158">
        <f t="shared" ref="S158" si="768">R158/100000</f>
        <v>-21172.660974333412</v>
      </c>
      <c r="T158">
        <f t="shared" ref="T158" si="769">S158/1000</f>
        <v>-21.172660974333411</v>
      </c>
    </row>
    <row r="159" spans="1:20" x14ac:dyDescent="0.25">
      <c r="A159" s="5">
        <v>44434</v>
      </c>
      <c r="B159">
        <v>2.9000000000000001E-2</v>
      </c>
      <c r="C159">
        <v>2.9440000000000001E-2</v>
      </c>
      <c r="D159">
        <v>2.554E-2</v>
      </c>
      <c r="E159">
        <v>2.6120000000000001E-2</v>
      </c>
      <c r="F159">
        <v>253856707</v>
      </c>
      <c r="G159">
        <v>2.6120000000000001E-2</v>
      </c>
      <c r="L159" t="s">
        <v>7</v>
      </c>
      <c r="M159" t="s">
        <v>7</v>
      </c>
      <c r="N159" t="s">
        <v>7</v>
      </c>
      <c r="P159">
        <f t="shared" ref="P159" si="770">IF(C159=D159,0,((E159-D159)-(C159-E159))/(C159-D159))</f>
        <v>-0.70256410256410229</v>
      </c>
      <c r="Q159">
        <f t="shared" ref="Q159" si="771">F159*P159</f>
        <v>-178350609.53333327</v>
      </c>
      <c r="R159">
        <f t="shared" ref="R159" si="772">R160+Q159</f>
        <v>-2223967040.4729681</v>
      </c>
      <c r="S159">
        <f t="shared" ref="S159" si="773">R159/100000</f>
        <v>-22239.670404729681</v>
      </c>
      <c r="T159">
        <f t="shared" ref="T159" si="774">S159/1000</f>
        <v>-22.239670404729679</v>
      </c>
    </row>
    <row r="160" spans="1:20" x14ac:dyDescent="0.25">
      <c r="A160" s="5">
        <v>44433</v>
      </c>
      <c r="B160">
        <v>2.775E-2</v>
      </c>
      <c r="C160">
        <v>2.9430000000000001E-2</v>
      </c>
      <c r="D160">
        <v>2.6540000000000001E-2</v>
      </c>
      <c r="E160">
        <v>2.9000000000000001E-2</v>
      </c>
      <c r="F160">
        <v>276962902</v>
      </c>
      <c r="G160">
        <v>2.9000000000000001E-2</v>
      </c>
      <c r="L160" t="s">
        <v>7</v>
      </c>
      <c r="M160" t="s">
        <v>7</v>
      </c>
      <c r="N160" t="s">
        <v>7</v>
      </c>
      <c r="P160">
        <f t="shared" ref="P160" si="775">IF(C160=D160,0,((E160-D160)-(C160-E160))/(C160-D160))</f>
        <v>0.70242214532871983</v>
      </c>
      <c r="Q160">
        <f t="shared" ref="Q160" si="776">F160*P160</f>
        <v>194544875.799308</v>
      </c>
      <c r="R160">
        <f t="shared" ref="R160" si="777">R161+Q160</f>
        <v>-2045616430.939635</v>
      </c>
      <c r="S160">
        <f t="shared" ref="S160" si="778">R160/100000</f>
        <v>-20456.16430939635</v>
      </c>
      <c r="T160">
        <f t="shared" ref="T160" si="779">S160/1000</f>
        <v>-20.45616430939635</v>
      </c>
    </row>
    <row r="161" spans="1:20" x14ac:dyDescent="0.25">
      <c r="A161" s="5">
        <v>44432</v>
      </c>
      <c r="B161">
        <v>3.0450000000000001E-2</v>
      </c>
      <c r="C161">
        <v>3.1449999999999999E-2</v>
      </c>
      <c r="D161">
        <v>2.7550000000000002E-2</v>
      </c>
      <c r="E161">
        <v>2.775E-2</v>
      </c>
      <c r="F161">
        <v>326263479</v>
      </c>
      <c r="G161">
        <v>2.775E-2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-0.89743589743589802</v>
      </c>
      <c r="Q161">
        <f t="shared" ref="Q161" si="781">F161*P161</f>
        <v>-292800558.07692325</v>
      </c>
      <c r="R161">
        <f t="shared" ref="R161" si="782">R162+Q161</f>
        <v>-2240161306.7389431</v>
      </c>
      <c r="S161">
        <f t="shared" ref="S161" si="783">R161/100000</f>
        <v>-22401.613067389429</v>
      </c>
      <c r="T161">
        <f t="shared" ref="T161" si="784">S161/1000</f>
        <v>-22.40161306738943</v>
      </c>
    </row>
    <row r="162" spans="1:20" x14ac:dyDescent="0.25">
      <c r="A162" s="5">
        <v>44431</v>
      </c>
      <c r="B162">
        <v>3.0689999999999999E-2</v>
      </c>
      <c r="C162">
        <v>3.2000000000000001E-2</v>
      </c>
      <c r="D162">
        <v>3.005E-2</v>
      </c>
      <c r="E162">
        <v>3.0429999999999999E-2</v>
      </c>
      <c r="F162">
        <v>315580437</v>
      </c>
      <c r="G162">
        <v>3.0429999999999999E-2</v>
      </c>
      <c r="L162" t="s">
        <v>7</v>
      </c>
      <c r="M162" t="s">
        <v>7</v>
      </c>
      <c r="N162" t="s">
        <v>8</v>
      </c>
      <c r="P162">
        <f t="shared" ref="P162" si="785">IF(C162=D162,0,((E162-D162)-(C162-E162))/(C162-D162))</f>
        <v>-0.61025641025641197</v>
      </c>
      <c r="Q162">
        <f t="shared" ref="Q162" si="786">F162*P162</f>
        <v>-192584984.63076976</v>
      </c>
      <c r="R162">
        <f t="shared" ref="R162" si="787">R163+Q162</f>
        <v>-1947360748.66202</v>
      </c>
      <c r="S162">
        <f t="shared" ref="S162" si="788">R162/100000</f>
        <v>-19473.6074866202</v>
      </c>
      <c r="T162">
        <f t="shared" ref="T162" si="789">S162/1000</f>
        <v>-19.4736074866202</v>
      </c>
    </row>
    <row r="163" spans="1:20" x14ac:dyDescent="0.25">
      <c r="A163" s="5">
        <v>44430</v>
      </c>
      <c r="B163">
        <v>3.1850000000000003E-2</v>
      </c>
      <c r="C163">
        <v>3.2070000000000001E-2</v>
      </c>
      <c r="D163">
        <v>3.1189999999999999E-2</v>
      </c>
      <c r="E163">
        <v>3.1800000000000002E-2</v>
      </c>
      <c r="F163">
        <v>90449161</v>
      </c>
      <c r="G163">
        <v>3.1800000000000002E-2</v>
      </c>
      <c r="L163" t="s">
        <v>7</v>
      </c>
      <c r="M163" t="s">
        <v>7</v>
      </c>
      <c r="N163" t="s">
        <v>8</v>
      </c>
      <c r="P163">
        <f t="shared" ref="P163" si="790">IF(C163=D163,0,((E163-D163)-(C163-E163))/(C163-D163))</f>
        <v>0.3863636363636393</v>
      </c>
      <c r="Q163">
        <f t="shared" ref="Q163" si="791">F163*P163</f>
        <v>34946266.750000268</v>
      </c>
      <c r="R163">
        <f t="shared" ref="R163" si="792">R164+Q163</f>
        <v>-1754775764.0312502</v>
      </c>
      <c r="S163">
        <f t="shared" ref="S163" si="793">R163/100000</f>
        <v>-17547.757640312502</v>
      </c>
      <c r="T163">
        <f t="shared" ref="T163" si="794">S163/1000</f>
        <v>-17.547757640312501</v>
      </c>
    </row>
    <row r="164" spans="1:20" x14ac:dyDescent="0.25">
      <c r="A164" s="5">
        <v>44429</v>
      </c>
      <c r="B164">
        <v>3.3829999999999999E-2</v>
      </c>
      <c r="C164">
        <v>3.4770000000000002E-2</v>
      </c>
      <c r="D164">
        <v>3.1519999999999999E-2</v>
      </c>
      <c r="E164">
        <v>3.184E-2</v>
      </c>
      <c r="F164">
        <v>726040419</v>
      </c>
      <c r="G164">
        <v>3.184E-2</v>
      </c>
      <c r="L164" t="s">
        <v>7</v>
      </c>
      <c r="M164" t="s">
        <v>7</v>
      </c>
      <c r="N164" t="s">
        <v>8</v>
      </c>
      <c r="P164">
        <f t="shared" ref="P164" si="795">IF(C164=D164,0,((E164-D164)-(C164-E164))/(C164-D164))</f>
        <v>-0.80307692307692269</v>
      </c>
      <c r="Q164">
        <f t="shared" ref="Q164" si="796">F164*P164</f>
        <v>-583066305.71999967</v>
      </c>
      <c r="R164">
        <f t="shared" ref="R164" si="797">R165+Q164</f>
        <v>-1789722030.7812505</v>
      </c>
      <c r="S164">
        <f t="shared" ref="S164" si="798">R164/100000</f>
        <v>-17897.220307812506</v>
      </c>
      <c r="T164">
        <f t="shared" ref="T164" si="799">S164/1000</f>
        <v>-17.897220307812507</v>
      </c>
    </row>
    <row r="165" spans="1:20" x14ac:dyDescent="0.25">
      <c r="A165" s="5">
        <v>44428</v>
      </c>
      <c r="B165">
        <v>3.4369999999999998E-2</v>
      </c>
      <c r="C165">
        <v>3.5209999999999998E-2</v>
      </c>
      <c r="D165">
        <v>3.3279999999999997E-2</v>
      </c>
      <c r="E165">
        <v>3.3829999999999999E-2</v>
      </c>
      <c r="F165">
        <v>335350957</v>
      </c>
      <c r="G165">
        <v>3.3829999999999999E-2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-0.43005181347150101</v>
      </c>
      <c r="Q165">
        <f t="shared" ref="Q165" si="801">F165*P165</f>
        <v>-144218287.20725337</v>
      </c>
      <c r="R165">
        <f t="shared" ref="R165" si="802">R166+Q165</f>
        <v>-1206655725.0612507</v>
      </c>
      <c r="S165">
        <f t="shared" ref="S165" si="803">R165/100000</f>
        <v>-12066.557250612506</v>
      </c>
      <c r="T165">
        <f t="shared" ref="T165" si="804">S165/1000</f>
        <v>-12.066557250612506</v>
      </c>
    </row>
    <row r="166" spans="1:20" x14ac:dyDescent="0.25">
      <c r="A166" s="5">
        <v>44427</v>
      </c>
      <c r="B166">
        <v>3.2410000000000001E-2</v>
      </c>
      <c r="C166">
        <v>3.4569999999999997E-2</v>
      </c>
      <c r="D166">
        <v>3.1E-2</v>
      </c>
      <c r="E166">
        <v>3.4389999999999997E-2</v>
      </c>
      <c r="F166">
        <v>347857053</v>
      </c>
      <c r="G166">
        <v>3.4389999999999997E-2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0.89915966386554635</v>
      </c>
      <c r="Q166">
        <f t="shared" ref="Q166" si="806">F166*P166</f>
        <v>312779030.84873956</v>
      </c>
      <c r="R166">
        <f t="shared" ref="R166" si="807">R167+Q166</f>
        <v>-1062437437.8539972</v>
      </c>
      <c r="S166">
        <f t="shared" ref="S166" si="808">R166/100000</f>
        <v>-10624.374378539973</v>
      </c>
      <c r="T166">
        <f t="shared" ref="T166" si="809">S166/1000</f>
        <v>-10.624374378539972</v>
      </c>
    </row>
    <row r="167" spans="1:20" x14ac:dyDescent="0.25">
      <c r="A167" s="5">
        <v>44426</v>
      </c>
      <c r="B167">
        <v>3.1870000000000002E-2</v>
      </c>
      <c r="C167">
        <v>3.4020000000000002E-2</v>
      </c>
      <c r="D167">
        <v>3.0800000000000001E-2</v>
      </c>
      <c r="E167">
        <v>3.2410000000000001E-2</v>
      </c>
      <c r="F167">
        <v>356758754</v>
      </c>
      <c r="G167">
        <v>3.2410000000000001E-2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0</v>
      </c>
      <c r="Q167">
        <f t="shared" ref="Q167" si="811">F167*P167</f>
        <v>0</v>
      </c>
      <c r="R167">
        <f t="shared" ref="R167" si="812">R168+Q167</f>
        <v>-1375216468.7027369</v>
      </c>
      <c r="S167">
        <f t="shared" ref="S167" si="813">R167/100000</f>
        <v>-13752.164687027369</v>
      </c>
      <c r="T167">
        <f t="shared" ref="T167" si="814">S167/1000</f>
        <v>-13.752164687027369</v>
      </c>
    </row>
    <row r="168" spans="1:20" x14ac:dyDescent="0.25">
      <c r="A168" s="5">
        <v>44425</v>
      </c>
      <c r="B168">
        <v>3.5490000000000001E-2</v>
      </c>
      <c r="C168">
        <v>3.6609999999999997E-2</v>
      </c>
      <c r="D168">
        <v>3.1350000000000003E-2</v>
      </c>
      <c r="E168">
        <v>3.1890000000000002E-2</v>
      </c>
      <c r="F168">
        <v>487295587</v>
      </c>
      <c r="G168">
        <v>3.1890000000000002E-2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-0.79467680608365043</v>
      </c>
      <c r="Q168">
        <f t="shared" ref="Q168" si="816">F168*P168</f>
        <v>-387242500.69581759</v>
      </c>
      <c r="R168">
        <f t="shared" ref="R168" si="817">R169+Q168</f>
        <v>-1375216468.7027369</v>
      </c>
      <c r="S168">
        <f t="shared" ref="S168" si="818">R168/100000</f>
        <v>-13752.164687027369</v>
      </c>
      <c r="T168">
        <f t="shared" ref="T168" si="819">S168/1000</f>
        <v>-13.752164687027369</v>
      </c>
    </row>
    <row r="169" spans="1:20" x14ac:dyDescent="0.25">
      <c r="A169" s="5">
        <v>44424</v>
      </c>
      <c r="B169">
        <v>3.474E-2</v>
      </c>
      <c r="C169">
        <v>3.7830000000000003E-2</v>
      </c>
      <c r="D169">
        <v>3.4180000000000002E-2</v>
      </c>
      <c r="E169">
        <v>3.5479999999999998E-2</v>
      </c>
      <c r="F169">
        <v>581599311</v>
      </c>
      <c r="G169">
        <v>3.5479999999999998E-2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-0.28767123287671481</v>
      </c>
      <c r="Q169">
        <f t="shared" ref="Q169" si="821">F169*P169</f>
        <v>-167309390.83561787</v>
      </c>
      <c r="R169">
        <f t="shared" ref="R169" si="822">R170+Q169</f>
        <v>-987973968.00691926</v>
      </c>
      <c r="S169">
        <f t="shared" ref="S169" si="823">R169/100000</f>
        <v>-9879.7396800691931</v>
      </c>
      <c r="T169">
        <f t="shared" ref="T169" si="824">S169/1000</f>
        <v>-9.8797396800691928</v>
      </c>
    </row>
    <row r="170" spans="1:20" x14ac:dyDescent="0.25">
      <c r="A170" s="5">
        <v>44423</v>
      </c>
      <c r="B170">
        <v>3.4709999999999998E-2</v>
      </c>
      <c r="C170">
        <v>3.5490000000000001E-2</v>
      </c>
      <c r="D170">
        <v>3.2750000000000001E-2</v>
      </c>
      <c r="E170">
        <v>3.4779999999999998E-2</v>
      </c>
      <c r="F170">
        <v>572300857</v>
      </c>
      <c r="G170">
        <v>3.4779999999999998E-2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0.48175182481751644</v>
      </c>
      <c r="Q170">
        <f t="shared" ref="Q170" si="826">F170*P170</f>
        <v>275706982.20437855</v>
      </c>
      <c r="R170">
        <f t="shared" ref="R170" si="827">R171+Q170</f>
        <v>-820664577.17130136</v>
      </c>
      <c r="S170">
        <f t="shared" ref="S170" si="828">R170/100000</f>
        <v>-8206.6457717130143</v>
      </c>
      <c r="T170">
        <f t="shared" ref="T170" si="829">S170/1000</f>
        <v>-8.2066457717130135</v>
      </c>
    </row>
    <row r="171" spans="1:20" x14ac:dyDescent="0.25">
      <c r="A171" s="5">
        <v>44422</v>
      </c>
      <c r="B171">
        <v>3.2370000000000003E-2</v>
      </c>
      <c r="C171">
        <v>3.5459999999999998E-2</v>
      </c>
      <c r="D171">
        <v>3.0200000000000001E-2</v>
      </c>
      <c r="E171">
        <v>3.4680000000000002E-2</v>
      </c>
      <c r="F171">
        <v>457457690</v>
      </c>
      <c r="G171">
        <v>3.4680000000000002E-2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0.70342205323194051</v>
      </c>
      <c r="Q171">
        <f t="shared" ref="Q171" si="831">F171*P171</f>
        <v>321785827.56654054</v>
      </c>
      <c r="R171">
        <f t="shared" ref="R171" si="832">R172+Q171</f>
        <v>-1096371559.37568</v>
      </c>
      <c r="S171">
        <f t="shared" ref="S171" si="833">R171/100000</f>
        <v>-10963.7155937568</v>
      </c>
      <c r="T171">
        <f t="shared" ref="T171" si="834">S171/1000</f>
        <v>-10.963715593756801</v>
      </c>
    </row>
    <row r="172" spans="1:20" x14ac:dyDescent="0.25">
      <c r="A172" s="5">
        <v>44421</v>
      </c>
      <c r="B172">
        <v>2.913E-2</v>
      </c>
      <c r="C172">
        <v>3.2500000000000001E-2</v>
      </c>
      <c r="D172">
        <v>2.8809999999999999E-2</v>
      </c>
      <c r="E172">
        <v>3.2349999999999997E-2</v>
      </c>
      <c r="F172">
        <v>311849723</v>
      </c>
      <c r="G172">
        <v>3.2349999999999997E-2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0.91869918699186759</v>
      </c>
      <c r="Q172">
        <f t="shared" ref="Q172" si="836">F172*P172</f>
        <v>286496086.98373914</v>
      </c>
      <c r="R172">
        <f t="shared" ref="R172" si="837">R173+Q172</f>
        <v>-1418157386.9422204</v>
      </c>
      <c r="S172">
        <f t="shared" ref="S172" si="838">R172/100000</f>
        <v>-14181.573869422204</v>
      </c>
      <c r="T172">
        <f t="shared" ref="T172" si="839">S172/1000</f>
        <v>-14.181573869422204</v>
      </c>
    </row>
    <row r="173" spans="1:20" x14ac:dyDescent="0.25">
      <c r="A173" s="5">
        <v>44420</v>
      </c>
      <c r="B173">
        <v>3.031E-2</v>
      </c>
      <c r="C173">
        <v>3.1829999999999997E-2</v>
      </c>
      <c r="D173">
        <v>2.811E-2</v>
      </c>
      <c r="E173">
        <v>2.911E-2</v>
      </c>
      <c r="F173">
        <v>447567035</v>
      </c>
      <c r="G173">
        <v>2.911E-2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-0.46236559139784866</v>
      </c>
      <c r="Q173">
        <f t="shared" ref="Q173" si="841">F173*P173</f>
        <v>-206939596.82795662</v>
      </c>
      <c r="R173">
        <f t="shared" ref="R173" si="842">R174+Q173</f>
        <v>-1704653473.9259596</v>
      </c>
      <c r="S173">
        <f t="shared" ref="S173" si="843">R173/100000</f>
        <v>-17046.534739259594</v>
      </c>
      <c r="T173">
        <f t="shared" ref="T173" si="844">S173/1000</f>
        <v>-17.046534739259595</v>
      </c>
    </row>
    <row r="174" spans="1:20" x14ac:dyDescent="0.25">
      <c r="A174" s="5">
        <v>44419</v>
      </c>
      <c r="B174">
        <v>3.073E-2</v>
      </c>
      <c r="C174">
        <v>3.2759999999999997E-2</v>
      </c>
      <c r="D174">
        <v>3.005E-2</v>
      </c>
      <c r="E174">
        <v>3.0300000000000001E-2</v>
      </c>
      <c r="F174">
        <v>617965680</v>
      </c>
      <c r="G174">
        <v>3.0300000000000001E-2</v>
      </c>
      <c r="L174" t="s">
        <v>7</v>
      </c>
      <c r="M174" t="s">
        <v>8</v>
      </c>
      <c r="N174" t="s">
        <v>8</v>
      </c>
      <c r="P174">
        <f t="shared" ref="P174" si="845">IF(C174=D174,0,((E174-D174)-(C174-E174))/(C174-D174))</f>
        <v>-0.81549815498154943</v>
      </c>
      <c r="Q174">
        <f t="shared" ref="Q174" si="846">F174*P174</f>
        <v>-503949871.88191861</v>
      </c>
      <c r="R174">
        <f t="shared" ref="R174" si="847">R175+Q174</f>
        <v>-1497713877.0980029</v>
      </c>
      <c r="S174">
        <f t="shared" ref="S174" si="848">R174/100000</f>
        <v>-14977.138770980029</v>
      </c>
      <c r="T174">
        <f t="shared" ref="T174" si="849">S174/1000</f>
        <v>-14.97713877098003</v>
      </c>
    </row>
    <row r="175" spans="1:20" x14ac:dyDescent="0.25">
      <c r="A175" s="5">
        <v>44418</v>
      </c>
      <c r="B175">
        <v>2.7E-2</v>
      </c>
      <c r="C175">
        <v>3.27E-2</v>
      </c>
      <c r="D175">
        <v>2.6620000000000001E-2</v>
      </c>
      <c r="E175">
        <v>3.073E-2</v>
      </c>
      <c r="F175">
        <v>1001158144</v>
      </c>
      <c r="G175">
        <v>3.073E-2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0.35197368421052633</v>
      </c>
      <c r="Q175">
        <f t="shared" ref="Q175" si="851">F175*P175</f>
        <v>352381320.42105263</v>
      </c>
      <c r="R175">
        <f t="shared" ref="R175" si="852">R176+Q175</f>
        <v>-993764005.21608424</v>
      </c>
      <c r="S175">
        <f t="shared" ref="S175" si="853">R175/100000</f>
        <v>-9937.640052160843</v>
      </c>
      <c r="T175">
        <f t="shared" ref="T175" si="854">S175/1000</f>
        <v>-9.9376400521608428</v>
      </c>
    </row>
    <row r="176" spans="1:20" x14ac:dyDescent="0.25">
      <c r="A176" s="5">
        <v>44417</v>
      </c>
      <c r="B176">
        <v>2.5090000000000001E-2</v>
      </c>
      <c r="C176">
        <v>2.7660000000000001E-2</v>
      </c>
      <c r="D176">
        <v>2.4660000000000001E-2</v>
      </c>
      <c r="E176">
        <v>2.7E-2</v>
      </c>
      <c r="F176">
        <v>322357396</v>
      </c>
      <c r="G176">
        <v>2.7E-2</v>
      </c>
      <c r="L176" t="s">
        <v>8</v>
      </c>
      <c r="M176" t="s">
        <v>8</v>
      </c>
      <c r="N176" t="s">
        <v>8</v>
      </c>
      <c r="P176">
        <f t="shared" ref="P176" si="855">IF(C176=D176,0,((E176-D176)-(C176-E176))/(C176-D176))</f>
        <v>0.55999999999999928</v>
      </c>
      <c r="Q176">
        <f t="shared" ref="Q176" si="856">F176*P176</f>
        <v>180520141.75999975</v>
      </c>
      <c r="R176">
        <f t="shared" ref="R176" si="857">R177+Q176</f>
        <v>-1346145325.6371369</v>
      </c>
      <c r="S176">
        <f t="shared" ref="S176" si="858">R176/100000</f>
        <v>-13461.453256371369</v>
      </c>
      <c r="T176">
        <f t="shared" ref="T176" si="859">S176/1000</f>
        <v>-13.461453256371369</v>
      </c>
    </row>
    <row r="177" spans="1:20" x14ac:dyDescent="0.25">
      <c r="A177" s="5">
        <v>44416</v>
      </c>
      <c r="B177">
        <v>2.6450000000000001E-2</v>
      </c>
      <c r="C177">
        <v>2.6849999999999999E-2</v>
      </c>
      <c r="D177">
        <v>2.4649999999999998E-2</v>
      </c>
      <c r="E177">
        <v>2.5080000000000002E-2</v>
      </c>
      <c r="F177">
        <v>283109822</v>
      </c>
      <c r="G177">
        <v>2.5080000000000002E-2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-0.60909090909090624</v>
      </c>
      <c r="Q177">
        <f t="shared" ref="Q177" si="861">F177*P177</f>
        <v>-172439618.85454464</v>
      </c>
      <c r="R177">
        <f t="shared" ref="R177" si="862">R178+Q177</f>
        <v>-1526665467.3971367</v>
      </c>
      <c r="S177">
        <f t="shared" ref="S177" si="863">R177/100000</f>
        <v>-15266.654673971367</v>
      </c>
      <c r="T177">
        <f t="shared" ref="T177" si="864">S177/1000</f>
        <v>-15.266654673971367</v>
      </c>
    </row>
    <row r="178" spans="1:20" x14ac:dyDescent="0.25">
      <c r="A178" s="5">
        <v>44415</v>
      </c>
      <c r="B178">
        <v>2.6370000000000001E-2</v>
      </c>
      <c r="C178">
        <v>2.7300000000000001E-2</v>
      </c>
      <c r="D178">
        <v>2.564E-2</v>
      </c>
      <c r="E178">
        <v>2.6450000000000001E-2</v>
      </c>
      <c r="F178">
        <v>426609496</v>
      </c>
      <c r="G178">
        <v>2.6450000000000001E-2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-2.4096385542167666E-2</v>
      </c>
      <c r="Q178">
        <f t="shared" ref="Q178" si="866">F178*P178</f>
        <v>-10279746.891565835</v>
      </c>
      <c r="R178">
        <f t="shared" ref="R178" si="867">R179+Q178</f>
        <v>-1354225848.542592</v>
      </c>
      <c r="S178">
        <f t="shared" ref="S178" si="868">R178/100000</f>
        <v>-13542.25848542592</v>
      </c>
      <c r="T178">
        <f t="shared" ref="T178" si="869">S178/1000</f>
        <v>-13.54225848542592</v>
      </c>
    </row>
    <row r="179" spans="1:20" x14ac:dyDescent="0.25">
      <c r="A179" s="5">
        <v>44414</v>
      </c>
      <c r="B179">
        <v>2.4500000000000001E-2</v>
      </c>
      <c r="C179">
        <v>2.681E-2</v>
      </c>
      <c r="D179">
        <v>2.385E-2</v>
      </c>
      <c r="E179">
        <v>2.6370000000000001E-2</v>
      </c>
      <c r="F179">
        <v>357270629</v>
      </c>
      <c r="G179">
        <v>2.6370000000000001E-2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0.70270270270270319</v>
      </c>
      <c r="Q179">
        <f t="shared" ref="Q179" si="871">F179*P179</f>
        <v>251055036.59459478</v>
      </c>
      <c r="R179">
        <f t="shared" ref="R179" si="872">R180+Q179</f>
        <v>-1343946101.6510262</v>
      </c>
      <c r="S179">
        <f t="shared" ref="S179" si="873">R179/100000</f>
        <v>-13439.461016510262</v>
      </c>
      <c r="T179">
        <f t="shared" ref="T179" si="874">S179/1000</f>
        <v>-13.439461016510263</v>
      </c>
    </row>
    <row r="180" spans="1:20" x14ac:dyDescent="0.25">
      <c r="A180" s="5">
        <v>44413</v>
      </c>
      <c r="B180">
        <v>2.409E-2</v>
      </c>
      <c r="C180">
        <v>2.4830000000000001E-2</v>
      </c>
      <c r="D180">
        <v>2.266E-2</v>
      </c>
      <c r="E180">
        <v>2.4479999999999998E-2</v>
      </c>
      <c r="F180">
        <v>269007567</v>
      </c>
      <c r="G180">
        <v>2.4479999999999998E-2</v>
      </c>
      <c r="L180" t="s">
        <v>7</v>
      </c>
      <c r="M180" t="s">
        <v>8</v>
      </c>
      <c r="N180" t="s">
        <v>8</v>
      </c>
      <c r="P180">
        <f t="shared" ref="P180" si="875">IF(C180=D180,0,((E180-D180)-(C180-E180))/(C180-D180))</f>
        <v>0.67741935483870708</v>
      </c>
      <c r="Q180">
        <f t="shared" ref="Q180" si="876">F180*P180</f>
        <v>182230932.48387027</v>
      </c>
      <c r="R180">
        <f t="shared" ref="R180" si="877">R181+Q180</f>
        <v>-1595001138.245621</v>
      </c>
      <c r="S180">
        <f t="shared" ref="S180" si="878">R180/100000</f>
        <v>-15950.01138245621</v>
      </c>
      <c r="T180">
        <f t="shared" ref="T180" si="879">S180/1000</f>
        <v>-15.950011382456211</v>
      </c>
    </row>
    <row r="181" spans="1:20" x14ac:dyDescent="0.25">
      <c r="A181" s="5">
        <v>44412</v>
      </c>
      <c r="B181">
        <v>2.2759999999999999E-2</v>
      </c>
      <c r="C181">
        <v>2.5000000000000001E-2</v>
      </c>
      <c r="D181">
        <v>2.222E-2</v>
      </c>
      <c r="E181">
        <v>2.409E-2</v>
      </c>
      <c r="F181">
        <v>211159292</v>
      </c>
      <c r="G181">
        <v>2.409E-2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0.34532374100719376</v>
      </c>
      <c r="Q181">
        <f t="shared" ref="Q181" si="881">F181*P181</f>
        <v>72918316.661870405</v>
      </c>
      <c r="R181">
        <f t="shared" ref="R181" si="882">R182+Q181</f>
        <v>-1777232070.7294912</v>
      </c>
      <c r="S181">
        <f t="shared" ref="S181" si="883">R181/100000</f>
        <v>-17772.320707294912</v>
      </c>
      <c r="T181">
        <f t="shared" ref="T181" si="884">S181/1000</f>
        <v>-17.772320707294913</v>
      </c>
    </row>
    <row r="182" spans="1:20" x14ac:dyDescent="0.25">
      <c r="A182" s="5">
        <v>44411</v>
      </c>
      <c r="B182">
        <v>2.358E-2</v>
      </c>
      <c r="C182">
        <v>2.4279999999999999E-2</v>
      </c>
      <c r="D182">
        <v>2.2349999999999998E-2</v>
      </c>
      <c r="E182">
        <v>2.2780000000000002E-2</v>
      </c>
      <c r="F182">
        <v>197046043</v>
      </c>
      <c r="G182">
        <v>2.2780000000000002E-2</v>
      </c>
      <c r="L182" t="s">
        <v>8</v>
      </c>
      <c r="M182" t="s">
        <v>8</v>
      </c>
      <c r="N182" t="s">
        <v>8</v>
      </c>
      <c r="P182">
        <f t="shared" ref="P182" si="885">IF(C182=D182,0,((E182-D182)-(C182-E182))/(C182-D182))</f>
        <v>-0.55440414507771707</v>
      </c>
      <c r="Q182">
        <f t="shared" ref="Q182" si="886">F182*P182</f>
        <v>-109243143.01036207</v>
      </c>
      <c r="R182">
        <f t="shared" ref="R182" si="887">R183+Q182</f>
        <v>-1850150387.3913617</v>
      </c>
      <c r="S182">
        <f t="shared" ref="S182" si="888">R182/100000</f>
        <v>-18501.503873913618</v>
      </c>
      <c r="T182">
        <f t="shared" ref="T182" si="889">S182/1000</f>
        <v>-18.501503873913617</v>
      </c>
    </row>
    <row r="183" spans="1:20" x14ac:dyDescent="0.25">
      <c r="A183" s="5">
        <v>44410</v>
      </c>
      <c r="B183">
        <v>2.298E-2</v>
      </c>
      <c r="C183">
        <v>2.4309999999999998E-2</v>
      </c>
      <c r="D183">
        <v>2.2540000000000001E-2</v>
      </c>
      <c r="E183">
        <v>2.358E-2</v>
      </c>
      <c r="F183">
        <v>286496710</v>
      </c>
      <c r="G183">
        <v>2.358E-2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0.17514124293785407</v>
      </c>
      <c r="Q183">
        <f t="shared" ref="Q183" si="891">F183*P183</f>
        <v>50177389.887005925</v>
      </c>
      <c r="R183">
        <f t="shared" ref="R183" si="892">R184+Q183</f>
        <v>-1740907244.3809996</v>
      </c>
      <c r="S183">
        <f t="shared" ref="S183" si="893">R183/100000</f>
        <v>-17409.072443809997</v>
      </c>
      <c r="T183">
        <f t="shared" ref="T183" si="894">S183/1000</f>
        <v>-17.409072443809997</v>
      </c>
    </row>
    <row r="184" spans="1:20" x14ac:dyDescent="0.25">
      <c r="A184" s="5">
        <v>44409</v>
      </c>
      <c r="B184">
        <v>2.1700000000000001E-2</v>
      </c>
      <c r="C184">
        <v>2.5700000000000001E-2</v>
      </c>
      <c r="D184">
        <v>2.155E-2</v>
      </c>
      <c r="E184">
        <v>2.2960000000000001E-2</v>
      </c>
      <c r="F184">
        <v>653911978</v>
      </c>
      <c r="G184">
        <v>2.2960000000000001E-2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-0.32048192771084277</v>
      </c>
      <c r="Q184">
        <f t="shared" ref="Q184" si="896">F184*P184</f>
        <v>-209566971.26265022</v>
      </c>
      <c r="R184">
        <f t="shared" ref="R184" si="897">R185+Q184</f>
        <v>-1791084634.2680054</v>
      </c>
      <c r="S184">
        <f t="shared" ref="S184" si="898">R184/100000</f>
        <v>-17910.846342680055</v>
      </c>
      <c r="T184">
        <f t="shared" ref="T184" si="899">S184/1000</f>
        <v>-17.910846342680056</v>
      </c>
    </row>
    <row r="185" spans="1:20" x14ac:dyDescent="0.25">
      <c r="A185" s="5">
        <v>44408</v>
      </c>
      <c r="B185">
        <v>2.2380000000000001E-2</v>
      </c>
      <c r="C185">
        <v>2.3120000000000002E-2</v>
      </c>
      <c r="D185">
        <v>2.036E-2</v>
      </c>
      <c r="E185">
        <v>2.1729999999999999E-2</v>
      </c>
      <c r="F185">
        <v>395327656</v>
      </c>
      <c r="G185">
        <v>2.1729999999999999E-2</v>
      </c>
      <c r="L185" t="s">
        <v>7</v>
      </c>
      <c r="M185" t="s">
        <v>8</v>
      </c>
      <c r="N185" t="s">
        <v>8</v>
      </c>
      <c r="P185">
        <f t="shared" ref="P185" si="900">IF(C185=D185,0,((E185-D185)-(C185-E185))/(C185-D185))</f>
        <v>-7.2463768115951597E-3</v>
      </c>
      <c r="Q185">
        <f t="shared" ref="Q185" si="901">F185*P185</f>
        <v>-2864693.1594206681</v>
      </c>
      <c r="R185">
        <f t="shared" ref="R185" si="902">R186+Q185</f>
        <v>-1581517663.0053551</v>
      </c>
      <c r="S185">
        <f t="shared" ref="S185" si="903">R185/100000</f>
        <v>-15815.176630053551</v>
      </c>
      <c r="T185">
        <f t="shared" ref="T185" si="904">S185/1000</f>
        <v>-15.815176630053552</v>
      </c>
    </row>
    <row r="186" spans="1:20" x14ac:dyDescent="0.25">
      <c r="A186" s="5">
        <v>44407</v>
      </c>
      <c r="B186">
        <v>2.23E-2</v>
      </c>
      <c r="C186">
        <v>2.3E-2</v>
      </c>
      <c r="D186">
        <v>2.0650000000000002E-2</v>
      </c>
      <c r="E186">
        <v>2.2380000000000001E-2</v>
      </c>
      <c r="F186">
        <v>259729553</v>
      </c>
      <c r="G186">
        <v>2.2380000000000001E-2</v>
      </c>
      <c r="L186" t="s">
        <v>7</v>
      </c>
      <c r="M186" t="s">
        <v>8</v>
      </c>
      <c r="N186" t="s">
        <v>8</v>
      </c>
      <c r="P186">
        <f t="shared" ref="P186" si="905">IF(C186=D186,0,((E186-D186)-(C186-E186))/(C186-D186))</f>
        <v>0.47234042553191524</v>
      </c>
      <c r="Q186">
        <f t="shared" ref="Q186" si="906">F186*P186</f>
        <v>122680767.58723414</v>
      </c>
      <c r="R186">
        <f t="shared" ref="R186" si="907">R187+Q186</f>
        <v>-1578652969.8459344</v>
      </c>
      <c r="S186">
        <f t="shared" ref="S186" si="908">R186/100000</f>
        <v>-15786.529698459344</v>
      </c>
      <c r="T186">
        <f t="shared" ref="T186" si="909">S186/1000</f>
        <v>-15.786529698459344</v>
      </c>
    </row>
    <row r="187" spans="1:20" x14ac:dyDescent="0.25">
      <c r="A187" s="5">
        <v>44406</v>
      </c>
      <c r="B187">
        <v>2.0959999999999999E-2</v>
      </c>
      <c r="C187">
        <v>2.3310000000000001E-2</v>
      </c>
      <c r="D187">
        <v>2.06E-2</v>
      </c>
      <c r="E187">
        <v>2.2270000000000002E-2</v>
      </c>
      <c r="F187">
        <v>409286010</v>
      </c>
      <c r="G187">
        <v>2.2270000000000002E-2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0.23247232472324794</v>
      </c>
      <c r="Q187">
        <f t="shared" ref="Q187" si="911">F187*P187</f>
        <v>95147670.221402511</v>
      </c>
      <c r="R187">
        <f t="shared" ref="R187" si="912">R188+Q187</f>
        <v>-1701333737.4331684</v>
      </c>
      <c r="S187">
        <f t="shared" ref="S187" si="913">R187/100000</f>
        <v>-17013.337374331684</v>
      </c>
      <c r="T187">
        <f t="shared" ref="T187" si="914">S187/1000</f>
        <v>-17.013337374331684</v>
      </c>
    </row>
    <row r="188" spans="1:20" x14ac:dyDescent="0.25">
      <c r="A188" s="5">
        <v>44405</v>
      </c>
      <c r="B188">
        <v>2.0920000000000001E-2</v>
      </c>
      <c r="C188">
        <v>2.1860000000000001E-2</v>
      </c>
      <c r="D188">
        <v>2.0420000000000001E-2</v>
      </c>
      <c r="E188">
        <v>2.102E-2</v>
      </c>
      <c r="F188">
        <v>276319948</v>
      </c>
      <c r="G188">
        <v>2.102E-2</v>
      </c>
      <c r="L188" t="s">
        <v>8</v>
      </c>
      <c r="M188" t="s">
        <v>7</v>
      </c>
      <c r="N188" t="s">
        <v>8</v>
      </c>
      <c r="P188">
        <f t="shared" ref="P188" si="915">IF(C188=D188,0,((E188-D188)-(C188-E188))/(C188-D188))</f>
        <v>-0.16666666666666707</v>
      </c>
      <c r="Q188">
        <f t="shared" ref="Q188" si="916">F188*P188</f>
        <v>-46053324.666666776</v>
      </c>
      <c r="R188">
        <f t="shared" ref="R188" si="917">R189+Q188</f>
        <v>-1796481407.6545708</v>
      </c>
      <c r="S188">
        <f t="shared" ref="S188" si="918">R188/100000</f>
        <v>-17964.814076545706</v>
      </c>
      <c r="T188">
        <f t="shared" ref="T188" si="919">S188/1000</f>
        <v>-17.964814076545707</v>
      </c>
    </row>
    <row r="189" spans="1:20" x14ac:dyDescent="0.25">
      <c r="A189" s="5">
        <v>44404</v>
      </c>
      <c r="B189">
        <v>2.0410000000000001E-2</v>
      </c>
      <c r="C189">
        <v>2.164E-2</v>
      </c>
      <c r="D189">
        <v>1.89E-2</v>
      </c>
      <c r="E189">
        <v>2.0930000000000001E-2</v>
      </c>
      <c r="F189">
        <v>194924090</v>
      </c>
      <c r="G189">
        <v>2.0930000000000001E-2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0.48175182481751899</v>
      </c>
      <c r="Q189">
        <f t="shared" ref="Q189" si="921">F189*P189</f>
        <v>93905036.058394313</v>
      </c>
      <c r="R189">
        <f t="shared" ref="R189" si="922">R190+Q189</f>
        <v>-1750428082.9879041</v>
      </c>
      <c r="S189">
        <f t="shared" ref="S189" si="923">R189/100000</f>
        <v>-17504.280829879041</v>
      </c>
      <c r="T189">
        <f t="shared" ref="T189" si="924">S189/1000</f>
        <v>-17.50428082987904</v>
      </c>
    </row>
    <row r="190" spans="1:20" x14ac:dyDescent="0.25">
      <c r="A190" s="5">
        <v>44403</v>
      </c>
      <c r="B190">
        <v>2.0420000000000001E-2</v>
      </c>
      <c r="C190">
        <v>2.315E-2</v>
      </c>
      <c r="D190">
        <v>2.018E-2</v>
      </c>
      <c r="E190">
        <v>2.044E-2</v>
      </c>
      <c r="F190">
        <v>337901000</v>
      </c>
      <c r="G190">
        <v>2.044E-2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-0.82491582491582505</v>
      </c>
      <c r="Q190">
        <f t="shared" ref="Q190" si="926">F190*P190</f>
        <v>-278739882.15488219</v>
      </c>
      <c r="R190">
        <f t="shared" ref="R190" si="927">R191+Q190</f>
        <v>-1844333119.0462983</v>
      </c>
      <c r="S190">
        <f t="shared" ref="S190" si="928">R190/100000</f>
        <v>-18443.331190462981</v>
      </c>
      <c r="T190">
        <f t="shared" ref="T190" si="929">S190/1000</f>
        <v>-18.443331190462981</v>
      </c>
    </row>
    <row r="191" spans="1:20" x14ac:dyDescent="0.25">
      <c r="A191" s="5">
        <v>44402</v>
      </c>
      <c r="B191">
        <v>1.9220000000000001E-2</v>
      </c>
      <c r="C191">
        <v>2.0629999999999999E-2</v>
      </c>
      <c r="D191">
        <v>1.8839999999999999E-2</v>
      </c>
      <c r="E191">
        <v>2.0389999999999998E-2</v>
      </c>
      <c r="F191">
        <v>147487496</v>
      </c>
      <c r="G191">
        <v>2.0389999999999998E-2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0.7318435754189937</v>
      </c>
      <c r="Q191">
        <f t="shared" ref="Q191" si="931">F191*P191</f>
        <v>107937776.40223452</v>
      </c>
      <c r="R191">
        <f t="shared" ref="R191" si="932">R192+Q191</f>
        <v>-1565593236.8914161</v>
      </c>
      <c r="S191">
        <f t="shared" ref="S191" si="933">R191/100000</f>
        <v>-15655.93236891416</v>
      </c>
      <c r="T191">
        <f t="shared" ref="T191:T197" si="934">S191/1000</f>
        <v>-15.65593236891416</v>
      </c>
    </row>
    <row r="192" spans="1:20" x14ac:dyDescent="0.25">
      <c r="A192" s="5">
        <v>44401</v>
      </c>
      <c r="B192">
        <v>1.864E-2</v>
      </c>
      <c r="C192">
        <v>1.9789999999999999E-2</v>
      </c>
      <c r="D192">
        <v>1.8499999999999999E-2</v>
      </c>
      <c r="E192">
        <v>1.917E-2</v>
      </c>
      <c r="F192">
        <v>145959048</v>
      </c>
      <c r="G192">
        <v>1.917E-2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3.8759689922481744E-2</v>
      </c>
      <c r="Q192">
        <f t="shared" ref="Q192" si="936">F192*P192</f>
        <v>5657327.4418606292</v>
      </c>
      <c r="R192">
        <f t="shared" ref="R192" si="937">R193+Q192</f>
        <v>-1673531013.2936506</v>
      </c>
      <c r="S192">
        <f t="shared" ref="S192" si="938">R192/100000</f>
        <v>-16735.310132936505</v>
      </c>
      <c r="T192">
        <f t="shared" si="934"/>
        <v>-16.735310132936505</v>
      </c>
    </row>
    <row r="193" spans="1:20" x14ac:dyDescent="0.25">
      <c r="A193" s="5">
        <v>44400</v>
      </c>
      <c r="B193">
        <v>1.823E-2</v>
      </c>
      <c r="C193">
        <v>1.8919999999999999E-2</v>
      </c>
      <c r="D193">
        <v>1.7590000000000001E-2</v>
      </c>
      <c r="E193">
        <v>1.865E-2</v>
      </c>
      <c r="F193">
        <v>100283425</v>
      </c>
      <c r="G193">
        <v>1.865E-2</v>
      </c>
      <c r="L193" t="s">
        <v>8</v>
      </c>
      <c r="M193" t="s">
        <v>7</v>
      </c>
      <c r="N193" t="s">
        <v>7</v>
      </c>
      <c r="P193">
        <f t="shared" ref="P193" si="939">IF(C193=D193,0,((E193-D193)-(C193-E193))/(C193-D193))</f>
        <v>0.59398496240601528</v>
      </c>
      <c r="Q193">
        <f t="shared" ref="Q193" si="940">F193*P193</f>
        <v>59566846.428571455</v>
      </c>
      <c r="R193">
        <f t="shared" ref="R193" si="941">R194+Q193</f>
        <v>-1679188340.7355113</v>
      </c>
      <c r="S193">
        <f t="shared" ref="S193" si="942">R193/100000</f>
        <v>-16791.883407355112</v>
      </c>
      <c r="T193">
        <f t="shared" si="934"/>
        <v>-16.791883407355112</v>
      </c>
    </row>
    <row r="194" spans="1:20" x14ac:dyDescent="0.25">
      <c r="A194" s="5">
        <v>44399</v>
      </c>
      <c r="B194">
        <v>1.7600000000000001E-2</v>
      </c>
      <c r="C194">
        <v>1.8499999999999999E-2</v>
      </c>
      <c r="D194">
        <v>1.7440000000000001E-2</v>
      </c>
      <c r="E194">
        <v>1.8249999999999999E-2</v>
      </c>
      <c r="F194">
        <v>89391311</v>
      </c>
      <c r="G194">
        <v>1.8249999999999999E-2</v>
      </c>
      <c r="L194" t="s">
        <v>8</v>
      </c>
      <c r="M194" t="s">
        <v>7</v>
      </c>
      <c r="N194" t="s">
        <v>7</v>
      </c>
      <c r="P194">
        <f t="shared" ref="P194" si="943">IF(C194=D194,0,((E194-D194)-(C194-E194))/(C194-D194))</f>
        <v>0.52830188679245171</v>
      </c>
      <c r="Q194">
        <f t="shared" ref="Q194" si="944">F194*P194</f>
        <v>47225598.264150843</v>
      </c>
      <c r="R194">
        <f t="shared" ref="R194" si="945">R195+Q194</f>
        <v>-1738755187.1640828</v>
      </c>
      <c r="S194">
        <f t="shared" ref="S194" si="946">R194/100000</f>
        <v>-17387.551871640826</v>
      </c>
      <c r="T194">
        <f t="shared" si="934"/>
        <v>-17.387551871640827</v>
      </c>
    </row>
    <row r="195" spans="1:20" x14ac:dyDescent="0.25">
      <c r="A195" s="5">
        <v>44398</v>
      </c>
      <c r="B195">
        <v>1.6289999999999999E-2</v>
      </c>
      <c r="C195">
        <v>1.83E-2</v>
      </c>
      <c r="D195">
        <v>1.5910000000000001E-2</v>
      </c>
      <c r="E195">
        <v>1.755E-2</v>
      </c>
      <c r="F195">
        <v>116245509</v>
      </c>
      <c r="G195">
        <v>1.755E-2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0.37238493723849309</v>
      </c>
      <c r="Q195">
        <f t="shared" ref="Q195" si="948">F195*P195</f>
        <v>43288076.573221684</v>
      </c>
      <c r="R195">
        <f t="shared" ref="R195" si="949">R196+Q195</f>
        <v>-1785980785.4282336</v>
      </c>
      <c r="S195">
        <f t="shared" ref="S195" si="950">R195/100000</f>
        <v>-17859.807854282335</v>
      </c>
      <c r="T195">
        <f t="shared" si="934"/>
        <v>-17.859807854282334</v>
      </c>
    </row>
    <row r="196" spans="1:20" x14ac:dyDescent="0.25">
      <c r="A196" s="5">
        <v>44397</v>
      </c>
      <c r="B196">
        <v>1.7649999999999999E-2</v>
      </c>
      <c r="C196">
        <v>1.7680000000000001E-2</v>
      </c>
      <c r="D196">
        <v>1.5810000000000001E-2</v>
      </c>
      <c r="E196">
        <v>1.6310000000000002E-2</v>
      </c>
      <c r="F196">
        <v>136613931</v>
      </c>
      <c r="G196">
        <v>1.6310000000000002E-2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-0.46524064171122953</v>
      </c>
      <c r="Q196">
        <f t="shared" ref="Q196" si="952">F196*P196</f>
        <v>-63558352.925133631</v>
      </c>
      <c r="R196">
        <f t="shared" ref="R196" si="953">R197+Q196</f>
        <v>-1829268862.0014553</v>
      </c>
      <c r="S196">
        <f t="shared" ref="S196" si="954">R196/100000</f>
        <v>-18292.688620014553</v>
      </c>
      <c r="T196">
        <f t="shared" si="934"/>
        <v>-18.292688620014552</v>
      </c>
    </row>
    <row r="197" spans="1:20" x14ac:dyDescent="0.25">
      <c r="A197" s="5">
        <v>44396</v>
      </c>
      <c r="B197">
        <v>1.8780000000000002E-2</v>
      </c>
      <c r="C197">
        <v>1.8880000000000001E-2</v>
      </c>
      <c r="D197">
        <v>1.7010000000000001E-2</v>
      </c>
      <c r="E197">
        <v>1.7649999999999999E-2</v>
      </c>
      <c r="F197">
        <v>127236047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-0.31550802139037631</v>
      </c>
      <c r="Q197">
        <f t="shared" ref="Q197" si="956">F197*P197</f>
        <v>-40143993.438502923</v>
      </c>
      <c r="R197">
        <f t="shared" ref="R197" si="957">R198+Q197</f>
        <v>-1765710509.0763216</v>
      </c>
      <c r="S197">
        <f t="shared" ref="S197" si="958">R197/100000</f>
        <v>-17657.105090763216</v>
      </c>
      <c r="T197">
        <f t="shared" si="934"/>
        <v>-17.657105090763217</v>
      </c>
    </row>
    <row r="198" spans="1:20" x14ac:dyDescent="0.25">
      <c r="A198" s="5">
        <v>44395</v>
      </c>
      <c r="B198">
        <v>1.839E-2</v>
      </c>
      <c r="C198">
        <v>1.899E-2</v>
      </c>
      <c r="D198">
        <v>1.83E-2</v>
      </c>
      <c r="E198">
        <v>1.8800000000000001E-2</v>
      </c>
      <c r="F198">
        <v>73395593</v>
      </c>
      <c r="G198">
        <v>0</v>
      </c>
      <c r="L198" t="s">
        <v>7</v>
      </c>
      <c r="M198" t="s">
        <v>7</v>
      </c>
      <c r="N198" t="s">
        <v>7</v>
      </c>
      <c r="P198">
        <f t="shared" ref="P198:P261" si="959">IF(C198=D198,0,((E198-D198)-(C198-E198))/(C198-D198))</f>
        <v>0.44927536231884263</v>
      </c>
      <c r="Q198">
        <f t="shared" ref="Q198:Q261" si="960">F198*P198</f>
        <v>32974831.637681309</v>
      </c>
      <c r="R198">
        <f t="shared" ref="R198:R261" si="961">R199+Q198</f>
        <v>-1725566515.6378186</v>
      </c>
      <c r="S198">
        <f t="shared" ref="S198:S261" si="962">R198/100000</f>
        <v>-17255.665156378185</v>
      </c>
      <c r="T198">
        <f t="shared" ref="T198:T261" si="963">S198/1000</f>
        <v>-17.255665156378186</v>
      </c>
    </row>
    <row r="199" spans="1:20" x14ac:dyDescent="0.25">
      <c r="A199" s="5">
        <v>44394</v>
      </c>
      <c r="B199">
        <v>1.8339999999999999E-2</v>
      </c>
      <c r="C199">
        <v>2.0760000000000001E-2</v>
      </c>
      <c r="D199">
        <v>1.787E-2</v>
      </c>
      <c r="E199">
        <v>1.8360000000000001E-2</v>
      </c>
      <c r="F199">
        <v>105348654</v>
      </c>
      <c r="G199">
        <v>0</v>
      </c>
      <c r="L199" t="s">
        <v>8</v>
      </c>
      <c r="M199" t="s">
        <v>7</v>
      </c>
      <c r="N199" t="s">
        <v>7</v>
      </c>
      <c r="P199">
        <f t="shared" si="959"/>
        <v>-0.66089965397923822</v>
      </c>
      <c r="Q199">
        <f t="shared" si="960"/>
        <v>-69624888.97577849</v>
      </c>
      <c r="R199">
        <f t="shared" si="961"/>
        <v>-1758541347.2754998</v>
      </c>
      <c r="S199">
        <f t="shared" si="962"/>
        <v>-17585.413472754997</v>
      </c>
      <c r="T199">
        <f t="shared" si="963"/>
        <v>-17.585413472754997</v>
      </c>
    </row>
    <row r="200" spans="1:20" x14ac:dyDescent="0.25">
      <c r="A200" s="5">
        <v>44393</v>
      </c>
      <c r="B200">
        <v>2.0199999999999999E-2</v>
      </c>
      <c r="C200">
        <v>2.0379999999999999E-2</v>
      </c>
      <c r="D200">
        <v>1.7840000000000002E-2</v>
      </c>
      <c r="E200">
        <v>1.8329999999999999E-2</v>
      </c>
      <c r="F200">
        <v>178784936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-0.61417322834645827</v>
      </c>
      <c r="Q200">
        <f t="shared" si="960"/>
        <v>-109804921.32283492</v>
      </c>
      <c r="R200">
        <f t="shared" si="961"/>
        <v>-1688916458.2997212</v>
      </c>
      <c r="S200">
        <f t="shared" si="962"/>
        <v>-16889.164582997211</v>
      </c>
      <c r="T200">
        <f t="shared" si="963"/>
        <v>-16.889164582997211</v>
      </c>
    </row>
    <row r="201" spans="1:20" x14ac:dyDescent="0.25">
      <c r="A201" s="5">
        <v>44392</v>
      </c>
      <c r="B201">
        <v>1.9630000000000002E-2</v>
      </c>
      <c r="C201">
        <v>2.0959999999999999E-2</v>
      </c>
      <c r="D201">
        <v>1.865E-2</v>
      </c>
      <c r="E201">
        <v>2.0199999999999999E-2</v>
      </c>
      <c r="F201">
        <v>261090738</v>
      </c>
      <c r="G201">
        <v>0</v>
      </c>
      <c r="L201" t="s">
        <v>7</v>
      </c>
      <c r="M201" t="s">
        <v>7</v>
      </c>
      <c r="N201" t="s">
        <v>8</v>
      </c>
      <c r="P201">
        <f t="shared" si="959"/>
        <v>0.34199134199134162</v>
      </c>
      <c r="Q201">
        <f t="shared" si="960"/>
        <v>89290771.870129779</v>
      </c>
      <c r="R201">
        <f t="shared" si="961"/>
        <v>-1579111536.9768863</v>
      </c>
      <c r="S201">
        <f t="shared" si="962"/>
        <v>-15791.115369768862</v>
      </c>
      <c r="T201">
        <f t="shared" si="963"/>
        <v>-15.791115369768862</v>
      </c>
    </row>
    <row r="202" spans="1:20" x14ac:dyDescent="0.25">
      <c r="A202" s="5">
        <v>44391</v>
      </c>
      <c r="B202">
        <v>1.9789999999999999E-2</v>
      </c>
      <c r="C202">
        <v>2.044E-2</v>
      </c>
      <c r="D202">
        <v>1.8710000000000001E-2</v>
      </c>
      <c r="E202">
        <v>1.9630000000000002E-2</v>
      </c>
      <c r="F202">
        <v>92998300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6.3583815028903201E-2</v>
      </c>
      <c r="Q202">
        <f t="shared" si="960"/>
        <v>5913186.7052024482</v>
      </c>
      <c r="R202">
        <f t="shared" si="961"/>
        <v>-1668402308.8470161</v>
      </c>
      <c r="S202">
        <f t="shared" si="962"/>
        <v>-16684.02308847016</v>
      </c>
      <c r="T202">
        <f t="shared" si="963"/>
        <v>-16.684023088470159</v>
      </c>
    </row>
    <row r="203" spans="1:20" x14ac:dyDescent="0.25">
      <c r="A203" s="5">
        <v>44390</v>
      </c>
      <c r="B203">
        <v>1.9939999999999999E-2</v>
      </c>
      <c r="C203">
        <v>2.0840000000000001E-2</v>
      </c>
      <c r="D203">
        <v>1.9460000000000002E-2</v>
      </c>
      <c r="E203">
        <v>1.975E-2</v>
      </c>
      <c r="F203">
        <v>93760424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-0.57971014492753803</v>
      </c>
      <c r="Q203">
        <f t="shared" si="960"/>
        <v>-54353868.985507414</v>
      </c>
      <c r="R203">
        <f t="shared" si="961"/>
        <v>-1674315495.5522184</v>
      </c>
      <c r="S203">
        <f t="shared" si="962"/>
        <v>-16743.154955522183</v>
      </c>
      <c r="T203">
        <f t="shared" si="963"/>
        <v>-16.743154955522183</v>
      </c>
    </row>
    <row r="204" spans="1:20" x14ac:dyDescent="0.25">
      <c r="A204" s="5">
        <v>44389</v>
      </c>
      <c r="B204">
        <v>2.1069999999999998E-2</v>
      </c>
      <c r="C204">
        <v>2.1360000000000001E-2</v>
      </c>
      <c r="D204">
        <v>1.9720000000000001E-2</v>
      </c>
      <c r="E204">
        <v>1.9970000000000002E-2</v>
      </c>
      <c r="F204">
        <v>84015233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-0.6951219512195117</v>
      </c>
      <c r="Q204">
        <f t="shared" si="960"/>
        <v>-58400832.695121907</v>
      </c>
      <c r="R204">
        <f t="shared" si="961"/>
        <v>-1619961626.5667109</v>
      </c>
      <c r="S204">
        <f t="shared" si="962"/>
        <v>-16199.616265667109</v>
      </c>
      <c r="T204">
        <f t="shared" si="963"/>
        <v>-16.19961626566711</v>
      </c>
    </row>
    <row r="205" spans="1:20" x14ac:dyDescent="0.25">
      <c r="A205" s="5">
        <v>44388</v>
      </c>
      <c r="B205">
        <v>2.0580000000000001E-2</v>
      </c>
      <c r="C205">
        <v>2.1389999999999999E-2</v>
      </c>
      <c r="D205">
        <v>2.0379999999999999E-2</v>
      </c>
      <c r="E205">
        <v>2.111E-2</v>
      </c>
      <c r="F205">
        <v>64821676</v>
      </c>
      <c r="G205">
        <v>0</v>
      </c>
      <c r="L205" t="s">
        <v>7</v>
      </c>
      <c r="M205" t="s">
        <v>7</v>
      </c>
      <c r="N205" t="s">
        <v>8</v>
      </c>
      <c r="P205">
        <f t="shared" si="959"/>
        <v>0.44554455445544777</v>
      </c>
      <c r="Q205">
        <f t="shared" si="960"/>
        <v>28880944.752475392</v>
      </c>
      <c r="R205">
        <f t="shared" si="961"/>
        <v>-1561560793.8715889</v>
      </c>
      <c r="S205">
        <f t="shared" si="962"/>
        <v>-15615.60793871589</v>
      </c>
      <c r="T205">
        <f t="shared" si="963"/>
        <v>-15.61560793871589</v>
      </c>
    </row>
    <row r="206" spans="1:20" x14ac:dyDescent="0.25">
      <c r="A206" s="5">
        <v>44387</v>
      </c>
      <c r="B206">
        <v>2.0969999999999999E-2</v>
      </c>
      <c r="C206">
        <v>2.145E-2</v>
      </c>
      <c r="D206">
        <v>2.0250000000000001E-2</v>
      </c>
      <c r="E206">
        <v>2.0559999999999998E-2</v>
      </c>
      <c r="F206">
        <v>50108026</v>
      </c>
      <c r="G206">
        <v>0</v>
      </c>
      <c r="L206" t="s">
        <v>7</v>
      </c>
      <c r="M206" t="s">
        <v>7</v>
      </c>
      <c r="N206" t="s">
        <v>8</v>
      </c>
      <c r="P206">
        <f t="shared" si="959"/>
        <v>-0.48333333333333689</v>
      </c>
      <c r="Q206">
        <f t="shared" si="960"/>
        <v>-24218879.233333513</v>
      </c>
      <c r="R206">
        <f t="shared" si="961"/>
        <v>-1590441738.6240644</v>
      </c>
      <c r="S206">
        <f t="shared" si="962"/>
        <v>-15904.417386240644</v>
      </c>
      <c r="T206">
        <f t="shared" si="963"/>
        <v>-15.904417386240643</v>
      </c>
    </row>
    <row r="207" spans="1:20" x14ac:dyDescent="0.25">
      <c r="A207" s="5">
        <v>44386</v>
      </c>
      <c r="B207">
        <v>2.0789999999999999E-2</v>
      </c>
      <c r="C207">
        <v>2.145E-2</v>
      </c>
      <c r="D207">
        <v>1.9970000000000002E-2</v>
      </c>
      <c r="E207">
        <v>2.0990000000000002E-2</v>
      </c>
      <c r="F207">
        <v>80049972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0.37837837837837973</v>
      </c>
      <c r="Q207">
        <f t="shared" si="960"/>
        <v>30289178.594594702</v>
      </c>
      <c r="R207">
        <f t="shared" si="961"/>
        <v>-1566222859.3907309</v>
      </c>
      <c r="S207">
        <f t="shared" si="962"/>
        <v>-15662.228593907308</v>
      </c>
      <c r="T207">
        <f t="shared" si="963"/>
        <v>-15.662228593907308</v>
      </c>
    </row>
    <row r="208" spans="1:20" x14ac:dyDescent="0.25">
      <c r="A208" s="5">
        <v>44385</v>
      </c>
      <c r="B208">
        <v>2.2249999999999999E-2</v>
      </c>
      <c r="C208">
        <v>2.231E-2</v>
      </c>
      <c r="D208">
        <v>2.053E-2</v>
      </c>
      <c r="E208">
        <v>2.0799999999999999E-2</v>
      </c>
      <c r="F208">
        <v>114403570</v>
      </c>
      <c r="G208">
        <v>0</v>
      </c>
      <c r="L208" t="s">
        <v>7</v>
      </c>
      <c r="M208" t="s">
        <v>8</v>
      </c>
      <c r="N208" t="s">
        <v>8</v>
      </c>
      <c r="P208">
        <f t="shared" si="959"/>
        <v>-0.69662921348314677</v>
      </c>
      <c r="Q208">
        <f t="shared" si="960"/>
        <v>-79696868.988764122</v>
      </c>
      <c r="R208">
        <f t="shared" si="961"/>
        <v>-1596512037.9853256</v>
      </c>
      <c r="S208">
        <f t="shared" si="962"/>
        <v>-15965.120379853255</v>
      </c>
      <c r="T208">
        <f t="shared" si="963"/>
        <v>-15.965120379853255</v>
      </c>
    </row>
    <row r="209" spans="1:20" x14ac:dyDescent="0.25">
      <c r="A209" s="5">
        <v>44384</v>
      </c>
      <c r="B209">
        <v>2.2839999999999999E-2</v>
      </c>
      <c r="C209">
        <v>2.3369999999999998E-2</v>
      </c>
      <c r="D209">
        <v>2.1999999999999999E-2</v>
      </c>
      <c r="E209">
        <v>2.2259999999999999E-2</v>
      </c>
      <c r="F209">
        <v>144687042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-0.62043795620437969</v>
      </c>
      <c r="Q209">
        <f t="shared" si="960"/>
        <v>-89769332.627737239</v>
      </c>
      <c r="R209">
        <f t="shared" si="961"/>
        <v>-1516815168.9965615</v>
      </c>
      <c r="S209">
        <f t="shared" si="962"/>
        <v>-15168.151689965614</v>
      </c>
      <c r="T209">
        <f t="shared" si="963"/>
        <v>-15.168151689965615</v>
      </c>
    </row>
    <row r="210" spans="1:20" x14ac:dyDescent="0.25">
      <c r="A210" s="5">
        <v>44383</v>
      </c>
      <c r="B210">
        <v>2.2200000000000001E-2</v>
      </c>
      <c r="C210">
        <v>2.342E-2</v>
      </c>
      <c r="D210">
        <v>2.1999999999999999E-2</v>
      </c>
      <c r="E210">
        <v>2.2849999999999999E-2</v>
      </c>
      <c r="F210">
        <v>152995232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0.19718309859154842</v>
      </c>
      <c r="Q210">
        <f t="shared" si="960"/>
        <v>30168073.915492825</v>
      </c>
      <c r="R210">
        <f t="shared" si="961"/>
        <v>-1427045836.3688242</v>
      </c>
      <c r="S210">
        <f t="shared" si="962"/>
        <v>-14270.458363688242</v>
      </c>
      <c r="T210">
        <f t="shared" si="963"/>
        <v>-14.270458363688242</v>
      </c>
    </row>
    <row r="211" spans="1:20" x14ac:dyDescent="0.25">
      <c r="A211" s="5">
        <v>44382</v>
      </c>
      <c r="B211">
        <v>2.3470000000000001E-2</v>
      </c>
      <c r="C211">
        <v>2.349E-2</v>
      </c>
      <c r="D211">
        <v>2.1780000000000001E-2</v>
      </c>
      <c r="E211">
        <v>2.2200000000000001E-2</v>
      </c>
      <c r="F211">
        <v>126141649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-0.5087719298245611</v>
      </c>
      <c r="Q211">
        <f t="shared" si="960"/>
        <v>-64177330.19298242</v>
      </c>
      <c r="R211">
        <f t="shared" si="961"/>
        <v>-1457213910.284317</v>
      </c>
      <c r="S211">
        <f t="shared" si="962"/>
        <v>-14572.13910284317</v>
      </c>
      <c r="T211">
        <f t="shared" si="963"/>
        <v>-14.57213910284317</v>
      </c>
    </row>
    <row r="212" spans="1:20" x14ac:dyDescent="0.25">
      <c r="A212" s="5">
        <v>44381</v>
      </c>
      <c r="B212">
        <v>2.3689999999999999E-2</v>
      </c>
      <c r="C212">
        <v>2.4320000000000001E-2</v>
      </c>
      <c r="D212">
        <v>2.282E-2</v>
      </c>
      <c r="E212">
        <v>2.358E-2</v>
      </c>
      <c r="F212">
        <v>140072684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1.3333333333332779E-2</v>
      </c>
      <c r="Q212">
        <f t="shared" si="960"/>
        <v>1867635.7866665891</v>
      </c>
      <c r="R212">
        <f t="shared" si="961"/>
        <v>-1393036580.0913346</v>
      </c>
      <c r="S212">
        <f t="shared" si="962"/>
        <v>-13930.365800913345</v>
      </c>
      <c r="T212">
        <f t="shared" si="963"/>
        <v>-13.930365800913345</v>
      </c>
    </row>
    <row r="213" spans="1:20" x14ac:dyDescent="0.25">
      <c r="A213" s="5">
        <v>44380</v>
      </c>
      <c r="B213">
        <v>2.3109999999999999E-2</v>
      </c>
      <c r="C213">
        <v>2.4330000000000001E-2</v>
      </c>
      <c r="D213">
        <v>2.2759999999999999E-2</v>
      </c>
      <c r="E213">
        <v>2.3619999999999999E-2</v>
      </c>
      <c r="F213">
        <v>185799287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9.5541401273883553E-2</v>
      </c>
      <c r="Q213">
        <f t="shared" si="960"/>
        <v>17751524.235668454</v>
      </c>
      <c r="R213">
        <f t="shared" si="961"/>
        <v>-1394904215.8780012</v>
      </c>
      <c r="S213">
        <f t="shared" si="962"/>
        <v>-13949.042158780012</v>
      </c>
      <c r="T213">
        <f t="shared" si="963"/>
        <v>-13.949042158780012</v>
      </c>
    </row>
    <row r="214" spans="1:20" x14ac:dyDescent="0.25">
      <c r="A214" s="5">
        <v>44379</v>
      </c>
      <c r="B214">
        <v>2.1770000000000001E-2</v>
      </c>
      <c r="C214">
        <v>2.4E-2</v>
      </c>
      <c r="D214">
        <v>2.1010000000000001E-2</v>
      </c>
      <c r="E214">
        <v>2.3099999999999999E-2</v>
      </c>
      <c r="F214">
        <v>187236861</v>
      </c>
      <c r="G214">
        <v>0</v>
      </c>
      <c r="L214" t="s">
        <v>8</v>
      </c>
      <c r="M214" t="s">
        <v>8</v>
      </c>
      <c r="N214" t="s">
        <v>8</v>
      </c>
      <c r="P214">
        <f t="shared" si="959"/>
        <v>0.3979933110367882</v>
      </c>
      <c r="Q214">
        <f t="shared" si="960"/>
        <v>74519018.257524878</v>
      </c>
      <c r="R214">
        <f t="shared" si="961"/>
        <v>-1412655740.1136696</v>
      </c>
      <c r="S214">
        <f t="shared" si="962"/>
        <v>-14126.557401136697</v>
      </c>
      <c r="T214">
        <f t="shared" si="963"/>
        <v>-14.126557401136697</v>
      </c>
    </row>
    <row r="215" spans="1:20" x14ac:dyDescent="0.25">
      <c r="A215" s="5">
        <v>44378</v>
      </c>
      <c r="B215">
        <v>2.3050000000000001E-2</v>
      </c>
      <c r="C215">
        <v>2.3109999999999999E-2</v>
      </c>
      <c r="D215">
        <v>2.0840000000000001E-2</v>
      </c>
      <c r="E215">
        <v>2.1700000000000001E-2</v>
      </c>
      <c r="F215">
        <v>110273274</v>
      </c>
      <c r="G215">
        <v>0</v>
      </c>
      <c r="L215" t="s">
        <v>7</v>
      </c>
      <c r="M215" t="s">
        <v>8</v>
      </c>
      <c r="N215" t="s">
        <v>8</v>
      </c>
      <c r="P215">
        <f t="shared" si="959"/>
        <v>-0.24229074889867797</v>
      </c>
      <c r="Q215">
        <f t="shared" si="960"/>
        <v>-26718194.140969113</v>
      </c>
      <c r="R215">
        <f t="shared" si="961"/>
        <v>-1487174758.3711946</v>
      </c>
      <c r="S215">
        <f t="shared" si="962"/>
        <v>-14871.747583711945</v>
      </c>
      <c r="T215">
        <f t="shared" si="963"/>
        <v>-14.871747583711945</v>
      </c>
    </row>
    <row r="216" spans="1:20" x14ac:dyDescent="0.25">
      <c r="A216" s="5">
        <v>44377</v>
      </c>
      <c r="B216">
        <v>2.2749999999999999E-2</v>
      </c>
      <c r="C216">
        <v>2.3179999999999999E-2</v>
      </c>
      <c r="D216">
        <v>2.1579999999999998E-2</v>
      </c>
      <c r="E216">
        <v>2.3050000000000001E-2</v>
      </c>
      <c r="F216">
        <v>147953969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0.83750000000000235</v>
      </c>
      <c r="Q216">
        <f t="shared" si="960"/>
        <v>123911449.03750035</v>
      </c>
      <c r="R216">
        <f t="shared" si="961"/>
        <v>-1460456564.2302256</v>
      </c>
      <c r="S216">
        <f t="shared" si="962"/>
        <v>-14604.565642302256</v>
      </c>
      <c r="T216">
        <f t="shared" si="963"/>
        <v>-14.604565642302255</v>
      </c>
    </row>
    <row r="217" spans="1:20" x14ac:dyDescent="0.25">
      <c r="A217" s="5">
        <v>44376</v>
      </c>
      <c r="B217">
        <v>2.1999999999999999E-2</v>
      </c>
      <c r="C217">
        <v>2.4369999999999999E-2</v>
      </c>
      <c r="D217">
        <v>2.171E-2</v>
      </c>
      <c r="E217">
        <v>2.2859999999999998E-2</v>
      </c>
      <c r="F217">
        <v>256294212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-0.1353383458646627</v>
      </c>
      <c r="Q217">
        <f t="shared" si="960"/>
        <v>-34686434.706767187</v>
      </c>
      <c r="R217">
        <f t="shared" si="961"/>
        <v>-1584368013.2677259</v>
      </c>
      <c r="S217">
        <f t="shared" si="962"/>
        <v>-15843.68013267726</v>
      </c>
      <c r="T217">
        <f t="shared" si="963"/>
        <v>-15.84368013267726</v>
      </c>
    </row>
    <row r="218" spans="1:20" x14ac:dyDescent="0.25">
      <c r="A218" s="5">
        <v>44375</v>
      </c>
      <c r="B218">
        <v>2.1829999999999999E-2</v>
      </c>
      <c r="C218">
        <v>2.315E-2</v>
      </c>
      <c r="D218">
        <v>2.1129999999999999E-2</v>
      </c>
      <c r="E218">
        <v>2.197E-2</v>
      </c>
      <c r="F218">
        <v>199688303</v>
      </c>
      <c r="G218">
        <v>0</v>
      </c>
      <c r="L218" t="s">
        <v>8</v>
      </c>
      <c r="M218" t="s">
        <v>8</v>
      </c>
      <c r="N218" t="s">
        <v>7</v>
      </c>
      <c r="P218">
        <f t="shared" si="959"/>
        <v>-0.16831683168316824</v>
      </c>
      <c r="Q218">
        <f t="shared" si="960"/>
        <v>-33610902.485148497</v>
      </c>
      <c r="R218">
        <f t="shared" si="961"/>
        <v>-1549681578.5609589</v>
      </c>
      <c r="S218">
        <f t="shared" si="962"/>
        <v>-15496.81578560959</v>
      </c>
      <c r="T218">
        <f t="shared" si="963"/>
        <v>-15.49681578560959</v>
      </c>
    </row>
    <row r="219" spans="1:20" x14ac:dyDescent="0.25">
      <c r="A219" s="5">
        <v>44374</v>
      </c>
      <c r="B219">
        <v>2.0799999999999999E-2</v>
      </c>
      <c r="C219">
        <v>2.2349999999999998E-2</v>
      </c>
      <c r="D219">
        <v>2.0240000000000001E-2</v>
      </c>
      <c r="E219">
        <v>2.1870000000000001E-2</v>
      </c>
      <c r="F219">
        <v>222462438</v>
      </c>
      <c r="G219">
        <v>0</v>
      </c>
      <c r="L219" t="s">
        <v>8</v>
      </c>
      <c r="M219" t="s">
        <v>8</v>
      </c>
      <c r="N219" t="s">
        <v>7</v>
      </c>
      <c r="P219">
        <f t="shared" si="959"/>
        <v>0.54502369668246597</v>
      </c>
      <c r="Q219">
        <f t="shared" si="960"/>
        <v>121247300.33175389</v>
      </c>
      <c r="R219">
        <f t="shared" si="961"/>
        <v>-1516070676.0758104</v>
      </c>
      <c r="S219">
        <f t="shared" si="962"/>
        <v>-15160.706760758105</v>
      </c>
      <c r="T219">
        <f t="shared" si="963"/>
        <v>-15.160706760758105</v>
      </c>
    </row>
    <row r="220" spans="1:20" x14ac:dyDescent="0.25">
      <c r="A220" s="5">
        <v>44373</v>
      </c>
      <c r="B220">
        <v>2.0199999999999999E-2</v>
      </c>
      <c r="C220">
        <v>2.102E-2</v>
      </c>
      <c r="D220">
        <v>1.865E-2</v>
      </c>
      <c r="E220">
        <v>2.0760000000000001E-2</v>
      </c>
      <c r="F220">
        <v>154199959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0.7805907172995783</v>
      </c>
      <c r="Q220">
        <f t="shared" si="960"/>
        <v>120367056.60337557</v>
      </c>
      <c r="R220">
        <f t="shared" si="961"/>
        <v>-1637317976.4075644</v>
      </c>
      <c r="S220">
        <f t="shared" si="962"/>
        <v>-16373.179764075645</v>
      </c>
      <c r="T220">
        <f t="shared" si="963"/>
        <v>-16.373179764075644</v>
      </c>
    </row>
    <row r="221" spans="1:20" x14ac:dyDescent="0.25">
      <c r="A221" s="5">
        <v>44372</v>
      </c>
      <c r="B221">
        <v>2.256E-2</v>
      </c>
      <c r="C221">
        <v>2.3199999999999998E-2</v>
      </c>
      <c r="D221">
        <v>1.9869999999999999E-2</v>
      </c>
      <c r="E221">
        <v>2.0230000000000001E-2</v>
      </c>
      <c r="F221">
        <v>161794933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-0.78378378378378211</v>
      </c>
      <c r="Q221">
        <f t="shared" si="960"/>
        <v>-126812244.78378351</v>
      </c>
      <c r="R221">
        <f t="shared" si="961"/>
        <v>-1757685033.0109401</v>
      </c>
      <c r="S221">
        <f t="shared" si="962"/>
        <v>-17576.850330109402</v>
      </c>
      <c r="T221">
        <f t="shared" si="963"/>
        <v>-17.576850330109401</v>
      </c>
    </row>
    <row r="222" spans="1:20" x14ac:dyDescent="0.25">
      <c r="A222" s="5">
        <v>44371</v>
      </c>
      <c r="B222">
        <v>2.196E-2</v>
      </c>
      <c r="C222">
        <v>2.3599999999999999E-2</v>
      </c>
      <c r="D222">
        <v>2.0879999999999999E-2</v>
      </c>
      <c r="E222">
        <v>2.2589999999999999E-2</v>
      </c>
      <c r="F222">
        <v>177920275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0.25735294117647028</v>
      </c>
      <c r="Q222">
        <f t="shared" si="960"/>
        <v>45788306.066176414</v>
      </c>
      <c r="R222">
        <f t="shared" si="961"/>
        <v>-1630872788.2271566</v>
      </c>
      <c r="S222">
        <f t="shared" si="962"/>
        <v>-16308.727882271567</v>
      </c>
      <c r="T222">
        <f t="shared" si="963"/>
        <v>-16.308727882271565</v>
      </c>
    </row>
    <row r="223" spans="1:20" x14ac:dyDescent="0.25">
      <c r="A223" s="5">
        <v>44370</v>
      </c>
      <c r="B223">
        <v>2.0879999999999999E-2</v>
      </c>
      <c r="C223">
        <v>2.4E-2</v>
      </c>
      <c r="D223">
        <v>2.0299999999999999E-2</v>
      </c>
      <c r="E223">
        <v>2.1950000000000001E-2</v>
      </c>
      <c r="F223">
        <v>249253953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-0.10810810810810739</v>
      </c>
      <c r="Q223">
        <f t="shared" si="960"/>
        <v>-26946373.29729712</v>
      </c>
      <c r="R223">
        <f t="shared" si="961"/>
        <v>-1676661094.2933331</v>
      </c>
      <c r="S223">
        <f t="shared" si="962"/>
        <v>-16766.61094293333</v>
      </c>
      <c r="T223">
        <f t="shared" si="963"/>
        <v>-16.76661094293333</v>
      </c>
    </row>
    <row r="224" spans="1:20" x14ac:dyDescent="0.25">
      <c r="A224" s="5">
        <v>44369</v>
      </c>
      <c r="B224">
        <v>2.2339999999999999E-2</v>
      </c>
      <c r="C224">
        <v>2.3879999999999998E-2</v>
      </c>
      <c r="D224">
        <v>1.755E-2</v>
      </c>
      <c r="E224">
        <v>2.095E-2</v>
      </c>
      <c r="F224">
        <v>486285878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7.4249605055292531E-2</v>
      </c>
      <c r="Q224">
        <f t="shared" si="960"/>
        <v>36106534.385466166</v>
      </c>
      <c r="R224">
        <f t="shared" si="961"/>
        <v>-1649714720.9960361</v>
      </c>
      <c r="S224">
        <f t="shared" si="962"/>
        <v>-16497.14720996036</v>
      </c>
      <c r="T224">
        <f t="shared" si="963"/>
        <v>-16.49714720996036</v>
      </c>
    </row>
    <row r="225" spans="1:20" x14ac:dyDescent="0.25">
      <c r="A225" s="5">
        <v>44368</v>
      </c>
      <c r="B225">
        <v>2.751E-2</v>
      </c>
      <c r="C225">
        <v>2.8150000000000001E-2</v>
      </c>
      <c r="D225">
        <v>2.1870000000000001E-2</v>
      </c>
      <c r="E225">
        <v>2.23E-2</v>
      </c>
      <c r="F225">
        <v>666334316</v>
      </c>
      <c r="G225">
        <v>0</v>
      </c>
      <c r="L225" t="s">
        <v>7</v>
      </c>
      <c r="M225" t="s">
        <v>8</v>
      </c>
      <c r="N225" t="s">
        <v>7</v>
      </c>
      <c r="P225">
        <f t="shared" si="959"/>
        <v>-0.86305732484076436</v>
      </c>
      <c r="Q225">
        <f t="shared" si="960"/>
        <v>-575084712.21656048</v>
      </c>
      <c r="R225">
        <f t="shared" si="961"/>
        <v>-1685821255.3815022</v>
      </c>
      <c r="S225">
        <f t="shared" si="962"/>
        <v>-16858.212553815021</v>
      </c>
      <c r="T225">
        <f t="shared" si="963"/>
        <v>-16.858212553815022</v>
      </c>
    </row>
    <row r="226" spans="1:20" x14ac:dyDescent="0.25">
      <c r="A226" s="5">
        <v>44367</v>
      </c>
      <c r="B226">
        <v>2.4230000000000002E-2</v>
      </c>
      <c r="C226">
        <v>2.8240000000000001E-2</v>
      </c>
      <c r="D226">
        <v>2.2030000000000001E-2</v>
      </c>
      <c r="E226">
        <v>2.751E-2</v>
      </c>
      <c r="F226">
        <v>532113712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0.76489533011272093</v>
      </c>
      <c r="Q226">
        <f t="shared" si="960"/>
        <v>407011293.39774531</v>
      </c>
      <c r="R226">
        <f t="shared" si="961"/>
        <v>-1110736543.1649418</v>
      </c>
      <c r="S226">
        <f t="shared" si="962"/>
        <v>-11107.365431649418</v>
      </c>
      <c r="T226">
        <f t="shared" si="963"/>
        <v>-11.107365431649418</v>
      </c>
    </row>
    <row r="227" spans="1:20" x14ac:dyDescent="0.25">
      <c r="A227" s="5">
        <v>44366</v>
      </c>
      <c r="B227">
        <v>2.5219999999999999E-2</v>
      </c>
      <c r="C227">
        <v>2.5989999999999999E-2</v>
      </c>
      <c r="D227">
        <v>2.4E-2</v>
      </c>
      <c r="E227">
        <v>2.4230000000000002E-2</v>
      </c>
      <c r="F227">
        <v>99233364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-0.76884422110552642</v>
      </c>
      <c r="Q227">
        <f t="shared" si="960"/>
        <v>-76294998.45226118</v>
      </c>
      <c r="R227">
        <f t="shared" si="961"/>
        <v>-1517747836.5626872</v>
      </c>
      <c r="S227">
        <f t="shared" si="962"/>
        <v>-15177.478365626872</v>
      </c>
      <c r="T227">
        <f t="shared" si="963"/>
        <v>-15.177478365626872</v>
      </c>
    </row>
    <row r="228" spans="1:20" x14ac:dyDescent="0.25">
      <c r="A228" s="5">
        <v>44365</v>
      </c>
      <c r="B228">
        <v>2.7570000000000001E-2</v>
      </c>
      <c r="C228">
        <v>2.8660000000000001E-2</v>
      </c>
      <c r="D228">
        <v>2.4400000000000002E-2</v>
      </c>
      <c r="E228">
        <v>2.5239999999999999E-2</v>
      </c>
      <c r="F228">
        <v>152679745</v>
      </c>
      <c r="G228">
        <v>0</v>
      </c>
      <c r="L228" t="s">
        <v>7</v>
      </c>
      <c r="M228" t="s">
        <v>7</v>
      </c>
      <c r="N228" t="s">
        <v>8</v>
      </c>
      <c r="P228">
        <f t="shared" si="959"/>
        <v>-0.60563380281690282</v>
      </c>
      <c r="Q228">
        <f t="shared" si="960"/>
        <v>-92468014.577464998</v>
      </c>
      <c r="R228">
        <f t="shared" si="961"/>
        <v>-1441452838.1104259</v>
      </c>
      <c r="S228">
        <f t="shared" si="962"/>
        <v>-14414.528381104259</v>
      </c>
      <c r="T228">
        <f t="shared" si="963"/>
        <v>-14.41452838110426</v>
      </c>
    </row>
    <row r="229" spans="1:20" x14ac:dyDescent="0.25">
      <c r="A229" s="5">
        <v>44364</v>
      </c>
      <c r="B229">
        <v>2.8049999999999999E-2</v>
      </c>
      <c r="C229">
        <v>2.9409999999999999E-2</v>
      </c>
      <c r="D229">
        <v>2.666E-2</v>
      </c>
      <c r="E229">
        <v>2.759E-2</v>
      </c>
      <c r="F229">
        <v>125830964</v>
      </c>
      <c r="G229">
        <v>0</v>
      </c>
      <c r="L229" t="s">
        <v>7</v>
      </c>
      <c r="M229" t="s">
        <v>8</v>
      </c>
      <c r="N229" t="s">
        <v>8</v>
      </c>
      <c r="P229">
        <f t="shared" si="959"/>
        <v>-0.32363636363636317</v>
      </c>
      <c r="Q229">
        <f t="shared" si="960"/>
        <v>-40723475.621818125</v>
      </c>
      <c r="R229">
        <f t="shared" si="961"/>
        <v>-1348984823.5329609</v>
      </c>
      <c r="S229">
        <f t="shared" si="962"/>
        <v>-13489.848235329609</v>
      </c>
      <c r="T229">
        <f t="shared" si="963"/>
        <v>-13.48984823532961</v>
      </c>
    </row>
    <row r="230" spans="1:20" x14ac:dyDescent="0.25">
      <c r="A230" s="5">
        <v>44363</v>
      </c>
      <c r="B230">
        <v>2.8510000000000001E-2</v>
      </c>
      <c r="C230">
        <v>2.9559999999999999E-2</v>
      </c>
      <c r="D230">
        <v>2.6780000000000002E-2</v>
      </c>
      <c r="E230">
        <v>2.8039999999999999E-2</v>
      </c>
      <c r="F230">
        <v>210807363</v>
      </c>
      <c r="G230">
        <v>0</v>
      </c>
      <c r="L230" t="s">
        <v>7</v>
      </c>
      <c r="M230" t="s">
        <v>8</v>
      </c>
      <c r="N230" t="s">
        <v>8</v>
      </c>
      <c r="P230">
        <f t="shared" si="959"/>
        <v>-9.3525179856116358E-2</v>
      </c>
      <c r="Q230">
        <f t="shared" si="960"/>
        <v>-19715796.53956861</v>
      </c>
      <c r="R230">
        <f t="shared" si="961"/>
        <v>-1308261347.9111428</v>
      </c>
      <c r="S230">
        <f t="shared" si="962"/>
        <v>-13082.613479111429</v>
      </c>
      <c r="T230">
        <f t="shared" si="963"/>
        <v>-13.08261347911143</v>
      </c>
    </row>
    <row r="231" spans="1:20" x14ac:dyDescent="0.25">
      <c r="A231" s="5">
        <v>44362</v>
      </c>
      <c r="B231">
        <v>2.9329999999999998E-2</v>
      </c>
      <c r="C231">
        <v>2.9850000000000002E-2</v>
      </c>
      <c r="D231">
        <v>2.8230000000000002E-2</v>
      </c>
      <c r="E231">
        <v>2.8500000000000001E-2</v>
      </c>
      <c r="F231">
        <v>205069786</v>
      </c>
      <c r="G231">
        <v>0</v>
      </c>
      <c r="L231" t="s">
        <v>7</v>
      </c>
      <c r="M231" t="s">
        <v>8</v>
      </c>
      <c r="N231" t="s">
        <v>8</v>
      </c>
      <c r="P231">
        <f t="shared" si="959"/>
        <v>-0.66666666666666741</v>
      </c>
      <c r="Q231">
        <f t="shared" si="960"/>
        <v>-136713190.66666681</v>
      </c>
      <c r="R231">
        <f t="shared" si="961"/>
        <v>-1288545551.3715742</v>
      </c>
      <c r="S231">
        <f t="shared" si="962"/>
        <v>-12885.455513715742</v>
      </c>
      <c r="T231">
        <f t="shared" si="963"/>
        <v>-12.885455513715742</v>
      </c>
    </row>
    <row r="232" spans="1:20" x14ac:dyDescent="0.25">
      <c r="A232" s="5">
        <v>44361</v>
      </c>
      <c r="B232">
        <v>2.998E-2</v>
      </c>
      <c r="C232">
        <v>3.1E-2</v>
      </c>
      <c r="D232">
        <v>2.8799999999999999E-2</v>
      </c>
      <c r="E232">
        <v>2.9340000000000001E-2</v>
      </c>
      <c r="F232">
        <v>230624465</v>
      </c>
      <c r="G232">
        <v>0</v>
      </c>
      <c r="L232" t="s">
        <v>7</v>
      </c>
      <c r="M232" t="s">
        <v>8</v>
      </c>
      <c r="N232" t="s">
        <v>8</v>
      </c>
      <c r="P232">
        <f t="shared" si="959"/>
        <v>-0.50909090909090715</v>
      </c>
      <c r="Q232">
        <f t="shared" si="960"/>
        <v>-117408818.5454541</v>
      </c>
      <c r="R232">
        <f t="shared" si="961"/>
        <v>-1151832360.7049074</v>
      </c>
      <c r="S232">
        <f t="shared" si="962"/>
        <v>-11518.323607049075</v>
      </c>
      <c r="T232">
        <f t="shared" si="963"/>
        <v>-11.518323607049075</v>
      </c>
    </row>
    <row r="233" spans="1:20" x14ac:dyDescent="0.25">
      <c r="A233" s="5">
        <v>44360</v>
      </c>
      <c r="B233">
        <v>2.5659999999999999E-2</v>
      </c>
      <c r="C233">
        <v>3.09E-2</v>
      </c>
      <c r="D233">
        <v>2.5250000000000002E-2</v>
      </c>
      <c r="E233">
        <v>0.03</v>
      </c>
      <c r="F233">
        <v>316229651</v>
      </c>
      <c r="G233">
        <v>0</v>
      </c>
      <c r="L233" t="s">
        <v>8</v>
      </c>
      <c r="M233" t="s">
        <v>8</v>
      </c>
      <c r="N233" t="s">
        <v>8</v>
      </c>
      <c r="P233">
        <f t="shared" si="959"/>
        <v>0.68141592920353922</v>
      </c>
      <c r="Q233">
        <f t="shared" si="960"/>
        <v>215483921.47787592</v>
      </c>
      <c r="R233">
        <f t="shared" si="961"/>
        <v>-1034423542.1594534</v>
      </c>
      <c r="S233">
        <f t="shared" si="962"/>
        <v>-10344.235421594534</v>
      </c>
      <c r="T233">
        <f t="shared" si="963"/>
        <v>-10.344235421594535</v>
      </c>
    </row>
    <row r="234" spans="1:20" x14ac:dyDescent="0.25">
      <c r="A234" s="5">
        <v>44359</v>
      </c>
      <c r="B234">
        <v>2.7369999999999998E-2</v>
      </c>
      <c r="C234">
        <v>2.7609999999999999E-2</v>
      </c>
      <c r="D234">
        <v>2.469E-2</v>
      </c>
      <c r="E234">
        <v>2.5659999999999999E-2</v>
      </c>
      <c r="F234">
        <v>116695603</v>
      </c>
      <c r="G234">
        <v>0</v>
      </c>
      <c r="L234" t="s">
        <v>7</v>
      </c>
      <c r="M234" t="s">
        <v>7</v>
      </c>
      <c r="N234" t="s">
        <v>8</v>
      </c>
      <c r="P234">
        <f t="shared" si="959"/>
        <v>-0.33561643835616506</v>
      </c>
      <c r="Q234">
        <f t="shared" si="960"/>
        <v>-39164962.650685012</v>
      </c>
      <c r="R234">
        <f t="shared" si="961"/>
        <v>-1249907463.6373293</v>
      </c>
      <c r="S234">
        <f t="shared" si="962"/>
        <v>-12499.074636373294</v>
      </c>
      <c r="T234">
        <f t="shared" si="963"/>
        <v>-12.499074636373294</v>
      </c>
    </row>
    <row r="235" spans="1:20" x14ac:dyDescent="0.25">
      <c r="A235" s="5">
        <v>44358</v>
      </c>
      <c r="B235">
        <v>2.9700000000000001E-2</v>
      </c>
      <c r="C235">
        <v>3.015E-2</v>
      </c>
      <c r="D235">
        <v>2.6499999999999999E-2</v>
      </c>
      <c r="E235">
        <v>2.7369999999999998E-2</v>
      </c>
      <c r="F235">
        <v>160119626</v>
      </c>
      <c r="G235">
        <v>0</v>
      </c>
      <c r="L235" t="s">
        <v>7</v>
      </c>
      <c r="M235" t="s">
        <v>7</v>
      </c>
      <c r="N235" t="s">
        <v>8</v>
      </c>
      <c r="P235">
        <f t="shared" si="959"/>
        <v>-0.52328767123287723</v>
      </c>
      <c r="Q235">
        <f t="shared" si="960"/>
        <v>-83788626.20821926</v>
      </c>
      <c r="R235">
        <f t="shared" si="961"/>
        <v>-1210742500.9866443</v>
      </c>
      <c r="S235">
        <f t="shared" si="962"/>
        <v>-12107.425009866443</v>
      </c>
      <c r="T235">
        <f t="shared" si="963"/>
        <v>-12.107425009866443</v>
      </c>
    </row>
    <row r="236" spans="1:20" x14ac:dyDescent="0.25">
      <c r="A236" s="5">
        <v>44357</v>
      </c>
      <c r="B236">
        <v>3.075E-2</v>
      </c>
      <c r="C236">
        <v>3.2349999999999997E-2</v>
      </c>
      <c r="D236">
        <v>2.8219999999999999E-2</v>
      </c>
      <c r="E236">
        <v>2.9870000000000001E-2</v>
      </c>
      <c r="F236">
        <v>314250840</v>
      </c>
      <c r="G236">
        <v>0</v>
      </c>
      <c r="L236" t="s">
        <v>7</v>
      </c>
      <c r="M236" t="s">
        <v>7</v>
      </c>
      <c r="N236" t="s">
        <v>8</v>
      </c>
      <c r="P236">
        <f t="shared" si="959"/>
        <v>-0.20096852300241994</v>
      </c>
      <c r="Q236">
        <f t="shared" si="960"/>
        <v>-63154527.167069785</v>
      </c>
      <c r="R236">
        <f t="shared" si="961"/>
        <v>-1126953874.778425</v>
      </c>
      <c r="S236">
        <f t="shared" si="962"/>
        <v>-11269.538747784251</v>
      </c>
      <c r="T236">
        <f t="shared" si="963"/>
        <v>-11.269538747784251</v>
      </c>
    </row>
    <row r="237" spans="1:20" x14ac:dyDescent="0.25">
      <c r="A237" s="5">
        <v>44356</v>
      </c>
      <c r="B237">
        <v>3.006E-2</v>
      </c>
      <c r="C237">
        <v>3.4009999999999999E-2</v>
      </c>
      <c r="D237">
        <v>2.9180000000000001E-2</v>
      </c>
      <c r="E237">
        <v>3.075E-2</v>
      </c>
      <c r="F237">
        <v>750331014</v>
      </c>
      <c r="G237">
        <v>0</v>
      </c>
      <c r="L237" t="s">
        <v>8</v>
      </c>
      <c r="M237" t="s">
        <v>8</v>
      </c>
      <c r="N237" t="s">
        <v>8</v>
      </c>
      <c r="P237">
        <f t="shared" si="959"/>
        <v>-0.34989648033126325</v>
      </c>
      <c r="Q237">
        <f t="shared" si="960"/>
        <v>-262538180.88198781</v>
      </c>
      <c r="R237">
        <f t="shared" si="961"/>
        <v>-1063799347.6113553</v>
      </c>
      <c r="S237">
        <f t="shared" si="962"/>
        <v>-10637.993476113554</v>
      </c>
      <c r="T237">
        <f t="shared" si="963"/>
        <v>-10.637993476113554</v>
      </c>
    </row>
    <row r="238" spans="1:20" x14ac:dyDescent="0.25">
      <c r="A238" s="5">
        <v>44355</v>
      </c>
      <c r="B238">
        <v>2.716E-2</v>
      </c>
      <c r="C238">
        <v>3.2899999999999999E-2</v>
      </c>
      <c r="D238">
        <v>2.418E-2</v>
      </c>
      <c r="E238">
        <v>3.0110000000000001E-2</v>
      </c>
      <c r="F238">
        <v>579416225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0.36009174311926656</v>
      </c>
      <c r="Q238">
        <f t="shared" si="960"/>
        <v>208642998.45183516</v>
      </c>
      <c r="R238">
        <f t="shared" si="961"/>
        <v>-801261166.72936749</v>
      </c>
      <c r="S238">
        <f t="shared" si="962"/>
        <v>-8012.6116672936751</v>
      </c>
      <c r="T238">
        <f t="shared" si="963"/>
        <v>-8.0126116672936742</v>
      </c>
    </row>
    <row r="239" spans="1:20" x14ac:dyDescent="0.25">
      <c r="A239" s="5">
        <v>44354</v>
      </c>
      <c r="B239">
        <v>3.3070000000000002E-2</v>
      </c>
      <c r="C239">
        <v>3.3500000000000002E-2</v>
      </c>
      <c r="D239">
        <v>2.7E-2</v>
      </c>
      <c r="E239">
        <v>2.7210000000000002E-2</v>
      </c>
      <c r="F239">
        <v>360347830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-0.93538461538461481</v>
      </c>
      <c r="Q239">
        <f t="shared" si="960"/>
        <v>-337063816.36923057</v>
      </c>
      <c r="R239">
        <f t="shared" si="961"/>
        <v>-1009904165.1812027</v>
      </c>
      <c r="S239">
        <f t="shared" si="962"/>
        <v>-10099.041651812027</v>
      </c>
      <c r="T239">
        <f t="shared" si="963"/>
        <v>-10.099041651812028</v>
      </c>
    </row>
    <row r="240" spans="1:20" x14ac:dyDescent="0.25">
      <c r="A240" s="5">
        <v>44353</v>
      </c>
      <c r="B240">
        <v>2.6710000000000001E-2</v>
      </c>
      <c r="C240">
        <v>0.08</v>
      </c>
      <c r="D240">
        <v>2.6710000000000001E-2</v>
      </c>
      <c r="E240">
        <v>3.3140000000000003E-2</v>
      </c>
      <c r="F240">
        <v>886857833</v>
      </c>
      <c r="G240">
        <v>0</v>
      </c>
      <c r="P240">
        <f t="shared" si="959"/>
        <v>-0.75867892662788494</v>
      </c>
      <c r="Q240">
        <f t="shared" si="960"/>
        <v>-672840348.81197202</v>
      </c>
      <c r="R240">
        <f t="shared" si="961"/>
        <v>-672840348.81197202</v>
      </c>
      <c r="S240">
        <f t="shared" si="962"/>
        <v>-6728.4034881197204</v>
      </c>
      <c r="T240">
        <f t="shared" si="963"/>
        <v>-6.7284034881197208</v>
      </c>
    </row>
    <row r="241" spans="1:20" x14ac:dyDescent="0.25">
      <c r="A241" s="5"/>
      <c r="B241" s="1"/>
      <c r="C241" s="2"/>
      <c r="D241" s="2"/>
      <c r="E241" s="1"/>
      <c r="F241" s="1"/>
      <c r="P241">
        <f t="shared" si="959"/>
        <v>0</v>
      </c>
      <c r="Q241">
        <f t="shared" si="960"/>
        <v>0</v>
      </c>
      <c r="R241">
        <f t="shared" si="961"/>
        <v>0</v>
      </c>
      <c r="S241">
        <f t="shared" si="962"/>
        <v>0</v>
      </c>
      <c r="T241">
        <f t="shared" si="963"/>
        <v>0</v>
      </c>
    </row>
    <row r="242" spans="1:20" x14ac:dyDescent="0.25">
      <c r="A242" s="5"/>
      <c r="B242" s="1"/>
      <c r="C242" s="2"/>
      <c r="D242" s="2"/>
      <c r="E242" s="1"/>
      <c r="F242" s="1"/>
      <c r="P242">
        <f t="shared" si="959"/>
        <v>0</v>
      </c>
      <c r="Q242">
        <f t="shared" si="960"/>
        <v>0</v>
      </c>
      <c r="R242">
        <f t="shared" si="961"/>
        <v>0</v>
      </c>
      <c r="S242">
        <f t="shared" si="962"/>
        <v>0</v>
      </c>
      <c r="T242">
        <f t="shared" si="963"/>
        <v>0</v>
      </c>
    </row>
    <row r="243" spans="1:20" x14ac:dyDescent="0.25">
      <c r="A243" s="5"/>
      <c r="B243" s="1"/>
      <c r="C243" s="2"/>
      <c r="D243" s="2"/>
      <c r="E243" s="1"/>
      <c r="F243" s="1"/>
      <c r="P243">
        <f t="shared" si="959"/>
        <v>0</v>
      </c>
      <c r="Q243">
        <f t="shared" si="960"/>
        <v>0</v>
      </c>
      <c r="R243">
        <f t="shared" si="961"/>
        <v>0</v>
      </c>
      <c r="S243">
        <f t="shared" si="962"/>
        <v>0</v>
      </c>
      <c r="T243">
        <f t="shared" si="963"/>
        <v>0</v>
      </c>
    </row>
    <row r="244" spans="1:20" x14ac:dyDescent="0.25">
      <c r="A244" s="5"/>
      <c r="B244" s="1"/>
      <c r="C244" s="2"/>
      <c r="D244" s="2"/>
      <c r="E244" s="1"/>
      <c r="F244" s="1"/>
      <c r="P244">
        <f t="shared" si="959"/>
        <v>0</v>
      </c>
      <c r="Q244">
        <f t="shared" si="960"/>
        <v>0</v>
      </c>
      <c r="R244">
        <f t="shared" si="961"/>
        <v>0</v>
      </c>
      <c r="S244">
        <f t="shared" si="962"/>
        <v>0</v>
      </c>
      <c r="T244">
        <f t="shared" si="963"/>
        <v>0</v>
      </c>
    </row>
    <row r="245" spans="1:20" x14ac:dyDescent="0.25">
      <c r="A245" s="5"/>
      <c r="B245" s="1"/>
      <c r="C245" s="2"/>
      <c r="D245" s="2"/>
      <c r="E245" s="1"/>
      <c r="F245" s="1"/>
      <c r="P245">
        <f t="shared" si="959"/>
        <v>0</v>
      </c>
      <c r="Q245">
        <f t="shared" si="960"/>
        <v>0</v>
      </c>
      <c r="R245">
        <f t="shared" si="961"/>
        <v>0</v>
      </c>
      <c r="S245">
        <f t="shared" si="962"/>
        <v>0</v>
      </c>
      <c r="T245">
        <f t="shared" si="963"/>
        <v>0</v>
      </c>
    </row>
    <row r="246" spans="1:20" x14ac:dyDescent="0.25">
      <c r="A246" s="5"/>
      <c r="B246" s="1"/>
      <c r="C246" s="2"/>
      <c r="D246" s="2"/>
      <c r="E246" s="1"/>
      <c r="F246" s="1"/>
      <c r="P246">
        <f t="shared" si="959"/>
        <v>0</v>
      </c>
      <c r="Q246">
        <f t="shared" si="960"/>
        <v>0</v>
      </c>
      <c r="R246">
        <f t="shared" si="961"/>
        <v>0</v>
      </c>
      <c r="S246">
        <f t="shared" si="962"/>
        <v>0</v>
      </c>
      <c r="T246">
        <f t="shared" si="963"/>
        <v>0</v>
      </c>
    </row>
    <row r="247" spans="1:20" x14ac:dyDescent="0.25">
      <c r="A247" s="5"/>
      <c r="B247" s="1"/>
      <c r="C247" s="2"/>
      <c r="D247" s="2"/>
      <c r="E247" s="1"/>
      <c r="F247" s="1"/>
      <c r="P247">
        <f t="shared" si="959"/>
        <v>0</v>
      </c>
      <c r="Q247">
        <f t="shared" si="960"/>
        <v>0</v>
      </c>
      <c r="R247">
        <f t="shared" si="961"/>
        <v>0</v>
      </c>
      <c r="S247">
        <f t="shared" si="962"/>
        <v>0</v>
      </c>
      <c r="T247">
        <f t="shared" si="963"/>
        <v>0</v>
      </c>
    </row>
    <row r="248" spans="1:20" x14ac:dyDescent="0.25">
      <c r="A248" s="5"/>
      <c r="B248" s="1"/>
      <c r="C248" s="2"/>
      <c r="D248" s="2"/>
      <c r="E248" s="1"/>
      <c r="F248" s="1"/>
      <c r="P248">
        <f t="shared" si="959"/>
        <v>0</v>
      </c>
      <c r="Q248">
        <f t="shared" si="960"/>
        <v>0</v>
      </c>
      <c r="R248">
        <f t="shared" si="961"/>
        <v>0</v>
      </c>
      <c r="S248">
        <f t="shared" si="962"/>
        <v>0</v>
      </c>
      <c r="T248">
        <f t="shared" si="963"/>
        <v>0</v>
      </c>
    </row>
    <row r="249" spans="1:20" x14ac:dyDescent="0.25">
      <c r="A249" s="5"/>
      <c r="B249" s="1"/>
      <c r="C249" s="2"/>
      <c r="D249" s="2"/>
      <c r="E249" s="1"/>
      <c r="F249" s="1"/>
      <c r="P249">
        <f t="shared" si="959"/>
        <v>0</v>
      </c>
      <c r="Q249">
        <f t="shared" si="960"/>
        <v>0</v>
      </c>
      <c r="R249">
        <f t="shared" si="961"/>
        <v>0</v>
      </c>
      <c r="S249">
        <f t="shared" si="962"/>
        <v>0</v>
      </c>
      <c r="T249">
        <f t="shared" si="963"/>
        <v>0</v>
      </c>
    </row>
    <row r="250" spans="1:20" x14ac:dyDescent="0.25">
      <c r="A250" s="5"/>
      <c r="B250" s="1"/>
      <c r="C250" s="2"/>
      <c r="D250" s="2"/>
      <c r="E250" s="1"/>
      <c r="F250" s="1"/>
      <c r="P250">
        <f t="shared" si="959"/>
        <v>0</v>
      </c>
      <c r="Q250">
        <f t="shared" si="960"/>
        <v>0</v>
      </c>
      <c r="R250">
        <f t="shared" si="961"/>
        <v>0</v>
      </c>
      <c r="S250">
        <f t="shared" si="962"/>
        <v>0</v>
      </c>
      <c r="T250">
        <f t="shared" si="963"/>
        <v>0</v>
      </c>
    </row>
    <row r="251" spans="1:20" x14ac:dyDescent="0.25">
      <c r="A251" s="5"/>
      <c r="B251" s="1"/>
      <c r="C251" s="2"/>
      <c r="D251" s="2"/>
      <c r="E251" s="1"/>
      <c r="F251" s="1"/>
      <c r="P251">
        <f t="shared" si="959"/>
        <v>0</v>
      </c>
      <c r="Q251">
        <f t="shared" si="960"/>
        <v>0</v>
      </c>
      <c r="R251">
        <f t="shared" si="961"/>
        <v>0</v>
      </c>
      <c r="S251">
        <f t="shared" si="962"/>
        <v>0</v>
      </c>
      <c r="T251">
        <f t="shared" si="963"/>
        <v>0</v>
      </c>
    </row>
    <row r="252" spans="1:20" x14ac:dyDescent="0.25">
      <c r="A252" s="5"/>
      <c r="B252" s="1"/>
      <c r="C252" s="2"/>
      <c r="D252" s="2"/>
      <c r="E252" s="1"/>
      <c r="F252" s="1"/>
      <c r="P252">
        <f t="shared" si="959"/>
        <v>0</v>
      </c>
      <c r="Q252">
        <f t="shared" si="960"/>
        <v>0</v>
      </c>
      <c r="R252">
        <f t="shared" si="961"/>
        <v>0</v>
      </c>
      <c r="S252">
        <f t="shared" si="962"/>
        <v>0</v>
      </c>
      <c r="T252">
        <f t="shared" si="963"/>
        <v>0</v>
      </c>
    </row>
    <row r="253" spans="1:20" x14ac:dyDescent="0.25">
      <c r="A253" s="5"/>
      <c r="B253" s="1"/>
      <c r="C253" s="2"/>
      <c r="D253" s="2"/>
      <c r="E253" s="1"/>
      <c r="F253" s="1"/>
      <c r="P253">
        <f t="shared" si="959"/>
        <v>0</v>
      </c>
      <c r="Q253">
        <f t="shared" si="960"/>
        <v>0</v>
      </c>
      <c r="R253">
        <f t="shared" si="961"/>
        <v>0</v>
      </c>
      <c r="S253">
        <f t="shared" si="962"/>
        <v>0</v>
      </c>
      <c r="T253">
        <f t="shared" si="963"/>
        <v>0</v>
      </c>
    </row>
    <row r="254" spans="1:20" x14ac:dyDescent="0.25">
      <c r="A254" s="5"/>
      <c r="B254" s="1"/>
      <c r="C254" s="2"/>
      <c r="D254" s="2"/>
      <c r="E254" s="1"/>
      <c r="F254" s="1"/>
      <c r="P254">
        <f t="shared" si="959"/>
        <v>0</v>
      </c>
      <c r="Q254">
        <f t="shared" si="960"/>
        <v>0</v>
      </c>
      <c r="R254">
        <f t="shared" si="961"/>
        <v>0</v>
      </c>
      <c r="S254">
        <f t="shared" si="962"/>
        <v>0</v>
      </c>
      <c r="T254">
        <f t="shared" si="963"/>
        <v>0</v>
      </c>
    </row>
    <row r="255" spans="1:20" x14ac:dyDescent="0.25">
      <c r="A255" s="5"/>
      <c r="B255" s="1"/>
      <c r="C255" s="2"/>
      <c r="D255" s="2"/>
      <c r="E255" s="1"/>
      <c r="F255" s="1"/>
      <c r="P255">
        <f t="shared" si="959"/>
        <v>0</v>
      </c>
      <c r="Q255">
        <f t="shared" si="960"/>
        <v>0</v>
      </c>
      <c r="R255">
        <f t="shared" si="961"/>
        <v>0</v>
      </c>
      <c r="S255">
        <f t="shared" si="962"/>
        <v>0</v>
      </c>
      <c r="T255">
        <f t="shared" si="963"/>
        <v>0</v>
      </c>
    </row>
    <row r="256" spans="1:20" x14ac:dyDescent="0.25">
      <c r="A256" s="5"/>
      <c r="B256" s="1"/>
      <c r="C256" s="2"/>
      <c r="D256" s="2"/>
      <c r="E256" s="1"/>
      <c r="F256" s="1"/>
      <c r="P256">
        <f t="shared" si="959"/>
        <v>0</v>
      </c>
      <c r="Q256">
        <f t="shared" si="960"/>
        <v>0</v>
      </c>
      <c r="R256">
        <f t="shared" si="961"/>
        <v>0</v>
      </c>
      <c r="S256">
        <f t="shared" si="962"/>
        <v>0</v>
      </c>
      <c r="T256">
        <f t="shared" si="963"/>
        <v>0</v>
      </c>
    </row>
    <row r="257" spans="1:20" x14ac:dyDescent="0.25">
      <c r="A257" s="5"/>
      <c r="B257" s="1"/>
      <c r="C257" s="2"/>
      <c r="D257" s="2"/>
      <c r="E257" s="1"/>
      <c r="F257" s="1"/>
      <c r="P257">
        <f t="shared" si="959"/>
        <v>0</v>
      </c>
      <c r="Q257">
        <f t="shared" si="960"/>
        <v>0</v>
      </c>
      <c r="R257">
        <f t="shared" si="961"/>
        <v>0</v>
      </c>
      <c r="S257">
        <f t="shared" si="962"/>
        <v>0</v>
      </c>
      <c r="T257">
        <f t="shared" si="963"/>
        <v>0</v>
      </c>
    </row>
    <row r="258" spans="1:20" x14ac:dyDescent="0.25">
      <c r="A258" s="5"/>
      <c r="B258" s="1"/>
      <c r="C258" s="2"/>
      <c r="D258" s="2"/>
      <c r="E258" s="1"/>
      <c r="F258" s="1"/>
      <c r="P258">
        <f t="shared" si="959"/>
        <v>0</v>
      </c>
      <c r="Q258">
        <f t="shared" si="960"/>
        <v>0</v>
      </c>
      <c r="R258">
        <f t="shared" si="961"/>
        <v>0</v>
      </c>
      <c r="S258">
        <f t="shared" si="962"/>
        <v>0</v>
      </c>
      <c r="T258">
        <f t="shared" si="963"/>
        <v>0</v>
      </c>
    </row>
    <row r="259" spans="1:20" x14ac:dyDescent="0.25">
      <c r="A259" s="5"/>
      <c r="B259" s="1"/>
      <c r="C259" s="2"/>
      <c r="D259" s="2"/>
      <c r="E259" s="1"/>
      <c r="F259" s="1"/>
      <c r="P259">
        <f t="shared" si="959"/>
        <v>0</v>
      </c>
      <c r="Q259">
        <f t="shared" si="960"/>
        <v>0</v>
      </c>
      <c r="R259">
        <f t="shared" si="961"/>
        <v>0</v>
      </c>
      <c r="S259">
        <f t="shared" si="962"/>
        <v>0</v>
      </c>
      <c r="T259">
        <f t="shared" si="963"/>
        <v>0</v>
      </c>
    </row>
    <row r="260" spans="1:20" x14ac:dyDescent="0.25">
      <c r="A260" s="5"/>
      <c r="B260" s="1"/>
      <c r="C260" s="2"/>
      <c r="D260" s="2"/>
      <c r="E260" s="1"/>
      <c r="F260" s="1"/>
      <c r="P260">
        <f t="shared" si="959"/>
        <v>0</v>
      </c>
      <c r="Q260">
        <f t="shared" si="960"/>
        <v>0</v>
      </c>
      <c r="R260">
        <f t="shared" si="961"/>
        <v>0</v>
      </c>
      <c r="S260">
        <f t="shared" si="962"/>
        <v>0</v>
      </c>
      <c r="T260">
        <f t="shared" si="963"/>
        <v>0</v>
      </c>
    </row>
    <row r="261" spans="1:20" x14ac:dyDescent="0.25">
      <c r="A261" s="5"/>
      <c r="B261" s="1"/>
      <c r="C261" s="2"/>
      <c r="D261" s="2"/>
      <c r="E261" s="1"/>
      <c r="F261" s="1"/>
      <c r="P261">
        <f t="shared" si="959"/>
        <v>0</v>
      </c>
      <c r="Q261">
        <f t="shared" si="960"/>
        <v>0</v>
      </c>
      <c r="R261">
        <f t="shared" si="961"/>
        <v>0</v>
      </c>
      <c r="S261">
        <f t="shared" si="962"/>
        <v>0</v>
      </c>
      <c r="T261">
        <f t="shared" si="963"/>
        <v>0</v>
      </c>
    </row>
    <row r="262" spans="1:20" x14ac:dyDescent="0.25">
      <c r="A262" s="5"/>
      <c r="B262" s="1"/>
      <c r="C262" s="2"/>
      <c r="D262" s="2"/>
      <c r="E262" s="1"/>
      <c r="F262" s="1"/>
      <c r="P262">
        <f t="shared" ref="P262:P325" si="964">IF(C262=D262,0,((E262-D262)-(C262-E262))/(C262-D262))</f>
        <v>0</v>
      </c>
      <c r="Q262">
        <f t="shared" ref="Q262:Q325" si="965">F262*P262</f>
        <v>0</v>
      </c>
      <c r="R262">
        <f t="shared" ref="R262:R325" si="966">R263+Q262</f>
        <v>0</v>
      </c>
      <c r="S262">
        <f t="shared" ref="S262:S325" si="967">R262/100000</f>
        <v>0</v>
      </c>
      <c r="T262">
        <f t="shared" ref="T262:T325" si="968">S262/1000</f>
        <v>0</v>
      </c>
    </row>
    <row r="263" spans="1:20" x14ac:dyDescent="0.25">
      <c r="A263" s="5"/>
      <c r="B263" s="1"/>
      <c r="C263" s="2"/>
      <c r="D263" s="2"/>
      <c r="E263" s="1"/>
      <c r="F263" s="1"/>
      <c r="P263">
        <f t="shared" si="964"/>
        <v>0</v>
      </c>
      <c r="Q263">
        <f t="shared" si="965"/>
        <v>0</v>
      </c>
      <c r="R263">
        <f t="shared" si="966"/>
        <v>0</v>
      </c>
      <c r="S263">
        <f t="shared" si="967"/>
        <v>0</v>
      </c>
      <c r="T263">
        <f t="shared" si="968"/>
        <v>0</v>
      </c>
    </row>
    <row r="264" spans="1:20" x14ac:dyDescent="0.25">
      <c r="A264" s="5"/>
      <c r="B264" s="1"/>
      <c r="C264" s="2"/>
      <c r="D264" s="2"/>
      <c r="E264" s="1"/>
      <c r="F264" s="1"/>
      <c r="P264">
        <f t="shared" si="964"/>
        <v>0</v>
      </c>
      <c r="Q264">
        <f t="shared" si="965"/>
        <v>0</v>
      </c>
      <c r="R264">
        <f t="shared" si="966"/>
        <v>0</v>
      </c>
      <c r="S264">
        <f t="shared" si="967"/>
        <v>0</v>
      </c>
      <c r="T264">
        <f t="shared" si="968"/>
        <v>0</v>
      </c>
    </row>
    <row r="265" spans="1:20" x14ac:dyDescent="0.25">
      <c r="A265" s="5"/>
      <c r="B265" s="1"/>
      <c r="C265" s="2"/>
      <c r="D265" s="2"/>
      <c r="E265" s="1"/>
      <c r="F265" s="1"/>
      <c r="P265">
        <f t="shared" si="964"/>
        <v>0</v>
      </c>
      <c r="Q265">
        <f t="shared" si="965"/>
        <v>0</v>
      </c>
      <c r="R265">
        <f t="shared" si="966"/>
        <v>0</v>
      </c>
      <c r="S265">
        <f t="shared" si="967"/>
        <v>0</v>
      </c>
      <c r="T265">
        <f t="shared" si="968"/>
        <v>0</v>
      </c>
    </row>
    <row r="266" spans="1:20" x14ac:dyDescent="0.25">
      <c r="A266" s="5"/>
      <c r="B266" s="1"/>
      <c r="C266" s="2"/>
      <c r="D266" s="2"/>
      <c r="E266" s="1"/>
      <c r="F266" s="1"/>
      <c r="P266">
        <f t="shared" si="964"/>
        <v>0</v>
      </c>
      <c r="Q266">
        <f t="shared" si="965"/>
        <v>0</v>
      </c>
      <c r="R266">
        <f t="shared" si="966"/>
        <v>0</v>
      </c>
      <c r="S266">
        <f t="shared" si="967"/>
        <v>0</v>
      </c>
      <c r="T266">
        <f t="shared" si="968"/>
        <v>0</v>
      </c>
    </row>
    <row r="267" spans="1:20" x14ac:dyDescent="0.25">
      <c r="A267" s="5"/>
      <c r="B267" s="1"/>
      <c r="C267" s="2"/>
      <c r="D267" s="2"/>
      <c r="E267" s="1"/>
      <c r="F267" s="1"/>
      <c r="P267">
        <f t="shared" si="964"/>
        <v>0</v>
      </c>
      <c r="Q267">
        <f t="shared" si="965"/>
        <v>0</v>
      </c>
      <c r="R267">
        <f t="shared" si="966"/>
        <v>0</v>
      </c>
      <c r="S267">
        <f t="shared" si="967"/>
        <v>0</v>
      </c>
      <c r="T267">
        <f t="shared" si="968"/>
        <v>0</v>
      </c>
    </row>
    <row r="268" spans="1:20" x14ac:dyDescent="0.25">
      <c r="A268" s="5"/>
      <c r="B268" s="1"/>
      <c r="C268" s="2"/>
      <c r="D268" s="2"/>
      <c r="E268" s="1"/>
      <c r="F268" s="1"/>
      <c r="P268">
        <f t="shared" si="964"/>
        <v>0</v>
      </c>
      <c r="Q268">
        <f t="shared" si="965"/>
        <v>0</v>
      </c>
      <c r="R268">
        <f t="shared" si="966"/>
        <v>0</v>
      </c>
      <c r="S268">
        <f t="shared" si="967"/>
        <v>0</v>
      </c>
      <c r="T268">
        <f t="shared" si="968"/>
        <v>0</v>
      </c>
    </row>
    <row r="269" spans="1:20" x14ac:dyDescent="0.25">
      <c r="A269" s="5"/>
      <c r="B269" s="1"/>
      <c r="C269" s="2"/>
      <c r="D269" s="2"/>
      <c r="E269" s="1"/>
      <c r="F269" s="1"/>
      <c r="P269">
        <f t="shared" si="964"/>
        <v>0</v>
      </c>
      <c r="Q269">
        <f t="shared" si="965"/>
        <v>0</v>
      </c>
      <c r="R269">
        <f t="shared" si="966"/>
        <v>0</v>
      </c>
      <c r="S269">
        <f t="shared" si="967"/>
        <v>0</v>
      </c>
      <c r="T269">
        <f t="shared" si="968"/>
        <v>0</v>
      </c>
    </row>
    <row r="270" spans="1:20" x14ac:dyDescent="0.25">
      <c r="A270" s="5"/>
      <c r="B270" s="1"/>
      <c r="C270" s="2"/>
      <c r="D270" s="2"/>
      <c r="E270" s="1"/>
      <c r="F270" s="1"/>
      <c r="P270">
        <f t="shared" si="964"/>
        <v>0</v>
      </c>
      <c r="Q270">
        <f t="shared" si="965"/>
        <v>0</v>
      </c>
      <c r="R270">
        <f t="shared" si="966"/>
        <v>0</v>
      </c>
      <c r="S270">
        <f t="shared" si="967"/>
        <v>0</v>
      </c>
      <c r="T270">
        <f t="shared" si="968"/>
        <v>0</v>
      </c>
    </row>
    <row r="271" spans="1:20" x14ac:dyDescent="0.25">
      <c r="A271" s="5"/>
      <c r="B271" s="1"/>
      <c r="C271" s="2"/>
      <c r="D271" s="2"/>
      <c r="E271" s="1"/>
      <c r="F271" s="1"/>
      <c r="P271">
        <f t="shared" si="964"/>
        <v>0</v>
      </c>
      <c r="Q271">
        <f t="shared" si="965"/>
        <v>0</v>
      </c>
      <c r="R271">
        <f t="shared" si="966"/>
        <v>0</v>
      </c>
      <c r="S271">
        <f t="shared" si="967"/>
        <v>0</v>
      </c>
      <c r="T271">
        <f t="shared" si="968"/>
        <v>0</v>
      </c>
    </row>
    <row r="272" spans="1:20" x14ac:dyDescent="0.25">
      <c r="A272" s="5"/>
      <c r="B272" s="1"/>
      <c r="C272" s="2"/>
      <c r="D272" s="2"/>
      <c r="E272" s="1"/>
      <c r="F272" s="1"/>
      <c r="P272">
        <f t="shared" si="964"/>
        <v>0</v>
      </c>
      <c r="Q272">
        <f t="shared" si="965"/>
        <v>0</v>
      </c>
      <c r="R272">
        <f t="shared" si="966"/>
        <v>0</v>
      </c>
      <c r="S272">
        <f t="shared" si="967"/>
        <v>0</v>
      </c>
      <c r="T272">
        <f t="shared" si="968"/>
        <v>0</v>
      </c>
    </row>
    <row r="273" spans="1:20" x14ac:dyDescent="0.25">
      <c r="A273" s="5"/>
      <c r="B273" s="1"/>
      <c r="C273" s="2"/>
      <c r="D273" s="2"/>
      <c r="E273" s="1"/>
      <c r="F273" s="1"/>
      <c r="P273">
        <f t="shared" si="964"/>
        <v>0</v>
      </c>
      <c r="Q273">
        <f t="shared" si="965"/>
        <v>0</v>
      </c>
      <c r="R273">
        <f t="shared" si="966"/>
        <v>0</v>
      </c>
      <c r="S273">
        <f t="shared" si="967"/>
        <v>0</v>
      </c>
      <c r="T273">
        <f t="shared" si="968"/>
        <v>0</v>
      </c>
    </row>
    <row r="274" spans="1:20" x14ac:dyDescent="0.25">
      <c r="A274" s="5"/>
      <c r="B274" s="1"/>
      <c r="C274" s="2"/>
      <c r="D274" s="2"/>
      <c r="E274" s="1"/>
      <c r="F274" s="1"/>
      <c r="P274">
        <f t="shared" si="964"/>
        <v>0</v>
      </c>
      <c r="Q274">
        <f t="shared" si="965"/>
        <v>0</v>
      </c>
      <c r="R274">
        <f t="shared" si="966"/>
        <v>0</v>
      </c>
      <c r="S274">
        <f t="shared" si="967"/>
        <v>0</v>
      </c>
      <c r="T274">
        <f t="shared" si="968"/>
        <v>0</v>
      </c>
    </row>
    <row r="275" spans="1:20" x14ac:dyDescent="0.25">
      <c r="A275" s="5"/>
      <c r="B275" s="1"/>
      <c r="C275" s="2"/>
      <c r="D275" s="2"/>
      <c r="E275" s="1"/>
      <c r="F275" s="1"/>
      <c r="P275">
        <f t="shared" si="964"/>
        <v>0</v>
      </c>
      <c r="Q275">
        <f t="shared" si="965"/>
        <v>0</v>
      </c>
      <c r="R275">
        <f t="shared" si="966"/>
        <v>0</v>
      </c>
      <c r="S275">
        <f t="shared" si="967"/>
        <v>0</v>
      </c>
      <c r="T275">
        <f t="shared" si="968"/>
        <v>0</v>
      </c>
    </row>
    <row r="276" spans="1:20" x14ac:dyDescent="0.25">
      <c r="A276" s="5"/>
      <c r="B276" s="1"/>
      <c r="C276" s="2"/>
      <c r="D276" s="2"/>
      <c r="E276" s="1"/>
      <c r="F276" s="1"/>
      <c r="P276">
        <f t="shared" si="964"/>
        <v>0</v>
      </c>
      <c r="Q276">
        <f t="shared" si="965"/>
        <v>0</v>
      </c>
      <c r="R276">
        <f t="shared" si="966"/>
        <v>0</v>
      </c>
      <c r="S276">
        <f t="shared" si="967"/>
        <v>0</v>
      </c>
      <c r="T276">
        <f t="shared" si="968"/>
        <v>0</v>
      </c>
    </row>
    <row r="277" spans="1:20" x14ac:dyDescent="0.25">
      <c r="A277" s="5"/>
      <c r="B277" s="1"/>
      <c r="C277" s="2"/>
      <c r="D277" s="2"/>
      <c r="E277" s="1"/>
      <c r="F277" s="1"/>
      <c r="P277">
        <f t="shared" si="964"/>
        <v>0</v>
      </c>
      <c r="Q277">
        <f t="shared" si="965"/>
        <v>0</v>
      </c>
      <c r="R277">
        <f t="shared" si="966"/>
        <v>0</v>
      </c>
      <c r="S277">
        <f t="shared" si="967"/>
        <v>0</v>
      </c>
      <c r="T277">
        <f t="shared" si="968"/>
        <v>0</v>
      </c>
    </row>
    <row r="278" spans="1:20" x14ac:dyDescent="0.25">
      <c r="A278" s="5"/>
      <c r="B278" s="1"/>
      <c r="C278" s="2"/>
      <c r="D278" s="2"/>
      <c r="E278" s="1"/>
      <c r="F278" s="1"/>
      <c r="P278">
        <f t="shared" si="964"/>
        <v>0</v>
      </c>
      <c r="Q278">
        <f t="shared" si="965"/>
        <v>0</v>
      </c>
      <c r="R278">
        <f t="shared" si="966"/>
        <v>0</v>
      </c>
      <c r="S278">
        <f t="shared" si="967"/>
        <v>0</v>
      </c>
      <c r="T278">
        <f t="shared" si="968"/>
        <v>0</v>
      </c>
    </row>
    <row r="279" spans="1:20" x14ac:dyDescent="0.25">
      <c r="A279" s="5"/>
      <c r="B279" s="1"/>
      <c r="C279" s="2"/>
      <c r="D279" s="2"/>
      <c r="E279" s="1"/>
      <c r="F279" s="1"/>
      <c r="P279">
        <f t="shared" si="964"/>
        <v>0</v>
      </c>
      <c r="Q279">
        <f t="shared" si="965"/>
        <v>0</v>
      </c>
      <c r="R279">
        <f t="shared" si="966"/>
        <v>0</v>
      </c>
      <c r="S279">
        <f t="shared" si="967"/>
        <v>0</v>
      </c>
      <c r="T279">
        <f t="shared" si="968"/>
        <v>0</v>
      </c>
    </row>
    <row r="280" spans="1:20" x14ac:dyDescent="0.25">
      <c r="A280" s="5"/>
      <c r="B280" s="1"/>
      <c r="C280" s="2"/>
      <c r="D280" s="2"/>
      <c r="E280" s="1"/>
      <c r="F280" s="1"/>
      <c r="P280">
        <f t="shared" si="964"/>
        <v>0</v>
      </c>
      <c r="Q280">
        <f t="shared" si="965"/>
        <v>0</v>
      </c>
      <c r="R280">
        <f t="shared" si="966"/>
        <v>0</v>
      </c>
      <c r="S280">
        <f t="shared" si="967"/>
        <v>0</v>
      </c>
      <c r="T280">
        <f t="shared" si="968"/>
        <v>0</v>
      </c>
    </row>
    <row r="281" spans="1:20" x14ac:dyDescent="0.25">
      <c r="A281" s="5"/>
      <c r="B281" s="1"/>
      <c r="C281" s="2"/>
      <c r="D281" s="2"/>
      <c r="E281" s="1"/>
      <c r="F281" s="1"/>
      <c r="P281">
        <f t="shared" si="964"/>
        <v>0</v>
      </c>
      <c r="Q281">
        <f t="shared" si="965"/>
        <v>0</v>
      </c>
      <c r="R281">
        <f t="shared" si="966"/>
        <v>0</v>
      </c>
      <c r="S281">
        <f t="shared" si="967"/>
        <v>0</v>
      </c>
      <c r="T281">
        <f t="shared" si="968"/>
        <v>0</v>
      </c>
    </row>
    <row r="282" spans="1:20" x14ac:dyDescent="0.25">
      <c r="A282" s="5"/>
      <c r="B282" s="1"/>
      <c r="C282" s="2"/>
      <c r="D282" s="2"/>
      <c r="E282" s="1"/>
      <c r="F282" s="1"/>
      <c r="P282">
        <f t="shared" si="964"/>
        <v>0</v>
      </c>
      <c r="Q282">
        <f t="shared" si="965"/>
        <v>0</v>
      </c>
      <c r="R282">
        <f t="shared" si="966"/>
        <v>0</v>
      </c>
      <c r="S282">
        <f t="shared" si="967"/>
        <v>0</v>
      </c>
      <c r="T282">
        <f t="shared" si="968"/>
        <v>0</v>
      </c>
    </row>
    <row r="283" spans="1:20" x14ac:dyDescent="0.25">
      <c r="A283" s="5"/>
      <c r="B283" s="1"/>
      <c r="C283" s="2"/>
      <c r="D283" s="2"/>
      <c r="E283" s="1"/>
      <c r="F283" s="1"/>
      <c r="P283">
        <f t="shared" si="964"/>
        <v>0</v>
      </c>
      <c r="Q283">
        <f t="shared" si="965"/>
        <v>0</v>
      </c>
      <c r="R283">
        <f t="shared" si="966"/>
        <v>0</v>
      </c>
      <c r="S283">
        <f t="shared" si="967"/>
        <v>0</v>
      </c>
      <c r="T283">
        <f t="shared" si="968"/>
        <v>0</v>
      </c>
    </row>
    <row r="284" spans="1:20" x14ac:dyDescent="0.25">
      <c r="A284" s="5"/>
      <c r="B284" s="1"/>
      <c r="C284" s="2"/>
      <c r="D284" s="2"/>
      <c r="E284" s="1"/>
      <c r="F284" s="1"/>
      <c r="P284">
        <f t="shared" si="964"/>
        <v>0</v>
      </c>
      <c r="Q284">
        <f t="shared" si="965"/>
        <v>0</v>
      </c>
      <c r="R284">
        <f t="shared" si="966"/>
        <v>0</v>
      </c>
      <c r="S284">
        <f t="shared" si="967"/>
        <v>0</v>
      </c>
      <c r="T284">
        <f t="shared" si="968"/>
        <v>0</v>
      </c>
    </row>
    <row r="285" spans="1:20" x14ac:dyDescent="0.25">
      <c r="A285" s="5"/>
      <c r="B285" s="1"/>
      <c r="C285" s="2"/>
      <c r="D285" s="2"/>
      <c r="E285" s="1"/>
      <c r="F285" s="1"/>
      <c r="P285">
        <f t="shared" si="964"/>
        <v>0</v>
      </c>
      <c r="Q285">
        <f t="shared" si="965"/>
        <v>0</v>
      </c>
      <c r="R285">
        <f t="shared" si="966"/>
        <v>0</v>
      </c>
      <c r="S285">
        <f t="shared" si="967"/>
        <v>0</v>
      </c>
      <c r="T285">
        <f t="shared" si="968"/>
        <v>0</v>
      </c>
    </row>
    <row r="286" spans="1:20" x14ac:dyDescent="0.25">
      <c r="A286" s="5"/>
      <c r="B286" s="1"/>
      <c r="C286" s="2"/>
      <c r="D286" s="2"/>
      <c r="E286" s="1"/>
      <c r="F286" s="1"/>
      <c r="P286">
        <f t="shared" si="964"/>
        <v>0</v>
      </c>
      <c r="Q286">
        <f t="shared" si="965"/>
        <v>0</v>
      </c>
      <c r="R286">
        <f t="shared" si="966"/>
        <v>0</v>
      </c>
      <c r="S286">
        <f t="shared" si="967"/>
        <v>0</v>
      </c>
      <c r="T286">
        <f t="shared" si="968"/>
        <v>0</v>
      </c>
    </row>
    <row r="287" spans="1:20" x14ac:dyDescent="0.25">
      <c r="A287" s="5"/>
      <c r="B287" s="1"/>
      <c r="C287" s="2"/>
      <c r="D287" s="2"/>
      <c r="E287" s="1"/>
      <c r="F287" s="1"/>
      <c r="P287">
        <f t="shared" si="964"/>
        <v>0</v>
      </c>
      <c r="Q287">
        <f t="shared" si="965"/>
        <v>0</v>
      </c>
      <c r="R287">
        <f t="shared" si="966"/>
        <v>0</v>
      </c>
      <c r="S287">
        <f t="shared" si="967"/>
        <v>0</v>
      </c>
      <c r="T287">
        <f t="shared" si="968"/>
        <v>0</v>
      </c>
    </row>
    <row r="288" spans="1:20" x14ac:dyDescent="0.25">
      <c r="A288" s="5"/>
      <c r="B288" s="1"/>
      <c r="C288" s="2"/>
      <c r="D288" s="2"/>
      <c r="E288" s="1"/>
      <c r="F288" s="1"/>
      <c r="P288">
        <f t="shared" si="964"/>
        <v>0</v>
      </c>
      <c r="Q288">
        <f t="shared" si="965"/>
        <v>0</v>
      </c>
      <c r="R288">
        <f t="shared" si="966"/>
        <v>0</v>
      </c>
      <c r="S288">
        <f t="shared" si="967"/>
        <v>0</v>
      </c>
      <c r="T288">
        <f t="shared" si="968"/>
        <v>0</v>
      </c>
    </row>
    <row r="289" spans="1:20" x14ac:dyDescent="0.25">
      <c r="A289" s="5"/>
      <c r="B289" s="1"/>
      <c r="C289" s="2"/>
      <c r="D289" s="2"/>
      <c r="E289" s="1"/>
      <c r="F289" s="1"/>
      <c r="P289">
        <f t="shared" si="964"/>
        <v>0</v>
      </c>
      <c r="Q289">
        <f t="shared" si="965"/>
        <v>0</v>
      </c>
      <c r="R289">
        <f t="shared" si="966"/>
        <v>0</v>
      </c>
      <c r="S289">
        <f t="shared" si="967"/>
        <v>0</v>
      </c>
      <c r="T289">
        <f t="shared" si="968"/>
        <v>0</v>
      </c>
    </row>
    <row r="290" spans="1:20" x14ac:dyDescent="0.25">
      <c r="A290" s="5"/>
      <c r="B290" s="1"/>
      <c r="C290" s="2"/>
      <c r="D290" s="2"/>
      <c r="E290" s="1"/>
      <c r="F290" s="1"/>
      <c r="P290">
        <f t="shared" si="964"/>
        <v>0</v>
      </c>
      <c r="Q290">
        <f t="shared" si="965"/>
        <v>0</v>
      </c>
      <c r="R290">
        <f t="shared" si="966"/>
        <v>0</v>
      </c>
      <c r="S290">
        <f t="shared" si="967"/>
        <v>0</v>
      </c>
      <c r="T290">
        <f t="shared" si="968"/>
        <v>0</v>
      </c>
    </row>
    <row r="291" spans="1:20" x14ac:dyDescent="0.25">
      <c r="A291" s="5"/>
      <c r="B291" s="1"/>
      <c r="C291" s="2"/>
      <c r="D291" s="2"/>
      <c r="E291" s="1"/>
      <c r="F291" s="1"/>
      <c r="P291">
        <f t="shared" si="964"/>
        <v>0</v>
      </c>
      <c r="Q291">
        <f t="shared" si="965"/>
        <v>0</v>
      </c>
      <c r="R291">
        <f t="shared" si="966"/>
        <v>0</v>
      </c>
      <c r="S291">
        <f t="shared" si="967"/>
        <v>0</v>
      </c>
      <c r="T291">
        <f t="shared" si="968"/>
        <v>0</v>
      </c>
    </row>
    <row r="292" spans="1:20" x14ac:dyDescent="0.25">
      <c r="A292" s="5"/>
      <c r="B292" s="1"/>
      <c r="C292" s="2"/>
      <c r="D292" s="2"/>
      <c r="E292" s="1"/>
      <c r="F292" s="1"/>
      <c r="P292">
        <f t="shared" si="964"/>
        <v>0</v>
      </c>
      <c r="Q292">
        <f t="shared" si="965"/>
        <v>0</v>
      </c>
      <c r="R292">
        <f t="shared" si="966"/>
        <v>0</v>
      </c>
      <c r="S292">
        <f t="shared" si="967"/>
        <v>0</v>
      </c>
      <c r="T292">
        <f t="shared" si="968"/>
        <v>0</v>
      </c>
    </row>
    <row r="293" spans="1:20" x14ac:dyDescent="0.25">
      <c r="A293" s="5"/>
      <c r="B293" s="1"/>
      <c r="C293" s="2"/>
      <c r="D293" s="2"/>
      <c r="E293" s="1"/>
      <c r="F293" s="1"/>
      <c r="P293">
        <f t="shared" si="964"/>
        <v>0</v>
      </c>
      <c r="Q293">
        <f t="shared" si="965"/>
        <v>0</v>
      </c>
      <c r="R293">
        <f t="shared" si="966"/>
        <v>0</v>
      </c>
      <c r="S293">
        <f t="shared" si="967"/>
        <v>0</v>
      </c>
      <c r="T293">
        <f t="shared" si="968"/>
        <v>0</v>
      </c>
    </row>
    <row r="294" spans="1:20" x14ac:dyDescent="0.25">
      <c r="A294" s="5"/>
      <c r="B294" s="1"/>
      <c r="C294" s="2"/>
      <c r="D294" s="2"/>
      <c r="E294" s="1"/>
      <c r="F294" s="1"/>
      <c r="P294">
        <f t="shared" si="964"/>
        <v>0</v>
      </c>
      <c r="Q294">
        <f t="shared" si="965"/>
        <v>0</v>
      </c>
      <c r="R294">
        <f t="shared" si="966"/>
        <v>0</v>
      </c>
      <c r="S294">
        <f t="shared" si="967"/>
        <v>0</v>
      </c>
      <c r="T294">
        <f t="shared" si="968"/>
        <v>0</v>
      </c>
    </row>
    <row r="295" spans="1:20" x14ac:dyDescent="0.25">
      <c r="A295" s="5"/>
      <c r="B295" s="1"/>
      <c r="C295" s="2"/>
      <c r="D295" s="2"/>
      <c r="E295" s="1"/>
      <c r="F295" s="1"/>
      <c r="P295">
        <f t="shared" si="964"/>
        <v>0</v>
      </c>
      <c r="Q295">
        <f t="shared" si="965"/>
        <v>0</v>
      </c>
      <c r="R295">
        <f t="shared" si="966"/>
        <v>0</v>
      </c>
      <c r="S295">
        <f t="shared" si="967"/>
        <v>0</v>
      </c>
      <c r="T295">
        <f t="shared" si="968"/>
        <v>0</v>
      </c>
    </row>
    <row r="296" spans="1:20" x14ac:dyDescent="0.25">
      <c r="A296" s="5"/>
      <c r="B296" s="1"/>
      <c r="C296" s="2"/>
      <c r="D296" s="2"/>
      <c r="E296" s="1"/>
      <c r="F296" s="1"/>
      <c r="P296">
        <f t="shared" si="964"/>
        <v>0</v>
      </c>
      <c r="Q296">
        <f t="shared" si="965"/>
        <v>0</v>
      </c>
      <c r="R296">
        <f t="shared" si="966"/>
        <v>0</v>
      </c>
      <c r="S296">
        <f t="shared" si="967"/>
        <v>0</v>
      </c>
      <c r="T296">
        <f t="shared" si="968"/>
        <v>0</v>
      </c>
    </row>
    <row r="297" spans="1:20" x14ac:dyDescent="0.25">
      <c r="A297" s="5"/>
      <c r="B297" s="1"/>
      <c r="C297" s="2"/>
      <c r="D297" s="2"/>
      <c r="E297" s="1"/>
      <c r="F297" s="1"/>
      <c r="P297">
        <f t="shared" si="964"/>
        <v>0</v>
      </c>
      <c r="Q297">
        <f t="shared" si="965"/>
        <v>0</v>
      </c>
      <c r="R297">
        <f t="shared" si="966"/>
        <v>0</v>
      </c>
      <c r="S297">
        <f t="shared" si="967"/>
        <v>0</v>
      </c>
      <c r="T297">
        <f t="shared" si="968"/>
        <v>0</v>
      </c>
    </row>
    <row r="298" spans="1:20" x14ac:dyDescent="0.25">
      <c r="A298" s="5"/>
      <c r="B298" s="1"/>
      <c r="C298" s="2"/>
      <c r="D298" s="2"/>
      <c r="E298" s="1"/>
      <c r="F298" s="1"/>
      <c r="P298">
        <f t="shared" si="964"/>
        <v>0</v>
      </c>
      <c r="Q298">
        <f t="shared" si="965"/>
        <v>0</v>
      </c>
      <c r="R298">
        <f t="shared" si="966"/>
        <v>0</v>
      </c>
      <c r="S298">
        <f t="shared" si="967"/>
        <v>0</v>
      </c>
      <c r="T298">
        <f t="shared" si="968"/>
        <v>0</v>
      </c>
    </row>
    <row r="299" spans="1:20" x14ac:dyDescent="0.25">
      <c r="A299" s="5"/>
      <c r="B299" s="1"/>
      <c r="C299" s="2"/>
      <c r="D299" s="2"/>
      <c r="E299" s="1"/>
      <c r="F299" s="1"/>
      <c r="P299">
        <f t="shared" si="964"/>
        <v>0</v>
      </c>
      <c r="Q299">
        <f t="shared" si="965"/>
        <v>0</v>
      </c>
      <c r="R299">
        <f t="shared" si="966"/>
        <v>0</v>
      </c>
      <c r="S299">
        <f t="shared" si="967"/>
        <v>0</v>
      </c>
      <c r="T299">
        <f t="shared" si="968"/>
        <v>0</v>
      </c>
    </row>
    <row r="300" spans="1:20" x14ac:dyDescent="0.25">
      <c r="A300" s="5"/>
      <c r="B300" s="1"/>
      <c r="C300" s="2"/>
      <c r="D300" s="2"/>
      <c r="E300" s="1"/>
      <c r="F300" s="1"/>
      <c r="P300">
        <f t="shared" si="964"/>
        <v>0</v>
      </c>
      <c r="Q300">
        <f t="shared" si="965"/>
        <v>0</v>
      </c>
      <c r="R300">
        <f t="shared" si="966"/>
        <v>0</v>
      </c>
      <c r="S300">
        <f t="shared" si="967"/>
        <v>0</v>
      </c>
      <c r="T300">
        <f t="shared" si="968"/>
        <v>0</v>
      </c>
    </row>
    <row r="301" spans="1:20" x14ac:dyDescent="0.25">
      <c r="A301" s="5"/>
      <c r="B301" s="1"/>
      <c r="C301" s="2"/>
      <c r="D301" s="2"/>
      <c r="E301" s="1"/>
      <c r="F301" s="1"/>
      <c r="P301">
        <f t="shared" si="964"/>
        <v>0</v>
      </c>
      <c r="Q301">
        <f t="shared" si="965"/>
        <v>0</v>
      </c>
      <c r="R301">
        <f t="shared" si="966"/>
        <v>0</v>
      </c>
      <c r="S301">
        <f t="shared" si="967"/>
        <v>0</v>
      </c>
      <c r="T301">
        <f t="shared" si="968"/>
        <v>0</v>
      </c>
    </row>
    <row r="302" spans="1:20" x14ac:dyDescent="0.25">
      <c r="A302" s="5"/>
      <c r="B302" s="1"/>
      <c r="C302" s="2"/>
      <c r="D302" s="2"/>
      <c r="E302" s="1"/>
      <c r="F302" s="1"/>
      <c r="P302">
        <f t="shared" si="964"/>
        <v>0</v>
      </c>
      <c r="Q302">
        <f t="shared" si="965"/>
        <v>0</v>
      </c>
      <c r="R302">
        <f t="shared" si="966"/>
        <v>0</v>
      </c>
      <c r="S302">
        <f t="shared" si="967"/>
        <v>0</v>
      </c>
      <c r="T302">
        <f t="shared" si="968"/>
        <v>0</v>
      </c>
    </row>
    <row r="303" spans="1:20" x14ac:dyDescent="0.25">
      <c r="A303" s="5"/>
      <c r="B303" s="1"/>
      <c r="C303" s="2"/>
      <c r="D303" s="2"/>
      <c r="E303" s="1"/>
      <c r="F303" s="1"/>
      <c r="P303">
        <f t="shared" si="964"/>
        <v>0</v>
      </c>
      <c r="Q303">
        <f t="shared" si="965"/>
        <v>0</v>
      </c>
      <c r="R303">
        <f t="shared" si="966"/>
        <v>0</v>
      </c>
      <c r="S303">
        <f t="shared" si="967"/>
        <v>0</v>
      </c>
      <c r="T303">
        <f t="shared" si="968"/>
        <v>0</v>
      </c>
    </row>
    <row r="304" spans="1:20" x14ac:dyDescent="0.25">
      <c r="A304" s="5"/>
      <c r="B304" s="1"/>
      <c r="C304" s="2"/>
      <c r="D304" s="2"/>
      <c r="E304" s="1"/>
      <c r="F304" s="1"/>
      <c r="P304">
        <f t="shared" si="964"/>
        <v>0</v>
      </c>
      <c r="Q304">
        <f t="shared" si="965"/>
        <v>0</v>
      </c>
      <c r="R304">
        <f t="shared" si="966"/>
        <v>0</v>
      </c>
      <c r="S304">
        <f t="shared" si="967"/>
        <v>0</v>
      </c>
      <c r="T304">
        <f t="shared" si="968"/>
        <v>0</v>
      </c>
    </row>
    <row r="305" spans="1:20" x14ac:dyDescent="0.25">
      <c r="A305" s="5"/>
      <c r="B305" s="1"/>
      <c r="C305" s="2"/>
      <c r="D305" s="2"/>
      <c r="E305" s="1"/>
      <c r="F305" s="1"/>
      <c r="P305">
        <f t="shared" si="964"/>
        <v>0</v>
      </c>
      <c r="Q305">
        <f t="shared" si="965"/>
        <v>0</v>
      </c>
      <c r="R305">
        <f t="shared" si="966"/>
        <v>0</v>
      </c>
      <c r="S305">
        <f t="shared" si="967"/>
        <v>0</v>
      </c>
      <c r="T305">
        <f t="shared" si="968"/>
        <v>0</v>
      </c>
    </row>
    <row r="306" spans="1:20" x14ac:dyDescent="0.25">
      <c r="A306" s="5"/>
      <c r="B306" s="1"/>
      <c r="C306" s="2"/>
      <c r="D306" s="2"/>
      <c r="E306" s="1"/>
      <c r="F306" s="1"/>
      <c r="P306">
        <f t="shared" si="964"/>
        <v>0</v>
      </c>
      <c r="Q306">
        <f t="shared" si="965"/>
        <v>0</v>
      </c>
      <c r="R306">
        <f t="shared" si="966"/>
        <v>0</v>
      </c>
      <c r="S306">
        <f t="shared" si="967"/>
        <v>0</v>
      </c>
      <c r="T306">
        <f t="shared" si="968"/>
        <v>0</v>
      </c>
    </row>
    <row r="307" spans="1:20" x14ac:dyDescent="0.25">
      <c r="A307" s="5"/>
      <c r="B307" s="1"/>
      <c r="C307" s="2"/>
      <c r="D307" s="2"/>
      <c r="E307" s="1"/>
      <c r="F307" s="1"/>
      <c r="P307">
        <f t="shared" si="964"/>
        <v>0</v>
      </c>
      <c r="Q307">
        <f t="shared" si="965"/>
        <v>0</v>
      </c>
      <c r="R307">
        <f t="shared" si="966"/>
        <v>0</v>
      </c>
      <c r="S307">
        <f t="shared" si="967"/>
        <v>0</v>
      </c>
      <c r="T307">
        <f t="shared" si="968"/>
        <v>0</v>
      </c>
    </row>
    <row r="308" spans="1:20" x14ac:dyDescent="0.25">
      <c r="A308" s="5"/>
      <c r="B308" s="1"/>
      <c r="C308" s="2"/>
      <c r="D308" s="2"/>
      <c r="E308" s="1"/>
      <c r="F308" s="1"/>
      <c r="P308">
        <f t="shared" si="964"/>
        <v>0</v>
      </c>
      <c r="Q308">
        <f t="shared" si="965"/>
        <v>0</v>
      </c>
      <c r="R308">
        <f t="shared" si="966"/>
        <v>0</v>
      </c>
      <c r="S308">
        <f t="shared" si="967"/>
        <v>0</v>
      </c>
      <c r="T308">
        <f t="shared" si="968"/>
        <v>0</v>
      </c>
    </row>
    <row r="309" spans="1:20" x14ac:dyDescent="0.25">
      <c r="A309" s="5"/>
      <c r="B309" s="1"/>
      <c r="C309" s="2"/>
      <c r="D309" s="2"/>
      <c r="E309" s="1"/>
      <c r="F309" s="1"/>
      <c r="P309">
        <f t="shared" si="964"/>
        <v>0</v>
      </c>
      <c r="Q309">
        <f t="shared" si="965"/>
        <v>0</v>
      </c>
      <c r="R309">
        <f t="shared" si="966"/>
        <v>0</v>
      </c>
      <c r="S309">
        <f t="shared" si="967"/>
        <v>0</v>
      </c>
      <c r="T309">
        <f t="shared" si="968"/>
        <v>0</v>
      </c>
    </row>
    <row r="310" spans="1:20" x14ac:dyDescent="0.25">
      <c r="A310" s="5"/>
      <c r="B310" s="1"/>
      <c r="C310" s="2"/>
      <c r="D310" s="2"/>
      <c r="E310" s="1"/>
      <c r="F310" s="1"/>
      <c r="P310">
        <f t="shared" si="964"/>
        <v>0</v>
      </c>
      <c r="Q310">
        <f t="shared" si="965"/>
        <v>0</v>
      </c>
      <c r="R310">
        <f t="shared" si="966"/>
        <v>0</v>
      </c>
      <c r="S310">
        <f t="shared" si="967"/>
        <v>0</v>
      </c>
      <c r="T310">
        <f t="shared" si="968"/>
        <v>0</v>
      </c>
    </row>
    <row r="311" spans="1:20" x14ac:dyDescent="0.25">
      <c r="A311" s="5"/>
      <c r="B311" s="1"/>
      <c r="C311" s="2"/>
      <c r="D311" s="2"/>
      <c r="E311" s="1"/>
      <c r="F311" s="1"/>
      <c r="P311">
        <f t="shared" si="964"/>
        <v>0</v>
      </c>
      <c r="Q311">
        <f t="shared" si="965"/>
        <v>0</v>
      </c>
      <c r="R311">
        <f t="shared" si="966"/>
        <v>0</v>
      </c>
      <c r="S311">
        <f t="shared" si="967"/>
        <v>0</v>
      </c>
      <c r="T311">
        <f t="shared" si="968"/>
        <v>0</v>
      </c>
    </row>
    <row r="312" spans="1:20" x14ac:dyDescent="0.25">
      <c r="A312" s="5"/>
      <c r="B312" s="1"/>
      <c r="C312" s="2"/>
      <c r="D312" s="2"/>
      <c r="E312" s="1"/>
      <c r="F312" s="1"/>
      <c r="P312">
        <f t="shared" si="964"/>
        <v>0</v>
      </c>
      <c r="Q312">
        <f t="shared" si="965"/>
        <v>0</v>
      </c>
      <c r="R312">
        <f t="shared" si="966"/>
        <v>0</v>
      </c>
      <c r="S312">
        <f t="shared" si="967"/>
        <v>0</v>
      </c>
      <c r="T312">
        <f t="shared" si="968"/>
        <v>0</v>
      </c>
    </row>
    <row r="313" spans="1:20" x14ac:dyDescent="0.25">
      <c r="A313" s="5"/>
      <c r="B313" s="1"/>
      <c r="C313" s="2"/>
      <c r="D313" s="2"/>
      <c r="E313" s="1"/>
      <c r="F313" s="1"/>
      <c r="P313">
        <f t="shared" si="964"/>
        <v>0</v>
      </c>
      <c r="Q313">
        <f t="shared" si="965"/>
        <v>0</v>
      </c>
      <c r="R313">
        <f t="shared" si="966"/>
        <v>0</v>
      </c>
      <c r="S313">
        <f t="shared" si="967"/>
        <v>0</v>
      </c>
      <c r="T313">
        <f t="shared" si="968"/>
        <v>0</v>
      </c>
    </row>
    <row r="314" spans="1:20" x14ac:dyDescent="0.25">
      <c r="A314" s="5"/>
      <c r="P314">
        <f t="shared" si="964"/>
        <v>0</v>
      </c>
      <c r="Q314">
        <f t="shared" si="965"/>
        <v>0</v>
      </c>
      <c r="R314">
        <f t="shared" si="966"/>
        <v>0</v>
      </c>
      <c r="S314">
        <f t="shared" si="967"/>
        <v>0</v>
      </c>
      <c r="T314">
        <f t="shared" si="968"/>
        <v>0</v>
      </c>
    </row>
    <row r="315" spans="1:20" x14ac:dyDescent="0.25">
      <c r="A315" s="5"/>
      <c r="P315">
        <f t="shared" si="964"/>
        <v>0</v>
      </c>
      <c r="Q315">
        <f t="shared" si="965"/>
        <v>0</v>
      </c>
      <c r="R315">
        <f t="shared" si="966"/>
        <v>0</v>
      </c>
      <c r="S315">
        <f t="shared" si="967"/>
        <v>0</v>
      </c>
      <c r="T315">
        <f t="shared" si="968"/>
        <v>0</v>
      </c>
    </row>
    <row r="316" spans="1:20" x14ac:dyDescent="0.25">
      <c r="A316" s="5"/>
      <c r="P316">
        <f t="shared" si="964"/>
        <v>0</v>
      </c>
      <c r="Q316">
        <f t="shared" si="965"/>
        <v>0</v>
      </c>
      <c r="R316">
        <f t="shared" si="966"/>
        <v>0</v>
      </c>
      <c r="S316">
        <f t="shared" si="967"/>
        <v>0</v>
      </c>
      <c r="T316">
        <f t="shared" si="968"/>
        <v>0</v>
      </c>
    </row>
    <row r="317" spans="1:20" x14ac:dyDescent="0.25">
      <c r="A317" s="5"/>
      <c r="P317">
        <f t="shared" si="964"/>
        <v>0</v>
      </c>
      <c r="Q317">
        <f t="shared" si="965"/>
        <v>0</v>
      </c>
      <c r="R317">
        <f t="shared" si="966"/>
        <v>0</v>
      </c>
      <c r="S317">
        <f t="shared" si="967"/>
        <v>0</v>
      </c>
      <c r="T317">
        <f t="shared" si="968"/>
        <v>0</v>
      </c>
    </row>
    <row r="318" spans="1:20" x14ac:dyDescent="0.25">
      <c r="A318" s="5"/>
      <c r="P318">
        <f t="shared" si="964"/>
        <v>0</v>
      </c>
      <c r="Q318">
        <f t="shared" si="965"/>
        <v>0</v>
      </c>
      <c r="R318">
        <f t="shared" si="966"/>
        <v>0</v>
      </c>
      <c r="S318">
        <f t="shared" si="967"/>
        <v>0</v>
      </c>
      <c r="T318">
        <f t="shared" si="968"/>
        <v>0</v>
      </c>
    </row>
    <row r="319" spans="1:20" x14ac:dyDescent="0.25">
      <c r="A319" s="5"/>
      <c r="P319">
        <f t="shared" si="964"/>
        <v>0</v>
      </c>
      <c r="Q319">
        <f t="shared" si="965"/>
        <v>0</v>
      </c>
      <c r="R319">
        <f t="shared" si="966"/>
        <v>0</v>
      </c>
      <c r="S319">
        <f t="shared" si="967"/>
        <v>0</v>
      </c>
      <c r="T319">
        <f t="shared" si="968"/>
        <v>0</v>
      </c>
    </row>
    <row r="320" spans="1:20" x14ac:dyDescent="0.25">
      <c r="A320" s="5"/>
      <c r="P320">
        <f t="shared" si="964"/>
        <v>0</v>
      </c>
      <c r="Q320">
        <f t="shared" si="965"/>
        <v>0</v>
      </c>
      <c r="R320">
        <f t="shared" si="966"/>
        <v>0</v>
      </c>
      <c r="S320">
        <f t="shared" si="967"/>
        <v>0</v>
      </c>
      <c r="T320">
        <f t="shared" si="968"/>
        <v>0</v>
      </c>
    </row>
    <row r="321" spans="1:20" x14ac:dyDescent="0.25">
      <c r="A321" s="5"/>
      <c r="P321">
        <f t="shared" si="964"/>
        <v>0</v>
      </c>
      <c r="Q321">
        <f t="shared" si="965"/>
        <v>0</v>
      </c>
      <c r="R321">
        <f t="shared" si="966"/>
        <v>0</v>
      </c>
      <c r="S321">
        <f t="shared" si="967"/>
        <v>0</v>
      </c>
      <c r="T321">
        <f t="shared" si="968"/>
        <v>0</v>
      </c>
    </row>
    <row r="322" spans="1:20" x14ac:dyDescent="0.25">
      <c r="A322" s="5"/>
      <c r="P322">
        <f t="shared" si="964"/>
        <v>0</v>
      </c>
      <c r="Q322">
        <f t="shared" si="965"/>
        <v>0</v>
      </c>
      <c r="R322">
        <f t="shared" si="966"/>
        <v>0</v>
      </c>
      <c r="S322">
        <f t="shared" si="967"/>
        <v>0</v>
      </c>
      <c r="T322">
        <f t="shared" si="968"/>
        <v>0</v>
      </c>
    </row>
    <row r="323" spans="1:20" x14ac:dyDescent="0.25">
      <c r="A323" s="5"/>
      <c r="P323">
        <f t="shared" si="964"/>
        <v>0</v>
      </c>
      <c r="Q323">
        <f t="shared" si="965"/>
        <v>0</v>
      </c>
      <c r="R323">
        <f t="shared" si="966"/>
        <v>0</v>
      </c>
      <c r="S323">
        <f t="shared" si="967"/>
        <v>0</v>
      </c>
      <c r="T323">
        <f t="shared" si="968"/>
        <v>0</v>
      </c>
    </row>
    <row r="324" spans="1:20" x14ac:dyDescent="0.25">
      <c r="A324" s="5"/>
      <c r="P324">
        <f t="shared" si="964"/>
        <v>0</v>
      </c>
      <c r="Q324">
        <f t="shared" si="965"/>
        <v>0</v>
      </c>
      <c r="R324">
        <f t="shared" si="966"/>
        <v>0</v>
      </c>
      <c r="S324">
        <f t="shared" si="967"/>
        <v>0</v>
      </c>
      <c r="T324">
        <f t="shared" si="968"/>
        <v>0</v>
      </c>
    </row>
    <row r="325" spans="1:20" x14ac:dyDescent="0.25">
      <c r="A325" s="5"/>
      <c r="C325"/>
      <c r="D325"/>
      <c r="P325">
        <f t="shared" si="964"/>
        <v>0</v>
      </c>
      <c r="Q325">
        <f t="shared" si="965"/>
        <v>0</v>
      </c>
      <c r="R325">
        <f t="shared" si="966"/>
        <v>0</v>
      </c>
      <c r="S325">
        <f t="shared" si="967"/>
        <v>0</v>
      </c>
      <c r="T325">
        <f t="shared" si="968"/>
        <v>0</v>
      </c>
    </row>
    <row r="326" spans="1:20" x14ac:dyDescent="0.25">
      <c r="A326" s="5"/>
      <c r="C326"/>
      <c r="D326"/>
      <c r="P326">
        <f t="shared" ref="P326:P389" si="969">IF(C326=D326,0,((E326-D326)-(C326-E326))/(C326-D326))</f>
        <v>0</v>
      </c>
      <c r="Q326">
        <f t="shared" ref="Q326:Q389" si="970">F326*P326</f>
        <v>0</v>
      </c>
      <c r="R326">
        <f t="shared" ref="R326:R389" si="971">R327+Q326</f>
        <v>0</v>
      </c>
      <c r="S326">
        <f t="shared" ref="S326:S389" si="972">R326/100000</f>
        <v>0</v>
      </c>
      <c r="T326">
        <f t="shared" ref="T326:T389" si="973">S326/1000</f>
        <v>0</v>
      </c>
    </row>
    <row r="327" spans="1:20" x14ac:dyDescent="0.25">
      <c r="A327" s="5"/>
      <c r="C327"/>
      <c r="D327"/>
      <c r="P327">
        <f t="shared" si="969"/>
        <v>0</v>
      </c>
      <c r="Q327">
        <f t="shared" si="970"/>
        <v>0</v>
      </c>
      <c r="R327">
        <f t="shared" si="971"/>
        <v>0</v>
      </c>
      <c r="S327">
        <f t="shared" si="972"/>
        <v>0</v>
      </c>
      <c r="T327">
        <f t="shared" si="973"/>
        <v>0</v>
      </c>
    </row>
    <row r="328" spans="1:20" x14ac:dyDescent="0.25">
      <c r="A328" s="5"/>
      <c r="C328"/>
      <c r="D328"/>
      <c r="P328">
        <f t="shared" si="969"/>
        <v>0</v>
      </c>
      <c r="Q328">
        <f t="shared" si="970"/>
        <v>0</v>
      </c>
      <c r="R328">
        <f t="shared" si="971"/>
        <v>0</v>
      </c>
      <c r="S328">
        <f t="shared" si="972"/>
        <v>0</v>
      </c>
      <c r="T328">
        <f t="shared" si="973"/>
        <v>0</v>
      </c>
    </row>
    <row r="329" spans="1:20" x14ac:dyDescent="0.25">
      <c r="A329" s="5"/>
      <c r="C329"/>
      <c r="D329"/>
      <c r="P329">
        <f t="shared" si="969"/>
        <v>0</v>
      </c>
      <c r="Q329">
        <f t="shared" si="970"/>
        <v>0</v>
      </c>
      <c r="R329">
        <f t="shared" si="971"/>
        <v>0</v>
      </c>
      <c r="S329">
        <f t="shared" si="972"/>
        <v>0</v>
      </c>
      <c r="T329">
        <f t="shared" si="973"/>
        <v>0</v>
      </c>
    </row>
    <row r="330" spans="1:20" x14ac:dyDescent="0.25">
      <c r="A330" s="5"/>
      <c r="C330"/>
      <c r="D330"/>
      <c r="P330">
        <f t="shared" si="969"/>
        <v>0</v>
      </c>
      <c r="Q330">
        <f t="shared" si="970"/>
        <v>0</v>
      </c>
      <c r="R330">
        <f t="shared" si="971"/>
        <v>0</v>
      </c>
      <c r="S330">
        <f t="shared" si="972"/>
        <v>0</v>
      </c>
      <c r="T330">
        <f t="shared" si="973"/>
        <v>0</v>
      </c>
    </row>
    <row r="331" spans="1:20" x14ac:dyDescent="0.25">
      <c r="A331" s="5"/>
      <c r="C331"/>
      <c r="D331"/>
      <c r="P331">
        <f t="shared" si="969"/>
        <v>0</v>
      </c>
      <c r="Q331">
        <f t="shared" si="970"/>
        <v>0</v>
      </c>
      <c r="R331">
        <f t="shared" si="971"/>
        <v>0</v>
      </c>
      <c r="S331">
        <f t="shared" si="972"/>
        <v>0</v>
      </c>
      <c r="T331">
        <f t="shared" si="973"/>
        <v>0</v>
      </c>
    </row>
    <row r="332" spans="1:20" x14ac:dyDescent="0.25">
      <c r="A332" s="5"/>
      <c r="C332"/>
      <c r="D332"/>
      <c r="P332">
        <f t="shared" si="969"/>
        <v>0</v>
      </c>
      <c r="Q332">
        <f t="shared" si="970"/>
        <v>0</v>
      </c>
      <c r="R332">
        <f t="shared" si="971"/>
        <v>0</v>
      </c>
      <c r="S332">
        <f t="shared" si="972"/>
        <v>0</v>
      </c>
      <c r="T332">
        <f t="shared" si="973"/>
        <v>0</v>
      </c>
    </row>
    <row r="333" spans="1:20" x14ac:dyDescent="0.25">
      <c r="A333" s="5"/>
      <c r="C333"/>
      <c r="D333"/>
      <c r="P333">
        <f t="shared" si="969"/>
        <v>0</v>
      </c>
      <c r="Q333">
        <f t="shared" si="970"/>
        <v>0</v>
      </c>
      <c r="R333">
        <f t="shared" si="971"/>
        <v>0</v>
      </c>
      <c r="S333">
        <f t="shared" si="972"/>
        <v>0</v>
      </c>
      <c r="T333">
        <f t="shared" si="973"/>
        <v>0</v>
      </c>
    </row>
    <row r="334" spans="1:20" x14ac:dyDescent="0.25">
      <c r="A334" s="5"/>
      <c r="C334"/>
      <c r="D334"/>
      <c r="P334">
        <f t="shared" si="969"/>
        <v>0</v>
      </c>
      <c r="Q334">
        <f t="shared" si="970"/>
        <v>0</v>
      </c>
      <c r="R334">
        <f t="shared" si="971"/>
        <v>0</v>
      </c>
      <c r="S334">
        <f t="shared" si="972"/>
        <v>0</v>
      </c>
      <c r="T334">
        <f t="shared" si="973"/>
        <v>0</v>
      </c>
    </row>
    <row r="335" spans="1:20" x14ac:dyDescent="0.25">
      <c r="A335" s="5"/>
      <c r="C335"/>
      <c r="D335"/>
      <c r="P335">
        <f t="shared" si="969"/>
        <v>0</v>
      </c>
      <c r="Q335">
        <f t="shared" si="970"/>
        <v>0</v>
      </c>
      <c r="R335">
        <f t="shared" si="971"/>
        <v>0</v>
      </c>
      <c r="S335">
        <f t="shared" si="972"/>
        <v>0</v>
      </c>
      <c r="T335">
        <f t="shared" si="973"/>
        <v>0</v>
      </c>
    </row>
    <row r="336" spans="1:20" x14ac:dyDescent="0.25">
      <c r="A336" s="5"/>
      <c r="C336"/>
      <c r="D336"/>
      <c r="P336">
        <f t="shared" si="969"/>
        <v>0</v>
      </c>
      <c r="Q336">
        <f t="shared" si="970"/>
        <v>0</v>
      </c>
      <c r="R336">
        <f t="shared" si="971"/>
        <v>0</v>
      </c>
      <c r="S336">
        <f t="shared" si="972"/>
        <v>0</v>
      </c>
      <c r="T336">
        <f t="shared" si="973"/>
        <v>0</v>
      </c>
    </row>
    <row r="337" spans="1:20" x14ac:dyDescent="0.25">
      <c r="A337" s="5"/>
      <c r="C337"/>
      <c r="D337"/>
      <c r="P337">
        <f t="shared" si="969"/>
        <v>0</v>
      </c>
      <c r="Q337">
        <f t="shared" si="970"/>
        <v>0</v>
      </c>
      <c r="R337">
        <f t="shared" si="971"/>
        <v>0</v>
      </c>
      <c r="S337">
        <f t="shared" si="972"/>
        <v>0</v>
      </c>
      <c r="T337">
        <f t="shared" si="973"/>
        <v>0</v>
      </c>
    </row>
    <row r="338" spans="1:20" x14ac:dyDescent="0.25">
      <c r="A338" s="5"/>
      <c r="C338"/>
      <c r="D338"/>
      <c r="P338">
        <f t="shared" si="969"/>
        <v>0</v>
      </c>
      <c r="Q338">
        <f t="shared" si="970"/>
        <v>0</v>
      </c>
      <c r="R338">
        <f t="shared" si="971"/>
        <v>0</v>
      </c>
      <c r="S338">
        <f t="shared" si="972"/>
        <v>0</v>
      </c>
      <c r="T338">
        <f t="shared" si="973"/>
        <v>0</v>
      </c>
    </row>
    <row r="339" spans="1:20" x14ac:dyDescent="0.25">
      <c r="A339" s="5"/>
      <c r="C339"/>
      <c r="D339"/>
      <c r="P339">
        <f t="shared" si="969"/>
        <v>0</v>
      </c>
      <c r="Q339">
        <f t="shared" si="970"/>
        <v>0</v>
      </c>
      <c r="R339">
        <f t="shared" si="971"/>
        <v>0</v>
      </c>
      <c r="S339">
        <f t="shared" si="972"/>
        <v>0</v>
      </c>
      <c r="T339">
        <f t="shared" si="973"/>
        <v>0</v>
      </c>
    </row>
    <row r="340" spans="1:20" x14ac:dyDescent="0.25">
      <c r="A340" s="5"/>
      <c r="C340"/>
      <c r="D340"/>
      <c r="P340">
        <f t="shared" si="969"/>
        <v>0</v>
      </c>
      <c r="Q340">
        <f t="shared" si="970"/>
        <v>0</v>
      </c>
      <c r="R340">
        <f t="shared" si="971"/>
        <v>0</v>
      </c>
      <c r="S340">
        <f t="shared" si="972"/>
        <v>0</v>
      </c>
      <c r="T340">
        <f t="shared" si="973"/>
        <v>0</v>
      </c>
    </row>
    <row r="341" spans="1:20" x14ac:dyDescent="0.25">
      <c r="A341" s="5"/>
      <c r="C341"/>
      <c r="D341"/>
      <c r="P341">
        <f t="shared" si="969"/>
        <v>0</v>
      </c>
      <c r="Q341">
        <f t="shared" si="970"/>
        <v>0</v>
      </c>
      <c r="R341">
        <f t="shared" si="971"/>
        <v>0</v>
      </c>
      <c r="S341">
        <f t="shared" si="972"/>
        <v>0</v>
      </c>
      <c r="T341">
        <f t="shared" si="973"/>
        <v>0</v>
      </c>
    </row>
    <row r="342" spans="1:20" x14ac:dyDescent="0.25">
      <c r="A342" s="5"/>
      <c r="C342"/>
      <c r="D342"/>
      <c r="P342">
        <f t="shared" si="969"/>
        <v>0</v>
      </c>
      <c r="Q342">
        <f t="shared" si="970"/>
        <v>0</v>
      </c>
      <c r="R342">
        <f t="shared" si="971"/>
        <v>0</v>
      </c>
      <c r="S342">
        <f t="shared" si="972"/>
        <v>0</v>
      </c>
      <c r="T342">
        <f t="shared" si="973"/>
        <v>0</v>
      </c>
    </row>
    <row r="343" spans="1:20" x14ac:dyDescent="0.25">
      <c r="A343" s="5"/>
      <c r="C343"/>
      <c r="D343"/>
      <c r="P343">
        <f t="shared" si="969"/>
        <v>0</v>
      </c>
      <c r="Q343">
        <f t="shared" si="970"/>
        <v>0</v>
      </c>
      <c r="R343">
        <f t="shared" si="971"/>
        <v>0</v>
      </c>
      <c r="S343">
        <f t="shared" si="972"/>
        <v>0</v>
      </c>
      <c r="T343">
        <f t="shared" si="973"/>
        <v>0</v>
      </c>
    </row>
    <row r="344" spans="1:20" x14ac:dyDescent="0.25">
      <c r="A344" s="5"/>
      <c r="C344"/>
      <c r="D344"/>
      <c r="P344">
        <f t="shared" si="969"/>
        <v>0</v>
      </c>
      <c r="Q344">
        <f t="shared" si="970"/>
        <v>0</v>
      </c>
      <c r="R344">
        <f t="shared" si="971"/>
        <v>0</v>
      </c>
      <c r="S344">
        <f t="shared" si="972"/>
        <v>0</v>
      </c>
      <c r="T344">
        <f t="shared" si="973"/>
        <v>0</v>
      </c>
    </row>
    <row r="345" spans="1:20" x14ac:dyDescent="0.25">
      <c r="A345" s="5"/>
      <c r="C345"/>
      <c r="D345"/>
      <c r="P345">
        <f t="shared" si="969"/>
        <v>0</v>
      </c>
      <c r="Q345">
        <f t="shared" si="970"/>
        <v>0</v>
      </c>
      <c r="R345">
        <f t="shared" si="971"/>
        <v>0</v>
      </c>
      <c r="S345">
        <f t="shared" si="972"/>
        <v>0</v>
      </c>
      <c r="T345">
        <f t="shared" si="973"/>
        <v>0</v>
      </c>
    </row>
    <row r="346" spans="1:20" x14ac:dyDescent="0.25">
      <c r="A346" s="5"/>
      <c r="C346"/>
      <c r="D346"/>
      <c r="P346">
        <f t="shared" si="969"/>
        <v>0</v>
      </c>
      <c r="Q346">
        <f t="shared" si="970"/>
        <v>0</v>
      </c>
      <c r="R346">
        <f t="shared" si="971"/>
        <v>0</v>
      </c>
      <c r="S346">
        <f t="shared" si="972"/>
        <v>0</v>
      </c>
      <c r="T346">
        <f t="shared" si="973"/>
        <v>0</v>
      </c>
    </row>
    <row r="347" spans="1:20" x14ac:dyDescent="0.25">
      <c r="A347" s="5"/>
      <c r="C347"/>
      <c r="D347"/>
      <c r="P347">
        <f t="shared" si="969"/>
        <v>0</v>
      </c>
      <c r="Q347">
        <f t="shared" si="970"/>
        <v>0</v>
      </c>
      <c r="R347">
        <f t="shared" si="971"/>
        <v>0</v>
      </c>
      <c r="S347">
        <f t="shared" si="972"/>
        <v>0</v>
      </c>
      <c r="T347">
        <f t="shared" si="973"/>
        <v>0</v>
      </c>
    </row>
    <row r="348" spans="1:20" x14ac:dyDescent="0.25">
      <c r="A348" s="5"/>
      <c r="C348"/>
      <c r="D348"/>
      <c r="P348">
        <f t="shared" si="969"/>
        <v>0</v>
      </c>
      <c r="Q348">
        <f t="shared" si="970"/>
        <v>0</v>
      </c>
      <c r="R348">
        <f t="shared" si="971"/>
        <v>0</v>
      </c>
      <c r="S348">
        <f t="shared" si="972"/>
        <v>0</v>
      </c>
      <c r="T348">
        <f t="shared" si="973"/>
        <v>0</v>
      </c>
    </row>
    <row r="349" spans="1:20" x14ac:dyDescent="0.25">
      <c r="A349" s="5"/>
      <c r="C349"/>
      <c r="D349"/>
      <c r="P349">
        <f t="shared" si="969"/>
        <v>0</v>
      </c>
      <c r="Q349">
        <f t="shared" si="970"/>
        <v>0</v>
      </c>
      <c r="R349">
        <f t="shared" si="971"/>
        <v>0</v>
      </c>
      <c r="S349">
        <f t="shared" si="972"/>
        <v>0</v>
      </c>
      <c r="T349">
        <f t="shared" si="973"/>
        <v>0</v>
      </c>
    </row>
    <row r="350" spans="1:20" x14ac:dyDescent="0.25">
      <c r="A350" s="5"/>
      <c r="C350"/>
      <c r="D350"/>
      <c r="P350">
        <f t="shared" si="969"/>
        <v>0</v>
      </c>
      <c r="Q350">
        <f t="shared" si="970"/>
        <v>0</v>
      </c>
      <c r="R350">
        <f t="shared" si="971"/>
        <v>0</v>
      </c>
      <c r="S350">
        <f t="shared" si="972"/>
        <v>0</v>
      </c>
      <c r="T350">
        <f t="shared" si="973"/>
        <v>0</v>
      </c>
    </row>
    <row r="351" spans="1:20" x14ac:dyDescent="0.25">
      <c r="A351" s="5"/>
      <c r="C351"/>
      <c r="D351"/>
      <c r="P351">
        <f t="shared" si="969"/>
        <v>0</v>
      </c>
      <c r="Q351">
        <f t="shared" si="970"/>
        <v>0</v>
      </c>
      <c r="R351">
        <f t="shared" si="971"/>
        <v>0</v>
      </c>
      <c r="S351">
        <f t="shared" si="972"/>
        <v>0</v>
      </c>
      <c r="T351">
        <f t="shared" si="973"/>
        <v>0</v>
      </c>
    </row>
    <row r="352" spans="1:20" x14ac:dyDescent="0.25">
      <c r="A352" s="5"/>
      <c r="C352"/>
      <c r="D352"/>
      <c r="P352">
        <f t="shared" si="969"/>
        <v>0</v>
      </c>
      <c r="Q352">
        <f t="shared" si="970"/>
        <v>0</v>
      </c>
      <c r="R352">
        <f t="shared" si="971"/>
        <v>0</v>
      </c>
      <c r="S352">
        <f t="shared" si="972"/>
        <v>0</v>
      </c>
      <c r="T352">
        <f t="shared" si="973"/>
        <v>0</v>
      </c>
    </row>
    <row r="353" spans="1:20" x14ac:dyDescent="0.25">
      <c r="A353" s="5"/>
      <c r="C353"/>
      <c r="D353"/>
      <c r="P353">
        <f t="shared" si="969"/>
        <v>0</v>
      </c>
      <c r="Q353">
        <f t="shared" si="970"/>
        <v>0</v>
      </c>
      <c r="R353">
        <f t="shared" si="971"/>
        <v>0</v>
      </c>
      <c r="S353">
        <f t="shared" si="972"/>
        <v>0</v>
      </c>
      <c r="T353">
        <f t="shared" si="973"/>
        <v>0</v>
      </c>
    </row>
    <row r="354" spans="1:20" x14ac:dyDescent="0.25">
      <c r="A354" s="5"/>
      <c r="C354"/>
      <c r="D354"/>
      <c r="P354">
        <f t="shared" si="969"/>
        <v>0</v>
      </c>
      <c r="Q354">
        <f t="shared" si="970"/>
        <v>0</v>
      </c>
      <c r="R354">
        <f t="shared" si="971"/>
        <v>0</v>
      </c>
      <c r="S354">
        <f t="shared" si="972"/>
        <v>0</v>
      </c>
      <c r="T354">
        <f t="shared" si="973"/>
        <v>0</v>
      </c>
    </row>
    <row r="355" spans="1:20" x14ac:dyDescent="0.25">
      <c r="A355" s="5"/>
      <c r="C355"/>
      <c r="D355"/>
      <c r="P355">
        <f t="shared" si="969"/>
        <v>0</v>
      </c>
      <c r="Q355">
        <f t="shared" si="970"/>
        <v>0</v>
      </c>
      <c r="R355">
        <f t="shared" si="971"/>
        <v>0</v>
      </c>
      <c r="S355">
        <f t="shared" si="972"/>
        <v>0</v>
      </c>
      <c r="T355">
        <f t="shared" si="973"/>
        <v>0</v>
      </c>
    </row>
    <row r="356" spans="1:20" x14ac:dyDescent="0.25">
      <c r="A356" s="5"/>
      <c r="C356"/>
      <c r="D356"/>
      <c r="P356">
        <f t="shared" si="969"/>
        <v>0</v>
      </c>
      <c r="Q356">
        <f t="shared" si="970"/>
        <v>0</v>
      </c>
      <c r="R356">
        <f t="shared" si="971"/>
        <v>0</v>
      </c>
      <c r="S356">
        <f t="shared" si="972"/>
        <v>0</v>
      </c>
      <c r="T356">
        <f t="shared" si="973"/>
        <v>0</v>
      </c>
    </row>
    <row r="357" spans="1:20" x14ac:dyDescent="0.25">
      <c r="A357" s="5"/>
      <c r="C357"/>
      <c r="D357"/>
      <c r="P357">
        <f t="shared" si="969"/>
        <v>0</v>
      </c>
      <c r="Q357">
        <f t="shared" si="970"/>
        <v>0</v>
      </c>
      <c r="R357">
        <f t="shared" si="971"/>
        <v>0</v>
      </c>
      <c r="S357">
        <f t="shared" si="972"/>
        <v>0</v>
      </c>
      <c r="T357">
        <f t="shared" si="973"/>
        <v>0</v>
      </c>
    </row>
    <row r="358" spans="1:20" x14ac:dyDescent="0.25">
      <c r="A358" s="5"/>
      <c r="C358"/>
      <c r="D358"/>
      <c r="P358">
        <f t="shared" si="969"/>
        <v>0</v>
      </c>
      <c r="Q358">
        <f t="shared" si="970"/>
        <v>0</v>
      </c>
      <c r="R358">
        <f t="shared" si="971"/>
        <v>0</v>
      </c>
      <c r="S358">
        <f t="shared" si="972"/>
        <v>0</v>
      </c>
      <c r="T358">
        <f t="shared" si="973"/>
        <v>0</v>
      </c>
    </row>
    <row r="359" spans="1:20" x14ac:dyDescent="0.25">
      <c r="A359" s="5"/>
      <c r="C359"/>
      <c r="D359"/>
      <c r="P359">
        <f t="shared" si="969"/>
        <v>0</v>
      </c>
      <c r="Q359">
        <f t="shared" si="970"/>
        <v>0</v>
      </c>
      <c r="R359">
        <f t="shared" si="971"/>
        <v>0</v>
      </c>
      <c r="S359">
        <f t="shared" si="972"/>
        <v>0</v>
      </c>
      <c r="T359">
        <f t="shared" si="973"/>
        <v>0</v>
      </c>
    </row>
    <row r="360" spans="1:20" x14ac:dyDescent="0.25">
      <c r="A360" s="5"/>
      <c r="C360"/>
      <c r="D360"/>
      <c r="P360">
        <f t="shared" si="969"/>
        <v>0</v>
      </c>
      <c r="Q360">
        <f t="shared" si="970"/>
        <v>0</v>
      </c>
      <c r="R360">
        <f t="shared" si="971"/>
        <v>0</v>
      </c>
      <c r="S360">
        <f t="shared" si="972"/>
        <v>0</v>
      </c>
      <c r="T360">
        <f t="shared" si="973"/>
        <v>0</v>
      </c>
    </row>
    <row r="361" spans="1:20" x14ac:dyDescent="0.25">
      <c r="A361" s="5"/>
      <c r="C361"/>
      <c r="D361"/>
      <c r="P361">
        <f t="shared" si="969"/>
        <v>0</v>
      </c>
      <c r="Q361">
        <f t="shared" si="970"/>
        <v>0</v>
      </c>
      <c r="R361">
        <f t="shared" si="971"/>
        <v>0</v>
      </c>
      <c r="S361">
        <f t="shared" si="972"/>
        <v>0</v>
      </c>
      <c r="T361">
        <f t="shared" si="973"/>
        <v>0</v>
      </c>
    </row>
    <row r="362" spans="1:20" x14ac:dyDescent="0.25">
      <c r="A362" s="5"/>
      <c r="C362"/>
      <c r="D362"/>
      <c r="P362">
        <f t="shared" si="969"/>
        <v>0</v>
      </c>
      <c r="Q362">
        <f t="shared" si="970"/>
        <v>0</v>
      </c>
      <c r="R362">
        <f t="shared" si="971"/>
        <v>0</v>
      </c>
      <c r="S362">
        <f t="shared" si="972"/>
        <v>0</v>
      </c>
      <c r="T362">
        <f t="shared" si="973"/>
        <v>0</v>
      </c>
    </row>
    <row r="363" spans="1:20" x14ac:dyDescent="0.25">
      <c r="A363" s="5"/>
      <c r="C363"/>
      <c r="D363"/>
      <c r="P363">
        <f t="shared" si="969"/>
        <v>0</v>
      </c>
      <c r="Q363">
        <f t="shared" si="970"/>
        <v>0</v>
      </c>
      <c r="R363">
        <f t="shared" si="971"/>
        <v>0</v>
      </c>
      <c r="S363">
        <f t="shared" si="972"/>
        <v>0</v>
      </c>
      <c r="T363">
        <f t="shared" si="973"/>
        <v>0</v>
      </c>
    </row>
    <row r="364" spans="1:20" x14ac:dyDescent="0.25">
      <c r="A364" s="5"/>
      <c r="C364"/>
      <c r="D364"/>
      <c r="P364">
        <f t="shared" si="969"/>
        <v>0</v>
      </c>
      <c r="Q364">
        <f t="shared" si="970"/>
        <v>0</v>
      </c>
      <c r="R364">
        <f t="shared" si="971"/>
        <v>0</v>
      </c>
      <c r="S364">
        <f t="shared" si="972"/>
        <v>0</v>
      </c>
      <c r="T364">
        <f t="shared" si="973"/>
        <v>0</v>
      </c>
    </row>
    <row r="365" spans="1:20" x14ac:dyDescent="0.25">
      <c r="A365" s="5"/>
      <c r="C365"/>
      <c r="D365"/>
      <c r="P365">
        <f t="shared" si="969"/>
        <v>0</v>
      </c>
      <c r="Q365">
        <f t="shared" si="970"/>
        <v>0</v>
      </c>
      <c r="R365">
        <f t="shared" si="971"/>
        <v>0</v>
      </c>
      <c r="S365">
        <f t="shared" si="972"/>
        <v>0</v>
      </c>
      <c r="T365">
        <f t="shared" si="973"/>
        <v>0</v>
      </c>
    </row>
    <row r="366" spans="1:20" x14ac:dyDescent="0.25">
      <c r="A366" s="5"/>
      <c r="C366"/>
      <c r="D366"/>
      <c r="P366">
        <f t="shared" si="969"/>
        <v>0</v>
      </c>
      <c r="Q366">
        <f t="shared" si="970"/>
        <v>0</v>
      </c>
      <c r="R366">
        <f t="shared" si="971"/>
        <v>0</v>
      </c>
      <c r="S366">
        <f t="shared" si="972"/>
        <v>0</v>
      </c>
      <c r="T366">
        <f t="shared" si="973"/>
        <v>0</v>
      </c>
    </row>
    <row r="367" spans="1:20" x14ac:dyDescent="0.25">
      <c r="A367" s="5"/>
      <c r="C367"/>
      <c r="D367"/>
      <c r="P367">
        <f t="shared" si="969"/>
        <v>0</v>
      </c>
      <c r="Q367">
        <f t="shared" si="970"/>
        <v>0</v>
      </c>
      <c r="R367">
        <f t="shared" si="971"/>
        <v>0</v>
      </c>
      <c r="S367">
        <f t="shared" si="972"/>
        <v>0</v>
      </c>
      <c r="T367">
        <f t="shared" si="973"/>
        <v>0</v>
      </c>
    </row>
    <row r="368" spans="1:20" x14ac:dyDescent="0.25">
      <c r="A368" s="5"/>
      <c r="C368"/>
      <c r="D368"/>
      <c r="P368">
        <f t="shared" si="969"/>
        <v>0</v>
      </c>
      <c r="Q368">
        <f t="shared" si="970"/>
        <v>0</v>
      </c>
      <c r="R368">
        <f t="shared" si="971"/>
        <v>0</v>
      </c>
      <c r="S368">
        <f t="shared" si="972"/>
        <v>0</v>
      </c>
      <c r="T368">
        <f t="shared" si="973"/>
        <v>0</v>
      </c>
    </row>
    <row r="369" spans="1:20" x14ac:dyDescent="0.25">
      <c r="A369" s="5"/>
      <c r="C369"/>
      <c r="D369"/>
      <c r="P369">
        <f t="shared" si="969"/>
        <v>0</v>
      </c>
      <c r="Q369">
        <f t="shared" si="970"/>
        <v>0</v>
      </c>
      <c r="R369">
        <f t="shared" si="971"/>
        <v>0</v>
      </c>
      <c r="S369">
        <f t="shared" si="972"/>
        <v>0</v>
      </c>
      <c r="T369">
        <f t="shared" si="973"/>
        <v>0</v>
      </c>
    </row>
    <row r="370" spans="1:20" x14ac:dyDescent="0.25">
      <c r="A370" s="5"/>
      <c r="C370"/>
      <c r="D370"/>
      <c r="P370">
        <f t="shared" si="969"/>
        <v>0</v>
      </c>
      <c r="Q370">
        <f t="shared" si="970"/>
        <v>0</v>
      </c>
      <c r="R370">
        <f t="shared" si="971"/>
        <v>0</v>
      </c>
      <c r="S370">
        <f t="shared" si="972"/>
        <v>0</v>
      </c>
      <c r="T370">
        <f t="shared" si="973"/>
        <v>0</v>
      </c>
    </row>
    <row r="371" spans="1:20" x14ac:dyDescent="0.25">
      <c r="A371" s="5"/>
      <c r="C371"/>
      <c r="D371"/>
      <c r="P371">
        <f t="shared" si="969"/>
        <v>0</v>
      </c>
      <c r="Q371">
        <f t="shared" si="970"/>
        <v>0</v>
      </c>
      <c r="R371">
        <f t="shared" si="971"/>
        <v>0</v>
      </c>
      <c r="S371">
        <f t="shared" si="972"/>
        <v>0</v>
      </c>
      <c r="T371">
        <f t="shared" si="973"/>
        <v>0</v>
      </c>
    </row>
    <row r="372" spans="1:20" x14ac:dyDescent="0.25">
      <c r="A372" s="5"/>
      <c r="C372"/>
      <c r="D372"/>
      <c r="P372">
        <f t="shared" si="969"/>
        <v>0</v>
      </c>
      <c r="Q372">
        <f t="shared" si="970"/>
        <v>0</v>
      </c>
      <c r="R372">
        <f t="shared" si="971"/>
        <v>0</v>
      </c>
      <c r="S372">
        <f t="shared" si="972"/>
        <v>0</v>
      </c>
      <c r="T372">
        <f t="shared" si="973"/>
        <v>0</v>
      </c>
    </row>
    <row r="373" spans="1:20" x14ac:dyDescent="0.25">
      <c r="A373" s="5"/>
      <c r="C373"/>
      <c r="D373"/>
      <c r="P373">
        <f t="shared" si="969"/>
        <v>0</v>
      </c>
      <c r="Q373">
        <f t="shared" si="970"/>
        <v>0</v>
      </c>
      <c r="R373">
        <f t="shared" si="971"/>
        <v>0</v>
      </c>
      <c r="S373">
        <f t="shared" si="972"/>
        <v>0</v>
      </c>
      <c r="T373">
        <f t="shared" si="973"/>
        <v>0</v>
      </c>
    </row>
    <row r="374" spans="1:20" x14ac:dyDescent="0.25">
      <c r="A374" s="5"/>
      <c r="C374"/>
      <c r="D374"/>
      <c r="P374">
        <f t="shared" si="969"/>
        <v>0</v>
      </c>
      <c r="Q374">
        <f t="shared" si="970"/>
        <v>0</v>
      </c>
      <c r="R374">
        <f t="shared" si="971"/>
        <v>0</v>
      </c>
      <c r="S374">
        <f t="shared" si="972"/>
        <v>0</v>
      </c>
      <c r="T374">
        <f t="shared" si="973"/>
        <v>0</v>
      </c>
    </row>
    <row r="375" spans="1:20" x14ac:dyDescent="0.25">
      <c r="A375" s="5"/>
      <c r="C375"/>
      <c r="D375"/>
      <c r="P375">
        <f t="shared" si="969"/>
        <v>0</v>
      </c>
      <c r="Q375">
        <f t="shared" si="970"/>
        <v>0</v>
      </c>
      <c r="R375">
        <f t="shared" si="971"/>
        <v>0</v>
      </c>
      <c r="S375">
        <f t="shared" si="972"/>
        <v>0</v>
      </c>
      <c r="T375">
        <f t="shared" si="973"/>
        <v>0</v>
      </c>
    </row>
    <row r="376" spans="1:20" x14ac:dyDescent="0.25">
      <c r="A376" s="5"/>
      <c r="C376"/>
      <c r="D376"/>
      <c r="P376">
        <f t="shared" si="969"/>
        <v>0</v>
      </c>
      <c r="Q376">
        <f t="shared" si="970"/>
        <v>0</v>
      </c>
      <c r="R376">
        <f t="shared" si="971"/>
        <v>0</v>
      </c>
      <c r="S376">
        <f t="shared" si="972"/>
        <v>0</v>
      </c>
      <c r="T376">
        <f t="shared" si="973"/>
        <v>0</v>
      </c>
    </row>
    <row r="377" spans="1:20" x14ac:dyDescent="0.25">
      <c r="A377" s="5"/>
      <c r="C377"/>
      <c r="D377"/>
      <c r="P377">
        <f t="shared" si="969"/>
        <v>0</v>
      </c>
      <c r="Q377">
        <f t="shared" si="970"/>
        <v>0</v>
      </c>
      <c r="R377">
        <f t="shared" si="971"/>
        <v>0</v>
      </c>
      <c r="S377">
        <f t="shared" si="972"/>
        <v>0</v>
      </c>
      <c r="T377">
        <f t="shared" si="973"/>
        <v>0</v>
      </c>
    </row>
    <row r="378" spans="1:20" x14ac:dyDescent="0.25">
      <c r="A378" s="5"/>
      <c r="C378"/>
      <c r="D378"/>
      <c r="P378">
        <f t="shared" si="969"/>
        <v>0</v>
      </c>
      <c r="Q378">
        <f t="shared" si="970"/>
        <v>0</v>
      </c>
      <c r="R378">
        <f t="shared" si="971"/>
        <v>0</v>
      </c>
      <c r="S378">
        <f t="shared" si="972"/>
        <v>0</v>
      </c>
      <c r="T378">
        <f t="shared" si="973"/>
        <v>0</v>
      </c>
    </row>
    <row r="379" spans="1:20" x14ac:dyDescent="0.25">
      <c r="A379" s="5"/>
      <c r="C379"/>
      <c r="D379"/>
      <c r="P379">
        <f t="shared" si="969"/>
        <v>0</v>
      </c>
      <c r="Q379">
        <f t="shared" si="970"/>
        <v>0</v>
      </c>
      <c r="R379">
        <f t="shared" si="971"/>
        <v>0</v>
      </c>
      <c r="S379">
        <f t="shared" si="972"/>
        <v>0</v>
      </c>
      <c r="T379">
        <f t="shared" si="973"/>
        <v>0</v>
      </c>
    </row>
    <row r="380" spans="1:20" x14ac:dyDescent="0.25">
      <c r="A380" s="5"/>
      <c r="C380"/>
      <c r="D380"/>
      <c r="P380">
        <f t="shared" si="969"/>
        <v>0</v>
      </c>
      <c r="Q380">
        <f t="shared" si="970"/>
        <v>0</v>
      </c>
      <c r="R380">
        <f t="shared" si="971"/>
        <v>0</v>
      </c>
      <c r="S380">
        <f t="shared" si="972"/>
        <v>0</v>
      </c>
      <c r="T380">
        <f t="shared" si="973"/>
        <v>0</v>
      </c>
    </row>
    <row r="381" spans="1:20" x14ac:dyDescent="0.25">
      <c r="A381" s="5"/>
      <c r="C381"/>
      <c r="D381"/>
      <c r="P381">
        <f t="shared" si="969"/>
        <v>0</v>
      </c>
      <c r="Q381">
        <f t="shared" si="970"/>
        <v>0</v>
      </c>
      <c r="R381">
        <f t="shared" si="971"/>
        <v>0</v>
      </c>
      <c r="S381">
        <f t="shared" si="972"/>
        <v>0</v>
      </c>
      <c r="T381">
        <f t="shared" si="973"/>
        <v>0</v>
      </c>
    </row>
    <row r="382" spans="1:20" x14ac:dyDescent="0.25">
      <c r="A382" s="5"/>
      <c r="C382"/>
      <c r="D382"/>
      <c r="P382">
        <f t="shared" si="969"/>
        <v>0</v>
      </c>
      <c r="Q382">
        <f t="shared" si="970"/>
        <v>0</v>
      </c>
      <c r="R382">
        <f t="shared" si="971"/>
        <v>0</v>
      </c>
      <c r="S382">
        <f t="shared" si="972"/>
        <v>0</v>
      </c>
      <c r="T382">
        <f t="shared" si="973"/>
        <v>0</v>
      </c>
    </row>
    <row r="383" spans="1:20" x14ac:dyDescent="0.25">
      <c r="A383" s="5"/>
      <c r="C383"/>
      <c r="D383"/>
      <c r="P383">
        <f t="shared" si="969"/>
        <v>0</v>
      </c>
      <c r="Q383">
        <f t="shared" si="970"/>
        <v>0</v>
      </c>
      <c r="R383">
        <f t="shared" si="971"/>
        <v>0</v>
      </c>
      <c r="S383">
        <f t="shared" si="972"/>
        <v>0</v>
      </c>
      <c r="T383">
        <f t="shared" si="973"/>
        <v>0</v>
      </c>
    </row>
    <row r="384" spans="1:20" x14ac:dyDescent="0.25">
      <c r="A384" s="5"/>
      <c r="C384"/>
      <c r="D384"/>
      <c r="P384">
        <f t="shared" si="969"/>
        <v>0</v>
      </c>
      <c r="Q384">
        <f t="shared" si="970"/>
        <v>0</v>
      </c>
      <c r="R384">
        <f t="shared" si="971"/>
        <v>0</v>
      </c>
      <c r="S384">
        <f t="shared" si="972"/>
        <v>0</v>
      </c>
      <c r="T384">
        <f t="shared" si="973"/>
        <v>0</v>
      </c>
    </row>
    <row r="385" spans="1:20" x14ac:dyDescent="0.25">
      <c r="A385" s="5"/>
      <c r="C385"/>
      <c r="D385"/>
      <c r="P385">
        <f t="shared" si="969"/>
        <v>0</v>
      </c>
      <c r="Q385">
        <f t="shared" si="970"/>
        <v>0</v>
      </c>
      <c r="R385">
        <f t="shared" si="971"/>
        <v>0</v>
      </c>
      <c r="S385">
        <f t="shared" si="972"/>
        <v>0</v>
      </c>
      <c r="T385">
        <f t="shared" si="973"/>
        <v>0</v>
      </c>
    </row>
    <row r="386" spans="1:20" x14ac:dyDescent="0.25">
      <c r="A386" s="5"/>
      <c r="C386"/>
      <c r="D386"/>
      <c r="P386">
        <f t="shared" si="969"/>
        <v>0</v>
      </c>
      <c r="Q386">
        <f t="shared" si="970"/>
        <v>0</v>
      </c>
      <c r="R386">
        <f t="shared" si="971"/>
        <v>0</v>
      </c>
      <c r="S386">
        <f t="shared" si="972"/>
        <v>0</v>
      </c>
      <c r="T386">
        <f t="shared" si="973"/>
        <v>0</v>
      </c>
    </row>
    <row r="387" spans="1:20" x14ac:dyDescent="0.25">
      <c r="A387" s="5"/>
      <c r="C387"/>
      <c r="D387"/>
      <c r="P387">
        <f t="shared" si="969"/>
        <v>0</v>
      </c>
      <c r="Q387">
        <f t="shared" si="970"/>
        <v>0</v>
      </c>
      <c r="R387">
        <f t="shared" si="971"/>
        <v>0</v>
      </c>
      <c r="S387">
        <f t="shared" si="972"/>
        <v>0</v>
      </c>
      <c r="T387">
        <f t="shared" si="973"/>
        <v>0</v>
      </c>
    </row>
    <row r="388" spans="1:20" x14ac:dyDescent="0.25">
      <c r="A388" s="5"/>
      <c r="C388"/>
      <c r="D388"/>
      <c r="P388">
        <f t="shared" si="969"/>
        <v>0</v>
      </c>
      <c r="Q388">
        <f t="shared" si="970"/>
        <v>0</v>
      </c>
      <c r="R388">
        <f t="shared" si="971"/>
        <v>0</v>
      </c>
      <c r="S388">
        <f t="shared" si="972"/>
        <v>0</v>
      </c>
      <c r="T388">
        <f t="shared" si="973"/>
        <v>0</v>
      </c>
    </row>
    <row r="389" spans="1:20" x14ac:dyDescent="0.25">
      <c r="A389" s="5"/>
      <c r="C389"/>
      <c r="D389"/>
      <c r="P389">
        <f t="shared" si="969"/>
        <v>0</v>
      </c>
      <c r="Q389">
        <f t="shared" si="970"/>
        <v>0</v>
      </c>
      <c r="R389">
        <f t="shared" si="971"/>
        <v>0</v>
      </c>
      <c r="S389">
        <f t="shared" si="972"/>
        <v>0</v>
      </c>
      <c r="T389">
        <f t="shared" si="973"/>
        <v>0</v>
      </c>
    </row>
    <row r="390" spans="1:20" x14ac:dyDescent="0.25">
      <c r="A390" s="5"/>
      <c r="C390"/>
      <c r="D390"/>
      <c r="P390">
        <f t="shared" ref="P390:P453" si="974">IF(C390=D390,0,((E390-D390)-(C390-E390))/(C390-D390))</f>
        <v>0</v>
      </c>
      <c r="Q390">
        <f t="shared" ref="Q390:Q453" si="975">F390*P390</f>
        <v>0</v>
      </c>
      <c r="R390">
        <f t="shared" ref="R390:R453" si="976">R391+Q390</f>
        <v>0</v>
      </c>
      <c r="S390">
        <f t="shared" ref="S390:S453" si="977">R390/100000</f>
        <v>0</v>
      </c>
      <c r="T390">
        <f t="shared" ref="T390:T453" si="978">S390/1000</f>
        <v>0</v>
      </c>
    </row>
    <row r="391" spans="1:20" x14ac:dyDescent="0.25">
      <c r="A391" s="5"/>
      <c r="C391"/>
      <c r="D391"/>
      <c r="P391">
        <f t="shared" si="974"/>
        <v>0</v>
      </c>
      <c r="Q391">
        <f t="shared" si="975"/>
        <v>0</v>
      </c>
      <c r="R391">
        <f t="shared" si="976"/>
        <v>0</v>
      </c>
      <c r="S391">
        <f t="shared" si="977"/>
        <v>0</v>
      </c>
      <c r="T391">
        <f t="shared" si="978"/>
        <v>0</v>
      </c>
    </row>
    <row r="392" spans="1:20" x14ac:dyDescent="0.25">
      <c r="A392" s="5"/>
      <c r="C392"/>
      <c r="D392"/>
      <c r="P392">
        <f t="shared" si="974"/>
        <v>0</v>
      </c>
      <c r="Q392">
        <f t="shared" si="975"/>
        <v>0</v>
      </c>
      <c r="R392">
        <f t="shared" si="976"/>
        <v>0</v>
      </c>
      <c r="S392">
        <f t="shared" si="977"/>
        <v>0</v>
      </c>
      <c r="T392">
        <f t="shared" si="978"/>
        <v>0</v>
      </c>
    </row>
    <row r="393" spans="1:20" x14ac:dyDescent="0.25">
      <c r="A393" s="5"/>
      <c r="C393"/>
      <c r="D393"/>
      <c r="P393">
        <f t="shared" si="974"/>
        <v>0</v>
      </c>
      <c r="Q393">
        <f t="shared" si="975"/>
        <v>0</v>
      </c>
      <c r="R393">
        <f t="shared" si="976"/>
        <v>0</v>
      </c>
      <c r="S393">
        <f t="shared" si="977"/>
        <v>0</v>
      </c>
      <c r="T393">
        <f t="shared" si="978"/>
        <v>0</v>
      </c>
    </row>
    <row r="394" spans="1:20" x14ac:dyDescent="0.25">
      <c r="A394" s="5"/>
      <c r="C394"/>
      <c r="D394"/>
      <c r="P394">
        <f t="shared" si="974"/>
        <v>0</v>
      </c>
      <c r="Q394">
        <f t="shared" si="975"/>
        <v>0</v>
      </c>
      <c r="R394">
        <f t="shared" si="976"/>
        <v>0</v>
      </c>
      <c r="S394">
        <f t="shared" si="977"/>
        <v>0</v>
      </c>
      <c r="T394">
        <f t="shared" si="978"/>
        <v>0</v>
      </c>
    </row>
    <row r="395" spans="1:20" x14ac:dyDescent="0.25">
      <c r="A395" s="5"/>
      <c r="C395"/>
      <c r="D395"/>
      <c r="P395">
        <f t="shared" si="974"/>
        <v>0</v>
      </c>
      <c r="Q395">
        <f t="shared" si="975"/>
        <v>0</v>
      </c>
      <c r="R395">
        <f t="shared" si="976"/>
        <v>0</v>
      </c>
      <c r="S395">
        <f t="shared" si="977"/>
        <v>0</v>
      </c>
      <c r="T395">
        <f t="shared" si="978"/>
        <v>0</v>
      </c>
    </row>
    <row r="396" spans="1:20" x14ac:dyDescent="0.25">
      <c r="A396" s="5"/>
      <c r="C396"/>
      <c r="D396"/>
      <c r="P396">
        <f t="shared" si="974"/>
        <v>0</v>
      </c>
      <c r="Q396">
        <f t="shared" si="975"/>
        <v>0</v>
      </c>
      <c r="R396">
        <f t="shared" si="976"/>
        <v>0</v>
      </c>
      <c r="S396">
        <f t="shared" si="977"/>
        <v>0</v>
      </c>
      <c r="T396">
        <f t="shared" si="978"/>
        <v>0</v>
      </c>
    </row>
    <row r="397" spans="1:20" x14ac:dyDescent="0.25">
      <c r="A397" s="5"/>
      <c r="C397"/>
      <c r="D397"/>
      <c r="P397">
        <f t="shared" si="974"/>
        <v>0</v>
      </c>
      <c r="Q397">
        <f t="shared" si="975"/>
        <v>0</v>
      </c>
      <c r="R397">
        <f t="shared" si="976"/>
        <v>0</v>
      </c>
      <c r="S397">
        <f t="shared" si="977"/>
        <v>0</v>
      </c>
      <c r="T397">
        <f t="shared" si="978"/>
        <v>0</v>
      </c>
    </row>
    <row r="398" spans="1:20" x14ac:dyDescent="0.25">
      <c r="A398" s="5"/>
      <c r="C398"/>
      <c r="D398"/>
      <c r="P398">
        <f t="shared" si="974"/>
        <v>0</v>
      </c>
      <c r="Q398">
        <f t="shared" si="975"/>
        <v>0</v>
      </c>
      <c r="R398">
        <f t="shared" si="976"/>
        <v>0</v>
      </c>
      <c r="S398">
        <f t="shared" si="977"/>
        <v>0</v>
      </c>
      <c r="T398">
        <f t="shared" si="978"/>
        <v>0</v>
      </c>
    </row>
    <row r="399" spans="1:20" x14ac:dyDescent="0.25">
      <c r="A399" s="5"/>
      <c r="C399"/>
      <c r="D399"/>
      <c r="P399">
        <f t="shared" si="974"/>
        <v>0</v>
      </c>
      <c r="Q399">
        <f t="shared" si="975"/>
        <v>0</v>
      </c>
      <c r="R399">
        <f t="shared" si="976"/>
        <v>0</v>
      </c>
      <c r="S399">
        <f t="shared" si="977"/>
        <v>0</v>
      </c>
      <c r="T399">
        <f t="shared" si="978"/>
        <v>0</v>
      </c>
    </row>
    <row r="400" spans="1:20" x14ac:dyDescent="0.25">
      <c r="A400" s="5"/>
      <c r="C400"/>
      <c r="D400"/>
      <c r="P400">
        <f t="shared" si="974"/>
        <v>0</v>
      </c>
      <c r="Q400">
        <f t="shared" si="975"/>
        <v>0</v>
      </c>
      <c r="R400">
        <f t="shared" si="976"/>
        <v>0</v>
      </c>
      <c r="S400">
        <f t="shared" si="977"/>
        <v>0</v>
      </c>
      <c r="T400">
        <f t="shared" si="978"/>
        <v>0</v>
      </c>
    </row>
    <row r="401" spans="1:20" x14ac:dyDescent="0.25">
      <c r="A401" s="5"/>
      <c r="C401"/>
      <c r="D401"/>
      <c r="P401">
        <f t="shared" si="974"/>
        <v>0</v>
      </c>
      <c r="Q401">
        <f t="shared" si="975"/>
        <v>0</v>
      </c>
      <c r="R401">
        <f t="shared" si="976"/>
        <v>0</v>
      </c>
      <c r="S401">
        <f t="shared" si="977"/>
        <v>0</v>
      </c>
      <c r="T401">
        <f t="shared" si="978"/>
        <v>0</v>
      </c>
    </row>
    <row r="402" spans="1:20" x14ac:dyDescent="0.25">
      <c r="A402" s="5"/>
      <c r="C402"/>
      <c r="D402"/>
      <c r="P402">
        <f t="shared" si="974"/>
        <v>0</v>
      </c>
      <c r="Q402">
        <f t="shared" si="975"/>
        <v>0</v>
      </c>
      <c r="R402">
        <f t="shared" si="976"/>
        <v>0</v>
      </c>
      <c r="S402">
        <f t="shared" si="977"/>
        <v>0</v>
      </c>
      <c r="T402">
        <f t="shared" si="978"/>
        <v>0</v>
      </c>
    </row>
    <row r="403" spans="1:20" x14ac:dyDescent="0.25">
      <c r="A403" s="5"/>
      <c r="C403"/>
      <c r="D403"/>
      <c r="P403">
        <f t="shared" si="974"/>
        <v>0</v>
      </c>
      <c r="Q403">
        <f t="shared" si="975"/>
        <v>0</v>
      </c>
      <c r="R403">
        <f t="shared" si="976"/>
        <v>0</v>
      </c>
      <c r="S403">
        <f t="shared" si="977"/>
        <v>0</v>
      </c>
      <c r="T403">
        <f t="shared" si="978"/>
        <v>0</v>
      </c>
    </row>
    <row r="404" spans="1:20" x14ac:dyDescent="0.25">
      <c r="A404" s="5"/>
      <c r="C404"/>
      <c r="D404"/>
      <c r="P404">
        <f t="shared" si="974"/>
        <v>0</v>
      </c>
      <c r="Q404">
        <f t="shared" si="975"/>
        <v>0</v>
      </c>
      <c r="R404">
        <f t="shared" si="976"/>
        <v>0</v>
      </c>
      <c r="S404">
        <f t="shared" si="977"/>
        <v>0</v>
      </c>
      <c r="T404">
        <f t="shared" si="978"/>
        <v>0</v>
      </c>
    </row>
    <row r="405" spans="1:20" x14ac:dyDescent="0.25">
      <c r="A405" s="5"/>
      <c r="C405"/>
      <c r="D405"/>
      <c r="P405">
        <f t="shared" si="974"/>
        <v>0</v>
      </c>
      <c r="Q405">
        <f t="shared" si="975"/>
        <v>0</v>
      </c>
      <c r="R405">
        <f t="shared" si="976"/>
        <v>0</v>
      </c>
      <c r="S405">
        <f t="shared" si="977"/>
        <v>0</v>
      </c>
      <c r="T405">
        <f t="shared" si="978"/>
        <v>0</v>
      </c>
    </row>
    <row r="406" spans="1:20" x14ac:dyDescent="0.25">
      <c r="A406" s="5"/>
      <c r="C406"/>
      <c r="D406"/>
      <c r="P406">
        <f t="shared" si="974"/>
        <v>0</v>
      </c>
      <c r="Q406">
        <f t="shared" si="975"/>
        <v>0</v>
      </c>
      <c r="R406">
        <f t="shared" si="976"/>
        <v>0</v>
      </c>
      <c r="S406">
        <f t="shared" si="977"/>
        <v>0</v>
      </c>
      <c r="T406">
        <f t="shared" si="978"/>
        <v>0</v>
      </c>
    </row>
    <row r="407" spans="1:20" x14ac:dyDescent="0.25">
      <c r="A407" s="5"/>
      <c r="C407"/>
      <c r="D407"/>
      <c r="P407">
        <f t="shared" si="974"/>
        <v>0</v>
      </c>
      <c r="Q407">
        <f t="shared" si="975"/>
        <v>0</v>
      </c>
      <c r="R407">
        <f t="shared" si="976"/>
        <v>0</v>
      </c>
      <c r="S407">
        <f t="shared" si="977"/>
        <v>0</v>
      </c>
      <c r="T407">
        <f t="shared" si="978"/>
        <v>0</v>
      </c>
    </row>
    <row r="408" spans="1:20" x14ac:dyDescent="0.25">
      <c r="A408" s="5"/>
      <c r="C408"/>
      <c r="D408"/>
      <c r="P408">
        <f t="shared" si="974"/>
        <v>0</v>
      </c>
      <c r="Q408">
        <f t="shared" si="975"/>
        <v>0</v>
      </c>
      <c r="R408">
        <f t="shared" si="976"/>
        <v>0</v>
      </c>
      <c r="S408">
        <f t="shared" si="977"/>
        <v>0</v>
      </c>
      <c r="T408">
        <f t="shared" si="978"/>
        <v>0</v>
      </c>
    </row>
    <row r="409" spans="1:20" x14ac:dyDescent="0.25">
      <c r="A409" s="5"/>
      <c r="C409"/>
      <c r="D409"/>
      <c r="P409">
        <f t="shared" si="974"/>
        <v>0</v>
      </c>
      <c r="Q409">
        <f t="shared" si="975"/>
        <v>0</v>
      </c>
      <c r="R409">
        <f t="shared" si="976"/>
        <v>0</v>
      </c>
      <c r="S409">
        <f t="shared" si="977"/>
        <v>0</v>
      </c>
      <c r="T409">
        <f t="shared" si="978"/>
        <v>0</v>
      </c>
    </row>
    <row r="410" spans="1:20" x14ac:dyDescent="0.25">
      <c r="A410" s="5"/>
      <c r="C410"/>
      <c r="D410"/>
      <c r="P410">
        <f t="shared" si="974"/>
        <v>0</v>
      </c>
      <c r="Q410">
        <f t="shared" si="975"/>
        <v>0</v>
      </c>
      <c r="R410">
        <f t="shared" si="976"/>
        <v>0</v>
      </c>
      <c r="S410">
        <f t="shared" si="977"/>
        <v>0</v>
      </c>
      <c r="T410">
        <f t="shared" si="978"/>
        <v>0</v>
      </c>
    </row>
    <row r="411" spans="1:20" x14ac:dyDescent="0.25">
      <c r="A411" s="5"/>
      <c r="C411"/>
      <c r="D411"/>
      <c r="P411">
        <f t="shared" si="974"/>
        <v>0</v>
      </c>
      <c r="Q411">
        <f t="shared" si="975"/>
        <v>0</v>
      </c>
      <c r="R411">
        <f t="shared" si="976"/>
        <v>0</v>
      </c>
      <c r="S411">
        <f t="shared" si="977"/>
        <v>0</v>
      </c>
      <c r="T411">
        <f t="shared" si="978"/>
        <v>0</v>
      </c>
    </row>
    <row r="412" spans="1:20" x14ac:dyDescent="0.25">
      <c r="A412" s="5"/>
      <c r="C412"/>
      <c r="D412"/>
      <c r="P412">
        <f t="shared" si="974"/>
        <v>0</v>
      </c>
      <c r="Q412">
        <f t="shared" si="975"/>
        <v>0</v>
      </c>
      <c r="R412">
        <f t="shared" si="976"/>
        <v>0</v>
      </c>
      <c r="S412">
        <f t="shared" si="977"/>
        <v>0</v>
      </c>
      <c r="T412">
        <f t="shared" si="978"/>
        <v>0</v>
      </c>
    </row>
    <row r="413" spans="1:20" x14ac:dyDescent="0.25">
      <c r="A413" s="5"/>
      <c r="C413"/>
      <c r="D413"/>
      <c r="P413">
        <f t="shared" si="974"/>
        <v>0</v>
      </c>
      <c r="Q413">
        <f t="shared" si="975"/>
        <v>0</v>
      </c>
      <c r="R413">
        <f t="shared" si="976"/>
        <v>0</v>
      </c>
      <c r="S413">
        <f t="shared" si="977"/>
        <v>0</v>
      </c>
      <c r="T413">
        <f t="shared" si="978"/>
        <v>0</v>
      </c>
    </row>
    <row r="414" spans="1:20" x14ac:dyDescent="0.25">
      <c r="A414" s="5"/>
      <c r="C414"/>
      <c r="D414"/>
      <c r="P414">
        <f t="shared" si="974"/>
        <v>0</v>
      </c>
      <c r="Q414">
        <f t="shared" si="975"/>
        <v>0</v>
      </c>
      <c r="R414">
        <f t="shared" si="976"/>
        <v>0</v>
      </c>
      <c r="S414">
        <f t="shared" si="977"/>
        <v>0</v>
      </c>
      <c r="T414">
        <f t="shared" si="978"/>
        <v>0</v>
      </c>
    </row>
    <row r="415" spans="1:20" x14ac:dyDescent="0.25">
      <c r="A415" s="5"/>
      <c r="C415"/>
      <c r="D415"/>
      <c r="P415">
        <f t="shared" si="974"/>
        <v>0</v>
      </c>
      <c r="Q415">
        <f t="shared" si="975"/>
        <v>0</v>
      </c>
      <c r="R415">
        <f t="shared" si="976"/>
        <v>0</v>
      </c>
      <c r="S415">
        <f t="shared" si="977"/>
        <v>0</v>
      </c>
      <c r="T415">
        <f t="shared" si="978"/>
        <v>0</v>
      </c>
    </row>
    <row r="416" spans="1:20" x14ac:dyDescent="0.25">
      <c r="A416" s="5"/>
      <c r="C416"/>
      <c r="D416"/>
      <c r="P416">
        <f t="shared" si="974"/>
        <v>0</v>
      </c>
      <c r="Q416">
        <f t="shared" si="975"/>
        <v>0</v>
      </c>
      <c r="R416">
        <f t="shared" si="976"/>
        <v>0</v>
      </c>
      <c r="S416">
        <f t="shared" si="977"/>
        <v>0</v>
      </c>
      <c r="T416">
        <f t="shared" si="978"/>
        <v>0</v>
      </c>
    </row>
    <row r="417" spans="1:20" x14ac:dyDescent="0.25">
      <c r="A417" s="5"/>
      <c r="C417"/>
      <c r="D417"/>
      <c r="P417">
        <f t="shared" si="974"/>
        <v>0</v>
      </c>
      <c r="Q417">
        <f t="shared" si="975"/>
        <v>0</v>
      </c>
      <c r="R417">
        <f t="shared" si="976"/>
        <v>0</v>
      </c>
      <c r="S417">
        <f t="shared" si="977"/>
        <v>0</v>
      </c>
      <c r="T417">
        <f t="shared" si="978"/>
        <v>0</v>
      </c>
    </row>
    <row r="418" spans="1:20" x14ac:dyDescent="0.25">
      <c r="A418" s="5"/>
      <c r="C418"/>
      <c r="D418"/>
      <c r="P418">
        <f t="shared" si="974"/>
        <v>0</v>
      </c>
      <c r="Q418">
        <f t="shared" si="975"/>
        <v>0</v>
      </c>
      <c r="R418">
        <f t="shared" si="976"/>
        <v>0</v>
      </c>
      <c r="S418">
        <f t="shared" si="977"/>
        <v>0</v>
      </c>
      <c r="T418">
        <f t="shared" si="978"/>
        <v>0</v>
      </c>
    </row>
    <row r="419" spans="1:20" x14ac:dyDescent="0.25">
      <c r="A419" s="5"/>
      <c r="C419"/>
      <c r="D419"/>
      <c r="P419">
        <f t="shared" si="974"/>
        <v>0</v>
      </c>
      <c r="Q419">
        <f t="shared" si="975"/>
        <v>0</v>
      </c>
      <c r="R419">
        <f t="shared" si="976"/>
        <v>0</v>
      </c>
      <c r="S419">
        <f t="shared" si="977"/>
        <v>0</v>
      </c>
      <c r="T419">
        <f t="shared" si="978"/>
        <v>0</v>
      </c>
    </row>
    <row r="420" spans="1:20" x14ac:dyDescent="0.25">
      <c r="A420" s="5"/>
      <c r="C420"/>
      <c r="D420"/>
      <c r="P420">
        <f t="shared" si="974"/>
        <v>0</v>
      </c>
      <c r="Q420">
        <f t="shared" si="975"/>
        <v>0</v>
      </c>
      <c r="R420">
        <f t="shared" si="976"/>
        <v>0</v>
      </c>
      <c r="S420">
        <f t="shared" si="977"/>
        <v>0</v>
      </c>
      <c r="T420">
        <f t="shared" si="978"/>
        <v>0</v>
      </c>
    </row>
    <row r="421" spans="1:20" x14ac:dyDescent="0.25">
      <c r="A421" s="5"/>
      <c r="C421"/>
      <c r="D421"/>
      <c r="P421">
        <f t="shared" si="974"/>
        <v>0</v>
      </c>
      <c r="Q421">
        <f t="shared" si="975"/>
        <v>0</v>
      </c>
      <c r="R421">
        <f t="shared" si="976"/>
        <v>0</v>
      </c>
      <c r="S421">
        <f t="shared" si="977"/>
        <v>0</v>
      </c>
      <c r="T421">
        <f t="shared" si="978"/>
        <v>0</v>
      </c>
    </row>
    <row r="422" spans="1:20" x14ac:dyDescent="0.25">
      <c r="A422" s="5"/>
      <c r="C422"/>
      <c r="D422"/>
      <c r="P422">
        <f t="shared" si="974"/>
        <v>0</v>
      </c>
      <c r="Q422">
        <f t="shared" si="975"/>
        <v>0</v>
      </c>
      <c r="R422">
        <f t="shared" si="976"/>
        <v>0</v>
      </c>
      <c r="S422">
        <f t="shared" si="977"/>
        <v>0</v>
      </c>
      <c r="T422">
        <f t="shared" si="978"/>
        <v>0</v>
      </c>
    </row>
    <row r="423" spans="1:20" x14ac:dyDescent="0.25">
      <c r="A423" s="5"/>
      <c r="C423"/>
      <c r="D423"/>
      <c r="P423">
        <f t="shared" si="974"/>
        <v>0</v>
      </c>
      <c r="Q423">
        <f t="shared" si="975"/>
        <v>0</v>
      </c>
      <c r="R423">
        <f t="shared" si="976"/>
        <v>0</v>
      </c>
      <c r="S423">
        <f t="shared" si="977"/>
        <v>0</v>
      </c>
      <c r="T423">
        <f t="shared" si="978"/>
        <v>0</v>
      </c>
    </row>
    <row r="424" spans="1:20" x14ac:dyDescent="0.25">
      <c r="A424" s="5"/>
      <c r="C424"/>
      <c r="D424"/>
      <c r="P424">
        <f t="shared" si="974"/>
        <v>0</v>
      </c>
      <c r="Q424">
        <f t="shared" si="975"/>
        <v>0</v>
      </c>
      <c r="R424">
        <f t="shared" si="976"/>
        <v>0</v>
      </c>
      <c r="S424">
        <f t="shared" si="977"/>
        <v>0</v>
      </c>
      <c r="T424">
        <f t="shared" si="978"/>
        <v>0</v>
      </c>
    </row>
    <row r="425" spans="1:20" x14ac:dyDescent="0.25">
      <c r="A425" s="5"/>
      <c r="C425"/>
      <c r="D425"/>
      <c r="P425">
        <f t="shared" si="974"/>
        <v>0</v>
      </c>
      <c r="Q425">
        <f t="shared" si="975"/>
        <v>0</v>
      </c>
      <c r="R425">
        <f t="shared" si="976"/>
        <v>0</v>
      </c>
      <c r="S425">
        <f t="shared" si="977"/>
        <v>0</v>
      </c>
      <c r="T425">
        <f t="shared" si="978"/>
        <v>0</v>
      </c>
    </row>
    <row r="426" spans="1:20" x14ac:dyDescent="0.25">
      <c r="A426" s="5"/>
      <c r="C426"/>
      <c r="D426"/>
      <c r="P426">
        <f t="shared" si="974"/>
        <v>0</v>
      </c>
      <c r="Q426">
        <f t="shared" si="975"/>
        <v>0</v>
      </c>
      <c r="R426">
        <f t="shared" si="976"/>
        <v>0</v>
      </c>
      <c r="S426">
        <f t="shared" si="977"/>
        <v>0</v>
      </c>
      <c r="T426">
        <f t="shared" si="978"/>
        <v>0</v>
      </c>
    </row>
    <row r="427" spans="1:20" x14ac:dyDescent="0.25">
      <c r="A427" s="5"/>
      <c r="C427"/>
      <c r="D427"/>
      <c r="P427">
        <f t="shared" si="974"/>
        <v>0</v>
      </c>
      <c r="Q427">
        <f t="shared" si="975"/>
        <v>0</v>
      </c>
      <c r="R427">
        <f t="shared" si="976"/>
        <v>0</v>
      </c>
      <c r="S427">
        <f t="shared" si="977"/>
        <v>0</v>
      </c>
      <c r="T427">
        <f t="shared" si="978"/>
        <v>0</v>
      </c>
    </row>
    <row r="428" spans="1:20" x14ac:dyDescent="0.25">
      <c r="A428" s="5"/>
      <c r="C428"/>
      <c r="D428"/>
      <c r="P428">
        <f t="shared" si="974"/>
        <v>0</v>
      </c>
      <c r="Q428">
        <f t="shared" si="975"/>
        <v>0</v>
      </c>
      <c r="R428">
        <f t="shared" si="976"/>
        <v>0</v>
      </c>
      <c r="S428">
        <f t="shared" si="977"/>
        <v>0</v>
      </c>
      <c r="T428">
        <f t="shared" si="978"/>
        <v>0</v>
      </c>
    </row>
    <row r="429" spans="1:20" x14ac:dyDescent="0.25">
      <c r="A429" s="5"/>
      <c r="C429"/>
      <c r="D429"/>
      <c r="P429">
        <f t="shared" si="974"/>
        <v>0</v>
      </c>
      <c r="Q429">
        <f t="shared" si="975"/>
        <v>0</v>
      </c>
      <c r="R429">
        <f t="shared" si="976"/>
        <v>0</v>
      </c>
      <c r="S429">
        <f t="shared" si="977"/>
        <v>0</v>
      </c>
      <c r="T429">
        <f t="shared" si="978"/>
        <v>0</v>
      </c>
    </row>
    <row r="430" spans="1:20" x14ac:dyDescent="0.25">
      <c r="A430" s="5"/>
      <c r="C430"/>
      <c r="D430"/>
      <c r="P430">
        <f t="shared" si="974"/>
        <v>0</v>
      </c>
      <c r="Q430">
        <f t="shared" si="975"/>
        <v>0</v>
      </c>
      <c r="R430">
        <f t="shared" si="976"/>
        <v>0</v>
      </c>
      <c r="S430">
        <f t="shared" si="977"/>
        <v>0</v>
      </c>
      <c r="T430">
        <f t="shared" si="978"/>
        <v>0</v>
      </c>
    </row>
    <row r="431" spans="1:20" x14ac:dyDescent="0.25">
      <c r="A431" s="5"/>
      <c r="C431"/>
      <c r="D431"/>
      <c r="P431">
        <f t="shared" si="974"/>
        <v>0</v>
      </c>
      <c r="Q431">
        <f t="shared" si="975"/>
        <v>0</v>
      </c>
      <c r="R431">
        <f t="shared" si="976"/>
        <v>0</v>
      </c>
      <c r="S431">
        <f t="shared" si="977"/>
        <v>0</v>
      </c>
      <c r="T431">
        <f t="shared" si="978"/>
        <v>0</v>
      </c>
    </row>
    <row r="432" spans="1:20" x14ac:dyDescent="0.25">
      <c r="A432" s="5"/>
      <c r="C432"/>
      <c r="D432"/>
      <c r="P432">
        <f t="shared" si="974"/>
        <v>0</v>
      </c>
      <c r="Q432">
        <f t="shared" si="975"/>
        <v>0</v>
      </c>
      <c r="R432">
        <f t="shared" si="976"/>
        <v>0</v>
      </c>
      <c r="S432">
        <f t="shared" si="977"/>
        <v>0</v>
      </c>
      <c r="T432">
        <f t="shared" si="978"/>
        <v>0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DD821" sqref="DD821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$A$820</v>
      </c>
      <c r="D111" s="1" t="str">
        <f>ADDRESS(C121-1,D121,1,1)</f>
        <v>$DD$820</v>
      </c>
      <c r="E111"/>
    </row>
    <row r="112" spans="1:5" x14ac:dyDescent="0.25">
      <c r="A112" s="7">
        <v>12164.144957890772</v>
      </c>
      <c r="C112" s="1" t="str">
        <f>ADDRESS(C121,1,1,1)</f>
        <v>$A$821</v>
      </c>
      <c r="D112" s="1" t="str">
        <f>ADDRESS(C121,D121-1,1,1)</f>
        <v>$DC$821</v>
      </c>
      <c r="E112"/>
    </row>
    <row r="113" spans="1:5" x14ac:dyDescent="0.25">
      <c r="A113" s="7">
        <v>11925.63231165762</v>
      </c>
      <c r="C113" s="1" t="str">
        <f>ADDRESS(C121+1,1,1,1)</f>
        <v>$A$822</v>
      </c>
      <c r="D113" s="1" t="str">
        <f>ADDRESS(C121-1,D121+1,1,1)</f>
        <v>$DE$820</v>
      </c>
    </row>
    <row r="114" spans="1:5" x14ac:dyDescent="0.25">
      <c r="A114" s="7">
        <v>11691.796383978059</v>
      </c>
      <c r="C114" s="1" t="str">
        <f>ADDRESS(C121,D121,1,1)</f>
        <v>$DD$821</v>
      </c>
      <c r="D114" s="1" t="str">
        <f>ADDRESS(C121+1,D121+1,1,1)</f>
        <v>$DE$822</v>
      </c>
    </row>
    <row r="115" spans="1:5" x14ac:dyDescent="0.25">
      <c r="A115" s="7">
        <v>11462.545474488292</v>
      </c>
      <c r="C115" s="1" t="str">
        <f>ADDRESS(C121+1,D121,1,1)</f>
        <v>$DD$822</v>
      </c>
    </row>
    <row r="116" spans="1:5" x14ac:dyDescent="0.25">
      <c r="A116" s="7">
        <v>11237.789680870874</v>
      </c>
      <c r="C116" s="1">
        <f>C117-1</f>
        <v>820</v>
      </c>
    </row>
    <row r="117" spans="1:5" x14ac:dyDescent="0.25">
      <c r="A117" s="7">
        <v>11017.440863598895</v>
      </c>
      <c r="C117" s="1">
        <f>C121</f>
        <v>821</v>
      </c>
      <c r="D117" s="1">
        <f>D121</f>
        <v>108</v>
      </c>
    </row>
    <row r="118" spans="1:5" x14ac:dyDescent="0.25">
      <c r="A118" s="7">
        <v>10801.412611371465</v>
      </c>
      <c r="C118" s="1">
        <f>C117+1</f>
        <v>822</v>
      </c>
      <c r="D118" s="1">
        <f>D117+1</f>
        <v>109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821</v>
      </c>
      <c r="D121" s="19">
        <v>108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R821</v>
      </c>
      <c r="D123" s="1" t="str">
        <f>"C"&amp;D121</f>
        <v>C108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9.717617659540009E-3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6" x14ac:dyDescent="0.25">
      <c r="A593" s="7">
        <v>0.8879713821861922</v>
      </c>
      <c r="B593"/>
      <c r="C593"/>
      <c r="D593"/>
      <c r="E593"/>
      <c r="F593" s="27" t="s">
        <v>7</v>
      </c>
    </row>
    <row r="594" spans="1:6" x14ac:dyDescent="0.25">
      <c r="A594" s="7">
        <v>0.87056017861391399</v>
      </c>
      <c r="B594"/>
      <c r="C594"/>
      <c r="D594"/>
      <c r="E594"/>
      <c r="F594" s="27" t="s">
        <v>7</v>
      </c>
    </row>
    <row r="595" spans="1:6" x14ac:dyDescent="0.25">
      <c r="A595" s="7">
        <v>0.85349037119011173</v>
      </c>
      <c r="B595"/>
      <c r="C595"/>
      <c r="D595"/>
      <c r="E595"/>
      <c r="F595" s="27" t="s">
        <v>7</v>
      </c>
    </row>
    <row r="596" spans="1:6" x14ac:dyDescent="0.25">
      <c r="A596" s="7">
        <v>0.83675526587265858</v>
      </c>
      <c r="B596"/>
      <c r="C596"/>
      <c r="D596"/>
      <c r="E596"/>
      <c r="F596" s="27" t="s">
        <v>7</v>
      </c>
    </row>
    <row r="597" spans="1:6" x14ac:dyDescent="0.25">
      <c r="A597" s="7">
        <v>0.82034829987515545</v>
      </c>
      <c r="B597"/>
      <c r="C597"/>
      <c r="D597"/>
      <c r="E597"/>
      <c r="F597" s="27" t="s">
        <v>7</v>
      </c>
    </row>
    <row r="598" spans="1:6" x14ac:dyDescent="0.25">
      <c r="A598" s="7">
        <v>0.80426303909328967</v>
      </c>
      <c r="B598"/>
      <c r="C598"/>
      <c r="D598"/>
      <c r="E598"/>
      <c r="F598" s="27" t="s">
        <v>7</v>
      </c>
    </row>
    <row r="599" spans="1:6" x14ac:dyDescent="0.25">
      <c r="A599" s="7">
        <v>0.78849317558165644</v>
      </c>
      <c r="B599"/>
      <c r="C599"/>
      <c r="D599"/>
      <c r="E599"/>
      <c r="F599" s="27" t="s">
        <v>7</v>
      </c>
    </row>
    <row r="600" spans="1:6" x14ac:dyDescent="0.25">
      <c r="A600" s="7">
        <v>0.77303252508005538</v>
      </c>
      <c r="B600"/>
      <c r="C600"/>
      <c r="D600"/>
      <c r="E600"/>
      <c r="F600" s="27" t="s">
        <v>7</v>
      </c>
    </row>
    <row r="601" spans="1:6" x14ac:dyDescent="0.25">
      <c r="A601" s="7">
        <v>0.75787502458828959</v>
      </c>
      <c r="B601"/>
      <c r="C601"/>
      <c r="D601"/>
      <c r="E601"/>
      <c r="F601" s="27" t="s">
        <v>7</v>
      </c>
    </row>
    <row r="602" spans="1:6" x14ac:dyDescent="0.25">
      <c r="A602" s="7">
        <v>0.74301472998851925</v>
      </c>
      <c r="B602"/>
      <c r="C602"/>
      <c r="D602"/>
      <c r="E602"/>
      <c r="F602" s="27" t="s">
        <v>7</v>
      </c>
    </row>
    <row r="603" spans="1:6" x14ac:dyDescent="0.25">
      <c r="A603" s="7">
        <v>0.72844581371423456</v>
      </c>
      <c r="B603"/>
      <c r="C603"/>
      <c r="D603"/>
      <c r="E603"/>
      <c r="F603" s="27" t="s">
        <v>7</v>
      </c>
    </row>
    <row r="604" spans="1:6" x14ac:dyDescent="0.25">
      <c r="A604" s="7">
        <v>0.71416256246493581</v>
      </c>
      <c r="B604"/>
      <c r="C604"/>
      <c r="D604"/>
      <c r="E604"/>
      <c r="F604" s="27" t="s">
        <v>7</v>
      </c>
    </row>
    <row r="605" spans="1:6" x14ac:dyDescent="0.25">
      <c r="A605" s="7">
        <v>0.7001593749656233</v>
      </c>
      <c r="B605"/>
      <c r="C605"/>
      <c r="D605"/>
      <c r="E605"/>
      <c r="F605" s="27" t="s">
        <v>7</v>
      </c>
    </row>
    <row r="606" spans="1:6" x14ac:dyDescent="0.25">
      <c r="A606" s="7">
        <v>0.68643075977021883</v>
      </c>
      <c r="B606"/>
      <c r="C606"/>
      <c r="D606"/>
      <c r="E606"/>
      <c r="F606" s="27" t="s">
        <v>7</v>
      </c>
    </row>
    <row r="607" spans="1:6" x14ac:dyDescent="0.25">
      <c r="A607" s="7">
        <v>0.67297133310805768</v>
      </c>
      <c r="B607"/>
      <c r="C607"/>
      <c r="D607"/>
      <c r="E607"/>
      <c r="F607" s="27" t="s">
        <v>7</v>
      </c>
    </row>
    <row r="608" spans="1:6" x14ac:dyDescent="0.25">
      <c r="A608" s="7">
        <v>0.65977581677260566</v>
      </c>
      <c r="B608"/>
      <c r="C608"/>
      <c r="D608"/>
      <c r="E608"/>
      <c r="F608" s="27" t="s">
        <v>7</v>
      </c>
    </row>
    <row r="609" spans="1:6" x14ac:dyDescent="0.25">
      <c r="A609" s="7">
        <v>0.64683903605157422</v>
      </c>
      <c r="B609"/>
      <c r="C609"/>
      <c r="D609"/>
      <c r="E609"/>
      <c r="F609" s="27" t="s">
        <v>7</v>
      </c>
    </row>
    <row r="610" spans="1:6" x14ac:dyDescent="0.25">
      <c r="A610" s="7">
        <v>0.63415591769762181</v>
      </c>
      <c r="B610"/>
      <c r="C610"/>
      <c r="D610"/>
      <c r="E610"/>
      <c r="F610" s="27" t="s">
        <v>7</v>
      </c>
    </row>
    <row r="611" spans="1:6" x14ac:dyDescent="0.25">
      <c r="A611" s="7">
        <v>0.62172148793884496</v>
      </c>
      <c r="B611"/>
      <c r="C611"/>
      <c r="D611"/>
      <c r="E611"/>
      <c r="F611" s="27" t="s">
        <v>7</v>
      </c>
    </row>
    <row r="612" spans="1:6" x14ac:dyDescent="0.25">
      <c r="A612" s="7">
        <v>0.60953087052827937</v>
      </c>
      <c r="B612"/>
      <c r="C612"/>
      <c r="D612"/>
      <c r="E612"/>
      <c r="F612" s="27" t="s">
        <v>7</v>
      </c>
    </row>
    <row r="613" spans="1:6" x14ac:dyDescent="0.25">
      <c r="A613" s="7">
        <v>0.59757928483164646</v>
      </c>
      <c r="B613"/>
      <c r="C613"/>
      <c r="D613"/>
      <c r="E613"/>
      <c r="F613" s="27" t="s">
        <v>7</v>
      </c>
    </row>
    <row r="614" spans="1:6" x14ac:dyDescent="0.25">
      <c r="A614" s="7">
        <v>0.58586204395259456</v>
      </c>
      <c r="B614"/>
      <c r="C614"/>
      <c r="D614"/>
      <c r="E614"/>
      <c r="F614" s="27" t="s">
        <v>7</v>
      </c>
    </row>
    <row r="615" spans="1:6" x14ac:dyDescent="0.25">
      <c r="A615" s="7">
        <v>0.57437455289470052</v>
      </c>
      <c r="B615"/>
      <c r="C615"/>
      <c r="D615"/>
      <c r="E615"/>
      <c r="F615" s="27" t="s">
        <v>7</v>
      </c>
    </row>
    <row r="616" spans="1:6" x14ac:dyDescent="0.25">
      <c r="A616" s="7">
        <v>0.56311230675951029</v>
      </c>
      <c r="B616"/>
      <c r="C616"/>
      <c r="D616"/>
      <c r="E616"/>
      <c r="F616" s="27" t="s">
        <v>7</v>
      </c>
    </row>
    <row r="617" spans="1:6" x14ac:dyDescent="0.25">
      <c r="A617" s="7">
        <v>0.55207088897991208</v>
      </c>
      <c r="B617"/>
      <c r="C617"/>
      <c r="D617"/>
      <c r="E617"/>
      <c r="F617" s="27" t="s">
        <v>7</v>
      </c>
    </row>
    <row r="618" spans="1:6" x14ac:dyDescent="0.25">
      <c r="A618" s="7">
        <v>0.54124596958814908</v>
      </c>
      <c r="B618"/>
      <c r="C618"/>
      <c r="D618"/>
      <c r="E618"/>
      <c r="F618" s="27" t="s">
        <v>7</v>
      </c>
    </row>
    <row r="619" spans="1:6" x14ac:dyDescent="0.25">
      <c r="A619" s="7">
        <v>0.53063330351779314</v>
      </c>
      <c r="B619"/>
      <c r="C619"/>
      <c r="D619"/>
      <c r="E619"/>
      <c r="F619" s="27" t="s">
        <v>7</v>
      </c>
    </row>
    <row r="620" spans="1:6" x14ac:dyDescent="0.25">
      <c r="A620" s="7">
        <v>0.52022872893901284</v>
      </c>
      <c r="B620"/>
      <c r="C620"/>
      <c r="D620"/>
      <c r="E620"/>
      <c r="F620" s="27" t="s">
        <v>7</v>
      </c>
    </row>
    <row r="621" spans="1:6" x14ac:dyDescent="0.25">
      <c r="A621" s="7">
        <v>0.51002816562648323</v>
      </c>
      <c r="B621"/>
      <c r="C621"/>
      <c r="D621"/>
      <c r="E621"/>
      <c r="F621" s="27" t="s">
        <v>7</v>
      </c>
    </row>
    <row r="622" spans="1:6" x14ac:dyDescent="0.25">
      <c r="A622" s="7">
        <v>0.50002761335929735</v>
      </c>
      <c r="B622"/>
      <c r="C622"/>
      <c r="D622"/>
      <c r="E622"/>
      <c r="F622" s="27" t="s">
        <v>7</v>
      </c>
    </row>
    <row r="623" spans="1:6" x14ac:dyDescent="0.25">
      <c r="A623" s="7">
        <v>0.49022315035225228</v>
      </c>
      <c r="B623"/>
      <c r="C623"/>
      <c r="D623"/>
      <c r="E623"/>
      <c r="F623" s="27" t="s">
        <v>7</v>
      </c>
    </row>
    <row r="624" spans="1:6" x14ac:dyDescent="0.25">
      <c r="A624" s="7">
        <v>0.48061093171789437</v>
      </c>
      <c r="B624"/>
      <c r="C624"/>
      <c r="D624"/>
      <c r="E624"/>
      <c r="F624" s="27" t="s">
        <v>7</v>
      </c>
    </row>
    <row r="625" spans="1:6" x14ac:dyDescent="0.25">
      <c r="A625" s="7">
        <v>0.47118718795871994</v>
      </c>
      <c r="B625"/>
      <c r="C625"/>
      <c r="D625"/>
      <c r="E625"/>
      <c r="F625" s="27" t="s">
        <v>7</v>
      </c>
    </row>
    <row r="626" spans="1:6" x14ac:dyDescent="0.25">
      <c r="A626" s="7">
        <v>0.46194822348894116</v>
      </c>
      <c r="B626"/>
      <c r="C626"/>
      <c r="D626"/>
      <c r="E626"/>
      <c r="F626" s="27" t="s">
        <v>7</v>
      </c>
    </row>
    <row r="627" spans="1:6" x14ac:dyDescent="0.25">
      <c r="A627" s="7">
        <v>0.45289041518523643</v>
      </c>
      <c r="B627"/>
      <c r="C627"/>
      <c r="D627"/>
      <c r="E627"/>
      <c r="F627" s="27" t="s">
        <v>7</v>
      </c>
    </row>
    <row r="628" spans="1:6" x14ac:dyDescent="0.25">
      <c r="A628" s="7">
        <v>0.44401021096591808</v>
      </c>
      <c r="B628"/>
      <c r="C628"/>
      <c r="D628"/>
      <c r="E628"/>
      <c r="F628" s="27" t="s">
        <v>7</v>
      </c>
    </row>
    <row r="629" spans="1:6" x14ac:dyDescent="0.25">
      <c r="A629" s="7">
        <v>0.4353041283979589</v>
      </c>
      <c r="B629"/>
      <c r="C629"/>
      <c r="D629"/>
      <c r="E629"/>
      <c r="F629" s="27" t="s">
        <v>7</v>
      </c>
    </row>
    <row r="630" spans="1:6" x14ac:dyDescent="0.25">
      <c r="A630" s="7">
        <v>0.4267687533313323</v>
      </c>
      <c r="B630"/>
      <c r="C630"/>
      <c r="D630"/>
      <c r="E630"/>
      <c r="F630" s="27" t="s">
        <v>7</v>
      </c>
    </row>
    <row r="631" spans="1:6" x14ac:dyDescent="0.25">
      <c r="A631" s="7">
        <v>0.41840073856012971</v>
      </c>
      <c r="B631"/>
      <c r="C631"/>
      <c r="D631"/>
      <c r="E631"/>
      <c r="F631" s="27" t="s">
        <v>7</v>
      </c>
    </row>
    <row r="632" spans="1:6" x14ac:dyDescent="0.25">
      <c r="A632" s="7">
        <v>0.41019680250993112</v>
      </c>
      <c r="B632"/>
      <c r="C632"/>
      <c r="D632"/>
      <c r="E632"/>
      <c r="F632" s="27" t="s">
        <v>7</v>
      </c>
    </row>
    <row r="633" spans="1:6" x14ac:dyDescent="0.25">
      <c r="A633" s="7">
        <v>0.40215372795091286</v>
      </c>
      <c r="B633"/>
      <c r="C633"/>
      <c r="D633"/>
      <c r="E633"/>
      <c r="F633" s="27" t="s">
        <v>7</v>
      </c>
    </row>
    <row r="634" spans="1:6" x14ac:dyDescent="0.25">
      <c r="A634" s="7">
        <v>0.39426836073618904</v>
      </c>
      <c r="B634"/>
      <c r="C634"/>
      <c r="D634"/>
      <c r="E634"/>
      <c r="F634" s="27" t="s">
        <v>7</v>
      </c>
    </row>
    <row r="635" spans="1:6" x14ac:dyDescent="0.25">
      <c r="A635" s="7">
        <v>0.38653760856489122</v>
      </c>
      <c r="B635"/>
      <c r="C635"/>
      <c r="D635"/>
      <c r="E635"/>
      <c r="F635" s="27" t="s">
        <v>7</v>
      </c>
    </row>
    <row r="636" spans="1:6" x14ac:dyDescent="0.25">
      <c r="A636" s="7">
        <v>0.37895843976950117</v>
      </c>
      <c r="B636"/>
      <c r="C636"/>
      <c r="D636"/>
      <c r="E636"/>
      <c r="F636" s="27" t="s">
        <v>7</v>
      </c>
    </row>
    <row r="637" spans="1:6" x14ac:dyDescent="0.25">
      <c r="A637" s="7">
        <v>0.37152788212696197</v>
      </c>
      <c r="B637"/>
      <c r="C637"/>
      <c r="D637"/>
      <c r="E637"/>
      <c r="F637" s="27" t="s">
        <v>7</v>
      </c>
    </row>
    <row r="638" spans="1:6" x14ac:dyDescent="0.25">
      <c r="A638" s="7">
        <v>0.36424302169310002</v>
      </c>
      <c r="B638"/>
      <c r="C638"/>
      <c r="D638"/>
      <c r="E638"/>
      <c r="F638" s="27" t="s">
        <v>7</v>
      </c>
    </row>
    <row r="639" spans="1:6" x14ac:dyDescent="0.25">
      <c r="A639" s="7">
        <v>0.35710100165990194</v>
      </c>
      <c r="B639"/>
      <c r="C639"/>
      <c r="D639"/>
      <c r="E639"/>
      <c r="F639" s="27" t="s">
        <v>7</v>
      </c>
    </row>
    <row r="640" spans="1:6" x14ac:dyDescent="0.25">
      <c r="A640" s="7">
        <v>0.35009902123519804</v>
      </c>
      <c r="B640"/>
      <c r="C640"/>
      <c r="D640"/>
      <c r="E640"/>
      <c r="F640" s="27" t="s">
        <v>7</v>
      </c>
    </row>
    <row r="641" spans="1:6" x14ac:dyDescent="0.25">
      <c r="A641" s="7">
        <v>0.34323433454431179</v>
      </c>
      <c r="B641"/>
      <c r="C641"/>
      <c r="D641"/>
      <c r="E641"/>
      <c r="F641" s="27" t="s">
        <v>7</v>
      </c>
    </row>
    <row r="642" spans="1:6" x14ac:dyDescent="0.25">
      <c r="A642" s="7">
        <v>0.33650424955324681</v>
      </c>
      <c r="B642"/>
      <c r="C642"/>
      <c r="D642"/>
      <c r="E642"/>
      <c r="F642" s="27" t="s">
        <v>7</v>
      </c>
    </row>
    <row r="643" spans="1:6" x14ac:dyDescent="0.25">
      <c r="A643" s="7">
        <v>0.3299061270129871</v>
      </c>
      <c r="B643"/>
      <c r="C643"/>
      <c r="D643"/>
      <c r="E643"/>
      <c r="F643" s="27" t="s">
        <v>7</v>
      </c>
    </row>
    <row r="644" spans="1:6" x14ac:dyDescent="0.25">
      <c r="A644" s="7">
        <v>0.32343737942449713</v>
      </c>
      <c r="B644"/>
      <c r="C644"/>
      <c r="D644"/>
      <c r="E644"/>
      <c r="F644" s="27" t="s">
        <v>7</v>
      </c>
    </row>
    <row r="645" spans="1:6" x14ac:dyDescent="0.25">
      <c r="A645" s="7">
        <v>0.31709547002401678</v>
      </c>
      <c r="B645"/>
      <c r="C645"/>
      <c r="D645"/>
      <c r="E645"/>
      <c r="F645" s="27" t="s">
        <v>7</v>
      </c>
    </row>
    <row r="646" spans="1:6" x14ac:dyDescent="0.25">
      <c r="A646" s="7">
        <v>0.31087791178825175</v>
      </c>
      <c r="B646"/>
      <c r="C646"/>
      <c r="D646"/>
      <c r="E646"/>
      <c r="F646" s="27" t="s">
        <v>7</v>
      </c>
    </row>
    <row r="647" spans="1:6" x14ac:dyDescent="0.25">
      <c r="A647" s="7">
        <v>0.30478226645907036</v>
      </c>
      <c r="B647"/>
      <c r="C647"/>
      <c r="D647"/>
      <c r="E647"/>
      <c r="F647" s="27" t="s">
        <v>7</v>
      </c>
    </row>
    <row r="648" spans="1:6" x14ac:dyDescent="0.25">
      <c r="A648" s="7">
        <v>0.29880614358732388</v>
      </c>
      <c r="B648"/>
      <c r="C648"/>
      <c r="D648"/>
      <c r="E648"/>
      <c r="F648" s="27" t="s">
        <v>7</v>
      </c>
    </row>
    <row r="649" spans="1:6" x14ac:dyDescent="0.25">
      <c r="A649" s="7">
        <v>0.2929471995954156</v>
      </c>
      <c r="B649"/>
      <c r="C649"/>
      <c r="D649"/>
      <c r="E649"/>
      <c r="F649" s="27" t="s">
        <v>7</v>
      </c>
    </row>
    <row r="650" spans="1:6" x14ac:dyDescent="0.25">
      <c r="A650" s="7">
        <v>0.28720313685825055</v>
      </c>
      <c r="B650"/>
      <c r="C650"/>
      <c r="D650"/>
      <c r="E650"/>
      <c r="F650" s="27" t="s">
        <v>7</v>
      </c>
    </row>
    <row r="651" spans="1:6" x14ac:dyDescent="0.25">
      <c r="A651" s="7">
        <v>0.28157170280220645</v>
      </c>
      <c r="B651"/>
      <c r="C651"/>
      <c r="D651"/>
      <c r="E651"/>
      <c r="F651" s="27" t="s">
        <v>7</v>
      </c>
    </row>
    <row r="652" spans="1:6" x14ac:dyDescent="0.25">
      <c r="A652" s="7">
        <v>0.27605068902177105</v>
      </c>
      <c r="B652"/>
      <c r="C652"/>
      <c r="D652"/>
      <c r="E652"/>
      <c r="F652" s="27" t="s">
        <v>7</v>
      </c>
    </row>
    <row r="653" spans="1:6" x14ac:dyDescent="0.25">
      <c r="A653" s="7">
        <v>0.27063793041350104</v>
      </c>
      <c r="B653"/>
      <c r="C653"/>
      <c r="D653"/>
      <c r="E653"/>
      <c r="F653" s="27" t="s">
        <v>7</v>
      </c>
    </row>
    <row r="654" spans="1:6" x14ac:dyDescent="0.25">
      <c r="A654" s="7">
        <v>0.26533130432696184</v>
      </c>
      <c r="B654"/>
      <c r="C654"/>
      <c r="D654"/>
      <c r="E654"/>
      <c r="F654" s="27" t="s">
        <v>7</v>
      </c>
    </row>
    <row r="655" spans="1:6" x14ac:dyDescent="0.25">
      <c r="A655" s="7">
        <v>0.26012872973231554</v>
      </c>
      <c r="B655"/>
      <c r="C655"/>
      <c r="D655"/>
      <c r="E655"/>
      <c r="F655" s="27" t="s">
        <v>7</v>
      </c>
    </row>
    <row r="656" spans="1:6" x14ac:dyDescent="0.25">
      <c r="A656" s="7">
        <v>0.25502816640423093</v>
      </c>
      <c r="B656"/>
      <c r="C656"/>
      <c r="D656"/>
      <c r="E656"/>
      <c r="F656" s="27" t="s">
        <v>7</v>
      </c>
    </row>
    <row r="657" spans="1:6" x14ac:dyDescent="0.25">
      <c r="A657" s="7">
        <v>0.25002761412179503</v>
      </c>
      <c r="B657"/>
      <c r="C657"/>
      <c r="D657"/>
      <c r="E657"/>
      <c r="F657" s="27" t="s">
        <v>7</v>
      </c>
    </row>
    <row r="658" spans="1:6" x14ac:dyDescent="0.25">
      <c r="A658" s="7">
        <v>0.24512511188411276</v>
      </c>
      <c r="B658"/>
      <c r="C658"/>
      <c r="D658"/>
      <c r="E658"/>
      <c r="F658" s="27" t="s">
        <v>7</v>
      </c>
    </row>
    <row r="659" spans="1:6" x14ac:dyDescent="0.25">
      <c r="A659" s="7">
        <v>0.24031873714128701</v>
      </c>
      <c r="B659"/>
      <c r="C659"/>
      <c r="D659"/>
      <c r="E659"/>
      <c r="F659" s="27" t="s">
        <v>7</v>
      </c>
    </row>
    <row r="660" spans="1:6" x14ac:dyDescent="0.25">
      <c r="A660" s="7">
        <v>0.23560660504047748</v>
      </c>
      <c r="B660"/>
      <c r="C660"/>
      <c r="D660"/>
      <c r="E660"/>
      <c r="F660" s="27" t="s">
        <v>7</v>
      </c>
    </row>
    <row r="661" spans="1:6" x14ac:dyDescent="0.25">
      <c r="A661" s="7">
        <v>0.23098686768674265</v>
      </c>
      <c r="B661"/>
      <c r="C661"/>
      <c r="D661"/>
      <c r="E661"/>
      <c r="F661" s="27" t="s">
        <v>7</v>
      </c>
    </row>
    <row r="662" spans="1:6" x14ac:dyDescent="0.25">
      <c r="A662" s="7">
        <v>0.22645771341837515</v>
      </c>
      <c r="B662"/>
      <c r="C662"/>
      <c r="D662"/>
      <c r="E662"/>
      <c r="F662" s="27" t="s">
        <v>7</v>
      </c>
    </row>
    <row r="663" spans="1:6" x14ac:dyDescent="0.25">
      <c r="A663" s="7">
        <v>0.22201736609644623</v>
      </c>
      <c r="B663"/>
      <c r="C663"/>
      <c r="D663"/>
      <c r="E663"/>
      <c r="F663" s="27" t="s">
        <v>7</v>
      </c>
    </row>
    <row r="664" spans="1:6" x14ac:dyDescent="0.25">
      <c r="A664" s="7">
        <v>0.21766408440828061</v>
      </c>
      <c r="B664"/>
      <c r="C664"/>
      <c r="D664"/>
      <c r="E664"/>
      <c r="F664" s="27" t="s">
        <v>7</v>
      </c>
    </row>
    <row r="665" spans="1:6" x14ac:dyDescent="0.25">
      <c r="A665" s="7">
        <v>0.21339616118458882</v>
      </c>
      <c r="B665"/>
      <c r="C665"/>
      <c r="D665"/>
      <c r="E665"/>
      <c r="F665" s="27" t="s">
        <v>7</v>
      </c>
    </row>
    <row r="666" spans="1:6" x14ac:dyDescent="0.25">
      <c r="A666" s="7">
        <v>0.20921192272998904</v>
      </c>
      <c r="B666"/>
      <c r="C666"/>
      <c r="D666"/>
      <c r="E666"/>
      <c r="F666" s="27" t="s">
        <v>7</v>
      </c>
    </row>
    <row r="667" spans="1:6" x14ac:dyDescent="0.25">
      <c r="A667" s="7">
        <v>0.20510972816665593</v>
      </c>
      <c r="B667"/>
      <c r="C667"/>
      <c r="D667"/>
      <c r="E667"/>
      <c r="F667" s="27" t="s">
        <v>7</v>
      </c>
    </row>
    <row r="668" spans="1:6" x14ac:dyDescent="0.25">
      <c r="A668" s="7">
        <v>0.20108796879083912</v>
      </c>
      <c r="B668"/>
      <c r="C668"/>
      <c r="D668"/>
      <c r="E668"/>
      <c r="F668" s="27" t="s">
        <v>7</v>
      </c>
    </row>
    <row r="669" spans="1:6" x14ac:dyDescent="0.25">
      <c r="A669" s="7">
        <v>0.19714506744199917</v>
      </c>
      <c r="B669"/>
      <c r="C669"/>
      <c r="D669"/>
      <c r="E669"/>
      <c r="F669" s="27" t="s">
        <v>7</v>
      </c>
    </row>
    <row r="670" spans="1:6" x14ac:dyDescent="0.25">
      <c r="A670" s="7">
        <v>0.19327947788431293</v>
      </c>
      <c r="B670"/>
      <c r="C670"/>
      <c r="D670"/>
      <c r="E670"/>
      <c r="F670" s="27" t="s">
        <v>7</v>
      </c>
    </row>
    <row r="671" spans="1:6" x14ac:dyDescent="0.25">
      <c r="A671" s="7">
        <v>0.18948968420030682</v>
      </c>
      <c r="B671"/>
      <c r="C671"/>
      <c r="D671"/>
      <c r="E671"/>
      <c r="F671" s="27" t="s">
        <v>7</v>
      </c>
    </row>
    <row r="672" spans="1:6" x14ac:dyDescent="0.25">
      <c r="A672" s="7">
        <v>0.18577420019637925</v>
      </c>
      <c r="B672"/>
      <c r="C672"/>
      <c r="D672"/>
      <c r="E672"/>
      <c r="F672" s="27" t="s">
        <v>7</v>
      </c>
    </row>
    <row r="673" spans="1:6" x14ac:dyDescent="0.25">
      <c r="A673" s="7">
        <v>0.18213156881997963</v>
      </c>
      <c r="B673"/>
      <c r="C673"/>
      <c r="D673"/>
      <c r="E673"/>
      <c r="F673" s="27" t="s">
        <v>7</v>
      </c>
    </row>
    <row r="674" spans="1:6" x14ac:dyDescent="0.25">
      <c r="A674" s="7">
        <v>0.17856036158821534</v>
      </c>
      <c r="B674"/>
      <c r="C674"/>
      <c r="D674"/>
      <c r="E674"/>
      <c r="F674" s="27" t="s">
        <v>7</v>
      </c>
    </row>
    <row r="675" spans="1:6" x14ac:dyDescent="0.25">
      <c r="A675" s="7">
        <v>0.17505917802766208</v>
      </c>
      <c r="B675"/>
      <c r="C675"/>
      <c r="D675"/>
      <c r="E675"/>
      <c r="F675" s="27" t="s">
        <v>7</v>
      </c>
    </row>
    <row r="676" spans="1:6" x14ac:dyDescent="0.25">
      <c r="A676" s="7">
        <v>0.17162664512515888</v>
      </c>
      <c r="B676"/>
      <c r="C676"/>
      <c r="D676"/>
      <c r="E676"/>
      <c r="F676" s="27" t="s">
        <v>7</v>
      </c>
    </row>
    <row r="677" spans="1:6" x14ac:dyDescent="0.25">
      <c r="A677" s="7">
        <v>0.16826141678937145</v>
      </c>
      <c r="B677"/>
      <c r="C677"/>
      <c r="D677"/>
      <c r="E677"/>
      <c r="F677" s="27" t="s">
        <v>7</v>
      </c>
    </row>
    <row r="678" spans="1:6" x14ac:dyDescent="0.25">
      <c r="A678" s="7">
        <v>0.16496217332291319</v>
      </c>
      <c r="B678"/>
      <c r="C678"/>
      <c r="D678"/>
      <c r="E678"/>
      <c r="F678" s="27" t="s">
        <v>7</v>
      </c>
    </row>
    <row r="679" spans="1:6" x14ac:dyDescent="0.25">
      <c r="A679" s="7">
        <v>0.16172762090481685</v>
      </c>
      <c r="B679"/>
      <c r="C679"/>
      <c r="D679"/>
      <c r="E679"/>
      <c r="F679" s="27" t="s">
        <v>7</v>
      </c>
    </row>
    <row r="680" spans="1:6" x14ac:dyDescent="0.25">
      <c r="A680" s="7">
        <v>0.15855649108315376</v>
      </c>
      <c r="B680"/>
      <c r="C680"/>
      <c r="D680"/>
      <c r="E680"/>
      <c r="F680" s="27" t="s">
        <v>7</v>
      </c>
    </row>
    <row r="681" spans="1:6" x14ac:dyDescent="0.25">
      <c r="A681" s="7">
        <v>0.15544754027760171</v>
      </c>
      <c r="B681"/>
      <c r="C681"/>
      <c r="D681"/>
      <c r="E681"/>
      <c r="F681" s="27" t="s">
        <v>7</v>
      </c>
    </row>
    <row r="682" spans="1:6" x14ac:dyDescent="0.25">
      <c r="A682" s="7">
        <v>0.15239954929176638</v>
      </c>
      <c r="B682"/>
      <c r="C682"/>
      <c r="D682"/>
      <c r="E682"/>
      <c r="F682" s="27" t="s">
        <v>7</v>
      </c>
    </row>
    <row r="683" spans="1:6" x14ac:dyDescent="0.25">
      <c r="A683" s="7">
        <v>0.14941132283506509</v>
      </c>
      <c r="B683"/>
      <c r="C683"/>
      <c r="D683"/>
      <c r="E683"/>
      <c r="F683" s="27" t="s">
        <v>7</v>
      </c>
    </row>
    <row r="684" spans="1:6" x14ac:dyDescent="0.25">
      <c r="A684" s="7">
        <v>0.14648168905398537</v>
      </c>
      <c r="B684"/>
      <c r="C684"/>
      <c r="D684"/>
      <c r="E684"/>
      <c r="F684" s="27" t="s">
        <v>7</v>
      </c>
    </row>
    <row r="685" spans="1:6" x14ac:dyDescent="0.25">
      <c r="A685" s="7">
        <v>0.14360949907253467</v>
      </c>
      <c r="B685"/>
      <c r="C685"/>
      <c r="D685"/>
      <c r="E685"/>
      <c r="F685" s="27" t="s">
        <v>7</v>
      </c>
    </row>
    <row r="686" spans="1:6" x14ac:dyDescent="0.25">
      <c r="A686" s="7">
        <v>0.14079362654170066</v>
      </c>
      <c r="B686"/>
      <c r="C686"/>
      <c r="D686"/>
      <c r="E686"/>
      <c r="F686" s="27" t="s">
        <v>7</v>
      </c>
    </row>
    <row r="687" spans="1:6" x14ac:dyDescent="0.25">
      <c r="A687" s="7">
        <v>0.13803296719774574</v>
      </c>
      <c r="B687"/>
      <c r="C687"/>
      <c r="D687"/>
      <c r="E687"/>
      <c r="F687" s="27" t="s">
        <v>7</v>
      </c>
    </row>
    <row r="688" spans="1:6" x14ac:dyDescent="0.25">
      <c r="A688" s="7">
        <v>0.1353264384291625</v>
      </c>
      <c r="B688"/>
      <c r="C688"/>
      <c r="D688"/>
      <c r="E688"/>
      <c r="F688" s="27" t="s">
        <v>7</v>
      </c>
    </row>
    <row r="689" spans="1:6" x14ac:dyDescent="0.25">
      <c r="A689" s="7">
        <v>0.13267297885212009</v>
      </c>
      <c r="B689"/>
      <c r="C689"/>
      <c r="D689"/>
      <c r="E689"/>
      <c r="F689" s="27" t="s">
        <v>7</v>
      </c>
    </row>
    <row r="690" spans="1:6" x14ac:dyDescent="0.25">
      <c r="A690" s="7">
        <v>0.13007154789423539</v>
      </c>
      <c r="B690"/>
      <c r="C690"/>
      <c r="D690"/>
      <c r="E690"/>
      <c r="F690" s="27" t="s">
        <v>7</v>
      </c>
    </row>
    <row r="691" spans="1:6" x14ac:dyDescent="0.25">
      <c r="A691" s="7">
        <v>0.12752112538650529</v>
      </c>
      <c r="B691"/>
      <c r="C691"/>
      <c r="D691"/>
      <c r="E691"/>
      <c r="F691" s="27" t="s">
        <v>7</v>
      </c>
    </row>
    <row r="692" spans="1:6" x14ac:dyDescent="0.25">
      <c r="A692" s="7">
        <v>0.12502071116324048</v>
      </c>
      <c r="B692"/>
      <c r="C692"/>
      <c r="D692"/>
      <c r="E692"/>
      <c r="F692" s="27" t="s">
        <v>7</v>
      </c>
    </row>
    <row r="693" spans="1:6" x14ac:dyDescent="0.25">
      <c r="A693" s="7">
        <v>0.1225693246698436</v>
      </c>
      <c r="B693"/>
      <c r="C693"/>
      <c r="D693"/>
      <c r="E693"/>
      <c r="F693" s="27" t="s">
        <v>7</v>
      </c>
    </row>
    <row r="694" spans="1:6" x14ac:dyDescent="0.25">
      <c r="A694" s="7">
        <v>0.12016600457827803</v>
      </c>
      <c r="B694"/>
      <c r="C694"/>
      <c r="D694"/>
      <c r="E694"/>
      <c r="F694" s="27" t="s">
        <v>7</v>
      </c>
    </row>
    <row r="695" spans="1:6" x14ac:dyDescent="0.25">
      <c r="A695" s="7">
        <v>0.1178098084100765</v>
      </c>
      <c r="B695"/>
      <c r="C695"/>
      <c r="D695"/>
      <c r="E695"/>
      <c r="F695" s="27" t="s">
        <v>7</v>
      </c>
    </row>
    <row r="696" spans="1:6" x14ac:dyDescent="0.25">
      <c r="A696" s="7">
        <v>0.11549981216674166</v>
      </c>
      <c r="B696"/>
      <c r="C696"/>
      <c r="D696"/>
      <c r="E696"/>
      <c r="F696" s="27" t="s">
        <v>7</v>
      </c>
    </row>
    <row r="697" spans="1:6" x14ac:dyDescent="0.25">
      <c r="A697" s="7">
        <v>0.11323510996739378</v>
      </c>
      <c r="B697"/>
      <c r="C697"/>
      <c r="D697"/>
      <c r="E697"/>
      <c r="F697" s="27" t="s">
        <v>7</v>
      </c>
    </row>
    <row r="698" spans="1:6" x14ac:dyDescent="0.25">
      <c r="A698" s="7">
        <v>0.11101481369352331</v>
      </c>
      <c r="B698"/>
      <c r="C698"/>
      <c r="D698"/>
      <c r="E698"/>
      <c r="F698" s="27" t="s">
        <v>7</v>
      </c>
    </row>
    <row r="699" spans="1:6" x14ac:dyDescent="0.25">
      <c r="A699" s="7">
        <v>0.10883805264070913</v>
      </c>
      <c r="B699"/>
      <c r="C699"/>
      <c r="D699"/>
      <c r="E699"/>
      <c r="F699" s="27" t="s">
        <v>7</v>
      </c>
    </row>
    <row r="700" spans="1:6" x14ac:dyDescent="0.25">
      <c r="A700" s="7">
        <v>0.10670397317716582</v>
      </c>
      <c r="B700"/>
      <c r="C700"/>
      <c r="D700"/>
      <c r="E700"/>
      <c r="F700" s="27" t="s">
        <v>7</v>
      </c>
    </row>
    <row r="701" spans="1:6" x14ac:dyDescent="0.25">
      <c r="A701" s="7">
        <v>0.1046117384089861</v>
      </c>
      <c r="B701"/>
      <c r="C701"/>
      <c r="D701"/>
      <c r="E701"/>
      <c r="F701" s="27" t="s">
        <v>7</v>
      </c>
    </row>
    <row r="702" spans="1:6" x14ac:dyDescent="0.25">
      <c r="A702" s="7">
        <v>0.10256052785194716</v>
      </c>
      <c r="B702"/>
      <c r="C702"/>
      <c r="D702"/>
      <c r="E702"/>
      <c r="F702" s="27" t="s">
        <v>7</v>
      </c>
    </row>
    <row r="703" spans="1:6" x14ac:dyDescent="0.25">
      <c r="A703" s="7">
        <v>0.10054953710975212</v>
      </c>
      <c r="B703"/>
      <c r="C703"/>
      <c r="D703"/>
      <c r="E703"/>
      <c r="F703" s="27" t="s">
        <v>7</v>
      </c>
    </row>
    <row r="704" spans="1:6" x14ac:dyDescent="0.25">
      <c r="A704" s="7">
        <v>9.8577977558580512E-2</v>
      </c>
      <c r="B704"/>
      <c r="C704"/>
      <c r="D704"/>
      <c r="E704"/>
      <c r="F704" s="27" t="s">
        <v>7</v>
      </c>
    </row>
    <row r="705" spans="1:6" x14ac:dyDescent="0.25">
      <c r="A705" s="7">
        <v>9.6645076037824032E-2</v>
      </c>
      <c r="B705"/>
      <c r="C705"/>
      <c r="D705"/>
      <c r="E705"/>
      <c r="F705" s="27" t="s">
        <v>7</v>
      </c>
    </row>
    <row r="706" spans="1:6" x14ac:dyDescent="0.25">
      <c r="A706" s="7">
        <v>9.4750074546886304E-2</v>
      </c>
      <c r="B706"/>
      <c r="C706"/>
      <c r="D706"/>
      <c r="E706"/>
      <c r="F706" s="27" t="s">
        <v>7</v>
      </c>
    </row>
    <row r="707" spans="1:6" x14ac:dyDescent="0.25">
      <c r="A707" s="7">
        <v>9.2892229947927743E-2</v>
      </c>
      <c r="B707"/>
      <c r="C707"/>
      <c r="D707"/>
      <c r="E707"/>
      <c r="F707" s="27" t="s">
        <v>7</v>
      </c>
    </row>
    <row r="708" spans="1:6" x14ac:dyDescent="0.25">
      <c r="A708" s="7">
        <v>9.1070813674438963E-2</v>
      </c>
      <c r="B708"/>
      <c r="C708"/>
      <c r="D708"/>
      <c r="E708"/>
      <c r="F708" s="27" t="s">
        <v>7</v>
      </c>
    </row>
    <row r="709" spans="1:6" x14ac:dyDescent="0.25">
      <c r="A709" s="7">
        <v>8.9285111445528392E-2</v>
      </c>
      <c r="B709"/>
      <c r="C709"/>
      <c r="D709"/>
      <c r="E709"/>
      <c r="F709" s="27" t="s">
        <v>7</v>
      </c>
    </row>
    <row r="710" spans="1:6" x14ac:dyDescent="0.25">
      <c r="A710" s="7">
        <v>8.7534422985812155E-2</v>
      </c>
      <c r="B710"/>
      <c r="C710"/>
      <c r="D710"/>
      <c r="E710"/>
      <c r="F710" s="27" t="s">
        <v>7</v>
      </c>
    </row>
    <row r="711" spans="1:6" x14ac:dyDescent="0.25">
      <c r="A711" s="7">
        <v>8.5818061750796232E-2</v>
      </c>
      <c r="B711"/>
      <c r="C711"/>
      <c r="D711"/>
      <c r="E711"/>
      <c r="F711" s="27" t="s">
        <v>7</v>
      </c>
    </row>
    <row r="712" spans="1:6" x14ac:dyDescent="0.25">
      <c r="A712" s="7">
        <v>8.4135354657643366E-2</v>
      </c>
      <c r="B712"/>
      <c r="C712"/>
      <c r="D712"/>
      <c r="E712"/>
      <c r="F712" s="27" t="s">
        <v>7</v>
      </c>
    </row>
    <row r="713" spans="1:6" x14ac:dyDescent="0.25">
      <c r="A713" s="7">
        <v>8.248564182121898E-2</v>
      </c>
      <c r="B713"/>
      <c r="C713"/>
      <c r="D713"/>
      <c r="E713"/>
      <c r="F713" s="27" t="s">
        <v>7</v>
      </c>
    </row>
    <row r="714" spans="1:6" x14ac:dyDescent="0.25">
      <c r="A714" s="7">
        <v>8.0868276295312735E-2</v>
      </c>
      <c r="B714"/>
      <c r="C714"/>
      <c r="D714"/>
      <c r="E714"/>
      <c r="F714" s="27" t="s">
        <v>7</v>
      </c>
    </row>
    <row r="715" spans="1:6" x14ac:dyDescent="0.25">
      <c r="A715" s="7">
        <v>7.9282623818934056E-2</v>
      </c>
      <c r="B715"/>
      <c r="C715"/>
      <c r="D715"/>
      <c r="E715"/>
      <c r="F715" s="27" t="s">
        <v>7</v>
      </c>
    </row>
    <row r="716" spans="1:6" x14ac:dyDescent="0.25">
      <c r="A716" s="7">
        <v>7.7728062567582412E-2</v>
      </c>
      <c r="B716"/>
      <c r="C716"/>
      <c r="D716"/>
      <c r="E716"/>
      <c r="F716" s="27" t="s">
        <v>7</v>
      </c>
    </row>
    <row r="717" spans="1:6" x14ac:dyDescent="0.25">
      <c r="A717" s="7">
        <v>7.6203982909394521E-2</v>
      </c>
      <c r="B717"/>
      <c r="C717"/>
      <c r="D717"/>
      <c r="E717"/>
      <c r="F717" s="27" t="s">
        <v>7</v>
      </c>
    </row>
    <row r="718" spans="1:6" x14ac:dyDescent="0.25">
      <c r="A718" s="7">
        <v>7.4709787166073058E-2</v>
      </c>
      <c r="B718"/>
      <c r="C718"/>
      <c r="D718"/>
      <c r="E718"/>
      <c r="F718" s="27" t="s">
        <v>7</v>
      </c>
    </row>
    <row r="719" spans="1:6" x14ac:dyDescent="0.25">
      <c r="A719" s="7">
        <v>7.3244889378503E-2</v>
      </c>
      <c r="B719"/>
      <c r="C719"/>
      <c r="D719"/>
      <c r="E719"/>
      <c r="F719" s="27" t="s">
        <v>7</v>
      </c>
    </row>
    <row r="720" spans="1:6" x14ac:dyDescent="0.25">
      <c r="A720" s="7">
        <v>7.1808715076963722E-2</v>
      </c>
      <c r="B720"/>
      <c r="C720"/>
      <c r="D720"/>
      <c r="E720"/>
      <c r="F720" s="27" t="s">
        <v>7</v>
      </c>
    </row>
    <row r="721" spans="1:6" x14ac:dyDescent="0.25">
      <c r="A721" s="7">
        <v>7.0400701055846782E-2</v>
      </c>
      <c r="B721"/>
      <c r="C721"/>
      <c r="D721"/>
      <c r="E721"/>
      <c r="F721" s="27" t="s">
        <v>7</v>
      </c>
    </row>
    <row r="722" spans="1:6" x14ac:dyDescent="0.25">
      <c r="A722" s="7">
        <v>6.9020295152790956E-2</v>
      </c>
      <c r="B722"/>
      <c r="C722"/>
      <c r="D722"/>
      <c r="E722"/>
      <c r="F722" s="27" t="s">
        <v>7</v>
      </c>
    </row>
    <row r="723" spans="1:6" x14ac:dyDescent="0.25">
      <c r="A723" s="7">
        <v>6.7666956032147993E-2</v>
      </c>
      <c r="B723"/>
      <c r="C723"/>
      <c r="D723"/>
      <c r="E723"/>
      <c r="F723" s="27" t="s">
        <v>7</v>
      </c>
    </row>
    <row r="724" spans="1:6" x14ac:dyDescent="0.25">
      <c r="A724" s="7">
        <v>6.6340152972694105E-2</v>
      </c>
      <c r="B724"/>
      <c r="C724"/>
      <c r="D724"/>
      <c r="E724"/>
      <c r="F724" s="27" t="s">
        <v>7</v>
      </c>
    </row>
    <row r="725" spans="1:6" x14ac:dyDescent="0.25">
      <c r="A725" s="7">
        <v>6.5039365659504023E-2</v>
      </c>
      <c r="B725"/>
      <c r="C725"/>
      <c r="D725"/>
      <c r="E725"/>
      <c r="F725" s="27" t="s">
        <v>7</v>
      </c>
    </row>
    <row r="726" spans="1:6" x14ac:dyDescent="0.25">
      <c r="A726" s="7">
        <v>6.3764083979905906E-2</v>
      </c>
      <c r="B726"/>
      <c r="C726"/>
      <c r="D726"/>
      <c r="E726"/>
      <c r="F726" s="27" t="s">
        <v>7</v>
      </c>
    </row>
    <row r="727" spans="1:6" x14ac:dyDescent="0.25">
      <c r="A727" s="7">
        <v>6.251380782343717E-2</v>
      </c>
      <c r="B727"/>
      <c r="C727"/>
      <c r="D727"/>
      <c r="E727"/>
      <c r="F727" s="27" t="s">
        <v>7</v>
      </c>
    </row>
    <row r="728" spans="1:6" x14ac:dyDescent="0.25">
      <c r="A728" s="7">
        <v>6.1288046885722716E-2</v>
      </c>
      <c r="B728"/>
      <c r="C728"/>
      <c r="D728"/>
      <c r="E728"/>
      <c r="F728" s="27" t="s">
        <v>7</v>
      </c>
    </row>
    <row r="729" spans="1:6" x14ac:dyDescent="0.25">
      <c r="A729" s="7">
        <v>6.0086320476198739E-2</v>
      </c>
      <c r="B729"/>
      <c r="C729"/>
      <c r="D729"/>
      <c r="E729"/>
      <c r="F729" s="27" t="s">
        <v>7</v>
      </c>
    </row>
    <row r="730" spans="1:6" x14ac:dyDescent="0.25">
      <c r="A730" s="7">
        <v>5.8908157329606609E-2</v>
      </c>
      <c r="B730"/>
      <c r="C730"/>
      <c r="D730"/>
      <c r="E730"/>
      <c r="F730" s="27" t="s">
        <v>7</v>
      </c>
    </row>
    <row r="731" spans="1:6" x14ac:dyDescent="0.25">
      <c r="A731" s="7">
        <v>5.7753095421182947E-2</v>
      </c>
      <c r="B731"/>
      <c r="C731"/>
      <c r="D731"/>
      <c r="E731"/>
      <c r="F731" s="27" t="s">
        <v>7</v>
      </c>
    </row>
    <row r="732" spans="1:6" x14ac:dyDescent="0.25">
      <c r="A732" s="7">
        <v>5.6620681785473484E-2</v>
      </c>
      <c r="B732"/>
      <c r="C732"/>
      <c r="D732"/>
      <c r="E732"/>
      <c r="F732" s="27" t="s">
        <v>7</v>
      </c>
    </row>
    <row r="733" spans="1:6" x14ac:dyDescent="0.25">
      <c r="A733" s="7">
        <v>5.5510472338699497E-2</v>
      </c>
      <c r="B733"/>
      <c r="C733"/>
      <c r="D733"/>
      <c r="E733"/>
      <c r="F733" s="27" t="s">
        <v>7</v>
      </c>
    </row>
    <row r="734" spans="1:6" x14ac:dyDescent="0.25">
      <c r="A734" s="7">
        <v>5.4422031704607354E-2</v>
      </c>
      <c r="B734"/>
      <c r="C734"/>
      <c r="D734"/>
      <c r="E734"/>
      <c r="F734" s="27" t="s">
        <v>7</v>
      </c>
    </row>
    <row r="735" spans="1:6" x14ac:dyDescent="0.25">
      <c r="A735" s="7">
        <v>5.3354933043732705E-2</v>
      </c>
      <c r="B735"/>
      <c r="C735"/>
      <c r="D735"/>
      <c r="E735"/>
      <c r="F735" s="27" t="s">
        <v>7</v>
      </c>
    </row>
    <row r="736" spans="1:6" x14ac:dyDescent="0.25">
      <c r="A736" s="7">
        <v>5.2308757886012455E-2</v>
      </c>
      <c r="B736"/>
      <c r="C736"/>
      <c r="D736"/>
      <c r="E736"/>
      <c r="F736" s="27" t="s">
        <v>7</v>
      </c>
    </row>
    <row r="737" spans="1:6" x14ac:dyDescent="0.25">
      <c r="A737" s="7">
        <v>5.1283095966678877E-2</v>
      </c>
      <c r="B737"/>
      <c r="C737"/>
      <c r="D737"/>
      <c r="E737"/>
      <c r="F737" s="27" t="s">
        <v>7</v>
      </c>
    </row>
    <row r="738" spans="1:6" x14ac:dyDescent="0.25">
      <c r="A738" s="7">
        <v>5.0277545065371444E-2</v>
      </c>
      <c r="B738"/>
      <c r="C738"/>
      <c r="D738"/>
      <c r="E738"/>
      <c r="F738" s="27" t="s">
        <v>7</v>
      </c>
    </row>
    <row r="739" spans="1:6" x14ac:dyDescent="0.25">
      <c r="A739" s="7">
        <v>4.9291710848403378E-2</v>
      </c>
      <c r="B739"/>
      <c r="C739"/>
      <c r="D739"/>
      <c r="E739"/>
      <c r="F739" s="27" t="s">
        <v>7</v>
      </c>
    </row>
    <row r="740" spans="1:6" x14ac:dyDescent="0.25">
      <c r="A740" s="7">
        <v>4.8325206714120959E-2</v>
      </c>
      <c r="B740"/>
      <c r="C740"/>
      <c r="D740"/>
      <c r="E740"/>
      <c r="F740" s="27" t="s">
        <v>7</v>
      </c>
    </row>
    <row r="741" spans="1:6" x14ac:dyDescent="0.25">
      <c r="A741" s="7">
        <v>4.7377653641295057E-2</v>
      </c>
      <c r="B741"/>
      <c r="C741"/>
      <c r="D741"/>
      <c r="E741"/>
      <c r="F741" s="27" t="s">
        <v>7</v>
      </c>
    </row>
    <row r="742" spans="1:6" x14ac:dyDescent="0.25">
      <c r="A742" s="7">
        <v>4.644868004048535E-2</v>
      </c>
      <c r="B742"/>
      <c r="C742"/>
      <c r="D742"/>
      <c r="E742"/>
      <c r="F742" s="27" t="s">
        <v>7</v>
      </c>
    </row>
    <row r="743" spans="1:6" x14ac:dyDescent="0.25">
      <c r="A743" s="7">
        <v>4.5537921608318974E-2</v>
      </c>
      <c r="B743"/>
      <c r="C743"/>
      <c r="D743"/>
      <c r="E743"/>
      <c r="F743" s="27" t="s">
        <v>7</v>
      </c>
    </row>
    <row r="744" spans="1:6" x14ac:dyDescent="0.25">
      <c r="A744" s="7">
        <v>4.4645021184626446E-2</v>
      </c>
      <c r="B744"/>
      <c r="C744"/>
      <c r="D744"/>
      <c r="E744"/>
      <c r="F744" s="27" t="s">
        <v>7</v>
      </c>
    </row>
    <row r="745" spans="1:6" x14ac:dyDescent="0.25">
      <c r="A745" s="7">
        <v>4.3769628612378868E-2</v>
      </c>
      <c r="B745"/>
      <c r="C745"/>
      <c r="D745"/>
      <c r="E745"/>
      <c r="F745" s="27" t="s">
        <v>7</v>
      </c>
    </row>
    <row r="746" spans="1:6" x14ac:dyDescent="0.25">
      <c r="A746" s="7">
        <v>4.2911400600371442E-2</v>
      </c>
      <c r="B746"/>
      <c r="C746"/>
      <c r="D746"/>
      <c r="E746"/>
      <c r="F746" s="27" t="s">
        <v>7</v>
      </c>
    </row>
    <row r="747" spans="1:6" x14ac:dyDescent="0.25">
      <c r="A747" s="7">
        <v>4.2070000588599457E-2</v>
      </c>
      <c r="B747"/>
      <c r="C747"/>
      <c r="D747"/>
      <c r="E747"/>
      <c r="F747" s="27" t="s">
        <v>7</v>
      </c>
    </row>
    <row r="748" spans="1:6" x14ac:dyDescent="0.25">
      <c r="A748" s="7">
        <v>4.1245098616273977E-2</v>
      </c>
      <c r="B748"/>
      <c r="C748"/>
      <c r="D748"/>
      <c r="E748"/>
      <c r="F748" s="27" t="s">
        <v>7</v>
      </c>
    </row>
    <row r="749" spans="1:6" x14ac:dyDescent="0.25">
      <c r="A749" s="7">
        <v>4.043637119242547E-2</v>
      </c>
      <c r="B749"/>
      <c r="C749"/>
      <c r="D749"/>
      <c r="E749"/>
      <c r="F749" s="27" t="s">
        <v>7</v>
      </c>
    </row>
    <row r="750" spans="1:6" x14ac:dyDescent="0.25">
      <c r="A750" s="7">
        <v>3.9643501169044582E-2</v>
      </c>
      <c r="B750"/>
      <c r="C750"/>
      <c r="D750"/>
      <c r="E750"/>
      <c r="F750" s="27" t="s">
        <v>7</v>
      </c>
    </row>
    <row r="751" spans="1:6" x14ac:dyDescent="0.25">
      <c r="A751" s="7">
        <v>3.8866177616710372E-2</v>
      </c>
      <c r="B751"/>
      <c r="C751"/>
      <c r="D751"/>
      <c r="E751"/>
      <c r="F751" s="27" t="s">
        <v>7</v>
      </c>
    </row>
    <row r="752" spans="1:6" x14ac:dyDescent="0.25">
      <c r="A752" s="7">
        <v>3.8104095702657229E-2</v>
      </c>
      <c r="B752"/>
      <c r="C752"/>
      <c r="D752"/>
      <c r="E752"/>
      <c r="F752" s="27" t="s">
        <v>7</v>
      </c>
    </row>
    <row r="753" spans="1:78" x14ac:dyDescent="0.25">
      <c r="A753" s="7">
        <v>3.7356956571232579E-2</v>
      </c>
      <c r="B753"/>
      <c r="C753"/>
      <c r="D753"/>
      <c r="E753"/>
      <c r="F753" s="27" t="s">
        <v>7</v>
      </c>
      <c r="AI753" s="27" t="s">
        <v>8</v>
      </c>
      <c r="BU753" s="27" t="s">
        <v>8</v>
      </c>
    </row>
    <row r="754" spans="1:78" x14ac:dyDescent="0.25">
      <c r="A754" s="7">
        <v>3.6624467226698605E-2</v>
      </c>
      <c r="B754"/>
      <c r="C754"/>
      <c r="D754"/>
      <c r="E754"/>
      <c r="F754" s="27" t="s">
        <v>7</v>
      </c>
      <c r="AI754" s="27" t="s">
        <v>8</v>
      </c>
      <c r="AJ754" s="27" t="s">
        <v>7</v>
      </c>
      <c r="BU754" s="27" t="s">
        <v>8</v>
      </c>
      <c r="BV754" s="27" t="s">
        <v>7</v>
      </c>
    </row>
    <row r="755" spans="1:78" x14ac:dyDescent="0.25">
      <c r="A755" s="7">
        <v>3.5906340418331961E-2</v>
      </c>
      <c r="B755"/>
      <c r="C755"/>
      <c r="D755"/>
      <c r="E755"/>
      <c r="F755" s="27" t="s">
        <v>7</v>
      </c>
      <c r="AI755" s="27" t="s">
        <v>8</v>
      </c>
      <c r="AJ755" s="27" t="s">
        <v>7</v>
      </c>
      <c r="BU755" s="27" t="s">
        <v>8</v>
      </c>
      <c r="BV755" s="27" t="s">
        <v>7</v>
      </c>
    </row>
    <row r="756" spans="1:78" x14ac:dyDescent="0.25">
      <c r="A756" s="7">
        <v>3.5202294527776436E-2</v>
      </c>
      <c r="B756"/>
      <c r="C756"/>
      <c r="D756"/>
      <c r="E756"/>
      <c r="F756" s="27" t="s">
        <v>7</v>
      </c>
      <c r="AG756" s="27" t="s">
        <v>8</v>
      </c>
      <c r="AI756" s="27" t="s">
        <v>8</v>
      </c>
      <c r="AJ756" s="27" t="s">
        <v>7</v>
      </c>
      <c r="AK756" s="27" t="s">
        <v>8</v>
      </c>
      <c r="BU756" s="27" t="s">
        <v>8</v>
      </c>
      <c r="BV756" s="27" t="s">
        <v>7</v>
      </c>
    </row>
    <row r="757" spans="1:78" x14ac:dyDescent="0.25">
      <c r="A757" s="7">
        <v>3.451205345860435E-2</v>
      </c>
      <c r="B757"/>
      <c r="C757"/>
      <c r="D757"/>
      <c r="E757"/>
      <c r="F757" s="27" t="s">
        <v>7</v>
      </c>
      <c r="AG757" s="27" t="s">
        <v>8</v>
      </c>
      <c r="AH757" s="27" t="s">
        <v>7</v>
      </c>
      <c r="AI757" s="27" t="s">
        <v>8</v>
      </c>
      <c r="AJ757" s="27" t="s">
        <v>7</v>
      </c>
      <c r="AK757" s="27" t="s">
        <v>8</v>
      </c>
      <c r="AL757" s="27" t="s">
        <v>7</v>
      </c>
      <c r="BU757" s="27" t="s">
        <v>8</v>
      </c>
      <c r="BV757" s="27" t="s">
        <v>7</v>
      </c>
    </row>
    <row r="758" spans="1:78" x14ac:dyDescent="0.25">
      <c r="A758" s="7">
        <v>3.3835346528043479E-2</v>
      </c>
      <c r="B758"/>
      <c r="C758"/>
      <c r="D758"/>
      <c r="E758"/>
      <c r="F758" s="27" t="s">
        <v>7</v>
      </c>
      <c r="G758" s="27" t="s">
        <v>8</v>
      </c>
      <c r="AG758" s="27" t="s">
        <v>8</v>
      </c>
      <c r="AH758" s="27" t="s">
        <v>7</v>
      </c>
      <c r="AI758" s="27" t="s">
        <v>8</v>
      </c>
      <c r="AJ758" s="27" t="s">
        <v>7</v>
      </c>
      <c r="AK758" s="27" t="s">
        <v>8</v>
      </c>
      <c r="AL758" s="27" t="s">
        <v>7</v>
      </c>
      <c r="BU758" s="27" t="s">
        <v>8</v>
      </c>
      <c r="BV758" s="27" t="s">
        <v>7</v>
      </c>
    </row>
    <row r="759" spans="1:78" x14ac:dyDescent="0.25">
      <c r="A759" s="7">
        <v>3.3171908360826938E-2</v>
      </c>
      <c r="B759"/>
      <c r="C759"/>
      <c r="D759"/>
      <c r="E759"/>
      <c r="F759" s="27" t="s">
        <v>7</v>
      </c>
      <c r="G759" s="27" t="s">
        <v>8</v>
      </c>
      <c r="H759" s="27" t="s">
        <v>7</v>
      </c>
      <c r="AG759" s="27" t="s">
        <v>8</v>
      </c>
      <c r="AH759" s="27" t="s">
        <v>7</v>
      </c>
      <c r="AJ759" s="27" t="s">
        <v>7</v>
      </c>
      <c r="AK759" s="27" t="s">
        <v>8</v>
      </c>
      <c r="AL759" s="27" t="s">
        <v>7</v>
      </c>
      <c r="BU759" s="27" t="s">
        <v>8</v>
      </c>
      <c r="BV759" s="27" t="s">
        <v>7</v>
      </c>
    </row>
    <row r="760" spans="1:78" x14ac:dyDescent="0.25">
      <c r="A760" s="7">
        <v>3.2521478785124451E-2</v>
      </c>
      <c r="B760"/>
      <c r="C760"/>
      <c r="D760"/>
      <c r="E760"/>
      <c r="F760" s="27" t="s">
        <v>7</v>
      </c>
      <c r="G760" s="27" t="s">
        <v>8</v>
      </c>
      <c r="H760" s="27" t="s">
        <v>7</v>
      </c>
      <c r="AE760" s="27" t="s">
        <v>8</v>
      </c>
      <c r="AG760" s="27" t="s">
        <v>8</v>
      </c>
      <c r="AJ760" s="27" t="s">
        <v>7</v>
      </c>
      <c r="AK760" s="27" t="s">
        <v>8</v>
      </c>
      <c r="AL760" s="27" t="s">
        <v>7</v>
      </c>
      <c r="AO760" s="27" t="s">
        <v>8</v>
      </c>
      <c r="BU760" s="27" t="s">
        <v>8</v>
      </c>
      <c r="BV760" s="27" t="s">
        <v>7</v>
      </c>
    </row>
    <row r="761" spans="1:78" x14ac:dyDescent="0.25">
      <c r="A761" s="7">
        <v>3.1883802730514173E-2</v>
      </c>
      <c r="B761"/>
      <c r="C761"/>
      <c r="D761"/>
      <c r="E761"/>
      <c r="F761" s="27" t="s">
        <v>7</v>
      </c>
      <c r="G761" s="27" t="s">
        <v>8</v>
      </c>
      <c r="H761" s="27" t="s">
        <v>7</v>
      </c>
      <c r="AE761" s="27" t="s">
        <v>8</v>
      </c>
      <c r="AF761" s="27" t="s">
        <v>7</v>
      </c>
      <c r="AG761" s="27" t="s">
        <v>8</v>
      </c>
      <c r="AJ761" s="27" t="s">
        <v>7</v>
      </c>
      <c r="AK761" s="27" t="s">
        <v>8</v>
      </c>
      <c r="AL761" s="27" t="s">
        <v>7</v>
      </c>
      <c r="AO761" s="27" t="s">
        <v>8</v>
      </c>
      <c r="AP761" s="27" t="s">
        <v>7</v>
      </c>
      <c r="AW761" s="27" t="s">
        <v>8</v>
      </c>
      <c r="BU761" s="27" t="s">
        <v>8</v>
      </c>
      <c r="BV761" s="27" t="s">
        <v>7</v>
      </c>
    </row>
    <row r="762" spans="1:78" x14ac:dyDescent="0.25">
      <c r="A762" s="7">
        <v>3.1258630127955073E-2</v>
      </c>
      <c r="B762"/>
      <c r="C762"/>
      <c r="D762"/>
      <c r="E762"/>
      <c r="F762" s="27" t="s">
        <v>7</v>
      </c>
      <c r="G762" s="27" t="s">
        <v>8</v>
      </c>
      <c r="H762" s="27" t="s">
        <v>7</v>
      </c>
      <c r="AE762" s="27" t="s">
        <v>8</v>
      </c>
      <c r="AF762" s="27" t="s">
        <v>7</v>
      </c>
      <c r="AG762" s="27" t="s">
        <v>8</v>
      </c>
      <c r="AJ762" s="27" t="s">
        <v>7</v>
      </c>
      <c r="AL762" s="27" t="s">
        <v>7</v>
      </c>
      <c r="AO762" s="27" t="s">
        <v>8</v>
      </c>
      <c r="AP762" s="27" t="s">
        <v>7</v>
      </c>
      <c r="AW762" s="27" t="s">
        <v>8</v>
      </c>
      <c r="AX762" s="27" t="s">
        <v>7</v>
      </c>
      <c r="BU762" s="27" t="s">
        <v>8</v>
      </c>
      <c r="BV762" s="27" t="s">
        <v>7</v>
      </c>
    </row>
    <row r="763" spans="1:78" x14ac:dyDescent="0.25">
      <c r="A763" s="7">
        <v>3.064571581172066E-2</v>
      </c>
      <c r="B763"/>
      <c r="C763"/>
      <c r="D763"/>
      <c r="E763"/>
      <c r="F763" s="27" t="s">
        <v>7</v>
      </c>
      <c r="G763" s="27" t="s">
        <v>8</v>
      </c>
      <c r="H763" s="27" t="s">
        <v>7</v>
      </c>
      <c r="I763" s="27" t="s">
        <v>8</v>
      </c>
      <c r="AE763" s="27" t="s">
        <v>8</v>
      </c>
      <c r="AF763" s="27" t="s">
        <v>7</v>
      </c>
      <c r="AG763" s="27" t="s">
        <v>8</v>
      </c>
      <c r="AL763" s="27" t="s">
        <v>7</v>
      </c>
      <c r="AO763" s="27" t="s">
        <v>8</v>
      </c>
      <c r="AP763" s="27" t="s">
        <v>7</v>
      </c>
      <c r="AW763" s="27" t="s">
        <v>8</v>
      </c>
      <c r="AX763" s="27" t="s">
        <v>7</v>
      </c>
      <c r="BU763" s="27" t="s">
        <v>8</v>
      </c>
      <c r="BV763" s="27" t="s">
        <v>7</v>
      </c>
    </row>
    <row r="764" spans="1:78" x14ac:dyDescent="0.25">
      <c r="A764" s="7">
        <v>3.0044819423255549E-2</v>
      </c>
      <c r="B764"/>
      <c r="C764"/>
      <c r="D764"/>
      <c r="E764"/>
      <c r="F764" s="27" t="s">
        <v>7</v>
      </c>
      <c r="G764" s="27" t="s">
        <v>8</v>
      </c>
      <c r="H764" s="27" t="s">
        <v>7</v>
      </c>
      <c r="I764" s="27" t="s">
        <v>8</v>
      </c>
      <c r="J764" s="27" t="s">
        <v>7</v>
      </c>
      <c r="AE764" s="27" t="s">
        <v>8</v>
      </c>
      <c r="AF764" s="27" t="s">
        <v>7</v>
      </c>
      <c r="AG764" s="27" t="s">
        <v>8</v>
      </c>
      <c r="AL764" s="27" t="s">
        <v>7</v>
      </c>
      <c r="AO764" s="27" t="s">
        <v>8</v>
      </c>
      <c r="AP764" s="27" t="s">
        <v>7</v>
      </c>
      <c r="AW764" s="27" t="s">
        <v>8</v>
      </c>
      <c r="AX764" s="27" t="s">
        <v>7</v>
      </c>
      <c r="BU764" s="27" t="s">
        <v>8</v>
      </c>
      <c r="BV764" s="27" t="s">
        <v>7</v>
      </c>
      <c r="BW764" s="27" t="s">
        <v>8</v>
      </c>
    </row>
    <row r="765" spans="1:78" x14ac:dyDescent="0.25">
      <c r="A765" s="7">
        <v>2.9455705316917203E-2</v>
      </c>
      <c r="B765"/>
      <c r="C765"/>
      <c r="D765"/>
      <c r="E765"/>
      <c r="F765" s="27" t="s">
        <v>7</v>
      </c>
      <c r="G765" s="27" t="s">
        <v>8</v>
      </c>
      <c r="H765" s="27" t="s">
        <v>7</v>
      </c>
      <c r="I765" s="27" t="s">
        <v>8</v>
      </c>
      <c r="J765" s="27" t="s">
        <v>7</v>
      </c>
      <c r="AE765" s="27" t="s">
        <v>8</v>
      </c>
      <c r="AF765" s="27" t="s">
        <v>7</v>
      </c>
      <c r="AG765" s="27" t="s">
        <v>8</v>
      </c>
      <c r="AL765" s="27" t="s">
        <v>7</v>
      </c>
      <c r="AM765" s="27" t="s">
        <v>8</v>
      </c>
      <c r="AO765" s="27" t="s">
        <v>8</v>
      </c>
      <c r="AP765" s="27" t="s">
        <v>7</v>
      </c>
      <c r="AW765" s="27" t="s">
        <v>8</v>
      </c>
      <c r="AX765" s="27" t="s">
        <v>7</v>
      </c>
      <c r="BU765" s="27" t="s">
        <v>8</v>
      </c>
      <c r="BV765" s="27" t="s">
        <v>7</v>
      </c>
      <c r="BW765" s="27" t="s">
        <v>8</v>
      </c>
      <c r="BX765" s="27" t="s">
        <v>7</v>
      </c>
    </row>
    <row r="766" spans="1:78" x14ac:dyDescent="0.25">
      <c r="A766" s="7">
        <v>2.8878142467565884E-2</v>
      </c>
      <c r="B766"/>
      <c r="C766"/>
      <c r="D766"/>
      <c r="E766"/>
      <c r="F766" s="27" t="s">
        <v>7</v>
      </c>
      <c r="G766" s="27" t="s">
        <v>8</v>
      </c>
      <c r="H766" s="27" t="s">
        <v>7</v>
      </c>
      <c r="I766" s="27" t="s">
        <v>8</v>
      </c>
      <c r="J766" s="27" t="s">
        <v>7</v>
      </c>
      <c r="AE766" s="27" t="s">
        <v>8</v>
      </c>
      <c r="AF766" s="27" t="s">
        <v>7</v>
      </c>
      <c r="AG766" s="27" t="s">
        <v>8</v>
      </c>
      <c r="AL766" s="27" t="s">
        <v>7</v>
      </c>
      <c r="AM766" s="27" t="s">
        <v>8</v>
      </c>
      <c r="AN766" s="27" t="s">
        <v>7</v>
      </c>
      <c r="AO766" s="27" t="s">
        <v>8</v>
      </c>
      <c r="AP766" s="27" t="s">
        <v>7</v>
      </c>
      <c r="AW766" s="27" t="s">
        <v>8</v>
      </c>
      <c r="AX766" s="27" t="s">
        <v>7</v>
      </c>
      <c r="BU766" s="27" t="s">
        <v>8</v>
      </c>
      <c r="BV766" s="27" t="s">
        <v>7</v>
      </c>
      <c r="BW766" s="27" t="s">
        <v>8</v>
      </c>
      <c r="BX766" s="27" t="s">
        <v>7</v>
      </c>
      <c r="BY766" s="27" t="s">
        <v>8</v>
      </c>
    </row>
    <row r="767" spans="1:78" x14ac:dyDescent="0.25">
      <c r="A767" s="7">
        <v>2.8311904379966554E-2</v>
      </c>
      <c r="B767"/>
      <c r="C767"/>
      <c r="D767"/>
      <c r="E767"/>
      <c r="F767" s="27" t="s">
        <v>7</v>
      </c>
      <c r="G767" s="27" t="s">
        <v>8</v>
      </c>
      <c r="H767" s="27" t="s">
        <v>7</v>
      </c>
      <c r="I767" s="27" t="s">
        <v>8</v>
      </c>
      <c r="J767" s="27" t="s">
        <v>7</v>
      </c>
      <c r="AE767" s="27" t="s">
        <v>8</v>
      </c>
      <c r="AF767" s="27" t="s">
        <v>7</v>
      </c>
      <c r="AL767" s="27" t="s">
        <v>7</v>
      </c>
      <c r="AM767" s="27" t="s">
        <v>8</v>
      </c>
      <c r="AN767" s="27" t="s">
        <v>7</v>
      </c>
      <c r="AO767" s="27" t="s">
        <v>8</v>
      </c>
      <c r="AP767" s="27" t="s">
        <v>7</v>
      </c>
      <c r="AW767" s="27" t="s">
        <v>8</v>
      </c>
      <c r="AX767" s="27" t="s">
        <v>7</v>
      </c>
      <c r="BU767" s="27" t="s">
        <v>8</v>
      </c>
      <c r="BV767" s="27" t="s">
        <v>7</v>
      </c>
      <c r="BW767" s="27" t="s">
        <v>8</v>
      </c>
      <c r="BX767" s="27" t="s">
        <v>7</v>
      </c>
      <c r="BY767" s="27" t="s">
        <v>8</v>
      </c>
      <c r="BZ767" s="27" t="s">
        <v>7</v>
      </c>
    </row>
    <row r="768" spans="1:78" x14ac:dyDescent="0.25">
      <c r="A768" s="7">
        <v>2.7756768999967207E-2</v>
      </c>
      <c r="B768"/>
      <c r="C768"/>
      <c r="D768"/>
      <c r="E768"/>
      <c r="F768" s="27" t="s">
        <v>7</v>
      </c>
      <c r="G768" s="27" t="s">
        <v>8</v>
      </c>
      <c r="H768" s="27" t="s">
        <v>7</v>
      </c>
      <c r="I768" s="27" t="s">
        <v>8</v>
      </c>
      <c r="J768" s="27" t="s">
        <v>7</v>
      </c>
      <c r="AE768" s="27" t="s">
        <v>8</v>
      </c>
      <c r="AL768" s="27" t="s">
        <v>7</v>
      </c>
      <c r="AM768" s="27" t="s">
        <v>8</v>
      </c>
      <c r="AN768" s="27" t="s">
        <v>7</v>
      </c>
      <c r="AO768" s="27" t="s">
        <v>8</v>
      </c>
      <c r="AP768" s="27" t="s">
        <v>7</v>
      </c>
      <c r="AW768" s="27" t="s">
        <v>8</v>
      </c>
      <c r="AX768" s="27" t="s">
        <v>7</v>
      </c>
      <c r="BI768" s="27" t="s">
        <v>8</v>
      </c>
      <c r="BU768" s="27" t="s">
        <v>8</v>
      </c>
      <c r="BV768" s="27" t="s">
        <v>7</v>
      </c>
      <c r="BW768" s="27" t="s">
        <v>8</v>
      </c>
      <c r="BX768" s="27" t="s">
        <v>7</v>
      </c>
      <c r="BY768" s="27" t="s">
        <v>8</v>
      </c>
      <c r="BZ768" s="27" t="s">
        <v>7</v>
      </c>
    </row>
    <row r="769" spans="1:87" x14ac:dyDescent="0.25">
      <c r="A769" s="7">
        <v>2.7212518627418834E-2</v>
      </c>
      <c r="B769"/>
      <c r="C769"/>
      <c r="D769"/>
      <c r="E769"/>
      <c r="F769" s="27" t="s">
        <v>7</v>
      </c>
      <c r="G769" s="27" t="s">
        <v>8</v>
      </c>
      <c r="H769" s="27" t="s">
        <v>7</v>
      </c>
      <c r="I769" s="27" t="s">
        <v>8</v>
      </c>
      <c r="J769" s="27" t="s">
        <v>7</v>
      </c>
      <c r="AC769" s="27" t="s">
        <v>8</v>
      </c>
      <c r="AE769" s="27" t="s">
        <v>8</v>
      </c>
      <c r="AL769" s="27" t="s">
        <v>7</v>
      </c>
      <c r="AM769" s="27" t="s">
        <v>8</v>
      </c>
      <c r="AN769" s="27" t="s">
        <v>7</v>
      </c>
      <c r="AO769" s="27" t="s">
        <v>8</v>
      </c>
      <c r="AP769" s="27" t="s">
        <v>7</v>
      </c>
      <c r="AW769" s="27" t="s">
        <v>8</v>
      </c>
      <c r="AX769" s="27" t="s">
        <v>7</v>
      </c>
      <c r="BI769" s="27" t="s">
        <v>8</v>
      </c>
      <c r="BJ769" s="27" t="s">
        <v>7</v>
      </c>
      <c r="BU769" s="27" t="s">
        <v>8</v>
      </c>
      <c r="BV769" s="27" t="s">
        <v>7</v>
      </c>
      <c r="BW769" s="27" t="s">
        <v>8</v>
      </c>
      <c r="BX769" s="27" t="s">
        <v>7</v>
      </c>
      <c r="BY769" s="27" t="s">
        <v>8</v>
      </c>
      <c r="BZ769" s="27" t="s">
        <v>7</v>
      </c>
    </row>
    <row r="770" spans="1:87" x14ac:dyDescent="0.25">
      <c r="A770" s="7">
        <v>2.6678939830802779E-2</v>
      </c>
      <c r="B770"/>
      <c r="C770"/>
      <c r="D770"/>
      <c r="E770"/>
      <c r="F770" s="27" t="s">
        <v>7</v>
      </c>
      <c r="G770" s="27" t="s">
        <v>8</v>
      </c>
      <c r="H770" s="27" t="s">
        <v>7</v>
      </c>
      <c r="I770" s="27" t="s">
        <v>8</v>
      </c>
      <c r="J770" s="27" t="s">
        <v>7</v>
      </c>
      <c r="AC770" s="27" t="s">
        <v>8</v>
      </c>
      <c r="AD770" s="27" t="s">
        <v>7</v>
      </c>
      <c r="AE770" s="27" t="s">
        <v>8</v>
      </c>
      <c r="AL770" s="27" t="s">
        <v>7</v>
      </c>
      <c r="AM770" s="27" t="s">
        <v>8</v>
      </c>
      <c r="AN770" s="27" t="s">
        <v>7</v>
      </c>
      <c r="AO770" s="27" t="s">
        <v>8</v>
      </c>
      <c r="AP770" s="27" t="s">
        <v>7</v>
      </c>
      <c r="AW770" s="27" t="s">
        <v>8</v>
      </c>
      <c r="AX770" s="27" t="s">
        <v>7</v>
      </c>
      <c r="BI770" s="27" t="s">
        <v>8</v>
      </c>
      <c r="BJ770" s="27" t="s">
        <v>7</v>
      </c>
      <c r="BU770" s="27" t="s">
        <v>8</v>
      </c>
      <c r="BV770" s="27" t="s">
        <v>7</v>
      </c>
      <c r="BW770" s="27" t="s">
        <v>8</v>
      </c>
      <c r="BX770" s="27" t="s">
        <v>7</v>
      </c>
      <c r="BY770" s="27" t="s">
        <v>8</v>
      </c>
      <c r="BZ770" s="27" t="s">
        <v>7</v>
      </c>
    </row>
    <row r="771" spans="1:87" x14ac:dyDescent="0.25">
      <c r="A771" s="7">
        <v>2.615582336353214E-2</v>
      </c>
      <c r="B771"/>
      <c r="C771"/>
      <c r="D771"/>
      <c r="E771"/>
      <c r="F771" s="27" t="s">
        <v>7</v>
      </c>
      <c r="G771" s="27" t="s">
        <v>8</v>
      </c>
      <c r="H771" s="27" t="s">
        <v>7</v>
      </c>
      <c r="I771" s="27" t="s">
        <v>8</v>
      </c>
      <c r="J771" s="27" t="s">
        <v>7</v>
      </c>
      <c r="AC771" s="27" t="s">
        <v>8</v>
      </c>
      <c r="AD771" s="27" t="s">
        <v>7</v>
      </c>
      <c r="AE771" s="27" t="s">
        <v>8</v>
      </c>
      <c r="AL771" s="27" t="s">
        <v>7</v>
      </c>
      <c r="AM771" s="27" t="s">
        <v>8</v>
      </c>
      <c r="AN771" s="27" t="s">
        <v>7</v>
      </c>
      <c r="AP771" s="27" t="s">
        <v>7</v>
      </c>
      <c r="AQ771" s="27" t="s">
        <v>8</v>
      </c>
      <c r="AW771" s="27" t="s">
        <v>8</v>
      </c>
      <c r="AX771" s="27" t="s">
        <v>7</v>
      </c>
      <c r="BI771" s="27" t="s">
        <v>8</v>
      </c>
      <c r="BJ771" s="27" t="s">
        <v>7</v>
      </c>
      <c r="BU771" s="27" t="s">
        <v>8</v>
      </c>
      <c r="BV771" s="27" t="s">
        <v>7</v>
      </c>
      <c r="BW771" s="27" t="s">
        <v>8</v>
      </c>
      <c r="BX771" s="27" t="s">
        <v>7</v>
      </c>
      <c r="BY771" s="27" t="s">
        <v>8</v>
      </c>
      <c r="BZ771" s="27" t="s">
        <v>7</v>
      </c>
    </row>
    <row r="772" spans="1:87" x14ac:dyDescent="0.25">
      <c r="A772" s="7">
        <v>2.5642964081894253E-2</v>
      </c>
      <c r="B772"/>
      <c r="C772"/>
      <c r="D772"/>
      <c r="E772"/>
      <c r="F772" s="27" t="s">
        <v>7</v>
      </c>
      <c r="G772" s="27" t="s">
        <v>8</v>
      </c>
      <c r="H772" s="27" t="s">
        <v>7</v>
      </c>
      <c r="I772" s="27" t="s">
        <v>8</v>
      </c>
      <c r="J772" s="27" t="s">
        <v>7</v>
      </c>
      <c r="Y772" s="27" t="s">
        <v>8</v>
      </c>
      <c r="AC772" s="27" t="s">
        <v>8</v>
      </c>
      <c r="AD772" s="27" t="s">
        <v>7</v>
      </c>
      <c r="AE772" s="27" t="s">
        <v>8</v>
      </c>
      <c r="AL772" s="27" t="s">
        <v>7</v>
      </c>
      <c r="AP772" s="27" t="s">
        <v>7</v>
      </c>
      <c r="AQ772" s="27" t="s">
        <v>8</v>
      </c>
      <c r="AR772" s="27" t="s">
        <v>7</v>
      </c>
      <c r="AS772" s="27" t="s">
        <v>8</v>
      </c>
      <c r="AW772" s="27" t="s">
        <v>8</v>
      </c>
      <c r="AX772" s="27" t="s">
        <v>7</v>
      </c>
      <c r="BI772" s="27" t="s">
        <v>8</v>
      </c>
      <c r="BJ772" s="27" t="s">
        <v>7</v>
      </c>
      <c r="BK772" s="27" t="s">
        <v>8</v>
      </c>
      <c r="BM772" s="27" t="s">
        <v>8</v>
      </c>
      <c r="BU772" s="27" t="s">
        <v>8</v>
      </c>
      <c r="BV772" s="27" t="s">
        <v>7</v>
      </c>
      <c r="BX772" s="27" t="s">
        <v>7</v>
      </c>
      <c r="BY772" s="27" t="s">
        <v>8</v>
      </c>
      <c r="BZ772" s="27" t="s">
        <v>7</v>
      </c>
      <c r="CE772" s="27" t="s">
        <v>8</v>
      </c>
    </row>
    <row r="773" spans="1:87" x14ac:dyDescent="0.25">
      <c r="A773" s="7">
        <v>2.5140160864602207E-2</v>
      </c>
      <c r="B773"/>
      <c r="C773"/>
      <c r="D773"/>
      <c r="E773"/>
      <c r="F773" s="27" t="s">
        <v>7</v>
      </c>
      <c r="G773" s="27" t="s">
        <v>8</v>
      </c>
      <c r="H773" s="27" t="s">
        <v>7</v>
      </c>
      <c r="J773" s="27" t="s">
        <v>7</v>
      </c>
      <c r="Y773" s="27" t="s">
        <v>8</v>
      </c>
      <c r="Z773" s="27" t="s">
        <v>7</v>
      </c>
      <c r="AC773" s="27" t="s">
        <v>8</v>
      </c>
      <c r="AD773" s="27" t="s">
        <v>7</v>
      </c>
      <c r="AP773" s="27" t="s">
        <v>7</v>
      </c>
      <c r="AQ773" s="27" t="s">
        <v>8</v>
      </c>
      <c r="AR773" s="27" t="s">
        <v>7</v>
      </c>
      <c r="AS773" s="27" t="s">
        <v>8</v>
      </c>
      <c r="AT773" s="27" t="s">
        <v>7</v>
      </c>
      <c r="AW773" s="27" t="s">
        <v>8</v>
      </c>
      <c r="AX773" s="27" t="s">
        <v>7</v>
      </c>
      <c r="BI773" s="27" t="s">
        <v>8</v>
      </c>
      <c r="BJ773" s="27" t="s">
        <v>7</v>
      </c>
      <c r="BK773" s="27" t="s">
        <v>8</v>
      </c>
      <c r="BL773" s="27" t="s">
        <v>7</v>
      </c>
      <c r="BM773" s="27" t="s">
        <v>8</v>
      </c>
      <c r="BN773" s="27" t="s">
        <v>7</v>
      </c>
      <c r="BQ773" s="27" t="s">
        <v>8</v>
      </c>
      <c r="BS773" s="27" t="s">
        <v>8</v>
      </c>
      <c r="BU773" s="27" t="s">
        <v>8</v>
      </c>
      <c r="BX773" s="27" t="s">
        <v>7</v>
      </c>
      <c r="BY773" s="27" t="s">
        <v>8</v>
      </c>
      <c r="BZ773" s="27" t="s">
        <v>7</v>
      </c>
      <c r="CE773" s="27" t="s">
        <v>8</v>
      </c>
      <c r="CF773" s="27" t="s">
        <v>7</v>
      </c>
    </row>
    <row r="774" spans="1:87" x14ac:dyDescent="0.25">
      <c r="A774" s="7">
        <v>2.4647216533923735E-2</v>
      </c>
      <c r="B774"/>
      <c r="C774"/>
      <c r="D774"/>
      <c r="E774"/>
      <c r="F774" s="27" t="s">
        <v>7</v>
      </c>
      <c r="J774" s="27" t="s">
        <v>7</v>
      </c>
      <c r="Y774" s="27" t="s">
        <v>8</v>
      </c>
      <c r="Z774" s="27" t="s">
        <v>7</v>
      </c>
      <c r="AA774" s="27" t="s">
        <v>8</v>
      </c>
      <c r="AC774" s="27" t="s">
        <v>8</v>
      </c>
      <c r="AP774" s="27" t="s">
        <v>7</v>
      </c>
      <c r="AQ774" s="27" t="s">
        <v>8</v>
      </c>
      <c r="AR774" s="27" t="s">
        <v>7</v>
      </c>
      <c r="AS774" s="27" t="s">
        <v>8</v>
      </c>
      <c r="AT774" s="27" t="s">
        <v>7</v>
      </c>
      <c r="AU774" s="27" t="s">
        <v>8</v>
      </c>
      <c r="AW774" s="27" t="s">
        <v>8</v>
      </c>
      <c r="AX774" s="27" t="s">
        <v>7</v>
      </c>
      <c r="BG774" s="27" t="s">
        <v>8</v>
      </c>
      <c r="BI774" s="27" t="s">
        <v>8</v>
      </c>
      <c r="BJ774" s="27" t="s">
        <v>7</v>
      </c>
      <c r="BK774" s="27" t="s">
        <v>8</v>
      </c>
      <c r="BL774" s="27" t="s">
        <v>7</v>
      </c>
      <c r="BM774" s="27" t="s">
        <v>8</v>
      </c>
      <c r="BN774" s="27" t="s">
        <v>7</v>
      </c>
      <c r="BQ774" s="27" t="s">
        <v>8</v>
      </c>
      <c r="BR774" s="27" t="s">
        <v>7</v>
      </c>
      <c r="BS774" s="27" t="s">
        <v>8</v>
      </c>
      <c r="BT774" s="27" t="s">
        <v>7</v>
      </c>
      <c r="BU774" s="27" t="s">
        <v>8</v>
      </c>
      <c r="BX774" s="27" t="s">
        <v>7</v>
      </c>
      <c r="BZ774" s="27" t="s">
        <v>7</v>
      </c>
      <c r="CA774" s="27" t="s">
        <v>8</v>
      </c>
      <c r="CC774" s="27" t="s">
        <v>8</v>
      </c>
      <c r="CE774" s="27" t="s">
        <v>8</v>
      </c>
      <c r="CF774" s="27" t="s">
        <v>7</v>
      </c>
    </row>
    <row r="775" spans="1:87" x14ac:dyDescent="0.25">
      <c r="A775" s="7">
        <v>2.4163937778356601E-2</v>
      </c>
      <c r="B775"/>
      <c r="C775"/>
      <c r="D775"/>
      <c r="E775"/>
      <c r="J775" s="27" t="s">
        <v>7</v>
      </c>
      <c r="M775" s="27" t="s">
        <v>8</v>
      </c>
      <c r="O775" s="27" t="s">
        <v>8</v>
      </c>
      <c r="Y775" s="27" t="s">
        <v>8</v>
      </c>
      <c r="Z775" s="27" t="s">
        <v>7</v>
      </c>
      <c r="AA775" s="27" t="s">
        <v>8</v>
      </c>
      <c r="AB775" s="27" t="s">
        <v>7</v>
      </c>
      <c r="AC775" s="27" t="s">
        <v>8</v>
      </c>
      <c r="AP775" s="27" t="s">
        <v>7</v>
      </c>
      <c r="AQ775" s="27" t="s">
        <v>8</v>
      </c>
      <c r="AR775" s="27" t="s">
        <v>7</v>
      </c>
      <c r="AS775" s="27" t="s">
        <v>8</v>
      </c>
      <c r="AT775" s="27" t="s">
        <v>7</v>
      </c>
      <c r="AU775" s="27" t="s">
        <v>8</v>
      </c>
      <c r="AV775" s="27" t="s">
        <v>7</v>
      </c>
      <c r="AW775" s="27" t="s">
        <v>8</v>
      </c>
      <c r="AX775" s="27" t="s">
        <v>7</v>
      </c>
      <c r="BG775" s="27" t="s">
        <v>8</v>
      </c>
      <c r="BH775" s="27" t="s">
        <v>7</v>
      </c>
      <c r="BI775" s="27" t="s">
        <v>8</v>
      </c>
      <c r="BJ775" s="27" t="s">
        <v>7</v>
      </c>
      <c r="BK775" s="27" t="s">
        <v>8</v>
      </c>
      <c r="BL775" s="27" t="s">
        <v>7</v>
      </c>
      <c r="BM775" s="27" t="s">
        <v>8</v>
      </c>
      <c r="BN775" s="27" t="s">
        <v>7</v>
      </c>
      <c r="BO775" s="27" t="s">
        <v>8</v>
      </c>
      <c r="BQ775" s="27" t="s">
        <v>8</v>
      </c>
      <c r="BR775" s="27" t="s">
        <v>7</v>
      </c>
      <c r="BS775" s="27" t="s">
        <v>8</v>
      </c>
      <c r="BT775" s="27" t="s">
        <v>7</v>
      </c>
      <c r="BU775" s="27" t="s">
        <v>8</v>
      </c>
      <c r="BZ775" s="27" t="s">
        <v>7</v>
      </c>
      <c r="CA775" s="27" t="s">
        <v>8</v>
      </c>
      <c r="CB775" s="27" t="s">
        <v>7</v>
      </c>
      <c r="CC775" s="27" t="s">
        <v>8</v>
      </c>
      <c r="CD775" s="27" t="s">
        <v>7</v>
      </c>
      <c r="CE775" s="27" t="s">
        <v>8</v>
      </c>
      <c r="CF775" s="27" t="s">
        <v>7</v>
      </c>
    </row>
    <row r="776" spans="1:87" x14ac:dyDescent="0.25">
      <c r="A776" s="7">
        <v>2.3690135076820197E-2</v>
      </c>
      <c r="B776"/>
      <c r="C776"/>
      <c r="D776"/>
      <c r="E776"/>
      <c r="J776" s="27" t="s">
        <v>7</v>
      </c>
      <c r="K776" s="27" t="s">
        <v>8</v>
      </c>
      <c r="M776" s="27" t="s">
        <v>8</v>
      </c>
      <c r="N776" s="27" t="s">
        <v>7</v>
      </c>
      <c r="O776" s="27" t="s">
        <v>8</v>
      </c>
      <c r="P776" s="27" t="s">
        <v>7</v>
      </c>
      <c r="Y776" s="27" t="s">
        <v>8</v>
      </c>
      <c r="Z776" s="27" t="s">
        <v>7</v>
      </c>
      <c r="AA776" s="27" t="s">
        <v>8</v>
      </c>
      <c r="AB776" s="27" t="s">
        <v>7</v>
      </c>
      <c r="AC776" s="27" t="s">
        <v>8</v>
      </c>
      <c r="AP776" s="27" t="s">
        <v>7</v>
      </c>
      <c r="AQ776" s="27" t="s">
        <v>8</v>
      </c>
      <c r="AR776" s="27" t="s">
        <v>7</v>
      </c>
      <c r="AS776" s="27" t="s">
        <v>8</v>
      </c>
      <c r="AT776" s="27" t="s">
        <v>7</v>
      </c>
      <c r="AU776" s="27" t="s">
        <v>8</v>
      </c>
      <c r="AV776" s="27" t="s">
        <v>7</v>
      </c>
      <c r="AW776" s="27" t="s">
        <v>8</v>
      </c>
      <c r="AX776" s="27" t="s">
        <v>7</v>
      </c>
      <c r="BG776" s="27" t="s">
        <v>8</v>
      </c>
      <c r="BH776" s="27" t="s">
        <v>7</v>
      </c>
      <c r="BI776" s="27" t="s">
        <v>8</v>
      </c>
      <c r="BJ776" s="27" t="s">
        <v>7</v>
      </c>
      <c r="BK776" s="27" t="s">
        <v>8</v>
      </c>
      <c r="BL776" s="27" t="s">
        <v>7</v>
      </c>
      <c r="BM776" s="27" t="s">
        <v>8</v>
      </c>
      <c r="BN776" s="27" t="s">
        <v>7</v>
      </c>
      <c r="BO776" s="27" t="s">
        <v>8</v>
      </c>
      <c r="BP776" s="27" t="s">
        <v>7</v>
      </c>
      <c r="BQ776" s="27" t="s">
        <v>8</v>
      </c>
      <c r="BR776" s="27" t="s">
        <v>7</v>
      </c>
      <c r="BT776" s="27" t="s">
        <v>7</v>
      </c>
      <c r="BU776" s="27" t="s">
        <v>8</v>
      </c>
      <c r="BZ776" s="27" t="s">
        <v>7</v>
      </c>
      <c r="CA776" s="27" t="s">
        <v>8</v>
      </c>
      <c r="CB776" s="27" t="s">
        <v>7</v>
      </c>
      <c r="CC776" s="27" t="s">
        <v>8</v>
      </c>
      <c r="CD776" s="27" t="s">
        <v>7</v>
      </c>
      <c r="CE776" s="27" t="s">
        <v>8</v>
      </c>
      <c r="CF776" s="27" t="s">
        <v>7</v>
      </c>
    </row>
    <row r="777" spans="1:87" x14ac:dyDescent="0.25">
      <c r="A777" s="7">
        <v>2.3225622624333527E-2</v>
      </c>
      <c r="B777"/>
      <c r="C777"/>
      <c r="D777"/>
      <c r="E777"/>
      <c r="J777" s="27" t="s">
        <v>7</v>
      </c>
      <c r="K777" s="27" t="s">
        <v>8</v>
      </c>
      <c r="L777" s="27" t="s">
        <v>7</v>
      </c>
      <c r="M777" s="27" t="s">
        <v>8</v>
      </c>
      <c r="N777" s="27" t="s">
        <v>7</v>
      </c>
      <c r="O777" s="27" t="s">
        <v>8</v>
      </c>
      <c r="P777" s="27" t="s">
        <v>7</v>
      </c>
      <c r="Q777" s="27" t="s">
        <v>8</v>
      </c>
      <c r="W777" s="27" t="s">
        <v>8</v>
      </c>
      <c r="Y777" s="27" t="s">
        <v>8</v>
      </c>
      <c r="Z777" s="27" t="s">
        <v>7</v>
      </c>
      <c r="AA777" s="27" t="s">
        <v>8</v>
      </c>
      <c r="AB777" s="27" t="s">
        <v>7</v>
      </c>
      <c r="AC777" s="27" t="s">
        <v>8</v>
      </c>
      <c r="AP777" s="27" t="s">
        <v>7</v>
      </c>
      <c r="AQ777" s="27" t="s">
        <v>8</v>
      </c>
      <c r="AR777" s="27" t="s">
        <v>7</v>
      </c>
      <c r="AS777" s="27" t="s">
        <v>8</v>
      </c>
      <c r="AT777" s="27" t="s">
        <v>7</v>
      </c>
      <c r="AU777" s="27" t="s">
        <v>8</v>
      </c>
      <c r="AV777" s="27" t="s">
        <v>7</v>
      </c>
      <c r="AX777" s="27" t="s">
        <v>7</v>
      </c>
      <c r="BG777" s="27" t="s">
        <v>8</v>
      </c>
      <c r="BH777" s="27" t="s">
        <v>7</v>
      </c>
      <c r="BI777" s="27" t="s">
        <v>8</v>
      </c>
      <c r="BJ777" s="27" t="s">
        <v>7</v>
      </c>
      <c r="BK777" s="27" t="s">
        <v>8</v>
      </c>
      <c r="BL777" s="27" t="s">
        <v>7</v>
      </c>
      <c r="BN777" s="27" t="s">
        <v>7</v>
      </c>
      <c r="BO777" s="27" t="s">
        <v>8</v>
      </c>
      <c r="BP777" s="27" t="s">
        <v>7</v>
      </c>
      <c r="BQ777" s="27" t="s">
        <v>8</v>
      </c>
      <c r="BT777" s="27" t="s">
        <v>7</v>
      </c>
      <c r="BU777" s="27" t="s">
        <v>8</v>
      </c>
      <c r="BZ777" s="27" t="s">
        <v>7</v>
      </c>
      <c r="CA777" s="27" t="s">
        <v>8</v>
      </c>
      <c r="CB777" s="27" t="s">
        <v>7</v>
      </c>
      <c r="CC777" s="27" t="s">
        <v>8</v>
      </c>
      <c r="CD777" s="27" t="s">
        <v>7</v>
      </c>
      <c r="CE777" s="27" t="s">
        <v>8</v>
      </c>
      <c r="CF777" s="27" t="s">
        <v>7</v>
      </c>
    </row>
    <row r="778" spans="1:87" x14ac:dyDescent="0.25">
      <c r="A778" s="7">
        <v>2.2770218259150519E-2</v>
      </c>
      <c r="B778"/>
      <c r="C778"/>
      <c r="D778"/>
      <c r="E778"/>
      <c r="J778" s="27" t="s">
        <v>7</v>
      </c>
      <c r="K778" s="27" t="s">
        <v>8</v>
      </c>
      <c r="L778" s="27" t="s">
        <v>7</v>
      </c>
      <c r="M778" s="27" t="s">
        <v>8</v>
      </c>
      <c r="N778" s="27" t="s">
        <v>7</v>
      </c>
      <c r="O778" s="27" t="s">
        <v>8</v>
      </c>
      <c r="P778" s="27" t="s">
        <v>7</v>
      </c>
      <c r="Q778" s="27" t="s">
        <v>8</v>
      </c>
      <c r="R778" s="27" t="s">
        <v>7</v>
      </c>
      <c r="U778" s="27" t="s">
        <v>8</v>
      </c>
      <c r="W778" s="27" t="s">
        <v>8</v>
      </c>
      <c r="X778" s="27" t="s">
        <v>7</v>
      </c>
      <c r="Y778" s="27" t="s">
        <v>8</v>
      </c>
      <c r="Z778" s="27" t="s">
        <v>7</v>
      </c>
      <c r="AB778" s="27" t="s">
        <v>7</v>
      </c>
      <c r="AP778" s="27" t="s">
        <v>7</v>
      </c>
      <c r="AR778" s="27" t="s">
        <v>7</v>
      </c>
      <c r="AT778" s="27" t="s">
        <v>7</v>
      </c>
      <c r="AU778" s="27" t="s">
        <v>8</v>
      </c>
      <c r="AX778" s="27" t="s">
        <v>7</v>
      </c>
      <c r="BE778" s="27" t="s">
        <v>8</v>
      </c>
      <c r="BG778" s="27" t="s">
        <v>8</v>
      </c>
      <c r="BH778" s="27" t="s">
        <v>7</v>
      </c>
      <c r="BI778" s="27" t="s">
        <v>8</v>
      </c>
      <c r="BJ778" s="27" t="s">
        <v>7</v>
      </c>
      <c r="BK778" s="27" t="s">
        <v>8</v>
      </c>
      <c r="BN778" s="27" t="s">
        <v>7</v>
      </c>
      <c r="BP778" s="27" t="s">
        <v>7</v>
      </c>
      <c r="BQ778" s="27" t="s">
        <v>8</v>
      </c>
      <c r="BT778" s="27" t="s">
        <v>7</v>
      </c>
      <c r="BZ778" s="27" t="s">
        <v>7</v>
      </c>
      <c r="CA778" s="27" t="s">
        <v>8</v>
      </c>
      <c r="CB778" s="27" t="s">
        <v>7</v>
      </c>
      <c r="CC778" s="27" t="s">
        <v>8</v>
      </c>
      <c r="CD778" s="27" t="s">
        <v>7</v>
      </c>
      <c r="CF778" s="27" t="s">
        <v>7</v>
      </c>
    </row>
    <row r="779" spans="1:87" x14ac:dyDescent="0.25">
      <c r="A779" s="7">
        <v>2.2323743391324039E-2</v>
      </c>
      <c r="B779"/>
      <c r="C779"/>
      <c r="D779"/>
      <c r="E779"/>
      <c r="J779" s="27" t="s">
        <v>7</v>
      </c>
      <c r="K779" s="27" t="s">
        <v>8</v>
      </c>
      <c r="L779" s="27" t="s">
        <v>7</v>
      </c>
      <c r="M779" s="27" t="s">
        <v>8</v>
      </c>
      <c r="N779" s="27" t="s">
        <v>7</v>
      </c>
      <c r="O779" s="27" t="s">
        <v>8</v>
      </c>
      <c r="P779" s="27" t="s">
        <v>7</v>
      </c>
      <c r="Q779" s="27" t="s">
        <v>8</v>
      </c>
      <c r="R779" s="27" t="s">
        <v>7</v>
      </c>
      <c r="U779" s="27" t="s">
        <v>8</v>
      </c>
      <c r="V779" s="27" t="s">
        <v>7</v>
      </c>
      <c r="W779" s="27" t="s">
        <v>8</v>
      </c>
      <c r="X779" s="27" t="s">
        <v>7</v>
      </c>
      <c r="Y779" s="27" t="s">
        <v>8</v>
      </c>
      <c r="AT779" s="27" t="s">
        <v>7</v>
      </c>
      <c r="AU779" s="27" t="s">
        <v>8</v>
      </c>
      <c r="AX779" s="27" t="s">
        <v>7</v>
      </c>
      <c r="BE779" s="27" t="s">
        <v>8</v>
      </c>
      <c r="BF779" s="27" t="s">
        <v>7</v>
      </c>
      <c r="BG779" s="27" t="s">
        <v>8</v>
      </c>
      <c r="BH779" s="27" t="s">
        <v>7</v>
      </c>
      <c r="BJ779" s="27" t="s">
        <v>7</v>
      </c>
      <c r="BK779" s="27" t="s">
        <v>8</v>
      </c>
      <c r="BP779" s="27" t="s">
        <v>7</v>
      </c>
      <c r="BQ779" s="27" t="s">
        <v>8</v>
      </c>
      <c r="BZ779" s="27" t="s">
        <v>7</v>
      </c>
      <c r="CB779" s="27" t="s">
        <v>7</v>
      </c>
      <c r="CF779" s="27" t="s">
        <v>7</v>
      </c>
    </row>
    <row r="780" spans="1:87" x14ac:dyDescent="0.25">
      <c r="A780" s="7">
        <v>2.188602293267063E-2</v>
      </c>
      <c r="B780"/>
      <c r="C780"/>
      <c r="D780"/>
      <c r="E780"/>
      <c r="J780" s="27" t="s">
        <v>7</v>
      </c>
      <c r="K780" s="27" t="s">
        <v>8</v>
      </c>
      <c r="L780" s="27" t="s">
        <v>7</v>
      </c>
      <c r="M780" s="27" t="s">
        <v>8</v>
      </c>
      <c r="N780" s="27" t="s">
        <v>7</v>
      </c>
      <c r="O780" s="27" t="s">
        <v>8</v>
      </c>
      <c r="P780" s="27" t="s">
        <v>7</v>
      </c>
      <c r="R780" s="27" t="s">
        <v>7</v>
      </c>
      <c r="U780" s="27" t="s">
        <v>8</v>
      </c>
      <c r="V780" s="27" t="s">
        <v>7</v>
      </c>
      <c r="W780" s="27" t="s">
        <v>8</v>
      </c>
      <c r="X780" s="27" t="s">
        <v>7</v>
      </c>
      <c r="Y780" s="27" t="s">
        <v>8</v>
      </c>
      <c r="AT780" s="27" t="s">
        <v>7</v>
      </c>
      <c r="AX780" s="27" t="s">
        <v>7</v>
      </c>
      <c r="AY780" s="27" t="s">
        <v>8</v>
      </c>
      <c r="BE780" s="27" t="s">
        <v>8</v>
      </c>
      <c r="BF780" s="27" t="s">
        <v>7</v>
      </c>
      <c r="BG780" s="27" t="s">
        <v>8</v>
      </c>
      <c r="BJ780" s="27" t="s">
        <v>7</v>
      </c>
      <c r="BP780" s="27" t="s">
        <v>7</v>
      </c>
      <c r="BQ780" s="27" t="s">
        <v>8</v>
      </c>
      <c r="CF780" s="27" t="s">
        <v>7</v>
      </c>
    </row>
    <row r="781" spans="1:87" x14ac:dyDescent="0.25">
      <c r="A781" s="7">
        <v>2.1456885228108461E-2</v>
      </c>
      <c r="B781"/>
      <c r="C781"/>
      <c r="D781"/>
      <c r="E781"/>
      <c r="J781" s="27" t="s">
        <v>7</v>
      </c>
      <c r="K781" s="27" t="s">
        <v>8</v>
      </c>
      <c r="L781" s="27" t="s">
        <v>7</v>
      </c>
      <c r="M781" s="27" t="s">
        <v>8</v>
      </c>
      <c r="N781" s="27" t="s">
        <v>7</v>
      </c>
      <c r="O781" s="27" t="s">
        <v>8</v>
      </c>
      <c r="R781" s="27" t="s">
        <v>7</v>
      </c>
      <c r="U781" s="27" t="s">
        <v>8</v>
      </c>
      <c r="V781" s="27" t="s">
        <v>7</v>
      </c>
      <c r="W781" s="27" t="s">
        <v>8</v>
      </c>
      <c r="X781" s="27" t="s">
        <v>7</v>
      </c>
      <c r="Y781" s="27" t="s">
        <v>8</v>
      </c>
      <c r="AX781" s="27" t="s">
        <v>7</v>
      </c>
      <c r="AY781" s="27" t="s">
        <v>8</v>
      </c>
      <c r="AZ781" s="27" t="s">
        <v>7</v>
      </c>
      <c r="BE781" s="27" t="s">
        <v>8</v>
      </c>
      <c r="BF781" s="27" t="s">
        <v>7</v>
      </c>
      <c r="BP781" s="27" t="s">
        <v>7</v>
      </c>
      <c r="BQ781" s="27" t="s">
        <v>8</v>
      </c>
      <c r="CF781" s="27" t="s">
        <v>7</v>
      </c>
    </row>
    <row r="782" spans="1:87" x14ac:dyDescent="0.25">
      <c r="A782" s="7">
        <v>2.1036161988341632E-2</v>
      </c>
      <c r="B782"/>
      <c r="C782"/>
      <c r="D782"/>
      <c r="E782"/>
      <c r="J782" s="27" t="s">
        <v>7</v>
      </c>
      <c r="K782" s="27" t="s">
        <v>8</v>
      </c>
      <c r="L782" s="27" t="s">
        <v>7</v>
      </c>
      <c r="M782" s="27" t="s">
        <v>8</v>
      </c>
      <c r="N782" s="27" t="s">
        <v>7</v>
      </c>
      <c r="R782" s="27" t="s">
        <v>7</v>
      </c>
      <c r="U782" s="27" t="s">
        <v>8</v>
      </c>
      <c r="V782" s="27" t="s">
        <v>7</v>
      </c>
      <c r="W782" s="27" t="s">
        <v>8</v>
      </c>
      <c r="X782" s="27" t="s">
        <v>7</v>
      </c>
      <c r="Y782" s="27" t="s">
        <v>8</v>
      </c>
      <c r="AX782" s="27" t="s">
        <v>7</v>
      </c>
      <c r="AY782" s="27" t="s">
        <v>8</v>
      </c>
      <c r="AZ782" s="27" t="s">
        <v>7</v>
      </c>
      <c r="BA782" s="27" t="s">
        <v>8</v>
      </c>
      <c r="BE782" s="27" t="s">
        <v>8</v>
      </c>
      <c r="BP782" s="27" t="s">
        <v>7</v>
      </c>
      <c r="BQ782" s="27" t="s">
        <v>8</v>
      </c>
      <c r="CF782" s="27" t="s">
        <v>7</v>
      </c>
    </row>
    <row r="783" spans="1:87" x14ac:dyDescent="0.25">
      <c r="A783" s="7">
        <v>2.0623688223864345E-2</v>
      </c>
      <c r="B783"/>
      <c r="C783"/>
      <c r="D783"/>
      <c r="E783"/>
      <c r="J783" s="27" t="s">
        <v>7</v>
      </c>
      <c r="K783" s="27" t="s">
        <v>8</v>
      </c>
      <c r="L783" s="27" t="s">
        <v>7</v>
      </c>
      <c r="M783" s="27" t="s">
        <v>8</v>
      </c>
      <c r="R783" s="27" t="s">
        <v>7</v>
      </c>
      <c r="S783" s="27" t="s">
        <v>8</v>
      </c>
      <c r="U783" s="27" t="s">
        <v>8</v>
      </c>
      <c r="V783" s="27" t="s">
        <v>7</v>
      </c>
      <c r="W783" s="27" t="s">
        <v>8</v>
      </c>
      <c r="X783" s="27" t="s">
        <v>7</v>
      </c>
      <c r="AX783" s="27" t="s">
        <v>7</v>
      </c>
      <c r="AY783" s="27" t="s">
        <v>8</v>
      </c>
      <c r="AZ783" s="27" t="s">
        <v>7</v>
      </c>
      <c r="BA783" s="27" t="s">
        <v>8</v>
      </c>
      <c r="BB783" s="27" t="s">
        <v>7</v>
      </c>
      <c r="BE783" s="27" t="s">
        <v>8</v>
      </c>
      <c r="BP783" s="27" t="s">
        <v>7</v>
      </c>
      <c r="BQ783" s="27" t="s">
        <v>8</v>
      </c>
      <c r="CF783" s="27" t="s">
        <v>7</v>
      </c>
      <c r="CG783" s="27" t="s">
        <v>8</v>
      </c>
    </row>
    <row r="784" spans="1:87" x14ac:dyDescent="0.25">
      <c r="A784" s="7">
        <v>2.021930218025916E-2</v>
      </c>
      <c r="B784"/>
      <c r="C784"/>
      <c r="D784"/>
      <c r="E784"/>
      <c r="J784" s="27" t="s">
        <v>7</v>
      </c>
      <c r="K784" s="27" t="s">
        <v>8</v>
      </c>
      <c r="L784" s="27" t="s">
        <v>7</v>
      </c>
      <c r="M784" s="27" t="s">
        <v>8</v>
      </c>
      <c r="R784" s="27" t="s">
        <v>7</v>
      </c>
      <c r="S784" s="27" t="s">
        <v>8</v>
      </c>
      <c r="T784" s="27" t="s">
        <v>7</v>
      </c>
      <c r="U784" s="27" t="s">
        <v>8</v>
      </c>
      <c r="V784" s="27" t="s">
        <v>7</v>
      </c>
      <c r="W784" s="27" t="s">
        <v>8</v>
      </c>
      <c r="AX784" s="27" t="s">
        <v>7</v>
      </c>
      <c r="AY784" s="27" t="s">
        <v>8</v>
      </c>
      <c r="AZ784" s="27" t="s">
        <v>7</v>
      </c>
      <c r="BA784" s="27" t="s">
        <v>8</v>
      </c>
      <c r="BB784" s="27" t="s">
        <v>7</v>
      </c>
      <c r="BE784" s="27" t="s">
        <v>8</v>
      </c>
      <c r="BP784" s="27" t="s">
        <v>7</v>
      </c>
      <c r="CF784" s="27" t="s">
        <v>7</v>
      </c>
      <c r="CG784" s="27" t="s">
        <v>8</v>
      </c>
      <c r="CH784" s="27" t="s">
        <v>7</v>
      </c>
      <c r="CI784" s="27" t="s">
        <v>8</v>
      </c>
    </row>
    <row r="785" spans="1:104" x14ac:dyDescent="0.25">
      <c r="A785" s="7">
        <v>1.9822845274763884E-2</v>
      </c>
      <c r="B785"/>
      <c r="C785"/>
      <c r="D785"/>
      <c r="E785"/>
      <c r="J785" s="27" t="s">
        <v>7</v>
      </c>
      <c r="K785" s="27" t="s">
        <v>8</v>
      </c>
      <c r="L785" s="27" t="s">
        <v>7</v>
      </c>
      <c r="M785" s="27" t="s">
        <v>8</v>
      </c>
      <c r="R785" s="27" t="s">
        <v>7</v>
      </c>
      <c r="S785" s="27" t="s">
        <v>8</v>
      </c>
      <c r="T785" s="27" t="s">
        <v>7</v>
      </c>
      <c r="U785" s="27" t="s">
        <v>8</v>
      </c>
      <c r="V785" s="27" t="s">
        <v>7</v>
      </c>
      <c r="W785" s="27" t="s">
        <v>8</v>
      </c>
      <c r="AX785" s="27" t="s">
        <v>7</v>
      </c>
      <c r="AY785" s="27" t="s">
        <v>8</v>
      </c>
      <c r="AZ785" s="27" t="s">
        <v>7</v>
      </c>
      <c r="BA785" s="27" t="s">
        <v>8</v>
      </c>
      <c r="BB785" s="27" t="s">
        <v>7</v>
      </c>
      <c r="BE785" s="27" t="s">
        <v>8</v>
      </c>
      <c r="CF785" s="27" t="s">
        <v>7</v>
      </c>
      <c r="CG785" s="27" t="s">
        <v>8</v>
      </c>
      <c r="CH785" s="27" t="s">
        <v>7</v>
      </c>
      <c r="CI785" s="27" t="s">
        <v>8</v>
      </c>
      <c r="CJ785" s="27" t="s">
        <v>7</v>
      </c>
      <c r="CS785" s="27" t="s">
        <v>8</v>
      </c>
    </row>
    <row r="786" spans="1:104" x14ac:dyDescent="0.25">
      <c r="A786" s="7">
        <v>1.9434162034082238E-2</v>
      </c>
      <c r="B786"/>
      <c r="C786"/>
      <c r="D786"/>
      <c r="E786"/>
      <c r="J786" s="27" t="s">
        <v>7</v>
      </c>
      <c r="K786" s="27" t="s">
        <v>8</v>
      </c>
      <c r="L786" s="27" t="s">
        <v>7</v>
      </c>
      <c r="M786" s="27" t="s">
        <v>8</v>
      </c>
      <c r="R786" s="27" t="s">
        <v>7</v>
      </c>
      <c r="S786" s="27" t="s">
        <v>8</v>
      </c>
      <c r="T786" s="27" t="s">
        <v>7</v>
      </c>
      <c r="U786" s="27" t="s">
        <v>8</v>
      </c>
      <c r="V786" s="27" t="s">
        <v>7</v>
      </c>
      <c r="W786" s="27" t="s">
        <v>8</v>
      </c>
      <c r="AX786" s="27" t="s">
        <v>7</v>
      </c>
      <c r="AY786" s="27" t="s">
        <v>8</v>
      </c>
      <c r="AZ786" s="27" t="s">
        <v>7</v>
      </c>
      <c r="BA786" s="27" t="s">
        <v>8</v>
      </c>
      <c r="BB786" s="27" t="s">
        <v>7</v>
      </c>
      <c r="BC786" s="27" t="s">
        <v>8</v>
      </c>
      <c r="BE786" s="27" t="s">
        <v>8</v>
      </c>
      <c r="CF786" s="27" t="s">
        <v>7</v>
      </c>
      <c r="CG786" s="27" t="s">
        <v>8</v>
      </c>
      <c r="CH786" s="27" t="s">
        <v>7</v>
      </c>
      <c r="CI786" s="27" t="s">
        <v>8</v>
      </c>
      <c r="CJ786" s="27" t="s">
        <v>7</v>
      </c>
      <c r="CS786" s="27" t="s">
        <v>8</v>
      </c>
      <c r="CT786" s="27" t="s">
        <v>7</v>
      </c>
    </row>
    <row r="787" spans="1:104" x14ac:dyDescent="0.25">
      <c r="A787" s="7">
        <v>1.9053100033413959E-2</v>
      </c>
      <c r="B787"/>
      <c r="C787"/>
      <c r="D787"/>
      <c r="E787"/>
      <c r="J787" s="27" t="s">
        <v>7</v>
      </c>
      <c r="K787" s="27" t="s">
        <v>8</v>
      </c>
      <c r="L787" s="27" t="s">
        <v>7</v>
      </c>
      <c r="M787" s="27" t="s">
        <v>8</v>
      </c>
      <c r="R787" s="27" t="s">
        <v>7</v>
      </c>
      <c r="S787" s="27" t="s">
        <v>8</v>
      </c>
      <c r="T787" s="27" t="s">
        <v>7</v>
      </c>
      <c r="U787" s="27" t="s">
        <v>8</v>
      </c>
      <c r="V787" s="27" t="s">
        <v>7</v>
      </c>
      <c r="AX787" s="27" t="s">
        <v>7</v>
      </c>
      <c r="AY787" s="27" t="s">
        <v>8</v>
      </c>
      <c r="AZ787" s="27" t="s">
        <v>7</v>
      </c>
      <c r="BA787" s="27" t="s">
        <v>8</v>
      </c>
      <c r="BB787" s="27" t="s">
        <v>7</v>
      </c>
      <c r="BC787" s="27" t="s">
        <v>8</v>
      </c>
      <c r="BD787" s="27" t="s">
        <v>7</v>
      </c>
      <c r="BE787" s="27" t="s">
        <v>8</v>
      </c>
      <c r="CF787" s="27" t="s">
        <v>7</v>
      </c>
      <c r="CG787" s="27" t="s">
        <v>8</v>
      </c>
      <c r="CH787" s="27" t="s">
        <v>7</v>
      </c>
      <c r="CI787" s="27" t="s">
        <v>8</v>
      </c>
      <c r="CJ787" s="27" t="s">
        <v>7</v>
      </c>
      <c r="CK787" s="27" t="s">
        <v>8</v>
      </c>
      <c r="CS787" s="27" t="s">
        <v>8</v>
      </c>
      <c r="CT787" s="27" t="s">
        <v>7</v>
      </c>
    </row>
    <row r="788" spans="1:104" x14ac:dyDescent="0.25">
      <c r="A788" s="7">
        <v>1.867950983668035E-2</v>
      </c>
      <c r="B788"/>
      <c r="C788"/>
      <c r="D788"/>
      <c r="E788"/>
      <c r="J788" s="27" t="s">
        <v>7</v>
      </c>
      <c r="K788" s="27" t="s">
        <v>8</v>
      </c>
      <c r="L788" s="27" t="s">
        <v>7</v>
      </c>
      <c r="R788" s="27" t="s">
        <v>7</v>
      </c>
      <c r="S788" s="27" t="s">
        <v>8</v>
      </c>
      <c r="T788" s="27" t="s">
        <v>7</v>
      </c>
      <c r="U788" s="27" t="s">
        <v>8</v>
      </c>
      <c r="AX788" s="27" t="s">
        <v>7</v>
      </c>
      <c r="AZ788" s="27" t="s">
        <v>7</v>
      </c>
      <c r="BB788" s="27" t="s">
        <v>7</v>
      </c>
      <c r="BC788" s="27" t="s">
        <v>8</v>
      </c>
      <c r="BD788" s="27" t="s">
        <v>7</v>
      </c>
      <c r="BE788" s="27" t="s">
        <v>8</v>
      </c>
      <c r="CF788" s="27" t="s">
        <v>7</v>
      </c>
      <c r="CG788" s="27" t="s">
        <v>8</v>
      </c>
      <c r="CH788" s="27" t="s">
        <v>7</v>
      </c>
      <c r="CI788" s="27" t="s">
        <v>8</v>
      </c>
      <c r="CJ788" s="27" t="s">
        <v>7</v>
      </c>
      <c r="CK788" s="27" t="s">
        <v>8</v>
      </c>
      <c r="CL788" s="27" t="s">
        <v>7</v>
      </c>
      <c r="CS788" s="27" t="s">
        <v>8</v>
      </c>
      <c r="CT788" s="27" t="s">
        <v>7</v>
      </c>
    </row>
    <row r="789" spans="1:104" x14ac:dyDescent="0.25">
      <c r="A789" s="7">
        <v>1.8313244937921913E-2</v>
      </c>
      <c r="B789"/>
      <c r="C789"/>
      <c r="D789"/>
      <c r="E789"/>
      <c r="J789" s="27" t="s">
        <v>7</v>
      </c>
      <c r="K789" s="27" t="s">
        <v>8</v>
      </c>
      <c r="R789" s="27" t="s">
        <v>7</v>
      </c>
      <c r="S789" s="27" t="s">
        <v>8</v>
      </c>
      <c r="T789" s="27" t="s">
        <v>7</v>
      </c>
      <c r="U789" s="27" t="s">
        <v>8</v>
      </c>
      <c r="BB789" s="27" t="s">
        <v>7</v>
      </c>
      <c r="BD789" s="27" t="s">
        <v>7</v>
      </c>
      <c r="CF789" s="27" t="s">
        <v>7</v>
      </c>
      <c r="CG789" s="27" t="s">
        <v>8</v>
      </c>
      <c r="CH789" s="27" t="s">
        <v>7</v>
      </c>
      <c r="CI789" s="27" t="s">
        <v>8</v>
      </c>
      <c r="CJ789" s="27" t="s">
        <v>7</v>
      </c>
      <c r="CK789" s="27" t="s">
        <v>8</v>
      </c>
      <c r="CL789" s="27" t="s">
        <v>7</v>
      </c>
      <c r="CM789" s="27" t="s">
        <v>8</v>
      </c>
      <c r="CS789" s="27" t="s">
        <v>8</v>
      </c>
      <c r="CT789" s="27" t="s">
        <v>7</v>
      </c>
      <c r="CU789" s="27" t="s">
        <v>8</v>
      </c>
      <c r="CW789" s="27" t="s">
        <v>8</v>
      </c>
    </row>
    <row r="790" spans="1:104" x14ac:dyDescent="0.25">
      <c r="A790" s="7">
        <v>1.7954161703845013E-2</v>
      </c>
      <c r="B790"/>
      <c r="C790"/>
      <c r="D790"/>
      <c r="E790"/>
      <c r="J790" s="27" t="s">
        <v>7</v>
      </c>
      <c r="K790" s="27" t="s">
        <v>8</v>
      </c>
      <c r="R790" s="27" t="s">
        <v>7</v>
      </c>
      <c r="T790" s="27" t="s">
        <v>7</v>
      </c>
      <c r="U790" s="27" t="s">
        <v>8</v>
      </c>
      <c r="CF790" s="27" t="s">
        <v>7</v>
      </c>
      <c r="CG790" s="27" t="s">
        <v>8</v>
      </c>
      <c r="CH790" s="27" t="s">
        <v>7</v>
      </c>
      <c r="CJ790" s="27" t="s">
        <v>7</v>
      </c>
      <c r="CK790" s="27" t="s">
        <v>8</v>
      </c>
      <c r="CL790" s="27" t="s">
        <v>7</v>
      </c>
      <c r="CM790" s="27" t="s">
        <v>8</v>
      </c>
      <c r="CN790" s="27" t="s">
        <v>7</v>
      </c>
      <c r="CO790" s="27" t="s">
        <v>8</v>
      </c>
      <c r="CS790" s="27" t="s">
        <v>8</v>
      </c>
      <c r="CT790" s="27" t="s">
        <v>7</v>
      </c>
      <c r="CU790" s="27" t="s">
        <v>8</v>
      </c>
      <c r="CV790" s="27" t="s">
        <v>7</v>
      </c>
      <c r="CW790" s="27" t="s">
        <v>8</v>
      </c>
      <c r="CX790" s="27" t="s">
        <v>7</v>
      </c>
    </row>
    <row r="791" spans="1:104" x14ac:dyDescent="0.25">
      <c r="A791" s="7">
        <v>1.7602119317495109E-2</v>
      </c>
      <c r="B791"/>
      <c r="C791"/>
      <c r="D791"/>
      <c r="E791"/>
      <c r="J791" s="27" t="s">
        <v>7</v>
      </c>
      <c r="T791" s="27" t="s">
        <v>7</v>
      </c>
      <c r="U791" s="27" t="s">
        <v>8</v>
      </c>
      <c r="CF791" s="27" t="s">
        <v>7</v>
      </c>
      <c r="CG791" s="27" t="s">
        <v>8</v>
      </c>
      <c r="CJ791" s="27" t="s">
        <v>7</v>
      </c>
      <c r="CL791" s="27" t="s">
        <v>7</v>
      </c>
      <c r="CM791" s="27" t="s">
        <v>8</v>
      </c>
      <c r="CN791" s="27" t="s">
        <v>7</v>
      </c>
      <c r="CO791" s="27" t="s">
        <v>8</v>
      </c>
      <c r="CP791" s="27" t="s">
        <v>7</v>
      </c>
      <c r="CS791" s="27" t="s">
        <v>8</v>
      </c>
      <c r="CT791" s="27" t="s">
        <v>7</v>
      </c>
      <c r="CU791" s="27" t="s">
        <v>8</v>
      </c>
      <c r="CV791" s="27" t="s">
        <v>7</v>
      </c>
      <c r="CW791" s="27" t="s">
        <v>8</v>
      </c>
      <c r="CX791" s="27" t="s">
        <v>7</v>
      </c>
    </row>
    <row r="792" spans="1:104" x14ac:dyDescent="0.25">
      <c r="A792" s="7">
        <v>1.7256979723034419E-2</v>
      </c>
      <c r="B792"/>
      <c r="C792"/>
      <c r="D792"/>
      <c r="E792"/>
      <c r="T792" s="18" t="s">
        <v>7</v>
      </c>
      <c r="U792" s="27" t="s">
        <v>8</v>
      </c>
      <c r="CF792" s="27" t="s">
        <v>7</v>
      </c>
      <c r="CG792" s="27" t="s">
        <v>8</v>
      </c>
      <c r="CL792" s="27" t="s">
        <v>7</v>
      </c>
      <c r="CM792" s="27" t="s">
        <v>8</v>
      </c>
      <c r="CN792" s="27" t="s">
        <v>7</v>
      </c>
      <c r="CO792" s="27" t="s">
        <v>8</v>
      </c>
      <c r="CP792" s="27" t="s">
        <v>7</v>
      </c>
      <c r="CQ792" s="27" t="s">
        <v>8</v>
      </c>
      <c r="CS792" s="27" t="s">
        <v>8</v>
      </c>
      <c r="CT792" s="27" t="s">
        <v>7</v>
      </c>
      <c r="CU792" s="27" t="s">
        <v>8</v>
      </c>
      <c r="CV792" s="27" t="s">
        <v>7</v>
      </c>
      <c r="CX792" s="27" t="s">
        <v>7</v>
      </c>
    </row>
    <row r="793" spans="1:104" x14ac:dyDescent="0.25">
      <c r="A793" s="7">
        <v>1.6918607571602372E-2</v>
      </c>
      <c r="B793"/>
      <c r="C793"/>
      <c r="D793"/>
      <c r="E793"/>
      <c r="T793" s="27" t="s">
        <v>7</v>
      </c>
      <c r="U793" s="27" t="s">
        <v>8</v>
      </c>
      <c r="CF793" s="27" t="s">
        <v>7</v>
      </c>
      <c r="CG793" s="27" t="s">
        <v>8</v>
      </c>
      <c r="CL793" s="27" t="s">
        <v>7</v>
      </c>
      <c r="CM793" s="27" t="s">
        <v>8</v>
      </c>
      <c r="CN793" s="27" t="s">
        <v>7</v>
      </c>
      <c r="CO793" s="27" t="s">
        <v>8</v>
      </c>
      <c r="CP793" s="27" t="s">
        <v>7</v>
      </c>
      <c r="CQ793" s="27" t="s">
        <v>8</v>
      </c>
      <c r="CR793" s="27" t="s">
        <v>7</v>
      </c>
      <c r="CS793" s="27" t="s">
        <v>8</v>
      </c>
      <c r="CT793" s="27" t="s">
        <v>7</v>
      </c>
      <c r="CX793" s="27" t="s">
        <v>7</v>
      </c>
    </row>
    <row r="794" spans="1:104" x14ac:dyDescent="0.25">
      <c r="A794" s="7">
        <v>1.6586870168237622E-2</v>
      </c>
      <c r="B794"/>
      <c r="C794"/>
      <c r="D794"/>
      <c r="E794"/>
      <c r="T794" s="27" t="s">
        <v>7</v>
      </c>
      <c r="U794" s="27" t="s">
        <v>8</v>
      </c>
      <c r="CF794" s="27" t="s">
        <v>7</v>
      </c>
      <c r="CG794" s="27" t="s">
        <v>8</v>
      </c>
      <c r="CL794" s="27" t="s">
        <v>7</v>
      </c>
      <c r="CN794" s="27" t="s">
        <v>7</v>
      </c>
      <c r="CO794" s="27" t="s">
        <v>8</v>
      </c>
      <c r="CP794" s="27" t="s">
        <v>7</v>
      </c>
      <c r="CQ794" s="27" t="s">
        <v>8</v>
      </c>
      <c r="CR794" s="27" t="s">
        <v>7</v>
      </c>
      <c r="CS794" s="27" t="s">
        <v>8</v>
      </c>
      <c r="CX794" s="27" t="s">
        <v>7</v>
      </c>
    </row>
    <row r="795" spans="1:104" x14ac:dyDescent="0.25">
      <c r="A795" s="7">
        <v>1.6261637419840807E-2</v>
      </c>
      <c r="B795"/>
      <c r="C795"/>
      <c r="D795"/>
      <c r="E795"/>
      <c r="T795" s="27" t="s">
        <v>7</v>
      </c>
      <c r="U795" s="27" t="s">
        <v>8</v>
      </c>
      <c r="CF795" s="27" t="s">
        <v>7</v>
      </c>
      <c r="CG795" s="27" t="s">
        <v>8</v>
      </c>
      <c r="CN795" s="27" t="s">
        <v>7</v>
      </c>
      <c r="CP795" s="27" t="s">
        <v>7</v>
      </c>
      <c r="CR795" s="27" t="s">
        <v>7</v>
      </c>
      <c r="CS795" s="27" t="s">
        <v>8</v>
      </c>
      <c r="CX795" s="27" t="s">
        <v>7</v>
      </c>
    </row>
    <row r="796" spans="1:104" x14ac:dyDescent="0.25">
      <c r="A796" s="7">
        <v>1.5942781784157655E-2</v>
      </c>
      <c r="B796"/>
      <c r="C796"/>
      <c r="D796"/>
      <c r="E796"/>
      <c r="T796" s="27" t="s">
        <v>7</v>
      </c>
      <c r="CF796" s="27" t="s">
        <v>7</v>
      </c>
      <c r="CG796" s="27" t="s">
        <v>8</v>
      </c>
      <c r="CR796" s="27" t="s">
        <v>7</v>
      </c>
      <c r="CS796" s="27" t="s">
        <v>8</v>
      </c>
      <c r="CX796" s="27" t="s">
        <v>7</v>
      </c>
    </row>
    <row r="797" spans="1:104" x14ac:dyDescent="0.25">
      <c r="A797" s="7">
        <v>1.5630178219762408E-2</v>
      </c>
      <c r="B797"/>
      <c r="C797"/>
      <c r="D797"/>
      <c r="E797"/>
      <c r="CF797" s="27" t="s">
        <v>7</v>
      </c>
      <c r="CR797" s="27" t="s">
        <v>7</v>
      </c>
      <c r="CX797" s="27" t="s">
        <v>7</v>
      </c>
    </row>
    <row r="798" spans="1:104" x14ac:dyDescent="0.25">
      <c r="A798" s="7">
        <v>1.5323704137021967E-2</v>
      </c>
      <c r="B798"/>
      <c r="C798"/>
      <c r="D798"/>
      <c r="E798"/>
      <c r="CX798" s="27" t="s">
        <v>7</v>
      </c>
    </row>
    <row r="799" spans="1:104" x14ac:dyDescent="0.25">
      <c r="A799" s="7">
        <v>1.5023239350021535E-2</v>
      </c>
      <c r="B799"/>
      <c r="C799"/>
      <c r="D799"/>
      <c r="E799"/>
      <c r="CX799" s="27" t="s">
        <v>7</v>
      </c>
      <c r="CY799" s="27" t="s">
        <v>8</v>
      </c>
    </row>
    <row r="800" spans="1:104" x14ac:dyDescent="0.25">
      <c r="A800" s="7">
        <v>1.4728666029432878E-2</v>
      </c>
      <c r="B800"/>
      <c r="C800"/>
      <c r="D800"/>
      <c r="E800"/>
      <c r="CX800" s="27" t="s">
        <v>7</v>
      </c>
      <c r="CY800" s="27" t="s">
        <v>8</v>
      </c>
      <c r="CZ800" s="27" t="s">
        <v>7</v>
      </c>
    </row>
    <row r="801" spans="1:104" x14ac:dyDescent="0.25">
      <c r="A801" s="7">
        <v>1.4439868656306743E-2</v>
      </c>
      <c r="B801"/>
      <c r="C801"/>
      <c r="D801"/>
      <c r="E801"/>
      <c r="CX801" s="27" t="s">
        <v>7</v>
      </c>
      <c r="CY801" s="27" t="s">
        <v>8</v>
      </c>
      <c r="CZ801" s="27" t="s">
        <v>7</v>
      </c>
    </row>
    <row r="802" spans="1:104" x14ac:dyDescent="0.25">
      <c r="A802" s="7">
        <v>1.4156733976771318E-2</v>
      </c>
      <c r="B802"/>
      <c r="C802"/>
      <c r="D802"/>
      <c r="E802"/>
      <c r="CX802" s="27" t="s">
        <v>7</v>
      </c>
      <c r="CY802" s="27" t="s">
        <v>8</v>
      </c>
      <c r="CZ802" s="27" t="s">
        <v>7</v>
      </c>
    </row>
    <row r="803" spans="1:104" x14ac:dyDescent="0.25">
      <c r="A803" s="7">
        <v>1.3879150957618939E-2</v>
      </c>
      <c r="B803"/>
      <c r="C803"/>
      <c r="D803"/>
      <c r="E803"/>
      <c r="CX803" s="27" t="s">
        <v>7</v>
      </c>
      <c r="CY803" s="27" t="s">
        <v>8</v>
      </c>
      <c r="CZ803" s="27" t="s">
        <v>7</v>
      </c>
    </row>
    <row r="804" spans="1:104" x14ac:dyDescent="0.25">
      <c r="A804" s="7">
        <v>1.3607010742763666E-2</v>
      </c>
      <c r="B804"/>
      <c r="C804"/>
      <c r="D804"/>
      <c r="E804"/>
      <c r="CX804" s="27" t="s">
        <v>7</v>
      </c>
      <c r="CY804" s="27" t="s">
        <v>8</v>
      </c>
      <c r="CZ804" s="27" t="s">
        <v>7</v>
      </c>
    </row>
    <row r="805" spans="1:104" x14ac:dyDescent="0.25">
      <c r="A805" s="7">
        <v>1.3340206610552614E-2</v>
      </c>
      <c r="B805"/>
      <c r="C805"/>
      <c r="D805"/>
      <c r="E805"/>
      <c r="CX805" s="27" t="s">
        <v>7</v>
      </c>
      <c r="CY805" s="27" t="s">
        <v>8</v>
      </c>
      <c r="CZ805" s="27" t="s">
        <v>7</v>
      </c>
    </row>
    <row r="806" spans="1:104" x14ac:dyDescent="0.25">
      <c r="A806" s="7">
        <v>1.3078633931914328E-2</v>
      </c>
      <c r="B806"/>
      <c r="C806"/>
      <c r="D806"/>
      <c r="E806"/>
      <c r="CX806" s="27" t="s">
        <v>7</v>
      </c>
      <c r="CY806" s="27" t="s">
        <v>8</v>
      </c>
      <c r="CZ806" s="27" t="s">
        <v>7</v>
      </c>
    </row>
    <row r="807" spans="1:104" x14ac:dyDescent="0.25">
      <c r="A807" s="7">
        <v>1.2822190129327771E-2</v>
      </c>
      <c r="B807"/>
      <c r="C807"/>
      <c r="D807"/>
      <c r="E807"/>
      <c r="CX807" s="27" t="s">
        <v>7</v>
      </c>
      <c r="CY807" s="27" t="s">
        <v>8</v>
      </c>
      <c r="CZ807" s="27" t="s">
        <v>7</v>
      </c>
    </row>
    <row r="808" spans="1:104" x14ac:dyDescent="0.25">
      <c r="A808" s="7">
        <v>1.2570774636595854E-2</v>
      </c>
      <c r="B808"/>
      <c r="C808"/>
      <c r="D808"/>
      <c r="E808"/>
      <c r="CX808" s="27" t="s">
        <v>7</v>
      </c>
      <c r="CZ808" s="27" t="s">
        <v>7</v>
      </c>
    </row>
    <row r="809" spans="1:104" x14ac:dyDescent="0.25">
      <c r="A809" s="7">
        <v>1.23242888594077E-2</v>
      </c>
      <c r="B809"/>
      <c r="C809"/>
      <c r="D809"/>
      <c r="E809"/>
      <c r="CZ809" s="27" t="s">
        <v>7</v>
      </c>
    </row>
    <row r="810" spans="1:104" x14ac:dyDescent="0.25">
      <c r="A810" s="7">
        <v>1.2082636136674216E-2</v>
      </c>
      <c r="B810"/>
      <c r="C810"/>
      <c r="D810"/>
      <c r="E810"/>
      <c r="CZ810" s="27" t="s">
        <v>7</v>
      </c>
    </row>
    <row r="811" spans="1:104" x14ac:dyDescent="0.25">
      <c r="A811" s="7">
        <v>1.184572170262178E-2</v>
      </c>
      <c r="B811"/>
      <c r="C811"/>
      <c r="D811"/>
      <c r="E811"/>
      <c r="CZ811" s="27" t="s">
        <v>7</v>
      </c>
    </row>
    <row r="812" spans="1:104" x14ac:dyDescent="0.25">
      <c r="A812" s="7">
        <v>1.1613452649629196E-2</v>
      </c>
      <c r="B812"/>
      <c r="C812"/>
      <c r="D812"/>
      <c r="E812"/>
      <c r="CZ812" s="27" t="s">
        <v>7</v>
      </c>
    </row>
    <row r="813" spans="1:104" x14ac:dyDescent="0.25">
      <c r="A813" s="7">
        <v>1.138573789179333E-2</v>
      </c>
      <c r="B813"/>
      <c r="C813"/>
      <c r="D813"/>
      <c r="E813"/>
      <c r="CZ813" s="27" t="s">
        <v>7</v>
      </c>
    </row>
    <row r="814" spans="1:104" x14ac:dyDescent="0.25">
      <c r="A814" s="7">
        <v>1.1162488129209149E-2</v>
      </c>
      <c r="B814"/>
      <c r="C814"/>
      <c r="D814"/>
      <c r="E814"/>
      <c r="CZ814" s="27" t="s">
        <v>7</v>
      </c>
    </row>
    <row r="815" spans="1:104" x14ac:dyDescent="0.25">
      <c r="A815" s="7">
        <v>1.0943615812950145E-2</v>
      </c>
      <c r="B815"/>
      <c r="C815"/>
      <c r="D815"/>
      <c r="E815"/>
      <c r="CZ815" s="27" t="s">
        <v>7</v>
      </c>
    </row>
    <row r="816" spans="1:104" x14ac:dyDescent="0.25">
      <c r="A816" s="7">
        <v>1.0729035110735436E-2</v>
      </c>
      <c r="B816"/>
      <c r="C816"/>
      <c r="D816"/>
      <c r="E816"/>
      <c r="CZ816" s="27" t="s">
        <v>7</v>
      </c>
    </row>
    <row r="817" spans="1:108" x14ac:dyDescent="0.25">
      <c r="A817" s="7">
        <v>1.0518661873270036E-2</v>
      </c>
      <c r="B817"/>
      <c r="C817"/>
      <c r="D817"/>
      <c r="E817"/>
      <c r="CZ817" s="27" t="s">
        <v>7</v>
      </c>
      <c r="DC817" s="27" t="s">
        <v>8</v>
      </c>
    </row>
    <row r="818" spans="1:108" x14ac:dyDescent="0.25">
      <c r="A818" s="7">
        <v>1.0312413601245135E-2</v>
      </c>
      <c r="B818"/>
      <c r="C818"/>
      <c r="D818"/>
      <c r="E818"/>
      <c r="CZ818" s="27" t="s">
        <v>7</v>
      </c>
      <c r="DC818" s="27" t="s">
        <v>8</v>
      </c>
      <c r="DD818" s="27" t="s">
        <v>7</v>
      </c>
    </row>
    <row r="819" spans="1:108" x14ac:dyDescent="0.25">
      <c r="A819" s="7">
        <v>1.0110209412985426E-2</v>
      </c>
      <c r="B819"/>
      <c r="C819"/>
      <c r="D819"/>
      <c r="E819"/>
      <c r="CZ819" s="27" t="s">
        <v>7</v>
      </c>
      <c r="DA819" s="27" t="s">
        <v>8</v>
      </c>
      <c r="DC819" s="27" t="s">
        <v>8</v>
      </c>
      <c r="DD819" s="27" t="s">
        <v>7</v>
      </c>
    </row>
    <row r="820" spans="1:108" x14ac:dyDescent="0.25">
      <c r="A820" s="7">
        <v>9.9119700127308103E-3</v>
      </c>
      <c r="B820"/>
      <c r="C820"/>
      <c r="D820"/>
      <c r="E820"/>
      <c r="CZ820" s="27" t="s">
        <v>7</v>
      </c>
      <c r="DA820" s="27" t="s">
        <v>8</v>
      </c>
      <c r="DB820" s="27" t="s">
        <v>7</v>
      </c>
      <c r="DC820" s="27" t="s">
        <v>8</v>
      </c>
      <c r="DD820" s="27" t="s">
        <v>7</v>
      </c>
    </row>
    <row r="821" spans="1:108" x14ac:dyDescent="0.25">
      <c r="A821" s="7">
        <v>9.717617659540009E-3</v>
      </c>
      <c r="B821"/>
      <c r="C821"/>
      <c r="D821"/>
      <c r="E821"/>
      <c r="CZ821" s="27" t="s">
        <v>7</v>
      </c>
      <c r="DA821" s="27" t="s">
        <v>8</v>
      </c>
      <c r="DB821" s="27" t="s">
        <v>7</v>
      </c>
      <c r="DC821" s="27" t="s">
        <v>8</v>
      </c>
      <c r="DD821" s="27" t="s">
        <v>7</v>
      </c>
    </row>
    <row r="822" spans="1:108" x14ac:dyDescent="0.25">
      <c r="A822" s="7">
        <v>9.5270761368039299E-3</v>
      </c>
      <c r="B822"/>
      <c r="C822"/>
      <c r="D822"/>
      <c r="E822"/>
      <c r="CZ822" s="27" t="s">
        <v>7</v>
      </c>
      <c r="DA822" s="27" t="s">
        <v>8</v>
      </c>
      <c r="DB822" s="27" t="s">
        <v>7</v>
      </c>
      <c r="DC822" s="27" t="s">
        <v>8</v>
      </c>
    </row>
    <row r="823" spans="1:108" x14ac:dyDescent="0.25">
      <c r="A823" s="7">
        <v>9.3402707223567936E-3</v>
      </c>
      <c r="B823"/>
      <c r="C823"/>
      <c r="D823"/>
      <c r="E823"/>
      <c r="CZ823" s="27" t="s">
        <v>7</v>
      </c>
      <c r="DA823" s="27" t="s">
        <v>8</v>
      </c>
      <c r="DB823" s="27" t="s">
        <v>7</v>
      </c>
      <c r="DC823" s="27" t="s">
        <v>8</v>
      </c>
    </row>
    <row r="824" spans="1:108" x14ac:dyDescent="0.25">
      <c r="A824" s="7">
        <v>9.1571281591733261E-3</v>
      </c>
      <c r="B824"/>
      <c r="C824"/>
      <c r="D824"/>
      <c r="E824"/>
      <c r="CZ824" s="27" t="s">
        <v>7</v>
      </c>
      <c r="DA824" s="27" t="s">
        <v>8</v>
      </c>
      <c r="DB824" s="27" t="s">
        <v>7</v>
      </c>
      <c r="DC824" s="27" t="s">
        <v>8</v>
      </c>
    </row>
    <row r="825" spans="1:108" x14ac:dyDescent="0.25">
      <c r="A825" s="7">
        <v>8.9775766266405148E-3</v>
      </c>
      <c r="B825"/>
      <c r="C825"/>
      <c r="D825"/>
      <c r="E825"/>
      <c r="CZ825" s="27" t="s">
        <v>7</v>
      </c>
      <c r="DA825" s="27" t="s">
        <v>8</v>
      </c>
      <c r="DB825" s="27" t="s">
        <v>7</v>
      </c>
      <c r="DC825" s="27" t="s">
        <v>8</v>
      </c>
    </row>
    <row r="826" spans="1:108" x14ac:dyDescent="0.25">
      <c r="A826" s="7">
        <v>8.8015457123926614E-3</v>
      </c>
      <c r="B826"/>
      <c r="C826"/>
      <c r="D826"/>
      <c r="E826"/>
      <c r="CZ826" s="27" t="s">
        <v>7</v>
      </c>
      <c r="DA826" s="27" t="s">
        <v>8</v>
      </c>
      <c r="DB826" s="27" t="s">
        <v>7</v>
      </c>
      <c r="DC826" s="27" t="s">
        <v>8</v>
      </c>
    </row>
    <row r="827" spans="1:108" x14ac:dyDescent="0.25">
      <c r="A827" s="7">
        <v>8.6289663846986879E-3</v>
      </c>
      <c r="B827"/>
      <c r="C827"/>
      <c r="D827"/>
      <c r="E827"/>
      <c r="CZ827" s="27" t="s">
        <v>7</v>
      </c>
      <c r="DA827" s="27" t="s">
        <v>8</v>
      </c>
      <c r="DB827" s="27" t="s">
        <v>7</v>
      </c>
      <c r="DC827" s="27" t="s">
        <v>8</v>
      </c>
    </row>
    <row r="828" spans="1:108" x14ac:dyDescent="0.25">
      <c r="A828" s="7">
        <v>8.4597709653908715E-3</v>
      </c>
      <c r="B828"/>
      <c r="C828"/>
      <c r="D828"/>
      <c r="E828"/>
      <c r="CZ828" s="27" t="s">
        <v>7</v>
      </c>
      <c r="DA828" s="27" t="s">
        <v>8</v>
      </c>
      <c r="DB828" s="27" t="s">
        <v>7</v>
      </c>
      <c r="DC828" s="27" t="s">
        <v>8</v>
      </c>
    </row>
    <row r="829" spans="1:108" x14ac:dyDescent="0.25">
      <c r="A829" s="7">
        <v>8.2938931033243839E-3</v>
      </c>
      <c r="B829"/>
      <c r="C829"/>
      <c r="D829"/>
      <c r="E829"/>
      <c r="CZ829" s="27" t="s">
        <v>7</v>
      </c>
      <c r="DB829" s="27" t="s">
        <v>7</v>
      </c>
      <c r="DC829" s="27" t="s">
        <v>8</v>
      </c>
    </row>
    <row r="830" spans="1:108" x14ac:dyDescent="0.25">
      <c r="A830" s="7">
        <v>8.1312677483572383E-3</v>
      </c>
      <c r="B830"/>
      <c r="C830"/>
      <c r="D830"/>
      <c r="E830"/>
      <c r="DB830" s="27" t="s">
        <v>7</v>
      </c>
    </row>
    <row r="831" spans="1:108" x14ac:dyDescent="0.25">
      <c r="A831" s="7">
        <v>7.9718311258404305E-3</v>
      </c>
      <c r="B831"/>
      <c r="C831"/>
      <c r="D831"/>
      <c r="E831"/>
    </row>
    <row r="832" spans="1:108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641" operator="equal">
      <formula>$U$1</formula>
    </cfRule>
    <cfRule type="cellIs" dxfId="89" priority="642" operator="equal">
      <formula>$S$1</formula>
    </cfRule>
  </conditionalFormatting>
  <conditionalFormatting sqref="D27">
    <cfRule type="cellIs" dxfId="88" priority="639" operator="equal">
      <formula>$S$1</formula>
    </cfRule>
    <cfRule type="cellIs" dxfId="87" priority="640" operator="equal">
      <formula>$U$1</formula>
    </cfRule>
  </conditionalFormatting>
  <conditionalFormatting sqref="C164">
    <cfRule type="cellIs" dxfId="86" priority="637" operator="equal">
      <formula>$U$1</formula>
    </cfRule>
    <cfRule type="cellIs" dxfId="85" priority="638" operator="equal">
      <formula>$S$1</formula>
    </cfRule>
  </conditionalFormatting>
  <conditionalFormatting sqref="D164">
    <cfRule type="cellIs" dxfId="84" priority="635" operator="equal">
      <formula>$S$1</formula>
    </cfRule>
    <cfRule type="cellIs" dxfId="83" priority="636" operator="equal">
      <formula>$U$1</formula>
    </cfRule>
  </conditionalFormatting>
  <conditionalFormatting sqref="C55">
    <cfRule type="cellIs" dxfId="82" priority="633" operator="equal">
      <formula>$U$1</formula>
    </cfRule>
    <cfRule type="cellIs" dxfId="81" priority="634" operator="equal">
      <formula>$S$1</formula>
    </cfRule>
  </conditionalFormatting>
  <conditionalFormatting sqref="D55">
    <cfRule type="cellIs" dxfId="80" priority="631" operator="equal">
      <formula>$S$1</formula>
    </cfRule>
    <cfRule type="cellIs" dxfId="79" priority="632" operator="equal">
      <formula>$U$1</formula>
    </cfRule>
  </conditionalFormatting>
  <conditionalFormatting sqref="C89">
    <cfRule type="cellIs" dxfId="78" priority="629" operator="equal">
      <formula>$U$1</formula>
    </cfRule>
    <cfRule type="cellIs" dxfId="77" priority="630" operator="equal">
      <formula>$S$1</formula>
    </cfRule>
  </conditionalFormatting>
  <conditionalFormatting sqref="D89">
    <cfRule type="cellIs" dxfId="76" priority="627" operator="equal">
      <formula>$S$1</formula>
    </cfRule>
    <cfRule type="cellIs" dxfId="75" priority="628" operator="equal">
      <formula>$U$1</formula>
    </cfRule>
  </conditionalFormatting>
  <conditionalFormatting sqref="C136">
    <cfRule type="cellIs" dxfId="74" priority="625" operator="equal">
      <formula>$U$1</formula>
    </cfRule>
    <cfRule type="cellIs" dxfId="73" priority="626" operator="equal">
      <formula>$S$1</formula>
    </cfRule>
  </conditionalFormatting>
  <conditionalFormatting sqref="D136">
    <cfRule type="cellIs" dxfId="72" priority="623" operator="equal">
      <formula>$S$1</formula>
    </cfRule>
    <cfRule type="cellIs" dxfId="71" priority="624" operator="equal">
      <formula>$U$1</formula>
    </cfRule>
  </conditionalFormatting>
  <conditionalFormatting sqref="C1">
    <cfRule type="cellIs" dxfId="70" priority="622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AU334" sqref="AU334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$A$333</v>
      </c>
      <c r="D111" s="1" t="str">
        <f>ADDRESS(C121-1,D121,1,1)</f>
        <v>$AU$333</v>
      </c>
      <c r="E111"/>
    </row>
    <row r="112" spans="1:5" x14ac:dyDescent="0.25">
      <c r="A112" s="30">
        <v>515.50191262726139</v>
      </c>
      <c r="C112" s="1" t="str">
        <f>ADDRESS(C121,1,1,1)</f>
        <v>$A$334</v>
      </c>
      <c r="D112" s="1" t="str">
        <f>ADDRESS(C121,D121-1,1,1)</f>
        <v>$AT$334</v>
      </c>
      <c r="E112"/>
    </row>
    <row r="113" spans="1:5" x14ac:dyDescent="0.25">
      <c r="A113" s="30">
        <v>490.95420250215363</v>
      </c>
      <c r="C113" s="1" t="str">
        <f>ADDRESS(C121+1,1,1,1)</f>
        <v>$A$335</v>
      </c>
      <c r="D113" s="1" t="str">
        <f>ADDRESS(C121-1,D121+1,1,1)</f>
        <v>$AV$333</v>
      </c>
    </row>
    <row r="114" spans="1:5" x14ac:dyDescent="0.25">
      <c r="A114" s="30">
        <v>467.57543095443202</v>
      </c>
      <c r="C114" s="1" t="str">
        <f>ADDRESS(C121,D121,1,1)</f>
        <v>$AU$334</v>
      </c>
      <c r="D114" s="1" t="str">
        <f>ADDRESS(C121+1,D121+1,1,1)</f>
        <v>$AV$335</v>
      </c>
    </row>
    <row r="115" spans="1:5" x14ac:dyDescent="0.25">
      <c r="A115" s="30">
        <v>445.30993424231622</v>
      </c>
      <c r="C115" s="1" t="str">
        <f>ADDRESS(C121+1,D121,1,1)</f>
        <v>$AU$335</v>
      </c>
    </row>
    <row r="116" spans="1:5" x14ac:dyDescent="0.25">
      <c r="A116" s="30">
        <v>424.10469927839637</v>
      </c>
      <c r="C116" s="1">
        <f>C117-1</f>
        <v>333</v>
      </c>
    </row>
    <row r="117" spans="1:5" x14ac:dyDescent="0.25">
      <c r="A117" s="30">
        <v>403.9092374079965</v>
      </c>
      <c r="C117" s="1">
        <f>C121</f>
        <v>334</v>
      </c>
      <c r="D117" s="1">
        <f>D121</f>
        <v>47</v>
      </c>
    </row>
    <row r="118" spans="1:5" x14ac:dyDescent="0.25">
      <c r="A118" s="30">
        <v>384.6754641980919</v>
      </c>
      <c r="C118" s="1">
        <f>C117+1</f>
        <v>335</v>
      </c>
      <c r="D118" s="1">
        <f>D117+1</f>
        <v>48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334</v>
      </c>
      <c r="D121" s="19">
        <v>47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R334</v>
      </c>
      <c r="D123" s="1" t="str">
        <f>"C"&amp;D121</f>
        <v>C47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1.0190743895326324E-2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6" x14ac:dyDescent="0.25">
      <c r="A241" s="30">
        <v>0.952380952380952</v>
      </c>
      <c r="B241"/>
      <c r="C241"/>
      <c r="D241"/>
      <c r="E241"/>
      <c r="F241" s="27" t="s">
        <v>7</v>
      </c>
    </row>
    <row r="242" spans="1:6" x14ac:dyDescent="0.25">
      <c r="A242" s="30">
        <v>0.90702947845804915</v>
      </c>
      <c r="B242"/>
      <c r="C242"/>
      <c r="D242"/>
      <c r="E242"/>
      <c r="F242" s="27" t="s">
        <v>7</v>
      </c>
    </row>
    <row r="243" spans="1:6" x14ac:dyDescent="0.25">
      <c r="A243" s="30">
        <v>0.86383759853147501</v>
      </c>
      <c r="B243"/>
      <c r="C243"/>
      <c r="D243"/>
      <c r="E243"/>
      <c r="F243" s="27" t="s">
        <v>7</v>
      </c>
    </row>
    <row r="244" spans="1:6" x14ac:dyDescent="0.25">
      <c r="A244" s="30">
        <v>0.82270247479188063</v>
      </c>
      <c r="B244"/>
      <c r="C244"/>
      <c r="D244"/>
      <c r="E244"/>
      <c r="F244" s="27" t="s">
        <v>7</v>
      </c>
    </row>
    <row r="245" spans="1:6" x14ac:dyDescent="0.25">
      <c r="A245" s="30">
        <v>0.78352616646845741</v>
      </c>
      <c r="B245"/>
      <c r="C245"/>
      <c r="D245"/>
      <c r="E245"/>
      <c r="F245" s="27" t="s">
        <v>7</v>
      </c>
    </row>
    <row r="246" spans="1:6" x14ac:dyDescent="0.25">
      <c r="A246" s="30">
        <v>0.74621539663662584</v>
      </c>
      <c r="B246"/>
      <c r="C246"/>
      <c r="D246"/>
      <c r="E246"/>
      <c r="F246" s="27" t="s">
        <v>7</v>
      </c>
    </row>
    <row r="247" spans="1:6" x14ac:dyDescent="0.25">
      <c r="A247" s="30">
        <v>0.71068133013011958</v>
      </c>
      <c r="B247"/>
      <c r="C247"/>
      <c r="D247"/>
      <c r="E247"/>
      <c r="F247" s="27" t="s">
        <v>7</v>
      </c>
    </row>
    <row r="248" spans="1:6" x14ac:dyDescent="0.25">
      <c r="A248" s="30">
        <v>0.676839362028685</v>
      </c>
      <c r="B248"/>
      <c r="C248"/>
      <c r="D248"/>
      <c r="E248"/>
      <c r="F248" s="27" t="s">
        <v>7</v>
      </c>
    </row>
    <row r="249" spans="1:6" x14ac:dyDescent="0.25">
      <c r="A249" s="30">
        <v>0.64460891621779492</v>
      </c>
      <c r="B249"/>
      <c r="C249"/>
      <c r="D249"/>
      <c r="E249"/>
      <c r="F249" s="27" t="s">
        <v>7</v>
      </c>
    </row>
    <row r="250" spans="1:6" x14ac:dyDescent="0.25">
      <c r="A250" s="30">
        <v>0.61391325354075688</v>
      </c>
      <c r="B250"/>
      <c r="C250"/>
      <c r="D250"/>
      <c r="E250"/>
      <c r="F250" s="27" t="s">
        <v>7</v>
      </c>
    </row>
    <row r="251" spans="1:6" x14ac:dyDescent="0.25">
      <c r="A251" s="30">
        <v>0.58467928908643485</v>
      </c>
      <c r="B251"/>
      <c r="C251"/>
      <c r="D251"/>
      <c r="E251"/>
      <c r="F251" s="27" t="s">
        <v>7</v>
      </c>
    </row>
    <row r="252" spans="1:6" x14ac:dyDescent="0.25">
      <c r="A252" s="30">
        <v>0.55683741817755672</v>
      </c>
      <c r="B252"/>
      <c r="C252"/>
      <c r="D252"/>
      <c r="E252"/>
      <c r="F252" s="27" t="s">
        <v>7</v>
      </c>
    </row>
    <row r="253" spans="1:6" x14ac:dyDescent="0.25">
      <c r="A253" s="30">
        <v>0.53032135064529184</v>
      </c>
      <c r="B253"/>
      <c r="C253"/>
      <c r="D253"/>
      <c r="E253"/>
      <c r="F253" s="27" t="s">
        <v>7</v>
      </c>
    </row>
    <row r="254" spans="1:6" x14ac:dyDescent="0.25">
      <c r="A254" s="30">
        <v>0.50506795299551588</v>
      </c>
      <c r="B254"/>
      <c r="C254"/>
      <c r="D254"/>
      <c r="E254"/>
      <c r="F254" s="27" t="s">
        <v>7</v>
      </c>
    </row>
    <row r="255" spans="1:6" x14ac:dyDescent="0.25">
      <c r="A255" s="30">
        <v>0.48101709809096732</v>
      </c>
      <c r="E255"/>
      <c r="F255" s="27" t="s">
        <v>7</v>
      </c>
    </row>
    <row r="256" spans="1:6" x14ac:dyDescent="0.25">
      <c r="A256" s="30">
        <v>0.45811152199139726</v>
      </c>
      <c r="E256"/>
      <c r="F256" s="27" t="s">
        <v>7</v>
      </c>
    </row>
    <row r="257" spans="1:6" x14ac:dyDescent="0.25">
      <c r="A257" s="30">
        <v>0.43629668761085438</v>
      </c>
      <c r="B257"/>
      <c r="C257"/>
      <c r="D257"/>
      <c r="E257"/>
      <c r="F257" s="27" t="s">
        <v>7</v>
      </c>
    </row>
    <row r="258" spans="1:6" x14ac:dyDescent="0.25">
      <c r="A258" s="30">
        <v>0.41552065486748019</v>
      </c>
      <c r="B258"/>
      <c r="C258"/>
      <c r="D258"/>
      <c r="E258"/>
      <c r="F258" s="27" t="s">
        <v>7</v>
      </c>
    </row>
    <row r="259" spans="1:6" x14ac:dyDescent="0.25">
      <c r="A259" s="30">
        <v>0.39573395701664765</v>
      </c>
      <c r="B259"/>
      <c r="C259"/>
      <c r="D259"/>
      <c r="E259"/>
      <c r="F259" s="27" t="s">
        <v>7</v>
      </c>
    </row>
    <row r="260" spans="1:6" x14ac:dyDescent="0.25">
      <c r="A260" s="30">
        <v>0.37688948287299762</v>
      </c>
      <c r="B260"/>
      <c r="C260"/>
      <c r="D260"/>
      <c r="E260"/>
      <c r="F260" s="27" t="s">
        <v>7</v>
      </c>
    </row>
    <row r="261" spans="1:6" x14ac:dyDescent="0.25">
      <c r="A261" s="30">
        <v>0.35894236464094997</v>
      </c>
      <c r="B261"/>
      <c r="C261"/>
      <c r="D261"/>
      <c r="E261"/>
      <c r="F261" s="27" t="s">
        <v>7</v>
      </c>
    </row>
    <row r="262" spans="1:6" x14ac:dyDescent="0.25">
      <c r="A262" s="30">
        <v>0.34184987108661891</v>
      </c>
      <c r="B262"/>
      <c r="C262"/>
      <c r="D262"/>
      <c r="E262"/>
      <c r="F262" s="27" t="s">
        <v>7</v>
      </c>
    </row>
    <row r="263" spans="1:6" x14ac:dyDescent="0.25">
      <c r="A263" s="30">
        <v>0.32557130579677979</v>
      </c>
      <c r="B263"/>
      <c r="C263"/>
      <c r="D263"/>
      <c r="E263"/>
      <c r="F263" s="27" t="s">
        <v>7</v>
      </c>
    </row>
    <row r="264" spans="1:6" x14ac:dyDescent="0.25">
      <c r="A264" s="30">
        <v>0.3100679102826473</v>
      </c>
      <c r="B264"/>
      <c r="C264"/>
      <c r="D264"/>
      <c r="E264"/>
      <c r="F264" s="27" t="s">
        <v>7</v>
      </c>
    </row>
    <row r="265" spans="1:6" x14ac:dyDescent="0.25">
      <c r="A265" s="30">
        <v>0.2953027716977592</v>
      </c>
      <c r="B265"/>
      <c r="C265"/>
      <c r="D265"/>
      <c r="E265"/>
      <c r="F265" s="27" t="s">
        <v>7</v>
      </c>
    </row>
    <row r="266" spans="1:6" x14ac:dyDescent="0.25">
      <c r="A266" s="30">
        <v>0.28124073495024676</v>
      </c>
      <c r="B266"/>
      <c r="C266"/>
      <c r="D266"/>
      <c r="E266"/>
      <c r="F266" s="27" t="s">
        <v>7</v>
      </c>
    </row>
    <row r="267" spans="1:6" x14ac:dyDescent="0.25">
      <c r="A267" s="30">
        <v>0.26784831900023492</v>
      </c>
      <c r="B267"/>
      <c r="C267"/>
      <c r="D267"/>
      <c r="E267"/>
      <c r="F267" s="27" t="s">
        <v>7</v>
      </c>
    </row>
    <row r="268" spans="1:6" x14ac:dyDescent="0.25">
      <c r="A268" s="30">
        <v>0.25509363714308075</v>
      </c>
      <c r="B268"/>
      <c r="C268"/>
      <c r="D268"/>
      <c r="E268"/>
      <c r="F268" s="27" t="s">
        <v>7</v>
      </c>
    </row>
    <row r="269" spans="1:6" x14ac:dyDescent="0.25">
      <c r="A269" s="30">
        <v>0.24294632108864825</v>
      </c>
      <c r="B269"/>
      <c r="C269"/>
      <c r="D269"/>
      <c r="E269"/>
      <c r="F269" s="27" t="s">
        <v>7</v>
      </c>
    </row>
    <row r="270" spans="1:6" x14ac:dyDescent="0.25">
      <c r="A270" s="30">
        <v>0.23137744865585538</v>
      </c>
      <c r="B270"/>
      <c r="C270"/>
      <c r="D270"/>
      <c r="E270"/>
      <c r="F270" s="27" t="s">
        <v>7</v>
      </c>
    </row>
    <row r="271" spans="1:6" x14ac:dyDescent="0.25">
      <c r="A271" s="30">
        <v>0.22035947491033836</v>
      </c>
      <c r="B271"/>
      <c r="C271"/>
      <c r="D271"/>
      <c r="E271"/>
      <c r="F271" s="27" t="s">
        <v>7</v>
      </c>
    </row>
    <row r="272" spans="1:6" x14ac:dyDescent="0.25">
      <c r="A272" s="30">
        <v>0.20986616658127455</v>
      </c>
      <c r="B272"/>
      <c r="C272"/>
      <c r="D272"/>
      <c r="E272"/>
      <c r="F272" s="27" t="s">
        <v>7</v>
      </c>
    </row>
    <row r="273" spans="1:6" x14ac:dyDescent="0.25">
      <c r="A273" s="30">
        <v>0.19987253960121379</v>
      </c>
      <c r="B273"/>
      <c r="C273"/>
      <c r="D273"/>
      <c r="E273"/>
      <c r="F273" s="27" t="s">
        <v>7</v>
      </c>
    </row>
    <row r="274" spans="1:6" x14ac:dyDescent="0.25">
      <c r="A274" s="30">
        <v>0.19035479962020352</v>
      </c>
      <c r="B274"/>
      <c r="C274"/>
      <c r="D274"/>
      <c r="E274"/>
      <c r="F274" s="27" t="s">
        <v>7</v>
      </c>
    </row>
    <row r="275" spans="1:6" x14ac:dyDescent="0.25">
      <c r="A275" s="30">
        <v>0.18129028535257471</v>
      </c>
      <c r="B275"/>
      <c r="C275"/>
      <c r="D275"/>
      <c r="E275"/>
      <c r="F275" s="27" t="s">
        <v>7</v>
      </c>
    </row>
    <row r="276" spans="1:6" x14ac:dyDescent="0.25">
      <c r="A276" s="30">
        <v>0.17265741462149967</v>
      </c>
      <c r="B276"/>
      <c r="C276"/>
      <c r="D276"/>
      <c r="E276"/>
      <c r="F276" s="27" t="s">
        <v>7</v>
      </c>
    </row>
    <row r="277" spans="1:6" x14ac:dyDescent="0.25">
      <c r="A277" s="30">
        <v>0.16443563297285677</v>
      </c>
      <c r="B277"/>
      <c r="C277"/>
      <c r="D277"/>
      <c r="E277"/>
      <c r="F277" s="27" t="s">
        <v>7</v>
      </c>
    </row>
    <row r="278" spans="1:6" x14ac:dyDescent="0.25">
      <c r="A278" s="30">
        <v>0.15660536473605399</v>
      </c>
      <c r="B278"/>
      <c r="C278"/>
      <c r="D278"/>
      <c r="E278"/>
      <c r="F278" s="27" t="s">
        <v>7</v>
      </c>
    </row>
    <row r="279" spans="1:6" x14ac:dyDescent="0.25">
      <c r="A279" s="30">
        <v>0.14914796641528946</v>
      </c>
      <c r="B279"/>
      <c r="C279"/>
      <c r="D279"/>
      <c r="E279"/>
      <c r="F279" s="27" t="s">
        <v>7</v>
      </c>
    </row>
    <row r="280" spans="1:6" x14ac:dyDescent="0.25">
      <c r="A280" s="30">
        <v>0.14204568230027562</v>
      </c>
      <c r="B280"/>
      <c r="C280"/>
      <c r="D280"/>
      <c r="E280"/>
      <c r="F280" s="27" t="s">
        <v>7</v>
      </c>
    </row>
    <row r="281" spans="1:6" x14ac:dyDescent="0.25">
      <c r="A281" s="30">
        <v>0.13528160219073862</v>
      </c>
      <c r="B281"/>
      <c r="C281"/>
      <c r="D281"/>
      <c r="E281"/>
      <c r="F281" s="27" t="s">
        <v>7</v>
      </c>
    </row>
    <row r="282" spans="1:6" x14ac:dyDescent="0.25">
      <c r="A282" s="30">
        <v>0.12883962113403674</v>
      </c>
      <c r="B282"/>
      <c r="C282"/>
      <c r="D282"/>
      <c r="E282"/>
      <c r="F282" s="27" t="s">
        <v>7</v>
      </c>
    </row>
    <row r="283" spans="1:6" x14ac:dyDescent="0.25">
      <c r="A283" s="30">
        <v>0.12270440108003494</v>
      </c>
      <c r="B283"/>
      <c r="C283"/>
      <c r="D283"/>
      <c r="E283"/>
      <c r="F283" s="27" t="s">
        <v>7</v>
      </c>
    </row>
    <row r="284" spans="1:6" x14ac:dyDescent="0.25">
      <c r="A284" s="30">
        <v>0.11686133436193799</v>
      </c>
      <c r="B284"/>
      <c r="C284"/>
      <c r="D284"/>
      <c r="E284"/>
      <c r="F284" s="27" t="s">
        <v>7</v>
      </c>
    </row>
    <row r="285" spans="1:6" x14ac:dyDescent="0.25">
      <c r="A285" s="30">
        <v>0.11129650891613138</v>
      </c>
      <c r="B285"/>
      <c r="C285"/>
      <c r="D285"/>
      <c r="E285"/>
      <c r="F285" s="27" t="s">
        <v>7</v>
      </c>
    </row>
    <row r="286" spans="1:6" x14ac:dyDescent="0.25">
      <c r="A286" s="30">
        <v>0.10599667515822032</v>
      </c>
      <c r="B286"/>
      <c r="C286"/>
      <c r="D286"/>
      <c r="E286"/>
      <c r="F286" s="27" t="s">
        <v>7</v>
      </c>
    </row>
    <row r="287" spans="1:6" x14ac:dyDescent="0.25">
      <c r="A287" s="30">
        <v>0.10094921443640027</v>
      </c>
      <c r="B287"/>
      <c r="C287"/>
      <c r="D287"/>
      <c r="E287"/>
      <c r="F287" s="27" t="s">
        <v>7</v>
      </c>
    </row>
    <row r="288" spans="1:6" x14ac:dyDescent="0.25">
      <c r="A288" s="30">
        <v>9.6142108987047836E-2</v>
      </c>
      <c r="B288"/>
      <c r="C288"/>
      <c r="D288"/>
      <c r="E288"/>
      <c r="F288" s="27" t="s">
        <v>7</v>
      </c>
    </row>
    <row r="289" spans="1:6" x14ac:dyDescent="0.25">
      <c r="A289" s="30">
        <v>9.1563913320997906E-2</v>
      </c>
      <c r="B289"/>
      <c r="C289"/>
      <c r="D289"/>
      <c r="E289"/>
      <c r="F289" s="27" t="s">
        <v>7</v>
      </c>
    </row>
    <row r="290" spans="1:6" x14ac:dyDescent="0.25">
      <c r="A290" s="30">
        <v>8.7203726972378923E-2</v>
      </c>
      <c r="B290"/>
      <c r="C290"/>
      <c r="D290"/>
      <c r="E290"/>
      <c r="F290" s="27" t="s">
        <v>7</v>
      </c>
    </row>
    <row r="291" spans="1:6" x14ac:dyDescent="0.25">
      <c r="A291" s="30">
        <v>8.3051168545122747E-2</v>
      </c>
      <c r="B291"/>
      <c r="C291"/>
      <c r="D291"/>
      <c r="E291"/>
      <c r="F291" s="27" t="s">
        <v>7</v>
      </c>
    </row>
    <row r="292" spans="1:6" x14ac:dyDescent="0.25">
      <c r="A292" s="30">
        <v>7.9096350995354961E-2</v>
      </c>
      <c r="B292"/>
      <c r="C292"/>
      <c r="D292"/>
      <c r="E292"/>
      <c r="F292" s="27" t="s">
        <v>7</v>
      </c>
    </row>
    <row r="293" spans="1:6" x14ac:dyDescent="0.25">
      <c r="A293" s="30">
        <v>7.5329858090814217E-2</v>
      </c>
      <c r="B293"/>
      <c r="C293"/>
      <c r="D293"/>
      <c r="E293"/>
      <c r="F293" s="27" t="s">
        <v>7</v>
      </c>
    </row>
    <row r="294" spans="1:6" x14ac:dyDescent="0.25">
      <c r="A294" s="30">
        <v>7.1742721991251604E-2</v>
      </c>
      <c r="B294"/>
      <c r="C294"/>
      <c r="D294"/>
      <c r="E294"/>
      <c r="F294" s="27" t="s">
        <v>7</v>
      </c>
    </row>
    <row r="295" spans="1:6" x14ac:dyDescent="0.25">
      <c r="A295" s="30">
        <v>6.8326401896430078E-2</v>
      </c>
      <c r="B295"/>
      <c r="C295"/>
      <c r="D295"/>
      <c r="E295"/>
      <c r="F295" s="27" t="s">
        <v>7</v>
      </c>
    </row>
    <row r="296" spans="1:6" x14ac:dyDescent="0.25">
      <c r="A296" s="30">
        <v>6.5072763710885759E-2</v>
      </c>
      <c r="B296"/>
      <c r="C296"/>
      <c r="D296"/>
      <c r="E296"/>
      <c r="F296" s="27" t="s">
        <v>7</v>
      </c>
    </row>
    <row r="297" spans="1:6" x14ac:dyDescent="0.25">
      <c r="A297" s="30">
        <v>6.197406067703403E-2</v>
      </c>
      <c r="B297"/>
      <c r="C297"/>
      <c r="D297"/>
      <c r="E297"/>
      <c r="F297" s="27" t="s">
        <v>7</v>
      </c>
    </row>
    <row r="298" spans="1:6" x14ac:dyDescent="0.25">
      <c r="A298" s="30">
        <v>5.9022914930508576E-2</v>
      </c>
      <c r="B298"/>
      <c r="C298"/>
      <c r="D298"/>
      <c r="E298"/>
      <c r="F298" s="27" t="s">
        <v>7</v>
      </c>
    </row>
    <row r="299" spans="1:6" x14ac:dyDescent="0.25">
      <c r="A299" s="30">
        <v>5.6212299933817669E-2</v>
      </c>
      <c r="B299"/>
      <c r="C299"/>
      <c r="D299"/>
      <c r="E299"/>
      <c r="F299" s="27" t="s">
        <v>7</v>
      </c>
    </row>
    <row r="300" spans="1:6" x14ac:dyDescent="0.25">
      <c r="A300" s="30">
        <v>5.3535523746492994E-2</v>
      </c>
      <c r="B300"/>
      <c r="C300"/>
      <c r="D300"/>
      <c r="E300"/>
      <c r="F300" s="27" t="s">
        <v>7</v>
      </c>
    </row>
    <row r="301" spans="1:6" x14ac:dyDescent="0.25">
      <c r="A301" s="30">
        <v>5.0986213091898068E-2</v>
      </c>
      <c r="B301"/>
      <c r="C301"/>
      <c r="D301"/>
      <c r="E301"/>
      <c r="F301" s="27" t="s">
        <v>7</v>
      </c>
    </row>
    <row r="302" spans="1:6" x14ac:dyDescent="0.25">
      <c r="A302" s="30">
        <v>4.8558298182760043E-2</v>
      </c>
      <c r="B302"/>
      <c r="C302"/>
      <c r="D302"/>
      <c r="E302"/>
      <c r="F302" s="27" t="s">
        <v>7</v>
      </c>
    </row>
    <row r="303" spans="1:6" x14ac:dyDescent="0.25">
      <c r="A303" s="30">
        <v>4.6245998269295263E-2</v>
      </c>
      <c r="B303"/>
      <c r="C303"/>
      <c r="D303"/>
      <c r="E303"/>
      <c r="F303" s="27" t="s">
        <v>7</v>
      </c>
    </row>
    <row r="304" spans="1:6" x14ac:dyDescent="0.25">
      <c r="A304" s="30">
        <v>4.4043807875519279E-2</v>
      </c>
      <c r="B304"/>
      <c r="C304"/>
      <c r="D304"/>
      <c r="E304"/>
      <c r="F304" s="27" t="s">
        <v>7</v>
      </c>
    </row>
    <row r="305" spans="1:39" x14ac:dyDescent="0.25">
      <c r="A305" s="30">
        <v>4.1946483690970725E-2</v>
      </c>
      <c r="B305"/>
      <c r="C305"/>
      <c r="D305"/>
      <c r="E305"/>
      <c r="F305" s="27" t="s">
        <v>7</v>
      </c>
    </row>
    <row r="306" spans="1:39" x14ac:dyDescent="0.25">
      <c r="A306" s="30">
        <v>3.9949032086638768E-2</v>
      </c>
      <c r="B306"/>
      <c r="C306"/>
      <c r="D306"/>
      <c r="E306"/>
      <c r="F306" s="27" t="s">
        <v>7</v>
      </c>
    </row>
    <row r="307" spans="1:39" x14ac:dyDescent="0.25">
      <c r="A307" s="30">
        <v>3.8046697225370241E-2</v>
      </c>
      <c r="B307"/>
      <c r="C307"/>
      <c r="D307"/>
      <c r="E307"/>
      <c r="F307" s="27" t="s">
        <v>7</v>
      </c>
    </row>
    <row r="308" spans="1:39" x14ac:dyDescent="0.25">
      <c r="A308" s="30">
        <v>3.6234949738447833E-2</v>
      </c>
      <c r="B308"/>
      <c r="C308"/>
      <c r="D308"/>
      <c r="E308"/>
      <c r="F308" s="27" t="s">
        <v>7</v>
      </c>
      <c r="S308" s="27" t="s">
        <v>8</v>
      </c>
      <c r="AG308" s="27" t="s">
        <v>8</v>
      </c>
    </row>
    <row r="309" spans="1:39" x14ac:dyDescent="0.25">
      <c r="A309" s="30">
        <v>3.4509475941378875E-2</v>
      </c>
      <c r="B309"/>
      <c r="C309"/>
      <c r="D309"/>
      <c r="E309"/>
      <c r="F309" s="27" t="s">
        <v>7</v>
      </c>
      <c r="S309" s="27" t="s">
        <v>8</v>
      </c>
      <c r="T309" s="27" t="s">
        <v>7</v>
      </c>
      <c r="AG309" s="27" t="s">
        <v>8</v>
      </c>
      <c r="AH309" s="27" t="s">
        <v>7</v>
      </c>
    </row>
    <row r="310" spans="1:39" x14ac:dyDescent="0.25">
      <c r="A310" s="30">
        <v>3.286616756321796E-2</v>
      </c>
      <c r="B310"/>
      <c r="C310"/>
      <c r="D310"/>
      <c r="E310"/>
      <c r="F310" s="27" t="s">
        <v>7</v>
      </c>
      <c r="G310" s="27" t="s">
        <v>8</v>
      </c>
      <c r="S310" s="27" t="s">
        <v>8</v>
      </c>
      <c r="T310" s="27" t="s">
        <v>7</v>
      </c>
      <c r="AE310" s="27" t="s">
        <v>8</v>
      </c>
      <c r="AG310" s="27" t="s">
        <v>8</v>
      </c>
      <c r="AH310" s="27" t="s">
        <v>7</v>
      </c>
    </row>
    <row r="311" spans="1:39" x14ac:dyDescent="0.25">
      <c r="A311" s="30">
        <v>3.1301111964969472E-2</v>
      </c>
      <c r="B311"/>
      <c r="C311"/>
      <c r="D311"/>
      <c r="E311"/>
      <c r="F311" s="27" t="s">
        <v>7</v>
      </c>
      <c r="G311" s="27" t="s">
        <v>8</v>
      </c>
      <c r="H311" s="27" t="s">
        <v>7</v>
      </c>
      <c r="S311" s="27" t="s">
        <v>8</v>
      </c>
      <c r="T311" s="27" t="s">
        <v>7</v>
      </c>
      <c r="W311" s="27" t="s">
        <v>8</v>
      </c>
      <c r="Y311" s="27" t="s">
        <v>8</v>
      </c>
      <c r="AE311" s="27" t="s">
        <v>8</v>
      </c>
      <c r="AF311" s="27" t="s">
        <v>7</v>
      </c>
      <c r="AG311" s="27" t="s">
        <v>8</v>
      </c>
      <c r="AH311" s="27" t="s">
        <v>7</v>
      </c>
    </row>
    <row r="312" spans="1:39" x14ac:dyDescent="0.25">
      <c r="A312" s="30">
        <v>2.9810582823780438E-2</v>
      </c>
      <c r="B312"/>
      <c r="C312"/>
      <c r="D312"/>
      <c r="E312"/>
      <c r="F312" s="27" t="s">
        <v>7</v>
      </c>
      <c r="G312" s="27" t="s">
        <v>8</v>
      </c>
      <c r="H312" s="27" t="s">
        <v>7</v>
      </c>
      <c r="I312" s="27" t="s">
        <v>8</v>
      </c>
      <c r="S312" s="27" t="s">
        <v>8</v>
      </c>
      <c r="T312" s="27" t="s">
        <v>7</v>
      </c>
      <c r="U312" s="27" t="s">
        <v>8</v>
      </c>
      <c r="W312" s="27" t="s">
        <v>8</v>
      </c>
      <c r="X312" s="27" t="s">
        <v>7</v>
      </c>
      <c r="Y312" s="27" t="s">
        <v>8</v>
      </c>
      <c r="Z312" s="27" t="s">
        <v>7</v>
      </c>
      <c r="AE312" s="27" t="s">
        <v>8</v>
      </c>
      <c r="AF312" s="27" t="s">
        <v>7</v>
      </c>
      <c r="AG312" s="27" t="s">
        <v>8</v>
      </c>
      <c r="AH312" s="27" t="s">
        <v>7</v>
      </c>
    </row>
    <row r="313" spans="1:39" x14ac:dyDescent="0.25">
      <c r="A313" s="30">
        <v>2.8391031260743264E-2</v>
      </c>
      <c r="B313"/>
      <c r="C313"/>
      <c r="D313"/>
      <c r="E313"/>
      <c r="F313" s="27" t="s">
        <v>7</v>
      </c>
      <c r="G313" s="27" t="s">
        <v>8</v>
      </c>
      <c r="H313" s="27" t="s">
        <v>7</v>
      </c>
      <c r="I313" s="27" t="s">
        <v>8</v>
      </c>
      <c r="J313" s="27" t="s">
        <v>7</v>
      </c>
      <c r="S313" s="27" t="s">
        <v>8</v>
      </c>
      <c r="T313" s="27" t="s">
        <v>7</v>
      </c>
      <c r="U313" s="27" t="s">
        <v>8</v>
      </c>
      <c r="V313" s="27" t="s">
        <v>7</v>
      </c>
      <c r="W313" s="27" t="s">
        <v>8</v>
      </c>
      <c r="X313" s="27" t="s">
        <v>7</v>
      </c>
      <c r="Y313" s="27" t="s">
        <v>8</v>
      </c>
      <c r="Z313" s="27" t="s">
        <v>7</v>
      </c>
      <c r="AE313" s="27" t="s">
        <v>8</v>
      </c>
      <c r="AF313" s="27" t="s">
        <v>7</v>
      </c>
      <c r="AH313" s="27" t="s">
        <v>7</v>
      </c>
      <c r="AI313" s="27" t="s">
        <v>8</v>
      </c>
    </row>
    <row r="314" spans="1:39" x14ac:dyDescent="0.25">
      <c r="A314" s="30">
        <v>2.7039077391184052E-2</v>
      </c>
      <c r="B314"/>
      <c r="C314"/>
      <c r="D314"/>
      <c r="E314"/>
      <c r="F314" s="27" t="s">
        <v>7</v>
      </c>
      <c r="G314" s="27" t="s">
        <v>8</v>
      </c>
      <c r="H314" s="27" t="s">
        <v>7</v>
      </c>
      <c r="I314" s="27" t="s">
        <v>8</v>
      </c>
      <c r="J314" s="27" t="s">
        <v>7</v>
      </c>
      <c r="K314" s="27" t="s">
        <v>8</v>
      </c>
      <c r="S314" s="27" t="s">
        <v>8</v>
      </c>
      <c r="T314" s="27" t="s">
        <v>7</v>
      </c>
      <c r="U314" s="27" t="s">
        <v>8</v>
      </c>
      <c r="V314" s="27" t="s">
        <v>7</v>
      </c>
      <c r="W314" s="27" t="s">
        <v>8</v>
      </c>
      <c r="X314" s="27" t="s">
        <v>7</v>
      </c>
      <c r="Y314" s="27" t="s">
        <v>8</v>
      </c>
      <c r="Z314" s="27" t="s">
        <v>7</v>
      </c>
      <c r="AA314" s="27" t="s">
        <v>8</v>
      </c>
      <c r="AE314" s="27" t="s">
        <v>8</v>
      </c>
      <c r="AH314" s="27" t="s">
        <v>7</v>
      </c>
      <c r="AI314" s="27" t="s">
        <v>8</v>
      </c>
      <c r="AJ314" s="27" t="s">
        <v>7</v>
      </c>
    </row>
    <row r="315" spans="1:39" x14ac:dyDescent="0.25">
      <c r="A315" s="30">
        <v>2.5751502277318133E-2</v>
      </c>
      <c r="B315"/>
      <c r="C315"/>
      <c r="D315"/>
      <c r="E315"/>
      <c r="F315" s="27" t="s">
        <v>7</v>
      </c>
      <c r="G315" s="27" t="s">
        <v>8</v>
      </c>
      <c r="H315" s="27" t="s">
        <v>7</v>
      </c>
      <c r="J315" s="27" t="s">
        <v>7</v>
      </c>
      <c r="K315" s="27" t="s">
        <v>8</v>
      </c>
      <c r="L315" s="27" t="s">
        <v>7</v>
      </c>
      <c r="S315" s="27" t="s">
        <v>8</v>
      </c>
      <c r="T315" s="27" t="s">
        <v>7</v>
      </c>
      <c r="V315" s="27" t="s">
        <v>7</v>
      </c>
      <c r="X315" s="27" t="s">
        <v>7</v>
      </c>
      <c r="Y315" s="27" t="s">
        <v>8</v>
      </c>
      <c r="Z315" s="27" t="s">
        <v>7</v>
      </c>
      <c r="AA315" s="27" t="s">
        <v>8</v>
      </c>
      <c r="AB315" s="27" t="s">
        <v>7</v>
      </c>
      <c r="AC315" s="27" t="s">
        <v>8</v>
      </c>
      <c r="AE315" s="27" t="s">
        <v>8</v>
      </c>
      <c r="AH315" s="27" t="s">
        <v>7</v>
      </c>
      <c r="AI315" s="27" t="s">
        <v>8</v>
      </c>
      <c r="AJ315" s="27" t="s">
        <v>7</v>
      </c>
      <c r="AK315" s="27" t="s">
        <v>8</v>
      </c>
    </row>
    <row r="316" spans="1:39" x14ac:dyDescent="0.25">
      <c r="A316" s="30">
        <v>2.4525240264112496E-2</v>
      </c>
      <c r="B316"/>
      <c r="C316"/>
      <c r="D316"/>
      <c r="E316"/>
      <c r="F316" s="27" t="s">
        <v>7</v>
      </c>
      <c r="J316" s="27" t="s">
        <v>7</v>
      </c>
      <c r="K316" s="27" t="s">
        <v>8</v>
      </c>
      <c r="L316" s="27" t="s">
        <v>7</v>
      </c>
      <c r="S316" s="27" t="s">
        <v>8</v>
      </c>
      <c r="X316" s="27" t="s">
        <v>7</v>
      </c>
      <c r="Y316" s="27" t="s">
        <v>8</v>
      </c>
      <c r="Z316" s="27" t="s">
        <v>7</v>
      </c>
      <c r="AA316" s="27" t="s">
        <v>8</v>
      </c>
      <c r="AB316" s="27" t="s">
        <v>7</v>
      </c>
      <c r="AC316" s="27" t="s">
        <v>8</v>
      </c>
      <c r="AD316" s="27" t="s">
        <v>7</v>
      </c>
      <c r="AE316" s="27" t="s">
        <v>8</v>
      </c>
      <c r="AH316" s="27" t="s">
        <v>7</v>
      </c>
      <c r="AJ316" s="27" t="s">
        <v>7</v>
      </c>
      <c r="AK316" s="27" t="s">
        <v>8</v>
      </c>
      <c r="AL316" s="27" t="s">
        <v>7</v>
      </c>
    </row>
    <row r="317" spans="1:39" x14ac:dyDescent="0.25">
      <c r="A317" s="30">
        <v>2.3357371680107129E-2</v>
      </c>
      <c r="B317"/>
      <c r="C317"/>
      <c r="D317"/>
      <c r="E317"/>
      <c r="J317" s="27" t="s">
        <v>7</v>
      </c>
      <c r="K317" s="27" t="s">
        <v>8</v>
      </c>
      <c r="L317" s="27" t="s">
        <v>7</v>
      </c>
      <c r="M317" s="27" t="s">
        <v>8</v>
      </c>
      <c r="O317" s="27" t="s">
        <v>8</v>
      </c>
      <c r="S317" s="27" t="s">
        <v>8</v>
      </c>
      <c r="X317" s="27" t="s">
        <v>7</v>
      </c>
      <c r="Y317" s="27" t="s">
        <v>8</v>
      </c>
      <c r="Z317" s="27" t="s">
        <v>7</v>
      </c>
      <c r="AA317" s="27" t="s">
        <v>8</v>
      </c>
      <c r="AB317" s="27" t="s">
        <v>7</v>
      </c>
      <c r="AC317" s="27" t="s">
        <v>8</v>
      </c>
      <c r="AD317" s="27" t="s">
        <v>7</v>
      </c>
      <c r="AE317" s="27" t="s">
        <v>8</v>
      </c>
      <c r="AJ317" s="27" t="s">
        <v>7</v>
      </c>
      <c r="AK317" s="27" t="s">
        <v>8</v>
      </c>
      <c r="AL317" s="27" t="s">
        <v>7</v>
      </c>
    </row>
    <row r="318" spans="1:39" x14ac:dyDescent="0.25">
      <c r="A318" s="30">
        <v>2.2245115885816305E-2</v>
      </c>
      <c r="B318"/>
      <c r="C318"/>
      <c r="D318"/>
      <c r="E318"/>
      <c r="J318" s="27" t="s">
        <v>7</v>
      </c>
      <c r="L318" s="27" t="s">
        <v>7</v>
      </c>
      <c r="M318" s="27" t="s">
        <v>8</v>
      </c>
      <c r="N318" s="27" t="s">
        <v>7</v>
      </c>
      <c r="O318" s="27" t="s">
        <v>8</v>
      </c>
      <c r="P318" s="27" t="s">
        <v>7</v>
      </c>
      <c r="Q318" s="27" t="s">
        <v>8</v>
      </c>
      <c r="S318" s="27" t="s">
        <v>8</v>
      </c>
      <c r="X318" s="27" t="s">
        <v>7</v>
      </c>
      <c r="Z318" s="27" t="s">
        <v>7</v>
      </c>
      <c r="AA318" s="27" t="s">
        <v>8</v>
      </c>
      <c r="AB318" s="27" t="s">
        <v>7</v>
      </c>
      <c r="AD318" s="27" t="s">
        <v>7</v>
      </c>
      <c r="AE318" s="27" t="s">
        <v>8</v>
      </c>
      <c r="AJ318" s="27" t="s">
        <v>7</v>
      </c>
      <c r="AL318" s="27" t="s">
        <v>7</v>
      </c>
    </row>
    <row r="319" spans="1:39" x14ac:dyDescent="0.25">
      <c r="A319" s="30">
        <v>2.1185824653158377E-2</v>
      </c>
      <c r="B319"/>
      <c r="C319"/>
      <c r="D319"/>
      <c r="E319"/>
      <c r="L319" s="27" t="s">
        <v>7</v>
      </c>
      <c r="M319" s="27" t="s">
        <v>8</v>
      </c>
      <c r="N319" s="27" t="s">
        <v>7</v>
      </c>
      <c r="O319" s="27" t="s">
        <v>8</v>
      </c>
      <c r="P319" s="27" t="s">
        <v>7</v>
      </c>
      <c r="Q319" s="27" t="s">
        <v>8</v>
      </c>
      <c r="R319" s="27" t="s">
        <v>7</v>
      </c>
      <c r="S319" s="27" t="s">
        <v>8</v>
      </c>
      <c r="Z319" s="27" t="s">
        <v>7</v>
      </c>
      <c r="AA319" s="27" t="s">
        <v>8</v>
      </c>
      <c r="AD319" s="27" t="s">
        <v>7</v>
      </c>
      <c r="AE319" s="27" t="s">
        <v>8</v>
      </c>
      <c r="AL319" s="27" t="s">
        <v>7</v>
      </c>
    </row>
    <row r="320" spans="1:39" x14ac:dyDescent="0.25">
      <c r="A320" s="30">
        <v>2.0176975860150829E-2</v>
      </c>
      <c r="B320"/>
      <c r="C320"/>
      <c r="D320"/>
      <c r="E320"/>
      <c r="L320" s="27" t="s">
        <v>7</v>
      </c>
      <c r="M320" s="27" t="s">
        <v>8</v>
      </c>
      <c r="N320" s="27" t="s">
        <v>7</v>
      </c>
      <c r="O320" s="27" t="s">
        <v>8</v>
      </c>
      <c r="P320" s="27" t="s">
        <v>7</v>
      </c>
      <c r="Q320" s="27" t="s">
        <v>8</v>
      </c>
      <c r="R320" s="27" t="s">
        <v>7</v>
      </c>
      <c r="S320" s="27" t="s">
        <v>8</v>
      </c>
      <c r="Z320" s="27" t="s">
        <v>7</v>
      </c>
      <c r="AA320" s="27" t="s">
        <v>8</v>
      </c>
      <c r="AD320" s="27" t="s">
        <v>7</v>
      </c>
      <c r="AL320" s="27" t="s">
        <v>7</v>
      </c>
      <c r="AM320" s="27" t="s">
        <v>8</v>
      </c>
    </row>
    <row r="321" spans="1:47" x14ac:dyDescent="0.25">
      <c r="A321" s="30">
        <v>1.9216167485857926E-2</v>
      </c>
      <c r="B321"/>
      <c r="C321"/>
      <c r="D321"/>
      <c r="E321"/>
      <c r="L321" s="27" t="s">
        <v>7</v>
      </c>
      <c r="M321" s="27" t="s">
        <v>8</v>
      </c>
      <c r="N321" s="27" t="s">
        <v>7</v>
      </c>
      <c r="P321" s="27" t="s">
        <v>7</v>
      </c>
      <c r="Q321" s="27" t="s">
        <v>8</v>
      </c>
      <c r="R321" s="27" t="s">
        <v>7</v>
      </c>
      <c r="Z321" s="27" t="s">
        <v>7</v>
      </c>
      <c r="AA321" s="27" t="s">
        <v>8</v>
      </c>
      <c r="AL321" s="27" t="s">
        <v>7</v>
      </c>
      <c r="AM321" s="27" t="s">
        <v>8</v>
      </c>
      <c r="AN321" s="27" t="s">
        <v>7</v>
      </c>
      <c r="AO321" s="27" t="s">
        <v>8</v>
      </c>
    </row>
    <row r="322" spans="1:47" x14ac:dyDescent="0.25">
      <c r="A322" s="30">
        <v>1.8301111891293256E-2</v>
      </c>
      <c r="B322"/>
      <c r="C322"/>
      <c r="D322"/>
      <c r="E322"/>
      <c r="L322" s="27" t="s">
        <v>7</v>
      </c>
      <c r="P322" s="27" t="s">
        <v>7</v>
      </c>
      <c r="Q322" s="27" t="s">
        <v>8</v>
      </c>
      <c r="Z322" s="27" t="s">
        <v>7</v>
      </c>
      <c r="AL322" s="27" t="s">
        <v>7</v>
      </c>
      <c r="AM322" s="27" t="s">
        <v>8</v>
      </c>
      <c r="AN322" s="27" t="s">
        <v>7</v>
      </c>
      <c r="AO322" s="27" t="s">
        <v>8</v>
      </c>
      <c r="AP322" s="27" t="s">
        <v>7</v>
      </c>
    </row>
    <row r="323" spans="1:47" x14ac:dyDescent="0.25">
      <c r="A323" s="30">
        <v>1.7429630372660238E-2</v>
      </c>
      <c r="B323"/>
      <c r="C323"/>
      <c r="D323"/>
      <c r="E323"/>
      <c r="P323" s="18" t="s">
        <v>7</v>
      </c>
      <c r="Q323" s="27" t="s">
        <v>8</v>
      </c>
      <c r="AL323" s="27" t="s">
        <v>7</v>
      </c>
      <c r="AM323" s="27" t="s">
        <v>8</v>
      </c>
      <c r="AN323" s="27" t="s">
        <v>7</v>
      </c>
      <c r="AO323" s="27" t="s">
        <v>8</v>
      </c>
      <c r="AP323" s="27" t="s">
        <v>7</v>
      </c>
    </row>
    <row r="324" spans="1:47" x14ac:dyDescent="0.25">
      <c r="A324" s="30">
        <v>1.6599647973962125E-2</v>
      </c>
      <c r="B324"/>
      <c r="C324"/>
      <c r="D324"/>
      <c r="E324"/>
      <c r="P324" s="27" t="s">
        <v>7</v>
      </c>
      <c r="AL324" s="27" t="s">
        <v>7</v>
      </c>
      <c r="AM324" s="27" t="s">
        <v>8</v>
      </c>
      <c r="AN324" s="27" t="s">
        <v>7</v>
      </c>
      <c r="AO324" s="27" t="s">
        <v>8</v>
      </c>
      <c r="AP324" s="27" t="s">
        <v>7</v>
      </c>
    </row>
    <row r="325" spans="1:47" x14ac:dyDescent="0.25">
      <c r="A325" s="30">
        <v>1.580918854663059E-2</v>
      </c>
      <c r="B325"/>
      <c r="C325"/>
      <c r="D325"/>
      <c r="E325"/>
      <c r="AL325" s="27" t="s">
        <v>7</v>
      </c>
      <c r="AN325" s="27" t="s">
        <v>7</v>
      </c>
      <c r="AP325" s="27" t="s">
        <v>7</v>
      </c>
    </row>
    <row r="326" spans="1:47" x14ac:dyDescent="0.25">
      <c r="A326" s="30">
        <v>1.5056370044410079E-2</v>
      </c>
      <c r="B326"/>
      <c r="C326"/>
      <c r="D326"/>
      <c r="E326"/>
      <c r="AP326" s="27" t="s">
        <v>7</v>
      </c>
      <c r="AQ326" s="27" t="s">
        <v>8</v>
      </c>
    </row>
    <row r="327" spans="1:47" x14ac:dyDescent="0.25">
      <c r="A327" s="30">
        <v>1.4339400042295308E-2</v>
      </c>
      <c r="B327"/>
      <c r="C327"/>
      <c r="D327"/>
      <c r="E327"/>
      <c r="AP327" s="27" t="s">
        <v>7</v>
      </c>
      <c r="AQ327" s="27" t="s">
        <v>8</v>
      </c>
      <c r="AR327" s="27" t="s">
        <v>7</v>
      </c>
    </row>
    <row r="328" spans="1:47" x14ac:dyDescent="0.25">
      <c r="A328" s="30">
        <v>1.365657146885267E-2</v>
      </c>
      <c r="B328"/>
      <c r="C328"/>
      <c r="D328"/>
      <c r="E328"/>
      <c r="AP328" s="27" t="s">
        <v>7</v>
      </c>
      <c r="AQ328" s="27" t="s">
        <v>8</v>
      </c>
      <c r="AR328" s="27" t="s">
        <v>7</v>
      </c>
    </row>
    <row r="329" spans="1:47" x14ac:dyDescent="0.25">
      <c r="A329" s="30">
        <v>1.3006258541764442E-2</v>
      </c>
      <c r="B329"/>
      <c r="C329"/>
      <c r="D329"/>
      <c r="E329"/>
      <c r="AP329" s="27" t="s">
        <v>7</v>
      </c>
      <c r="AR329" s="27" t="s">
        <v>7</v>
      </c>
    </row>
    <row r="330" spans="1:47" x14ac:dyDescent="0.25">
      <c r="A330" s="30">
        <v>1.2386912896918512E-2</v>
      </c>
      <c r="B330"/>
      <c r="C330"/>
      <c r="D330"/>
      <c r="E330"/>
      <c r="AR330" s="27" t="s">
        <v>7</v>
      </c>
    </row>
    <row r="331" spans="1:47" x14ac:dyDescent="0.25">
      <c r="A331" s="30">
        <v>1.179705990182715E-2</v>
      </c>
      <c r="B331"/>
      <c r="C331"/>
      <c r="D331"/>
      <c r="E331"/>
      <c r="AR331" s="27" t="s">
        <v>7</v>
      </c>
    </row>
    <row r="332" spans="1:47" x14ac:dyDescent="0.25">
      <c r="A332" s="30">
        <v>1.1235295144597281E-2</v>
      </c>
      <c r="B332"/>
      <c r="C332"/>
      <c r="D332"/>
      <c r="E332"/>
      <c r="AR332" s="27" t="s">
        <v>7</v>
      </c>
    </row>
    <row r="333" spans="1:47" x14ac:dyDescent="0.25">
      <c r="A333" s="30">
        <v>1.0700281090092644E-2</v>
      </c>
      <c r="B333"/>
      <c r="C333"/>
      <c r="D333"/>
      <c r="E333"/>
      <c r="AR333" s="27" t="s">
        <v>7</v>
      </c>
    </row>
    <row r="334" spans="1:47" x14ac:dyDescent="0.25">
      <c r="A334" s="30">
        <v>1.0190743895326324E-2</v>
      </c>
      <c r="B334"/>
      <c r="C334"/>
      <c r="D334"/>
      <c r="E334"/>
      <c r="AR334" s="27" t="s">
        <v>7</v>
      </c>
      <c r="AU334" s="27" t="s">
        <v>8</v>
      </c>
    </row>
    <row r="335" spans="1:47" x14ac:dyDescent="0.25">
      <c r="A335" s="30">
        <v>9.7054703765012563E-3</v>
      </c>
      <c r="B335"/>
      <c r="C335"/>
      <c r="D335"/>
      <c r="E335"/>
      <c r="AR335" s="27" t="s">
        <v>7</v>
      </c>
      <c r="AS335" s="27" t="s">
        <v>8</v>
      </c>
      <c r="AU335" s="27" t="s">
        <v>8</v>
      </c>
    </row>
    <row r="336" spans="1:47" x14ac:dyDescent="0.25">
      <c r="A336" s="30">
        <v>9.2433051204773835E-3</v>
      </c>
      <c r="B336"/>
      <c r="C336"/>
      <c r="D336"/>
      <c r="E336"/>
      <c r="AR336" s="27" t="s">
        <v>7</v>
      </c>
      <c r="AS336" s="27" t="s">
        <v>8</v>
      </c>
      <c r="AT336" s="27" t="s">
        <v>7</v>
      </c>
      <c r="AU336" s="27" t="s">
        <v>8</v>
      </c>
    </row>
    <row r="337" spans="1:47" x14ac:dyDescent="0.25">
      <c r="A337" s="30">
        <v>8.8031477337879808E-3</v>
      </c>
      <c r="B337"/>
      <c r="C337"/>
      <c r="D337"/>
      <c r="E337"/>
      <c r="AR337" s="27" t="s">
        <v>7</v>
      </c>
      <c r="AS337" s="27" t="s">
        <v>8</v>
      </c>
      <c r="AT337" s="27" t="s">
        <v>7</v>
      </c>
      <c r="AU337" s="27" t="s">
        <v>8</v>
      </c>
    </row>
    <row r="338" spans="1:47" x14ac:dyDescent="0.25">
      <c r="A338" s="30">
        <v>8.3839502226552166E-3</v>
      </c>
      <c r="B338"/>
      <c r="C338"/>
      <c r="D338"/>
      <c r="E338"/>
      <c r="AR338" s="27" t="s">
        <v>7</v>
      </c>
      <c r="AT338" s="27" t="s">
        <v>7</v>
      </c>
    </row>
    <row r="339" spans="1:47" x14ac:dyDescent="0.25">
      <c r="A339" s="30">
        <v>7.9847144977668698E-3</v>
      </c>
      <c r="B339"/>
      <c r="C339"/>
      <c r="D339"/>
      <c r="E339"/>
    </row>
    <row r="340" spans="1:47" x14ac:dyDescent="0.25">
      <c r="A340" s="30">
        <v>7.6044899978732058E-3</v>
      </c>
      <c r="B340"/>
      <c r="C340"/>
      <c r="D340"/>
      <c r="E340"/>
    </row>
    <row r="341" spans="1:47" x14ac:dyDescent="0.25">
      <c r="A341" s="30">
        <v>7.2423714265459072E-3</v>
      </c>
      <c r="B341"/>
      <c r="C341"/>
      <c r="D341"/>
      <c r="E341"/>
    </row>
    <row r="342" spans="1:47" x14ac:dyDescent="0.25">
      <c r="A342" s="30">
        <v>6.8974965967103846E-3</v>
      </c>
      <c r="B342"/>
      <c r="C342"/>
      <c r="D342"/>
      <c r="E342"/>
    </row>
    <row r="343" spans="1:47" x14ac:dyDescent="0.25">
      <c r="A343" s="30">
        <v>6.5690443778194116E-3</v>
      </c>
      <c r="B343"/>
      <c r="C343"/>
      <c r="D343"/>
      <c r="E343"/>
    </row>
    <row r="344" spans="1:47" x14ac:dyDescent="0.25">
      <c r="A344" s="30">
        <v>6.2562327407803897E-3</v>
      </c>
      <c r="B344"/>
      <c r="C344"/>
      <c r="D344"/>
      <c r="E344"/>
    </row>
    <row r="345" spans="1:47" x14ac:dyDescent="0.25">
      <c r="A345" s="30">
        <v>5.9583168959813212E-3</v>
      </c>
      <c r="B345"/>
      <c r="C345"/>
      <c r="D345"/>
      <c r="E345"/>
    </row>
    <row r="346" spans="1:47" x14ac:dyDescent="0.25">
      <c r="A346" s="30">
        <v>5.6745875199822084E-3</v>
      </c>
      <c r="B346"/>
      <c r="C346"/>
      <c r="D346"/>
      <c r="E346"/>
    </row>
    <row r="347" spans="1:47" x14ac:dyDescent="0.25">
      <c r="A347" s="30">
        <v>5.4043690666497205E-3</v>
      </c>
      <c r="B347"/>
      <c r="C347"/>
      <c r="D347"/>
      <c r="E347"/>
    </row>
    <row r="348" spans="1:47" x14ac:dyDescent="0.25">
      <c r="A348" s="30">
        <v>5.1470181587140174E-3</v>
      </c>
      <c r="B348"/>
      <c r="C348"/>
      <c r="D348"/>
      <c r="E348"/>
    </row>
    <row r="349" spans="1:47" x14ac:dyDescent="0.25">
      <c r="A349" s="30">
        <v>4.9019220559181099E-3</v>
      </c>
      <c r="B349"/>
      <c r="C349"/>
      <c r="D349"/>
      <c r="E349"/>
    </row>
    <row r="350" spans="1:47" x14ac:dyDescent="0.25">
      <c r="A350" s="30">
        <v>4.6684971961124836E-3</v>
      </c>
      <c r="B350"/>
      <c r="C350"/>
      <c r="D350"/>
      <c r="E350"/>
    </row>
    <row r="351" spans="1:47" x14ac:dyDescent="0.25">
      <c r="A351" s="30">
        <v>4.4461878058214112E-3</v>
      </c>
      <c r="B351"/>
      <c r="C351"/>
      <c r="D351"/>
      <c r="E351"/>
    </row>
    <row r="352" spans="1:47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656" operator="equal">
      <formula>$U$1</formula>
    </cfRule>
    <cfRule type="cellIs" dxfId="67" priority="657" operator="equal">
      <formula>$S$1</formula>
    </cfRule>
  </conditionalFormatting>
  <conditionalFormatting sqref="D136">
    <cfRule type="cellIs" dxfId="66" priority="654" operator="equal">
      <formula>$S$1</formula>
    </cfRule>
    <cfRule type="cellIs" dxfId="65" priority="655" operator="equal">
      <formula>$U$1</formula>
    </cfRule>
  </conditionalFormatting>
  <conditionalFormatting sqref="C162">
    <cfRule type="cellIs" dxfId="64" priority="652" operator="equal">
      <formula>$U$1</formula>
    </cfRule>
    <cfRule type="cellIs" dxfId="63" priority="653" operator="equal">
      <formula>$S$1</formula>
    </cfRule>
  </conditionalFormatting>
  <conditionalFormatting sqref="D162">
    <cfRule type="cellIs" dxfId="62" priority="650" operator="equal">
      <formula>$S$1</formula>
    </cfRule>
    <cfRule type="cellIs" dxfId="61" priority="651" operator="equal">
      <formula>$U$1</formula>
    </cfRule>
  </conditionalFormatting>
  <conditionalFormatting sqref="C187">
    <cfRule type="cellIs" dxfId="60" priority="648" operator="equal">
      <formula>$U$1</formula>
    </cfRule>
    <cfRule type="cellIs" dxfId="59" priority="649" operator="equal">
      <formula>$S$1</formula>
    </cfRule>
  </conditionalFormatting>
  <conditionalFormatting sqref="D187">
    <cfRule type="cellIs" dxfId="58" priority="646" operator="equal">
      <formula>$S$1</formula>
    </cfRule>
    <cfRule type="cellIs" dxfId="57" priority="647" operator="equal">
      <formula>$U$1</formula>
    </cfRule>
  </conditionalFormatting>
  <conditionalFormatting sqref="C212">
    <cfRule type="cellIs" dxfId="56" priority="644" operator="equal">
      <formula>$U$1</formula>
    </cfRule>
    <cfRule type="cellIs" dxfId="55" priority="645" operator="equal">
      <formula>$S$1</formula>
    </cfRule>
  </conditionalFormatting>
  <conditionalFormatting sqref="D212">
    <cfRule type="cellIs" dxfId="54" priority="642" operator="equal">
      <formula>$S$1</formula>
    </cfRule>
    <cfRule type="cellIs" dxfId="53" priority="643" operator="equal">
      <formula>$U$1</formula>
    </cfRule>
  </conditionalFormatting>
  <conditionalFormatting sqref="C237">
    <cfRule type="cellIs" dxfId="52" priority="640" operator="equal">
      <formula>$U$1</formula>
    </cfRule>
    <cfRule type="cellIs" dxfId="51" priority="641" operator="equal">
      <formula>$S$1</formula>
    </cfRule>
  </conditionalFormatting>
  <conditionalFormatting sqref="D237">
    <cfRule type="cellIs" dxfId="50" priority="638" operator="equal">
      <formula>$S$1</formula>
    </cfRule>
    <cfRule type="cellIs" dxfId="49" priority="639" operator="equal">
      <formula>$U$1</formula>
    </cfRule>
  </conditionalFormatting>
  <conditionalFormatting sqref="C106">
    <cfRule type="cellIs" dxfId="48" priority="636" operator="equal">
      <formula>$U$1</formula>
    </cfRule>
    <cfRule type="cellIs" dxfId="47" priority="637" operator="equal">
      <formula>$S$1</formula>
    </cfRule>
  </conditionalFormatting>
  <conditionalFormatting sqref="D106">
    <cfRule type="cellIs" dxfId="46" priority="634" operator="equal">
      <formula>$S$1</formula>
    </cfRule>
    <cfRule type="cellIs" dxfId="45" priority="635" operator="equal">
      <formula>$U$1</formula>
    </cfRule>
  </conditionalFormatting>
  <conditionalFormatting sqref="C81">
    <cfRule type="cellIs" dxfId="44" priority="632" operator="equal">
      <formula>$U$1</formula>
    </cfRule>
    <cfRule type="cellIs" dxfId="43" priority="633" operator="equal">
      <formula>$S$1</formula>
    </cfRule>
  </conditionalFormatting>
  <conditionalFormatting sqref="D81">
    <cfRule type="cellIs" dxfId="42" priority="630" operator="equal">
      <formula>$S$1</formula>
    </cfRule>
    <cfRule type="cellIs" dxfId="41" priority="631" operator="equal">
      <formula>$U$1</formula>
    </cfRule>
  </conditionalFormatting>
  <conditionalFormatting sqref="C56">
    <cfRule type="cellIs" dxfId="40" priority="628" operator="equal">
      <formula>$U$1</formula>
    </cfRule>
    <cfRule type="cellIs" dxfId="39" priority="629" operator="equal">
      <formula>$S$1</formula>
    </cfRule>
  </conditionalFormatting>
  <conditionalFormatting sqref="D56">
    <cfRule type="cellIs" dxfId="38" priority="626" operator="equal">
      <formula>$S$1</formula>
    </cfRule>
    <cfRule type="cellIs" dxfId="37" priority="627" operator="equal">
      <formula>$U$1</formula>
    </cfRule>
  </conditionalFormatting>
  <conditionalFormatting sqref="C31">
    <cfRule type="cellIs" dxfId="36" priority="624" operator="equal">
      <formula>$U$1</formula>
    </cfRule>
    <cfRule type="cellIs" dxfId="35" priority="625" operator="equal">
      <formula>$S$1</formula>
    </cfRule>
  </conditionalFormatting>
  <conditionalFormatting sqref="D31">
    <cfRule type="cellIs" dxfId="34" priority="622" operator="equal">
      <formula>$S$1</formula>
    </cfRule>
    <cfRule type="cellIs" dxfId="33" priority="623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R171" sqref="R171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$A$170</v>
      </c>
      <c r="D111" s="1" t="str">
        <f>ADDRESS(C121-1,D121,1,1)</f>
        <v>$R$170</v>
      </c>
      <c r="E111"/>
    </row>
    <row r="112" spans="1:5" x14ac:dyDescent="0.25">
      <c r="A112" s="30">
        <v>2.3579476910000019</v>
      </c>
      <c r="C112" s="1" t="str">
        <f>ADDRESS(C121,1,1,1)</f>
        <v>$A$171</v>
      </c>
      <c r="D112" s="1" t="str">
        <f>ADDRESS(C121,D121-1,1,1)</f>
        <v>$Q$171</v>
      </c>
      <c r="E112"/>
    </row>
    <row r="113" spans="1:6" x14ac:dyDescent="0.25">
      <c r="A113" s="30">
        <v>2.1435888100000016</v>
      </c>
      <c r="C113" s="1" t="str">
        <f>ADDRESS(C121+1,1,1,1)</f>
        <v>$A$172</v>
      </c>
      <c r="D113" s="1" t="str">
        <f>ADDRESS(C121-1,D121+1,1,1)</f>
        <v>$S$170</v>
      </c>
    </row>
    <row r="114" spans="1:6" x14ac:dyDescent="0.25">
      <c r="A114" s="30">
        <v>1.9487171000000014</v>
      </c>
      <c r="C114" s="1" t="str">
        <f>ADDRESS(C121,D121,1,1)</f>
        <v>$R$171</v>
      </c>
      <c r="D114" s="1" t="str">
        <f>ADDRESS(C121+1,D121+1,1,1)</f>
        <v>$S$172</v>
      </c>
    </row>
    <row r="115" spans="1:6" x14ac:dyDescent="0.25">
      <c r="A115" s="30">
        <v>1.7715610000000011</v>
      </c>
      <c r="C115" s="1" t="str">
        <f>ADDRESS(C121+1,D121,1,1)</f>
        <v>$R$172</v>
      </c>
    </row>
    <row r="116" spans="1:6" x14ac:dyDescent="0.25">
      <c r="A116" s="30">
        <v>1.6105100000000008</v>
      </c>
      <c r="C116" s="1">
        <f>C117-1</f>
        <v>170</v>
      </c>
    </row>
    <row r="117" spans="1:6" x14ac:dyDescent="0.25">
      <c r="A117" s="30">
        <v>1.4641000000000006</v>
      </c>
      <c r="C117" s="1">
        <f>C121</f>
        <v>171</v>
      </c>
      <c r="D117" s="1">
        <f>D121</f>
        <v>18</v>
      </c>
    </row>
    <row r="118" spans="1:6" x14ac:dyDescent="0.25">
      <c r="A118" s="30">
        <v>1.3310000000000004</v>
      </c>
      <c r="C118" s="1">
        <f>C117+1</f>
        <v>172</v>
      </c>
      <c r="D118" s="1">
        <f>D117+1</f>
        <v>19</v>
      </c>
    </row>
    <row r="119" spans="1:6" x14ac:dyDescent="0.25">
      <c r="A119" s="30">
        <v>1.2100000000000002</v>
      </c>
    </row>
    <row r="120" spans="1:6" x14ac:dyDescent="0.25">
      <c r="A120" s="30">
        <v>1.1000000000000001</v>
      </c>
      <c r="C120" s="1" t="s">
        <v>9</v>
      </c>
    </row>
    <row r="121" spans="1:6" x14ac:dyDescent="0.25">
      <c r="A121" s="30">
        <v>1</v>
      </c>
      <c r="C121" s="18">
        <v>171</v>
      </c>
      <c r="D121" s="19">
        <v>18</v>
      </c>
      <c r="E121" s="18" t="s">
        <v>8</v>
      </c>
    </row>
    <row r="122" spans="1:6" x14ac:dyDescent="0.25">
      <c r="A122" s="30">
        <v>0.90909090909090895</v>
      </c>
      <c r="C122" s="1" t="str">
        <f>INDEX(1:1048576,C117,D117)</f>
        <v>O</v>
      </c>
      <c r="F122" s="27" t="s">
        <v>7</v>
      </c>
    </row>
    <row r="123" spans="1:6" x14ac:dyDescent="0.25">
      <c r="A123" s="30">
        <v>0.82644628099173523</v>
      </c>
      <c r="C123" s="1" t="str">
        <f>"R"&amp;C121</f>
        <v>R171</v>
      </c>
      <c r="D123" s="1" t="str">
        <f>"C"&amp;D121</f>
        <v>C18</v>
      </c>
      <c r="F123" s="27" t="s">
        <v>7</v>
      </c>
    </row>
    <row r="124" spans="1:6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</row>
    <row r="125" spans="1:6" x14ac:dyDescent="0.25">
      <c r="A125" s="30">
        <v>0.68301345536507019</v>
      </c>
      <c r="F125" s="27" t="s">
        <v>7</v>
      </c>
    </row>
    <row r="126" spans="1:6" x14ac:dyDescent="0.25">
      <c r="A126" s="30">
        <v>0.6209213230591546</v>
      </c>
      <c r="C126" s="1" t="s">
        <v>10</v>
      </c>
      <c r="F126" s="27" t="s">
        <v>7</v>
      </c>
    </row>
    <row r="127" spans="1:6" x14ac:dyDescent="0.25">
      <c r="A127" s="30">
        <v>0.56447393005377677</v>
      </c>
      <c r="C127" s="30">
        <v>8.5185512795005747E-3</v>
      </c>
      <c r="D127"/>
      <c r="F127" s="27" t="s">
        <v>7</v>
      </c>
    </row>
    <row r="128" spans="1:6" x14ac:dyDescent="0.25">
      <c r="A128" s="30">
        <v>0.51315811823070612</v>
      </c>
      <c r="F128" s="27" t="s">
        <v>7</v>
      </c>
    </row>
    <row r="129" spans="1:6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</row>
    <row r="130" spans="1:6" x14ac:dyDescent="0.25">
      <c r="A130" s="30">
        <v>0.42409761837248428</v>
      </c>
      <c r="C130" s="6"/>
      <c r="D130" s="6"/>
      <c r="E130"/>
      <c r="F130" s="27" t="s">
        <v>7</v>
      </c>
    </row>
    <row r="131" spans="1:6" x14ac:dyDescent="0.25">
      <c r="A131" s="30">
        <v>0.38554328942953109</v>
      </c>
      <c r="E131"/>
      <c r="F131" s="27" t="s">
        <v>7</v>
      </c>
    </row>
    <row r="132" spans="1:6" x14ac:dyDescent="0.25">
      <c r="A132" s="30">
        <v>0.35049389948139187</v>
      </c>
      <c r="C132" s="1" t="s">
        <v>13</v>
      </c>
      <c r="E132"/>
      <c r="F132" s="27" t="s">
        <v>7</v>
      </c>
    </row>
    <row r="133" spans="1:6" x14ac:dyDescent="0.25">
      <c r="A133" s="30">
        <v>0.31863081771035617</v>
      </c>
      <c r="C133" s="1" t="str">
        <f>C122</f>
        <v>O</v>
      </c>
      <c r="E133"/>
      <c r="F133" s="27" t="s">
        <v>7</v>
      </c>
    </row>
    <row r="134" spans="1:6" x14ac:dyDescent="0.25">
      <c r="A134" s="30">
        <v>0.28966437973668741</v>
      </c>
      <c r="C134"/>
      <c r="D134"/>
      <c r="E134"/>
      <c r="F134" s="27" t="s">
        <v>7</v>
      </c>
    </row>
    <row r="135" spans="1:6" x14ac:dyDescent="0.25">
      <c r="A135" s="30">
        <v>0.2633312543060794</v>
      </c>
      <c r="C135" s="1" t="s">
        <v>14</v>
      </c>
      <c r="E135"/>
      <c r="F135" s="27" t="s">
        <v>7</v>
      </c>
    </row>
    <row r="136" spans="1:6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</row>
    <row r="137" spans="1:6" x14ac:dyDescent="0.25">
      <c r="A137" s="30">
        <v>0.2176291357901482</v>
      </c>
      <c r="E137"/>
      <c r="F137" s="27" t="s">
        <v>7</v>
      </c>
    </row>
    <row r="138" spans="1:6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</row>
    <row r="139" spans="1:6" x14ac:dyDescent="0.25">
      <c r="A139" s="30">
        <v>0.17985878990921333</v>
      </c>
      <c r="E139"/>
      <c r="F139" s="27" t="s">
        <v>7</v>
      </c>
    </row>
    <row r="140" spans="1:6" x14ac:dyDescent="0.25">
      <c r="A140" s="30">
        <v>0.16350799082655756</v>
      </c>
      <c r="C140" s="1">
        <v>0</v>
      </c>
      <c r="E140"/>
      <c r="F140" s="27" t="s">
        <v>7</v>
      </c>
    </row>
    <row r="141" spans="1:6" x14ac:dyDescent="0.25">
      <c r="A141" s="30">
        <v>0.14864362802414322</v>
      </c>
      <c r="C141" s="1">
        <v>1</v>
      </c>
      <c r="E141"/>
      <c r="F141" s="27" t="s">
        <v>7</v>
      </c>
    </row>
    <row r="142" spans="1:6" x14ac:dyDescent="0.25">
      <c r="A142" s="30">
        <v>0.13513057093103928</v>
      </c>
      <c r="C142" s="1">
        <v>2</v>
      </c>
      <c r="E142"/>
      <c r="F142" s="27" t="s">
        <v>7</v>
      </c>
    </row>
    <row r="143" spans="1:6" x14ac:dyDescent="0.25">
      <c r="A143" s="30">
        <v>0.12284597357367205</v>
      </c>
      <c r="C143" s="1">
        <v>3</v>
      </c>
      <c r="E143"/>
      <c r="F143" s="27" t="s">
        <v>7</v>
      </c>
    </row>
    <row r="144" spans="1:6" x14ac:dyDescent="0.25">
      <c r="A144" s="30">
        <v>0.11167815779424731</v>
      </c>
      <c r="C144" s="1">
        <v>4</v>
      </c>
      <c r="E144"/>
      <c r="F144" s="27" t="s">
        <v>7</v>
      </c>
    </row>
    <row r="145" spans="1:18" x14ac:dyDescent="0.25">
      <c r="A145" s="30">
        <v>0.10152559799477026</v>
      </c>
      <c r="B145"/>
      <c r="C145"/>
      <c r="D145"/>
      <c r="E145"/>
      <c r="F145" s="27" t="s">
        <v>7</v>
      </c>
    </row>
    <row r="146" spans="1:18" x14ac:dyDescent="0.25">
      <c r="A146" s="30">
        <v>9.2295998177063854E-2</v>
      </c>
      <c r="B146"/>
      <c r="C146"/>
      <c r="D146"/>
      <c r="E146"/>
      <c r="F146" s="27" t="s">
        <v>7</v>
      </c>
    </row>
    <row r="147" spans="1:18" x14ac:dyDescent="0.25">
      <c r="A147" s="30">
        <v>8.3905452888239848E-2</v>
      </c>
      <c r="B147"/>
      <c r="C147"/>
      <c r="D147"/>
      <c r="E147"/>
      <c r="F147" s="27" t="s">
        <v>7</v>
      </c>
    </row>
    <row r="148" spans="1:18" x14ac:dyDescent="0.25">
      <c r="A148" s="30">
        <v>7.6277684443854396E-2</v>
      </c>
      <c r="B148"/>
      <c r="C148"/>
      <c r="D148"/>
      <c r="E148"/>
      <c r="F148" s="27" t="s">
        <v>7</v>
      </c>
    </row>
    <row r="149" spans="1:18" x14ac:dyDescent="0.25">
      <c r="A149" s="30">
        <v>6.9343349494413078E-2</v>
      </c>
      <c r="B149"/>
      <c r="C149"/>
      <c r="D149"/>
      <c r="E149"/>
      <c r="F149" s="27" t="s">
        <v>7</v>
      </c>
    </row>
    <row r="150" spans="1:18" x14ac:dyDescent="0.25">
      <c r="A150" s="30">
        <v>6.3039408631284613E-2</v>
      </c>
      <c r="B150"/>
      <c r="C150"/>
      <c r="D150"/>
      <c r="E150"/>
      <c r="F150" s="27" t="s">
        <v>7</v>
      </c>
    </row>
    <row r="151" spans="1:18" x14ac:dyDescent="0.25">
      <c r="A151" s="30">
        <v>5.7308553301167818E-2</v>
      </c>
      <c r="B151"/>
      <c r="C151"/>
      <c r="D151"/>
      <c r="E151"/>
      <c r="F151" s="27" t="s">
        <v>7</v>
      </c>
    </row>
    <row r="152" spans="1:18" x14ac:dyDescent="0.25">
      <c r="A152" s="30">
        <v>5.2098684819243464E-2</v>
      </c>
      <c r="B152"/>
      <c r="C152"/>
      <c r="D152"/>
      <c r="E152"/>
      <c r="F152" s="27" t="s">
        <v>7</v>
      </c>
    </row>
    <row r="153" spans="1:18" x14ac:dyDescent="0.25">
      <c r="A153" s="30">
        <v>4.7362440744766775E-2</v>
      </c>
      <c r="B153"/>
      <c r="C153"/>
      <c r="D153"/>
      <c r="E153"/>
      <c r="F153" s="27" t="s">
        <v>7</v>
      </c>
    </row>
    <row r="154" spans="1:18" x14ac:dyDescent="0.25">
      <c r="A154" s="30">
        <v>4.3056764313424332E-2</v>
      </c>
      <c r="B154"/>
      <c r="C154"/>
      <c r="D154"/>
      <c r="E154"/>
      <c r="F154" s="27" t="s">
        <v>7</v>
      </c>
    </row>
    <row r="155" spans="1:18" x14ac:dyDescent="0.25">
      <c r="A155" s="30">
        <v>3.9142513012203929E-2</v>
      </c>
      <c r="B155"/>
      <c r="C155"/>
      <c r="D155"/>
      <c r="E155"/>
      <c r="F155" s="27" t="s">
        <v>7</v>
      </c>
    </row>
    <row r="156" spans="1:18" x14ac:dyDescent="0.25">
      <c r="A156" s="30">
        <v>3.55841027383672E-2</v>
      </c>
      <c r="B156"/>
      <c r="C156"/>
      <c r="D156"/>
      <c r="E156"/>
      <c r="F156" s="27" t="s">
        <v>7</v>
      </c>
      <c r="K156" s="27" t="s">
        <v>8</v>
      </c>
      <c r="Q156" s="27" t="s">
        <v>8</v>
      </c>
    </row>
    <row r="157" spans="1:18" x14ac:dyDescent="0.25">
      <c r="A157" s="30">
        <v>3.2349184307606541E-2</v>
      </c>
      <c r="B157"/>
      <c r="C157"/>
      <c r="D157"/>
      <c r="E157"/>
      <c r="F157" s="27" t="s">
        <v>7</v>
      </c>
      <c r="G157" s="27" t="s">
        <v>8</v>
      </c>
      <c r="K157" s="27" t="s">
        <v>8</v>
      </c>
      <c r="L157" s="27" t="s">
        <v>7</v>
      </c>
      <c r="Q157" s="27" t="s">
        <v>8</v>
      </c>
      <c r="R157" s="27" t="s">
        <v>7</v>
      </c>
    </row>
    <row r="158" spans="1:18" x14ac:dyDescent="0.25">
      <c r="A158" s="30">
        <v>2.9408349370551395E-2</v>
      </c>
      <c r="B158"/>
      <c r="C158"/>
      <c r="D158"/>
      <c r="E158"/>
      <c r="F158" s="27" t="s">
        <v>7</v>
      </c>
      <c r="G158" s="27" t="s">
        <v>8</v>
      </c>
      <c r="H158" s="27" t="s">
        <v>7</v>
      </c>
      <c r="K158" s="27" t="s">
        <v>8</v>
      </c>
      <c r="L158" s="27" t="s">
        <v>7</v>
      </c>
      <c r="M158" s="27" t="s">
        <v>8</v>
      </c>
      <c r="Q158" s="27" t="s">
        <v>8</v>
      </c>
      <c r="R158" s="27" t="s">
        <v>7</v>
      </c>
    </row>
    <row r="159" spans="1:18" x14ac:dyDescent="0.25">
      <c r="A159" s="30">
        <v>2.6734863064137627E-2</v>
      </c>
      <c r="B159"/>
      <c r="C159"/>
      <c r="D159"/>
      <c r="E159"/>
      <c r="F159" s="27" t="s">
        <v>7</v>
      </c>
      <c r="G159" s="27" t="s">
        <v>8</v>
      </c>
      <c r="H159" s="27" t="s">
        <v>7</v>
      </c>
      <c r="K159" s="27" t="s">
        <v>8</v>
      </c>
      <c r="L159" s="27" t="s">
        <v>7</v>
      </c>
      <c r="M159" s="27" t="s">
        <v>8</v>
      </c>
      <c r="N159" s="27" t="s">
        <v>7</v>
      </c>
      <c r="O159" s="27" t="s">
        <v>8</v>
      </c>
      <c r="Q159" s="27" t="s">
        <v>8</v>
      </c>
      <c r="R159" s="27" t="s">
        <v>7</v>
      </c>
    </row>
    <row r="160" spans="1:18" x14ac:dyDescent="0.25">
      <c r="A160" s="30">
        <v>2.4304420967397839E-2</v>
      </c>
      <c r="B160"/>
      <c r="C160"/>
      <c r="D160"/>
      <c r="E160"/>
      <c r="F160" s="27" t="s">
        <v>7</v>
      </c>
      <c r="H160" s="27" t="s">
        <v>7</v>
      </c>
      <c r="I160" s="27" t="s">
        <v>8</v>
      </c>
      <c r="K160" s="27" t="s">
        <v>8</v>
      </c>
      <c r="L160" s="27" t="s">
        <v>7</v>
      </c>
      <c r="M160" s="27" t="s">
        <v>8</v>
      </c>
      <c r="N160" s="27" t="s">
        <v>7</v>
      </c>
      <c r="O160" s="27" t="s">
        <v>8</v>
      </c>
      <c r="P160" s="27" t="s">
        <v>7</v>
      </c>
      <c r="Q160" s="27" t="s">
        <v>8</v>
      </c>
      <c r="R160" s="27" t="s">
        <v>7</v>
      </c>
    </row>
    <row r="161" spans="1:18" x14ac:dyDescent="0.25">
      <c r="A161" s="30">
        <v>2.2094928152179852E-2</v>
      </c>
      <c r="B161"/>
      <c r="C161"/>
      <c r="D161"/>
      <c r="E161"/>
      <c r="H161" s="27" t="s">
        <v>7</v>
      </c>
      <c r="I161" s="27" t="s">
        <v>8</v>
      </c>
      <c r="J161" s="27" t="s">
        <v>7</v>
      </c>
      <c r="K161" s="27" t="s">
        <v>8</v>
      </c>
      <c r="L161" s="27" t="s">
        <v>7</v>
      </c>
      <c r="N161" s="27" t="s">
        <v>7</v>
      </c>
      <c r="O161" s="27" t="s">
        <v>8</v>
      </c>
      <c r="P161" s="27" t="s">
        <v>7</v>
      </c>
      <c r="Q161" s="27" t="s">
        <v>8</v>
      </c>
      <c r="R161" s="27" t="s">
        <v>7</v>
      </c>
    </row>
    <row r="162" spans="1:18" x14ac:dyDescent="0.25">
      <c r="A162" s="30">
        <v>2.0086298320163499E-2</v>
      </c>
      <c r="B162"/>
      <c r="C162"/>
      <c r="D162"/>
      <c r="E162"/>
      <c r="H162" s="27" t="s">
        <v>7</v>
      </c>
      <c r="I162" s="27" t="s">
        <v>8</v>
      </c>
      <c r="J162" s="27" t="s">
        <v>7</v>
      </c>
      <c r="K162" s="27" t="s">
        <v>8</v>
      </c>
      <c r="N162" s="27" t="s">
        <v>7</v>
      </c>
      <c r="O162" s="27" t="s">
        <v>8</v>
      </c>
      <c r="P162" s="27" t="s">
        <v>7</v>
      </c>
      <c r="R162" s="27" t="s">
        <v>7</v>
      </c>
    </row>
    <row r="163" spans="1:18" x14ac:dyDescent="0.25">
      <c r="A163" s="30">
        <v>1.8260271200148632E-2</v>
      </c>
      <c r="B163"/>
      <c r="C163"/>
      <c r="D163"/>
      <c r="E163"/>
      <c r="H163" s="27" t="s">
        <v>7</v>
      </c>
      <c r="J163" s="18" t="s">
        <v>7</v>
      </c>
      <c r="K163" s="27" t="s">
        <v>8</v>
      </c>
      <c r="N163" s="27" t="s">
        <v>7</v>
      </c>
      <c r="R163" s="27" t="s">
        <v>7</v>
      </c>
    </row>
    <row r="164" spans="1:18" x14ac:dyDescent="0.25">
      <c r="A164" s="30">
        <v>1.6600246545589663E-2</v>
      </c>
      <c r="B164"/>
      <c r="C164"/>
      <c r="D164"/>
      <c r="E164"/>
      <c r="J164" s="27" t="s">
        <v>7</v>
      </c>
      <c r="R164" s="27" t="s">
        <v>7</v>
      </c>
    </row>
    <row r="165" spans="1:18" x14ac:dyDescent="0.25">
      <c r="A165" s="30">
        <v>1.5091133223263328E-2</v>
      </c>
      <c r="B165"/>
      <c r="C165"/>
      <c r="D165"/>
      <c r="E165"/>
      <c r="R165" s="27" t="s">
        <v>7</v>
      </c>
    </row>
    <row r="166" spans="1:18" x14ac:dyDescent="0.25">
      <c r="A166" s="30">
        <v>1.3719212021148477E-2</v>
      </c>
      <c r="B166"/>
      <c r="C166"/>
      <c r="D166"/>
      <c r="E166"/>
      <c r="R166" s="27" t="s">
        <v>7</v>
      </c>
    </row>
    <row r="167" spans="1:18" x14ac:dyDescent="0.25">
      <c r="A167" s="30">
        <v>1.2472010928316795E-2</v>
      </c>
      <c r="B167"/>
      <c r="C167"/>
      <c r="D167"/>
      <c r="E167"/>
      <c r="R167" s="27" t="s">
        <v>7</v>
      </c>
    </row>
    <row r="168" spans="1:18" x14ac:dyDescent="0.25">
      <c r="A168" s="30">
        <v>1.1338191753015267E-2</v>
      </c>
      <c r="B168"/>
      <c r="C168"/>
      <c r="D168"/>
      <c r="E168"/>
      <c r="R168" s="27" t="s">
        <v>7</v>
      </c>
    </row>
    <row r="169" spans="1:18" x14ac:dyDescent="0.25">
      <c r="A169" s="30">
        <v>1.0307447048195697E-2</v>
      </c>
      <c r="B169"/>
      <c r="C169"/>
      <c r="D169"/>
      <c r="E169"/>
      <c r="R169" s="27" t="s">
        <v>7</v>
      </c>
    </row>
    <row r="170" spans="1:18" x14ac:dyDescent="0.25">
      <c r="A170" s="30">
        <v>9.3704064074506318E-3</v>
      </c>
      <c r="B170"/>
      <c r="C170"/>
      <c r="D170"/>
      <c r="E170"/>
      <c r="R170" s="27" t="s">
        <v>7</v>
      </c>
    </row>
    <row r="171" spans="1:18" x14ac:dyDescent="0.25">
      <c r="A171" s="30">
        <v>8.5185512795005747E-3</v>
      </c>
      <c r="R171" s="27" t="s">
        <v>7</v>
      </c>
    </row>
    <row r="172" spans="1:18" x14ac:dyDescent="0.25">
      <c r="A172" s="30">
        <v>7.744137526818704E-3</v>
      </c>
    </row>
    <row r="173" spans="1:18" x14ac:dyDescent="0.25">
      <c r="A173" s="30">
        <v>7.0401250243806394E-3</v>
      </c>
    </row>
    <row r="174" spans="1:18" x14ac:dyDescent="0.25">
      <c r="A174" s="30">
        <v>6.4001136585278536E-3</v>
      </c>
    </row>
    <row r="175" spans="1:18" x14ac:dyDescent="0.25">
      <c r="A175" s="30">
        <v>5.8182851441162305E-3</v>
      </c>
    </row>
    <row r="176" spans="1:18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640" operator="equal">
      <formula>$U$1</formula>
    </cfRule>
    <cfRule type="cellIs" dxfId="30" priority="641" operator="equal">
      <formula>$S$1</formula>
    </cfRule>
  </conditionalFormatting>
  <conditionalFormatting sqref="D136">
    <cfRule type="cellIs" dxfId="29" priority="638" operator="equal">
      <formula>$S$1</formula>
    </cfRule>
    <cfRule type="cellIs" dxfId="28" priority="639" operator="equal">
      <formula>$U$1</formula>
    </cfRule>
  </conditionalFormatting>
  <conditionalFormatting sqref="C102">
    <cfRule type="cellIs" dxfId="27" priority="636" operator="equal">
      <formula>$U$1</formula>
    </cfRule>
    <cfRule type="cellIs" dxfId="26" priority="637" operator="equal">
      <formula>$S$1</formula>
    </cfRule>
  </conditionalFormatting>
  <conditionalFormatting sqref="D102">
    <cfRule type="cellIs" dxfId="25" priority="634" operator="equal">
      <formula>$S$1</formula>
    </cfRule>
    <cfRule type="cellIs" dxfId="24" priority="635" operator="equal">
      <formula>$U$1</formula>
    </cfRule>
  </conditionalFormatting>
  <conditionalFormatting sqref="C77">
    <cfRule type="cellIs" dxfId="23" priority="632" operator="equal">
      <formula>$U$1</formula>
    </cfRule>
    <cfRule type="cellIs" dxfId="22" priority="633" operator="equal">
      <formula>$S$1</formula>
    </cfRule>
  </conditionalFormatting>
  <conditionalFormatting sqref="D77">
    <cfRule type="cellIs" dxfId="21" priority="630" operator="equal">
      <formula>$S$1</formula>
    </cfRule>
    <cfRule type="cellIs" dxfId="20" priority="631" operator="equal">
      <formula>$U$1</formula>
    </cfRule>
  </conditionalFormatting>
  <conditionalFormatting sqref="C52">
    <cfRule type="cellIs" dxfId="19" priority="628" operator="equal">
      <formula>$U$1</formula>
    </cfRule>
    <cfRule type="cellIs" dxfId="18" priority="629" operator="equal">
      <formula>$S$1</formula>
    </cfRule>
  </conditionalFormatting>
  <conditionalFormatting sqref="D52">
    <cfRule type="cellIs" dxfId="17" priority="626" operator="equal">
      <formula>$S$1</formula>
    </cfRule>
    <cfRule type="cellIs" dxfId="16" priority="627" operator="equal">
      <formula>$U$1</formula>
    </cfRule>
  </conditionalFormatting>
  <conditionalFormatting sqref="C26">
    <cfRule type="cellIs" dxfId="15" priority="624" operator="equal">
      <formula>$U$1</formula>
    </cfRule>
    <cfRule type="cellIs" dxfId="14" priority="625" operator="equal">
      <formula>$S$1</formula>
    </cfRule>
  </conditionalFormatting>
  <conditionalFormatting sqref="D26">
    <cfRule type="cellIs" dxfId="13" priority="622" operator="equal">
      <formula>$S$1</formula>
    </cfRule>
    <cfRule type="cellIs" dxfId="12" priority="623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2022-01-28T01:23:25Z</dcterms:modified>
</cp:coreProperties>
</file>