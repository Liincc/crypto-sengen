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5A2F4B4B-B585-45C3-BAA9-C970CD7F7D16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116" i="4"/>
  <c r="C2" i="1" l="1"/>
  <c r="D2" i="1"/>
  <c r="C122" i="4"/>
  <c r="C133" i="4" s="1"/>
  <c r="D136" i="4" s="1"/>
  <c r="C122" i="5"/>
  <c r="C133" i="5" s="1"/>
  <c r="C136" i="5" s="1"/>
  <c r="C116" i="5"/>
  <c r="C122" i="3"/>
  <c r="C133" i="3" s="1"/>
  <c r="C136" i="3" s="1"/>
  <c r="C118" i="3"/>
  <c r="R765" i="1"/>
  <c r="S765" i="1" s="1"/>
  <c r="T765" i="1" s="1"/>
  <c r="C136" i="4" l="1"/>
  <c r="C138" i="4" s="1"/>
  <c r="D136" i="5"/>
  <c r="C138" i="5" s="1"/>
  <c r="R764" i="1"/>
  <c r="D136" i="3"/>
  <c r="C138" i="3" s="1"/>
  <c r="R763" i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S327" i="1" l="1"/>
  <c r="T327" i="1" s="1"/>
  <c r="R326" i="1"/>
  <c r="R325" i="1" l="1"/>
  <c r="S326" i="1"/>
  <c r="T326" i="1" s="1"/>
  <c r="R324" i="1" l="1"/>
  <c r="S325" i="1"/>
  <c r="T325" i="1" s="1"/>
  <c r="S324" i="1" l="1"/>
  <c r="T324" i="1" s="1"/>
  <c r="R323" i="1"/>
  <c r="S323" i="1" l="1"/>
  <c r="T323" i="1" s="1"/>
  <c r="R322" i="1"/>
  <c r="R321" i="1" l="1"/>
  <c r="S322" i="1"/>
  <c r="T322" i="1" s="1"/>
  <c r="R320" i="1" l="1"/>
  <c r="S321" i="1"/>
  <c r="T321" i="1" s="1"/>
  <c r="R319" i="1" l="1"/>
  <c r="S320" i="1"/>
  <c r="T320" i="1" s="1"/>
  <c r="S319" i="1" l="1"/>
  <c r="T319" i="1" s="1"/>
  <c r="R318" i="1"/>
  <c r="R317" i="1" l="1"/>
  <c r="S318" i="1"/>
  <c r="T318" i="1" s="1"/>
  <c r="R316" i="1" l="1"/>
  <c r="S317" i="1"/>
  <c r="T317" i="1" s="1"/>
  <c r="R315" i="1" l="1"/>
  <c r="S316" i="1"/>
  <c r="T316" i="1" s="1"/>
  <c r="S315" i="1" l="1"/>
  <c r="T315" i="1" s="1"/>
  <c r="R314" i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S268" i="1" l="1"/>
  <c r="T268" i="1" s="1"/>
  <c r="R267" i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S255" i="1" l="1"/>
  <c r="T255" i="1" s="1"/>
  <c r="R254" i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S244" i="1" l="1"/>
  <c r="T244" i="1" s="1"/>
  <c r="R243" i="1"/>
  <c r="S243" i="1" l="1"/>
  <c r="T243" i="1" s="1"/>
  <c r="R242" i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S231" i="1" l="1"/>
  <c r="T231" i="1" s="1"/>
  <c r="R230" i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S220" i="1" l="1"/>
  <c r="T220" i="1" s="1"/>
  <c r="R219" i="1"/>
  <c r="S219" i="1" l="1"/>
  <c r="T219" i="1" s="1"/>
  <c r="R218" i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S207" i="1" l="1"/>
  <c r="T207" i="1" s="1"/>
  <c r="R206" i="1"/>
  <c r="R205" i="1" l="1"/>
  <c r="S206" i="1"/>
  <c r="T206" i="1" s="1"/>
  <c r="R204" i="1" l="1"/>
  <c r="S205" i="1"/>
  <c r="T205" i="1" s="1"/>
  <c r="S204" i="1" l="1"/>
  <c r="T204" i="1" s="1"/>
  <c r="R203" i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S196" i="1" l="1"/>
  <c r="T196" i="1" s="1"/>
  <c r="R195" i="1"/>
  <c r="S195" i="1" l="1"/>
  <c r="T195" i="1" s="1"/>
  <c r="R194" i="1"/>
  <c r="R193" i="1" l="1"/>
  <c r="S194" i="1"/>
  <c r="T194" i="1" s="1"/>
  <c r="R192" i="1" l="1"/>
  <c r="S193" i="1"/>
  <c r="T193" i="1" s="1"/>
  <c r="R191" i="1" l="1"/>
  <c r="S192" i="1"/>
  <c r="T192" i="1" s="1"/>
  <c r="S191" i="1" l="1"/>
  <c r="T191" i="1" s="1"/>
  <c r="R190" i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S183" i="1" l="1"/>
  <c r="T183" i="1" s="1"/>
  <c r="R182" i="1"/>
  <c r="R181" i="1" l="1"/>
  <c r="S182" i="1"/>
  <c r="T182" i="1" s="1"/>
  <c r="R180" i="1" l="1"/>
  <c r="S181" i="1"/>
  <c r="T181" i="1" s="1"/>
  <c r="S180" i="1" l="1"/>
  <c r="T180" i="1" s="1"/>
  <c r="R179" i="1"/>
  <c r="S179" i="1" l="1"/>
  <c r="T179" i="1" s="1"/>
  <c r="R178" i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S172" i="1" l="1"/>
  <c r="T172" i="1" s="1"/>
  <c r="R171" i="1"/>
  <c r="S171" i="1" l="1"/>
  <c r="T171" i="1" s="1"/>
  <c r="R170" i="1"/>
  <c r="R169" i="1" l="1"/>
  <c r="S170" i="1"/>
  <c r="T170" i="1" s="1"/>
  <c r="R168" i="1" l="1"/>
  <c r="S169" i="1"/>
  <c r="T169" i="1" s="1"/>
  <c r="R167" i="1" l="1"/>
  <c r="S168" i="1"/>
  <c r="T168" i="1" s="1"/>
  <c r="S167" i="1" l="1"/>
  <c r="T167" i="1" s="1"/>
  <c r="R166" i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S159" i="1" l="1"/>
  <c r="T159" i="1" s="1"/>
  <c r="R158" i="1"/>
  <c r="R157" i="1" l="1"/>
  <c r="S158" i="1"/>
  <c r="T158" i="1" s="1"/>
  <c r="R156" i="1" l="1"/>
  <c r="S157" i="1"/>
  <c r="T157" i="1" s="1"/>
  <c r="S156" i="1" l="1"/>
  <c r="T156" i="1" s="1"/>
  <c r="R155" i="1"/>
  <c r="S155" i="1" l="1"/>
  <c r="T155" i="1" s="1"/>
  <c r="R154" i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S148" i="1" l="1"/>
  <c r="T148" i="1" s="1"/>
  <c r="R147" i="1"/>
  <c r="S147" i="1" l="1"/>
  <c r="T147" i="1" s="1"/>
  <c r="R146" i="1"/>
  <c r="R145" i="1" l="1"/>
  <c r="S146" i="1"/>
  <c r="T146" i="1" s="1"/>
  <c r="R144" i="1" l="1"/>
  <c r="S145" i="1"/>
  <c r="T145" i="1" s="1"/>
  <c r="R143" i="1" l="1"/>
  <c r="S144" i="1"/>
  <c r="T144" i="1" s="1"/>
  <c r="S143" i="1" l="1"/>
  <c r="T143" i="1" s="1"/>
  <c r="R142" i="1"/>
  <c r="R141" i="1" l="1"/>
  <c r="S142" i="1"/>
  <c r="T142" i="1" s="1"/>
  <c r="R140" i="1" l="1"/>
  <c r="S141" i="1"/>
  <c r="T141" i="1" s="1"/>
  <c r="S140" i="1" l="1"/>
  <c r="T140" i="1" s="1"/>
  <c r="R139" i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S135" i="1" l="1"/>
  <c r="T135" i="1" s="1"/>
  <c r="R134" i="1"/>
  <c r="R133" i="1" l="1"/>
  <c r="S134" i="1"/>
  <c r="T134" i="1" s="1"/>
  <c r="R132" i="1" l="1"/>
  <c r="S133" i="1"/>
  <c r="T133" i="1" s="1"/>
  <c r="S132" i="1" l="1"/>
  <c r="T132" i="1" s="1"/>
  <c r="R131" i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S127" i="1" l="1"/>
  <c r="T127" i="1" s="1"/>
  <c r="R126" i="1"/>
  <c r="R125" i="1" l="1"/>
  <c r="S126" i="1"/>
  <c r="T126" i="1" s="1"/>
  <c r="R124" i="1" l="1"/>
  <c r="S125" i="1"/>
  <c r="T125" i="1" s="1"/>
  <c r="S124" i="1" l="1"/>
  <c r="T124" i="1" s="1"/>
  <c r="R123" i="1"/>
  <c r="S123" i="1" l="1"/>
  <c r="T123" i="1" s="1"/>
  <c r="R122" i="1"/>
  <c r="R121" i="1" l="1"/>
  <c r="S122" i="1"/>
  <c r="T122" i="1" s="1"/>
  <c r="R120" i="1" l="1"/>
  <c r="S121" i="1"/>
  <c r="T121" i="1" s="1"/>
  <c r="R119" i="1" l="1"/>
  <c r="S120" i="1"/>
  <c r="T120" i="1" s="1"/>
  <c r="S119" i="1" l="1"/>
  <c r="T119" i="1" s="1"/>
  <c r="R118" i="1"/>
  <c r="R117" i="1" l="1"/>
  <c r="S118" i="1"/>
  <c r="T118" i="1" s="1"/>
  <c r="R116" i="1" l="1"/>
  <c r="S117" i="1"/>
  <c r="T117" i="1" s="1"/>
  <c r="S116" i="1" l="1"/>
  <c r="T116" i="1" s="1"/>
  <c r="R115" i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S111" i="1" l="1"/>
  <c r="T111" i="1" s="1"/>
  <c r="R110" i="1"/>
  <c r="R109" i="1" l="1"/>
  <c r="S110" i="1"/>
  <c r="T110" i="1" s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S95" i="1" l="1"/>
  <c r="T95" i="1" s="1"/>
  <c r="R94" i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S89" i="1" l="1"/>
  <c r="T89" i="1" s="1"/>
  <c r="R88" i="1"/>
  <c r="S88" i="1" l="1"/>
  <c r="T88" i="1" s="1"/>
  <c r="R87" i="1"/>
  <c r="S87" i="1" l="1"/>
  <c r="T87" i="1" s="1"/>
  <c r="R86" i="1"/>
  <c r="S86" i="1" l="1"/>
  <c r="T86" i="1" s="1"/>
  <c r="R85" i="1"/>
  <c r="S85" i="1" l="1"/>
  <c r="T85" i="1" s="1"/>
  <c r="R84" i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S77" i="1" l="1"/>
  <c r="T77" i="1" s="1"/>
  <c r="R76" i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S69" i="1" l="1"/>
  <c r="T69" i="1" s="1"/>
  <c r="R68" i="1"/>
  <c r="R67" i="1" l="1"/>
  <c r="S68" i="1"/>
  <c r="T68" i="1" s="1"/>
  <c r="R66" i="1" l="1"/>
  <c r="S67" i="1"/>
  <c r="T67" i="1" s="1"/>
  <c r="R65" i="1" l="1"/>
  <c r="S66" i="1"/>
  <c r="T66" i="1" s="1"/>
  <c r="S65" i="1" l="1"/>
  <c r="T65" i="1" s="1"/>
  <c r="R64" i="1"/>
  <c r="S64" i="1" l="1"/>
  <c r="T64" i="1" s="1"/>
  <c r="R63" i="1"/>
  <c r="S63" i="1" l="1"/>
  <c r="T63" i="1" s="1"/>
  <c r="R62" i="1"/>
  <c r="S62" i="1" l="1"/>
  <c r="T62" i="1" s="1"/>
  <c r="R61" i="1"/>
  <c r="S61" i="1" l="1"/>
  <c r="T61" i="1" s="1"/>
  <c r="R60" i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S53" i="1" l="1"/>
  <c r="T53" i="1" s="1"/>
  <c r="R52" i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R43" i="1" l="1"/>
  <c r="S44" i="1"/>
  <c r="T44" i="1" s="1"/>
  <c r="R42" i="1" l="1"/>
  <c r="S43" i="1"/>
  <c r="T43" i="1" s="1"/>
  <c r="S42" i="1" l="1"/>
  <c r="T42" i="1" s="1"/>
  <c r="R41" i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S30" i="1" l="1"/>
  <c r="T30" i="1" s="1"/>
  <c r="R29" i="1"/>
  <c r="S29" i="1" l="1"/>
  <c r="T29" i="1" s="1"/>
  <c r="R28" i="1"/>
  <c r="R27" i="1" l="1"/>
  <c r="S28" i="1"/>
  <c r="T28" i="1" s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<sst xmlns="http://schemas.openxmlformats.org/spreadsheetml/2006/main" count="6922" uniqueCount="34">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</sst>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0.85340000000000005</c:v>
                </c:pt>
                <c:pt idx="1">
                  <c:v>0.86729999999999996</c:v>
                </c:pt>
                <c:pt idx="2">
                  <c:v>0.83909999999999996</c:v>
                </c:pt>
                <c:pt idx="3">
                  <c:v>0.84850000000000003</c:v>
                </c:pt>
                <c:pt idx="4">
                  <c:v>0.83899999999999997</c:v>
                </c:pt>
                <c:pt idx="5">
                  <c:v>0.79869999999999997</c:v>
                </c:pt>
                <c:pt idx="6">
                  <c:v>0.90600000000000003</c:v>
                </c:pt>
                <c:pt idx="7">
                  <c:v>1.0699000000000001</c:v>
                </c:pt>
                <c:pt idx="8">
                  <c:v>1.1386000000000001</c:v>
                </c:pt>
                <c:pt idx="9">
                  <c:v>1.2149000000000001</c:v>
                </c:pt>
                <c:pt idx="10">
                  <c:v>1.2561</c:v>
                </c:pt>
                <c:pt idx="11">
                  <c:v>1.3192999999999999</c:v>
                </c:pt>
                <c:pt idx="12">
                  <c:v>1.3272999999999999</c:v>
                </c:pt>
                <c:pt idx="13">
                  <c:v>1.31</c:v>
                </c:pt>
                <c:pt idx="14">
                  <c:v>1.2902</c:v>
                </c:pt>
                <c:pt idx="15">
                  <c:v>1.3807</c:v>
                </c:pt>
                <c:pt idx="16">
                  <c:v>1.3102</c:v>
                </c:pt>
                <c:pt idx="17">
                  <c:v>1.2679</c:v>
                </c:pt>
                <c:pt idx="18">
                  <c:v>1.3331</c:v>
                </c:pt>
                <c:pt idx="19">
                  <c:v>1.3208</c:v>
                </c:pt>
                <c:pt idx="20">
                  <c:v>1.3612</c:v>
                </c:pt>
                <c:pt idx="21">
                  <c:v>1.4867999999999999</c:v>
                </c:pt>
                <c:pt idx="22">
                  <c:v>1.5148999999999999</c:v>
                </c:pt>
                <c:pt idx="23">
                  <c:v>1.5925</c:v>
                </c:pt>
                <c:pt idx="24">
                  <c:v>1.6303000000000001</c:v>
                </c:pt>
                <c:pt idx="25">
                  <c:v>1.7249000000000001</c:v>
                </c:pt>
                <c:pt idx="26">
                  <c:v>1.5238</c:v>
                </c:pt>
                <c:pt idx="27">
                  <c:v>1.4896</c:v>
                </c:pt>
                <c:pt idx="28">
                  <c:v>1.5179</c:v>
                </c:pt>
                <c:pt idx="29">
                  <c:v>1.4918</c:v>
                </c:pt>
                <c:pt idx="30">
                  <c:v>1.6114999999999999</c:v>
                </c:pt>
                <c:pt idx="31">
                  <c:v>1.8520000000000001</c:v>
                </c:pt>
                <c:pt idx="32">
                  <c:v>1.7664</c:v>
                </c:pt>
                <c:pt idx="33">
                  <c:v>1.6509</c:v>
                </c:pt>
                <c:pt idx="34">
                  <c:v>1.593</c:v>
                </c:pt>
                <c:pt idx="35">
                  <c:v>1.6503000000000001</c:v>
                </c:pt>
                <c:pt idx="36">
                  <c:v>1.5055000000000001</c:v>
                </c:pt>
                <c:pt idx="37">
                  <c:v>1.4758</c:v>
                </c:pt>
                <c:pt idx="38">
                  <c:v>1.4</c:v>
                </c:pt>
                <c:pt idx="39">
                  <c:v>1.4641999999999999</c:v>
                </c:pt>
                <c:pt idx="40">
                  <c:v>1.5149999999999999</c:v>
                </c:pt>
                <c:pt idx="41">
                  <c:v>1.4799</c:v>
                </c:pt>
                <c:pt idx="42">
                  <c:v>1.4483999999999999</c:v>
                </c:pt>
                <c:pt idx="43">
                  <c:v>1.5032000000000001</c:v>
                </c:pt>
                <c:pt idx="44">
                  <c:v>1.4061999999999999</c:v>
                </c:pt>
                <c:pt idx="45">
                  <c:v>1.4219999999999999</c:v>
                </c:pt>
                <c:pt idx="46">
                  <c:v>1.6095999999999999</c:v>
                </c:pt>
                <c:pt idx="47">
                  <c:v>1.5501</c:v>
                </c:pt>
                <c:pt idx="48">
                  <c:v>1.4809000000000001</c:v>
                </c:pt>
                <c:pt idx="49">
                  <c:v>1.5906</c:v>
                </c:pt>
                <c:pt idx="50">
                  <c:v>1.7492000000000001</c:v>
                </c:pt>
                <c:pt idx="51">
                  <c:v>1.7124999999999999</c:v>
                </c:pt>
                <c:pt idx="52">
                  <c:v>1.7254</c:v>
                </c:pt>
                <c:pt idx="53">
                  <c:v>1.732</c:v>
                </c:pt>
                <c:pt idx="54">
                  <c:v>1.9994000000000001</c:v>
                </c:pt>
                <c:pt idx="55">
                  <c:v>2.0095000000000001</c:v>
                </c:pt>
                <c:pt idx="56">
                  <c:v>2.2999000000000001</c:v>
                </c:pt>
                <c:pt idx="57">
                  <c:v>2.5457000000000001</c:v>
                </c:pt>
                <c:pt idx="58">
                  <c:v>2.6667999999999998</c:v>
                </c:pt>
                <c:pt idx="59">
                  <c:v>2.9496000000000002</c:v>
                </c:pt>
                <c:pt idx="60">
                  <c:v>2.2402000000000002</c:v>
                </c:pt>
                <c:pt idx="61">
                  <c:v>2.2178</c:v>
                </c:pt>
                <c:pt idx="62">
                  <c:v>2.0430999999999999</c:v>
                </c:pt>
                <c:pt idx="63">
                  <c:v>2.5825999999999998</c:v>
                </c:pt>
                <c:pt idx="64">
                  <c:v>1.4679</c:v>
                </c:pt>
                <c:pt idx="65">
                  <c:v>1.2483</c:v>
                </c:pt>
                <c:pt idx="66">
                  <c:v>1.0926</c:v>
                </c:pt>
                <c:pt idx="67">
                  <c:v>1.1336999999999999</c:v>
                </c:pt>
                <c:pt idx="68">
                  <c:v>1.0669999999999999</c:v>
                </c:pt>
                <c:pt idx="69">
                  <c:v>1.0162</c:v>
                </c:pt>
                <c:pt idx="70">
                  <c:v>0.90080000000000005</c:v>
                </c:pt>
                <c:pt idx="71">
                  <c:v>1.1013999999999999</c:v>
                </c:pt>
                <c:pt idx="72">
                  <c:v>1.1378999999999999</c:v>
                </c:pt>
                <c:pt idx="73">
                  <c:v>0.8881</c:v>
                </c:pt>
                <c:pt idx="74">
                  <c:v>0.86099999999999999</c:v>
                </c:pt>
                <c:pt idx="75">
                  <c:v>0.84899999999999998</c:v>
                </c:pt>
                <c:pt idx="76">
                  <c:v>0.81200000000000006</c:v>
                </c:pt>
                <c:pt idx="77">
                  <c:v>0.82340000000000002</c:v>
                </c:pt>
                <c:pt idx="78">
                  <c:v>0.80389999999999995</c:v>
                </c:pt>
                <c:pt idx="79">
                  <c:v>0.81369999999999998</c:v>
                </c:pt>
                <c:pt idx="80">
                  <c:v>0.82489999999999997</c:v>
                </c:pt>
                <c:pt idx="81">
                  <c:v>0.82310000000000005</c:v>
                </c:pt>
                <c:pt idx="82">
                  <c:v>0.81740000000000002</c:v>
                </c:pt>
                <c:pt idx="83">
                  <c:v>0.82150000000000001</c:v>
                </c:pt>
                <c:pt idx="84">
                  <c:v>0.87080000000000002</c:v>
                </c:pt>
                <c:pt idx="85">
                  <c:v>0.81230000000000002</c:v>
                </c:pt>
                <c:pt idx="86">
                  <c:v>0.8256</c:v>
                </c:pt>
                <c:pt idx="87">
                  <c:v>0.80800000000000005</c:v>
                </c:pt>
                <c:pt idx="88">
                  <c:v>0.82479999999999998</c:v>
                </c:pt>
                <c:pt idx="89">
                  <c:v>0.84389999999999998</c:v>
                </c:pt>
                <c:pt idx="90">
                  <c:v>0.79630000000000001</c:v>
                </c:pt>
                <c:pt idx="91">
                  <c:v>0.77449999999999997</c:v>
                </c:pt>
                <c:pt idx="92">
                  <c:v>0.72640000000000005</c:v>
                </c:pt>
                <c:pt idx="93">
                  <c:v>0.80049999999999999</c:v>
                </c:pt>
                <c:pt idx="94">
                  <c:v>0.8236</c:v>
                </c:pt>
                <c:pt idx="95">
                  <c:v>0.83579999999999999</c:v>
                </c:pt>
                <c:pt idx="96">
                  <c:v>0.78879999999999995</c:v>
                </c:pt>
                <c:pt idx="97">
                  <c:v>0.78049999999999997</c:v>
                </c:pt>
                <c:pt idx="98">
                  <c:v>0.74950000000000006</c:v>
                </c:pt>
                <c:pt idx="99">
                  <c:v>0.77590000000000003</c:v>
                </c:pt>
                <c:pt idx="100">
                  <c:v>0.77249999999999996</c:v>
                </c:pt>
                <c:pt idx="101">
                  <c:v>0.75229999999999997</c:v>
                </c:pt>
                <c:pt idx="102">
                  <c:v>0.78539999999999999</c:v>
                </c:pt>
                <c:pt idx="103">
                  <c:v>0.77400000000000002</c:v>
                </c:pt>
                <c:pt idx="104">
                  <c:v>0.77710000000000001</c:v>
                </c:pt>
                <c:pt idx="105">
                  <c:v>0.86660000000000004</c:v>
                </c:pt>
                <c:pt idx="106">
                  <c:v>0.87780000000000002</c:v>
                </c:pt>
                <c:pt idx="107">
                  <c:v>0.78990000000000005</c:v>
                </c:pt>
                <c:pt idx="108">
                  <c:v>0.81720000000000004</c:v>
                </c:pt>
                <c:pt idx="109">
                  <c:v>0.82569999999999999</c:v>
                </c:pt>
                <c:pt idx="110">
                  <c:v>0.81910000000000005</c:v>
                </c:pt>
                <c:pt idx="111">
                  <c:v>0.86360000000000003</c:v>
                </c:pt>
                <c:pt idx="112">
                  <c:v>0.92490000000000006</c:v>
                </c:pt>
                <c:pt idx="113">
                  <c:v>0.97709999999999997</c:v>
                </c:pt>
                <c:pt idx="114">
                  <c:v>0.70569999999999999</c:v>
                </c:pt>
                <c:pt idx="115">
                  <c:v>0.68710000000000004</c:v>
                </c:pt>
                <c:pt idx="116">
                  <c:v>0.67700000000000005</c:v>
                </c:pt>
                <c:pt idx="117">
                  <c:v>0.64170000000000005</c:v>
                </c:pt>
                <c:pt idx="118">
                  <c:v>0.63970000000000005</c:v>
                </c:pt>
                <c:pt idx="119">
                  <c:v>0.59630000000000005</c:v>
                </c:pt>
                <c:pt idx="120">
                  <c:v>0.51839999999999997</c:v>
                </c:pt>
                <c:pt idx="121">
                  <c:v>0.5121</c:v>
                </c:pt>
                <c:pt idx="122">
                  <c:v>0.55840000000000001</c:v>
                </c:pt>
                <c:pt idx="123">
                  <c:v>0.5827</c:v>
                </c:pt>
                <c:pt idx="124">
                  <c:v>0.61809999999999998</c:v>
                </c:pt>
                <c:pt idx="125">
                  <c:v>0.5968</c:v>
                </c:pt>
                <c:pt idx="126">
                  <c:v>0.64659999999999995</c:v>
                </c:pt>
                <c:pt idx="127">
                  <c:v>0.61329999999999996</c:v>
                </c:pt>
                <c:pt idx="128">
                  <c:v>0.54290000000000005</c:v>
                </c:pt>
                <c:pt idx="129">
                  <c:v>0.6482</c:v>
                </c:pt>
                <c:pt idx="130">
                  <c:v>0.73250000000000004</c:v>
                </c:pt>
                <c:pt idx="131">
                  <c:v>0.76190000000000002</c:v>
                </c:pt>
                <c:pt idx="132">
                  <c:v>0.75980000000000003</c:v>
                </c:pt>
                <c:pt idx="133">
                  <c:v>0.74780000000000002</c:v>
                </c:pt>
                <c:pt idx="134">
                  <c:v>0.76549999999999996</c:v>
                </c:pt>
                <c:pt idx="135">
                  <c:v>0.77080000000000004</c:v>
                </c:pt>
                <c:pt idx="136">
                  <c:v>0.76229999999999998</c:v>
                </c:pt>
                <c:pt idx="137">
                  <c:v>0.74650000000000005</c:v>
                </c:pt>
                <c:pt idx="138">
                  <c:v>0.75109999999999999</c:v>
                </c:pt>
                <c:pt idx="139">
                  <c:v>0.75849999999999995</c:v>
                </c:pt>
                <c:pt idx="140">
                  <c:v>0.85460000000000003</c:v>
                </c:pt>
                <c:pt idx="141">
                  <c:v>0.84499999999999997</c:v>
                </c:pt>
                <c:pt idx="142">
                  <c:v>0.88490000000000002</c:v>
                </c:pt>
                <c:pt idx="143">
                  <c:v>0.78700000000000003</c:v>
                </c:pt>
                <c:pt idx="144">
                  <c:v>0.75490000000000002</c:v>
                </c:pt>
                <c:pt idx="145">
                  <c:v>0.87939999999999996</c:v>
                </c:pt>
                <c:pt idx="146">
                  <c:v>0.71299999999999997</c:v>
                </c:pt>
                <c:pt idx="147">
                  <c:v>0.58240000000000003</c:v>
                </c:pt>
                <c:pt idx="148">
                  <c:v>0.56879999999999997</c:v>
                </c:pt>
                <c:pt idx="149">
                  <c:v>0.55640000000000001</c:v>
                </c:pt>
                <c:pt idx="150">
                  <c:v>0.55969999999999998</c:v>
                </c:pt>
                <c:pt idx="151">
                  <c:v>0.55640000000000001</c:v>
                </c:pt>
                <c:pt idx="152">
                  <c:v>0.57010000000000005</c:v>
                </c:pt>
                <c:pt idx="153">
                  <c:v>0.59109999999999996</c:v>
                </c:pt>
                <c:pt idx="154">
                  <c:v>0.57920000000000005</c:v>
                </c:pt>
                <c:pt idx="155">
                  <c:v>0.52629999999999999</c:v>
                </c:pt>
                <c:pt idx="156">
                  <c:v>0.50260000000000005</c:v>
                </c:pt>
                <c:pt idx="157">
                  <c:v>0.53690000000000004</c:v>
                </c:pt>
                <c:pt idx="158">
                  <c:v>0.51439999999999997</c:v>
                </c:pt>
                <c:pt idx="159">
                  <c:v>0.50439999999999996</c:v>
                </c:pt>
                <c:pt idx="160">
                  <c:v>0.51519999999999999</c:v>
                </c:pt>
                <c:pt idx="161">
                  <c:v>0.4657</c:v>
                </c:pt>
                <c:pt idx="162">
                  <c:v>0.43969999999999998</c:v>
                </c:pt>
                <c:pt idx="163">
                  <c:v>0.45369999999999999</c:v>
                </c:pt>
                <c:pt idx="164">
                  <c:v>0.49149999999999999</c:v>
                </c:pt>
                <c:pt idx="165">
                  <c:v>0.48280000000000001</c:v>
                </c:pt>
                <c:pt idx="166">
                  <c:v>0.48509999999999998</c:v>
                </c:pt>
                <c:pt idx="167">
                  <c:v>0.49180000000000001</c:v>
                </c:pt>
                <c:pt idx="168">
                  <c:v>0.4703</c:v>
                </c:pt>
                <c:pt idx="169">
                  <c:v>0.4592</c:v>
                </c:pt>
                <c:pt idx="170">
                  <c:v>0.45229999999999998</c:v>
                </c:pt>
                <c:pt idx="171">
                  <c:v>0.45779999999999998</c:v>
                </c:pt>
                <c:pt idx="172">
                  <c:v>0.46039999999999998</c:v>
                </c:pt>
                <c:pt idx="173">
                  <c:v>0.43980000000000002</c:v>
                </c:pt>
                <c:pt idx="174">
                  <c:v>0.42559999999999998</c:v>
                </c:pt>
                <c:pt idx="175">
                  <c:v>0.42309999999999998</c:v>
                </c:pt>
                <c:pt idx="176">
                  <c:v>0.41980000000000001</c:v>
                </c:pt>
                <c:pt idx="177">
                  <c:v>0.39510000000000001</c:v>
                </c:pt>
                <c:pt idx="178">
                  <c:v>0.41149999999999998</c:v>
                </c:pt>
                <c:pt idx="179">
                  <c:v>0.38690000000000002</c:v>
                </c:pt>
                <c:pt idx="180">
                  <c:v>0.41880000000000001</c:v>
                </c:pt>
                <c:pt idx="181">
                  <c:v>0.43940000000000001</c:v>
                </c:pt>
                <c:pt idx="182">
                  <c:v>0.43419999999999997</c:v>
                </c:pt>
                <c:pt idx="183">
                  <c:v>0.3548</c:v>
                </c:pt>
                <c:pt idx="184">
                  <c:v>0.35449999999999998</c:v>
                </c:pt>
                <c:pt idx="185">
                  <c:v>0.33610000000000001</c:v>
                </c:pt>
                <c:pt idx="186">
                  <c:v>0.3211</c:v>
                </c:pt>
                <c:pt idx="187">
                  <c:v>0.31440000000000001</c:v>
                </c:pt>
                <c:pt idx="188">
                  <c:v>0.3044</c:v>
                </c:pt>
                <c:pt idx="189">
                  <c:v>0.29780000000000001</c:v>
                </c:pt>
                <c:pt idx="190">
                  <c:v>0.29339999999999999</c:v>
                </c:pt>
                <c:pt idx="191">
                  <c:v>0.26390000000000002</c:v>
                </c:pt>
                <c:pt idx="192">
                  <c:v>0.28360000000000002</c:v>
                </c:pt>
                <c:pt idx="193">
                  <c:v>0.30149999999999999</c:v>
                </c:pt>
                <c:pt idx="194">
                  <c:v>0.30609999999999998</c:v>
                </c:pt>
                <c:pt idx="195">
                  <c:v>0.29849999999999999</c:v>
                </c:pt>
                <c:pt idx="196">
                  <c:v>0.33090000000000003</c:v>
                </c:pt>
                <c:pt idx="197">
                  <c:v>0.32900000000000001</c:v>
                </c:pt>
                <c:pt idx="198">
                  <c:v>0.34560000000000002</c:v>
                </c:pt>
                <c:pt idx="199">
                  <c:v>0.32590000000000002</c:v>
                </c:pt>
                <c:pt idx="200">
                  <c:v>0.31969999999999998</c:v>
                </c:pt>
                <c:pt idx="201">
                  <c:v>0.312</c:v>
                </c:pt>
                <c:pt idx="202">
                  <c:v>0.30549999999999999</c:v>
                </c:pt>
                <c:pt idx="203">
                  <c:v>0.29920000000000002</c:v>
                </c:pt>
                <c:pt idx="204">
                  <c:v>0.34239999999999998</c:v>
                </c:pt>
                <c:pt idx="205">
                  <c:v>0.33250000000000002</c:v>
                </c:pt>
                <c:pt idx="206">
                  <c:v>0.32869999999999999</c:v>
                </c:pt>
                <c:pt idx="207">
                  <c:v>0.33879999999999999</c:v>
                </c:pt>
                <c:pt idx="208">
                  <c:v>0.33539999999999998</c:v>
                </c:pt>
                <c:pt idx="209">
                  <c:v>0.31469999999999998</c:v>
                </c:pt>
                <c:pt idx="210">
                  <c:v>0.33979999999999999</c:v>
                </c:pt>
                <c:pt idx="211">
                  <c:v>0.30370000000000003</c:v>
                </c:pt>
                <c:pt idx="212">
                  <c:v>0.27610000000000001</c:v>
                </c:pt>
                <c:pt idx="213">
                  <c:v>0.27729999999999999</c:v>
                </c:pt>
                <c:pt idx="214">
                  <c:v>0.2306</c:v>
                </c:pt>
                <c:pt idx="215">
                  <c:v>0.2223</c:v>
                </c:pt>
                <c:pt idx="216">
                  <c:v>0.221</c:v>
                </c:pt>
                <c:pt idx="217">
                  <c:v>0.2475</c:v>
                </c:pt>
                <c:pt idx="218">
                  <c:v>0.22889999999999999</c:v>
                </c:pt>
                <c:pt idx="219">
                  <c:v>0.2044</c:v>
                </c:pt>
                <c:pt idx="220">
                  <c:v>0.21510000000000001</c:v>
                </c:pt>
                <c:pt idx="221">
                  <c:v>0.29270000000000002</c:v>
                </c:pt>
                <c:pt idx="222">
                  <c:v>0.2994</c:v>
                </c:pt>
                <c:pt idx="223">
                  <c:v>0.31490000000000001</c:v>
                </c:pt>
                <c:pt idx="224">
                  <c:v>0.33729999999999999</c:v>
                </c:pt>
                <c:pt idx="225">
                  <c:v>0.3448</c:v>
                </c:pt>
                <c:pt idx="226">
                  <c:v>0.36159999999999998</c:v>
                </c:pt>
                <c:pt idx="227">
                  <c:v>0.36840000000000001</c:v>
                </c:pt>
                <c:pt idx="228">
                  <c:v>0.36599999999999999</c:v>
                </c:pt>
                <c:pt idx="229">
                  <c:v>0.32640000000000002</c:v>
                </c:pt>
                <c:pt idx="230">
                  <c:v>0.35460000000000003</c:v>
                </c:pt>
                <c:pt idx="231">
                  <c:v>0.39400000000000002</c:v>
                </c:pt>
                <c:pt idx="232">
                  <c:v>0.39329999999999998</c:v>
                </c:pt>
                <c:pt idx="233">
                  <c:v>0.376</c:v>
                </c:pt>
                <c:pt idx="234">
                  <c:v>0.38800000000000001</c:v>
                </c:pt>
                <c:pt idx="235">
                  <c:v>0.41889999999999999</c:v>
                </c:pt>
                <c:pt idx="236">
                  <c:v>0.40960000000000002</c:v>
                </c:pt>
                <c:pt idx="237">
                  <c:v>0.42449999999999999</c:v>
                </c:pt>
                <c:pt idx="238">
                  <c:v>0.45479999999999998</c:v>
                </c:pt>
                <c:pt idx="239">
                  <c:v>0.43759999999999999</c:v>
                </c:pt>
                <c:pt idx="240">
                  <c:v>0.42280000000000001</c:v>
                </c:pt>
                <c:pt idx="241">
                  <c:v>0.43419999999999997</c:v>
                </c:pt>
                <c:pt idx="242">
                  <c:v>0.42180000000000001</c:v>
                </c:pt>
                <c:pt idx="243">
                  <c:v>0.42130000000000001</c:v>
                </c:pt>
                <c:pt idx="244">
                  <c:v>0.44890000000000002</c:v>
                </c:pt>
                <c:pt idx="245">
                  <c:v>0.48970000000000002</c:v>
                </c:pt>
                <c:pt idx="246">
                  <c:v>0.52539999999999998</c:v>
                </c:pt>
                <c:pt idx="247">
                  <c:v>0.51200000000000001</c:v>
                </c:pt>
                <c:pt idx="248">
                  <c:v>0.56789999999999996</c:v>
                </c:pt>
                <c:pt idx="249">
                  <c:v>0.56399999999999995</c:v>
                </c:pt>
                <c:pt idx="250">
                  <c:v>0.4214</c:v>
                </c:pt>
                <c:pt idx="251">
                  <c:v>0.43</c:v>
                </c:pt>
                <c:pt idx="252">
                  <c:v>0.41499999999999998</c:v>
                </c:pt>
                <c:pt idx="253">
                  <c:v>0.34870000000000001</c:v>
                </c:pt>
                <c:pt idx="254">
                  <c:v>0.4874</c:v>
                </c:pt>
                <c:pt idx="255">
                  <c:v>0.47989999999999999</c:v>
                </c:pt>
                <c:pt idx="256">
                  <c:v>0.47</c:v>
                </c:pt>
                <c:pt idx="257">
                  <c:v>0.47839999999999999</c:v>
                </c:pt>
                <c:pt idx="258">
                  <c:v>0.49409999999999998</c:v>
                </c:pt>
                <c:pt idx="259">
                  <c:v>0.48080000000000001</c:v>
                </c:pt>
                <c:pt idx="260">
                  <c:v>0.44940000000000002</c:v>
                </c:pt>
                <c:pt idx="261">
                  <c:v>0.54990000000000006</c:v>
                </c:pt>
                <c:pt idx="262">
                  <c:v>0.50819999999999999</c:v>
                </c:pt>
                <c:pt idx="263">
                  <c:v>0.56389999999999996</c:v>
                </c:pt>
                <c:pt idx="264">
                  <c:v>0.58789999999999998</c:v>
                </c:pt>
                <c:pt idx="265">
                  <c:v>0.57879999999999998</c:v>
                </c:pt>
                <c:pt idx="266">
                  <c:v>0.57340000000000002</c:v>
                </c:pt>
                <c:pt idx="267">
                  <c:v>0.6149</c:v>
                </c:pt>
                <c:pt idx="268">
                  <c:v>0.5786</c:v>
                </c:pt>
                <c:pt idx="269">
                  <c:v>0.66420000000000001</c:v>
                </c:pt>
                <c:pt idx="270">
                  <c:v>0.62949999999999995</c:v>
                </c:pt>
                <c:pt idx="271">
                  <c:v>0.65469999999999995</c:v>
                </c:pt>
                <c:pt idx="272">
                  <c:v>0.65600000000000003</c:v>
                </c:pt>
                <c:pt idx="273">
                  <c:v>0.63500000000000001</c:v>
                </c:pt>
                <c:pt idx="274">
                  <c:v>0.67679999999999996</c:v>
                </c:pt>
                <c:pt idx="275">
                  <c:v>0.72030000000000005</c:v>
                </c:pt>
                <c:pt idx="276">
                  <c:v>0.53500000000000003</c:v>
                </c:pt>
                <c:pt idx="277">
                  <c:v>0.44629999999999997</c:v>
                </c:pt>
                <c:pt idx="278">
                  <c:v>0.43740000000000001</c:v>
                </c:pt>
                <c:pt idx="279">
                  <c:v>0.4592</c:v>
                </c:pt>
                <c:pt idx="280">
                  <c:v>0.46820000000000001</c:v>
                </c:pt>
                <c:pt idx="281">
                  <c:v>0.51590000000000003</c:v>
                </c:pt>
                <c:pt idx="282">
                  <c:v>0.53790000000000004</c:v>
                </c:pt>
                <c:pt idx="283">
                  <c:v>0.50580000000000003</c:v>
                </c:pt>
                <c:pt idx="284">
                  <c:v>0.52639999999999998</c:v>
                </c:pt>
                <c:pt idx="285">
                  <c:v>0.58799999999999997</c:v>
                </c:pt>
                <c:pt idx="286">
                  <c:v>0.59399999999999997</c:v>
                </c:pt>
                <c:pt idx="287">
                  <c:v>0.63200000000000001</c:v>
                </c:pt>
                <c:pt idx="288">
                  <c:v>0.58579999999999999</c:v>
                </c:pt>
                <c:pt idx="289">
                  <c:v>0.6351</c:v>
                </c:pt>
                <c:pt idx="290">
                  <c:v>0.64780000000000004</c:v>
                </c:pt>
                <c:pt idx="291">
                  <c:v>0.68059999999999998</c:v>
                </c:pt>
                <c:pt idx="292">
                  <c:v>0.70169999999999999</c:v>
                </c:pt>
                <c:pt idx="293">
                  <c:v>0.6895</c:v>
                </c:pt>
                <c:pt idx="294">
                  <c:v>0.62050000000000005</c:v>
                </c:pt>
                <c:pt idx="295">
                  <c:v>0.54410000000000003</c:v>
                </c:pt>
                <c:pt idx="296">
                  <c:v>0.62019999999999997</c:v>
                </c:pt>
                <c:pt idx="297">
                  <c:v>0.67120000000000002</c:v>
                </c:pt>
                <c:pt idx="298">
                  <c:v>0.74709999999999999</c:v>
                </c:pt>
                <c:pt idx="299">
                  <c:v>0.70989999999999998</c:v>
                </c:pt>
                <c:pt idx="300">
                  <c:v>0.85019999999999996</c:v>
                </c:pt>
                <c:pt idx="301">
                  <c:v>0.79520000000000002</c:v>
                </c:pt>
                <c:pt idx="302">
                  <c:v>0.74929999999999997</c:v>
                </c:pt>
                <c:pt idx="303">
                  <c:v>0.77239999999999998</c:v>
                </c:pt>
                <c:pt idx="304">
                  <c:v>0.7601</c:v>
                </c:pt>
                <c:pt idx="305">
                  <c:v>0.76729999999999998</c:v>
                </c:pt>
                <c:pt idx="306">
                  <c:v>0.52900000000000003</c:v>
                </c:pt>
                <c:pt idx="307">
                  <c:v>0.52939999999999998</c:v>
                </c:pt>
                <c:pt idx="308">
                  <c:v>0.49059999999999998</c:v>
                </c:pt>
                <c:pt idx="309">
                  <c:v>0.52690000000000003</c:v>
                </c:pt>
                <c:pt idx="310">
                  <c:v>0.64149999999999996</c:v>
                </c:pt>
                <c:pt idx="311">
                  <c:v>0.45150000000000001</c:v>
                </c:pt>
                <c:pt idx="312">
                  <c:v>0.40410000000000001</c:v>
                </c:pt>
                <c:pt idx="313">
                  <c:v>0.39710000000000001</c:v>
                </c:pt>
                <c:pt idx="314">
                  <c:v>0.436</c:v>
                </c:pt>
                <c:pt idx="315">
                  <c:v>0.43759999999999999</c:v>
                </c:pt>
                <c:pt idx="316">
                  <c:v>0.37640000000000001</c:v>
                </c:pt>
                <c:pt idx="317">
                  <c:v>0.38129999999999997</c:v>
                </c:pt>
                <c:pt idx="318">
                  <c:v>0.36890000000000001</c:v>
                </c:pt>
                <c:pt idx="319">
                  <c:v>0.38869999999999999</c:v>
                </c:pt>
                <c:pt idx="320">
                  <c:v>0.38779999999999998</c:v>
                </c:pt>
                <c:pt idx="321">
                  <c:v>0.3417</c:v>
                </c:pt>
                <c:pt idx="322">
                  <c:v>0.3579</c:v>
                </c:pt>
                <c:pt idx="323">
                  <c:v>0.33939999999999998</c:v>
                </c:pt>
                <c:pt idx="324">
                  <c:v>0.32350000000000001</c:v>
                </c:pt>
                <c:pt idx="325">
                  <c:v>0.31530000000000002</c:v>
                </c:pt>
                <c:pt idx="326">
                  <c:v>0.31719999999999998</c:v>
                </c:pt>
                <c:pt idx="327">
                  <c:v>0.29959999999999998</c:v>
                </c:pt>
                <c:pt idx="328">
                  <c:v>0.2873</c:v>
                </c:pt>
                <c:pt idx="329">
                  <c:v>0.29220000000000002</c:v>
                </c:pt>
                <c:pt idx="330">
                  <c:v>0.30659999999999998</c:v>
                </c:pt>
                <c:pt idx="331">
                  <c:v>0.29980000000000001</c:v>
                </c:pt>
                <c:pt idx="332">
                  <c:v>0.31900000000000001</c:v>
                </c:pt>
                <c:pt idx="333">
                  <c:v>0.29310000000000003</c:v>
                </c:pt>
                <c:pt idx="334">
                  <c:v>0.3674</c:v>
                </c:pt>
                <c:pt idx="335">
                  <c:v>0.24340000000000001</c:v>
                </c:pt>
                <c:pt idx="336">
                  <c:v>0.22090000000000001</c:v>
                </c:pt>
                <c:pt idx="337">
                  <c:v>0.223</c:v>
                </c:pt>
                <c:pt idx="338">
                  <c:v>0.21079999999999999</c:v>
                </c:pt>
                <c:pt idx="339">
                  <c:v>0.28060000000000002</c:v>
                </c:pt>
                <c:pt idx="340">
                  <c:v>0.3276</c:v>
                </c:pt>
                <c:pt idx="341">
                  <c:v>0.3</c:v>
                </c:pt>
                <c:pt idx="342">
                  <c:v>0.32640000000000002</c:v>
                </c:pt>
                <c:pt idx="343">
                  <c:v>0.32619999999999999</c:v>
                </c:pt>
                <c:pt idx="344">
                  <c:v>0.29580000000000001</c:v>
                </c:pt>
                <c:pt idx="345">
                  <c:v>0.30769999999999997</c:v>
                </c:pt>
                <c:pt idx="346">
                  <c:v>0.33500000000000002</c:v>
                </c:pt>
                <c:pt idx="347">
                  <c:v>0.24679999999999999</c:v>
                </c:pt>
                <c:pt idx="348">
                  <c:v>0.2412</c:v>
                </c:pt>
                <c:pt idx="349">
                  <c:v>0.23799999999999999</c:v>
                </c:pt>
                <c:pt idx="350">
                  <c:v>0.22969999999999999</c:v>
                </c:pt>
                <c:pt idx="351">
                  <c:v>0.21329999999999999</c:v>
                </c:pt>
                <c:pt idx="352">
                  <c:v>0.1933</c:v>
                </c:pt>
                <c:pt idx="353">
                  <c:v>0.17680000000000001</c:v>
                </c:pt>
                <c:pt idx="354">
                  <c:v>0.15809999999999999</c:v>
                </c:pt>
                <c:pt idx="355">
                  <c:v>0.16239999999999999</c:v>
                </c:pt>
                <c:pt idx="356">
                  <c:v>0.17230000000000001</c:v>
                </c:pt>
                <c:pt idx="357">
                  <c:v>0.158</c:v>
                </c:pt>
                <c:pt idx="358">
                  <c:v>0.15379999999999999</c:v>
                </c:pt>
                <c:pt idx="359">
                  <c:v>0.14499999999999999</c:v>
                </c:pt>
                <c:pt idx="360">
                  <c:v>0.13919999999999999</c:v>
                </c:pt>
                <c:pt idx="361">
                  <c:v>0.14000000000000001</c:v>
                </c:pt>
                <c:pt idx="362">
                  <c:v>0.13669999999999999</c:v>
                </c:pt>
                <c:pt idx="363">
                  <c:v>0.13950000000000001</c:v>
                </c:pt>
                <c:pt idx="364">
                  <c:v>0.13969999999999999</c:v>
                </c:pt>
                <c:pt idx="365">
                  <c:v>0.13109999999999999</c:v>
                </c:pt>
                <c:pt idx="366">
                  <c:v>0.14249999999999999</c:v>
                </c:pt>
                <c:pt idx="367">
                  <c:v>0.14199999999999999</c:v>
                </c:pt>
                <c:pt idx="368">
                  <c:v>0.1482</c:v>
                </c:pt>
                <c:pt idx="369">
                  <c:v>0.1399</c:v>
                </c:pt>
                <c:pt idx="370">
                  <c:v>0.14549999999999999</c:v>
                </c:pt>
                <c:pt idx="371">
                  <c:v>0.15</c:v>
                </c:pt>
                <c:pt idx="372">
                  <c:v>0.1424</c:v>
                </c:pt>
                <c:pt idx="373">
                  <c:v>0.1358</c:v>
                </c:pt>
                <c:pt idx="374">
                  <c:v>0.1391</c:v>
                </c:pt>
                <c:pt idx="375">
                  <c:v>0.13159999999999999</c:v>
                </c:pt>
                <c:pt idx="376">
                  <c:v>0.13469999999999999</c:v>
                </c:pt>
                <c:pt idx="377">
                  <c:v>0.12790000000000001</c:v>
                </c:pt>
                <c:pt idx="378">
                  <c:v>0.13020000000000001</c:v>
                </c:pt>
                <c:pt idx="379">
                  <c:v>0.12520000000000001</c:v>
                </c:pt>
                <c:pt idx="380">
                  <c:v>0.1198</c:v>
                </c:pt>
                <c:pt idx="381">
                  <c:v>0.122</c:v>
                </c:pt>
                <c:pt idx="382">
                  <c:v>0.12540000000000001</c:v>
                </c:pt>
                <c:pt idx="383">
                  <c:v>0.13420000000000001</c:v>
                </c:pt>
                <c:pt idx="384">
                  <c:v>0.128</c:v>
                </c:pt>
                <c:pt idx="385">
                  <c:v>0.1202</c:v>
                </c:pt>
                <c:pt idx="386">
                  <c:v>0.12139999999999999</c:v>
                </c:pt>
                <c:pt idx="387">
                  <c:v>0.1163</c:v>
                </c:pt>
                <c:pt idx="388">
                  <c:v>0.1128</c:v>
                </c:pt>
                <c:pt idx="389">
                  <c:v>0.1171</c:v>
                </c:pt>
                <c:pt idx="390">
                  <c:v>0.11650000000000001</c:v>
                </c:pt>
                <c:pt idx="391">
                  <c:v>0.11840000000000001</c:v>
                </c:pt>
                <c:pt idx="392">
                  <c:v>0.115</c:v>
                </c:pt>
                <c:pt idx="393">
                  <c:v>0.11210000000000001</c:v>
                </c:pt>
                <c:pt idx="394">
                  <c:v>0.11509999999999999</c:v>
                </c:pt>
                <c:pt idx="395">
                  <c:v>0.1178</c:v>
                </c:pt>
                <c:pt idx="396">
                  <c:v>0.1142</c:v>
                </c:pt>
                <c:pt idx="397">
                  <c:v>0.1135</c:v>
                </c:pt>
                <c:pt idx="398">
                  <c:v>0.1142</c:v>
                </c:pt>
                <c:pt idx="399">
                  <c:v>0.1178</c:v>
                </c:pt>
                <c:pt idx="400">
                  <c:v>0.1099</c:v>
                </c:pt>
                <c:pt idx="401">
                  <c:v>0.12670000000000001</c:v>
                </c:pt>
                <c:pt idx="402">
                  <c:v>0.12790000000000001</c:v>
                </c:pt>
                <c:pt idx="403">
                  <c:v>0.13719999999999999</c:v>
                </c:pt>
                <c:pt idx="404">
                  <c:v>0.13539999999999999</c:v>
                </c:pt>
                <c:pt idx="405">
                  <c:v>0.13150000000000001</c:v>
                </c:pt>
                <c:pt idx="406">
                  <c:v>0.1283</c:v>
                </c:pt>
                <c:pt idx="407">
                  <c:v>0.12909999999999999</c:v>
                </c:pt>
                <c:pt idx="408">
                  <c:v>0.1239</c:v>
                </c:pt>
                <c:pt idx="409">
                  <c:v>0.12520000000000001</c:v>
                </c:pt>
                <c:pt idx="410">
                  <c:v>0.1202</c:v>
                </c:pt>
                <c:pt idx="411">
                  <c:v>0.1206</c:v>
                </c:pt>
                <c:pt idx="412">
                  <c:v>0.1159</c:v>
                </c:pt>
                <c:pt idx="413">
                  <c:v>0.1196</c:v>
                </c:pt>
                <c:pt idx="414">
                  <c:v>0.1242</c:v>
                </c:pt>
                <c:pt idx="415">
                  <c:v>0.1278</c:v>
                </c:pt>
                <c:pt idx="416">
                  <c:v>0.13569999999999999</c:v>
                </c:pt>
                <c:pt idx="417">
                  <c:v>0.13070000000000001</c:v>
                </c:pt>
                <c:pt idx="418">
                  <c:v>0.13120000000000001</c:v>
                </c:pt>
                <c:pt idx="419">
                  <c:v>0.12479999999999999</c:v>
                </c:pt>
                <c:pt idx="420">
                  <c:v>0.13569999999999999</c:v>
                </c:pt>
                <c:pt idx="421">
                  <c:v>0.13919999999999999</c:v>
                </c:pt>
                <c:pt idx="422">
                  <c:v>0.1268</c:v>
                </c:pt>
                <c:pt idx="423">
                  <c:v>0.12479999999999999</c:v>
                </c:pt>
                <c:pt idx="424">
                  <c:v>0.1211</c:v>
                </c:pt>
                <c:pt idx="425">
                  <c:v>0.1229</c:v>
                </c:pt>
                <c:pt idx="426">
                  <c:v>0.11899999999999999</c:v>
                </c:pt>
                <c:pt idx="427">
                  <c:v>0.122</c:v>
                </c:pt>
                <c:pt idx="428">
                  <c:v>0.13719999999999999</c:v>
                </c:pt>
                <c:pt idx="429">
                  <c:v>0.13339999999999999</c:v>
                </c:pt>
                <c:pt idx="430">
                  <c:v>0.1313</c:v>
                </c:pt>
                <c:pt idx="431">
                  <c:v>0.1255</c:v>
                </c:pt>
                <c:pt idx="432">
                  <c:v>0.13020000000000001</c:v>
                </c:pt>
                <c:pt idx="433">
                  <c:v>0.12429999999999999</c:v>
                </c:pt>
                <c:pt idx="434">
                  <c:v>0.11899999999999999</c:v>
                </c:pt>
                <c:pt idx="435">
                  <c:v>0.1222</c:v>
                </c:pt>
                <c:pt idx="436">
                  <c:v>0.12230000000000001</c:v>
                </c:pt>
                <c:pt idx="437">
                  <c:v>0.12620000000000001</c:v>
                </c:pt>
                <c:pt idx="438">
                  <c:v>0.11990000000000001</c:v>
                </c:pt>
                <c:pt idx="439">
                  <c:v>0.1241</c:v>
                </c:pt>
                <c:pt idx="440">
                  <c:v>0.12859999999999999</c:v>
                </c:pt>
                <c:pt idx="441">
                  <c:v>0.128</c:v>
                </c:pt>
                <c:pt idx="442">
                  <c:v>0.1236</c:v>
                </c:pt>
                <c:pt idx="443">
                  <c:v>0.1205</c:v>
                </c:pt>
                <c:pt idx="444">
                  <c:v>0.1164</c:v>
                </c:pt>
                <c:pt idx="445">
                  <c:v>0.11749999999999999</c:v>
                </c:pt>
                <c:pt idx="446">
                  <c:v>0.1135</c:v>
                </c:pt>
                <c:pt idx="447">
                  <c:v>0.1191</c:v>
                </c:pt>
                <c:pt idx="448">
                  <c:v>0.1111</c:v>
                </c:pt>
                <c:pt idx="449">
                  <c:v>0.112</c:v>
                </c:pt>
                <c:pt idx="450">
                  <c:v>0.1116</c:v>
                </c:pt>
                <c:pt idx="451">
                  <c:v>0.11310000000000001</c:v>
                </c:pt>
                <c:pt idx="452">
                  <c:v>0.1176</c:v>
                </c:pt>
                <c:pt idx="453">
                  <c:v>0.11799999999999999</c:v>
                </c:pt>
                <c:pt idx="454">
                  <c:v>0.11600000000000001</c:v>
                </c:pt>
                <c:pt idx="455">
                  <c:v>0.1234</c:v>
                </c:pt>
                <c:pt idx="456">
                  <c:v>0.126</c:v>
                </c:pt>
                <c:pt idx="457">
                  <c:v>0.13469999999999999</c:v>
                </c:pt>
                <c:pt idx="458">
                  <c:v>0.1391</c:v>
                </c:pt>
                <c:pt idx="459">
                  <c:v>0.14219999999999999</c:v>
                </c:pt>
                <c:pt idx="460">
                  <c:v>0.14660000000000001</c:v>
                </c:pt>
                <c:pt idx="461">
                  <c:v>0.14549999999999999</c:v>
                </c:pt>
                <c:pt idx="462">
                  <c:v>0.14419999999999999</c:v>
                </c:pt>
                <c:pt idx="463">
                  <c:v>0.14280000000000001</c:v>
                </c:pt>
                <c:pt idx="464">
                  <c:v>0.13719999999999999</c:v>
                </c:pt>
                <c:pt idx="465">
                  <c:v>0.14829999999999999</c:v>
                </c:pt>
                <c:pt idx="466">
                  <c:v>0.14949999999999999</c:v>
                </c:pt>
                <c:pt idx="467">
                  <c:v>0.14940000000000001</c:v>
                </c:pt>
                <c:pt idx="468">
                  <c:v>0.15010000000000001</c:v>
                </c:pt>
                <c:pt idx="469">
                  <c:v>0.15329999999999999</c:v>
                </c:pt>
                <c:pt idx="470">
                  <c:v>0.1497</c:v>
                </c:pt>
                <c:pt idx="471">
                  <c:v>0.15529999999999999</c:v>
                </c:pt>
                <c:pt idx="472">
                  <c:v>0.158</c:v>
                </c:pt>
                <c:pt idx="473">
                  <c:v>0.157</c:v>
                </c:pt>
                <c:pt idx="474">
                  <c:v>0.15279999999999999</c:v>
                </c:pt>
                <c:pt idx="475">
                  <c:v>0.1452</c:v>
                </c:pt>
                <c:pt idx="476">
                  <c:v>0.13969999999999999</c:v>
                </c:pt>
                <c:pt idx="477">
                  <c:v>0.1384</c:v>
                </c:pt>
                <c:pt idx="478">
                  <c:v>0.13450000000000001</c:v>
                </c:pt>
                <c:pt idx="479">
                  <c:v>0.15740000000000001</c:v>
                </c:pt>
                <c:pt idx="480">
                  <c:v>0.15029999999999999</c:v>
                </c:pt>
                <c:pt idx="481">
                  <c:v>0.15060000000000001</c:v>
                </c:pt>
                <c:pt idx="482">
                  <c:v>0.151</c:v>
                </c:pt>
                <c:pt idx="483">
                  <c:v>0.14929999999999999</c:v>
                </c:pt>
                <c:pt idx="484">
                  <c:v>0.15260000000000001</c:v>
                </c:pt>
                <c:pt idx="485">
                  <c:v>0.15509999999999999</c:v>
                </c:pt>
                <c:pt idx="486">
                  <c:v>0.15620000000000001</c:v>
                </c:pt>
                <c:pt idx="487">
                  <c:v>0.15640000000000001</c:v>
                </c:pt>
                <c:pt idx="488">
                  <c:v>0.15770000000000001</c:v>
                </c:pt>
                <c:pt idx="489">
                  <c:v>0.15670000000000001</c:v>
                </c:pt>
                <c:pt idx="490">
                  <c:v>0.15290000000000001</c:v>
                </c:pt>
                <c:pt idx="491">
                  <c:v>0.1449</c:v>
                </c:pt>
                <c:pt idx="492">
                  <c:v>0.1628</c:v>
                </c:pt>
                <c:pt idx="493">
                  <c:v>0.1729</c:v>
                </c:pt>
                <c:pt idx="494">
                  <c:v>0.17929999999999999</c:v>
                </c:pt>
                <c:pt idx="495">
                  <c:v>0.17330000000000001</c:v>
                </c:pt>
                <c:pt idx="496">
                  <c:v>0.1719</c:v>
                </c:pt>
                <c:pt idx="497">
                  <c:v>0.1681</c:v>
                </c:pt>
                <c:pt idx="498">
                  <c:v>0.1704</c:v>
                </c:pt>
                <c:pt idx="499">
                  <c:v>0.1709</c:v>
                </c:pt>
                <c:pt idx="500">
                  <c:v>0.18029999999999999</c:v>
                </c:pt>
                <c:pt idx="501">
                  <c:v>0.17949999999999999</c:v>
                </c:pt>
                <c:pt idx="502">
                  <c:v>0.19159999999999999</c:v>
                </c:pt>
                <c:pt idx="503">
                  <c:v>0.19239999999999999</c:v>
                </c:pt>
                <c:pt idx="504">
                  <c:v>0.1852</c:v>
                </c:pt>
                <c:pt idx="505">
                  <c:v>0.18</c:v>
                </c:pt>
                <c:pt idx="506">
                  <c:v>0.17419999999999999</c:v>
                </c:pt>
                <c:pt idx="507">
                  <c:v>0.17519999999999999</c:v>
                </c:pt>
                <c:pt idx="508">
                  <c:v>0.17630000000000001</c:v>
                </c:pt>
                <c:pt idx="509">
                  <c:v>0.16769999999999999</c:v>
                </c:pt>
                <c:pt idx="510">
                  <c:v>0.18890000000000001</c:v>
                </c:pt>
                <c:pt idx="511">
                  <c:v>0.17399999999999999</c:v>
                </c:pt>
                <c:pt idx="512">
                  <c:v>0.222</c:v>
                </c:pt>
                <c:pt idx="513">
                  <c:v>0.23960000000000001</c:v>
                </c:pt>
                <c:pt idx="514">
                  <c:v>0.24379999999999999</c:v>
                </c:pt>
                <c:pt idx="515">
                  <c:v>0.23630000000000001</c:v>
                </c:pt>
                <c:pt idx="516">
                  <c:v>0.23719999999999999</c:v>
                </c:pt>
                <c:pt idx="517">
                  <c:v>0.23300000000000001</c:v>
                </c:pt>
                <c:pt idx="518">
                  <c:v>0.22389999999999999</c:v>
                </c:pt>
                <c:pt idx="519">
                  <c:v>0.23330000000000001</c:v>
                </c:pt>
                <c:pt idx="520">
                  <c:v>0.22950000000000001</c:v>
                </c:pt>
                <c:pt idx="521">
                  <c:v>0.24840000000000001</c:v>
                </c:pt>
                <c:pt idx="522">
                  <c:v>0.24179999999999999</c:v>
                </c:pt>
                <c:pt idx="523">
                  <c:v>0.24740000000000001</c:v>
                </c:pt>
                <c:pt idx="524">
                  <c:v>0.2465</c:v>
                </c:pt>
                <c:pt idx="525">
                  <c:v>0.2697</c:v>
                </c:pt>
                <c:pt idx="526">
                  <c:v>0.27410000000000001</c:v>
                </c:pt>
                <c:pt idx="527">
                  <c:v>0.26889999999999997</c:v>
                </c:pt>
                <c:pt idx="528">
                  <c:v>0.2727</c:v>
                </c:pt>
                <c:pt idx="529">
                  <c:v>0.28189999999999998</c:v>
                </c:pt>
                <c:pt idx="530">
                  <c:v>0.26240000000000002</c:v>
                </c:pt>
                <c:pt idx="531">
                  <c:v>0.25600000000000001</c:v>
                </c:pt>
                <c:pt idx="532">
                  <c:v>0.26069999999999999</c:v>
                </c:pt>
                <c:pt idx="533">
                  <c:v>0.25030000000000002</c:v>
                </c:pt>
                <c:pt idx="534">
                  <c:v>0.24429999999999999</c:v>
                </c:pt>
                <c:pt idx="535">
                  <c:v>0.25819999999999999</c:v>
                </c:pt>
                <c:pt idx="536">
                  <c:v>0.25440000000000002</c:v>
                </c:pt>
                <c:pt idx="537">
                  <c:v>0.25900000000000001</c:v>
                </c:pt>
                <c:pt idx="538">
                  <c:v>0.2482</c:v>
                </c:pt>
                <c:pt idx="539">
                  <c:v>0.2334</c:v>
                </c:pt>
                <c:pt idx="540">
                  <c:v>0.2233</c:v>
                </c:pt>
                <c:pt idx="541">
                  <c:v>0.22189999999999999</c:v>
                </c:pt>
                <c:pt idx="542">
                  <c:v>0.22170000000000001</c:v>
                </c:pt>
                <c:pt idx="543">
                  <c:v>0.2177</c:v>
                </c:pt>
                <c:pt idx="544">
                  <c:v>0.22370000000000001</c:v>
                </c:pt>
                <c:pt idx="545">
                  <c:v>0.2235</c:v>
                </c:pt>
                <c:pt idx="546">
                  <c:v>0.22620000000000001</c:v>
                </c:pt>
                <c:pt idx="547">
                  <c:v>0.2389</c:v>
                </c:pt>
                <c:pt idx="548">
                  <c:v>0.2336</c:v>
                </c:pt>
                <c:pt idx="549">
                  <c:v>0.22070000000000001</c:v>
                </c:pt>
                <c:pt idx="550">
                  <c:v>0.21679999999999999</c:v>
                </c:pt>
                <c:pt idx="551">
                  <c:v>0.2238</c:v>
                </c:pt>
                <c:pt idx="552">
                  <c:v>0.2235</c:v>
                </c:pt>
                <c:pt idx="553">
                  <c:v>0.22370000000000001</c:v>
                </c:pt>
                <c:pt idx="554">
                  <c:v>0.22750000000000001</c:v>
                </c:pt>
                <c:pt idx="555">
                  <c:v>0.2321</c:v>
                </c:pt>
                <c:pt idx="556">
                  <c:v>0.21609999999999999</c:v>
                </c:pt>
                <c:pt idx="557">
                  <c:v>0.2132</c:v>
                </c:pt>
                <c:pt idx="558">
                  <c:v>0.2109</c:v>
                </c:pt>
                <c:pt idx="559">
                  <c:v>0.2114</c:v>
                </c:pt>
                <c:pt idx="560">
                  <c:v>0.2112</c:v>
                </c:pt>
                <c:pt idx="561">
                  <c:v>0.21890000000000001</c:v>
                </c:pt>
                <c:pt idx="562">
                  <c:v>0.21829999999999999</c:v>
                </c:pt>
                <c:pt idx="563">
                  <c:v>0.22289999999999999</c:v>
                </c:pt>
                <c:pt idx="564">
                  <c:v>0.2271</c:v>
                </c:pt>
                <c:pt idx="565">
                  <c:v>0.2349</c:v>
                </c:pt>
                <c:pt idx="566">
                  <c:v>0.23150000000000001</c:v>
                </c:pt>
                <c:pt idx="567">
                  <c:v>0.218</c:v>
                </c:pt>
                <c:pt idx="568">
                  <c:v>0.21879999999999999</c:v>
                </c:pt>
                <c:pt idx="569">
                  <c:v>0.21609999999999999</c:v>
                </c:pt>
                <c:pt idx="570">
                  <c:v>0.2248</c:v>
                </c:pt>
                <c:pt idx="571">
                  <c:v>0.20660000000000001</c:v>
                </c:pt>
                <c:pt idx="572">
                  <c:v>0.2104</c:v>
                </c:pt>
                <c:pt idx="573">
                  <c:v>0.2074</c:v>
                </c:pt>
                <c:pt idx="574">
                  <c:v>0.20830000000000001</c:v>
                </c:pt>
                <c:pt idx="575">
                  <c:v>0.214</c:v>
                </c:pt>
                <c:pt idx="576">
                  <c:v>0.21740000000000001</c:v>
                </c:pt>
                <c:pt idx="577">
                  <c:v>0.22359999999999999</c:v>
                </c:pt>
                <c:pt idx="578">
                  <c:v>0.20699999999999999</c:v>
                </c:pt>
                <c:pt idx="579">
                  <c:v>0.20619999999999999</c:v>
                </c:pt>
                <c:pt idx="580">
                  <c:v>0.2195</c:v>
                </c:pt>
                <c:pt idx="581">
                  <c:v>0.23569999999999999</c:v>
                </c:pt>
                <c:pt idx="582">
                  <c:v>0.24</c:v>
                </c:pt>
                <c:pt idx="583">
                  <c:v>0.24840000000000001</c:v>
                </c:pt>
                <c:pt idx="584">
                  <c:v>0.2495</c:v>
                </c:pt>
                <c:pt idx="585">
                  <c:v>0.24979999999999999</c:v>
                </c:pt>
                <c:pt idx="586">
                  <c:v>0.25340000000000001</c:v>
                </c:pt>
                <c:pt idx="587">
                  <c:v>0.2407</c:v>
                </c:pt>
                <c:pt idx="588">
                  <c:v>0.2455</c:v>
                </c:pt>
                <c:pt idx="589">
                  <c:v>0.251</c:v>
                </c:pt>
                <c:pt idx="590">
                  <c:v>0.2555</c:v>
                </c:pt>
                <c:pt idx="591">
                  <c:v>0.25159999999999999</c:v>
                </c:pt>
                <c:pt idx="592">
                  <c:v>0.25319999999999998</c:v>
                </c:pt>
                <c:pt idx="593">
                  <c:v>0.26100000000000001</c:v>
                </c:pt>
                <c:pt idx="594">
                  <c:v>0.25490000000000002</c:v>
                </c:pt>
                <c:pt idx="595">
                  <c:v>0.24529999999999999</c:v>
                </c:pt>
                <c:pt idx="596">
                  <c:v>0.2485</c:v>
                </c:pt>
                <c:pt idx="597">
                  <c:v>0.2495</c:v>
                </c:pt>
                <c:pt idx="598">
                  <c:v>0.25059999999999999</c:v>
                </c:pt>
                <c:pt idx="599">
                  <c:v>0.25180000000000002</c:v>
                </c:pt>
                <c:pt idx="600">
                  <c:v>0.2525</c:v>
                </c:pt>
                <c:pt idx="601">
                  <c:v>0.25990000000000002</c:v>
                </c:pt>
                <c:pt idx="602">
                  <c:v>0.26369999999999999</c:v>
                </c:pt>
                <c:pt idx="603">
                  <c:v>0.24740000000000001</c:v>
                </c:pt>
                <c:pt idx="604">
                  <c:v>0.24199999999999999</c:v>
                </c:pt>
                <c:pt idx="605">
                  <c:v>0.25650000000000001</c:v>
                </c:pt>
                <c:pt idx="606">
                  <c:v>0.23519999999999999</c:v>
                </c:pt>
                <c:pt idx="607">
                  <c:v>0.25790000000000002</c:v>
                </c:pt>
                <c:pt idx="608">
                  <c:v>0.26919999999999999</c:v>
                </c:pt>
                <c:pt idx="609">
                  <c:v>0.27179999999999999</c:v>
                </c:pt>
                <c:pt idx="610">
                  <c:v>0.27639999999999998</c:v>
                </c:pt>
                <c:pt idx="611">
                  <c:v>0.27229999999999999</c:v>
                </c:pt>
                <c:pt idx="612">
                  <c:v>0.27539999999999998</c:v>
                </c:pt>
                <c:pt idx="613">
                  <c:v>0.26719999999999999</c:v>
                </c:pt>
                <c:pt idx="614">
                  <c:v>0.29360000000000003</c:v>
                </c:pt>
                <c:pt idx="615">
                  <c:v>0.2974</c:v>
                </c:pt>
                <c:pt idx="616">
                  <c:v>0.2944</c:v>
                </c:pt>
                <c:pt idx="617">
                  <c:v>0.31900000000000001</c:v>
                </c:pt>
                <c:pt idx="618">
                  <c:v>0.31659999999999999</c:v>
                </c:pt>
                <c:pt idx="619">
                  <c:v>0.3221</c:v>
                </c:pt>
                <c:pt idx="620">
                  <c:v>0.35270000000000001</c:v>
                </c:pt>
                <c:pt idx="621">
                  <c:v>0.30769999999999997</c:v>
                </c:pt>
                <c:pt idx="622">
                  <c:v>0.31480000000000002</c:v>
                </c:pt>
                <c:pt idx="623">
                  <c:v>0.33100000000000002</c:v>
                </c:pt>
                <c:pt idx="624">
                  <c:v>0.3226</c:v>
                </c:pt>
                <c:pt idx="625">
                  <c:v>0.32290000000000002</c:v>
                </c:pt>
                <c:pt idx="626">
                  <c:v>0.31890000000000002</c:v>
                </c:pt>
                <c:pt idx="627">
                  <c:v>0.307</c:v>
                </c:pt>
                <c:pt idx="628">
                  <c:v>0.35020000000000001</c:v>
                </c:pt>
                <c:pt idx="629">
                  <c:v>0.36199999999999999</c:v>
                </c:pt>
                <c:pt idx="630">
                  <c:v>0.3604</c:v>
                </c:pt>
                <c:pt idx="631">
                  <c:v>0.37080000000000002</c:v>
                </c:pt>
                <c:pt idx="632">
                  <c:v>0.4007</c:v>
                </c:pt>
                <c:pt idx="633">
                  <c:v>0.42309999999999998</c:v>
                </c:pt>
                <c:pt idx="634">
                  <c:v>0.40610000000000002</c:v>
                </c:pt>
                <c:pt idx="635">
                  <c:v>0.33860000000000001</c:v>
                </c:pt>
                <c:pt idx="636">
                  <c:v>0.37080000000000002</c:v>
                </c:pt>
                <c:pt idx="637">
                  <c:v>0.41860000000000003</c:v>
                </c:pt>
                <c:pt idx="638">
                  <c:v>0.44429999999999997</c:v>
                </c:pt>
                <c:pt idx="639">
                  <c:v>0.44140000000000001</c:v>
                </c:pt>
                <c:pt idx="640">
                  <c:v>0.44800000000000001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37-4DB2-A572-3C37266AF72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-0.86140987900395483</c:v>
                </c:pt>
                <c:pt idx="1">
                  <c:v>-0.85864556680299786</c:v>
                </c:pt>
                <c:pt idx="2">
                  <c:v>-0.83280208159840341</c:v>
                </c:pt>
                <c:pt idx="3">
                  <c:v>-0.845217861382354</c:v>
                </c:pt>
                <c:pt idx="4">
                  <c:v>-0.87566828153942211</c:v>
                </c:pt>
                <c:pt idx="5">
                  <c:v>-0.8853196243454744</c:v>
                </c:pt>
                <c:pt idx="6">
                  <c:v>-0.87846071852588181</c:v>
                </c:pt>
                <c:pt idx="7">
                  <c:v>-0.83971171613905038</c:v>
                </c:pt>
                <c:pt idx="8">
                  <c:v>-0.82252402916935341</c:v>
                </c:pt>
                <c:pt idx="9">
                  <c:v>-0.81303567201310345</c:v>
                </c:pt>
                <c:pt idx="10">
                  <c:v>-0.8122182591325412</c:v>
                </c:pt>
                <c:pt idx="11">
                  <c:v>-0.80456166686938335</c:v>
                </c:pt>
                <c:pt idx="12">
                  <c:v>-0.80955755013997155</c:v>
                </c:pt>
                <c:pt idx="13">
                  <c:v>-0.8150775732828287</c:v>
                </c:pt>
                <c:pt idx="14">
                  <c:v>-0.8191525154449909</c:v>
                </c:pt>
                <c:pt idx="15">
                  <c:v>-0.80845539993317983</c:v>
                </c:pt>
                <c:pt idx="16">
                  <c:v>-0.82257661868212317</c:v>
                </c:pt>
                <c:pt idx="17">
                  <c:v>-0.85106470729677286</c:v>
                </c:pt>
                <c:pt idx="18">
                  <c:v>-0.84316868167997494</c:v>
                </c:pt>
                <c:pt idx="19">
                  <c:v>-0.84304709764856123</c:v>
                </c:pt>
                <c:pt idx="20">
                  <c:v>-0.83903992038540343</c:v>
                </c:pt>
                <c:pt idx="21">
                  <c:v>-0.81747309525092915</c:v>
                </c:pt>
                <c:pt idx="22">
                  <c:v>-0.81685894438181905</c:v>
                </c:pt>
                <c:pt idx="23">
                  <c:v>-0.80591465546257912</c:v>
                </c:pt>
                <c:pt idx="24">
                  <c:v>-0.79493072779530971</c:v>
                </c:pt>
                <c:pt idx="25">
                  <c:v>-0.78034814825507992</c:v>
                </c:pt>
                <c:pt idx="26">
                  <c:v>-0.82694575236884138</c:v>
                </c:pt>
                <c:pt idx="27">
                  <c:v>-0.83392233670063853</c:v>
                </c:pt>
                <c:pt idx="28">
                  <c:v>-0.82916873647064782</c:v>
                </c:pt>
                <c:pt idx="29">
                  <c:v>-0.83585297035906703</c:v>
                </c:pt>
                <c:pt idx="30">
                  <c:v>-0.81166444438386975</c:v>
                </c:pt>
                <c:pt idx="31">
                  <c:v>-0.78167572684392195</c:v>
                </c:pt>
                <c:pt idx="32">
                  <c:v>-0.78853328117396415</c:v>
                </c:pt>
                <c:pt idx="33">
                  <c:v>-0.81197802771388794</c:v>
                </c:pt>
                <c:pt idx="34">
                  <c:v>-0.81909774465786089</c:v>
                </c:pt>
                <c:pt idx="35">
                  <c:v>-0.80369083127405561</c:v>
                </c:pt>
                <c:pt idx="36">
                  <c:v>-0.82533113235657574</c:v>
                </c:pt>
                <c:pt idx="37">
                  <c:v>-0.82707887377632883</c:v>
                </c:pt>
                <c:pt idx="38">
                  <c:v>-0.83328243374711053</c:v>
                </c:pt>
                <c:pt idx="39">
                  <c:v>-0.83128005692683393</c:v>
                </c:pt>
                <c:pt idx="40">
                  <c:v>-0.81587213456911045</c:v>
                </c:pt>
                <c:pt idx="41">
                  <c:v>-0.82868487897422349</c:v>
                </c:pt>
                <c:pt idx="42">
                  <c:v>-0.83299334725901308</c:v>
                </c:pt>
                <c:pt idx="43">
                  <c:v>-0.8039198547058215</c:v>
                </c:pt>
                <c:pt idx="44">
                  <c:v>-0.84926980729314372</c:v>
                </c:pt>
                <c:pt idx="45">
                  <c:v>-0.8660423416660249</c:v>
                </c:pt>
                <c:pt idx="46">
                  <c:v>-0.83618121997371708</c:v>
                </c:pt>
                <c:pt idx="47">
                  <c:v>-0.85251902633735355</c:v>
                </c:pt>
                <c:pt idx="48">
                  <c:v>-0.85780260738653391</c:v>
                </c:pt>
                <c:pt idx="49">
                  <c:v>-0.81151732488146311</c:v>
                </c:pt>
                <c:pt idx="50">
                  <c:v>-0.73689441810151879</c:v>
                </c:pt>
                <c:pt idx="51">
                  <c:v>-0.77862828605160794</c:v>
                </c:pt>
                <c:pt idx="52">
                  <c:v>-0.73705419581519138</c:v>
                </c:pt>
                <c:pt idx="53">
                  <c:v>-0.81769084929620417</c:v>
                </c:pt>
                <c:pt idx="54">
                  <c:v>-0.77910349358871311</c:v>
                </c:pt>
                <c:pt idx="55">
                  <c:v>-0.89117063469227853</c:v>
                </c:pt>
                <c:pt idx="56">
                  <c:v>-0.8563350635019219</c:v>
                </c:pt>
                <c:pt idx="57">
                  <c:v>-0.82146174006650252</c:v>
                </c:pt>
                <c:pt idx="58">
                  <c:v>-0.82273793184868083</c:v>
                </c:pt>
                <c:pt idx="59">
                  <c:v>-0.64762990110614094</c:v>
                </c:pt>
                <c:pt idx="60">
                  <c:v>-0.98247877584415666</c:v>
                </c:pt>
                <c:pt idx="61">
                  <c:v>-1.0208693968552791</c:v>
                </c:pt>
                <c:pt idx="62">
                  <c:v>-0.97865491726420095</c:v>
                </c:pt>
                <c:pt idx="63">
                  <c:v>-0.2054932235726209</c:v>
                </c:pt>
                <c:pt idx="64">
                  <c:v>-0.93349979809822425</c:v>
                </c:pt>
                <c:pt idx="65">
                  <c:v>-1.0139006447285743</c:v>
                </c:pt>
                <c:pt idx="66">
                  <c:v>-1.1114795082557429</c:v>
                </c:pt>
                <c:pt idx="67">
                  <c:v>-1.143095257239795</c:v>
                </c:pt>
                <c:pt idx="68">
                  <c:v>-1.0645387516548248</c:v>
                </c:pt>
                <c:pt idx="69">
                  <c:v>-1.0895995287373583</c:v>
                </c:pt>
                <c:pt idx="70">
                  <c:v>-1.1460189034594177</c:v>
                </c:pt>
                <c:pt idx="71">
                  <c:v>-0.99503580781670731</c:v>
                </c:pt>
                <c:pt idx="72">
                  <c:v>-1.0653327340755308</c:v>
                </c:pt>
                <c:pt idx="73">
                  <c:v>-1.28427338025153</c:v>
                </c:pt>
                <c:pt idx="74">
                  <c:v>-1.1210904659904108</c:v>
                </c:pt>
                <c:pt idx="75">
                  <c:v>-1.1638959459904108</c:v>
                </c:pt>
                <c:pt idx="76">
                  <c:v>-1.1936327759904106</c:v>
                </c:pt>
                <c:pt idx="77">
                  <c:v>-1.1946206714449563</c:v>
                </c:pt>
                <c:pt idx="78">
                  <c:v>-1.2170183698919261</c:v>
                </c:pt>
                <c:pt idx="79">
                  <c:v>-1.1830470416368117</c:v>
                </c:pt>
                <c:pt idx="80">
                  <c:v>-1.1659548372889854</c:v>
                </c:pt>
                <c:pt idx="81">
                  <c:v>-1.1946662773574785</c:v>
                </c:pt>
                <c:pt idx="82">
                  <c:v>-1.2001027378146214</c:v>
                </c:pt>
                <c:pt idx="83">
                  <c:v>-1.2188805617452574</c:v>
                </c:pt>
                <c:pt idx="84">
                  <c:v>-1.1687371242452573</c:v>
                </c:pt>
                <c:pt idx="85">
                  <c:v>-0.58919885095493496</c:v>
                </c:pt>
                <c:pt idx="86">
                  <c:v>-0.59540416447874467</c:v>
                </c:pt>
                <c:pt idx="87">
                  <c:v>-0.61113805659224762</c:v>
                </c:pt>
                <c:pt idx="88">
                  <c:v>-0.60554500235495956</c:v>
                </c:pt>
                <c:pt idx="89">
                  <c:v>-0.62119841994532088</c:v>
                </c:pt>
                <c:pt idx="90">
                  <c:v>-0.66830852278892283</c:v>
                </c:pt>
                <c:pt idx="91">
                  <c:v>-0.69133241643400678</c:v>
                </c:pt>
                <c:pt idx="92">
                  <c:v>-0.71672512980299075</c:v>
                </c:pt>
                <c:pt idx="93">
                  <c:v>-0.69531354190575012</c:v>
                </c:pt>
                <c:pt idx="94">
                  <c:v>-0.68770083037109642</c:v>
                </c:pt>
                <c:pt idx="95">
                  <c:v>-0.71999623556518155</c:v>
                </c:pt>
                <c:pt idx="96">
                  <c:v>-0.76652089622211572</c:v>
                </c:pt>
                <c:pt idx="97">
                  <c:v>-0.77938697835988291</c:v>
                </c:pt>
                <c:pt idx="98">
                  <c:v>-0.78982062047281543</c:v>
                </c:pt>
                <c:pt idx="99">
                  <c:v>-0.77333923823817863</c:v>
                </c:pt>
                <c:pt idx="100">
                  <c:v>-0.80146896343591878</c:v>
                </c:pt>
                <c:pt idx="101">
                  <c:v>-0.75511576299067218</c:v>
                </c:pt>
                <c:pt idx="102">
                  <c:v>-0.74607771225941066</c:v>
                </c:pt>
                <c:pt idx="103">
                  <c:v>-0.74456860866228824</c:v>
                </c:pt>
                <c:pt idx="104">
                  <c:v>-0.75018966020774303</c:v>
                </c:pt>
                <c:pt idx="105">
                  <c:v>-0.68225893840323182</c:v>
                </c:pt>
                <c:pt idx="106">
                  <c:v>-0.70206516401547681</c:v>
                </c:pt>
                <c:pt idx="107">
                  <c:v>-0.84127234677441354</c:v>
                </c:pt>
                <c:pt idx="108">
                  <c:v>-0.85473197617996188</c:v>
                </c:pt>
                <c:pt idx="109">
                  <c:v>-0.82158493067908323</c:v>
                </c:pt>
                <c:pt idx="110">
                  <c:v>-0.75491999055032777</c:v>
                </c:pt>
                <c:pt idx="111">
                  <c:v>-0.62437760441421397</c:v>
                </c:pt>
                <c:pt idx="112">
                  <c:v>-0.57555244179471143</c:v>
                </c:pt>
                <c:pt idx="113">
                  <c:v>-0.34462038838091863</c:v>
                </c:pt>
                <c:pt idx="114">
                  <c:v>0.4097918077627617</c:v>
                </c:pt>
                <c:pt idx="115">
                  <c:v>0.37694487975033941</c:v>
                </c:pt>
                <c:pt idx="116">
                  <c:v>0.39770298178981306</c:v>
                </c:pt>
                <c:pt idx="117">
                  <c:v>0.39763531484259473</c:v>
                </c:pt>
                <c:pt idx="118">
                  <c:v>0.36780137364259469</c:v>
                </c:pt>
                <c:pt idx="119">
                  <c:v>0.33437989519631356</c:v>
                </c:pt>
                <c:pt idx="120">
                  <c:v>0.30831101086686735</c:v>
                </c:pt>
                <c:pt idx="121">
                  <c:v>0.31318770648591504</c:v>
                </c:pt>
                <c:pt idx="122">
                  <c:v>0.338232746485915</c:v>
                </c:pt>
                <c:pt idx="123">
                  <c:v>0.35336882378250295</c:v>
                </c:pt>
                <c:pt idx="124">
                  <c:v>0.35789623581764202</c:v>
                </c:pt>
                <c:pt idx="125">
                  <c:v>0.35960647871794427</c:v>
                </c:pt>
                <c:pt idx="126">
                  <c:v>0.35817499001544195</c:v>
                </c:pt>
                <c:pt idx="127">
                  <c:v>0.3237255073309836</c:v>
                </c:pt>
                <c:pt idx="128">
                  <c:v>0.2804734143757287</c:v>
                </c:pt>
                <c:pt idx="129">
                  <c:v>0.3120333171297065</c:v>
                </c:pt>
                <c:pt idx="130">
                  <c:v>0.34010185405023635</c:v>
                </c:pt>
                <c:pt idx="131">
                  <c:v>0.34678367188943232</c:v>
                </c:pt>
                <c:pt idx="132">
                  <c:v>0.34485335635934627</c:v>
                </c:pt>
                <c:pt idx="133">
                  <c:v>0.3957816515375433</c:v>
                </c:pt>
                <c:pt idx="134">
                  <c:v>0.39643751273972905</c:v>
                </c:pt>
                <c:pt idx="135">
                  <c:v>0.37792582844122163</c:v>
                </c:pt>
                <c:pt idx="136">
                  <c:v>0.39300563581471537</c:v>
                </c:pt>
                <c:pt idx="137">
                  <c:v>0.54240202198983056</c:v>
                </c:pt>
                <c:pt idx="138">
                  <c:v>0.52415581673803191</c:v>
                </c:pt>
                <c:pt idx="139">
                  <c:v>0.53281987782596052</c:v>
                </c:pt>
                <c:pt idx="140">
                  <c:v>0.59119020782596055</c:v>
                </c:pt>
                <c:pt idx="141">
                  <c:v>0.50364827163095449</c:v>
                </c:pt>
                <c:pt idx="142">
                  <c:v>0.43251247602334103</c:v>
                </c:pt>
                <c:pt idx="143">
                  <c:v>0.19459122054655609</c:v>
                </c:pt>
                <c:pt idx="144">
                  <c:v>0.20287335426337011</c:v>
                </c:pt>
                <c:pt idx="145">
                  <c:v>0.3377861621921957</c:v>
                </c:pt>
                <c:pt idx="146">
                  <c:v>0.49701336002614055</c:v>
                </c:pt>
                <c:pt idx="147">
                  <c:v>0.17493151086114969</c:v>
                </c:pt>
                <c:pt idx="148">
                  <c:v>0.15198398947775044</c:v>
                </c:pt>
                <c:pt idx="149">
                  <c:v>0.18906827598693535</c:v>
                </c:pt>
                <c:pt idx="150">
                  <c:v>0.18385642865960794</c:v>
                </c:pt>
                <c:pt idx="151">
                  <c:v>0.17421338801212594</c:v>
                </c:pt>
                <c:pt idx="152">
                  <c:v>0.17771973539361577</c:v>
                </c:pt>
                <c:pt idx="153">
                  <c:v>0.19372727395160927</c:v>
                </c:pt>
                <c:pt idx="154">
                  <c:v>8.1215968263511309E-2</c:v>
                </c:pt>
                <c:pt idx="155">
                  <c:v>1.1665659786923974E-2</c:v>
                </c:pt>
                <c:pt idx="156">
                  <c:v>-2.2964998897995234E-2</c:v>
                </c:pt>
                <c:pt idx="157">
                  <c:v>4.5376039503862708E-3</c:v>
                </c:pt>
                <c:pt idx="158">
                  <c:v>7.6557293941381319E-2</c:v>
                </c:pt>
                <c:pt idx="159">
                  <c:v>7.0515377927250988E-2</c:v>
                </c:pt>
                <c:pt idx="160">
                  <c:v>0.10104222269040912</c:v>
                </c:pt>
                <c:pt idx="161">
                  <c:v>7.0451579984052742E-2</c:v>
                </c:pt>
                <c:pt idx="162">
                  <c:v>1.9714424516558846E-2</c:v>
                </c:pt>
                <c:pt idx="163">
                  <c:v>5.0899688043329165E-2</c:v>
                </c:pt>
                <c:pt idx="164">
                  <c:v>0.10912462164332924</c:v>
                </c:pt>
                <c:pt idx="165">
                  <c:v>6.5912866163329434E-2</c:v>
                </c:pt>
                <c:pt idx="166">
                  <c:v>5.7913588427864308E-2</c:v>
                </c:pt>
                <c:pt idx="167">
                  <c:v>4.2442657881367522E-2</c:v>
                </c:pt>
                <c:pt idx="168">
                  <c:v>-6.8332238071907312E-4</c:v>
                </c:pt>
                <c:pt idx="169">
                  <c:v>-2.3119316656264904E-2</c:v>
                </c:pt>
                <c:pt idx="170">
                  <c:v>-3.5117234546068889E-2</c:v>
                </c:pt>
                <c:pt idx="171">
                  <c:v>-4.2030645414299676E-2</c:v>
                </c:pt>
                <c:pt idx="172">
                  <c:v>-8.5959647872609471E-2</c:v>
                </c:pt>
                <c:pt idx="173">
                  <c:v>-1.1984434411628534E-2</c:v>
                </c:pt>
                <c:pt idx="174">
                  <c:v>-5.0657197011628755E-2</c:v>
                </c:pt>
                <c:pt idx="175">
                  <c:v>-5.7877990411628631E-2</c:v>
                </c:pt>
                <c:pt idx="176">
                  <c:v>-0.10221106286626766</c:v>
                </c:pt>
                <c:pt idx="177">
                  <c:v>-0.14822334185834687</c:v>
                </c:pt>
                <c:pt idx="178">
                  <c:v>-9.2504855290614765E-2</c:v>
                </c:pt>
                <c:pt idx="179">
                  <c:v>-0.14204633982211071</c:v>
                </c:pt>
                <c:pt idx="180">
                  <c:v>-1.0299333372930736E-2</c:v>
                </c:pt>
                <c:pt idx="181">
                  <c:v>7.4724083545819053E-2</c:v>
                </c:pt>
                <c:pt idx="182">
                  <c:v>0.24153781362297289</c:v>
                </c:pt>
                <c:pt idx="183">
                  <c:v>0.40187337496251896</c:v>
                </c:pt>
                <c:pt idx="184">
                  <c:v>0.32844606581859387</c:v>
                </c:pt>
                <c:pt idx="185">
                  <c:v>0.23165635140031879</c:v>
                </c:pt>
                <c:pt idx="186">
                  <c:v>0.2303997230271782</c:v>
                </c:pt>
                <c:pt idx="187">
                  <c:v>0.23554638228229632</c:v>
                </c:pt>
                <c:pt idx="188">
                  <c:v>0.20207843012163282</c:v>
                </c:pt>
                <c:pt idx="189">
                  <c:v>0.18473460169763287</c:v>
                </c:pt>
                <c:pt idx="190">
                  <c:v>0.15947571006906136</c:v>
                </c:pt>
                <c:pt idx="191">
                  <c:v>9.6499477140029224E-2</c:v>
                </c:pt>
                <c:pt idx="192">
                  <c:v>0.12500731418143704</c:v>
                </c:pt>
                <c:pt idx="193">
                  <c:v>0.15696587346384747</c:v>
                </c:pt>
                <c:pt idx="194">
                  <c:v>0.15928309204718086</c:v>
                </c:pt>
                <c:pt idx="195">
                  <c:v>0.12836980137534992</c:v>
                </c:pt>
                <c:pt idx="196">
                  <c:v>0.14988523449649013</c:v>
                </c:pt>
                <c:pt idx="197">
                  <c:v>0.18241135243798662</c:v>
                </c:pt>
                <c:pt idx="198">
                  <c:v>0.17930398064080327</c:v>
                </c:pt>
                <c:pt idx="199">
                  <c:v>0.5181241244055742</c:v>
                </c:pt>
                <c:pt idx="200">
                  <c:v>0.49383582627513939</c:v>
                </c:pt>
                <c:pt idx="201">
                  <c:v>0.4841234176626395</c:v>
                </c:pt>
                <c:pt idx="202">
                  <c:v>0.47799771320254558</c:v>
                </c:pt>
                <c:pt idx="203">
                  <c:v>0.44729895619575555</c:v>
                </c:pt>
                <c:pt idx="204">
                  <c:v>0.49241358379060696</c:v>
                </c:pt>
                <c:pt idx="205">
                  <c:v>0.52193713028325417</c:v>
                </c:pt>
                <c:pt idx="206">
                  <c:v>0.50262826556325402</c:v>
                </c:pt>
                <c:pt idx="207">
                  <c:v>0.50718964780066222</c:v>
                </c:pt>
                <c:pt idx="208">
                  <c:v>0.52018765547338963</c:v>
                </c:pt>
                <c:pt idx="209">
                  <c:v>0.58076267808658222</c:v>
                </c:pt>
                <c:pt idx="210">
                  <c:v>0.5898326843028846</c:v>
                </c:pt>
                <c:pt idx="211">
                  <c:v>0.45279985447300419</c:v>
                </c:pt>
                <c:pt idx="212">
                  <c:v>0.38397233839300404</c:v>
                </c:pt>
                <c:pt idx="213">
                  <c:v>0.60391683453939582</c:v>
                </c:pt>
                <c:pt idx="214">
                  <c:v>0.44582907876969902</c:v>
                </c:pt>
                <c:pt idx="215">
                  <c:v>0.41914807228242623</c:v>
                </c:pt>
                <c:pt idx="216">
                  <c:v>0.4060705500129923</c:v>
                </c:pt>
                <c:pt idx="217">
                  <c:v>0.45314618458571954</c:v>
                </c:pt>
                <c:pt idx="218">
                  <c:v>0.38892514210221846</c:v>
                </c:pt>
                <c:pt idx="219">
                  <c:v>0.36976239270656619</c:v>
                </c:pt>
                <c:pt idx="220">
                  <c:v>0.34926904329934966</c:v>
                </c:pt>
                <c:pt idx="221">
                  <c:v>0.41900294018787421</c:v>
                </c:pt>
                <c:pt idx="222">
                  <c:v>0.39572344510901697</c:v>
                </c:pt>
                <c:pt idx="223">
                  <c:v>0.42218643864723682</c:v>
                </c:pt>
                <c:pt idx="224">
                  <c:v>0.44804755309087313</c:v>
                </c:pt>
                <c:pt idx="225">
                  <c:v>0.44004779565727942</c:v>
                </c:pt>
                <c:pt idx="226">
                  <c:v>0.44932020621866942</c:v>
                </c:pt>
                <c:pt idx="227">
                  <c:v>0.45016971053139671</c:v>
                </c:pt>
                <c:pt idx="228">
                  <c:v>0.40400473531787351</c:v>
                </c:pt>
                <c:pt idx="229">
                  <c:v>0.33912824348134119</c:v>
                </c:pt>
                <c:pt idx="230">
                  <c:v>0.36486386135001586</c:v>
                </c:pt>
                <c:pt idx="231">
                  <c:v>0.40184337776698009</c:v>
                </c:pt>
                <c:pt idx="232">
                  <c:v>0.43083537318184989</c:v>
                </c:pt>
                <c:pt idx="233">
                  <c:v>0.37767642548184988</c:v>
                </c:pt>
                <c:pt idx="234">
                  <c:v>0.35662259885059988</c:v>
                </c:pt>
                <c:pt idx="235">
                  <c:v>0.3957863147708951</c:v>
                </c:pt>
                <c:pt idx="236">
                  <c:v>0.40897960329652006</c:v>
                </c:pt>
                <c:pt idx="237">
                  <c:v>0.42088899355991527</c:v>
                </c:pt>
                <c:pt idx="238">
                  <c:v>0.45480834487802946</c:v>
                </c:pt>
                <c:pt idx="239">
                  <c:v>0.43353092930069237</c:v>
                </c:pt>
                <c:pt idx="240">
                  <c:v>0.40862392855274721</c:v>
                </c:pt>
                <c:pt idx="241">
                  <c:v>0.40651140290933624</c:v>
                </c:pt>
                <c:pt idx="242">
                  <c:v>0.37922039487286563</c:v>
                </c:pt>
                <c:pt idx="243">
                  <c:v>0.34485157701446767</c:v>
                </c:pt>
                <c:pt idx="244">
                  <c:v>0.35073055881807497</c:v>
                </c:pt>
                <c:pt idx="245">
                  <c:v>0.38205298084819833</c:v>
                </c:pt>
                <c:pt idx="246">
                  <c:v>0.39058703955216939</c:v>
                </c:pt>
                <c:pt idx="247">
                  <c:v>0.32750331414291672</c:v>
                </c:pt>
                <c:pt idx="248">
                  <c:v>0.38126444586253094</c:v>
                </c:pt>
                <c:pt idx="249">
                  <c:v>5.8177501474250645E-2</c:v>
                </c:pt>
                <c:pt idx="250">
                  <c:v>-0.1527704331432268</c:v>
                </c:pt>
                <c:pt idx="251">
                  <c:v>-0.14279637155839919</c:v>
                </c:pt>
                <c:pt idx="252">
                  <c:v>-0.14853404783147342</c:v>
                </c:pt>
                <c:pt idx="253">
                  <c:v>-0.21742130490258754</c:v>
                </c:pt>
                <c:pt idx="254">
                  <c:v>-0.18202544263845954</c:v>
                </c:pt>
                <c:pt idx="255">
                  <c:v>-0.18232085308867046</c:v>
                </c:pt>
                <c:pt idx="256">
                  <c:v>-0.12975993288665019</c:v>
                </c:pt>
                <c:pt idx="257">
                  <c:v>-0.13037132201343307</c:v>
                </c:pt>
                <c:pt idx="258">
                  <c:v>-0.11522770216030803</c:v>
                </c:pt>
                <c:pt idx="259">
                  <c:v>-0.16347004358887937</c:v>
                </c:pt>
                <c:pt idx="260">
                  <c:v>-8.3043465193103891E-2</c:v>
                </c:pt>
                <c:pt idx="261">
                  <c:v>1.638688738609342E-2</c:v>
                </c:pt>
                <c:pt idx="262">
                  <c:v>-3.3253342064909507E-2</c:v>
                </c:pt>
                <c:pt idx="263">
                  <c:v>1.6789618138351389E-2</c:v>
                </c:pt>
                <c:pt idx="264">
                  <c:v>4.889776569493855E-3</c:v>
                </c:pt>
                <c:pt idx="265">
                  <c:v>4.0642887934536097E-2</c:v>
                </c:pt>
                <c:pt idx="266">
                  <c:v>2.1267890943261803E-2</c:v>
                </c:pt>
                <c:pt idx="267">
                  <c:v>6.4673335097727644E-2</c:v>
                </c:pt>
                <c:pt idx="268">
                  <c:v>-4.7831738202272357E-2</c:v>
                </c:pt>
                <c:pt idx="269">
                  <c:v>6.6818360289316342E-2</c:v>
                </c:pt>
                <c:pt idx="270">
                  <c:v>1.3984186435654663E-2</c:v>
                </c:pt>
                <c:pt idx="271">
                  <c:v>1.9951979357925566E-2</c:v>
                </c:pt>
                <c:pt idx="272">
                  <c:v>1.1397582419342977E-2</c:v>
                </c:pt>
                <c:pt idx="273">
                  <c:v>-8.9126360849304948E-3</c:v>
                </c:pt>
                <c:pt idx="274">
                  <c:v>7.8591617775695122E-3</c:v>
                </c:pt>
                <c:pt idx="275">
                  <c:v>-1.4900882952494435E-2</c:v>
                </c:pt>
                <c:pt idx="276">
                  <c:v>-0.24920429618544873</c:v>
                </c:pt>
                <c:pt idx="277">
                  <c:v>-0.32224962856573414</c:v>
                </c:pt>
                <c:pt idx="278">
                  <c:v>-0.33484905966676903</c:v>
                </c:pt>
                <c:pt idx="279">
                  <c:v>-0.3122340600962189</c:v>
                </c:pt>
                <c:pt idx="280">
                  <c:v>-0.45487037953258247</c:v>
                </c:pt>
                <c:pt idx="281">
                  <c:v>-0.10813316375813155</c:v>
                </c:pt>
                <c:pt idx="282">
                  <c:v>-3.6048500125319231E-2</c:v>
                </c:pt>
                <c:pt idx="283">
                  <c:v>-1.775358114247292E-2</c:v>
                </c:pt>
                <c:pt idx="284">
                  <c:v>0.28581988948862219</c:v>
                </c:pt>
                <c:pt idx="285">
                  <c:v>0.28704128306103605</c:v>
                </c:pt>
                <c:pt idx="286">
                  <c:v>0.33771125711761291</c:v>
                </c:pt>
                <c:pt idx="287">
                  <c:v>0.39767678213915825</c:v>
                </c:pt>
                <c:pt idx="288">
                  <c:v>0.31966241757963876</c:v>
                </c:pt>
                <c:pt idx="289">
                  <c:v>0.35514988569707112</c:v>
                </c:pt>
                <c:pt idx="290">
                  <c:v>0.34071209580772494</c:v>
                </c:pt>
                <c:pt idx="291">
                  <c:v>0.37147403755536884</c:v>
                </c:pt>
                <c:pt idx="292">
                  <c:v>0.31277481259629286</c:v>
                </c:pt>
                <c:pt idx="293">
                  <c:v>0.31650033212796874</c:v>
                </c:pt>
                <c:pt idx="294">
                  <c:v>0.26731564161037791</c:v>
                </c:pt>
                <c:pt idx="295">
                  <c:v>0.10856517745028256</c:v>
                </c:pt>
                <c:pt idx="296">
                  <c:v>0.17299981147514082</c:v>
                </c:pt>
                <c:pt idx="297">
                  <c:v>0.22079528614634808</c:v>
                </c:pt>
                <c:pt idx="298">
                  <c:v>0.31707612884354947</c:v>
                </c:pt>
                <c:pt idx="299">
                  <c:v>0.24860886733325319</c:v>
                </c:pt>
                <c:pt idx="300">
                  <c:v>0.35506533444313187</c:v>
                </c:pt>
                <c:pt idx="301">
                  <c:v>0.18651656159826213</c:v>
                </c:pt>
                <c:pt idx="302">
                  <c:v>0.15043148937210249</c:v>
                </c:pt>
                <c:pt idx="303">
                  <c:v>8.8448235633570516E-2</c:v>
                </c:pt>
                <c:pt idx="304">
                  <c:v>-1.4725888240714911E-2</c:v>
                </c:pt>
                <c:pt idx="305">
                  <c:v>-0.12677477873905624</c:v>
                </c:pt>
                <c:pt idx="306">
                  <c:v>2.9953251176842645E-2</c:v>
                </c:pt>
                <c:pt idx="307">
                  <c:v>-6.7408917533901885E-3</c:v>
                </c:pt>
                <c:pt idx="308">
                  <c:v>-0.14067770415339018</c:v>
                </c:pt>
                <c:pt idx="309">
                  <c:v>-0.10264844948220364</c:v>
                </c:pt>
                <c:pt idx="310">
                  <c:v>0.18889090800344341</c:v>
                </c:pt>
                <c:pt idx="311">
                  <c:v>-0.16880677038992903</c:v>
                </c:pt>
                <c:pt idx="312">
                  <c:v>-4.7829247654143668E-2</c:v>
                </c:pt>
                <c:pt idx="313">
                  <c:v>-0.11980157801167182</c:v>
                </c:pt>
                <c:pt idx="314">
                  <c:v>-8.7667142875339932E-3</c:v>
                </c:pt>
                <c:pt idx="315">
                  <c:v>-6.9913972154657292E-2</c:v>
                </c:pt>
                <c:pt idx="316">
                  <c:v>-0.24479618329209807</c:v>
                </c:pt>
                <c:pt idx="317">
                  <c:v>-0.28245344973017156</c:v>
                </c:pt>
                <c:pt idx="318">
                  <c:v>-0.31434463404533725</c:v>
                </c:pt>
                <c:pt idx="319">
                  <c:v>-0.28606550101799233</c:v>
                </c:pt>
                <c:pt idx="320">
                  <c:v>-0.27611252067513514</c:v>
                </c:pt>
                <c:pt idx="321">
                  <c:v>-0.32999788634313509</c:v>
                </c:pt>
                <c:pt idx="322">
                  <c:v>-0.30831622976342493</c:v>
                </c:pt>
                <c:pt idx="323">
                  <c:v>-0.31904783793020353</c:v>
                </c:pt>
                <c:pt idx="324">
                  <c:v>-0.33411499511157222</c:v>
                </c:pt>
                <c:pt idx="325">
                  <c:v>-0.37052880960529433</c:v>
                </c:pt>
                <c:pt idx="326">
                  <c:v>-0.41976856042050187</c:v>
                </c:pt>
                <c:pt idx="327">
                  <c:v>-0.44320594179063166</c:v>
                </c:pt>
                <c:pt idx="328">
                  <c:v>-0.47596993537884119</c:v>
                </c:pt>
                <c:pt idx="329">
                  <c:v>-0.49676960662388614</c:v>
                </c:pt>
                <c:pt idx="330">
                  <c:v>-0.48952284273531471</c:v>
                </c:pt>
                <c:pt idx="331">
                  <c:v>-0.54051180760098638</c:v>
                </c:pt>
                <c:pt idx="332">
                  <c:v>-0.54437479476048645</c:v>
                </c:pt>
                <c:pt idx="333">
                  <c:v>-0.69892010613938094</c:v>
                </c:pt>
                <c:pt idx="334">
                  <c:v>-0.26594787280386328</c:v>
                </c:pt>
                <c:pt idx="335">
                  <c:v>-0.75465661385453642</c:v>
                </c:pt>
                <c:pt idx="336">
                  <c:v>-0.81239040866362733</c:v>
                </c:pt>
                <c:pt idx="337">
                  <c:v>-0.62923756779558615</c:v>
                </c:pt>
                <c:pt idx="338">
                  <c:v>-0.66287565684237959</c:v>
                </c:pt>
                <c:pt idx="339">
                  <c:v>-0.61480809591001928</c:v>
                </c:pt>
                <c:pt idx="340">
                  <c:v>-0.60961381572381246</c:v>
                </c:pt>
                <c:pt idx="341">
                  <c:v>-0.65248327848343191</c:v>
                </c:pt>
                <c:pt idx="342">
                  <c:v>-0.61802019128938424</c:v>
                </c:pt>
                <c:pt idx="343">
                  <c:v>-0.72376725163519706</c:v>
                </c:pt>
                <c:pt idx="344">
                  <c:v>-0.84543924998654829</c:v>
                </c:pt>
                <c:pt idx="345">
                  <c:v>-0.85864762014879026</c:v>
                </c:pt>
                <c:pt idx="346">
                  <c:v>-0.49531974559384456</c:v>
                </c:pt>
                <c:pt idx="347">
                  <c:v>-0.83329517452988355</c:v>
                </c:pt>
                <c:pt idx="348">
                  <c:v>-0.8602420216157991</c:v>
                </c:pt>
                <c:pt idx="349">
                  <c:v>-0.95863565049291977</c:v>
                </c:pt>
                <c:pt idx="350">
                  <c:v>-0.99384726625020126</c:v>
                </c:pt>
                <c:pt idx="351">
                  <c:v>-1.0484689274675087</c:v>
                </c:pt>
                <c:pt idx="352">
                  <c:v>-1.1789892962408421</c:v>
                </c:pt>
                <c:pt idx="353">
                  <c:v>-1.1757676233446885</c:v>
                </c:pt>
                <c:pt idx="354">
                  <c:v>-1.2700393693732599</c:v>
                </c:pt>
                <c:pt idx="355">
                  <c:v>-1.2857711414651953</c:v>
                </c:pt>
                <c:pt idx="356">
                  <c:v>-1.2451511443216547</c:v>
                </c:pt>
                <c:pt idx="357">
                  <c:v>-1.3815736543889818</c:v>
                </c:pt>
                <c:pt idx="358">
                  <c:v>-1.3839091518196041</c:v>
                </c:pt>
                <c:pt idx="359">
                  <c:v>-1.3216234594424798</c:v>
                </c:pt>
                <c:pt idx="360">
                  <c:v>-1.3524952601836562</c:v>
                </c:pt>
                <c:pt idx="361">
                  <c:v>-1.347836586126838</c:v>
                </c:pt>
                <c:pt idx="362">
                  <c:v>-1.3698312071503678</c:v>
                </c:pt>
                <c:pt idx="363">
                  <c:v>-1.3642766797644028</c:v>
                </c:pt>
                <c:pt idx="364">
                  <c:v>-1.3384830282209248</c:v>
                </c:pt>
                <c:pt idx="365">
                  <c:v>-1.368815779773638</c:v>
                </c:pt>
                <c:pt idx="366">
                  <c:v>-1.3578446606902093</c:v>
                </c:pt>
                <c:pt idx="367">
                  <c:v>-1.3894881340121872</c:v>
                </c:pt>
                <c:pt idx="368">
                  <c:v>-1.2271927989303688</c:v>
                </c:pt>
                <c:pt idx="369">
                  <c:v>-1.2734119262303689</c:v>
                </c:pt>
                <c:pt idx="370">
                  <c:v>-1.2720434853450746</c:v>
                </c:pt>
                <c:pt idx="371">
                  <c:v>-1.306362867258994</c:v>
                </c:pt>
                <c:pt idx="372">
                  <c:v>-1.3274325044967186</c:v>
                </c:pt>
                <c:pt idx="373">
                  <c:v>-1.3570189052967185</c:v>
                </c:pt>
                <c:pt idx="374">
                  <c:v>-1.34624569061362</c:v>
                </c:pt>
                <c:pt idx="375">
                  <c:v>-1.3959444035585018</c:v>
                </c:pt>
                <c:pt idx="376">
                  <c:v>-1.3543790103306537</c:v>
                </c:pt>
                <c:pt idx="377">
                  <c:v>-1.3885877735488354</c:v>
                </c:pt>
                <c:pt idx="378">
                  <c:v>-1.4012880922393385</c:v>
                </c:pt>
                <c:pt idx="379">
                  <c:v>-1.4125460649610775</c:v>
                </c:pt>
                <c:pt idx="380">
                  <c:v>-1.4199073522886638</c:v>
                </c:pt>
                <c:pt idx="381">
                  <c:v>-1.4209145295501318</c:v>
                </c:pt>
                <c:pt idx="382">
                  <c:v>-1.4207355622945759</c:v>
                </c:pt>
                <c:pt idx="383">
                  <c:v>-1.3950035064837876</c:v>
                </c:pt>
                <c:pt idx="384">
                  <c:v>-1.4383091827837875</c:v>
                </c:pt>
                <c:pt idx="385">
                  <c:v>-1.4623122674941651</c:v>
                </c:pt>
                <c:pt idx="386">
                  <c:v>-1.4345826471905934</c:v>
                </c:pt>
                <c:pt idx="387">
                  <c:v>-1.4516607592953936</c:v>
                </c:pt>
                <c:pt idx="388">
                  <c:v>-1.4658631878609671</c:v>
                </c:pt>
                <c:pt idx="389">
                  <c:v>-1.4694291408909674</c:v>
                </c:pt>
                <c:pt idx="390">
                  <c:v>-1.4731737407884031</c:v>
                </c:pt>
                <c:pt idx="391">
                  <c:v>-1.4671568676060505</c:v>
                </c:pt>
                <c:pt idx="392">
                  <c:v>-1.4747637557260505</c:v>
                </c:pt>
                <c:pt idx="393">
                  <c:v>-1.476813568767589</c:v>
                </c:pt>
                <c:pt idx="394">
                  <c:v>-1.4739847136056845</c:v>
                </c:pt>
                <c:pt idx="395">
                  <c:v>-1.4602737182858687</c:v>
                </c:pt>
                <c:pt idx="396">
                  <c:v>-1.4657965271700792</c:v>
                </c:pt>
                <c:pt idx="397">
                  <c:v>-1.4640830088200791</c:v>
                </c:pt>
                <c:pt idx="398">
                  <c:v>-1.4628251638371006</c:v>
                </c:pt>
                <c:pt idx="399">
                  <c:v>-1.4597840678728149</c:v>
                </c:pt>
                <c:pt idx="400">
                  <c:v>-1.4687611024728149</c:v>
                </c:pt>
                <c:pt idx="401">
                  <c:v>-1.4525723128533554</c:v>
                </c:pt>
                <c:pt idx="402">
                  <c:v>-1.4560784032908551</c:v>
                </c:pt>
                <c:pt idx="403">
                  <c:v>-1.4527599934258246</c:v>
                </c:pt>
                <c:pt idx="404">
                  <c:v>-1.4568369812249551</c:v>
                </c:pt>
                <c:pt idx="405">
                  <c:v>-1.4338358218782885</c:v>
                </c:pt>
                <c:pt idx="406">
                  <c:v>-1.4384764653282884</c:v>
                </c:pt>
                <c:pt idx="407">
                  <c:v>-1.4415435626501274</c:v>
                </c:pt>
                <c:pt idx="408">
                  <c:v>-1.4410249650628935</c:v>
                </c:pt>
                <c:pt idx="409">
                  <c:v>-1.4377594613786828</c:v>
                </c:pt>
                <c:pt idx="410">
                  <c:v>-1.4397955513171443</c:v>
                </c:pt>
                <c:pt idx="411">
                  <c:v>-1.4370532740910575</c:v>
                </c:pt>
                <c:pt idx="412">
                  <c:v>-1.4029204165048506</c:v>
                </c:pt>
                <c:pt idx="413">
                  <c:v>-1.4015640447390973</c:v>
                </c:pt>
                <c:pt idx="414">
                  <c:v>-1.3997722062610487</c:v>
                </c:pt>
                <c:pt idx="415">
                  <c:v>-1.4087866006056202</c:v>
                </c:pt>
                <c:pt idx="416">
                  <c:v>-1.3947964312473591</c:v>
                </c:pt>
                <c:pt idx="417">
                  <c:v>-1.401734107763638</c:v>
                </c:pt>
                <c:pt idx="418">
                  <c:v>-1.4007965942505947</c:v>
                </c:pt>
                <c:pt idx="419">
                  <c:v>-1.4058533138303702</c:v>
                </c:pt>
                <c:pt idx="420">
                  <c:v>-1.3966246793976114</c:v>
                </c:pt>
                <c:pt idx="421">
                  <c:v>-1.3934147653883329</c:v>
                </c:pt>
                <c:pt idx="422">
                  <c:v>-1.4138356062486068</c:v>
                </c:pt>
                <c:pt idx="423">
                  <c:v>-1.3843231748994105</c:v>
                </c:pt>
                <c:pt idx="424">
                  <c:v>-1.3945171444485016</c:v>
                </c:pt>
                <c:pt idx="425">
                  <c:v>-1.3979554346325016</c:v>
                </c:pt>
                <c:pt idx="426">
                  <c:v>-1.405830357666648</c:v>
                </c:pt>
                <c:pt idx="427">
                  <c:v>-1.414395554466648</c:v>
                </c:pt>
                <c:pt idx="428">
                  <c:v>-1.3743200733401448</c:v>
                </c:pt>
                <c:pt idx="429">
                  <c:v>-1.3574622448308664</c:v>
                </c:pt>
                <c:pt idx="430">
                  <c:v>-1.3718301511179631</c:v>
                </c:pt>
                <c:pt idx="431">
                  <c:v>-1.3970993216533614</c:v>
                </c:pt>
                <c:pt idx="432">
                  <c:v>-1.3945677460866945</c:v>
                </c:pt>
                <c:pt idx="433">
                  <c:v>-1.4013887483355667</c:v>
                </c:pt>
                <c:pt idx="434">
                  <c:v>-1.4041736682093042</c:v>
                </c:pt>
                <c:pt idx="435">
                  <c:v>-1.4032385311846129</c:v>
                </c:pt>
                <c:pt idx="436">
                  <c:v>-1.4050680470213477</c:v>
                </c:pt>
                <c:pt idx="437">
                  <c:v>-1.3938558880991254</c:v>
                </c:pt>
                <c:pt idx="438">
                  <c:v>-1.3910754307151836</c:v>
                </c:pt>
                <c:pt idx="439">
                  <c:v>-1.3876613312055945</c:v>
                </c:pt>
                <c:pt idx="440">
                  <c:v>-1.3849476629389281</c:v>
                </c:pt>
                <c:pt idx="441">
                  <c:v>-1.3838639003425253</c:v>
                </c:pt>
                <c:pt idx="442">
                  <c:v>-1.373462950445804</c:v>
                </c:pt>
                <c:pt idx="443">
                  <c:v>-1.3720922510339228</c:v>
                </c:pt>
                <c:pt idx="444">
                  <c:v>-1.3732658022039226</c:v>
                </c:pt>
                <c:pt idx="445">
                  <c:v>-1.3749039811118173</c:v>
                </c:pt>
                <c:pt idx="446">
                  <c:v>-1.3788875519481809</c:v>
                </c:pt>
                <c:pt idx="447">
                  <c:v>-1.3714614490815145</c:v>
                </c:pt>
                <c:pt idx="448">
                  <c:v>-1.3838030144415145</c:v>
                </c:pt>
                <c:pt idx="449">
                  <c:v>-1.3827170284611225</c:v>
                </c:pt>
                <c:pt idx="450">
                  <c:v>-1.3841210046039796</c:v>
                </c:pt>
                <c:pt idx="451">
                  <c:v>-1.3865556201555926</c:v>
                </c:pt>
                <c:pt idx="452">
                  <c:v>-1.3836883746283197</c:v>
                </c:pt>
                <c:pt idx="453">
                  <c:v>-1.380528947762282</c:v>
                </c:pt>
                <c:pt idx="454">
                  <c:v>-1.3842649382122818</c:v>
                </c:pt>
                <c:pt idx="455">
                  <c:v>-1.3814731542078569</c:v>
                </c:pt>
                <c:pt idx="456">
                  <c:v>-1.3798944119451115</c:v>
                </c:pt>
                <c:pt idx="457">
                  <c:v>-1.3749965494707117</c:v>
                </c:pt>
                <c:pt idx="458">
                  <c:v>-1.3729825316447857</c:v>
                </c:pt>
                <c:pt idx="459">
                  <c:v>-1.3711772749095743</c:v>
                </c:pt>
                <c:pt idx="460">
                  <c:v>-1.3688868845813693</c:v>
                </c:pt>
                <c:pt idx="461">
                  <c:v>-1.3702471739540965</c:v>
                </c:pt>
                <c:pt idx="462">
                  <c:v>-1.3704347887040962</c:v>
                </c:pt>
                <c:pt idx="463">
                  <c:v>-1.3693084426234514</c:v>
                </c:pt>
                <c:pt idx="464">
                  <c:v>-1.3730364281448799</c:v>
                </c:pt>
                <c:pt idx="465">
                  <c:v>-1.3671499987418028</c:v>
                </c:pt>
                <c:pt idx="466">
                  <c:v>-1.3668308599985597</c:v>
                </c:pt>
                <c:pt idx="467">
                  <c:v>-1.3630121204198362</c:v>
                </c:pt>
                <c:pt idx="468">
                  <c:v>-1.363071604186503</c:v>
                </c:pt>
                <c:pt idx="469">
                  <c:v>-1.3601399736794322</c:v>
                </c:pt>
                <c:pt idx="470">
                  <c:v>-1.3626505608841379</c:v>
                </c:pt>
                <c:pt idx="471">
                  <c:v>-1.3606772680004171</c:v>
                </c:pt>
                <c:pt idx="472">
                  <c:v>-1.362446663619683</c:v>
                </c:pt>
                <c:pt idx="473">
                  <c:v>-1.3589873370905163</c:v>
                </c:pt>
                <c:pt idx="474">
                  <c:v>-1.3619125060048021</c:v>
                </c:pt>
                <c:pt idx="475">
                  <c:v>-1.3548361505182636</c:v>
                </c:pt>
                <c:pt idx="476">
                  <c:v>-1.3573381151009083</c:v>
                </c:pt>
                <c:pt idx="477">
                  <c:v>-1.358770491500908</c:v>
                </c:pt>
                <c:pt idx="478">
                  <c:v>-1.3621947089530819</c:v>
                </c:pt>
                <c:pt idx="479">
                  <c:v>-1.3485152162245106</c:v>
                </c:pt>
                <c:pt idx="480">
                  <c:v>-1.3437448527974274</c:v>
                </c:pt>
                <c:pt idx="481">
                  <c:v>-1.339894943584524</c:v>
                </c:pt>
                <c:pt idx="482">
                  <c:v>-1.3223767663095241</c:v>
                </c:pt>
                <c:pt idx="483">
                  <c:v>-1.3267939743952384</c:v>
                </c:pt>
                <c:pt idx="484">
                  <c:v>-1.3238874947787336</c:v>
                </c:pt>
                <c:pt idx="485">
                  <c:v>-1.3211193857693877</c:v>
                </c:pt>
                <c:pt idx="486">
                  <c:v>-1.3218847599593877</c:v>
                </c:pt>
                <c:pt idx="487">
                  <c:v>-1.3113269123193878</c:v>
                </c:pt>
                <c:pt idx="488">
                  <c:v>-1.3133302610553879</c:v>
                </c:pt>
                <c:pt idx="489">
                  <c:v>-1.3113389615206053</c:v>
                </c:pt>
                <c:pt idx="490">
                  <c:v>-1.3165496377561607</c:v>
                </c:pt>
                <c:pt idx="491">
                  <c:v>-1.3244410300954466</c:v>
                </c:pt>
                <c:pt idx="492">
                  <c:v>-1.3171298059756118</c:v>
                </c:pt>
                <c:pt idx="493">
                  <c:v>-1.305496942687733</c:v>
                </c:pt>
                <c:pt idx="494">
                  <c:v>-1.3094509046747993</c:v>
                </c:pt>
                <c:pt idx="495">
                  <c:v>-1.3149824883931092</c:v>
                </c:pt>
                <c:pt idx="496">
                  <c:v>-1.3170550126270715</c:v>
                </c:pt>
                <c:pt idx="497">
                  <c:v>-1.3067372109038455</c:v>
                </c:pt>
                <c:pt idx="498">
                  <c:v>-1.303879473165384</c:v>
                </c:pt>
                <c:pt idx="499">
                  <c:v>-1.3109214364965669</c:v>
                </c:pt>
                <c:pt idx="500">
                  <c:v>-1.3021783551405062</c:v>
                </c:pt>
                <c:pt idx="501">
                  <c:v>-1.2984555775997981</c:v>
                </c:pt>
                <c:pt idx="502">
                  <c:v>-1.2908734393651828</c:v>
                </c:pt>
                <c:pt idx="503">
                  <c:v>-1.2932412121651828</c:v>
                </c:pt>
                <c:pt idx="504">
                  <c:v>-1.2961890526880744</c:v>
                </c:pt>
                <c:pt idx="505">
                  <c:v>-1.3034559999201845</c:v>
                </c:pt>
                <c:pt idx="506">
                  <c:v>-1.3097909036719326</c:v>
                </c:pt>
                <c:pt idx="507">
                  <c:v>-1.3087607556524206</c:v>
                </c:pt>
                <c:pt idx="508">
                  <c:v>-1.3117368685724204</c:v>
                </c:pt>
                <c:pt idx="509">
                  <c:v>-1.3234296235261243</c:v>
                </c:pt>
                <c:pt idx="510">
                  <c:v>-1.3118499189092925</c:v>
                </c:pt>
                <c:pt idx="511">
                  <c:v>-1.3284942119921328</c:v>
                </c:pt>
                <c:pt idx="512">
                  <c:v>-1.2943373931371236</c:v>
                </c:pt>
                <c:pt idx="513">
                  <c:v>-1.2820255606226658</c:v>
                </c:pt>
                <c:pt idx="514">
                  <c:v>-1.2752144863590296</c:v>
                </c:pt>
                <c:pt idx="515">
                  <c:v>-1.2855796818980365</c:v>
                </c:pt>
                <c:pt idx="516">
                  <c:v>-1.2873770239626519</c:v>
                </c:pt>
                <c:pt idx="517">
                  <c:v>-1.3015907414664687</c:v>
                </c:pt>
                <c:pt idx="518">
                  <c:v>-1.3109906667403151</c:v>
                </c:pt>
                <c:pt idx="519">
                  <c:v>-1.3003460251243149</c:v>
                </c:pt>
                <c:pt idx="520">
                  <c:v>-1.30593023996907</c:v>
                </c:pt>
                <c:pt idx="521">
                  <c:v>-1.2863749625957368</c:v>
                </c:pt>
                <c:pt idx="522">
                  <c:v>-1.2925572080218237</c:v>
                </c:pt>
                <c:pt idx="523">
                  <c:v>-1.2837265370108748</c:v>
                </c:pt>
                <c:pt idx="524">
                  <c:v>-1.3042243804434714</c:v>
                </c:pt>
                <c:pt idx="525">
                  <c:v>-1.2560017293405834</c:v>
                </c:pt>
                <c:pt idx="526">
                  <c:v>-1.0208258811003177</c:v>
                </c:pt>
                <c:pt idx="527">
                  <c:v>-1.0605736585504761</c:v>
                </c:pt>
                <c:pt idx="528">
                  <c:v>-1.0576736707238941</c:v>
                </c:pt>
                <c:pt idx="529">
                  <c:v>-1.0127786530951706</c:v>
                </c:pt>
                <c:pt idx="530">
                  <c:v>-1.0387672749579155</c:v>
                </c:pt>
                <c:pt idx="531">
                  <c:v>-1.0366189768550986</c:v>
                </c:pt>
                <c:pt idx="532">
                  <c:v>-1.0120833357315695</c:v>
                </c:pt>
                <c:pt idx="533">
                  <c:v>-1.0515618547385626</c:v>
                </c:pt>
                <c:pt idx="534">
                  <c:v>-1.077758196623178</c:v>
                </c:pt>
                <c:pt idx="535">
                  <c:v>-1.063326792042059</c:v>
                </c:pt>
                <c:pt idx="536">
                  <c:v>-1.0780121224600916</c:v>
                </c:pt>
                <c:pt idx="537">
                  <c:v>-1.0502128795749566</c:v>
                </c:pt>
                <c:pt idx="538">
                  <c:v>-1.0803660477669565</c:v>
                </c:pt>
                <c:pt idx="539">
                  <c:v>-1.1184522277496338</c:v>
                </c:pt>
                <c:pt idx="540">
                  <c:v>-1.1537109776985388</c:v>
                </c:pt>
                <c:pt idx="541">
                  <c:v>-1.1657021193123849</c:v>
                </c:pt>
                <c:pt idx="542">
                  <c:v>-1.1756441295765638</c:v>
                </c:pt>
                <c:pt idx="543">
                  <c:v>-1.180068582050477</c:v>
                </c:pt>
                <c:pt idx="544">
                  <c:v>-1.1535499660824768</c:v>
                </c:pt>
                <c:pt idx="545">
                  <c:v>-1.1396962479433466</c:v>
                </c:pt>
                <c:pt idx="546">
                  <c:v>-1.1275561113773671</c:v>
                </c:pt>
                <c:pt idx="547">
                  <c:v>-1.1135397095573674</c:v>
                </c:pt>
                <c:pt idx="548">
                  <c:v>-1.1117349076097482</c:v>
                </c:pt>
                <c:pt idx="549">
                  <c:v>-1.1400590704077878</c:v>
                </c:pt>
                <c:pt idx="550">
                  <c:v>-1.0953382283296627</c:v>
                </c:pt>
                <c:pt idx="551">
                  <c:v>-1.0948270481524212</c:v>
                </c:pt>
                <c:pt idx="552">
                  <c:v>-1.0879908333924213</c:v>
                </c:pt>
                <c:pt idx="553">
                  <c:v>-1.0724951195845782</c:v>
                </c:pt>
                <c:pt idx="554">
                  <c:v>-1.0611316997650977</c:v>
                </c:pt>
                <c:pt idx="555">
                  <c:v>-1.0325464712088477</c:v>
                </c:pt>
                <c:pt idx="556">
                  <c:v>-0.93292208474330141</c:v>
                </c:pt>
                <c:pt idx="557">
                  <c:v>-0.93821742983153655</c:v>
                </c:pt>
                <c:pt idx="558">
                  <c:v>-0.93395066959820328</c:v>
                </c:pt>
                <c:pt idx="559">
                  <c:v>-0.93382802962065237</c:v>
                </c:pt>
                <c:pt idx="560">
                  <c:v>-0.9362186447984302</c:v>
                </c:pt>
                <c:pt idx="561">
                  <c:v>-0.93448545886266376</c:v>
                </c:pt>
                <c:pt idx="562">
                  <c:v>-0.93506771359779894</c:v>
                </c:pt>
                <c:pt idx="563">
                  <c:v>-0.93563282579900375</c:v>
                </c:pt>
                <c:pt idx="564">
                  <c:v>-0.93114995583444671</c:v>
                </c:pt>
                <c:pt idx="565">
                  <c:v>-0.92793100453279376</c:v>
                </c:pt>
                <c:pt idx="566">
                  <c:v>-0.93509523030202446</c:v>
                </c:pt>
                <c:pt idx="567">
                  <c:v>-0.94521032347869116</c:v>
                </c:pt>
                <c:pt idx="568">
                  <c:v>-0.94180894530936599</c:v>
                </c:pt>
                <c:pt idx="569">
                  <c:v>-0.94426700095260929</c:v>
                </c:pt>
                <c:pt idx="570">
                  <c:v>-0.9386824400081647</c:v>
                </c:pt>
                <c:pt idx="571">
                  <c:v>-0.95190444578271016</c:v>
                </c:pt>
                <c:pt idx="572">
                  <c:v>-0.94868228098391505</c:v>
                </c:pt>
                <c:pt idx="573">
                  <c:v>-0.9468602519089151</c:v>
                </c:pt>
                <c:pt idx="574">
                  <c:v>-0.94539690241917151</c:v>
                </c:pt>
                <c:pt idx="575">
                  <c:v>-0.94477339989811882</c:v>
                </c:pt>
                <c:pt idx="576">
                  <c:v>-0.9388293133041794</c:v>
                </c:pt>
                <c:pt idx="577">
                  <c:v>-0.93356304240417942</c:v>
                </c:pt>
                <c:pt idx="578">
                  <c:v>-0.9454957538778197</c:v>
                </c:pt>
                <c:pt idx="579">
                  <c:v>-0.94566458041115298</c:v>
                </c:pt>
                <c:pt idx="580">
                  <c:v>-0.93202113088569161</c:v>
                </c:pt>
                <c:pt idx="581">
                  <c:v>-0.90730328244608371</c:v>
                </c:pt>
                <c:pt idx="582">
                  <c:v>-0.91046035347679244</c:v>
                </c:pt>
                <c:pt idx="583">
                  <c:v>-0.88786614054772262</c:v>
                </c:pt>
                <c:pt idx="584">
                  <c:v>-0.87801878674200828</c:v>
                </c:pt>
                <c:pt idx="585">
                  <c:v>-0.88666067474789068</c:v>
                </c:pt>
                <c:pt idx="586">
                  <c:v>-0.88702422411377291</c:v>
                </c:pt>
                <c:pt idx="587">
                  <c:v>-0.91345923238339322</c:v>
                </c:pt>
                <c:pt idx="588">
                  <c:v>-0.90300771404949487</c:v>
                </c:pt>
                <c:pt idx="589">
                  <c:v>-0.89228484845603695</c:v>
                </c:pt>
                <c:pt idx="590">
                  <c:v>-0.88111928778774429</c:v>
                </c:pt>
                <c:pt idx="591">
                  <c:v>-0.89458208280255913</c:v>
                </c:pt>
                <c:pt idx="592">
                  <c:v>-0.91806076248973845</c:v>
                </c:pt>
                <c:pt idx="593">
                  <c:v>-0.85997628996050768</c:v>
                </c:pt>
                <c:pt idx="594">
                  <c:v>-0.87764831148682354</c:v>
                </c:pt>
                <c:pt idx="595">
                  <c:v>-0.90605290169455843</c:v>
                </c:pt>
                <c:pt idx="596">
                  <c:v>-0.89219026935114187</c:v>
                </c:pt>
                <c:pt idx="597">
                  <c:v>-0.89494572382386928</c:v>
                </c:pt>
                <c:pt idx="598">
                  <c:v>-0.88739728194886924</c:v>
                </c:pt>
                <c:pt idx="599">
                  <c:v>-0.88385526732233866</c:v>
                </c:pt>
                <c:pt idx="600">
                  <c:v>-0.8790980175969656</c:v>
                </c:pt>
                <c:pt idx="601">
                  <c:v>-0.87348939604742415</c:v>
                </c:pt>
                <c:pt idx="602">
                  <c:v>-0.8693349364108528</c:v>
                </c:pt>
                <c:pt idx="603">
                  <c:v>-0.88702853920292335</c:v>
                </c:pt>
                <c:pt idx="604">
                  <c:v>-0.88903334795902078</c:v>
                </c:pt>
                <c:pt idx="605">
                  <c:v>-0.87559243471049153</c:v>
                </c:pt>
                <c:pt idx="606">
                  <c:v>-0.88037692796719247</c:v>
                </c:pt>
                <c:pt idx="607">
                  <c:v>-0.85708667009390493</c:v>
                </c:pt>
                <c:pt idx="608">
                  <c:v>-0.83688973103121855</c:v>
                </c:pt>
                <c:pt idx="609">
                  <c:v>-0.83317312395797893</c:v>
                </c:pt>
                <c:pt idx="610">
                  <c:v>-0.83317312395797871</c:v>
                </c:pt>
                <c:pt idx="611">
                  <c:v>-0.82655747594399254</c:v>
                </c:pt>
                <c:pt idx="612">
                  <c:v>-0.79234744916958622</c:v>
                </c:pt>
                <c:pt idx="613">
                  <c:v>-0.78715769077672881</c:v>
                </c:pt>
                <c:pt idx="614">
                  <c:v>-0.76492804346640431</c:v>
                </c:pt>
                <c:pt idx="615">
                  <c:v>-0.75583534833040444</c:v>
                </c:pt>
                <c:pt idx="616">
                  <c:v>-0.75655769601611866</c:v>
                </c:pt>
                <c:pt idx="617">
                  <c:v>-0.74126867516384587</c:v>
                </c:pt>
                <c:pt idx="618">
                  <c:v>-0.71729801395597192</c:v>
                </c:pt>
                <c:pt idx="619">
                  <c:v>-0.63892403326134095</c:v>
                </c:pt>
                <c:pt idx="620">
                  <c:v>-0.59946981819649237</c:v>
                </c:pt>
                <c:pt idx="621">
                  <c:v>-0.62864258946743268</c:v>
                </c:pt>
                <c:pt idx="622">
                  <c:v>-0.6212933668594679</c:v>
                </c:pt>
                <c:pt idx="623">
                  <c:v>-0.61572149292957867</c:v>
                </c:pt>
                <c:pt idx="624">
                  <c:v>-0.61934535461246154</c:v>
                </c:pt>
                <c:pt idx="625">
                  <c:v>-0.61381989848202667</c:v>
                </c:pt>
                <c:pt idx="626">
                  <c:v>-0.61102855935287426</c:v>
                </c:pt>
                <c:pt idx="627">
                  <c:v>-0.58767342510013454</c:v>
                </c:pt>
                <c:pt idx="628">
                  <c:v>-0.5731162464096583</c:v>
                </c:pt>
                <c:pt idx="629">
                  <c:v>-0.5559453996832433</c:v>
                </c:pt>
                <c:pt idx="630">
                  <c:v>-0.53178010125327202</c:v>
                </c:pt>
                <c:pt idx="631">
                  <c:v>-0.51362975726521232</c:v>
                </c:pt>
                <c:pt idx="632">
                  <c:v>-0.48297100261104575</c:v>
                </c:pt>
                <c:pt idx="633">
                  <c:v>-0.44055381668104576</c:v>
                </c:pt>
                <c:pt idx="634">
                  <c:v>-0.46709335244585559</c:v>
                </c:pt>
                <c:pt idx="635">
                  <c:v>-0.56974198093908368</c:v>
                </c:pt>
                <c:pt idx="636">
                  <c:v>-0.49962348592145844</c:v>
                </c:pt>
                <c:pt idx="637">
                  <c:v>-0.44540741653959326</c:v>
                </c:pt>
                <c:pt idx="638">
                  <c:v>-0.37568910393359067</c:v>
                </c:pt>
                <c:pt idx="639">
                  <c:v>-0.36318932647052748</c:v>
                </c:pt>
                <c:pt idx="640">
                  <c:v>-0.31185233328590212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37-4DB2-A572-3C37266AF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0616944"/>
        <c:axId val="457247184"/>
      </c:lineChart>
      <c:dateAx>
        <c:axId val="5206169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247184"/>
        <c:crosses val="autoZero"/>
        <c:auto val="1"/>
        <c:lblOffset val="100"/>
        <c:baseTimeUnit val="days"/>
      </c:dateAx>
      <c:valAx>
        <c:axId val="45724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16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370C422-94A0-4F04-AB46-F63CBEBF4EEA}">
  <sheetPr codeName="Chart1"/>
  <sheetViews>
    <sheetView zoomScale="9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4725" cy="607087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58EFE8D-C902-4BC2-8A3C-DC63E382795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3.4140999999999999</v>
      </c>
      <c r="D2" s="4">
        <f>MIN(D3:D1912)</f>
        <v>0.10150000000000001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0.86419999999999997</v>
      </c>
      <c r="C5">
        <v>0.89480000000000004</v>
      </c>
      <c r="D5">
        <v>0.85299999999999998</v>
      </c>
      <c r="E5">
        <v>0.85340000000000005</v>
      </c>
      <c r="F5">
        <v>281825</v>
      </c>
      <c r="G5">
        <v>0.85340000000000005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-0.98086124401913555</v>
      </c>
      <c r="Q5">
        <f t="shared" ref="Q5" si="1">F5*P5</f>
        <v>-276431.2200956929</v>
      </c>
      <c r="R5">
        <f t="shared" ref="R5" si="2">R6+Q5</f>
        <v>-86140987.900395483</v>
      </c>
      <c r="S5">
        <f t="shared" ref="S5" si="3">R5/100000</f>
        <v>-861.40987900395487</v>
      </c>
      <c r="T5">
        <f t="shared" ref="T5" si="4">S5/1000</f>
        <v>-0.86140987900395483</v>
      </c>
    </row>
    <row r="6" spans="1:20" x14ac:dyDescent="0.25">
      <c r="A6" s="5">
        <v>44587</v>
      </c>
      <c r="B6">
        <v>0.83909999999999996</v>
      </c>
      <c r="C6">
        <v>0.97189999999999999</v>
      </c>
      <c r="D6">
        <v>0.83260000000000001</v>
      </c>
      <c r="E6">
        <v>0.86729999999999996</v>
      </c>
      <c r="F6">
        <v>5150211</v>
      </c>
      <c r="G6">
        <v>0.86729999999999996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-0.50179468772433655</v>
      </c>
      <c r="Q6">
        <f t="shared" ref="Q6" si="6">F6*P6</f>
        <v>-2584348.5204594429</v>
      </c>
      <c r="R6">
        <f t="shared" ref="R6" si="7">R7+Q6</f>
        <v>-85864556.680299789</v>
      </c>
      <c r="S6">
        <f t="shared" ref="S6" si="8">R6/100000</f>
        <v>-858.64556680299791</v>
      </c>
      <c r="T6">
        <f t="shared" ref="T6" si="9">S6/1000</f>
        <v>-0.85864556680299786</v>
      </c>
    </row>
    <row r="7" spans="1:20" x14ac:dyDescent="0.25">
      <c r="A7" s="5">
        <v>44586</v>
      </c>
      <c r="B7">
        <v>0.84619999999999995</v>
      </c>
      <c r="C7">
        <v>0.84619999999999995</v>
      </c>
      <c r="D7">
        <v>0.78139999999999998</v>
      </c>
      <c r="E7">
        <v>0.83909999999999996</v>
      </c>
      <c r="F7">
        <v>1590005</v>
      </c>
      <c r="G7">
        <v>0.83909999999999996</v>
      </c>
      <c r="L7" t="s">
        <v>7</v>
      </c>
      <c r="M7" t="s">
        <v>8</v>
      </c>
      <c r="N7" t="s">
        <v>7</v>
      </c>
      <c r="P7">
        <f t="shared" ref="P7" si="10">IF(C7=D7,0,((E7-D7)-(C7-E7))/(C7-D7))</f>
        <v>0.78086419753086422</v>
      </c>
      <c r="Q7">
        <f t="shared" ref="Q7" si="11">F7*P7</f>
        <v>1241577.9783950618</v>
      </c>
      <c r="R7">
        <f t="shared" ref="R7" si="12">R8+Q7</f>
        <v>-83280208.159840345</v>
      </c>
      <c r="S7">
        <f t="shared" ref="S7" si="13">R7/100000</f>
        <v>-832.80208159840345</v>
      </c>
      <c r="T7">
        <f t="shared" ref="T7" si="14">S7/1000</f>
        <v>-0.83280208159840341</v>
      </c>
    </row>
    <row r="8" spans="1:20" x14ac:dyDescent="0.25">
      <c r="A8" s="5">
        <v>44585</v>
      </c>
      <c r="B8">
        <v>0.83899999999999997</v>
      </c>
      <c r="C8">
        <v>0.88390000000000002</v>
      </c>
      <c r="D8">
        <v>0.71199999999999997</v>
      </c>
      <c r="E8">
        <v>0.84850000000000003</v>
      </c>
      <c r="F8">
        <v>5177475</v>
      </c>
      <c r="G8">
        <v>0.84850000000000003</v>
      </c>
      <c r="L8" t="s">
        <v>8</v>
      </c>
      <c r="M8" t="s">
        <v>8</v>
      </c>
      <c r="N8" t="s">
        <v>7</v>
      </c>
      <c r="P8">
        <f t="shared" ref="P8" si="15">IF(C8=D8,0,((E8-D8)-(C8-E8))/(C8-D8))</f>
        <v>0.58813263525305437</v>
      </c>
      <c r="Q8">
        <f t="shared" ref="Q8" si="16">F8*P8</f>
        <v>3045042.0157068078</v>
      </c>
      <c r="R8">
        <f t="shared" ref="R8" si="17">R9+Q8</f>
        <v>-84521786.138235405</v>
      </c>
      <c r="S8">
        <f t="shared" ref="S8" si="18">R8/100000</f>
        <v>-845.21786138235404</v>
      </c>
      <c r="T8">
        <f t="shared" ref="T8" si="19">S8/1000</f>
        <v>-0.845217861382354</v>
      </c>
    </row>
    <row r="9" spans="1:20" x14ac:dyDescent="0.25">
      <c r="A9" s="5">
        <v>44584</v>
      </c>
      <c r="B9">
        <v>0.80089999999999995</v>
      </c>
      <c r="C9">
        <v>0.85940000000000005</v>
      </c>
      <c r="D9">
        <v>0.78669999999999995</v>
      </c>
      <c r="E9">
        <v>0.83899999999999997</v>
      </c>
      <c r="F9">
        <v>2199538</v>
      </c>
      <c r="G9">
        <v>0.83899999999999997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0.43878954607977833</v>
      </c>
      <c r="Q9">
        <f t="shared" ref="Q9" si="21">F9*P9</f>
        <v>965134.2806052235</v>
      </c>
      <c r="R9">
        <f t="shared" ref="R9" si="22">R10+Q9</f>
        <v>-87566828.153942212</v>
      </c>
      <c r="S9">
        <f t="shared" ref="S9" si="23">R9/100000</f>
        <v>-875.66828153942208</v>
      </c>
      <c r="T9">
        <f t="shared" ref="T9" si="24">S9/1000</f>
        <v>-0.87566828153942211</v>
      </c>
    </row>
    <row r="10" spans="1:20" x14ac:dyDescent="0.25">
      <c r="A10" s="5">
        <v>44583</v>
      </c>
      <c r="B10">
        <v>0.90400000000000003</v>
      </c>
      <c r="C10">
        <v>0.91639999999999999</v>
      </c>
      <c r="D10">
        <v>0.71020000000000005</v>
      </c>
      <c r="E10">
        <v>0.79869999999999997</v>
      </c>
      <c r="F10">
        <v>4843515</v>
      </c>
      <c r="G10">
        <v>0.79869999999999997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-0.14161008729389002</v>
      </c>
      <c r="Q10">
        <f t="shared" ref="Q10" si="26">F10*P10</f>
        <v>-685890.58195926575</v>
      </c>
      <c r="R10">
        <f t="shared" ref="R10" si="27">R11+Q10</f>
        <v>-88531962.434547439</v>
      </c>
      <c r="S10">
        <f t="shared" ref="S10" si="28">R10/100000</f>
        <v>-885.31962434547438</v>
      </c>
      <c r="T10">
        <f t="shared" ref="T10" si="29">S10/1000</f>
        <v>-0.8853196243454744</v>
      </c>
    </row>
    <row r="11" spans="1:20" x14ac:dyDescent="0.25">
      <c r="A11" s="5">
        <v>44582</v>
      </c>
      <c r="B11">
        <v>1.07</v>
      </c>
      <c r="C11">
        <v>1.0912999999999999</v>
      </c>
      <c r="D11">
        <v>0.87260000000000004</v>
      </c>
      <c r="E11">
        <v>0.90600000000000003</v>
      </c>
      <c r="F11">
        <v>5578938</v>
      </c>
      <c r="G11">
        <v>0.90600000000000003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-0.69455875628715136</v>
      </c>
      <c r="Q11">
        <f t="shared" ref="Q11" si="31">F11*P11</f>
        <v>-3874900.2386831278</v>
      </c>
      <c r="R11">
        <f t="shared" ref="R11" si="32">R12+Q11</f>
        <v>-87846071.852588177</v>
      </c>
      <c r="S11">
        <f t="shared" ref="S11" si="33">R11/100000</f>
        <v>-878.46071852588182</v>
      </c>
      <c r="T11">
        <f t="shared" ref="T11" si="34">S11/1000</f>
        <v>-0.87846071852588181</v>
      </c>
    </row>
    <row r="12" spans="1:20" x14ac:dyDescent="0.25">
      <c r="A12" s="5">
        <v>44581</v>
      </c>
      <c r="B12">
        <v>1.1386000000000001</v>
      </c>
      <c r="C12">
        <v>1.1915</v>
      </c>
      <c r="D12">
        <v>1.0661</v>
      </c>
      <c r="E12">
        <v>1.0699000000000001</v>
      </c>
      <c r="F12">
        <v>1829657</v>
      </c>
      <c r="G12">
        <v>1.0699000000000001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-0.939393939393939</v>
      </c>
      <c r="Q12">
        <f t="shared" ref="Q12" si="36">F12*P12</f>
        <v>-1718768.6969696963</v>
      </c>
      <c r="R12">
        <f t="shared" ref="R12" si="37">R13+Q12</f>
        <v>-83971171.613905042</v>
      </c>
      <c r="S12">
        <f t="shared" ref="S12" si="38">R12/100000</f>
        <v>-839.7117161390504</v>
      </c>
      <c r="T12">
        <f t="shared" ref="T12" si="39">S12/1000</f>
        <v>-0.83971171613905038</v>
      </c>
    </row>
    <row r="13" spans="1:20" x14ac:dyDescent="0.25">
      <c r="A13" s="5">
        <v>44580</v>
      </c>
      <c r="B13">
        <v>1.216</v>
      </c>
      <c r="C13">
        <v>1.2413000000000001</v>
      </c>
      <c r="D13">
        <v>1.1133</v>
      </c>
      <c r="E13">
        <v>1.1386000000000001</v>
      </c>
      <c r="F13">
        <v>1569134</v>
      </c>
      <c r="G13">
        <v>1.1386000000000001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-0.60468749999999882</v>
      </c>
      <c r="Q13">
        <f t="shared" ref="Q13" si="41">F13*P13</f>
        <v>-948835.71562499821</v>
      </c>
      <c r="R13">
        <f t="shared" ref="R13" si="42">R14+Q13</f>
        <v>-82252402.91693534</v>
      </c>
      <c r="S13">
        <f t="shared" ref="S13" si="43">R13/100000</f>
        <v>-822.52402916935341</v>
      </c>
      <c r="T13">
        <f t="shared" ref="T13" si="44">S13/1000</f>
        <v>-0.82252402916935341</v>
      </c>
    </row>
    <row r="14" spans="1:20" x14ac:dyDescent="0.25">
      <c r="A14" s="5">
        <v>44579</v>
      </c>
      <c r="B14">
        <v>1.2571000000000001</v>
      </c>
      <c r="C14">
        <v>1.2605999999999999</v>
      </c>
      <c r="D14">
        <v>1.1752</v>
      </c>
      <c r="E14">
        <v>1.2149000000000001</v>
      </c>
      <c r="F14">
        <v>1163451</v>
      </c>
      <c r="G14">
        <v>1.2149000000000001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-7.0257611241215323E-2</v>
      </c>
      <c r="Q14">
        <f t="shared" ref="Q14" si="46">F14*P14</f>
        <v>-81741.288056203208</v>
      </c>
      <c r="R14">
        <f t="shared" ref="R14" si="47">R15+Q14</f>
        <v>-81303567.201310337</v>
      </c>
      <c r="S14">
        <f t="shared" ref="S14" si="48">R14/100000</f>
        <v>-813.03567201310341</v>
      </c>
      <c r="T14">
        <f t="shared" ref="T14" si="49">S14/1000</f>
        <v>-0.81303567201310345</v>
      </c>
    </row>
    <row r="15" spans="1:20" x14ac:dyDescent="0.25">
      <c r="A15" s="5">
        <v>44578</v>
      </c>
      <c r="B15">
        <v>1.3192999999999999</v>
      </c>
      <c r="C15">
        <v>1.3193999999999999</v>
      </c>
      <c r="D15">
        <v>1.2434000000000001</v>
      </c>
      <c r="E15">
        <v>1.2561</v>
      </c>
      <c r="F15">
        <v>1150002</v>
      </c>
      <c r="G15">
        <v>1.2561</v>
      </c>
      <c r="L15" t="s">
        <v>8</v>
      </c>
      <c r="M15" t="s">
        <v>7</v>
      </c>
      <c r="N15" t="s">
        <v>7</v>
      </c>
      <c r="P15">
        <f t="shared" ref="P15" si="50">IF(C15=D15,0,((E15-D15)-(C15-E15))/(C15-D15))</f>
        <v>-0.6657894736842116</v>
      </c>
      <c r="Q15">
        <f t="shared" ref="Q15" si="51">F15*P15</f>
        <v>-765659.22631579067</v>
      </c>
      <c r="R15">
        <f t="shared" ref="R15" si="52">R16+Q15</f>
        <v>-81221825.913254127</v>
      </c>
      <c r="S15">
        <f t="shared" ref="S15" si="53">R15/100000</f>
        <v>-812.21825913254122</v>
      </c>
      <c r="T15">
        <f t="shared" ref="T15" si="54">S15/1000</f>
        <v>-0.8122182591325412</v>
      </c>
    </row>
    <row r="16" spans="1:20" x14ac:dyDescent="0.25">
      <c r="A16" s="5">
        <v>44577</v>
      </c>
      <c r="B16">
        <v>1.3281000000000001</v>
      </c>
      <c r="C16">
        <v>1.3281000000000001</v>
      </c>
      <c r="D16">
        <v>1.2856000000000001</v>
      </c>
      <c r="E16">
        <v>1.3192999999999999</v>
      </c>
      <c r="F16">
        <v>852711</v>
      </c>
      <c r="G16">
        <v>1.3192999999999999</v>
      </c>
      <c r="L16" t="s">
        <v>8</v>
      </c>
      <c r="M16" t="s">
        <v>7</v>
      </c>
      <c r="N16" t="s">
        <v>7</v>
      </c>
      <c r="P16">
        <f t="shared" ref="P16" si="55">IF(C16=D16,0,((E16-D16)-(C16-E16))/(C16-D16))</f>
        <v>0.58588235294116964</v>
      </c>
      <c r="Q16">
        <f t="shared" ref="Q16" si="56">F16*P16</f>
        <v>499588.32705881773</v>
      </c>
      <c r="R16">
        <f t="shared" ref="R16" si="57">R17+Q16</f>
        <v>-80456166.686938331</v>
      </c>
      <c r="S16">
        <f t="shared" ref="S16" si="58">R16/100000</f>
        <v>-804.56166686938332</v>
      </c>
      <c r="T16">
        <f t="shared" ref="T16" si="59">S16/1000</f>
        <v>-0.80456166686938335</v>
      </c>
    </row>
    <row r="17" spans="1:20" x14ac:dyDescent="0.25">
      <c r="A17" s="5">
        <v>44576</v>
      </c>
      <c r="B17">
        <v>1.3110999999999999</v>
      </c>
      <c r="C17">
        <v>1.3421000000000001</v>
      </c>
      <c r="D17">
        <v>1.2861</v>
      </c>
      <c r="E17">
        <v>1.3272999999999999</v>
      </c>
      <c r="F17">
        <v>1170914</v>
      </c>
      <c r="G17">
        <v>1.3272999999999999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0.47142857142856665</v>
      </c>
      <c r="Q17">
        <f t="shared" ref="Q17" si="61">F17*P17</f>
        <v>552002.31428570871</v>
      </c>
      <c r="R17">
        <f t="shared" ref="R17" si="62">R18+Q17</f>
        <v>-80955755.013997152</v>
      </c>
      <c r="S17">
        <f t="shared" ref="S17" si="63">R17/100000</f>
        <v>-809.55755013997157</v>
      </c>
      <c r="T17">
        <f t="shared" ref="T17" si="64">S17/1000</f>
        <v>-0.80955755013997155</v>
      </c>
    </row>
    <row r="18" spans="1:20" x14ac:dyDescent="0.25">
      <c r="A18" s="5">
        <v>44575</v>
      </c>
      <c r="B18">
        <v>1.2923</v>
      </c>
      <c r="C18">
        <v>1.3524</v>
      </c>
      <c r="D18">
        <v>1.234</v>
      </c>
      <c r="E18">
        <v>1.31</v>
      </c>
      <c r="F18">
        <v>1435932</v>
      </c>
      <c r="G18">
        <v>1.31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0.28378378378378427</v>
      </c>
      <c r="Q18">
        <f t="shared" ref="Q18" si="66">F18*P18</f>
        <v>407494.21621621691</v>
      </c>
      <c r="R18">
        <f t="shared" ref="R18" si="67">R19+Q18</f>
        <v>-81507757.328282863</v>
      </c>
      <c r="S18">
        <f t="shared" ref="S18" si="68">R18/100000</f>
        <v>-815.07757328282867</v>
      </c>
      <c r="T18">
        <f t="shared" ref="T18" si="69">S18/1000</f>
        <v>-0.8150775732828287</v>
      </c>
    </row>
    <row r="19" spans="1:20" x14ac:dyDescent="0.25">
      <c r="A19" s="5">
        <v>44574</v>
      </c>
      <c r="B19">
        <v>1.3788</v>
      </c>
      <c r="C19">
        <v>1.3804000000000001</v>
      </c>
      <c r="D19">
        <v>1.2787999999999999</v>
      </c>
      <c r="E19">
        <v>1.2902</v>
      </c>
      <c r="F19">
        <v>1379222</v>
      </c>
      <c r="G19">
        <v>1.2902</v>
      </c>
      <c r="L19" t="s">
        <v>7</v>
      </c>
      <c r="M19" t="s">
        <v>7</v>
      </c>
      <c r="N19" t="s">
        <v>7</v>
      </c>
      <c r="P19">
        <f t="shared" ref="P19" si="70">IF(C19=D19,0,((E19-D19)-(C19-E19))/(C19-D19))</f>
        <v>-0.7755905511811011</v>
      </c>
      <c r="Q19">
        <f t="shared" ref="Q19" si="71">F19*P19</f>
        <v>-1069711.5511811005</v>
      </c>
      <c r="R19">
        <f t="shared" ref="R19" si="72">R20+Q19</f>
        <v>-81915251.544499084</v>
      </c>
      <c r="S19">
        <f t="shared" ref="S19" si="73">R19/100000</f>
        <v>-819.15251544499085</v>
      </c>
      <c r="T19">
        <f t="shared" ref="T19" si="74">S19/1000</f>
        <v>-0.8191525154449909</v>
      </c>
    </row>
    <row r="20" spans="1:20" x14ac:dyDescent="0.25">
      <c r="A20" s="5">
        <v>44573</v>
      </c>
      <c r="B20">
        <v>1.3112999999999999</v>
      </c>
      <c r="C20">
        <v>1.3816999999999999</v>
      </c>
      <c r="D20">
        <v>1.2634000000000001</v>
      </c>
      <c r="E20">
        <v>1.3807</v>
      </c>
      <c r="F20">
        <v>1436406</v>
      </c>
      <c r="G20">
        <v>1.3807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0.98309382924767719</v>
      </c>
      <c r="Q20">
        <f t="shared" ref="Q20" si="76">F20*P20</f>
        <v>1412121.8748943389</v>
      </c>
      <c r="R20">
        <f t="shared" ref="R20" si="77">R21+Q20</f>
        <v>-80845539.993317977</v>
      </c>
      <c r="S20">
        <f t="shared" ref="S20" si="78">R20/100000</f>
        <v>-808.45539993317982</v>
      </c>
      <c r="T20">
        <f t="shared" ref="T20" si="79">S20/1000</f>
        <v>-0.80845539993317983</v>
      </c>
    </row>
    <row r="21" spans="1:20" x14ac:dyDescent="0.25">
      <c r="A21" s="5">
        <v>44572</v>
      </c>
      <c r="B21">
        <v>1.2679</v>
      </c>
      <c r="C21">
        <v>1.3187</v>
      </c>
      <c r="D21">
        <v>1.1931</v>
      </c>
      <c r="E21">
        <v>1.3102</v>
      </c>
      <c r="F21">
        <v>3294755</v>
      </c>
      <c r="G21">
        <v>1.3102</v>
      </c>
      <c r="L21" t="s">
        <v>7</v>
      </c>
      <c r="M21" t="s">
        <v>7</v>
      </c>
      <c r="N21" t="s">
        <v>7</v>
      </c>
      <c r="P21">
        <f t="shared" ref="P21" si="80">IF(C21=D21,0,((E21-D21)-(C21-E21))/(C21-D21))</f>
        <v>0.86464968152866306</v>
      </c>
      <c r="Q21">
        <f t="shared" ref="Q21" si="81">F21*P21</f>
        <v>2848808.8614649703</v>
      </c>
      <c r="R21">
        <f t="shared" ref="R21" si="82">R22+Q21</f>
        <v>-82257661.868212312</v>
      </c>
      <c r="S21">
        <f t="shared" ref="S21" si="83">R21/100000</f>
        <v>-822.57661868212313</v>
      </c>
      <c r="T21">
        <f t="shared" ref="T21" si="84">S21/1000</f>
        <v>-0.82257661868212317</v>
      </c>
    </row>
    <row r="22" spans="1:20" x14ac:dyDescent="0.25">
      <c r="A22" s="5">
        <v>44571</v>
      </c>
      <c r="B22">
        <v>1.3334999999999999</v>
      </c>
      <c r="C22">
        <v>1.4054</v>
      </c>
      <c r="D22">
        <v>1.1768000000000001</v>
      </c>
      <c r="E22">
        <v>1.2679</v>
      </c>
      <c r="F22">
        <v>3890154</v>
      </c>
      <c r="G22">
        <v>1.2679</v>
      </c>
      <c r="L22" t="s">
        <v>8</v>
      </c>
      <c r="M22" t="s">
        <v>7</v>
      </c>
      <c r="N22" t="s">
        <v>7</v>
      </c>
      <c r="P22">
        <f t="shared" ref="P22" si="85">IF(C22=D22,0,((E22-D22)-(C22-E22))/(C22-D22))</f>
        <v>-0.20297462817147863</v>
      </c>
      <c r="Q22">
        <f t="shared" ref="Q22" si="86">F22*P22</f>
        <v>-789602.56167979026</v>
      </c>
      <c r="R22">
        <f t="shared" ref="R22" si="87">R23+Q22</f>
        <v>-85106470.72967729</v>
      </c>
      <c r="S22">
        <f t="shared" ref="S22" si="88">R22/100000</f>
        <v>-851.06470729677289</v>
      </c>
      <c r="T22">
        <f t="shared" ref="T22" si="89">S22/1000</f>
        <v>-0.85106470729677286</v>
      </c>
    </row>
    <row r="23" spans="1:20" x14ac:dyDescent="0.25">
      <c r="A23" s="5">
        <v>44570</v>
      </c>
      <c r="B23">
        <v>1.3208</v>
      </c>
      <c r="C23">
        <v>1.3811</v>
      </c>
      <c r="D23">
        <v>1.2856000000000001</v>
      </c>
      <c r="E23">
        <v>1.3331</v>
      </c>
      <c r="F23">
        <v>2322255</v>
      </c>
      <c r="G23">
        <v>1.3331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-5.235602094242591E-3</v>
      </c>
      <c r="Q23">
        <f t="shared" ref="Q23" si="91">F23*P23</f>
        <v>-12158.403141365328</v>
      </c>
      <c r="R23">
        <f t="shared" ref="R23" si="92">R24+Q23</f>
        <v>-84316868.167997494</v>
      </c>
      <c r="S23">
        <f t="shared" ref="S23" si="93">R23/100000</f>
        <v>-843.16868167997495</v>
      </c>
      <c r="T23">
        <f t="shared" ref="T23" si="94">S23/1000</f>
        <v>-0.84316868167997494</v>
      </c>
    </row>
    <row r="24" spans="1:20" x14ac:dyDescent="0.25">
      <c r="A24" s="5">
        <v>44569</v>
      </c>
      <c r="B24">
        <v>1.3643000000000001</v>
      </c>
      <c r="C24">
        <v>1.3960999999999999</v>
      </c>
      <c r="D24">
        <v>1.2630999999999999</v>
      </c>
      <c r="E24">
        <v>1.3208</v>
      </c>
      <c r="F24">
        <v>3028151</v>
      </c>
      <c r="G24">
        <v>1.3208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-0.13233082706766794</v>
      </c>
      <c r="Q24">
        <f t="shared" ref="Q24" si="96">F24*P24</f>
        <v>-400717.72631578572</v>
      </c>
      <c r="R24">
        <f t="shared" ref="R24" si="97">R25+Q24</f>
        <v>-84304709.76485613</v>
      </c>
      <c r="S24">
        <f t="shared" ref="S24" si="98">R24/100000</f>
        <v>-843.04709764856125</v>
      </c>
      <c r="T24">
        <f t="shared" ref="T24" si="99">S24/1000</f>
        <v>-0.84304709764856123</v>
      </c>
    </row>
    <row r="25" spans="1:20" x14ac:dyDescent="0.25">
      <c r="A25" s="5">
        <v>44568</v>
      </c>
      <c r="B25">
        <v>1.4858</v>
      </c>
      <c r="C25">
        <v>1.5058</v>
      </c>
      <c r="D25">
        <v>1.3422000000000001</v>
      </c>
      <c r="E25">
        <v>1.3612</v>
      </c>
      <c r="F25">
        <v>2809182</v>
      </c>
      <c r="G25">
        <v>1.3612</v>
      </c>
      <c r="L25" t="s">
        <v>7</v>
      </c>
      <c r="M25" t="s">
        <v>7</v>
      </c>
      <c r="N25" t="s">
        <v>8</v>
      </c>
      <c r="P25">
        <f t="shared" ref="P25" si="100">IF(C25=D25,0,((E25-D25)-(C25-E25))/(C25-D25))</f>
        <v>-0.76772616136919425</v>
      </c>
      <c r="Q25">
        <f t="shared" ref="Q25" si="101">F25*P25</f>
        <v>-2156682.513447436</v>
      </c>
      <c r="R25">
        <f t="shared" ref="R25" si="102">R26+Q25</f>
        <v>-83903992.038540348</v>
      </c>
      <c r="S25">
        <f t="shared" ref="S25" si="103">R25/100000</f>
        <v>-839.03992038540343</v>
      </c>
      <c r="T25">
        <f t="shared" ref="T25" si="104">S25/1000</f>
        <v>-0.83903992038540343</v>
      </c>
    </row>
    <row r="26" spans="1:20" x14ac:dyDescent="0.25">
      <c r="A26" s="5">
        <v>44567</v>
      </c>
      <c r="B26">
        <v>1.5175000000000001</v>
      </c>
      <c r="C26">
        <v>1.5839000000000001</v>
      </c>
      <c r="D26">
        <v>1.3929</v>
      </c>
      <c r="E26">
        <v>1.4867999999999999</v>
      </c>
      <c r="F26">
        <v>3665713</v>
      </c>
      <c r="G26">
        <v>1.4867999999999999</v>
      </c>
      <c r="L26" t="s">
        <v>7</v>
      </c>
      <c r="M26" t="s">
        <v>7</v>
      </c>
      <c r="N26" t="s">
        <v>8</v>
      </c>
      <c r="P26">
        <f t="shared" ref="P26" si="105">IF(C26=D26,0,((E26-D26)-(C26-E26))/(C26-D26))</f>
        <v>-1.6753926701572316E-2</v>
      </c>
      <c r="Q26">
        <f t="shared" ref="Q26" si="106">F26*P26</f>
        <v>-61415.086911000762</v>
      </c>
      <c r="R26">
        <f t="shared" ref="R26" si="107">R27+Q26</f>
        <v>-81747309.525092915</v>
      </c>
      <c r="S26">
        <f t="shared" ref="S26" si="108">R26/100000</f>
        <v>-817.47309525092919</v>
      </c>
      <c r="T26">
        <f t="shared" ref="T26" si="109">S26/1000</f>
        <v>-0.81747309525092915</v>
      </c>
    </row>
    <row r="27" spans="1:20" x14ac:dyDescent="0.25">
      <c r="A27" s="5">
        <v>44566</v>
      </c>
      <c r="B27">
        <v>1.5925</v>
      </c>
      <c r="C27">
        <v>1.7199</v>
      </c>
      <c r="D27">
        <v>1.3831</v>
      </c>
      <c r="E27">
        <v>1.5148999999999999</v>
      </c>
      <c r="F27">
        <v>5035569</v>
      </c>
      <c r="G27">
        <v>1.5148999999999999</v>
      </c>
      <c r="L27" t="s">
        <v>8</v>
      </c>
      <c r="M27" t="s">
        <v>7</v>
      </c>
      <c r="N27" t="s">
        <v>8</v>
      </c>
      <c r="P27">
        <f t="shared" ref="P27" si="110">IF(C27=D27,0,((E27-D27)-(C27-E27))/(C27-D27))</f>
        <v>-0.21733966745843278</v>
      </c>
      <c r="Q27">
        <f t="shared" ref="Q27" si="111">F27*P27</f>
        <v>-1094428.8919239929</v>
      </c>
      <c r="R27">
        <f t="shared" ref="R27" si="112">R28+Q27</f>
        <v>-81685894.438181907</v>
      </c>
      <c r="S27">
        <f t="shared" ref="S27" si="113">R27/100000</f>
        <v>-816.85894438181901</v>
      </c>
      <c r="T27">
        <f t="shared" ref="T27" si="114">S27/1000</f>
        <v>-0.81685894438181905</v>
      </c>
    </row>
    <row r="28" spans="1:20" x14ac:dyDescent="0.25">
      <c r="A28" s="5">
        <v>44565</v>
      </c>
      <c r="B28">
        <v>1.6307</v>
      </c>
      <c r="C28">
        <v>1.6778</v>
      </c>
      <c r="D28">
        <v>1.5671999999999999</v>
      </c>
      <c r="E28">
        <v>1.5925</v>
      </c>
      <c r="F28">
        <v>2024704</v>
      </c>
      <c r="G28">
        <v>1.5925</v>
      </c>
      <c r="L28" t="s">
        <v>8</v>
      </c>
      <c r="M28" t="s">
        <v>8</v>
      </c>
      <c r="N28" t="s">
        <v>8</v>
      </c>
      <c r="P28">
        <f t="shared" ref="P28" si="115">IF(C28=D28,0,((E28-D28)-(C28-E28))/(C28-D28))</f>
        <v>-0.54249547920433827</v>
      </c>
      <c r="Q28">
        <f t="shared" ref="Q28" si="116">F28*P28</f>
        <v>-1098392.7667269404</v>
      </c>
      <c r="R28">
        <f t="shared" ref="R28" si="117">R29+Q28</f>
        <v>-80591465.546257913</v>
      </c>
      <c r="S28">
        <f t="shared" ref="S28" si="118">R28/100000</f>
        <v>-805.91465546257916</v>
      </c>
      <c r="T28">
        <f t="shared" ref="T28" si="119">S28/1000</f>
        <v>-0.80591465546257912</v>
      </c>
    </row>
    <row r="29" spans="1:20" x14ac:dyDescent="0.25">
      <c r="A29" s="5">
        <v>44564</v>
      </c>
      <c r="B29">
        <v>1.7285999999999999</v>
      </c>
      <c r="C29">
        <v>1.7499</v>
      </c>
      <c r="D29">
        <v>1.5759000000000001</v>
      </c>
      <c r="E29">
        <v>1.6303000000000001</v>
      </c>
      <c r="F29">
        <v>3891670</v>
      </c>
      <c r="G29">
        <v>1.6303000000000001</v>
      </c>
      <c r="L29" t="s">
        <v>7</v>
      </c>
      <c r="M29" t="s">
        <v>8</v>
      </c>
      <c r="N29" t="s">
        <v>8</v>
      </c>
      <c r="P29">
        <f t="shared" ref="P29" si="120">IF(C29=D29,0,((E29-D29)-(C29-E29))/(C29-D29))</f>
        <v>-0.37471264367816065</v>
      </c>
      <c r="Q29">
        <f t="shared" ref="Q29" si="121">F29*P29</f>
        <v>-1458257.9540229875</v>
      </c>
      <c r="R29">
        <f t="shared" ref="R29" si="122">R30+Q29</f>
        <v>-79493072.779530972</v>
      </c>
      <c r="S29">
        <f t="shared" ref="S29" si="123">R29/100000</f>
        <v>-794.93072779530974</v>
      </c>
      <c r="T29">
        <f t="shared" ref="T29" si="124">S29/1000</f>
        <v>-0.79493072779530971</v>
      </c>
    </row>
    <row r="30" spans="1:20" x14ac:dyDescent="0.25">
      <c r="A30" s="5">
        <v>44563</v>
      </c>
      <c r="B30">
        <v>1.5213000000000001</v>
      </c>
      <c r="C30">
        <v>1.7776000000000001</v>
      </c>
      <c r="D30">
        <v>1.5051000000000001</v>
      </c>
      <c r="E30">
        <v>1.7249000000000001</v>
      </c>
      <c r="F30">
        <v>7598951</v>
      </c>
      <c r="G30">
        <v>1.7249000000000001</v>
      </c>
      <c r="L30" t="s">
        <v>8</v>
      </c>
      <c r="M30" t="s">
        <v>8</v>
      </c>
      <c r="N30" t="s">
        <v>8</v>
      </c>
      <c r="P30">
        <f t="shared" ref="P30" si="125">IF(C30=D30,0,((E30-D30)-(C30-E30))/(C30-D30))</f>
        <v>0.61321100917431215</v>
      </c>
      <c r="Q30">
        <f t="shared" ref="Q30" si="126">F30*P30</f>
        <v>4659760.4113761485</v>
      </c>
      <c r="R30">
        <f t="shared" ref="R30" si="127">R31+Q30</f>
        <v>-78034814.825507984</v>
      </c>
      <c r="S30">
        <f t="shared" ref="S30" si="128">R30/100000</f>
        <v>-780.34814825507988</v>
      </c>
      <c r="T30">
        <f t="shared" ref="T30" si="129">S30/1000</f>
        <v>-0.78034814825507992</v>
      </c>
    </row>
    <row r="31" spans="1:20" x14ac:dyDescent="0.25">
      <c r="A31" s="5">
        <v>44562</v>
      </c>
      <c r="B31">
        <v>1.4915</v>
      </c>
      <c r="C31">
        <v>1.5275000000000001</v>
      </c>
      <c r="D31">
        <v>1.4841</v>
      </c>
      <c r="E31">
        <v>1.5238</v>
      </c>
      <c r="F31">
        <v>841066</v>
      </c>
      <c r="G31">
        <v>1.5238</v>
      </c>
      <c r="L31" t="s">
        <v>7</v>
      </c>
      <c r="M31" t="s">
        <v>7</v>
      </c>
      <c r="N31" t="s">
        <v>8</v>
      </c>
      <c r="P31">
        <f t="shared" ref="P31" si="130">IF(C31=D31,0,((E31-D31)-(C31-E31))/(C31-D31))</f>
        <v>0.82949308755760243</v>
      </c>
      <c r="Q31">
        <f t="shared" ref="Q31" si="131">F31*P31</f>
        <v>697658.4331797224</v>
      </c>
      <c r="R31">
        <f t="shared" ref="R31" si="132">R32+Q31</f>
        <v>-82694575.236884132</v>
      </c>
      <c r="S31">
        <f t="shared" ref="S31" si="133">R31/100000</f>
        <v>-826.94575236884134</v>
      </c>
      <c r="T31">
        <f t="shared" ref="T31" si="134">S31/1000</f>
        <v>-0.82694575236884138</v>
      </c>
    </row>
    <row r="32" spans="1:20" x14ac:dyDescent="0.25">
      <c r="A32" s="5">
        <v>44561</v>
      </c>
      <c r="B32">
        <v>1.5182</v>
      </c>
      <c r="C32">
        <v>1.5617000000000001</v>
      </c>
      <c r="D32">
        <v>1.4530000000000001</v>
      </c>
      <c r="E32">
        <v>1.4896</v>
      </c>
      <c r="F32">
        <v>1455539</v>
      </c>
      <c r="G32">
        <v>1.4896</v>
      </c>
      <c r="L32" t="s">
        <v>7</v>
      </c>
      <c r="M32" t="s">
        <v>7</v>
      </c>
      <c r="N32" t="s">
        <v>8</v>
      </c>
      <c r="P32">
        <f t="shared" ref="P32" si="135">IF(C32=D32,0,((E32-D32)-(C32-E32))/(C32-D32))</f>
        <v>-0.32658693652253984</v>
      </c>
      <c r="Q32">
        <f t="shared" ref="Q32" si="136">F32*P32</f>
        <v>-475360.02299908112</v>
      </c>
      <c r="R32">
        <f t="shared" ref="R32" si="137">R33+Q32</f>
        <v>-83392233.670063853</v>
      </c>
      <c r="S32">
        <f t="shared" ref="S32" si="138">R32/100000</f>
        <v>-833.92233670063854</v>
      </c>
      <c r="T32">
        <f t="shared" ref="T32" si="139">S32/1000</f>
        <v>-0.83392233670063853</v>
      </c>
    </row>
    <row r="33" spans="1:20" x14ac:dyDescent="0.25">
      <c r="A33" s="5">
        <v>44560</v>
      </c>
      <c r="B33">
        <v>1.4943</v>
      </c>
      <c r="C33">
        <v>1.5630999999999999</v>
      </c>
      <c r="D33">
        <v>1.4448000000000001</v>
      </c>
      <c r="E33">
        <v>1.5179</v>
      </c>
      <c r="F33">
        <v>2834211</v>
      </c>
      <c r="G33">
        <v>1.5179</v>
      </c>
      <c r="L33" t="s">
        <v>8</v>
      </c>
      <c r="M33" t="s">
        <v>7</v>
      </c>
      <c r="N33" t="s">
        <v>8</v>
      </c>
      <c r="P33">
        <f t="shared" ref="P33" si="140">IF(C33=D33,0,((E33-D33)-(C33-E33))/(C33-D33))</f>
        <v>0.23584108199492876</v>
      </c>
      <c r="Q33">
        <f t="shared" ref="Q33" si="141">F33*P33</f>
        <v>668423.38884192903</v>
      </c>
      <c r="R33">
        <f t="shared" ref="R33" si="142">R34+Q33</f>
        <v>-82916873.647064775</v>
      </c>
      <c r="S33">
        <f t="shared" ref="S33" si="143">R33/100000</f>
        <v>-829.16873647064779</v>
      </c>
      <c r="T33">
        <f t="shared" ref="T33" si="144">S33/1000</f>
        <v>-0.82916873647064782</v>
      </c>
    </row>
    <row r="34" spans="1:20" x14ac:dyDescent="0.25">
      <c r="A34" s="5">
        <v>44559</v>
      </c>
      <c r="B34">
        <v>1.6114999999999999</v>
      </c>
      <c r="C34">
        <v>1.6254</v>
      </c>
      <c r="D34">
        <v>1.448</v>
      </c>
      <c r="E34">
        <v>1.4918</v>
      </c>
      <c r="F34">
        <v>4778446</v>
      </c>
      <c r="G34">
        <v>1.4918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-0.50620067643742883</v>
      </c>
      <c r="Q34">
        <f t="shared" ref="Q34" si="146">F34*P34</f>
        <v>-2418852.597519726</v>
      </c>
      <c r="R34">
        <f t="shared" ref="R34" si="147">R35+Q34</f>
        <v>-83585297.035906702</v>
      </c>
      <c r="S34">
        <f t="shared" ref="S34" si="148">R34/100000</f>
        <v>-835.85297035906706</v>
      </c>
      <c r="T34">
        <f t="shared" ref="T34" si="149">S34/1000</f>
        <v>-0.83585297035906703</v>
      </c>
    </row>
    <row r="35" spans="1:20" x14ac:dyDescent="0.25">
      <c r="A35" s="5">
        <v>44558</v>
      </c>
      <c r="B35">
        <v>1.8543000000000001</v>
      </c>
      <c r="C35">
        <v>1.8543000000000001</v>
      </c>
      <c r="D35">
        <v>1.5851999999999999</v>
      </c>
      <c r="E35">
        <v>1.6114999999999999</v>
      </c>
      <c r="F35">
        <v>3727466</v>
      </c>
      <c r="G35">
        <v>1.6114999999999999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-0.80453363062058725</v>
      </c>
      <c r="Q35">
        <f t="shared" ref="Q35" si="151">F35*P35</f>
        <v>-2998871.7539947978</v>
      </c>
      <c r="R35">
        <f t="shared" ref="R35" si="152">R36+Q35</f>
        <v>-81166444.438386977</v>
      </c>
      <c r="S35">
        <f t="shared" ref="S35" si="153">R35/100000</f>
        <v>-811.66444438386975</v>
      </c>
      <c r="T35">
        <f t="shared" ref="T35" si="154">S35/1000</f>
        <v>-0.81166444438386975</v>
      </c>
    </row>
    <row r="36" spans="1:20" x14ac:dyDescent="0.25">
      <c r="A36" s="5">
        <v>44557</v>
      </c>
      <c r="B36">
        <v>1.7664</v>
      </c>
      <c r="C36">
        <v>1.9071</v>
      </c>
      <c r="D36">
        <v>1.7653000000000001</v>
      </c>
      <c r="E36">
        <v>1.8520000000000001</v>
      </c>
      <c r="F36">
        <v>3077219</v>
      </c>
      <c r="G36">
        <v>1.8520000000000001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0.22284908321579752</v>
      </c>
      <c r="Q36">
        <f t="shared" ref="Q36" si="156">F36*P36</f>
        <v>685755.43300423329</v>
      </c>
      <c r="R36">
        <f t="shared" ref="R36" si="157">R37+Q36</f>
        <v>-78167572.684392184</v>
      </c>
      <c r="S36">
        <f t="shared" ref="S36" si="158">R36/100000</f>
        <v>-781.67572684392189</v>
      </c>
      <c r="T36">
        <f t="shared" ref="T36" si="159">S36/1000</f>
        <v>-0.78167572684392195</v>
      </c>
    </row>
    <row r="37" spans="1:20" x14ac:dyDescent="0.25">
      <c r="A37" s="5">
        <v>44556</v>
      </c>
      <c r="B37">
        <v>1.6537999999999999</v>
      </c>
      <c r="C37">
        <v>1.8096000000000001</v>
      </c>
      <c r="D37">
        <v>1.6517999999999999</v>
      </c>
      <c r="E37">
        <v>1.7664</v>
      </c>
      <c r="F37">
        <v>5181486</v>
      </c>
      <c r="G37">
        <v>1.7664</v>
      </c>
      <c r="L37" t="s">
        <v>8</v>
      </c>
      <c r="M37" t="s">
        <v>8</v>
      </c>
      <c r="N37" t="s">
        <v>8</v>
      </c>
      <c r="P37">
        <f t="shared" ref="P37" si="160">IF(C37=D37,0,((E37-D37)-(C37-E37))/(C37-D37))</f>
        <v>0.45247148288973277</v>
      </c>
      <c r="Q37">
        <f t="shared" ref="Q37" si="161">F37*P37</f>
        <v>2344474.6539923898</v>
      </c>
      <c r="R37">
        <f t="shared" ref="R37" si="162">R38+Q37</f>
        <v>-78853328.117396414</v>
      </c>
      <c r="S37">
        <f t="shared" ref="S37" si="163">R37/100000</f>
        <v>-788.53328117396416</v>
      </c>
      <c r="T37">
        <f t="shared" ref="T37" si="164">S37/1000</f>
        <v>-0.78853328117396415</v>
      </c>
    </row>
    <row r="38" spans="1:20" x14ac:dyDescent="0.25">
      <c r="A38" s="5">
        <v>44555</v>
      </c>
      <c r="B38">
        <v>1.5978000000000001</v>
      </c>
      <c r="C38">
        <v>1.69</v>
      </c>
      <c r="D38">
        <v>1.5722</v>
      </c>
      <c r="E38">
        <v>1.6509</v>
      </c>
      <c r="F38">
        <v>2117936</v>
      </c>
      <c r="G38">
        <v>1.6509</v>
      </c>
      <c r="L38" t="s">
        <v>7</v>
      </c>
      <c r="M38" t="s">
        <v>8</v>
      </c>
      <c r="N38" t="s">
        <v>7</v>
      </c>
      <c r="P38">
        <f t="shared" ref="P38" si="165">IF(C38=D38,0,((E38-D38)-(C38-E38))/(C38-D38))</f>
        <v>0.33616298811545087</v>
      </c>
      <c r="Q38">
        <f t="shared" ref="Q38" si="166">F38*P38</f>
        <v>711971.69439728558</v>
      </c>
      <c r="R38">
        <f t="shared" ref="R38" si="167">R39+Q38</f>
        <v>-81197802.771388799</v>
      </c>
      <c r="S38">
        <f t="shared" ref="S38" si="168">R38/100000</f>
        <v>-811.97802771388797</v>
      </c>
      <c r="T38">
        <f t="shared" ref="T38" si="169">S38/1000</f>
        <v>-0.81197802771388794</v>
      </c>
    </row>
    <row r="39" spans="1:20" x14ac:dyDescent="0.25">
      <c r="A39" s="5">
        <v>44554</v>
      </c>
      <c r="B39">
        <v>1.6518999999999999</v>
      </c>
      <c r="C39">
        <v>1.7156</v>
      </c>
      <c r="D39">
        <v>1.5637000000000001</v>
      </c>
      <c r="E39">
        <v>1.593</v>
      </c>
      <c r="F39">
        <v>2508371</v>
      </c>
      <c r="G39">
        <v>1.593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-0.61421988150098883</v>
      </c>
      <c r="Q39">
        <f t="shared" ref="Q39" si="171">F39*P39</f>
        <v>-1540691.3383805167</v>
      </c>
      <c r="R39">
        <f t="shared" ref="R39" si="172">R40+Q39</f>
        <v>-81909774.465786085</v>
      </c>
      <c r="S39">
        <f t="shared" ref="S39" si="173">R39/100000</f>
        <v>-819.09774465786086</v>
      </c>
      <c r="T39">
        <f t="shared" ref="T39" si="174">S39/1000</f>
        <v>-0.81909774465786089</v>
      </c>
    </row>
    <row r="40" spans="1:20" x14ac:dyDescent="0.25">
      <c r="A40" s="5">
        <v>44553</v>
      </c>
      <c r="B40">
        <v>1.5055000000000001</v>
      </c>
      <c r="C40">
        <v>1.6869000000000001</v>
      </c>
      <c r="D40">
        <v>1.4615</v>
      </c>
      <c r="E40">
        <v>1.6503000000000001</v>
      </c>
      <c r="F40">
        <v>3204812</v>
      </c>
      <c r="G40">
        <v>1.6503000000000001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0.67524401064773776</v>
      </c>
      <c r="Q40">
        <f t="shared" ref="Q40" si="176">F40*P40</f>
        <v>2164030.1082519977</v>
      </c>
      <c r="R40">
        <f t="shared" ref="R40" si="177">R41+Q40</f>
        <v>-80369083.127405569</v>
      </c>
      <c r="S40">
        <f t="shared" ref="S40" si="178">R40/100000</f>
        <v>-803.69083127405565</v>
      </c>
      <c r="T40">
        <f t="shared" ref="T40" si="179">S40/1000</f>
        <v>-0.80369083127405561</v>
      </c>
    </row>
    <row r="41" spans="1:20" x14ac:dyDescent="0.25">
      <c r="A41" s="5">
        <v>44552</v>
      </c>
      <c r="B41">
        <v>1.4743999999999999</v>
      </c>
      <c r="C41">
        <v>1.55</v>
      </c>
      <c r="D41">
        <v>1.4528000000000001</v>
      </c>
      <c r="E41">
        <v>1.5055000000000001</v>
      </c>
      <c r="F41">
        <v>2071713</v>
      </c>
      <c r="G41">
        <v>1.5055000000000001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8.4362139917695367E-2</v>
      </c>
      <c r="Q41">
        <f t="shared" ref="Q41" si="181">F41*P41</f>
        <v>174774.14197530842</v>
      </c>
      <c r="R41">
        <f t="shared" ref="R41" si="182">R42+Q41</f>
        <v>-82533113.235657573</v>
      </c>
      <c r="S41">
        <f t="shared" ref="S41" si="183">R41/100000</f>
        <v>-825.33113235657572</v>
      </c>
      <c r="T41">
        <f t="shared" ref="T41" si="184">S41/1000</f>
        <v>-0.82533113235657574</v>
      </c>
    </row>
    <row r="42" spans="1:20" x14ac:dyDescent="0.25">
      <c r="A42" s="5">
        <v>44551</v>
      </c>
      <c r="B42">
        <v>1.4013</v>
      </c>
      <c r="C42">
        <v>1.5259</v>
      </c>
      <c r="D42">
        <v>1.389</v>
      </c>
      <c r="E42">
        <v>1.4758</v>
      </c>
      <c r="F42">
        <v>2314080</v>
      </c>
      <c r="G42">
        <v>1.4758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0.26807888970051097</v>
      </c>
      <c r="Q42">
        <f t="shared" ref="Q42" si="186">F42*P42</f>
        <v>620355.99707815843</v>
      </c>
      <c r="R42">
        <f t="shared" ref="R42" si="187">R43+Q42</f>
        <v>-82707887.377632886</v>
      </c>
      <c r="S42">
        <f t="shared" ref="S42" si="188">R42/100000</f>
        <v>-827.07887377632881</v>
      </c>
      <c r="T42">
        <f t="shared" ref="T42" si="189">S42/1000</f>
        <v>-0.82707887377632883</v>
      </c>
    </row>
    <row r="43" spans="1:20" x14ac:dyDescent="0.25">
      <c r="A43" s="5">
        <v>44550</v>
      </c>
      <c r="B43">
        <v>1.4624999999999999</v>
      </c>
      <c r="C43">
        <v>1.4818</v>
      </c>
      <c r="D43">
        <v>1.3299000000000001</v>
      </c>
      <c r="E43">
        <v>1.4</v>
      </c>
      <c r="F43">
        <v>2599667</v>
      </c>
      <c r="G43">
        <v>1.4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-7.7024358130350704E-2</v>
      </c>
      <c r="Q43">
        <f t="shared" ref="Q43" si="191">F43*P43</f>
        <v>-200237.68202765443</v>
      </c>
      <c r="R43">
        <f t="shared" ref="R43" si="192">R44+Q43</f>
        <v>-83328243.374711052</v>
      </c>
      <c r="S43">
        <f t="shared" ref="S43" si="193">R43/100000</f>
        <v>-833.28243374711053</v>
      </c>
      <c r="T43">
        <f t="shared" ref="T43" si="194">S43/1000</f>
        <v>-0.83328243374711053</v>
      </c>
    </row>
    <row r="44" spans="1:20" x14ac:dyDescent="0.25">
      <c r="A44" s="5">
        <v>44549</v>
      </c>
      <c r="B44">
        <v>1.5112000000000001</v>
      </c>
      <c r="C44">
        <v>1.5489999999999999</v>
      </c>
      <c r="D44">
        <v>1.4629000000000001</v>
      </c>
      <c r="E44">
        <v>1.4641999999999999</v>
      </c>
      <c r="F44">
        <v>1588769</v>
      </c>
      <c r="G44">
        <v>1.4641999999999999</v>
      </c>
      <c r="L44" t="s">
        <v>8</v>
      </c>
      <c r="M44" t="s">
        <v>8</v>
      </c>
      <c r="N44" t="s">
        <v>7</v>
      </c>
      <c r="P44">
        <f t="shared" ref="P44" si="195">IF(C44=D44,0,((E44-D44)-(C44-E44))/(C44-D44))</f>
        <v>-0.96980255516841207</v>
      </c>
      <c r="Q44">
        <f t="shared" ref="Q44" si="196">F44*P44</f>
        <v>-1540792.2357723629</v>
      </c>
      <c r="R44">
        <f t="shared" ref="R44" si="197">R45+Q44</f>
        <v>-83128005.692683399</v>
      </c>
      <c r="S44">
        <f t="shared" ref="S44" si="198">R44/100000</f>
        <v>-831.28005692683394</v>
      </c>
      <c r="T44">
        <f t="shared" ref="T44" si="199">S44/1000</f>
        <v>-0.83128005692683393</v>
      </c>
    </row>
    <row r="45" spans="1:20" x14ac:dyDescent="0.25">
      <c r="A45" s="5">
        <v>44548</v>
      </c>
      <c r="B45">
        <v>1.4786999999999999</v>
      </c>
      <c r="C45">
        <v>1.54</v>
      </c>
      <c r="D45">
        <v>1.4382999999999999</v>
      </c>
      <c r="E45">
        <v>1.5149999999999999</v>
      </c>
      <c r="F45">
        <v>2520418</v>
      </c>
      <c r="G45">
        <v>1.5149999999999999</v>
      </c>
      <c r="L45" t="s">
        <v>8</v>
      </c>
      <c r="M45" t="s">
        <v>8</v>
      </c>
      <c r="N45" t="s">
        <v>7</v>
      </c>
      <c r="P45">
        <f t="shared" ref="P45" si="200">IF(C45=D45,0,((E45-D45)-(C45-E45))/(C45-D45))</f>
        <v>0.50835791543755948</v>
      </c>
      <c r="Q45">
        <f t="shared" ref="Q45" si="201">F45*P45</f>
        <v>1281274.4405113028</v>
      </c>
      <c r="R45">
        <f t="shared" ref="R45" si="202">R46+Q45</f>
        <v>-81587213.456911042</v>
      </c>
      <c r="S45">
        <f t="shared" ref="S45" si="203">R45/100000</f>
        <v>-815.87213456911047</v>
      </c>
      <c r="T45">
        <f t="shared" ref="T45" si="204">S45/1000</f>
        <v>-0.81587213456911045</v>
      </c>
    </row>
    <row r="46" spans="1:20" x14ac:dyDescent="0.25">
      <c r="A46" s="5">
        <v>44547</v>
      </c>
      <c r="B46">
        <v>1.4466000000000001</v>
      </c>
      <c r="C46">
        <v>1.5341</v>
      </c>
      <c r="D46">
        <v>1.4105000000000001</v>
      </c>
      <c r="E46">
        <v>1.4799</v>
      </c>
      <c r="F46">
        <v>3503465</v>
      </c>
      <c r="G46">
        <v>1.4799</v>
      </c>
      <c r="L46" t="s">
        <v>7</v>
      </c>
      <c r="M46" t="s">
        <v>8</v>
      </c>
      <c r="N46" t="s">
        <v>7</v>
      </c>
      <c r="P46">
        <f t="shared" ref="P46" si="205">IF(C46=D46,0,((E46-D46)-(C46-E46))/(C46-D46))</f>
        <v>0.12297734627831625</v>
      </c>
      <c r="Q46">
        <f t="shared" ref="Q46" si="206">F46*P46</f>
        <v>430846.82847896125</v>
      </c>
      <c r="R46">
        <f t="shared" ref="R46" si="207">R47+Q46</f>
        <v>-82868487.897422343</v>
      </c>
      <c r="S46">
        <f t="shared" ref="S46" si="208">R46/100000</f>
        <v>-828.68487897422347</v>
      </c>
      <c r="T46">
        <f t="shared" ref="T46" si="209">S46/1000</f>
        <v>-0.82868487897422349</v>
      </c>
    </row>
    <row r="47" spans="1:20" x14ac:dyDescent="0.25">
      <c r="A47" s="5">
        <v>44546</v>
      </c>
      <c r="B47">
        <v>1.5</v>
      </c>
      <c r="C47">
        <v>1.5716000000000001</v>
      </c>
      <c r="D47">
        <v>1.44</v>
      </c>
      <c r="E47">
        <v>1.4483999999999999</v>
      </c>
      <c r="F47">
        <v>3332815</v>
      </c>
      <c r="G47">
        <v>1.4483999999999999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-0.8723404255319156</v>
      </c>
      <c r="Q47">
        <f t="shared" ref="Q47" si="211">F47*P47</f>
        <v>-2907349.2553191511</v>
      </c>
      <c r="R47">
        <f t="shared" ref="R47" si="212">R48+Q47</f>
        <v>-83299334.725901306</v>
      </c>
      <c r="S47">
        <f t="shared" ref="S47" si="213">R47/100000</f>
        <v>-832.99334725901303</v>
      </c>
      <c r="T47">
        <f t="shared" ref="T47" si="214">S47/1000</f>
        <v>-0.83299334725901308</v>
      </c>
    </row>
    <row r="48" spans="1:20" x14ac:dyDescent="0.25">
      <c r="A48" s="5">
        <v>44545</v>
      </c>
      <c r="B48">
        <v>1.4039999999999999</v>
      </c>
      <c r="C48">
        <v>1.5119</v>
      </c>
      <c r="D48">
        <v>1.28</v>
      </c>
      <c r="E48">
        <v>1.5032000000000001</v>
      </c>
      <c r="F48">
        <v>4902869</v>
      </c>
      <c r="G48">
        <v>1.5032000000000001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0.9249676584734805</v>
      </c>
      <c r="Q48">
        <f t="shared" ref="Q48" si="216">F48*P48</f>
        <v>4534995.2587322146</v>
      </c>
      <c r="R48">
        <f t="shared" ref="R48" si="217">R49+Q48</f>
        <v>-80391985.470582157</v>
      </c>
      <c r="S48">
        <f t="shared" ref="S48" si="218">R48/100000</f>
        <v>-803.91985470582154</v>
      </c>
      <c r="T48">
        <f t="shared" ref="T48" si="219">S48/1000</f>
        <v>-0.8039198547058215</v>
      </c>
    </row>
    <row r="49" spans="1:20" x14ac:dyDescent="0.25">
      <c r="A49" s="5">
        <v>44544</v>
      </c>
      <c r="B49">
        <v>1.4247000000000001</v>
      </c>
      <c r="C49">
        <v>1.4449000000000001</v>
      </c>
      <c r="D49">
        <v>1.3269</v>
      </c>
      <c r="E49">
        <v>1.4061999999999999</v>
      </c>
      <c r="F49">
        <v>4874776</v>
      </c>
      <c r="G49">
        <v>1.4061999999999999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0.34406779661016706</v>
      </c>
      <c r="Q49">
        <f t="shared" ref="Q49" si="221">F49*P49</f>
        <v>1677253.4372881236</v>
      </c>
      <c r="R49">
        <f t="shared" ref="R49" si="222">R50+Q49</f>
        <v>-84926980.729314372</v>
      </c>
      <c r="S49">
        <f t="shared" ref="S49" si="223">R49/100000</f>
        <v>-849.26980729314369</v>
      </c>
      <c r="T49">
        <f t="shared" ref="T49" si="224">S49/1000</f>
        <v>-0.84926980729314372</v>
      </c>
    </row>
    <row r="50" spans="1:20" x14ac:dyDescent="0.25">
      <c r="A50" s="5">
        <v>44543</v>
      </c>
      <c r="B50">
        <v>1.6108</v>
      </c>
      <c r="C50">
        <v>1.6375999999999999</v>
      </c>
      <c r="D50">
        <v>1.4100999999999999</v>
      </c>
      <c r="E50">
        <v>1.4219999999999999</v>
      </c>
      <c r="F50">
        <v>3335005</v>
      </c>
      <c r="G50">
        <v>1.4219999999999999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-0.89538461538461522</v>
      </c>
      <c r="Q50">
        <f t="shared" ref="Q50" si="226">F50*P50</f>
        <v>-2986112.1692307689</v>
      </c>
      <c r="R50">
        <f t="shared" ref="R50" si="227">R51+Q50</f>
        <v>-86604234.166602492</v>
      </c>
      <c r="S50">
        <f t="shared" ref="S50" si="228">R50/100000</f>
        <v>-866.04234166602487</v>
      </c>
      <c r="T50">
        <f t="shared" ref="T50" si="229">S50/1000</f>
        <v>-0.8660423416660249</v>
      </c>
    </row>
    <row r="51" spans="1:20" x14ac:dyDescent="0.25">
      <c r="A51" s="5">
        <v>44542</v>
      </c>
      <c r="B51">
        <v>1.5790999999999999</v>
      </c>
      <c r="C51">
        <v>1.6198999999999999</v>
      </c>
      <c r="D51">
        <v>1.5065999999999999</v>
      </c>
      <c r="E51">
        <v>1.6095999999999999</v>
      </c>
      <c r="F51">
        <v>1996843</v>
      </c>
      <c r="G51">
        <v>1.6095999999999999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0.81818181818181857</v>
      </c>
      <c r="Q51">
        <f t="shared" ref="Q51" si="231">F51*P51</f>
        <v>1633780.6363636372</v>
      </c>
      <c r="R51">
        <f t="shared" ref="R51" si="232">R52+Q51</f>
        <v>-83618121.997371718</v>
      </c>
      <c r="S51">
        <f t="shared" ref="S51" si="233">R51/100000</f>
        <v>-836.18121997371713</v>
      </c>
      <c r="T51">
        <f t="shared" ref="T51" si="234">S51/1000</f>
        <v>-0.83618121997371708</v>
      </c>
    </row>
    <row r="52" spans="1:20" x14ac:dyDescent="0.25">
      <c r="A52" s="5">
        <v>44541</v>
      </c>
      <c r="B52">
        <v>1.4861</v>
      </c>
      <c r="C52">
        <v>1.5757000000000001</v>
      </c>
      <c r="D52">
        <v>1.4842</v>
      </c>
      <c r="E52">
        <v>1.5501</v>
      </c>
      <c r="F52">
        <v>1199622</v>
      </c>
      <c r="G52">
        <v>1.5501</v>
      </c>
      <c r="L52" t="s">
        <v>8</v>
      </c>
      <c r="M52" t="s">
        <v>7</v>
      </c>
      <c r="N52" t="s">
        <v>7</v>
      </c>
      <c r="P52">
        <f t="shared" ref="P52" si="235">IF(C52=D52,0,((E52-D52)-(C52-E52))/(C52-D52))</f>
        <v>0.44043715846994475</v>
      </c>
      <c r="Q52">
        <f t="shared" ref="Q52" si="236">F52*P52</f>
        <v>528358.10491803207</v>
      </c>
      <c r="R52">
        <f t="shared" ref="R52" si="237">R53+Q52</f>
        <v>-85251902.633735359</v>
      </c>
      <c r="S52">
        <f t="shared" ref="S52" si="238">R52/100000</f>
        <v>-852.51902633735358</v>
      </c>
      <c r="T52">
        <f t="shared" ref="T52" si="239">S52/1000</f>
        <v>-0.85251902633735355</v>
      </c>
    </row>
    <row r="53" spans="1:20" x14ac:dyDescent="0.25">
      <c r="A53" s="5">
        <v>44540</v>
      </c>
      <c r="B53">
        <v>1.591</v>
      </c>
      <c r="C53">
        <v>1.6375999999999999</v>
      </c>
      <c r="D53">
        <v>1.4403999999999999</v>
      </c>
      <c r="E53">
        <v>1.4809000000000001</v>
      </c>
      <c r="F53">
        <v>7854955</v>
      </c>
      <c r="G53">
        <v>1.4809000000000001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-0.58924949290060658</v>
      </c>
      <c r="Q53">
        <f t="shared" ref="Q53" si="241">F53*P53</f>
        <v>-4628528.2505070837</v>
      </c>
      <c r="R53">
        <f t="shared" ref="R53" si="242">R54+Q53</f>
        <v>-85780260.738653392</v>
      </c>
      <c r="S53">
        <f t="shared" ref="S53" si="243">R53/100000</f>
        <v>-857.80260738653396</v>
      </c>
      <c r="T53">
        <f t="shared" ref="T53" si="244">S53/1000</f>
        <v>-0.85780260738653391</v>
      </c>
    </row>
    <row r="54" spans="1:20" x14ac:dyDescent="0.25">
      <c r="A54" s="5">
        <v>44539</v>
      </c>
      <c r="B54">
        <v>1.7512000000000001</v>
      </c>
      <c r="C54">
        <v>1.9392</v>
      </c>
      <c r="D54">
        <v>1.5802</v>
      </c>
      <c r="E54">
        <v>1.5906</v>
      </c>
      <c r="F54">
        <v>7921237</v>
      </c>
      <c r="G54">
        <v>1.5906</v>
      </c>
      <c r="L54" t="s">
        <v>8</v>
      </c>
      <c r="M54" t="s">
        <v>8</v>
      </c>
      <c r="N54" t="s">
        <v>7</v>
      </c>
      <c r="P54">
        <f t="shared" ref="P54" si="245">IF(C54=D54,0,((E54-D54)-(C54-E54))/(C54-D54))</f>
        <v>-0.94206128133704758</v>
      </c>
      <c r="Q54">
        <f t="shared" ref="Q54" si="246">F54*P54</f>
        <v>-7462290.677994431</v>
      </c>
      <c r="R54">
        <f t="shared" ref="R54" si="247">R55+Q54</f>
        <v>-81151732.488146305</v>
      </c>
      <c r="S54">
        <f t="shared" ref="S54" si="248">R54/100000</f>
        <v>-811.51732488146308</v>
      </c>
      <c r="T54">
        <f t="shared" ref="T54" si="249">S54/1000</f>
        <v>-0.81151732488146311</v>
      </c>
    </row>
    <row r="55" spans="1:20" x14ac:dyDescent="0.25">
      <c r="A55" s="5">
        <v>44538</v>
      </c>
      <c r="B55">
        <v>1.7150000000000001</v>
      </c>
      <c r="C55">
        <v>1.7773000000000001</v>
      </c>
      <c r="D55">
        <v>1.5528999999999999</v>
      </c>
      <c r="E55">
        <v>1.7492000000000001</v>
      </c>
      <c r="F55">
        <v>5567824</v>
      </c>
      <c r="G55">
        <v>1.7492000000000001</v>
      </c>
      <c r="L55" t="s">
        <v>7</v>
      </c>
      <c r="M55" t="s">
        <v>7</v>
      </c>
      <c r="N55" t="s">
        <v>7</v>
      </c>
      <c r="P55">
        <f t="shared" ref="P55" si="250">IF(C55=D55,0,((E55-D55)-(C55-E55))/(C55-D55))</f>
        <v>0.7495543672014261</v>
      </c>
      <c r="Q55">
        <f t="shared" ref="Q55" si="251">F55*P55</f>
        <v>4173386.7950089131</v>
      </c>
      <c r="R55">
        <f t="shared" ref="R55" si="252">R56+Q55</f>
        <v>-73689441.810151875</v>
      </c>
      <c r="S55">
        <f t="shared" ref="S55" si="253">R55/100000</f>
        <v>-736.8944181015188</v>
      </c>
      <c r="T55">
        <f t="shared" ref="T55" si="254">S55/1000</f>
        <v>-0.73689441810151879</v>
      </c>
    </row>
    <row r="56" spans="1:20" x14ac:dyDescent="0.25">
      <c r="A56" s="5">
        <v>44537</v>
      </c>
      <c r="B56">
        <v>1.7201</v>
      </c>
      <c r="C56">
        <v>1.91</v>
      </c>
      <c r="D56">
        <v>1.6689000000000001</v>
      </c>
      <c r="E56">
        <v>1.7124999999999999</v>
      </c>
      <c r="F56">
        <v>6513004</v>
      </c>
      <c r="G56">
        <v>1.7124999999999999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-0.63832434674409055</v>
      </c>
      <c r="Q56">
        <f t="shared" ref="Q56" si="256">F56*P56</f>
        <v>-4157409.0236416487</v>
      </c>
      <c r="R56">
        <f t="shared" ref="R56" si="257">R57+Q56</f>
        <v>-77862828.605160788</v>
      </c>
      <c r="S56">
        <f t="shared" ref="S56" si="258">R56/100000</f>
        <v>-778.62828605160792</v>
      </c>
      <c r="T56">
        <f t="shared" ref="T56" si="259">S56/1000</f>
        <v>-0.77862828605160794</v>
      </c>
    </row>
    <row r="57" spans="1:20" x14ac:dyDescent="0.25">
      <c r="A57" s="5">
        <v>44536</v>
      </c>
      <c r="B57">
        <v>1.7284999999999999</v>
      </c>
      <c r="C57">
        <v>1.8224</v>
      </c>
      <c r="D57">
        <v>1.38</v>
      </c>
      <c r="E57">
        <v>1.7254</v>
      </c>
      <c r="F57">
        <v>14361375</v>
      </c>
      <c r="G57">
        <v>1.7254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0.56148282097649205</v>
      </c>
      <c r="Q57">
        <f t="shared" ref="Q57" si="261">F57*P57</f>
        <v>8063665.3481012685</v>
      </c>
      <c r="R57">
        <f t="shared" ref="R57" si="262">R58+Q57</f>
        <v>-73705419.581519142</v>
      </c>
      <c r="S57">
        <f t="shared" ref="S57" si="263">R57/100000</f>
        <v>-737.05419581519141</v>
      </c>
      <c r="T57">
        <f t="shared" ref="T57" si="264">S57/1000</f>
        <v>-0.73705419581519138</v>
      </c>
    </row>
    <row r="58" spans="1:20" x14ac:dyDescent="0.25">
      <c r="A58" s="5">
        <v>44535</v>
      </c>
      <c r="B58">
        <v>1.9952000000000001</v>
      </c>
      <c r="C58">
        <v>2.0234000000000001</v>
      </c>
      <c r="D58">
        <v>1.6029</v>
      </c>
      <c r="E58">
        <v>1.732</v>
      </c>
      <c r="F58">
        <v>9997525</v>
      </c>
      <c r="G58">
        <v>1.732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-0.38596908442330574</v>
      </c>
      <c r="Q58">
        <f t="shared" ref="Q58" si="266">F58*P58</f>
        <v>-3858735.5707491096</v>
      </c>
      <c r="R58">
        <f t="shared" ref="R58" si="267">R59+Q58</f>
        <v>-81769084.929620415</v>
      </c>
      <c r="S58">
        <f t="shared" ref="S58" si="268">R58/100000</f>
        <v>-817.69084929620419</v>
      </c>
      <c r="T58">
        <f t="shared" ref="T58" si="269">S58/1000</f>
        <v>-0.81769084929620417</v>
      </c>
    </row>
    <row r="59" spans="1:20" x14ac:dyDescent="0.25">
      <c r="A59" s="5">
        <v>44534</v>
      </c>
      <c r="B59">
        <v>2.0099999999999998</v>
      </c>
      <c r="C59">
        <v>2.1846000000000001</v>
      </c>
      <c r="D59">
        <v>1.36</v>
      </c>
      <c r="E59">
        <v>1.9994000000000001</v>
      </c>
      <c r="F59">
        <v>20345787</v>
      </c>
      <c r="G59">
        <v>1.9994000000000001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0.55081251515886487</v>
      </c>
      <c r="Q59">
        <f t="shared" ref="Q59" si="271">F59*P59</f>
        <v>11206714.110356536</v>
      </c>
      <c r="R59">
        <f t="shared" ref="R59" si="272">R60+Q59</f>
        <v>-77910349.358871311</v>
      </c>
      <c r="S59">
        <f t="shared" ref="S59" si="273">R59/100000</f>
        <v>-779.10349358871315</v>
      </c>
      <c r="T59">
        <f t="shared" ref="T59" si="274">S59/1000</f>
        <v>-0.77910349358871311</v>
      </c>
    </row>
    <row r="60" spans="1:20" x14ac:dyDescent="0.25">
      <c r="A60" s="5">
        <v>44533</v>
      </c>
      <c r="B60">
        <v>2.2999000000000001</v>
      </c>
      <c r="C60">
        <v>2.3012000000000001</v>
      </c>
      <c r="D60">
        <v>1.903</v>
      </c>
      <c r="E60">
        <v>2.0095000000000001</v>
      </c>
      <c r="F60">
        <v>7490024</v>
      </c>
      <c r="G60">
        <v>2.0095000000000001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-0.46509291813159209</v>
      </c>
      <c r="Q60">
        <f t="shared" ref="Q60" si="276">F60*P60</f>
        <v>-3483557.1190356598</v>
      </c>
      <c r="R60">
        <f t="shared" ref="R60" si="277">R61+Q60</f>
        <v>-89117063.46922785</v>
      </c>
      <c r="S60">
        <f t="shared" ref="S60" si="278">R60/100000</f>
        <v>-891.17063469227855</v>
      </c>
      <c r="T60">
        <f t="shared" ref="T60" si="279">S60/1000</f>
        <v>-0.89117063469227853</v>
      </c>
    </row>
    <row r="61" spans="1:20" x14ac:dyDescent="0.25">
      <c r="A61" s="5">
        <v>44532</v>
      </c>
      <c r="B61">
        <v>2.5470000000000002</v>
      </c>
      <c r="C61">
        <v>2.5491000000000001</v>
      </c>
      <c r="D61">
        <v>2.2486999999999999</v>
      </c>
      <c r="E61">
        <v>2.2999000000000001</v>
      </c>
      <c r="F61">
        <v>5290882</v>
      </c>
      <c r="G61">
        <v>2.2999000000000001</v>
      </c>
      <c r="L61" t="s">
        <v>7</v>
      </c>
      <c r="M61" t="s">
        <v>7</v>
      </c>
      <c r="N61" t="s">
        <v>8</v>
      </c>
      <c r="P61">
        <f t="shared" ref="P61" si="280">IF(C61=D61,0,((E61-D61)-(C61-E61))/(C61-D61))</f>
        <v>-0.6591211717709714</v>
      </c>
      <c r="Q61">
        <f t="shared" ref="Q61" si="281">F61*P61</f>
        <v>-3487332.3435419407</v>
      </c>
      <c r="R61">
        <f t="shared" ref="R61" si="282">R62+Q61</f>
        <v>-85633506.350192189</v>
      </c>
      <c r="S61">
        <f t="shared" ref="S61" si="283">R61/100000</f>
        <v>-856.33506350192192</v>
      </c>
      <c r="T61">
        <f t="shared" ref="T61" si="284">S61/1000</f>
        <v>-0.8563350635019219</v>
      </c>
    </row>
    <row r="62" spans="1:20" x14ac:dyDescent="0.25">
      <c r="A62" s="5">
        <v>44531</v>
      </c>
      <c r="B62">
        <v>2.6673</v>
      </c>
      <c r="C62">
        <v>2.6757</v>
      </c>
      <c r="D62">
        <v>2.4131</v>
      </c>
      <c r="E62">
        <v>2.5457000000000001</v>
      </c>
      <c r="F62">
        <v>12889537</v>
      </c>
      <c r="G62">
        <v>2.5457000000000001</v>
      </c>
      <c r="L62" t="s">
        <v>7</v>
      </c>
      <c r="M62" t="s">
        <v>7</v>
      </c>
      <c r="N62" t="s">
        <v>8</v>
      </c>
      <c r="P62">
        <f t="shared" ref="P62" si="285">IF(C62=D62,0,((E62-D62)-(C62-E62))/(C62-D62))</f>
        <v>9.9009900990105031E-3</v>
      </c>
      <c r="Q62">
        <f t="shared" ref="Q62" si="286">F62*P62</f>
        <v>127619.17821782954</v>
      </c>
      <c r="R62">
        <f t="shared" ref="R62" si="287">R63+Q62</f>
        <v>-82146174.006650254</v>
      </c>
      <c r="S62">
        <f t="shared" ref="S62" si="288">R62/100000</f>
        <v>-821.46174006650256</v>
      </c>
      <c r="T62">
        <f t="shared" ref="T62" si="289">S62/1000</f>
        <v>-0.82146174006650252</v>
      </c>
    </row>
    <row r="63" spans="1:20" x14ac:dyDescent="0.25">
      <c r="A63" s="5">
        <v>44530</v>
      </c>
      <c r="B63">
        <v>2.9470000000000001</v>
      </c>
      <c r="C63">
        <v>3.0587</v>
      </c>
      <c r="D63">
        <v>2.6263999999999998</v>
      </c>
      <c r="E63">
        <v>2.6667999999999998</v>
      </c>
      <c r="F63">
        <v>21536046</v>
      </c>
      <c r="G63">
        <v>2.6667999999999998</v>
      </c>
      <c r="L63" t="s">
        <v>8</v>
      </c>
      <c r="M63" t="s">
        <v>8</v>
      </c>
      <c r="N63" t="s">
        <v>8</v>
      </c>
      <c r="P63">
        <f t="shared" ref="P63" si="290">IF(C63=D63,0,((E63-D63)-(C63-E63))/(C63-D63))</f>
        <v>-0.81309275965764527</v>
      </c>
      <c r="Q63">
        <f t="shared" ref="Q63" si="291">F63*P63</f>
        <v>-17510803.074253991</v>
      </c>
      <c r="R63">
        <f t="shared" ref="R63" si="292">R64+Q63</f>
        <v>-82273793.184868082</v>
      </c>
      <c r="S63">
        <f t="shared" ref="S63" si="293">R63/100000</f>
        <v>-822.73793184868077</v>
      </c>
      <c r="T63">
        <f t="shared" ref="T63" si="294">S63/1000</f>
        <v>-0.82273793184868083</v>
      </c>
    </row>
    <row r="64" spans="1:20" x14ac:dyDescent="0.25">
      <c r="A64" s="5">
        <v>44529</v>
      </c>
      <c r="B64">
        <v>2.2370000000000001</v>
      </c>
      <c r="C64">
        <v>2.95</v>
      </c>
      <c r="D64">
        <v>2.2324000000000002</v>
      </c>
      <c r="E64">
        <v>2.9496000000000002</v>
      </c>
      <c r="F64">
        <v>33522259</v>
      </c>
      <c r="G64">
        <v>2.9496000000000002</v>
      </c>
      <c r="L64" t="s">
        <v>8</v>
      </c>
      <c r="M64" t="s">
        <v>8</v>
      </c>
      <c r="N64" t="s">
        <v>8</v>
      </c>
      <c r="P64">
        <f t="shared" ref="P64" si="295">IF(C64=D64,0,((E64-D64)-(C64-E64))/(C64-D64))</f>
        <v>0.99888517279821643</v>
      </c>
      <c r="Q64">
        <f t="shared" ref="Q64" si="296">F64*P64</f>
        <v>33484887.473801564</v>
      </c>
      <c r="R64">
        <f t="shared" ref="R64" si="297">R65+Q64</f>
        <v>-64762990.110614091</v>
      </c>
      <c r="S64">
        <f t="shared" ref="S64" si="298">R64/100000</f>
        <v>-647.62990110614089</v>
      </c>
      <c r="T64">
        <f t="shared" ref="T64" si="299">S64/1000</f>
        <v>-0.64762990110614094</v>
      </c>
    </row>
    <row r="65" spans="1:20" x14ac:dyDescent="0.25">
      <c r="A65" s="5">
        <v>44528</v>
      </c>
      <c r="B65">
        <v>2.2161</v>
      </c>
      <c r="C65">
        <v>2.3698999999999999</v>
      </c>
      <c r="D65">
        <v>1.9742999999999999</v>
      </c>
      <c r="E65">
        <v>2.2402000000000002</v>
      </c>
      <c r="F65">
        <v>11150756</v>
      </c>
      <c r="G65">
        <v>2.2402000000000002</v>
      </c>
      <c r="L65" t="s">
        <v>8</v>
      </c>
      <c r="M65" t="s">
        <v>8</v>
      </c>
      <c r="N65" t="s">
        <v>7</v>
      </c>
      <c r="P65">
        <f t="shared" ref="P65" si="300">IF(C65=D65,0,((E65-D65)-(C65-E65))/(C65-D65))</f>
        <v>0.34428715874620969</v>
      </c>
      <c r="Q65">
        <f t="shared" ref="Q65" si="301">F65*P65</f>
        <v>3839062.1011122502</v>
      </c>
      <c r="R65">
        <f t="shared" ref="R65" si="302">R66+Q65</f>
        <v>-98247877.584415659</v>
      </c>
      <c r="S65">
        <f t="shared" ref="S65" si="303">R65/100000</f>
        <v>-982.47877584415664</v>
      </c>
      <c r="T65">
        <f t="shared" ref="T65" si="304">S65/1000</f>
        <v>-0.98247877584415666</v>
      </c>
    </row>
    <row r="66" spans="1:20" x14ac:dyDescent="0.25">
      <c r="A66" s="5">
        <v>44527</v>
      </c>
      <c r="B66">
        <v>2.0493000000000001</v>
      </c>
      <c r="C66">
        <v>2.6</v>
      </c>
      <c r="D66">
        <v>1.9543999999999999</v>
      </c>
      <c r="E66">
        <v>2.2178</v>
      </c>
      <c r="F66">
        <v>22940798</v>
      </c>
      <c r="G66">
        <v>2.2178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-0.18401486988847582</v>
      </c>
      <c r="Q66">
        <f t="shared" ref="Q66" si="306">F66*P66</f>
        <v>-4221447.959107806</v>
      </c>
      <c r="R66">
        <f t="shared" ref="R66" si="307">R67+Q66</f>
        <v>-102086939.68552791</v>
      </c>
      <c r="S66">
        <f t="shared" ref="S66" si="308">R66/100000</f>
        <v>-1020.8693968552791</v>
      </c>
      <c r="T66">
        <f t="shared" ref="T66" si="309">S66/1000</f>
        <v>-1.0208693968552791</v>
      </c>
    </row>
    <row r="67" spans="1:20" x14ac:dyDescent="0.25">
      <c r="A67" s="5">
        <v>44526</v>
      </c>
      <c r="B67">
        <v>2.5823</v>
      </c>
      <c r="C67">
        <v>3.4140999999999999</v>
      </c>
      <c r="D67">
        <v>2.0127000000000002</v>
      </c>
      <c r="E67">
        <v>2.0430999999999999</v>
      </c>
      <c r="F67">
        <v>80822676.230000004</v>
      </c>
      <c r="G67">
        <v>2.0430999999999999</v>
      </c>
      <c r="L67" t="s">
        <v>8</v>
      </c>
      <c r="M67" t="s">
        <v>8</v>
      </c>
      <c r="N67" t="s">
        <v>8</v>
      </c>
      <c r="P67">
        <f t="shared" ref="P67" si="310">IF(C67=D67,0,((E67-D67)-(C67-E67))/(C67-D67))</f>
        <v>-0.95661481375767121</v>
      </c>
      <c r="Q67">
        <f t="shared" ref="Q67" si="311">F67*P67</f>
        <v>-77316169.369158015</v>
      </c>
      <c r="R67">
        <f t="shared" ref="R67" si="312">R68+Q67</f>
        <v>-97865491.726420105</v>
      </c>
      <c r="S67">
        <f t="shared" ref="S67" si="313">R67/100000</f>
        <v>-978.654917264201</v>
      </c>
      <c r="T67">
        <f t="shared" ref="T67" si="314">S67/1000</f>
        <v>-0.97865491726420095</v>
      </c>
    </row>
    <row r="68" spans="1:20" x14ac:dyDescent="0.25">
      <c r="A68" s="5">
        <v>44525</v>
      </c>
      <c r="B68">
        <v>1.51</v>
      </c>
      <c r="C68">
        <v>2.6183000000000001</v>
      </c>
      <c r="D68">
        <v>1.4504999999999999</v>
      </c>
      <c r="E68">
        <v>2.5825999999999998</v>
      </c>
      <c r="F68">
        <v>77541597.75</v>
      </c>
      <c r="G68">
        <v>2.5825999999999998</v>
      </c>
      <c r="L68" t="s">
        <v>8</v>
      </c>
      <c r="M68" t="s">
        <v>8</v>
      </c>
      <c r="N68" t="s">
        <v>8</v>
      </c>
      <c r="P68">
        <f t="shared" ref="P68" si="315">IF(C68=D68,0,((E68-D68)-(C68-E68))/(C68-D68))</f>
        <v>0.93885939373180294</v>
      </c>
      <c r="Q68">
        <f t="shared" ref="Q68" si="316">F68*P68</f>
        <v>72800657.452560335</v>
      </c>
      <c r="R68">
        <f t="shared" ref="R68" si="317">R69+Q68</f>
        <v>-20549322.35726209</v>
      </c>
      <c r="S68">
        <f t="shared" ref="S68" si="318">R68/100000</f>
        <v>-205.49322357262091</v>
      </c>
      <c r="T68">
        <f t="shared" ref="T68" si="319">S68/1000</f>
        <v>-0.2054932235726209</v>
      </c>
    </row>
    <row r="69" spans="1:20" x14ac:dyDescent="0.25">
      <c r="A69" s="5">
        <v>44524</v>
      </c>
      <c r="B69">
        <v>1.2499</v>
      </c>
      <c r="C69">
        <v>1.4925999999999999</v>
      </c>
      <c r="D69">
        <v>1.2356</v>
      </c>
      <c r="E69">
        <v>1.4679</v>
      </c>
      <c r="F69">
        <v>9953284</v>
      </c>
      <c r="G69">
        <v>1.4679</v>
      </c>
      <c r="L69" t="s">
        <v>8</v>
      </c>
      <c r="M69" t="s">
        <v>8</v>
      </c>
      <c r="N69" t="s">
        <v>8</v>
      </c>
      <c r="P69">
        <f t="shared" ref="P69" si="320">IF(C69=D69,0,((E69-D69)-(C69-E69))/(C69-D69))</f>
        <v>0.80778210116731552</v>
      </c>
      <c r="Q69">
        <f t="shared" ref="Q69" si="321">F69*P69</f>
        <v>8040084.663035023</v>
      </c>
      <c r="R69">
        <f t="shared" ref="R69" si="322">R70+Q69</f>
        <v>-93349979.809822425</v>
      </c>
      <c r="S69">
        <f t="shared" ref="S69" si="323">R69/100000</f>
        <v>-933.49979809822423</v>
      </c>
      <c r="T69">
        <f t="shared" ref="T69" si="324">S69/1000</f>
        <v>-0.93349979809822425</v>
      </c>
    </row>
    <row r="70" spans="1:20" x14ac:dyDescent="0.25">
      <c r="A70" s="5">
        <v>44523</v>
      </c>
      <c r="B70">
        <v>1.0928</v>
      </c>
      <c r="C70">
        <v>1.27</v>
      </c>
      <c r="D70">
        <v>1.0602</v>
      </c>
      <c r="E70">
        <v>1.2483</v>
      </c>
      <c r="F70">
        <v>12302912</v>
      </c>
      <c r="G70">
        <v>1.2483</v>
      </c>
      <c r="L70" t="s">
        <v>8</v>
      </c>
      <c r="M70" t="s">
        <v>8</v>
      </c>
      <c r="N70" t="s">
        <v>8</v>
      </c>
      <c r="P70">
        <f t="shared" ref="P70" si="325">IF(C70=D70,0,((E70-D70)-(C70-E70))/(C70-D70))</f>
        <v>0.79313632030505188</v>
      </c>
      <c r="Q70">
        <f t="shared" ref="Q70" si="326">F70*P70</f>
        <v>9757886.3527168669</v>
      </c>
      <c r="R70">
        <f t="shared" ref="R70" si="327">R71+Q70</f>
        <v>-101390064.47285745</v>
      </c>
      <c r="S70">
        <f t="shared" ref="S70" si="328">R70/100000</f>
        <v>-1013.9006447285744</v>
      </c>
      <c r="T70">
        <f t="shared" ref="T70" si="329">S70/1000</f>
        <v>-1.0139006447285743</v>
      </c>
    </row>
    <row r="71" spans="1:20" x14ac:dyDescent="0.25">
      <c r="A71" s="5">
        <v>44522</v>
      </c>
      <c r="B71">
        <v>1.1353</v>
      </c>
      <c r="C71">
        <v>1.1493</v>
      </c>
      <c r="D71">
        <v>0.98</v>
      </c>
      <c r="E71">
        <v>1.0926</v>
      </c>
      <c r="F71">
        <v>9575217</v>
      </c>
      <c r="G71">
        <v>1.0926</v>
      </c>
      <c r="L71" t="s">
        <v>7</v>
      </c>
      <c r="M71" t="s">
        <v>7</v>
      </c>
      <c r="N71" t="s">
        <v>8</v>
      </c>
      <c r="P71">
        <f t="shared" ref="P71" si="330">IF(C71=D71,0,((E71-D71)-(C71-E71))/(C71-D71))</f>
        <v>0.33018310691080954</v>
      </c>
      <c r="Q71">
        <f t="shared" ref="Q71" si="331">F71*P71</f>
        <v>3161574.8984052008</v>
      </c>
      <c r="R71">
        <f t="shared" ref="R71" si="332">R72+Q71</f>
        <v>-111147950.82557431</v>
      </c>
      <c r="S71">
        <f t="shared" ref="S71" si="333">R71/100000</f>
        <v>-1111.479508255743</v>
      </c>
      <c r="T71">
        <f t="shared" ref="T71" si="334">S71/1000</f>
        <v>-1.1114795082557429</v>
      </c>
    </row>
    <row r="72" spans="1:20" x14ac:dyDescent="0.25">
      <c r="A72" s="5">
        <v>44521</v>
      </c>
      <c r="B72">
        <v>1.0669999999999999</v>
      </c>
      <c r="C72">
        <v>1.3</v>
      </c>
      <c r="D72">
        <v>1.0658000000000001</v>
      </c>
      <c r="E72">
        <v>1.1336999999999999</v>
      </c>
      <c r="F72">
        <v>18697087</v>
      </c>
      <c r="G72">
        <v>1.1336999999999999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-0.42015371477369889</v>
      </c>
      <c r="Q72">
        <f t="shared" ref="Q72" si="336">F72*P72</f>
        <v>-7855650.5584970331</v>
      </c>
      <c r="R72">
        <f t="shared" ref="R72" si="337">R73+Q72</f>
        <v>-114309525.7239795</v>
      </c>
      <c r="S72">
        <f t="shared" ref="S72" si="338">R72/100000</f>
        <v>-1143.095257239795</v>
      </c>
      <c r="T72">
        <f t="shared" ref="T72" si="339">S72/1000</f>
        <v>-1.143095257239795</v>
      </c>
    </row>
    <row r="73" spans="1:20" x14ac:dyDescent="0.25">
      <c r="A73" s="5">
        <v>44520</v>
      </c>
      <c r="B73">
        <v>1.0164</v>
      </c>
      <c r="C73">
        <v>1.105</v>
      </c>
      <c r="D73">
        <v>1.0007999999999999</v>
      </c>
      <c r="E73">
        <v>1.0669999999999999</v>
      </c>
      <c r="F73">
        <v>9260046</v>
      </c>
      <c r="G73">
        <v>1.0669999999999999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0.27063339731285974</v>
      </c>
      <c r="Q73">
        <f t="shared" ref="Q73" si="341">F73*P73</f>
        <v>2506077.7082533576</v>
      </c>
      <c r="R73">
        <f t="shared" ref="R73" si="342">R74+Q73</f>
        <v>-106453875.16548248</v>
      </c>
      <c r="S73">
        <f t="shared" ref="S73" si="343">R73/100000</f>
        <v>-1064.5387516548249</v>
      </c>
      <c r="T73">
        <f t="shared" ref="T73" si="344">S73/1000</f>
        <v>-1.0645387516548248</v>
      </c>
    </row>
    <row r="74" spans="1:20" x14ac:dyDescent="0.25">
      <c r="A74" s="5">
        <v>44519</v>
      </c>
      <c r="B74">
        <v>0.90090000000000003</v>
      </c>
      <c r="C74">
        <v>1.0699000000000001</v>
      </c>
      <c r="D74">
        <v>0.89900000000000002</v>
      </c>
      <c r="E74">
        <v>1.0162</v>
      </c>
      <c r="F74">
        <v>15184364</v>
      </c>
      <c r="G74">
        <v>1.0162</v>
      </c>
      <c r="L74" t="s">
        <v>8</v>
      </c>
      <c r="M74" t="s">
        <v>8</v>
      </c>
      <c r="N74" t="s">
        <v>7</v>
      </c>
      <c r="P74">
        <f t="shared" ref="P74" si="345">IF(C74=D74,0,((E74-D74)-(C74-E74))/(C74-D74))</f>
        <v>0.3715623171445282</v>
      </c>
      <c r="Q74">
        <f t="shared" ref="Q74" si="346">F74*P74</f>
        <v>5641937.4722059565</v>
      </c>
      <c r="R74">
        <f t="shared" ref="R74" si="347">R75+Q74</f>
        <v>-108959952.87373583</v>
      </c>
      <c r="S74">
        <f t="shared" ref="S74" si="348">R74/100000</f>
        <v>-1089.5995287373582</v>
      </c>
      <c r="T74">
        <f t="shared" ref="T74" si="349">S74/1000</f>
        <v>-1.0895995287373583</v>
      </c>
    </row>
    <row r="75" spans="1:20" x14ac:dyDescent="0.25">
      <c r="A75" s="5">
        <v>44518</v>
      </c>
      <c r="B75">
        <v>1.1023000000000001</v>
      </c>
      <c r="C75">
        <v>1.1125</v>
      </c>
      <c r="D75">
        <v>0.86899999999999999</v>
      </c>
      <c r="E75">
        <v>0.90080000000000005</v>
      </c>
      <c r="F75">
        <v>20436011</v>
      </c>
      <c r="G75">
        <v>0.90080000000000005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-0.7388090349075972</v>
      </c>
      <c r="Q75">
        <f t="shared" ref="Q75" si="351">F75*P75</f>
        <v>-15098309.56427104</v>
      </c>
      <c r="R75">
        <f t="shared" ref="R75" si="352">R76+Q75</f>
        <v>-114601890.34594178</v>
      </c>
      <c r="S75">
        <f t="shared" ref="S75" si="353">R75/100000</f>
        <v>-1146.0189034594177</v>
      </c>
      <c r="T75">
        <f t="shared" ref="T75" si="354">S75/1000</f>
        <v>-1.1460189034594177</v>
      </c>
    </row>
    <row r="76" spans="1:20" x14ac:dyDescent="0.25">
      <c r="A76" s="5">
        <v>44517</v>
      </c>
      <c r="B76">
        <v>1.1388</v>
      </c>
      <c r="C76">
        <v>1.1899</v>
      </c>
      <c r="D76">
        <v>0.97740000000000005</v>
      </c>
      <c r="E76">
        <v>1.1013999999999999</v>
      </c>
      <c r="F76">
        <v>42079146</v>
      </c>
      <c r="G76">
        <v>1.1013999999999999</v>
      </c>
      <c r="L76" t="s">
        <v>7</v>
      </c>
      <c r="M76" t="s">
        <v>7</v>
      </c>
      <c r="N76" t="s">
        <v>8</v>
      </c>
      <c r="P76">
        <f t="shared" ref="P76" si="355">IF(C76=D76,0,((E76-D76)-(C76-E76))/(C76-D76))</f>
        <v>0.1670588235294112</v>
      </c>
      <c r="Q76">
        <f t="shared" ref="Q76" si="356">F76*P76</f>
        <v>7029692.6258823294</v>
      </c>
      <c r="R76">
        <f t="shared" ref="R76" si="357">R77+Q76</f>
        <v>-99503580.781670734</v>
      </c>
      <c r="S76">
        <f t="shared" ref="S76" si="358">R76/100000</f>
        <v>-995.03580781670735</v>
      </c>
      <c r="T76">
        <f t="shared" ref="T76" si="359">S76/1000</f>
        <v>-0.99503580781670731</v>
      </c>
    </row>
    <row r="77" spans="1:20" x14ac:dyDescent="0.25">
      <c r="A77" s="5">
        <v>44516</v>
      </c>
      <c r="B77">
        <v>0.89090000000000003</v>
      </c>
      <c r="C77">
        <v>1.31</v>
      </c>
      <c r="D77">
        <v>0.87250000000000005</v>
      </c>
      <c r="E77">
        <v>1.1378999999999999</v>
      </c>
      <c r="F77">
        <v>102665094</v>
      </c>
      <c r="G77">
        <v>1.1378999999999999</v>
      </c>
      <c r="L77" t="s">
        <v>8</v>
      </c>
      <c r="M77" t="s">
        <v>8</v>
      </c>
      <c r="N77" t="s">
        <v>8</v>
      </c>
      <c r="P77">
        <f t="shared" ref="P77" si="360">IF(C77=D77,0,((E77-D77)-(C77-E77))/(C77-D77))</f>
        <v>0.2132571428571422</v>
      </c>
      <c r="Q77">
        <f t="shared" ref="Q77" si="361">F77*P77</f>
        <v>21894064.617599934</v>
      </c>
      <c r="R77">
        <f t="shared" ref="R77" si="362">R78+Q77</f>
        <v>-106533273.40755306</v>
      </c>
      <c r="S77">
        <f t="shared" ref="S77" si="363">R77/100000</f>
        <v>-1065.3327340755307</v>
      </c>
      <c r="T77">
        <f t="shared" ref="T77" si="364">S77/1000</f>
        <v>-1.0653327340755308</v>
      </c>
    </row>
    <row r="78" spans="1:20" x14ac:dyDescent="0.25">
      <c r="A78" s="5">
        <v>44515</v>
      </c>
      <c r="B78">
        <v>0.86099999999999999</v>
      </c>
      <c r="C78">
        <v>1.0495000000000001</v>
      </c>
      <c r="D78">
        <v>0.84040000000000004</v>
      </c>
      <c r="E78">
        <v>0.8881</v>
      </c>
      <c r="F78">
        <v>30010156</v>
      </c>
      <c r="G78">
        <v>0.8881</v>
      </c>
      <c r="L78" t="s">
        <v>8</v>
      </c>
      <c r="M78" t="s">
        <v>8</v>
      </c>
      <c r="N78" t="s">
        <v>7</v>
      </c>
      <c r="P78">
        <f t="shared" ref="P78" si="365">IF(C78=D78,0,((E78-D78)-(C78-E78))/(C78-D78))</f>
        <v>-0.54375896700143522</v>
      </c>
      <c r="Q78">
        <f t="shared" ref="Q78" si="366">F78*P78</f>
        <v>-16318291.426111924</v>
      </c>
      <c r="R78">
        <f t="shared" ref="R78" si="367">R79+Q78</f>
        <v>-128427338.025153</v>
      </c>
      <c r="S78">
        <f t="shared" ref="S78" si="368">R78/100000</f>
        <v>-1284.2733802515299</v>
      </c>
      <c r="T78">
        <f t="shared" ref="T78" si="369">S78/1000</f>
        <v>-1.28427338025153</v>
      </c>
    </row>
    <row r="79" spans="1:20" x14ac:dyDescent="0.25">
      <c r="A79" s="5">
        <v>44514</v>
      </c>
      <c r="B79">
        <v>0.84830000000000005</v>
      </c>
      <c r="C79">
        <v>0.86099999999999999</v>
      </c>
      <c r="D79">
        <v>0.81499999999999995</v>
      </c>
      <c r="E79">
        <v>0.86099999999999999</v>
      </c>
      <c r="F79">
        <v>4280548</v>
      </c>
      <c r="G79">
        <v>0.86099999999999999</v>
      </c>
      <c r="L79" t="s">
        <v>8</v>
      </c>
      <c r="M79" t="s">
        <v>7</v>
      </c>
      <c r="N79" t="s">
        <v>7</v>
      </c>
      <c r="P79">
        <f t="shared" ref="P79" si="370">IF(C79=D79,0,((E79-D79)-(C79-E79))/(C79-D79))</f>
        <v>1</v>
      </c>
      <c r="Q79">
        <f t="shared" ref="Q79" si="371">F79*P79</f>
        <v>4280548</v>
      </c>
      <c r="R79">
        <f t="shared" ref="R79" si="372">R80+Q79</f>
        <v>-112109046.59904107</v>
      </c>
      <c r="S79">
        <f t="shared" ref="S79" si="373">R79/100000</f>
        <v>-1121.0904659904108</v>
      </c>
      <c r="T79">
        <f t="shared" ref="T79" si="374">S79/1000</f>
        <v>-1.1210904659904108</v>
      </c>
    </row>
    <row r="80" spans="1:20" x14ac:dyDescent="0.25">
      <c r="A80" s="5">
        <v>44513</v>
      </c>
      <c r="B80">
        <v>0.81200000000000006</v>
      </c>
      <c r="C80">
        <v>0.84899999999999998</v>
      </c>
      <c r="D80">
        <v>0.80189999999999995</v>
      </c>
      <c r="E80">
        <v>0.84899999999999998</v>
      </c>
      <c r="F80">
        <v>2973683</v>
      </c>
      <c r="G80">
        <v>0.84899999999999998</v>
      </c>
      <c r="L80" t="s">
        <v>8</v>
      </c>
      <c r="M80" t="s">
        <v>7</v>
      </c>
      <c r="N80" t="s">
        <v>7</v>
      </c>
      <c r="P80">
        <f t="shared" ref="P80" si="375">IF(C80=D80,0,((E80-D80)-(C80-E80))/(C80-D80))</f>
        <v>1</v>
      </c>
      <c r="Q80">
        <f t="shared" ref="Q80" si="376">F80*P80</f>
        <v>2973683</v>
      </c>
      <c r="R80">
        <f t="shared" ref="R80" si="377">R81+Q80</f>
        <v>-116389594.59904107</v>
      </c>
      <c r="S80">
        <f t="shared" ref="S80" si="378">R80/100000</f>
        <v>-1163.8959459904108</v>
      </c>
      <c r="T80">
        <f t="shared" ref="T80" si="379">S80/1000</f>
        <v>-1.1638959459904108</v>
      </c>
    </row>
    <row r="81" spans="1:20" x14ac:dyDescent="0.25">
      <c r="A81" s="5">
        <v>44512</v>
      </c>
      <c r="B81">
        <v>0.82279999999999998</v>
      </c>
      <c r="C81">
        <v>0.8327</v>
      </c>
      <c r="D81">
        <v>0.78979999999999995</v>
      </c>
      <c r="E81">
        <v>0.81200000000000006</v>
      </c>
      <c r="F81">
        <v>2825381</v>
      </c>
      <c r="G81">
        <v>0.81200000000000006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3.496503496503884E-2</v>
      </c>
      <c r="Q81">
        <f t="shared" ref="Q81" si="381">F81*P81</f>
        <v>98789.545454556399</v>
      </c>
      <c r="R81">
        <f t="shared" ref="R81" si="382">R82+Q81</f>
        <v>-119363277.59904107</v>
      </c>
      <c r="S81">
        <f t="shared" ref="S81" si="383">R81/100000</f>
        <v>-1193.6327759904107</v>
      </c>
      <c r="T81">
        <f t="shared" ref="T81" si="384">S81/1000</f>
        <v>-1.1936327759904106</v>
      </c>
    </row>
    <row r="82" spans="1:20" x14ac:dyDescent="0.25">
      <c r="A82" s="5">
        <v>44511</v>
      </c>
      <c r="B82">
        <v>0.80369999999999997</v>
      </c>
      <c r="C82">
        <v>0.8347</v>
      </c>
      <c r="D82">
        <v>0.78190000000000004</v>
      </c>
      <c r="E82">
        <v>0.82340000000000002</v>
      </c>
      <c r="F82">
        <v>3915889</v>
      </c>
      <c r="G82">
        <v>0.82340000000000002</v>
      </c>
      <c r="L82" t="s">
        <v>7</v>
      </c>
      <c r="M82" t="s">
        <v>7</v>
      </c>
      <c r="N82" t="s">
        <v>7</v>
      </c>
      <c r="P82">
        <f t="shared" ref="P82" si="385">IF(C82=D82,0,((E82-D82)-(C82-E82))/(C82-D82))</f>
        <v>0.57196969696969746</v>
      </c>
      <c r="Q82">
        <f t="shared" ref="Q82" si="386">F82*P82</f>
        <v>2239769.8446969716</v>
      </c>
      <c r="R82">
        <f t="shared" ref="R82" si="387">R83+Q82</f>
        <v>-119462067.14449564</v>
      </c>
      <c r="S82">
        <f t="shared" ref="S82" si="388">R82/100000</f>
        <v>-1194.6206714449563</v>
      </c>
      <c r="T82">
        <f t="shared" ref="T82" si="389">S82/1000</f>
        <v>-1.1946206714449563</v>
      </c>
    </row>
    <row r="83" spans="1:20" x14ac:dyDescent="0.25">
      <c r="A83" s="5">
        <v>44510</v>
      </c>
      <c r="B83">
        <v>0.81440000000000001</v>
      </c>
      <c r="C83">
        <v>0.86729999999999996</v>
      </c>
      <c r="D83">
        <v>0.78420000000000001</v>
      </c>
      <c r="E83">
        <v>0.80389999999999995</v>
      </c>
      <c r="F83">
        <v>6459994</v>
      </c>
      <c r="G83">
        <v>0.80389999999999995</v>
      </c>
      <c r="L83" t="s">
        <v>8</v>
      </c>
      <c r="M83" t="s">
        <v>7</v>
      </c>
      <c r="N83" t="s">
        <v>7</v>
      </c>
      <c r="P83">
        <f t="shared" ref="P83" si="390">IF(C83=D83,0,((E83-D83)-(C83-E83))/(C83-D83))</f>
        <v>-0.52587244283995305</v>
      </c>
      <c r="Q83">
        <f t="shared" ref="Q83" si="391">F83*P83</f>
        <v>-3397132.8255114397</v>
      </c>
      <c r="R83">
        <f t="shared" ref="R83" si="392">R84+Q83</f>
        <v>-121701836.98919261</v>
      </c>
      <c r="S83">
        <f t="shared" ref="S83" si="393">R83/100000</f>
        <v>-1217.0183698919261</v>
      </c>
      <c r="T83">
        <f t="shared" ref="T83" si="394">S83/1000</f>
        <v>-1.2170183698919261</v>
      </c>
    </row>
    <row r="84" spans="1:20" x14ac:dyDescent="0.25">
      <c r="A84" s="5">
        <v>44509</v>
      </c>
      <c r="B84">
        <v>0.82430000000000003</v>
      </c>
      <c r="C84">
        <v>0.8397</v>
      </c>
      <c r="D84">
        <v>0.80520000000000003</v>
      </c>
      <c r="E84">
        <v>0.81369999999999998</v>
      </c>
      <c r="F84">
        <v>3369606</v>
      </c>
      <c r="G84">
        <v>0.81369999999999998</v>
      </c>
      <c r="L84" t="s">
        <v>8</v>
      </c>
      <c r="M84" t="s">
        <v>7</v>
      </c>
      <c r="N84" t="s">
        <v>7</v>
      </c>
      <c r="P84">
        <f t="shared" ref="P84" si="395">IF(C84=D84,0,((E84-D84)-(C84-E84))/(C84-D84))</f>
        <v>-0.50724637681159668</v>
      </c>
      <c r="Q84">
        <f t="shared" ref="Q84" si="396">F84*P84</f>
        <v>-1709220.434782617</v>
      </c>
      <c r="R84">
        <f t="shared" ref="R84" si="397">R85+Q84</f>
        <v>-118304704.16368116</v>
      </c>
      <c r="S84">
        <f t="shared" ref="S84" si="398">R84/100000</f>
        <v>-1183.0470416368116</v>
      </c>
      <c r="T84">
        <f t="shared" ref="T84" si="399">S84/1000</f>
        <v>-1.1830470416368117</v>
      </c>
    </row>
    <row r="85" spans="1:20" x14ac:dyDescent="0.25">
      <c r="A85" s="5">
        <v>44508</v>
      </c>
      <c r="B85">
        <v>0.82199999999999995</v>
      </c>
      <c r="C85">
        <v>0.82499999999999996</v>
      </c>
      <c r="D85">
        <v>0.79579999999999995</v>
      </c>
      <c r="E85">
        <v>0.82489999999999997</v>
      </c>
      <c r="F85">
        <v>2890945</v>
      </c>
      <c r="G85">
        <v>0.82489999999999997</v>
      </c>
      <c r="L85" t="s">
        <v>7</v>
      </c>
      <c r="M85" t="s">
        <v>7</v>
      </c>
      <c r="N85" t="s">
        <v>7</v>
      </c>
      <c r="P85">
        <f t="shared" ref="P85" si="400">IF(C85=D85,0,((E85-D85)-(C85-E85))/(C85-D85))</f>
        <v>0.9931506849315076</v>
      </c>
      <c r="Q85">
        <f t="shared" ref="Q85" si="401">F85*P85</f>
        <v>2871144.0068493173</v>
      </c>
      <c r="R85">
        <f t="shared" ref="R85" si="402">R86+Q85</f>
        <v>-116595483.72889854</v>
      </c>
      <c r="S85">
        <f t="shared" ref="S85" si="403">R85/100000</f>
        <v>-1165.9548372889853</v>
      </c>
      <c r="T85">
        <f t="shared" ref="T85" si="404">S85/1000</f>
        <v>-1.1659548372889854</v>
      </c>
    </row>
    <row r="86" spans="1:20" x14ac:dyDescent="0.25">
      <c r="A86" s="5">
        <v>44507</v>
      </c>
      <c r="B86">
        <v>0.81740000000000002</v>
      </c>
      <c r="C86">
        <v>0.82950000000000002</v>
      </c>
      <c r="D86">
        <v>0.81200000000000006</v>
      </c>
      <c r="E86">
        <v>0.82310000000000005</v>
      </c>
      <c r="F86">
        <v>2024214</v>
      </c>
      <c r="G86">
        <v>0.82310000000000005</v>
      </c>
      <c r="L86" t="s">
        <v>7</v>
      </c>
      <c r="M86" t="s">
        <v>7</v>
      </c>
      <c r="N86" t="s">
        <v>7</v>
      </c>
      <c r="P86">
        <f t="shared" ref="P86" si="405">IF(C86=D86,0,((E86-D86)-(C86-E86))/(C86-D86))</f>
        <v>0.26857142857143135</v>
      </c>
      <c r="Q86">
        <f t="shared" ref="Q86" si="406">F86*P86</f>
        <v>543646.04571429128</v>
      </c>
      <c r="R86">
        <f t="shared" ref="R86" si="407">R87+Q86</f>
        <v>-119466627.73574786</v>
      </c>
      <c r="S86">
        <f t="shared" ref="S86" si="408">R86/100000</f>
        <v>-1194.6662773574785</v>
      </c>
      <c r="T86">
        <f t="shared" ref="T86" si="409">S86/1000</f>
        <v>-1.1946662773574785</v>
      </c>
    </row>
    <row r="87" spans="1:20" x14ac:dyDescent="0.25">
      <c r="A87" s="5">
        <v>44506</v>
      </c>
      <c r="B87">
        <v>0.82199999999999995</v>
      </c>
      <c r="C87">
        <v>0.82250000000000001</v>
      </c>
      <c r="D87">
        <v>0.78790000000000004</v>
      </c>
      <c r="E87">
        <v>0.81740000000000002</v>
      </c>
      <c r="F87">
        <v>2662757</v>
      </c>
      <c r="G87">
        <v>0.81740000000000002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0.70520231213872842</v>
      </c>
      <c r="Q87">
        <f t="shared" ref="Q87" si="411">F87*P87</f>
        <v>1877782.3930635841</v>
      </c>
      <c r="R87">
        <f t="shared" ref="R87" si="412">R88+Q87</f>
        <v>-120010273.78146215</v>
      </c>
      <c r="S87">
        <f t="shared" ref="S87" si="413">R87/100000</f>
        <v>-1200.1027378146214</v>
      </c>
      <c r="T87">
        <f t="shared" ref="T87" si="414">S87/1000</f>
        <v>-1.2001027378146214</v>
      </c>
    </row>
    <row r="88" spans="1:20" x14ac:dyDescent="0.25">
      <c r="A88" s="5">
        <v>44505</v>
      </c>
      <c r="B88">
        <v>0.86980000000000002</v>
      </c>
      <c r="C88">
        <v>0.86980000000000002</v>
      </c>
      <c r="D88">
        <v>0.80820000000000003</v>
      </c>
      <c r="E88">
        <v>0.82150000000000001</v>
      </c>
      <c r="F88">
        <v>8825245</v>
      </c>
      <c r="G88">
        <v>0.82150000000000001</v>
      </c>
      <c r="L88" t="s">
        <v>7</v>
      </c>
      <c r="M88" t="s">
        <v>7</v>
      </c>
      <c r="N88" t="s">
        <v>7</v>
      </c>
      <c r="P88">
        <f t="shared" ref="P88" si="415">IF(C88=D88,0,((E88-D88)-(C88-E88))/(C88-D88))</f>
        <v>-0.56818181818181879</v>
      </c>
      <c r="Q88">
        <f t="shared" ref="Q88" si="416">F88*P88</f>
        <v>-5014343.7500000056</v>
      </c>
      <c r="R88">
        <f t="shared" ref="R88" si="417">R89+Q88</f>
        <v>-121888056.17452574</v>
      </c>
      <c r="S88">
        <f t="shared" ref="S88" si="418">R88/100000</f>
        <v>-1218.8805617452574</v>
      </c>
      <c r="T88">
        <f t="shared" ref="T88" si="419">S88/1000</f>
        <v>-1.2188805617452574</v>
      </c>
    </row>
    <row r="89" spans="1:20" x14ac:dyDescent="0.25">
      <c r="A89" s="5">
        <v>44504</v>
      </c>
      <c r="B89">
        <v>0.81299999999999994</v>
      </c>
      <c r="C89">
        <v>1.1850000000000001</v>
      </c>
      <c r="D89">
        <v>0.81299999999999994</v>
      </c>
      <c r="E89">
        <v>0.87080000000000002</v>
      </c>
      <c r="F89">
        <v>84082776</v>
      </c>
      <c r="G89">
        <v>0.87080000000000002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-0.68924731182795673</v>
      </c>
      <c r="Q89">
        <f t="shared" ref="Q89" si="421">F89*P89</f>
        <v>-57953827.329032235</v>
      </c>
      <c r="R89">
        <f t="shared" ref="R89" si="422">R90+Q89</f>
        <v>-116873712.42452574</v>
      </c>
      <c r="S89">
        <f t="shared" ref="S89" si="423">R89/100000</f>
        <v>-1168.7371242452573</v>
      </c>
      <c r="T89">
        <f t="shared" ref="T89" si="424">S89/1000</f>
        <v>-1.1687371242452573</v>
      </c>
    </row>
    <row r="90" spans="1:20" x14ac:dyDescent="0.25">
      <c r="A90" s="5">
        <v>44503</v>
      </c>
      <c r="B90">
        <v>0.82779999999999998</v>
      </c>
      <c r="C90">
        <v>0.82809999999999995</v>
      </c>
      <c r="D90">
        <v>0.78610000000000002</v>
      </c>
      <c r="E90">
        <v>0.81230000000000002</v>
      </c>
      <c r="F90">
        <v>2505992</v>
      </c>
      <c r="G90">
        <v>0.81230000000000002</v>
      </c>
      <c r="L90" t="s">
        <v>7</v>
      </c>
      <c r="M90" t="s">
        <v>8</v>
      </c>
      <c r="N90" t="s">
        <v>7</v>
      </c>
      <c r="P90">
        <f t="shared" ref="P90" si="425">IF(C90=D90,0,((E90-D90)-(C90-E90))/(C90-D90))</f>
        <v>0.24761904761904985</v>
      </c>
      <c r="Q90">
        <f t="shared" ref="Q90" si="426">F90*P90</f>
        <v>620531.35238095792</v>
      </c>
      <c r="R90">
        <f t="shared" ref="R90" si="427">R91+Q90</f>
        <v>-58919885.095493503</v>
      </c>
      <c r="S90">
        <f t="shared" ref="S90" si="428">R90/100000</f>
        <v>-589.19885095493498</v>
      </c>
      <c r="T90">
        <f t="shared" ref="T90" si="429">S90/1000</f>
        <v>-0.58919885095493496</v>
      </c>
    </row>
    <row r="91" spans="1:20" x14ac:dyDescent="0.25">
      <c r="A91" s="5">
        <v>44502</v>
      </c>
      <c r="B91">
        <v>0.80800000000000005</v>
      </c>
      <c r="C91">
        <v>0.83809999999999996</v>
      </c>
      <c r="D91">
        <v>0.78700000000000003</v>
      </c>
      <c r="E91">
        <v>0.8256</v>
      </c>
      <c r="F91">
        <v>3080467</v>
      </c>
      <c r="G91">
        <v>0.8256</v>
      </c>
      <c r="L91" t="s">
        <v>7</v>
      </c>
      <c r="M91" t="s">
        <v>8</v>
      </c>
      <c r="N91" t="s">
        <v>7</v>
      </c>
      <c r="P91">
        <f t="shared" ref="P91" si="430">IF(C91=D91,0,((E91-D91)-(C91-E91))/(C91-D91))</f>
        <v>0.51076320939334741</v>
      </c>
      <c r="Q91">
        <f t="shared" ref="Q91" si="431">F91*P91</f>
        <v>1573389.2113502966</v>
      </c>
      <c r="R91">
        <f t="shared" ref="R91" si="432">R92+Q91</f>
        <v>-59540416.447874464</v>
      </c>
      <c r="S91">
        <f t="shared" ref="S91" si="433">R91/100000</f>
        <v>-595.40416447874463</v>
      </c>
      <c r="T91">
        <f t="shared" ref="T91" si="434">S91/1000</f>
        <v>-0.59540416447874467</v>
      </c>
    </row>
    <row r="92" spans="1:20" x14ac:dyDescent="0.25">
      <c r="A92" s="5">
        <v>44501</v>
      </c>
      <c r="B92">
        <v>0.82520000000000004</v>
      </c>
      <c r="C92">
        <v>0.84619999999999995</v>
      </c>
      <c r="D92">
        <v>0.78129999999999999</v>
      </c>
      <c r="E92">
        <v>0.80800000000000005</v>
      </c>
      <c r="F92">
        <v>3156428</v>
      </c>
      <c r="G92">
        <v>0.80800000000000005</v>
      </c>
      <c r="L92" t="s">
        <v>8</v>
      </c>
      <c r="M92" t="s">
        <v>8</v>
      </c>
      <c r="N92" t="s">
        <v>7</v>
      </c>
      <c r="P92">
        <f t="shared" ref="P92" si="435">IF(C92=D92,0,((E92-D92)-(C92-E92))/(C92-D92))</f>
        <v>-0.17719568567025965</v>
      </c>
      <c r="Q92">
        <f t="shared" ref="Q92" si="436">F92*P92</f>
        <v>-559305.42372880632</v>
      </c>
      <c r="R92">
        <f t="shared" ref="R92" si="437">R93+Q92</f>
        <v>-61113805.659224764</v>
      </c>
      <c r="S92">
        <f t="shared" ref="S92" si="438">R92/100000</f>
        <v>-611.13805659224761</v>
      </c>
      <c r="T92">
        <f t="shared" ref="T92" si="439">S92/1000</f>
        <v>-0.61113805659224762</v>
      </c>
    </row>
    <row r="93" spans="1:20" x14ac:dyDescent="0.25">
      <c r="A93" s="5">
        <v>44500</v>
      </c>
      <c r="B93">
        <v>0.84409999999999996</v>
      </c>
      <c r="C93">
        <v>0.8488</v>
      </c>
      <c r="D93">
        <v>0.78239999999999998</v>
      </c>
      <c r="E93">
        <v>0.82479999999999998</v>
      </c>
      <c r="F93">
        <v>5648842</v>
      </c>
      <c r="G93">
        <v>0.82479999999999998</v>
      </c>
      <c r="L93" t="s">
        <v>7</v>
      </c>
      <c r="M93" t="s">
        <v>8</v>
      </c>
      <c r="N93" t="s">
        <v>7</v>
      </c>
      <c r="P93">
        <f t="shared" ref="P93" si="440">IF(C93=D93,0,((E93-D93)-(C93-E93))/(C93-D93))</f>
        <v>0.27710843373493926</v>
      </c>
      <c r="Q93">
        <f t="shared" ref="Q93" si="441">F93*P93</f>
        <v>1565341.7590361417</v>
      </c>
      <c r="R93">
        <f t="shared" ref="R93" si="442">R94+Q93</f>
        <v>-60554500.235495955</v>
      </c>
      <c r="S93">
        <f t="shared" ref="S93" si="443">R93/100000</f>
        <v>-605.54500235495959</v>
      </c>
      <c r="T93">
        <f t="shared" ref="T93" si="444">S93/1000</f>
        <v>-0.60554500235495956</v>
      </c>
    </row>
    <row r="94" spans="1:20" x14ac:dyDescent="0.25">
      <c r="A94" s="5">
        <v>44499</v>
      </c>
      <c r="B94">
        <v>0.79759999999999998</v>
      </c>
      <c r="C94">
        <v>0.84940000000000004</v>
      </c>
      <c r="D94">
        <v>0.76500000000000001</v>
      </c>
      <c r="E94">
        <v>0.84389999999999998</v>
      </c>
      <c r="F94">
        <v>5417020</v>
      </c>
      <c r="G94">
        <v>0.84389999999999998</v>
      </c>
      <c r="L94" t="s">
        <v>8</v>
      </c>
      <c r="M94" t="s">
        <v>8</v>
      </c>
      <c r="N94" t="s">
        <v>7</v>
      </c>
      <c r="P94">
        <f t="shared" ref="P94" si="445">IF(C94=D94,0,((E94-D94)-(C94-E94))/(C94-D94))</f>
        <v>0.86966824644549623</v>
      </c>
      <c r="Q94">
        <f t="shared" ref="Q94" si="446">F94*P94</f>
        <v>4711010.2843601815</v>
      </c>
      <c r="R94">
        <f t="shared" ref="R94" si="447">R95+Q94</f>
        <v>-62119841.994532093</v>
      </c>
      <c r="S94">
        <f t="shared" ref="S94" si="448">R94/100000</f>
        <v>-621.19841994532089</v>
      </c>
      <c r="T94">
        <f t="shared" ref="T94" si="449">S94/1000</f>
        <v>-0.62119841994532088</v>
      </c>
    </row>
    <row r="95" spans="1:20" x14ac:dyDescent="0.25">
      <c r="A95" s="5">
        <v>44498</v>
      </c>
      <c r="B95">
        <v>0.7752</v>
      </c>
      <c r="C95">
        <v>0.79890000000000005</v>
      </c>
      <c r="D95">
        <v>0.75719999999999998</v>
      </c>
      <c r="E95">
        <v>0.79630000000000001</v>
      </c>
      <c r="F95">
        <v>2630401</v>
      </c>
      <c r="G95">
        <v>0.79630000000000001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0.87529976019184452</v>
      </c>
      <c r="Q95">
        <f t="shared" ref="Q95" si="451">F95*P95</f>
        <v>2302389.3645083881</v>
      </c>
      <c r="R95">
        <f t="shared" ref="R95" si="452">R96+Q95</f>
        <v>-66830852.278892279</v>
      </c>
      <c r="S95">
        <f t="shared" ref="S95" si="453">R95/100000</f>
        <v>-668.3085227889228</v>
      </c>
      <c r="T95">
        <f t="shared" ref="T95" si="454">S95/1000</f>
        <v>-0.66830852278892283</v>
      </c>
    </row>
    <row r="96" spans="1:20" x14ac:dyDescent="0.25">
      <c r="A96" s="5">
        <v>44497</v>
      </c>
      <c r="B96">
        <v>0.72489999999999999</v>
      </c>
      <c r="C96">
        <v>0.78559999999999997</v>
      </c>
      <c r="D96">
        <v>0.69210000000000005</v>
      </c>
      <c r="E96">
        <v>0.77449999999999997</v>
      </c>
      <c r="F96">
        <v>3329900</v>
      </c>
      <c r="G96">
        <v>0.77449999999999997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0.76256684491978588</v>
      </c>
      <c r="Q96">
        <f t="shared" ref="Q96" si="456">F96*P96</f>
        <v>2539271.3368983949</v>
      </c>
      <c r="R96">
        <f t="shared" ref="R96" si="457">R97+Q96</f>
        <v>-69133241.643400669</v>
      </c>
      <c r="S96">
        <f t="shared" ref="S96" si="458">R96/100000</f>
        <v>-691.33241643400675</v>
      </c>
      <c r="T96">
        <f t="shared" ref="T96" si="459">S96/1000</f>
        <v>-0.69133241643400678</v>
      </c>
    </row>
    <row r="97" spans="1:20" x14ac:dyDescent="0.25">
      <c r="A97" s="5">
        <v>44496</v>
      </c>
      <c r="B97">
        <v>0.80049999999999999</v>
      </c>
      <c r="C97">
        <v>0.80049999999999999</v>
      </c>
      <c r="D97">
        <v>0.69540000000000002</v>
      </c>
      <c r="E97">
        <v>0.72640000000000005</v>
      </c>
      <c r="F97">
        <v>5221248</v>
      </c>
      <c r="G97">
        <v>0.72640000000000005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-0.41008563273073195</v>
      </c>
      <c r="Q97">
        <f t="shared" ref="Q97" si="461">F97*P97</f>
        <v>-2141158.7897240687</v>
      </c>
      <c r="R97">
        <f t="shared" ref="R97" si="462">R98+Q97</f>
        <v>-71672512.98029907</v>
      </c>
      <c r="S97">
        <f t="shared" ref="S97" si="463">R97/100000</f>
        <v>-716.72512980299075</v>
      </c>
      <c r="T97">
        <f t="shared" ref="T97" si="464">S97/1000</f>
        <v>-0.71672512980299075</v>
      </c>
    </row>
    <row r="98" spans="1:20" x14ac:dyDescent="0.25">
      <c r="A98" s="5">
        <v>44495</v>
      </c>
      <c r="B98">
        <v>0.82179999999999997</v>
      </c>
      <c r="C98">
        <v>0.82440000000000002</v>
      </c>
      <c r="D98">
        <v>0.78400000000000003</v>
      </c>
      <c r="E98">
        <v>0.80049999999999999</v>
      </c>
      <c r="F98">
        <v>4156129</v>
      </c>
      <c r="G98">
        <v>0.80049999999999999</v>
      </c>
      <c r="L98" t="s">
        <v>7</v>
      </c>
      <c r="M98" t="s">
        <v>7</v>
      </c>
      <c r="N98" t="s">
        <v>7</v>
      </c>
      <c r="P98">
        <f t="shared" ref="P98" si="465">IF(C98=D98,0,((E98-D98)-(C98-E98))/(C98-D98))</f>
        <v>-0.18316831683168502</v>
      </c>
      <c r="Q98">
        <f t="shared" ref="Q98" si="466">F98*P98</f>
        <v>-761271.15346535423</v>
      </c>
      <c r="R98">
        <f t="shared" ref="R98" si="467">R99+Q98</f>
        <v>-69531354.190575004</v>
      </c>
      <c r="S98">
        <f t="shared" ref="S98" si="468">R98/100000</f>
        <v>-695.31354190575007</v>
      </c>
      <c r="T98">
        <f t="shared" ref="T98" si="469">S98/1000</f>
        <v>-0.69531354190575012</v>
      </c>
    </row>
    <row r="99" spans="1:20" x14ac:dyDescent="0.25">
      <c r="A99" s="5">
        <v>44494</v>
      </c>
      <c r="B99">
        <v>0.83520000000000005</v>
      </c>
      <c r="C99">
        <v>0.8367</v>
      </c>
      <c r="D99">
        <v>0.78259999999999996</v>
      </c>
      <c r="E99">
        <v>0.8236</v>
      </c>
      <c r="F99">
        <v>6262299</v>
      </c>
      <c r="G99">
        <v>0.8236</v>
      </c>
      <c r="L99" t="s">
        <v>7</v>
      </c>
      <c r="M99" t="s">
        <v>7</v>
      </c>
      <c r="N99" t="s">
        <v>7</v>
      </c>
      <c r="P99">
        <f t="shared" ref="P99" si="470">IF(C99=D99,0,((E99-D99)-(C99-E99))/(C99-D99))</f>
        <v>0.5157116451016639</v>
      </c>
      <c r="Q99">
        <f t="shared" ref="Q99" si="471">F99*P99</f>
        <v>3229540.5194085049</v>
      </c>
      <c r="R99">
        <f t="shared" ref="R99" si="472">R100+Q99</f>
        <v>-68770083.037109643</v>
      </c>
      <c r="S99">
        <f t="shared" ref="S99" si="473">R99/100000</f>
        <v>-687.70083037109646</v>
      </c>
      <c r="T99">
        <f t="shared" ref="T99" si="474">S99/1000</f>
        <v>-0.68770083037109642</v>
      </c>
    </row>
    <row r="100" spans="1:20" x14ac:dyDescent="0.25">
      <c r="A100" s="5">
        <v>44493</v>
      </c>
      <c r="B100">
        <v>0.78939999999999999</v>
      </c>
      <c r="C100">
        <v>0.84460000000000002</v>
      </c>
      <c r="D100">
        <v>0.76239999999999997</v>
      </c>
      <c r="E100">
        <v>0.83579999999999999</v>
      </c>
      <c r="F100">
        <v>5920011</v>
      </c>
      <c r="G100">
        <v>0.83579999999999999</v>
      </c>
      <c r="L100" t="s">
        <v>8</v>
      </c>
      <c r="M100" t="s">
        <v>7</v>
      </c>
      <c r="N100" t="s">
        <v>7</v>
      </c>
      <c r="P100">
        <f t="shared" ref="P100" si="475">IF(C100=D100,0,((E100-D100)-(C100-E100))/(C100-D100))</f>
        <v>0.78588807785888015</v>
      </c>
      <c r="Q100">
        <f t="shared" ref="Q100" si="476">F100*P100</f>
        <v>4652466.0656934269</v>
      </c>
      <c r="R100">
        <f t="shared" ref="R100" si="477">R101+Q100</f>
        <v>-71999623.556518152</v>
      </c>
      <c r="S100">
        <f t="shared" ref="S100" si="478">R100/100000</f>
        <v>-719.99623556518156</v>
      </c>
      <c r="T100">
        <f t="shared" ref="T100" si="479">S100/1000</f>
        <v>-0.71999623556518155</v>
      </c>
    </row>
    <row r="101" spans="1:20" x14ac:dyDescent="0.25">
      <c r="A101" s="5">
        <v>44492</v>
      </c>
      <c r="B101">
        <v>0.77959999999999996</v>
      </c>
      <c r="C101">
        <v>0.79969999999999997</v>
      </c>
      <c r="D101">
        <v>0.75760000000000005</v>
      </c>
      <c r="E101">
        <v>0.78879999999999995</v>
      </c>
      <c r="F101">
        <v>2668286</v>
      </c>
      <c r="G101">
        <v>0.78879999999999995</v>
      </c>
      <c r="L101" t="s">
        <v>8</v>
      </c>
      <c r="M101" t="s">
        <v>7</v>
      </c>
      <c r="N101" t="s">
        <v>7</v>
      </c>
      <c r="P101">
        <f t="shared" ref="P101" si="480">IF(C101=D101,0,((E101-D101)-(C101-E101))/(C101-D101))</f>
        <v>0.48218527315914289</v>
      </c>
      <c r="Q101">
        <f t="shared" ref="Q101" si="481">F101*P101</f>
        <v>1286608.2137767167</v>
      </c>
      <c r="R101">
        <f t="shared" ref="R101" si="482">R102+Q101</f>
        <v>-76652089.622211576</v>
      </c>
      <c r="S101">
        <f t="shared" ref="S101" si="483">R101/100000</f>
        <v>-766.52089622211577</v>
      </c>
      <c r="T101">
        <f t="shared" ref="T101" si="484">S101/1000</f>
        <v>-0.76652089622211572</v>
      </c>
    </row>
    <row r="102" spans="1:20" x14ac:dyDescent="0.25">
      <c r="A102" s="5">
        <v>44491</v>
      </c>
      <c r="B102">
        <v>0.74950000000000006</v>
      </c>
      <c r="C102">
        <v>0.80259999999999998</v>
      </c>
      <c r="D102">
        <v>0.74770000000000003</v>
      </c>
      <c r="E102">
        <v>0.78049999999999997</v>
      </c>
      <c r="F102">
        <v>5353336</v>
      </c>
      <c r="G102">
        <v>0.78049999999999997</v>
      </c>
      <c r="L102" t="s">
        <v>8</v>
      </c>
      <c r="M102" t="s">
        <v>7</v>
      </c>
      <c r="N102" t="s">
        <v>7</v>
      </c>
      <c r="P102">
        <f t="shared" ref="P102" si="485">IF(C102=D102,0,((E102-D102)-(C102-E102))/(C102-D102))</f>
        <v>0.19489981785063645</v>
      </c>
      <c r="Q102">
        <f t="shared" ref="Q102" si="486">F102*P102</f>
        <v>1043364.2112932547</v>
      </c>
      <c r="R102">
        <f t="shared" ref="R102" si="487">R103+Q102</f>
        <v>-77938697.835988298</v>
      </c>
      <c r="S102">
        <f t="shared" ref="S102" si="488">R102/100000</f>
        <v>-779.38697835988296</v>
      </c>
      <c r="T102">
        <f t="shared" ref="T102" si="489">S102/1000</f>
        <v>-0.77938697835988291</v>
      </c>
    </row>
    <row r="103" spans="1:20" x14ac:dyDescent="0.25">
      <c r="A103" s="5">
        <v>44490</v>
      </c>
      <c r="B103">
        <v>0.77439999999999998</v>
      </c>
      <c r="C103">
        <v>0.77549999999999997</v>
      </c>
      <c r="D103">
        <v>0.73970000000000002</v>
      </c>
      <c r="E103">
        <v>0.74950000000000006</v>
      </c>
      <c r="F103">
        <v>3642182</v>
      </c>
      <c r="G103">
        <v>0.74950000000000006</v>
      </c>
      <c r="L103" t="s">
        <v>7</v>
      </c>
      <c r="M103" t="s">
        <v>7</v>
      </c>
      <c r="N103" t="s">
        <v>7</v>
      </c>
      <c r="P103">
        <f t="shared" ref="P103" si="490">IF(C103=D103,0,((E103-D103)-(C103-E103))/(C103-D103))</f>
        <v>-0.45251396648044434</v>
      </c>
      <c r="Q103">
        <f t="shared" ref="Q103" si="491">F103*P103</f>
        <v>-1648138.2234636778</v>
      </c>
      <c r="R103">
        <f t="shared" ref="R103" si="492">R104+Q103</f>
        <v>-78982062.047281548</v>
      </c>
      <c r="S103">
        <f t="shared" ref="S103" si="493">R103/100000</f>
        <v>-789.82062047281545</v>
      </c>
      <c r="T103">
        <f t="shared" ref="T103" si="494">S103/1000</f>
        <v>-0.78982062047281543</v>
      </c>
    </row>
    <row r="104" spans="1:20" x14ac:dyDescent="0.25">
      <c r="A104" s="5">
        <v>44489</v>
      </c>
      <c r="B104">
        <v>0.77080000000000004</v>
      </c>
      <c r="C104">
        <v>0.78</v>
      </c>
      <c r="D104">
        <v>0.74460000000000004</v>
      </c>
      <c r="E104">
        <v>0.77590000000000003</v>
      </c>
      <c r="F104">
        <v>3661001</v>
      </c>
      <c r="G104">
        <v>0.77590000000000003</v>
      </c>
      <c r="L104" t="s">
        <v>7</v>
      </c>
      <c r="M104" t="s">
        <v>7</v>
      </c>
      <c r="N104" t="s">
        <v>7</v>
      </c>
      <c r="P104">
        <f t="shared" ref="P104" si="495">IF(C104=D104,0,((E104-D104)-(C104-E104))/(C104-D104))</f>
        <v>0.76836158192090431</v>
      </c>
      <c r="Q104">
        <f t="shared" ref="Q104" si="496">F104*P104</f>
        <v>2812972.5197740127</v>
      </c>
      <c r="R104">
        <f t="shared" ref="R104" si="497">R105+Q104</f>
        <v>-77333923.823817864</v>
      </c>
      <c r="S104">
        <f t="shared" ref="S104" si="498">R104/100000</f>
        <v>-773.33923823817861</v>
      </c>
      <c r="T104">
        <f t="shared" ref="T104" si="499">S104/1000</f>
        <v>-0.77333923823817863</v>
      </c>
    </row>
    <row r="105" spans="1:20" x14ac:dyDescent="0.25">
      <c r="A105" s="5">
        <v>44488</v>
      </c>
      <c r="B105">
        <v>0.75139999999999996</v>
      </c>
      <c r="C105">
        <v>0.83450000000000002</v>
      </c>
      <c r="D105">
        <v>0.75139999999999996</v>
      </c>
      <c r="E105">
        <v>0.77249999999999996</v>
      </c>
      <c r="F105">
        <v>9417973</v>
      </c>
      <c r="G105">
        <v>0.77249999999999996</v>
      </c>
      <c r="L105" t="s">
        <v>8</v>
      </c>
      <c r="M105" t="s">
        <v>7</v>
      </c>
      <c r="N105" t="s">
        <v>7</v>
      </c>
      <c r="P105">
        <f t="shared" ref="P105" si="500">IF(C105=D105,0,((E105-D105)-(C105-E105))/(C105-D105))</f>
        <v>-0.49217809867629381</v>
      </c>
      <c r="Q105">
        <f t="shared" ref="Q105" si="501">F105*P105</f>
        <v>-4635320.0445246706</v>
      </c>
      <c r="R105">
        <f t="shared" ref="R105" si="502">R106+Q105</f>
        <v>-80146896.343591884</v>
      </c>
      <c r="S105">
        <f t="shared" ref="S105" si="503">R105/100000</f>
        <v>-801.46896343591879</v>
      </c>
      <c r="T105">
        <f t="shared" ref="T105" si="504">S105/1000</f>
        <v>-0.80146896343591878</v>
      </c>
    </row>
    <row r="106" spans="1:20" x14ac:dyDescent="0.25">
      <c r="A106" s="5">
        <v>44487</v>
      </c>
      <c r="B106">
        <v>0.78449999999999998</v>
      </c>
      <c r="C106">
        <v>0.78590000000000004</v>
      </c>
      <c r="D106">
        <v>0.73119999999999996</v>
      </c>
      <c r="E106">
        <v>0.75229999999999997</v>
      </c>
      <c r="F106">
        <v>3955051</v>
      </c>
      <c r="G106">
        <v>0.75229999999999997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-0.22851919561243231</v>
      </c>
      <c r="Q106">
        <f t="shared" ref="Q106" si="506">F106*P106</f>
        <v>-903805.07312614599</v>
      </c>
      <c r="R106">
        <f t="shared" ref="R106" si="507">R107+Q106</f>
        <v>-75511576.299067214</v>
      </c>
      <c r="S106">
        <f t="shared" ref="S106" si="508">R106/100000</f>
        <v>-755.11576299067212</v>
      </c>
      <c r="T106">
        <f t="shared" ref="T106" si="509">S106/1000</f>
        <v>-0.75511576299067218</v>
      </c>
    </row>
    <row r="107" spans="1:20" x14ac:dyDescent="0.25">
      <c r="A107" s="5">
        <v>44486</v>
      </c>
      <c r="B107">
        <v>0.77400000000000002</v>
      </c>
      <c r="C107">
        <v>0.82079999999999997</v>
      </c>
      <c r="D107">
        <v>0.75129999999999997</v>
      </c>
      <c r="E107">
        <v>0.78539999999999999</v>
      </c>
      <c r="F107">
        <v>8067900</v>
      </c>
      <c r="G107">
        <v>0.78539999999999999</v>
      </c>
      <c r="L107" t="s">
        <v>7</v>
      </c>
      <c r="M107" t="s">
        <v>8</v>
      </c>
      <c r="N107" t="s">
        <v>7</v>
      </c>
      <c r="P107">
        <f t="shared" ref="P107" si="510">IF(C107=D107,0,((E107-D107)-(C107-E107))/(C107-D107))</f>
        <v>-1.8705035971222556E-2</v>
      </c>
      <c r="Q107">
        <f t="shared" ref="Q107" si="511">F107*P107</f>
        <v>-150910.35971222646</v>
      </c>
      <c r="R107">
        <f t="shared" ref="R107" si="512">R108+Q107</f>
        <v>-74607771.225941062</v>
      </c>
      <c r="S107">
        <f t="shared" ref="S107" si="513">R107/100000</f>
        <v>-746.07771225941065</v>
      </c>
      <c r="T107">
        <f t="shared" ref="T107" si="514">S107/1000</f>
        <v>-0.74607771225941066</v>
      </c>
    </row>
    <row r="108" spans="1:20" x14ac:dyDescent="0.25">
      <c r="A108" s="5">
        <v>44485</v>
      </c>
      <c r="B108">
        <v>0.77710000000000001</v>
      </c>
      <c r="C108">
        <v>0.7833</v>
      </c>
      <c r="D108">
        <v>0.76129999999999998</v>
      </c>
      <c r="E108">
        <v>0.77400000000000002</v>
      </c>
      <c r="F108">
        <v>3637151</v>
      </c>
      <c r="G108">
        <v>0.77400000000000002</v>
      </c>
      <c r="L108" t="s">
        <v>7</v>
      </c>
      <c r="M108" t="s">
        <v>8</v>
      </c>
      <c r="N108" t="s">
        <v>7</v>
      </c>
      <c r="P108">
        <f t="shared" ref="P108" si="515">IF(C108=D108,0,((E108-D108)-(C108-E108))/(C108-D108))</f>
        <v>0.15454545454545757</v>
      </c>
      <c r="Q108">
        <f t="shared" ref="Q108" si="516">F108*P108</f>
        <v>562105.15454546548</v>
      </c>
      <c r="R108">
        <f t="shared" ref="R108" si="517">R109+Q108</f>
        <v>-74456860.866228834</v>
      </c>
      <c r="S108">
        <f t="shared" ref="S108" si="518">R108/100000</f>
        <v>-744.56860866228828</v>
      </c>
      <c r="T108">
        <f t="shared" ref="T108" si="519">S108/1000</f>
        <v>-0.74456860866228824</v>
      </c>
    </row>
    <row r="109" spans="1:20" x14ac:dyDescent="0.25">
      <c r="A109" s="5">
        <v>44484</v>
      </c>
      <c r="B109">
        <v>0.86660000000000004</v>
      </c>
      <c r="C109">
        <v>0.87280000000000002</v>
      </c>
      <c r="D109">
        <v>0.76639999999999997</v>
      </c>
      <c r="E109">
        <v>0.77710000000000001</v>
      </c>
      <c r="F109">
        <v>8503328</v>
      </c>
      <c r="G109">
        <v>0.77710000000000001</v>
      </c>
      <c r="L109" t="s">
        <v>7</v>
      </c>
      <c r="M109" t="s">
        <v>8</v>
      </c>
      <c r="N109" t="s">
        <v>7</v>
      </c>
      <c r="P109">
        <f t="shared" ref="P109" si="520">IF(C109=D109,0,((E109-D109)-(C109-E109))/(C109-D109))</f>
        <v>-0.79887218045112707</v>
      </c>
      <c r="Q109">
        <f t="shared" ref="Q109" si="521">F109*P109</f>
        <v>-6793072.1804511212</v>
      </c>
      <c r="R109">
        <f t="shared" ref="R109" si="522">R110+Q109</f>
        <v>-75018966.020774305</v>
      </c>
      <c r="S109">
        <f t="shared" ref="S109" si="523">R109/100000</f>
        <v>-750.18966020774303</v>
      </c>
      <c r="T109">
        <f t="shared" ref="T109" si="524">S109/1000</f>
        <v>-0.75018966020774303</v>
      </c>
    </row>
    <row r="110" spans="1:20" x14ac:dyDescent="0.25">
      <c r="A110" s="5">
        <v>44483</v>
      </c>
      <c r="B110">
        <v>0.87729999999999997</v>
      </c>
      <c r="C110">
        <v>0.87839999999999996</v>
      </c>
      <c r="D110">
        <v>0.83919999999999995</v>
      </c>
      <c r="E110">
        <v>0.86660000000000004</v>
      </c>
      <c r="F110">
        <v>4976949</v>
      </c>
      <c r="G110">
        <v>0.86660000000000004</v>
      </c>
      <c r="L110" t="s">
        <v>8</v>
      </c>
      <c r="M110" t="s">
        <v>8</v>
      </c>
      <c r="N110" t="s">
        <v>7</v>
      </c>
      <c r="P110">
        <f t="shared" ref="P110" si="525">IF(C110=D110,0,((E110-D110)-(C110-E110))/(C110-D110))</f>
        <v>0.3979591836734736</v>
      </c>
      <c r="Q110">
        <f t="shared" ref="Q110" si="526">F110*P110</f>
        <v>1980622.5612245109</v>
      </c>
      <c r="R110">
        <f t="shared" ref="R110" si="527">R111+Q110</f>
        <v>-68225893.84032318</v>
      </c>
      <c r="S110">
        <f t="shared" ref="S110" si="528">R110/100000</f>
        <v>-682.25893840323181</v>
      </c>
      <c r="T110">
        <f t="shared" ref="T110" si="529">S110/1000</f>
        <v>-0.68225893840323182</v>
      </c>
    </row>
    <row r="111" spans="1:20" x14ac:dyDescent="0.25">
      <c r="A111" s="5">
        <v>44482</v>
      </c>
      <c r="B111">
        <v>0.78869999999999996</v>
      </c>
      <c r="C111">
        <v>0.89</v>
      </c>
      <c r="D111">
        <v>0.78090000000000004</v>
      </c>
      <c r="E111">
        <v>0.87780000000000002</v>
      </c>
      <c r="F111">
        <v>17930937</v>
      </c>
      <c r="G111">
        <v>0.87780000000000002</v>
      </c>
      <c r="L111" t="s">
        <v>8</v>
      </c>
      <c r="M111" t="s">
        <v>8</v>
      </c>
      <c r="N111" t="s">
        <v>7</v>
      </c>
      <c r="P111">
        <f t="shared" ref="P111" si="530">IF(C111=D111,0,((E111-D111)-(C111-E111))/(C111-D111))</f>
        <v>0.7763519706691111</v>
      </c>
      <c r="Q111">
        <f t="shared" ref="Q111" si="531">F111*P111</f>
        <v>13920718.275893679</v>
      </c>
      <c r="R111">
        <f t="shared" ref="R111" si="532">R112+Q111</f>
        <v>-70206516.401547685</v>
      </c>
      <c r="S111">
        <f t="shared" ref="S111" si="533">R111/100000</f>
        <v>-702.06516401547685</v>
      </c>
      <c r="T111">
        <f t="shared" ref="T111" si="534">S111/1000</f>
        <v>-0.70206516401547681</v>
      </c>
    </row>
    <row r="112" spans="1:20" x14ac:dyDescent="0.25">
      <c r="A112" s="5">
        <v>44481</v>
      </c>
      <c r="B112">
        <v>0.81720000000000004</v>
      </c>
      <c r="C112">
        <v>0.81759999999999999</v>
      </c>
      <c r="D112">
        <v>0.7419</v>
      </c>
      <c r="E112">
        <v>0.78990000000000005</v>
      </c>
      <c r="F112">
        <v>5019182</v>
      </c>
      <c r="G112">
        <v>0.78990000000000005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0.2681638044914148</v>
      </c>
      <c r="Q112">
        <f t="shared" ref="Q112" si="536">F112*P112</f>
        <v>1345962.9405548284</v>
      </c>
      <c r="R112">
        <f t="shared" ref="R112" si="537">R113+Q112</f>
        <v>-84127234.677441359</v>
      </c>
      <c r="S112">
        <f t="shared" ref="S112" si="538">R112/100000</f>
        <v>-841.27234677441356</v>
      </c>
      <c r="T112">
        <f t="shared" ref="T112" si="539">S112/1000</f>
        <v>-0.84127234677441354</v>
      </c>
    </row>
    <row r="113" spans="1:20" x14ac:dyDescent="0.25">
      <c r="A113" s="5">
        <v>44480</v>
      </c>
      <c r="B113">
        <v>0.82640000000000002</v>
      </c>
      <c r="C113">
        <v>0.85299999999999998</v>
      </c>
      <c r="D113">
        <v>0.79610000000000003</v>
      </c>
      <c r="E113">
        <v>0.81720000000000004</v>
      </c>
      <c r="F113">
        <v>12830387</v>
      </c>
      <c r="G113">
        <v>0.81720000000000004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-0.25834797891036815</v>
      </c>
      <c r="Q113">
        <f t="shared" ref="Q113" si="541">F113*P113</f>
        <v>-3314704.5500878617</v>
      </c>
      <c r="R113">
        <f t="shared" ref="R113" si="542">R114+Q113</f>
        <v>-85473197.617996186</v>
      </c>
      <c r="S113">
        <f t="shared" ref="S113" si="543">R113/100000</f>
        <v>-854.73197617996186</v>
      </c>
      <c r="T113">
        <f t="shared" ref="T113" si="544">S113/1000</f>
        <v>-0.85473197617996188</v>
      </c>
    </row>
    <row r="114" spans="1:20" x14ac:dyDescent="0.25">
      <c r="A114" s="5">
        <v>44479</v>
      </c>
      <c r="B114">
        <v>0.82</v>
      </c>
      <c r="C114">
        <v>0.87429999999999997</v>
      </c>
      <c r="D114">
        <v>0.8044</v>
      </c>
      <c r="E114">
        <v>0.82569999999999999</v>
      </c>
      <c r="F114">
        <v>17069155</v>
      </c>
      <c r="G114">
        <v>0.82569999999999999</v>
      </c>
      <c r="L114" t="s">
        <v>8</v>
      </c>
      <c r="M114" t="s">
        <v>7</v>
      </c>
      <c r="N114" t="s">
        <v>7</v>
      </c>
      <c r="P114">
        <f t="shared" ref="P114" si="545">IF(C114=D114,0,((E114-D114)-(C114-E114))/(C114-D114))</f>
        <v>-0.39055793991416315</v>
      </c>
      <c r="Q114">
        <f t="shared" ref="Q114" si="546">F114*P114</f>
        <v>-6666494.0128755374</v>
      </c>
      <c r="R114">
        <f t="shared" ref="R114" si="547">R115+Q114</f>
        <v>-82158493.067908317</v>
      </c>
      <c r="S114">
        <f t="shared" ref="S114" si="548">R114/100000</f>
        <v>-821.58493067908319</v>
      </c>
      <c r="T114">
        <f t="shared" ref="T114" si="549">S114/1000</f>
        <v>-0.82158493067908323</v>
      </c>
    </row>
    <row r="115" spans="1:20" x14ac:dyDescent="0.25">
      <c r="A115" s="5">
        <v>44478</v>
      </c>
      <c r="B115">
        <v>0.86650000000000005</v>
      </c>
      <c r="C115">
        <v>0.89500000000000002</v>
      </c>
      <c r="D115">
        <v>0.80389999999999995</v>
      </c>
      <c r="E115">
        <v>0.81910000000000005</v>
      </c>
      <c r="F115">
        <v>19592111</v>
      </c>
      <c r="G115">
        <v>0.81910000000000005</v>
      </c>
      <c r="L115" t="s">
        <v>7</v>
      </c>
      <c r="M115" t="s">
        <v>7</v>
      </c>
      <c r="N115" t="s">
        <v>7</v>
      </c>
      <c r="P115">
        <f t="shared" ref="P115" si="550">IF(C115=D115,0,((E115-D115)-(C115-E115))/(C115-D115))</f>
        <v>-0.66630076838638663</v>
      </c>
      <c r="Q115">
        <f t="shared" ref="Q115" si="551">F115*P115</f>
        <v>-13054238.613611378</v>
      </c>
      <c r="R115">
        <f t="shared" ref="R115" si="552">R116+Q115</f>
        <v>-75491999.055032775</v>
      </c>
      <c r="S115">
        <f t="shared" ref="S115" si="553">R115/100000</f>
        <v>-754.91999055032773</v>
      </c>
      <c r="T115">
        <f t="shared" ref="T115" si="554">S115/1000</f>
        <v>-0.75491999055032777</v>
      </c>
    </row>
    <row r="116" spans="1:20" x14ac:dyDescent="0.25">
      <c r="A116" s="5">
        <v>44477</v>
      </c>
      <c r="B116">
        <v>0.92479999999999996</v>
      </c>
      <c r="C116">
        <v>0.92759999999999998</v>
      </c>
      <c r="D116">
        <v>0.82299999999999995</v>
      </c>
      <c r="E116">
        <v>0.86360000000000003</v>
      </c>
      <c r="F116">
        <v>21825265</v>
      </c>
      <c r="G116">
        <v>0.86360000000000003</v>
      </c>
      <c r="L116" t="s">
        <v>7</v>
      </c>
      <c r="M116" t="s">
        <v>7</v>
      </c>
      <c r="N116" t="s">
        <v>7</v>
      </c>
      <c r="P116">
        <f t="shared" ref="P116" si="555">IF(C116=D116,0,((E116-D116)-(C116-E116))/(C116-D116))</f>
        <v>-0.22370936902485525</v>
      </c>
      <c r="Q116">
        <f t="shared" ref="Q116" si="556">F116*P116</f>
        <v>-4882516.2619502572</v>
      </c>
      <c r="R116">
        <f t="shared" ref="R116" si="557">R117+Q116</f>
        <v>-62437760.441421397</v>
      </c>
      <c r="S116">
        <f t="shared" ref="S116" si="558">R116/100000</f>
        <v>-624.37760441421392</v>
      </c>
      <c r="T116">
        <f t="shared" ref="T116" si="559">S116/1000</f>
        <v>-0.62437760441421397</v>
      </c>
    </row>
    <row r="117" spans="1:20" x14ac:dyDescent="0.25">
      <c r="A117" s="5">
        <v>44476</v>
      </c>
      <c r="B117">
        <v>0.97789999999999999</v>
      </c>
      <c r="C117">
        <v>1.0696000000000001</v>
      </c>
      <c r="D117">
        <v>0.89559999999999995</v>
      </c>
      <c r="E117">
        <v>0.92490000000000006</v>
      </c>
      <c r="F117">
        <v>34819911</v>
      </c>
      <c r="G117">
        <v>0.92490000000000006</v>
      </c>
      <c r="L117" t="s">
        <v>7</v>
      </c>
      <c r="M117" t="s">
        <v>7</v>
      </c>
      <c r="N117" t="s">
        <v>7</v>
      </c>
      <c r="P117">
        <f t="shared" ref="P117" si="560">IF(C117=D117,0,((E117-D117)-(C117-E117))/(C117-D117))</f>
        <v>-0.66321839080459677</v>
      </c>
      <c r="Q117">
        <f t="shared" ref="Q117" si="561">F117*P117</f>
        <v>-23093205.341379277</v>
      </c>
      <c r="R117">
        <f t="shared" ref="R117" si="562">R118+Q117</f>
        <v>-57555244.179471143</v>
      </c>
      <c r="S117">
        <f t="shared" ref="S117" si="563">R117/100000</f>
        <v>-575.5524417947114</v>
      </c>
      <c r="T117">
        <f t="shared" ref="T117" si="564">S117/1000</f>
        <v>-0.57555244179471143</v>
      </c>
    </row>
    <row r="118" spans="1:20" x14ac:dyDescent="0.25">
      <c r="A118" s="5">
        <v>44475</v>
      </c>
      <c r="B118">
        <v>0.70640000000000003</v>
      </c>
      <c r="C118">
        <v>1.5743</v>
      </c>
      <c r="D118">
        <v>0.70640000000000003</v>
      </c>
      <c r="E118">
        <v>0.97709999999999997</v>
      </c>
      <c r="F118">
        <v>200537318.53999999</v>
      </c>
      <c r="G118">
        <v>0.97709999999999997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-0.37619541421822805</v>
      </c>
      <c r="Q118">
        <f t="shared" ref="Q118" si="566">F118*P118</f>
        <v>-75441219.614368036</v>
      </c>
      <c r="R118">
        <f t="shared" ref="R118" si="567">R119+Q118</f>
        <v>-34462038.838091865</v>
      </c>
      <c r="S118">
        <f t="shared" ref="S118" si="568">R118/100000</f>
        <v>-344.62038838091866</v>
      </c>
      <c r="T118">
        <f t="shared" ref="T118" si="569">S118/1000</f>
        <v>-0.34462038838091863</v>
      </c>
    </row>
    <row r="119" spans="1:20" x14ac:dyDescent="0.25">
      <c r="A119" s="5">
        <v>44474</v>
      </c>
      <c r="B119">
        <v>0.69159999999999999</v>
      </c>
      <c r="C119">
        <v>0.7097</v>
      </c>
      <c r="D119">
        <v>0.66139999999999999</v>
      </c>
      <c r="E119">
        <v>0.70569999999999999</v>
      </c>
      <c r="F119">
        <v>3936741</v>
      </c>
      <c r="G119">
        <v>0.70569999999999999</v>
      </c>
      <c r="L119" t="s">
        <v>7</v>
      </c>
      <c r="M119" t="s">
        <v>8</v>
      </c>
      <c r="N119" t="s">
        <v>8</v>
      </c>
      <c r="P119">
        <f t="shared" ref="P119" si="570">IF(C119=D119,0,((E119-D119)-(C119-E119))/(C119-D119))</f>
        <v>0.83436853002070377</v>
      </c>
      <c r="Q119">
        <f t="shared" ref="Q119" si="571">F119*P119</f>
        <v>3284692.8012422356</v>
      </c>
      <c r="R119">
        <f t="shared" ref="R119" si="572">R120+Q119</f>
        <v>40979180.776276171</v>
      </c>
      <c r="S119">
        <f t="shared" ref="S119" si="573">R119/100000</f>
        <v>409.79180776276172</v>
      </c>
      <c r="T119">
        <f t="shared" ref="T119" si="574">S119/1000</f>
        <v>0.4097918077627617</v>
      </c>
    </row>
    <row r="120" spans="1:20" x14ac:dyDescent="0.25">
      <c r="A120" s="5">
        <v>44473</v>
      </c>
      <c r="B120">
        <v>0.68189999999999995</v>
      </c>
      <c r="C120">
        <v>0.74860000000000004</v>
      </c>
      <c r="D120">
        <v>0.65739999999999998</v>
      </c>
      <c r="E120">
        <v>0.68710000000000004</v>
      </c>
      <c r="F120">
        <v>5953267</v>
      </c>
      <c r="G120">
        <v>0.68710000000000004</v>
      </c>
      <c r="L120" t="s">
        <v>8</v>
      </c>
      <c r="M120" t="s">
        <v>8</v>
      </c>
      <c r="N120" t="s">
        <v>8</v>
      </c>
      <c r="P120">
        <f t="shared" ref="P120" si="575">IF(C120=D120,0,((E120-D120)-(C120-E120))/(C120-D120))</f>
        <v>-0.34868421052631488</v>
      </c>
      <c r="Q120">
        <f t="shared" ref="Q120" si="576">F120*P120</f>
        <v>-2075810.203947363</v>
      </c>
      <c r="R120">
        <f t="shared" ref="R120" si="577">R121+Q120</f>
        <v>37694487.975033939</v>
      </c>
      <c r="S120">
        <f t="shared" ref="S120" si="578">R120/100000</f>
        <v>376.9448797503394</v>
      </c>
      <c r="T120">
        <f t="shared" ref="T120" si="579">S120/1000</f>
        <v>0.37694487975033941</v>
      </c>
    </row>
    <row r="121" spans="1:20" x14ac:dyDescent="0.25">
      <c r="A121" s="5">
        <v>44472</v>
      </c>
      <c r="B121">
        <v>0.64190000000000003</v>
      </c>
      <c r="C121">
        <v>0.71199999999999997</v>
      </c>
      <c r="D121">
        <v>0.64190000000000003</v>
      </c>
      <c r="E121">
        <v>0.67700000000000005</v>
      </c>
      <c r="F121">
        <v>4743453</v>
      </c>
      <c r="G121">
        <v>0.67700000000000005</v>
      </c>
      <c r="L121" t="s">
        <v>8</v>
      </c>
      <c r="M121" t="s">
        <v>8</v>
      </c>
      <c r="N121" t="s">
        <v>8</v>
      </c>
      <c r="P121">
        <f t="shared" ref="P121" si="580">IF(C121=D121,0,((E121-D121)-(C121-E121))/(C121-D121))</f>
        <v>1.4265335235392311E-3</v>
      </c>
      <c r="Q121">
        <f t="shared" ref="Q121" si="581">F121*P121</f>
        <v>6766.6947218327359</v>
      </c>
      <c r="R121">
        <f t="shared" ref="R121" si="582">R122+Q121</f>
        <v>39770298.178981304</v>
      </c>
      <c r="S121">
        <f t="shared" ref="S121" si="583">R121/100000</f>
        <v>397.70298178981307</v>
      </c>
      <c r="T121">
        <f t="shared" ref="T121" si="584">S121/1000</f>
        <v>0.39770298178981306</v>
      </c>
    </row>
    <row r="122" spans="1:20" x14ac:dyDescent="0.25">
      <c r="A122" s="5">
        <v>44471</v>
      </c>
      <c r="B122">
        <v>0.63959999999999995</v>
      </c>
      <c r="C122">
        <v>0.65</v>
      </c>
      <c r="D122">
        <v>0.59</v>
      </c>
      <c r="E122">
        <v>0.64170000000000005</v>
      </c>
      <c r="F122">
        <v>4124508</v>
      </c>
      <c r="G122">
        <v>0.64170000000000005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0.72333333333333449</v>
      </c>
      <c r="Q122">
        <f t="shared" ref="Q122" si="586">F122*P122</f>
        <v>2983394.1200000048</v>
      </c>
      <c r="R122">
        <f t="shared" ref="R122" si="587">R123+Q122</f>
        <v>39763531.484259471</v>
      </c>
      <c r="S122">
        <f t="shared" ref="S122" si="588">R122/100000</f>
        <v>397.63531484259471</v>
      </c>
      <c r="T122">
        <f t="shared" ref="T122" si="589">S122/1000</f>
        <v>0.39763531484259473</v>
      </c>
    </row>
    <row r="123" spans="1:20" x14ac:dyDescent="0.25">
      <c r="A123" s="5">
        <v>44470</v>
      </c>
      <c r="B123">
        <v>0.59630000000000005</v>
      </c>
      <c r="C123">
        <v>0.65529999999999999</v>
      </c>
      <c r="D123">
        <v>0.5948</v>
      </c>
      <c r="E123">
        <v>0.63970000000000005</v>
      </c>
      <c r="F123">
        <v>6901022</v>
      </c>
      <c r="G123">
        <v>0.63970000000000005</v>
      </c>
      <c r="L123" t="s">
        <v>7</v>
      </c>
      <c r="M123" t="s">
        <v>8</v>
      </c>
      <c r="N123" t="s">
        <v>7</v>
      </c>
      <c r="P123">
        <f t="shared" ref="P123" si="590">IF(C123=D123,0,((E123-D123)-(C123-E123))/(C123-D123))</f>
        <v>0.48429752066115878</v>
      </c>
      <c r="Q123">
        <f t="shared" ref="Q123" si="591">F123*P123</f>
        <v>3342147.8446281115</v>
      </c>
      <c r="R123">
        <f t="shared" ref="R123" si="592">R124+Q123</f>
        <v>36780137.364259467</v>
      </c>
      <c r="S123">
        <f t="shared" ref="S123" si="593">R123/100000</f>
        <v>367.80137364259468</v>
      </c>
      <c r="T123">
        <f t="shared" ref="T123" si="594">S123/1000</f>
        <v>0.36780137364259469</v>
      </c>
    </row>
    <row r="124" spans="1:20" x14ac:dyDescent="0.25">
      <c r="A124" s="5">
        <v>44469</v>
      </c>
      <c r="B124">
        <v>0.51819999999999999</v>
      </c>
      <c r="C124">
        <v>0.6552</v>
      </c>
      <c r="D124">
        <v>0.51800000000000002</v>
      </c>
      <c r="E124">
        <v>0.59630000000000005</v>
      </c>
      <c r="F124">
        <v>18436345</v>
      </c>
      <c r="G124">
        <v>0.59630000000000005</v>
      </c>
      <c r="L124" t="s">
        <v>8</v>
      </c>
      <c r="M124" t="s">
        <v>8</v>
      </c>
      <c r="N124" t="s">
        <v>7</v>
      </c>
      <c r="P124">
        <f t="shared" ref="P124" si="595">IF(C124=D124,0,((E124-D124)-(C124-E124))/(C124-D124))</f>
        <v>0.1413994169096216</v>
      </c>
      <c r="Q124">
        <f t="shared" ref="Q124" si="596">F124*P124</f>
        <v>2606888.4329446177</v>
      </c>
      <c r="R124">
        <f t="shared" ref="R124" si="597">R125+Q124</f>
        <v>33437989.519631356</v>
      </c>
      <c r="S124">
        <f t="shared" ref="S124" si="598">R124/100000</f>
        <v>334.37989519631356</v>
      </c>
      <c r="T124">
        <f t="shared" ref="T124" si="599">S124/1000</f>
        <v>0.33437989519631356</v>
      </c>
    </row>
    <row r="125" spans="1:20" x14ac:dyDescent="0.25">
      <c r="A125" s="5">
        <v>44468</v>
      </c>
      <c r="B125">
        <v>0.51290000000000002</v>
      </c>
      <c r="C125">
        <v>0.54320000000000002</v>
      </c>
      <c r="D125">
        <v>0.50119999999999998</v>
      </c>
      <c r="E125">
        <v>0.51839999999999997</v>
      </c>
      <c r="F125">
        <v>2695016</v>
      </c>
      <c r="G125">
        <v>0.51839999999999997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-0.180952380952382</v>
      </c>
      <c r="Q125">
        <f t="shared" ref="Q125" si="601">F125*P125</f>
        <v>-487669.56190476473</v>
      </c>
      <c r="R125">
        <f t="shared" ref="R125" si="602">R126+Q125</f>
        <v>30831101.086686738</v>
      </c>
      <c r="S125">
        <f t="shared" ref="S125" si="603">R125/100000</f>
        <v>308.31101086686738</v>
      </c>
      <c r="T125">
        <f t="shared" ref="T125" si="604">S125/1000</f>
        <v>0.30831101086686735</v>
      </c>
    </row>
    <row r="126" spans="1:20" x14ac:dyDescent="0.25">
      <c r="A126" s="5">
        <v>44467</v>
      </c>
      <c r="B126">
        <v>0.55840000000000001</v>
      </c>
      <c r="C126">
        <v>0.56730000000000003</v>
      </c>
      <c r="D126">
        <v>0.5121</v>
      </c>
      <c r="E126">
        <v>0.5121</v>
      </c>
      <c r="F126">
        <v>2504504</v>
      </c>
      <c r="G126">
        <v>0.5121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-1</v>
      </c>
      <c r="Q126">
        <f t="shared" ref="Q126" si="606">F126*P126</f>
        <v>-2504504</v>
      </c>
      <c r="R126">
        <f t="shared" ref="R126" si="607">R127+Q126</f>
        <v>31318770.648591504</v>
      </c>
      <c r="S126">
        <f t="shared" ref="S126" si="608">R126/100000</f>
        <v>313.18770648591504</v>
      </c>
      <c r="T126">
        <f t="shared" ref="T126" si="609">S126/1000</f>
        <v>0.31318770648591504</v>
      </c>
    </row>
    <row r="127" spans="1:20" x14ac:dyDescent="0.25">
      <c r="A127" s="5">
        <v>44466</v>
      </c>
      <c r="B127">
        <v>0.58109999999999995</v>
      </c>
      <c r="C127">
        <v>0.5927</v>
      </c>
      <c r="D127">
        <v>0.55459999999999998</v>
      </c>
      <c r="E127">
        <v>0.55840000000000001</v>
      </c>
      <c r="F127">
        <v>1890769</v>
      </c>
      <c r="G127">
        <v>0.55840000000000001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-0.80052493438320083</v>
      </c>
      <c r="Q127">
        <f t="shared" ref="Q127" si="611">F127*P127</f>
        <v>-1513607.7296587902</v>
      </c>
      <c r="R127">
        <f t="shared" ref="R127" si="612">R128+Q127</f>
        <v>33823274.648591504</v>
      </c>
      <c r="S127">
        <f t="shared" ref="S127" si="613">R127/100000</f>
        <v>338.23274648591502</v>
      </c>
      <c r="T127">
        <f t="shared" ref="T127" si="614">S127/1000</f>
        <v>0.338232746485915</v>
      </c>
    </row>
    <row r="128" spans="1:20" x14ac:dyDescent="0.25">
      <c r="A128" s="5">
        <v>44465</v>
      </c>
      <c r="B128">
        <v>0.61850000000000005</v>
      </c>
      <c r="C128">
        <v>0.61929999999999996</v>
      </c>
      <c r="D128">
        <v>0.55100000000000005</v>
      </c>
      <c r="E128">
        <v>0.5827</v>
      </c>
      <c r="F128">
        <v>6310658</v>
      </c>
      <c r="G128">
        <v>0.5827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-7.1742313323572782E-2</v>
      </c>
      <c r="Q128">
        <f t="shared" ref="Q128" si="616">F128*P128</f>
        <v>-452741.20351391117</v>
      </c>
      <c r="R128">
        <f t="shared" ref="R128" si="617">R129+Q128</f>
        <v>35336882.378250293</v>
      </c>
      <c r="S128">
        <f t="shared" ref="S128" si="618">R128/100000</f>
        <v>353.36882378250294</v>
      </c>
      <c r="T128">
        <f t="shared" ref="T128" si="619">S128/1000</f>
        <v>0.35336882378250295</v>
      </c>
    </row>
    <row r="129" spans="1:20" x14ac:dyDescent="0.25">
      <c r="A129" s="5">
        <v>44464</v>
      </c>
      <c r="B129">
        <v>0.59809999999999997</v>
      </c>
      <c r="C129">
        <v>0.65239999999999998</v>
      </c>
      <c r="D129">
        <v>0.58620000000000005</v>
      </c>
      <c r="E129">
        <v>0.61809999999999998</v>
      </c>
      <c r="F129">
        <v>4717420</v>
      </c>
      <c r="G129">
        <v>0.61809999999999998</v>
      </c>
      <c r="L129" t="s">
        <v>8</v>
      </c>
      <c r="M129" t="s">
        <v>8</v>
      </c>
      <c r="N129" t="s">
        <v>7</v>
      </c>
      <c r="P129">
        <f t="shared" ref="P129" si="620">IF(C129=D129,0,((E129-D129)-(C129-E129))/(C129-D129))</f>
        <v>-3.6253776435046396E-2</v>
      </c>
      <c r="Q129">
        <f t="shared" ref="Q129" si="621">F129*P129</f>
        <v>-171024.29003021657</v>
      </c>
      <c r="R129">
        <f t="shared" ref="R129" si="622">R130+Q129</f>
        <v>35789623.581764206</v>
      </c>
      <c r="S129">
        <f t="shared" ref="S129" si="623">R129/100000</f>
        <v>357.89623581764204</v>
      </c>
      <c r="T129">
        <f t="shared" ref="T129" si="624">S129/1000</f>
        <v>0.35789623581764202</v>
      </c>
    </row>
    <row r="130" spans="1:20" x14ac:dyDescent="0.25">
      <c r="A130" s="5">
        <v>44463</v>
      </c>
      <c r="B130">
        <v>0.64739999999999998</v>
      </c>
      <c r="C130">
        <v>0.64790000000000003</v>
      </c>
      <c r="D130">
        <v>0.54</v>
      </c>
      <c r="E130">
        <v>0.5968</v>
      </c>
      <c r="F130">
        <v>2709783</v>
      </c>
      <c r="G130">
        <v>0.5968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5.2826691380907578E-2</v>
      </c>
      <c r="Q130">
        <f t="shared" ref="Q130" si="626">F130*P130</f>
        <v>143148.87025022987</v>
      </c>
      <c r="R130">
        <f t="shared" ref="R130" si="627">R131+Q130</f>
        <v>35960647.871794425</v>
      </c>
      <c r="S130">
        <f t="shared" ref="S130" si="628">R130/100000</f>
        <v>359.60647871794424</v>
      </c>
      <c r="T130">
        <f t="shared" ref="T130" si="629">S130/1000</f>
        <v>0.35960647871794427</v>
      </c>
    </row>
    <row r="131" spans="1:20" x14ac:dyDescent="0.25">
      <c r="A131" s="5">
        <v>44462</v>
      </c>
      <c r="B131">
        <v>0.61329999999999996</v>
      </c>
      <c r="C131">
        <v>0.64739999999999998</v>
      </c>
      <c r="D131">
        <v>0.5837</v>
      </c>
      <c r="E131">
        <v>0.64659999999999995</v>
      </c>
      <c r="F131">
        <v>3533707</v>
      </c>
      <c r="G131">
        <v>0.64659999999999995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0.97488226059654559</v>
      </c>
      <c r="Q131">
        <f t="shared" ref="Q131" si="631">F131*P131</f>
        <v>3444948.2684458373</v>
      </c>
      <c r="R131">
        <f t="shared" ref="R131" si="632">R132+Q131</f>
        <v>35817499.001544192</v>
      </c>
      <c r="S131">
        <f t="shared" ref="S131" si="633">R131/100000</f>
        <v>358.17499001544195</v>
      </c>
      <c r="T131">
        <f t="shared" ref="T131" si="634">S131/1000</f>
        <v>0.35817499001544195</v>
      </c>
    </row>
    <row r="132" spans="1:20" x14ac:dyDescent="0.25">
      <c r="A132" s="5">
        <v>44461</v>
      </c>
      <c r="B132">
        <v>0.54290000000000005</v>
      </c>
      <c r="C132">
        <v>0.61599999999999999</v>
      </c>
      <c r="D132">
        <v>0.51990000000000003</v>
      </c>
      <c r="E132">
        <v>0.61329999999999996</v>
      </c>
      <c r="F132">
        <v>4582719</v>
      </c>
      <c r="G132">
        <v>0.61329999999999996</v>
      </c>
      <c r="L132" t="s">
        <v>7</v>
      </c>
      <c r="M132" t="s">
        <v>7</v>
      </c>
      <c r="N132" t="s">
        <v>7</v>
      </c>
      <c r="P132">
        <f t="shared" ref="P132" si="635">IF(C132=D132,0,((E132-D132)-(C132-E132))/(C132-D132))</f>
        <v>0.94380853277835508</v>
      </c>
      <c r="Q132">
        <f t="shared" ref="Q132" si="636">F132*P132</f>
        <v>4325209.2955254903</v>
      </c>
      <c r="R132">
        <f t="shared" ref="R132" si="637">R133+Q132</f>
        <v>32372550.733098358</v>
      </c>
      <c r="S132">
        <f t="shared" ref="S132" si="638">R132/100000</f>
        <v>323.72550733098359</v>
      </c>
      <c r="T132">
        <f t="shared" ref="T132" si="639">S132/1000</f>
        <v>0.3237255073309836</v>
      </c>
    </row>
    <row r="133" spans="1:20" x14ac:dyDescent="0.25">
      <c r="A133" s="5">
        <v>44460</v>
      </c>
      <c r="B133">
        <v>0.61099999999999999</v>
      </c>
      <c r="C133">
        <v>0.61339999999999995</v>
      </c>
      <c r="D133">
        <v>0.53169999999999995</v>
      </c>
      <c r="E133">
        <v>0.54290000000000005</v>
      </c>
      <c r="F133">
        <v>4348135</v>
      </c>
      <c r="G133">
        <v>0.54290000000000005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-0.7258261933904504</v>
      </c>
      <c r="Q133">
        <f t="shared" ref="Q133" si="641">F133*P133</f>
        <v>-3155990.2753977859</v>
      </c>
      <c r="R133">
        <f t="shared" ref="R133" si="642">R134+Q133</f>
        <v>28047341.437572867</v>
      </c>
      <c r="S133">
        <f t="shared" ref="S133" si="643">R133/100000</f>
        <v>280.47341437572868</v>
      </c>
      <c r="T133">
        <f t="shared" ref="T133" si="644">S133/1000</f>
        <v>0.2804734143757287</v>
      </c>
    </row>
    <row r="134" spans="1:20" x14ac:dyDescent="0.25">
      <c r="A134" s="5">
        <v>44459</v>
      </c>
      <c r="B134">
        <v>0.73309999999999997</v>
      </c>
      <c r="C134">
        <v>0.76170000000000004</v>
      </c>
      <c r="D134">
        <v>0.64090000000000003</v>
      </c>
      <c r="E134">
        <v>0.6482</v>
      </c>
      <c r="F134">
        <v>3192730</v>
      </c>
      <c r="G134">
        <v>0.6482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-0.87913907284768256</v>
      </c>
      <c r="Q134">
        <f t="shared" ref="Q134" si="646">F134*P134</f>
        <v>-2806853.6920529814</v>
      </c>
      <c r="R134">
        <f t="shared" ref="R134" si="647">R135+Q134</f>
        <v>31203331.712970652</v>
      </c>
      <c r="S134">
        <f t="shared" ref="S134" si="648">R134/100000</f>
        <v>312.03331712970652</v>
      </c>
      <c r="T134">
        <f t="shared" ref="T134" si="649">S134/1000</f>
        <v>0.3120333171297065</v>
      </c>
    </row>
    <row r="135" spans="1:20" x14ac:dyDescent="0.25">
      <c r="A135" s="5">
        <v>44458</v>
      </c>
      <c r="B135">
        <v>0.76100000000000001</v>
      </c>
      <c r="C135">
        <v>0.76190000000000002</v>
      </c>
      <c r="D135">
        <v>0.72209999999999996</v>
      </c>
      <c r="E135">
        <v>0.73250000000000004</v>
      </c>
      <c r="F135">
        <v>1399665</v>
      </c>
      <c r="G135">
        <v>0.73250000000000004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-0.47738693467336379</v>
      </c>
      <c r="Q135">
        <f t="shared" ref="Q135" si="651">F135*P135</f>
        <v>-668181.78391959378</v>
      </c>
      <c r="R135">
        <f t="shared" ref="R135" si="652">R136+Q135</f>
        <v>34010185.405023634</v>
      </c>
      <c r="S135">
        <f t="shared" ref="S135" si="653">R135/100000</f>
        <v>340.10185405023634</v>
      </c>
      <c r="T135">
        <f t="shared" ref="T135" si="654">S135/1000</f>
        <v>0.34010185405023635</v>
      </c>
    </row>
    <row r="136" spans="1:20" x14ac:dyDescent="0.25">
      <c r="A136" s="5">
        <v>44457</v>
      </c>
      <c r="B136">
        <v>0.76</v>
      </c>
      <c r="C136">
        <v>0.7782</v>
      </c>
      <c r="D136">
        <v>0.74329999999999996</v>
      </c>
      <c r="E136">
        <v>0.76190000000000002</v>
      </c>
      <c r="F136">
        <v>2929044</v>
      </c>
      <c r="G136">
        <v>0.76190000000000002</v>
      </c>
      <c r="L136" t="s">
        <v>7</v>
      </c>
      <c r="M136" t="s">
        <v>7</v>
      </c>
      <c r="N136" t="s">
        <v>7</v>
      </c>
      <c r="P136">
        <f t="shared" ref="P136" si="655">IF(C136=D136,0,((E136-D136)-(C136-E136))/(C136-D136))</f>
        <v>6.5902578796563804E-2</v>
      </c>
      <c r="Q136">
        <f t="shared" ref="Q136" si="656">F136*P136</f>
        <v>193031.55300860244</v>
      </c>
      <c r="R136">
        <f t="shared" ref="R136" si="657">R137+Q136</f>
        <v>34678367.18894323</v>
      </c>
      <c r="S136">
        <f t="shared" ref="S136" si="658">R136/100000</f>
        <v>346.7836718894323</v>
      </c>
      <c r="T136">
        <f t="shared" ref="T136" si="659">S136/1000</f>
        <v>0.34678367188943232</v>
      </c>
    </row>
    <row r="137" spans="1:20" x14ac:dyDescent="0.25">
      <c r="A137" s="5">
        <v>44456</v>
      </c>
      <c r="B137">
        <v>0.74890000000000001</v>
      </c>
      <c r="C137">
        <v>0.83950000000000002</v>
      </c>
      <c r="D137">
        <v>0.74409999999999998</v>
      </c>
      <c r="E137">
        <v>0.75980000000000003</v>
      </c>
      <c r="F137">
        <v>7591499</v>
      </c>
      <c r="G137">
        <v>0.75980000000000003</v>
      </c>
      <c r="L137" t="s">
        <v>8</v>
      </c>
      <c r="M137" t="s">
        <v>7</v>
      </c>
      <c r="N137" t="s">
        <v>7</v>
      </c>
      <c r="P137">
        <f t="shared" ref="P137" si="660">IF(C137=D137,0,((E137-D137)-(C137-E137))/(C137-D137))</f>
        <v>-0.67085953878406623</v>
      </c>
      <c r="Q137">
        <f t="shared" ref="Q137" si="661">F137*P137</f>
        <v>-5092829.5178196998</v>
      </c>
      <c r="R137">
        <f t="shared" ref="R137" si="662">R138+Q137</f>
        <v>34485335.635934629</v>
      </c>
      <c r="S137">
        <f t="shared" ref="S137" si="663">R137/100000</f>
        <v>344.85335635934626</v>
      </c>
      <c r="T137">
        <f t="shared" ref="T137" si="664">S137/1000</f>
        <v>0.34485335635934627</v>
      </c>
    </row>
    <row r="138" spans="1:20" x14ac:dyDescent="0.25">
      <c r="A138" s="5">
        <v>44455</v>
      </c>
      <c r="B138">
        <v>0.76539999999999997</v>
      </c>
      <c r="C138">
        <v>0.76659999999999995</v>
      </c>
      <c r="D138">
        <v>0.73</v>
      </c>
      <c r="E138">
        <v>0.74780000000000002</v>
      </c>
      <c r="F138">
        <v>2400452</v>
      </c>
      <c r="G138">
        <v>0.74780000000000002</v>
      </c>
      <c r="L138" t="s">
        <v>7</v>
      </c>
      <c r="M138" t="s">
        <v>7</v>
      </c>
      <c r="N138" t="s">
        <v>7</v>
      </c>
      <c r="P138">
        <f t="shared" ref="P138" si="665">IF(C138=D138,0,((E138-D138)-(C138-E138))/(C138-D138))</f>
        <v>-2.7322404371581715E-2</v>
      </c>
      <c r="Q138">
        <f t="shared" ref="Q138" si="666">F138*P138</f>
        <v>-65586.120218572076</v>
      </c>
      <c r="R138">
        <f t="shared" ref="R138" si="667">R139+Q138</f>
        <v>39578165.153754331</v>
      </c>
      <c r="S138">
        <f t="shared" ref="S138" si="668">R138/100000</f>
        <v>395.78165153754333</v>
      </c>
      <c r="T138">
        <f t="shared" ref="T138" si="669">S138/1000</f>
        <v>0.3957816515375433</v>
      </c>
    </row>
    <row r="139" spans="1:20" x14ac:dyDescent="0.25">
      <c r="A139" s="5">
        <v>44454</v>
      </c>
      <c r="B139">
        <v>0.77129999999999999</v>
      </c>
      <c r="C139">
        <v>0.77129999999999999</v>
      </c>
      <c r="D139">
        <v>0.73780000000000001</v>
      </c>
      <c r="E139">
        <v>0.76549999999999996</v>
      </c>
      <c r="F139">
        <v>2831696</v>
      </c>
      <c r="G139">
        <v>0.76549999999999996</v>
      </c>
      <c r="L139" t="s">
        <v>7</v>
      </c>
      <c r="M139" t="s">
        <v>7</v>
      </c>
      <c r="N139" t="s">
        <v>7</v>
      </c>
      <c r="P139">
        <f t="shared" ref="P139" si="670">IF(C139=D139,0,((E139-D139)-(C139-E139))/(C139-D139))</f>
        <v>0.65373134328358018</v>
      </c>
      <c r="Q139">
        <f t="shared" ref="Q139" si="671">F139*P139</f>
        <v>1851168.4298507408</v>
      </c>
      <c r="R139">
        <f t="shared" ref="R139" si="672">R140+Q139</f>
        <v>39643751.273972906</v>
      </c>
      <c r="S139">
        <f t="shared" ref="S139" si="673">R139/100000</f>
        <v>396.43751273972907</v>
      </c>
      <c r="T139">
        <f t="shared" ref="T139" si="674">S139/1000</f>
        <v>0.39643751273972905</v>
      </c>
    </row>
    <row r="140" spans="1:20" x14ac:dyDescent="0.25">
      <c r="A140" s="5">
        <v>44453</v>
      </c>
      <c r="B140">
        <v>0.76239999999999997</v>
      </c>
      <c r="C140">
        <v>0.81799999999999995</v>
      </c>
      <c r="D140">
        <v>0.73499999999999999</v>
      </c>
      <c r="E140">
        <v>0.77080000000000004</v>
      </c>
      <c r="F140">
        <v>10979158</v>
      </c>
      <c r="G140">
        <v>0.77080000000000004</v>
      </c>
      <c r="L140" t="s">
        <v>7</v>
      </c>
      <c r="M140" t="s">
        <v>7</v>
      </c>
      <c r="N140" t="s">
        <v>7</v>
      </c>
      <c r="P140">
        <f t="shared" ref="P140" si="675">IF(C140=D140,0,((E140-D140)-(C140-E140))/(C140-D140))</f>
        <v>-0.13734939759035975</v>
      </c>
      <c r="Q140">
        <f t="shared" ref="Q140" si="676">F140*P140</f>
        <v>-1507980.7373493789</v>
      </c>
      <c r="R140">
        <f t="shared" ref="R140" si="677">R141+Q140</f>
        <v>37792582.844122164</v>
      </c>
      <c r="S140">
        <f t="shared" ref="S140" si="678">R140/100000</f>
        <v>377.92582844122165</v>
      </c>
      <c r="T140">
        <f t="shared" ref="T140" si="679">S140/1000</f>
        <v>0.37792582844122163</v>
      </c>
    </row>
    <row r="141" spans="1:20" x14ac:dyDescent="0.25">
      <c r="A141" s="5">
        <v>44452</v>
      </c>
      <c r="B141">
        <v>0.74580000000000002</v>
      </c>
      <c r="C141">
        <v>0.93220000000000003</v>
      </c>
      <c r="D141">
        <v>0.71519999999999995</v>
      </c>
      <c r="E141">
        <v>0.76229999999999998</v>
      </c>
      <c r="F141">
        <v>26399850</v>
      </c>
      <c r="G141">
        <v>0.76229999999999998</v>
      </c>
      <c r="L141" t="s">
        <v>8</v>
      </c>
      <c r="M141" t="s">
        <v>8</v>
      </c>
      <c r="N141" t="s">
        <v>7</v>
      </c>
      <c r="P141">
        <f t="shared" ref="P141" si="680">IF(C141=D141,0,((E141-D141)-(C141-E141))/(C141-D141))</f>
        <v>-0.5658986175115206</v>
      </c>
      <c r="Q141">
        <f t="shared" ref="Q141" si="681">F141*P141</f>
        <v>-14939638.617511516</v>
      </c>
      <c r="R141">
        <f t="shared" ref="R141" si="682">R142+Q141</f>
        <v>39300563.58147154</v>
      </c>
      <c r="S141">
        <f t="shared" ref="S141" si="683">R141/100000</f>
        <v>393.00563581471539</v>
      </c>
      <c r="T141">
        <f t="shared" ref="T141" si="684">S141/1000</f>
        <v>0.39300563581471537</v>
      </c>
    </row>
    <row r="142" spans="1:20" x14ac:dyDescent="0.25">
      <c r="A142" s="5">
        <v>44451</v>
      </c>
      <c r="B142">
        <v>0.75109999999999999</v>
      </c>
      <c r="C142">
        <v>0.75109999999999999</v>
      </c>
      <c r="D142">
        <v>0.72330000000000005</v>
      </c>
      <c r="E142">
        <v>0.74650000000000005</v>
      </c>
      <c r="F142">
        <v>2727121</v>
      </c>
      <c r="G142">
        <v>0.74650000000000005</v>
      </c>
      <c r="L142" t="s">
        <v>7</v>
      </c>
      <c r="M142" t="s">
        <v>7</v>
      </c>
      <c r="N142" t="s">
        <v>7</v>
      </c>
      <c r="P142">
        <f t="shared" ref="P142" si="685">IF(C142=D142,0,((E142-D142)-(C142-E142))/(C142-D142))</f>
        <v>0.66906474820144257</v>
      </c>
      <c r="Q142">
        <f t="shared" ref="Q142" si="686">F142*P142</f>
        <v>1824620.5251798662</v>
      </c>
      <c r="R142">
        <f t="shared" ref="R142" si="687">R143+Q142</f>
        <v>54240202.198983058</v>
      </c>
      <c r="S142">
        <f t="shared" ref="S142" si="688">R142/100000</f>
        <v>542.40202198983059</v>
      </c>
      <c r="T142">
        <f t="shared" ref="T142" si="689">S142/1000</f>
        <v>0.54240202198983056</v>
      </c>
    </row>
    <row r="143" spans="1:20" x14ac:dyDescent="0.25">
      <c r="A143" s="5">
        <v>44450</v>
      </c>
      <c r="B143">
        <v>0.75749999999999995</v>
      </c>
      <c r="C143">
        <v>0.79</v>
      </c>
      <c r="D143">
        <v>0.72289999999999999</v>
      </c>
      <c r="E143">
        <v>0.75109999999999999</v>
      </c>
      <c r="F143">
        <v>5433257</v>
      </c>
      <c r="G143">
        <v>0.75109999999999999</v>
      </c>
      <c r="L143" t="s">
        <v>7</v>
      </c>
      <c r="M143" t="s">
        <v>7</v>
      </c>
      <c r="N143" t="s">
        <v>7</v>
      </c>
      <c r="P143">
        <f t="shared" ref="P143" si="690">IF(C143=D143,0,((E143-D143)-(C143-E143))/(C143-D143))</f>
        <v>-0.15946348733234031</v>
      </c>
      <c r="Q143">
        <f t="shared" ref="Q143" si="691">F143*P143</f>
        <v>-866406.10879284935</v>
      </c>
      <c r="R143">
        <f t="shared" ref="R143" si="692">R144+Q143</f>
        <v>52415581.673803195</v>
      </c>
      <c r="S143">
        <f t="shared" ref="S143" si="693">R143/100000</f>
        <v>524.15581673803194</v>
      </c>
      <c r="T143">
        <f t="shared" ref="T143" si="694">S143/1000</f>
        <v>0.52415581673803191</v>
      </c>
    </row>
    <row r="144" spans="1:20" x14ac:dyDescent="0.25">
      <c r="A144" s="5">
        <v>44449</v>
      </c>
      <c r="B144">
        <v>0.85409999999999997</v>
      </c>
      <c r="C144">
        <v>0.86250000000000004</v>
      </c>
      <c r="D144">
        <v>0.74070000000000003</v>
      </c>
      <c r="E144">
        <v>0.75849999999999995</v>
      </c>
      <c r="F144">
        <v>8247687</v>
      </c>
      <c r="G144">
        <v>0.75849999999999995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-0.70771756978653655</v>
      </c>
      <c r="Q144">
        <f t="shared" ref="Q144" si="696">F144*P144</f>
        <v>-5837033.0000000102</v>
      </c>
      <c r="R144">
        <f t="shared" ref="R144" si="697">R145+Q144</f>
        <v>53281987.782596044</v>
      </c>
      <c r="S144">
        <f t="shared" ref="S144" si="698">R144/100000</f>
        <v>532.81987782596048</v>
      </c>
      <c r="T144">
        <f t="shared" ref="T144" si="699">S144/1000</f>
        <v>0.53281987782596052</v>
      </c>
    </row>
    <row r="145" spans="1:20" x14ac:dyDescent="0.25">
      <c r="A145" s="5">
        <v>44448</v>
      </c>
      <c r="B145">
        <v>0.84930000000000005</v>
      </c>
      <c r="C145">
        <v>0.86680000000000001</v>
      </c>
      <c r="D145">
        <v>0.78269999999999995</v>
      </c>
      <c r="E145">
        <v>0.85460000000000003</v>
      </c>
      <c r="F145">
        <v>12332122</v>
      </c>
      <c r="G145">
        <v>0.85460000000000003</v>
      </c>
      <c r="L145" t="s">
        <v>7</v>
      </c>
      <c r="M145" t="s">
        <v>8</v>
      </c>
      <c r="N145" t="s">
        <v>7</v>
      </c>
      <c r="P145">
        <f t="shared" ref="P145" si="700">IF(C145=D145,0,((E145-D145)-(C145-E145))/(C145-D145))</f>
        <v>0.70986920332937031</v>
      </c>
      <c r="Q145">
        <f t="shared" ref="Q145" si="701">F145*P145</f>
        <v>8754193.6195006017</v>
      </c>
      <c r="R145">
        <f t="shared" ref="R145" si="702">R146+Q145</f>
        <v>59119020.782596052</v>
      </c>
      <c r="S145">
        <f t="shared" ref="S145" si="703">R145/100000</f>
        <v>591.19020782596056</v>
      </c>
      <c r="T145">
        <f t="shared" ref="T145" si="704">S145/1000</f>
        <v>0.59119020782596055</v>
      </c>
    </row>
    <row r="146" spans="1:20" x14ac:dyDescent="0.25">
      <c r="A146" s="5">
        <v>44447</v>
      </c>
      <c r="B146">
        <v>0.88549999999999995</v>
      </c>
      <c r="C146">
        <v>0.88949999999999996</v>
      </c>
      <c r="D146">
        <v>0.75290000000000001</v>
      </c>
      <c r="E146">
        <v>0.84499999999999997</v>
      </c>
      <c r="F146">
        <v>20414180</v>
      </c>
      <c r="G146">
        <v>0.84499999999999997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0.34846266471449483</v>
      </c>
      <c r="Q146">
        <f t="shared" ref="Q146" si="706">F146*P146</f>
        <v>7113579.5607613465</v>
      </c>
      <c r="R146">
        <f t="shared" ref="R146" si="707">R147+Q146</f>
        <v>50364827.163095452</v>
      </c>
      <c r="S146">
        <f t="shared" ref="S146" si="708">R146/100000</f>
        <v>503.64827163095453</v>
      </c>
      <c r="T146">
        <f t="shared" ref="T146" si="709">S146/1000</f>
        <v>0.50364827163095449</v>
      </c>
    </row>
    <row r="147" spans="1:20" x14ac:dyDescent="0.25">
      <c r="A147" s="5">
        <v>44446</v>
      </c>
      <c r="B147">
        <v>0.78859999999999997</v>
      </c>
      <c r="C147">
        <v>0.88539999999999996</v>
      </c>
      <c r="D147">
        <v>0.68510000000000004</v>
      </c>
      <c r="E147">
        <v>0.88490000000000002</v>
      </c>
      <c r="F147">
        <v>23911504</v>
      </c>
      <c r="G147">
        <v>0.88490000000000002</v>
      </c>
      <c r="L147" t="s">
        <v>8</v>
      </c>
      <c r="M147" t="s">
        <v>7</v>
      </c>
      <c r="N147" t="s">
        <v>7</v>
      </c>
      <c r="P147">
        <f t="shared" ref="P147" si="710">IF(C147=D147,0,((E147-D147)-(C147-E147))/(C147-D147))</f>
        <v>0.9950074887668503</v>
      </c>
      <c r="Q147">
        <f t="shared" ref="Q147" si="711">F147*P147</f>
        <v>23792125.547678497</v>
      </c>
      <c r="R147">
        <f t="shared" ref="R147" si="712">R148+Q147</f>
        <v>43251247.602334104</v>
      </c>
      <c r="S147">
        <f t="shared" ref="S147" si="713">R147/100000</f>
        <v>432.51247602334104</v>
      </c>
      <c r="T147">
        <f t="shared" ref="T147" si="714">S147/1000</f>
        <v>0.43251247602334103</v>
      </c>
    </row>
    <row r="148" spans="1:20" x14ac:dyDescent="0.25">
      <c r="A148" s="5">
        <v>44445</v>
      </c>
      <c r="B148">
        <v>0.75429999999999997</v>
      </c>
      <c r="C148">
        <v>0.83399999999999996</v>
      </c>
      <c r="D148">
        <v>0.74360000000000004</v>
      </c>
      <c r="E148">
        <v>0.78700000000000003</v>
      </c>
      <c r="F148">
        <v>20797358</v>
      </c>
      <c r="G148">
        <v>0.78700000000000003</v>
      </c>
      <c r="L148" t="s">
        <v>8</v>
      </c>
      <c r="M148" t="s">
        <v>7</v>
      </c>
      <c r="N148" t="s">
        <v>7</v>
      </c>
      <c r="P148">
        <f t="shared" ref="P148" si="715">IF(C148=D148,0,((E148-D148)-(C148-E148))/(C148-D148))</f>
        <v>-3.9823008849556855E-2</v>
      </c>
      <c r="Q148">
        <f t="shared" ref="Q148" si="716">F148*P148</f>
        <v>-828213.37168140209</v>
      </c>
      <c r="R148">
        <f t="shared" ref="R148" si="717">R149+Q148</f>
        <v>19459122.054655608</v>
      </c>
      <c r="S148">
        <f t="shared" ref="S148" si="718">R148/100000</f>
        <v>194.59122054655609</v>
      </c>
      <c r="T148">
        <f t="shared" ref="T148" si="719">S148/1000</f>
        <v>0.19459122054655609</v>
      </c>
    </row>
    <row r="149" spans="1:20" x14ac:dyDescent="0.25">
      <c r="A149" s="5">
        <v>44444</v>
      </c>
      <c r="B149">
        <v>0.87870000000000004</v>
      </c>
      <c r="C149">
        <v>0.88129999999999997</v>
      </c>
      <c r="D149">
        <v>0.74080000000000001</v>
      </c>
      <c r="E149">
        <v>0.75490000000000002</v>
      </c>
      <c r="F149">
        <v>16879118</v>
      </c>
      <c r="G149">
        <v>0.75490000000000002</v>
      </c>
      <c r="L149" t="s">
        <v>7</v>
      </c>
      <c r="M149" t="s">
        <v>7</v>
      </c>
      <c r="N149" t="s">
        <v>7</v>
      </c>
      <c r="P149">
        <f t="shared" ref="P149" si="720">IF(C149=D149,0,((E149-D149)-(C149-E149))/(C149-D149))</f>
        <v>-0.7992882562277579</v>
      </c>
      <c r="Q149">
        <f t="shared" ref="Q149" si="721">F149*P149</f>
        <v>-13491280.79288256</v>
      </c>
      <c r="R149">
        <f t="shared" ref="R149" si="722">R150+Q149</f>
        <v>20287335.426337011</v>
      </c>
      <c r="S149">
        <f t="shared" ref="S149" si="723">R149/100000</f>
        <v>202.87335426337012</v>
      </c>
      <c r="T149">
        <f t="shared" ref="T149" si="724">S149/1000</f>
        <v>0.20287335426337011</v>
      </c>
    </row>
    <row r="150" spans="1:20" x14ac:dyDescent="0.25">
      <c r="A150" s="5">
        <v>44443</v>
      </c>
      <c r="B150">
        <v>0.71299999999999997</v>
      </c>
      <c r="C150">
        <v>1.1499999999999999</v>
      </c>
      <c r="D150">
        <v>0.70309999999999995</v>
      </c>
      <c r="E150">
        <v>0.87939999999999996</v>
      </c>
      <c r="F150">
        <v>75459845.930000007</v>
      </c>
      <c r="G150">
        <v>0.87939999999999996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-0.21100917431192648</v>
      </c>
      <c r="Q150">
        <f t="shared" ref="Q150" si="726">F150*P150</f>
        <v>-15922719.783394488</v>
      </c>
      <c r="R150">
        <f t="shared" ref="R150" si="727">R151+Q150</f>
        <v>33778616.219219573</v>
      </c>
      <c r="S150">
        <f t="shared" ref="S150" si="728">R150/100000</f>
        <v>337.78616219219572</v>
      </c>
      <c r="T150">
        <f t="shared" ref="T150" si="729">S150/1000</f>
        <v>0.3377861621921957</v>
      </c>
    </row>
    <row r="151" spans="1:20" x14ac:dyDescent="0.25">
      <c r="A151" s="5">
        <v>44442</v>
      </c>
      <c r="B151">
        <v>0.58030000000000004</v>
      </c>
      <c r="C151">
        <v>0.74339999999999995</v>
      </c>
      <c r="D151">
        <v>0.57830000000000004</v>
      </c>
      <c r="E151">
        <v>0.71299999999999997</v>
      </c>
      <c r="F151">
        <v>50983425.979999997</v>
      </c>
      <c r="G151">
        <v>0.71299999999999997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0.63173834039975774</v>
      </c>
      <c r="Q151">
        <f t="shared" ref="Q151" si="731">F151*P151</f>
        <v>32208184.916499089</v>
      </c>
      <c r="R151">
        <f t="shared" ref="R151" si="732">R152+Q151</f>
        <v>49701336.002614059</v>
      </c>
      <c r="S151">
        <f t="shared" ref="S151" si="733">R151/100000</f>
        <v>497.01336002614056</v>
      </c>
      <c r="T151">
        <f t="shared" ref="T151" si="734">S151/1000</f>
        <v>0.49701336002614055</v>
      </c>
    </row>
    <row r="152" spans="1:20" x14ac:dyDescent="0.25">
      <c r="A152" s="5">
        <v>44441</v>
      </c>
      <c r="B152">
        <v>0.56889999999999996</v>
      </c>
      <c r="C152">
        <v>0.58660000000000001</v>
      </c>
      <c r="D152">
        <v>0.56130000000000002</v>
      </c>
      <c r="E152">
        <v>0.58240000000000003</v>
      </c>
      <c r="F152">
        <v>3435339</v>
      </c>
      <c r="G152">
        <v>0.58240000000000003</v>
      </c>
      <c r="L152" t="s">
        <v>7</v>
      </c>
      <c r="M152" t="s">
        <v>8</v>
      </c>
      <c r="N152" t="s">
        <v>8</v>
      </c>
      <c r="P152">
        <f t="shared" ref="P152" si="735">IF(C152=D152,0,((E152-D152)-(C152-E152))/(C152-D152))</f>
        <v>0.66798418972332152</v>
      </c>
      <c r="Q152">
        <f t="shared" ref="Q152" si="736">F152*P152</f>
        <v>2294752.1383399256</v>
      </c>
      <c r="R152">
        <f t="shared" ref="R152" si="737">R153+Q152</f>
        <v>17493151.086114969</v>
      </c>
      <c r="S152">
        <f t="shared" ref="S152" si="738">R152/100000</f>
        <v>174.93151086114969</v>
      </c>
      <c r="T152">
        <f t="shared" ref="T152" si="739">S152/1000</f>
        <v>0.17493151086114969</v>
      </c>
    </row>
    <row r="153" spans="1:20" x14ac:dyDescent="0.25">
      <c r="A153" s="5">
        <v>44440</v>
      </c>
      <c r="B153">
        <v>0.55689999999999995</v>
      </c>
      <c r="C153">
        <v>0.62960000000000005</v>
      </c>
      <c r="D153">
        <v>0.54249999999999998</v>
      </c>
      <c r="E153">
        <v>0.56879999999999997</v>
      </c>
      <c r="F153">
        <v>9362438.7100000009</v>
      </c>
      <c r="G153">
        <v>0.56879999999999997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-0.39609644087256096</v>
      </c>
      <c r="Q153">
        <f t="shared" ref="Q153" si="741">F153*P153</f>
        <v>-3708428.6509184912</v>
      </c>
      <c r="R153">
        <f t="shared" ref="R153" si="742">R154+Q153</f>
        <v>15198398.947775044</v>
      </c>
      <c r="S153">
        <f t="shared" ref="S153" si="743">R153/100000</f>
        <v>151.98398947775044</v>
      </c>
      <c r="T153">
        <f t="shared" ref="T153" si="744">S153/1000</f>
        <v>0.15198398947775044</v>
      </c>
    </row>
    <row r="154" spans="1:20" x14ac:dyDescent="0.25">
      <c r="A154" s="5">
        <v>44439</v>
      </c>
      <c r="B154">
        <v>0.56140000000000001</v>
      </c>
      <c r="C154">
        <v>0.56999999999999995</v>
      </c>
      <c r="D154">
        <v>0.53669999999999995</v>
      </c>
      <c r="E154">
        <v>0.55640000000000001</v>
      </c>
      <c r="F154">
        <v>2845156</v>
      </c>
      <c r="G154">
        <v>0.55640000000000001</v>
      </c>
      <c r="L154" t="s">
        <v>7</v>
      </c>
      <c r="M154" t="s">
        <v>8</v>
      </c>
      <c r="N154" t="s">
        <v>8</v>
      </c>
      <c r="P154">
        <f t="shared" ref="P154" si="745">IF(C154=D154,0,((E154-D154)-(C154-E154))/(C154-D154))</f>
        <v>0.18318318318318635</v>
      </c>
      <c r="Q154">
        <f t="shared" ref="Q154" si="746">F154*P154</f>
        <v>521184.73273274174</v>
      </c>
      <c r="R154">
        <f t="shared" ref="R154" si="747">R155+Q154</f>
        <v>18906827.598693535</v>
      </c>
      <c r="S154">
        <f t="shared" ref="S154" si="748">R154/100000</f>
        <v>189.06827598693533</v>
      </c>
      <c r="T154">
        <f t="shared" ref="T154" si="749">S154/1000</f>
        <v>0.18906827598693535</v>
      </c>
    </row>
    <row r="155" spans="1:20" x14ac:dyDescent="0.25">
      <c r="A155" s="5">
        <v>44438</v>
      </c>
      <c r="B155">
        <v>0.55740000000000001</v>
      </c>
      <c r="C155">
        <v>0.57050000000000001</v>
      </c>
      <c r="D155">
        <v>0.54269999999999996</v>
      </c>
      <c r="E155">
        <v>0.55969999999999998</v>
      </c>
      <c r="F155">
        <v>4323815</v>
      </c>
      <c r="G155">
        <v>0.55969999999999998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0.22302158273381198</v>
      </c>
      <c r="Q155">
        <f t="shared" ref="Q155" si="751">F155*P155</f>
        <v>964304.06474819721</v>
      </c>
      <c r="R155">
        <f t="shared" ref="R155" si="752">R156+Q155</f>
        <v>18385642.865960792</v>
      </c>
      <c r="S155">
        <f t="shared" ref="S155" si="753">R155/100000</f>
        <v>183.85642865960793</v>
      </c>
      <c r="T155">
        <f t="shared" ref="T155" si="754">S155/1000</f>
        <v>0.18385642865960794</v>
      </c>
    </row>
    <row r="156" spans="1:20" x14ac:dyDescent="0.25">
      <c r="A156" s="5">
        <v>44437</v>
      </c>
      <c r="B156">
        <v>0.57010000000000005</v>
      </c>
      <c r="C156">
        <v>0.58050000000000002</v>
      </c>
      <c r="D156">
        <v>0.53620000000000001</v>
      </c>
      <c r="E156">
        <v>0.55640000000000001</v>
      </c>
      <c r="F156">
        <v>3982851</v>
      </c>
      <c r="G156">
        <v>0.55640000000000001</v>
      </c>
      <c r="L156" t="s">
        <v>7</v>
      </c>
      <c r="M156" t="s">
        <v>8</v>
      </c>
      <c r="N156" t="s">
        <v>8</v>
      </c>
      <c r="P156">
        <f t="shared" ref="P156" si="755">IF(C156=D156,0,((E156-D156)-(C156-E156))/(C156-D156))</f>
        <v>-8.8036117381490156E-2</v>
      </c>
      <c r="Q156">
        <f t="shared" ref="Q156" si="756">F156*P156</f>
        <v>-350634.73814898543</v>
      </c>
      <c r="R156">
        <f t="shared" ref="R156" si="757">R157+Q156</f>
        <v>17421338.801212594</v>
      </c>
      <c r="S156">
        <f t="shared" ref="S156" si="758">R156/100000</f>
        <v>174.21338801212593</v>
      </c>
      <c r="T156">
        <f t="shared" ref="T156" si="759">S156/1000</f>
        <v>0.17421338801212594</v>
      </c>
    </row>
    <row r="157" spans="1:20" x14ac:dyDescent="0.25">
      <c r="A157" s="5">
        <v>44436</v>
      </c>
      <c r="B157">
        <v>0.59089999999999998</v>
      </c>
      <c r="C157">
        <v>0.59179999999999999</v>
      </c>
      <c r="D157">
        <v>0.55989999999999995</v>
      </c>
      <c r="E157">
        <v>0.57010000000000005</v>
      </c>
      <c r="F157">
        <v>4440352</v>
      </c>
      <c r="G157">
        <v>0.57010000000000005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-0.36050156739811379</v>
      </c>
      <c r="Q157">
        <f t="shared" ref="Q157" si="761">F157*P157</f>
        <v>-1600753.8557993493</v>
      </c>
      <c r="R157">
        <f t="shared" ref="R157" si="762">R158+Q157</f>
        <v>17771973.539361577</v>
      </c>
      <c r="S157">
        <f t="shared" ref="S157" si="763">R157/100000</f>
        <v>177.71973539361576</v>
      </c>
      <c r="T157">
        <f t="shared" ref="T157" si="764">S157/1000</f>
        <v>0.17771973539361577</v>
      </c>
    </row>
    <row r="158" spans="1:20" x14ac:dyDescent="0.25">
      <c r="A158" s="5">
        <v>44435</v>
      </c>
      <c r="B158">
        <v>0.57920000000000005</v>
      </c>
      <c r="C158">
        <v>0.59499999999999997</v>
      </c>
      <c r="D158">
        <v>0.50929999999999997</v>
      </c>
      <c r="E158">
        <v>0.59109999999999996</v>
      </c>
      <c r="F158">
        <v>12377687.93</v>
      </c>
      <c r="G158">
        <v>0.59109999999999996</v>
      </c>
      <c r="L158" t="s">
        <v>8</v>
      </c>
      <c r="M158" t="s">
        <v>8</v>
      </c>
      <c r="N158" t="s">
        <v>8</v>
      </c>
      <c r="P158">
        <f t="shared" ref="P158" si="765">IF(C158=D158,0,((E158-D158)-(C158-E158))/(C158-D158))</f>
        <v>0.90898483080513381</v>
      </c>
      <c r="Q158">
        <f t="shared" ref="Q158" si="766">F158*P158</f>
        <v>11251130.568809796</v>
      </c>
      <c r="R158">
        <f t="shared" ref="R158" si="767">R159+Q158</f>
        <v>19372727.395160928</v>
      </c>
      <c r="S158">
        <f t="shared" ref="S158" si="768">R158/100000</f>
        <v>193.72727395160928</v>
      </c>
      <c r="T158">
        <f t="shared" ref="T158" si="769">S158/1000</f>
        <v>0.19372727395160927</v>
      </c>
    </row>
    <row r="159" spans="1:20" x14ac:dyDescent="0.25">
      <c r="A159" s="5">
        <v>44434</v>
      </c>
      <c r="B159">
        <v>0.52600000000000002</v>
      </c>
      <c r="C159">
        <v>0.58540000000000003</v>
      </c>
      <c r="D159">
        <v>0.48459999999999998</v>
      </c>
      <c r="E159">
        <v>0.57920000000000005</v>
      </c>
      <c r="F159">
        <v>7930623.4100000001</v>
      </c>
      <c r="G159">
        <v>0.57920000000000005</v>
      </c>
      <c r="L159" t="s">
        <v>8</v>
      </c>
      <c r="M159" t="s">
        <v>8</v>
      </c>
      <c r="N159" t="s">
        <v>8</v>
      </c>
      <c r="P159">
        <f t="shared" ref="P159" si="770">IF(C159=D159,0,((E159-D159)-(C159-E159))/(C159-D159))</f>
        <v>0.87698412698412742</v>
      </c>
      <c r="Q159">
        <f t="shared" ref="Q159" si="771">F159*P159</f>
        <v>6955030.8476587338</v>
      </c>
      <c r="R159">
        <f t="shared" ref="R159" si="772">R160+Q159</f>
        <v>8121596.8263511313</v>
      </c>
      <c r="S159">
        <f t="shared" ref="S159" si="773">R159/100000</f>
        <v>81.215968263511314</v>
      </c>
      <c r="T159">
        <f t="shared" ref="T159" si="774">S159/1000</f>
        <v>8.1215968263511309E-2</v>
      </c>
    </row>
    <row r="160" spans="1:20" x14ac:dyDescent="0.25">
      <c r="A160" s="5">
        <v>44433</v>
      </c>
      <c r="B160">
        <v>0.50260000000000005</v>
      </c>
      <c r="C160">
        <v>0.53539999999999999</v>
      </c>
      <c r="D160">
        <v>0.47970000000000002</v>
      </c>
      <c r="E160">
        <v>0.52629999999999999</v>
      </c>
      <c r="F160">
        <v>5143807.17</v>
      </c>
      <c r="G160">
        <v>0.52629999999999999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0.67324955116696583</v>
      </c>
      <c r="Q160">
        <f t="shared" ref="Q160" si="776">F160*P160</f>
        <v>3463065.8684919206</v>
      </c>
      <c r="R160">
        <f t="shared" ref="R160" si="777">R161+Q160</f>
        <v>1166565.9786923975</v>
      </c>
      <c r="S160">
        <f t="shared" ref="S160" si="778">R160/100000</f>
        <v>11.665659786923975</v>
      </c>
      <c r="T160">
        <f t="shared" ref="T160" si="779">S160/1000</f>
        <v>1.1665659786923974E-2</v>
      </c>
    </row>
    <row r="161" spans="1:20" x14ac:dyDescent="0.25">
      <c r="A161" s="5">
        <v>44432</v>
      </c>
      <c r="B161">
        <v>0.53690000000000004</v>
      </c>
      <c r="C161">
        <v>0.54930000000000001</v>
      </c>
      <c r="D161">
        <v>0.49059999999999998</v>
      </c>
      <c r="E161">
        <v>0.50260000000000005</v>
      </c>
      <c r="F161">
        <v>4652457.5999999996</v>
      </c>
      <c r="G161">
        <v>0.50260000000000005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-0.59114139693355838</v>
      </c>
      <c r="Q161">
        <f t="shared" ref="Q161" si="781">F161*P161</f>
        <v>-2750260.2848381503</v>
      </c>
      <c r="R161">
        <f t="shared" ref="R161" si="782">R162+Q161</f>
        <v>-2296499.8897995232</v>
      </c>
      <c r="S161">
        <f t="shared" ref="S161" si="783">R161/100000</f>
        <v>-22.964998897995233</v>
      </c>
      <c r="T161">
        <f t="shared" ref="T161" si="784">S161/1000</f>
        <v>-2.2964998897995234E-2</v>
      </c>
    </row>
    <row r="162" spans="1:20" x14ac:dyDescent="0.25">
      <c r="A162" s="5">
        <v>44431</v>
      </c>
      <c r="B162">
        <v>0.51190000000000002</v>
      </c>
      <c r="C162">
        <v>0.6129</v>
      </c>
      <c r="D162">
        <v>0.50739999999999996</v>
      </c>
      <c r="E162">
        <v>0.53690000000000004</v>
      </c>
      <c r="F162">
        <v>16339951.17</v>
      </c>
      <c r="G162">
        <v>0.53690000000000004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-0.44075829383886123</v>
      </c>
      <c r="Q162">
        <f t="shared" ref="Q162" si="786">F162*P162</f>
        <v>-7201968.9990995042</v>
      </c>
      <c r="R162">
        <f t="shared" ref="R162" si="787">R163+Q162</f>
        <v>453760.39503862709</v>
      </c>
      <c r="S162">
        <f t="shared" ref="S162" si="788">R162/100000</f>
        <v>4.5376039503862708</v>
      </c>
      <c r="T162">
        <f t="shared" ref="T162" si="789">S162/1000</f>
        <v>4.5376039503862708E-3</v>
      </c>
    </row>
    <row r="163" spans="1:20" x14ac:dyDescent="0.25">
      <c r="A163" s="5">
        <v>44430</v>
      </c>
      <c r="B163">
        <v>0.50349999999999995</v>
      </c>
      <c r="C163">
        <v>0.52070000000000005</v>
      </c>
      <c r="D163">
        <v>0.50229999999999997</v>
      </c>
      <c r="E163">
        <v>0.51439999999999997</v>
      </c>
      <c r="F163">
        <v>1916745.77</v>
      </c>
      <c r="G163">
        <v>0.51439999999999997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0.31521739130434184</v>
      </c>
      <c r="Q163">
        <f t="shared" ref="Q163" si="791">F163*P163</f>
        <v>604191.60141303204</v>
      </c>
      <c r="R163">
        <f t="shared" ref="R163" si="792">R164+Q163</f>
        <v>7655729.3941381313</v>
      </c>
      <c r="S163">
        <f t="shared" ref="S163" si="793">R163/100000</f>
        <v>76.557293941381317</v>
      </c>
      <c r="T163">
        <f t="shared" ref="T163" si="794">S163/1000</f>
        <v>7.6557293941381319E-2</v>
      </c>
    </row>
    <row r="164" spans="1:20" x14ac:dyDescent="0.25">
      <c r="A164" s="5">
        <v>44429</v>
      </c>
      <c r="B164">
        <v>0.51619999999999999</v>
      </c>
      <c r="C164">
        <v>0.52029999999999998</v>
      </c>
      <c r="D164">
        <v>0.4975</v>
      </c>
      <c r="E164">
        <v>0.50439999999999996</v>
      </c>
      <c r="F164">
        <v>7733467.3399999999</v>
      </c>
      <c r="G164">
        <v>0.50439999999999996</v>
      </c>
      <c r="L164" t="s">
        <v>7</v>
      </c>
      <c r="M164" t="s">
        <v>8</v>
      </c>
      <c r="N164" t="s">
        <v>8</v>
      </c>
      <c r="P164">
        <f t="shared" ref="P164" si="795">IF(C164=D164,0,((E164-D164)-(C164-E164))/(C164-D164))</f>
        <v>-0.39473684210526616</v>
      </c>
      <c r="Q164">
        <f t="shared" ref="Q164" si="796">F164*P164</f>
        <v>-3052684.4763158127</v>
      </c>
      <c r="R164">
        <f t="shared" ref="R164" si="797">R165+Q164</f>
        <v>7051537.7927250993</v>
      </c>
      <c r="S164">
        <f t="shared" ref="S164" si="798">R164/100000</f>
        <v>70.515377927250995</v>
      </c>
      <c r="T164">
        <f t="shared" ref="T164" si="799">S164/1000</f>
        <v>7.0515377927250988E-2</v>
      </c>
    </row>
    <row r="165" spans="1:20" x14ac:dyDescent="0.25">
      <c r="A165" s="5">
        <v>44428</v>
      </c>
      <c r="B165">
        <v>0.4647</v>
      </c>
      <c r="C165">
        <v>0.5514</v>
      </c>
      <c r="D165">
        <v>0.46329999999999999</v>
      </c>
      <c r="E165">
        <v>0.51519999999999999</v>
      </c>
      <c r="F165">
        <v>17165831.989999998</v>
      </c>
      <c r="G165">
        <v>0.51519999999999999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0.1782065834279227</v>
      </c>
      <c r="Q165">
        <f t="shared" ref="Q165" si="801">F165*P165</f>
        <v>3059064.2706356389</v>
      </c>
      <c r="R165">
        <f t="shared" ref="R165" si="802">R166+Q165</f>
        <v>10104222.269040912</v>
      </c>
      <c r="S165">
        <f t="shared" ref="S165" si="803">R165/100000</f>
        <v>101.04222269040912</v>
      </c>
      <c r="T165">
        <f t="shared" ref="T165" si="804">S165/1000</f>
        <v>0.10104222269040912</v>
      </c>
    </row>
    <row r="166" spans="1:20" x14ac:dyDescent="0.25">
      <c r="A166" s="5">
        <v>44427</v>
      </c>
      <c r="B166">
        <v>0.43980000000000002</v>
      </c>
      <c r="C166">
        <v>0.47249999999999998</v>
      </c>
      <c r="D166">
        <v>0.43219999999999997</v>
      </c>
      <c r="E166">
        <v>0.4657</v>
      </c>
      <c r="F166">
        <v>7658080.0199999996</v>
      </c>
      <c r="G166">
        <v>0.4657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0.66253101736972841</v>
      </c>
      <c r="Q166">
        <f t="shared" ref="Q166" si="806">F166*P166</f>
        <v>5073715.5467493897</v>
      </c>
      <c r="R166">
        <f t="shared" ref="R166" si="807">R167+Q166</f>
        <v>7045157.998405274</v>
      </c>
      <c r="S166">
        <f t="shared" ref="S166" si="808">R166/100000</f>
        <v>70.451579984052742</v>
      </c>
      <c r="T166">
        <f t="shared" ref="T166" si="809">S166/1000</f>
        <v>7.0451579984052742E-2</v>
      </c>
    </row>
    <row r="167" spans="1:20" x14ac:dyDescent="0.25">
      <c r="A167" s="5">
        <v>44426</v>
      </c>
      <c r="B167">
        <v>0.4531</v>
      </c>
      <c r="C167">
        <v>0.4819</v>
      </c>
      <c r="D167">
        <v>0.42399999999999999</v>
      </c>
      <c r="E167">
        <v>0.43969999999999998</v>
      </c>
      <c r="F167">
        <v>6813685.8799999999</v>
      </c>
      <c r="G167">
        <v>0.43969999999999998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-0.45768566493955132</v>
      </c>
      <c r="Q167">
        <f t="shared" ref="Q167" si="811">F167*P167</f>
        <v>-3118526.3526770319</v>
      </c>
      <c r="R167">
        <f t="shared" ref="R167" si="812">R168+Q167</f>
        <v>1971442.4516558847</v>
      </c>
      <c r="S167">
        <f t="shared" ref="S167" si="813">R167/100000</f>
        <v>19.714424516558847</v>
      </c>
      <c r="T167">
        <f t="shared" ref="T167" si="814">S167/1000</f>
        <v>1.9714424516558846E-2</v>
      </c>
    </row>
    <row r="168" spans="1:20" x14ac:dyDescent="0.25">
      <c r="A168" s="5">
        <v>44425</v>
      </c>
      <c r="B168">
        <v>0.49159999999999998</v>
      </c>
      <c r="C168">
        <v>0.49659999999999999</v>
      </c>
      <c r="D168">
        <v>0.45040000000000002</v>
      </c>
      <c r="E168">
        <v>0.45369999999999999</v>
      </c>
      <c r="F168">
        <v>6792908.9199999999</v>
      </c>
      <c r="G168">
        <v>0.45369999999999999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-0.85714285714285832</v>
      </c>
      <c r="Q168">
        <f t="shared" ref="Q168" si="816">F168*P168</f>
        <v>-5822493.3600000078</v>
      </c>
      <c r="R168">
        <f t="shared" ref="R168" si="817">R169+Q168</f>
        <v>5089968.8043329166</v>
      </c>
      <c r="S168">
        <f t="shared" ref="S168" si="818">R168/100000</f>
        <v>50.899688043329164</v>
      </c>
      <c r="T168">
        <f t="shared" ref="T168" si="819">S168/1000</f>
        <v>5.0899688043329165E-2</v>
      </c>
    </row>
    <row r="169" spans="1:20" x14ac:dyDescent="0.25">
      <c r="A169" s="5">
        <v>44424</v>
      </c>
      <c r="B169">
        <v>0.4824</v>
      </c>
      <c r="C169">
        <v>0.49930000000000002</v>
      </c>
      <c r="D169">
        <v>0.4733</v>
      </c>
      <c r="E169">
        <v>0.49149999999999999</v>
      </c>
      <c r="F169">
        <v>10802938.869999999</v>
      </c>
      <c r="G169">
        <v>0.49149999999999999</v>
      </c>
      <c r="L169" t="s">
        <v>8</v>
      </c>
      <c r="M169" t="s">
        <v>7</v>
      </c>
      <c r="N169" t="s">
        <v>8</v>
      </c>
      <c r="P169">
        <f t="shared" ref="P169" si="820">IF(C169=D169,0,((E169-D169)-(C169-E169))/(C169-D169))</f>
        <v>0.3999999999999983</v>
      </c>
      <c r="Q169">
        <f t="shared" ref="Q169" si="821">F169*P169</f>
        <v>4321175.5479999809</v>
      </c>
      <c r="R169">
        <f t="shared" ref="R169" si="822">R170+Q169</f>
        <v>10912462.164332924</v>
      </c>
      <c r="S169">
        <f t="shared" ref="S169" si="823">R169/100000</f>
        <v>109.12462164332925</v>
      </c>
      <c r="T169">
        <f t="shared" ref="T169" si="824">S169/1000</f>
        <v>0.10912462164332924</v>
      </c>
    </row>
    <row r="170" spans="1:20" x14ac:dyDescent="0.25">
      <c r="A170" s="5">
        <v>44423</v>
      </c>
      <c r="B170">
        <v>0.48470000000000002</v>
      </c>
      <c r="C170">
        <v>0.4965</v>
      </c>
      <c r="D170">
        <v>0.46210000000000001</v>
      </c>
      <c r="E170">
        <v>0.48280000000000001</v>
      </c>
      <c r="F170">
        <v>3931073.63</v>
      </c>
      <c r="G170">
        <v>0.48280000000000001</v>
      </c>
      <c r="L170" t="s">
        <v>8</v>
      </c>
      <c r="M170" t="s">
        <v>7</v>
      </c>
      <c r="N170" t="s">
        <v>8</v>
      </c>
      <c r="P170">
        <f t="shared" ref="P170" si="825">IF(C170=D170,0,((E170-D170)-(C170-E170))/(C170-D170))</f>
        <v>0.20348837209302351</v>
      </c>
      <c r="Q170">
        <f t="shared" ref="Q170" si="826">F170*P170</f>
        <v>799927.77354651259</v>
      </c>
      <c r="R170">
        <f t="shared" ref="R170" si="827">R171+Q170</f>
        <v>6591286.6163329436</v>
      </c>
      <c r="S170">
        <f t="shared" ref="S170" si="828">R170/100000</f>
        <v>65.91286616332944</v>
      </c>
      <c r="T170">
        <f t="shared" ref="T170" si="829">S170/1000</f>
        <v>6.5912866163329434E-2</v>
      </c>
    </row>
    <row r="171" spans="1:20" x14ac:dyDescent="0.25">
      <c r="A171" s="5">
        <v>44422</v>
      </c>
      <c r="B171">
        <v>0.4924</v>
      </c>
      <c r="C171">
        <v>0.49669999999999997</v>
      </c>
      <c r="D171">
        <v>0.46529999999999999</v>
      </c>
      <c r="E171">
        <v>0.48509999999999998</v>
      </c>
      <c r="F171">
        <v>5924234.3799999999</v>
      </c>
      <c r="G171">
        <v>0.48509999999999998</v>
      </c>
      <c r="L171" t="s">
        <v>8</v>
      </c>
      <c r="M171" t="s">
        <v>7</v>
      </c>
      <c r="N171" t="s">
        <v>8</v>
      </c>
      <c r="P171">
        <f t="shared" ref="P171" si="830">IF(C171=D171,0,((E171-D171)-(C171-E171))/(C171-D171))</f>
        <v>0.26114649681528629</v>
      </c>
      <c r="Q171">
        <f t="shared" ref="Q171" si="831">F171*P171</f>
        <v>1547093.0546496795</v>
      </c>
      <c r="R171">
        <f t="shared" ref="R171" si="832">R172+Q171</f>
        <v>5791358.8427864313</v>
      </c>
      <c r="S171">
        <f t="shared" ref="S171" si="833">R171/100000</f>
        <v>57.913588427864312</v>
      </c>
      <c r="T171">
        <f t="shared" ref="T171" si="834">S171/1000</f>
        <v>5.7913588427864308E-2</v>
      </c>
    </row>
    <row r="172" spans="1:20" x14ac:dyDescent="0.25">
      <c r="A172" s="5">
        <v>44421</v>
      </c>
      <c r="B172">
        <v>0.4703</v>
      </c>
      <c r="C172">
        <v>0.49409999999999998</v>
      </c>
      <c r="D172">
        <v>0.45479999999999998</v>
      </c>
      <c r="E172">
        <v>0.49180000000000001</v>
      </c>
      <c r="F172">
        <v>4884296.9000000004</v>
      </c>
      <c r="G172">
        <v>0.49180000000000001</v>
      </c>
      <c r="L172" t="s">
        <v>8</v>
      </c>
      <c r="M172" t="s">
        <v>7</v>
      </c>
      <c r="N172" t="s">
        <v>8</v>
      </c>
      <c r="P172">
        <f t="shared" ref="P172" si="835">IF(C172=D172,0,((E172-D172)-(C172-E172))/(C172-D172))</f>
        <v>0.88295165394402197</v>
      </c>
      <c r="Q172">
        <f t="shared" ref="Q172" si="836">F172*P172</f>
        <v>4312598.0262086596</v>
      </c>
      <c r="R172">
        <f t="shared" ref="R172" si="837">R173+Q172</f>
        <v>4244265.7881367523</v>
      </c>
      <c r="S172">
        <f t="shared" ref="S172" si="838">R172/100000</f>
        <v>42.442657881367523</v>
      </c>
      <c r="T172">
        <f t="shared" ref="T172" si="839">S172/1000</f>
        <v>4.2442657881367522E-2</v>
      </c>
    </row>
    <row r="173" spans="1:20" x14ac:dyDescent="0.25">
      <c r="A173" s="5">
        <v>44420</v>
      </c>
      <c r="B173">
        <v>0.45779999999999998</v>
      </c>
      <c r="C173">
        <v>0.4899</v>
      </c>
      <c r="D173">
        <v>0.44409999999999999</v>
      </c>
      <c r="E173">
        <v>0.4703</v>
      </c>
      <c r="F173">
        <v>15569220.27</v>
      </c>
      <c r="G173">
        <v>0.4703</v>
      </c>
      <c r="L173" t="s">
        <v>8</v>
      </c>
      <c r="M173" t="s">
        <v>7</v>
      </c>
      <c r="N173" t="s">
        <v>8</v>
      </c>
      <c r="P173">
        <f t="shared" ref="P173" si="840">IF(C173=D173,0,((E173-D173)-(C173-E173))/(C173-D173))</f>
        <v>0.14410480349344965</v>
      </c>
      <c r="Q173">
        <f t="shared" ref="Q173" si="841">F173*P173</f>
        <v>2243599.4275545832</v>
      </c>
      <c r="R173">
        <f t="shared" ref="R173" si="842">R174+Q173</f>
        <v>-68332.238071907312</v>
      </c>
      <c r="S173">
        <f t="shared" ref="S173" si="843">R173/100000</f>
        <v>-0.68332238071907314</v>
      </c>
      <c r="T173">
        <f t="shared" ref="T173" si="844">S173/1000</f>
        <v>-6.8332238071907312E-4</v>
      </c>
    </row>
    <row r="174" spans="1:20" x14ac:dyDescent="0.25">
      <c r="A174" s="5">
        <v>44419</v>
      </c>
      <c r="B174">
        <v>0.45150000000000001</v>
      </c>
      <c r="C174">
        <v>0.4698</v>
      </c>
      <c r="D174">
        <v>0.44429999999999997</v>
      </c>
      <c r="E174">
        <v>0.4592</v>
      </c>
      <c r="F174">
        <v>7115044.3300000001</v>
      </c>
      <c r="G174">
        <v>0.4592</v>
      </c>
      <c r="L174" t="s">
        <v>8</v>
      </c>
      <c r="M174" t="s">
        <v>7</v>
      </c>
      <c r="N174" t="s">
        <v>8</v>
      </c>
      <c r="P174">
        <f t="shared" ref="P174" si="845">IF(C174=D174,0,((E174-D174)-(C174-E174))/(C174-D174))</f>
        <v>0.16862745098039303</v>
      </c>
      <c r="Q174">
        <f t="shared" ref="Q174" si="846">F174*P174</f>
        <v>1199791.7889803983</v>
      </c>
      <c r="R174">
        <f t="shared" ref="R174" si="847">R175+Q174</f>
        <v>-2311931.6656264905</v>
      </c>
      <c r="S174">
        <f t="shared" ref="S174" si="848">R174/100000</f>
        <v>-23.119316656264903</v>
      </c>
      <c r="T174">
        <f t="shared" ref="T174" si="849">S174/1000</f>
        <v>-2.3119316656264904E-2</v>
      </c>
    </row>
    <row r="175" spans="1:20" x14ac:dyDescent="0.25">
      <c r="A175" s="5">
        <v>44418</v>
      </c>
      <c r="B175">
        <v>0.45710000000000001</v>
      </c>
      <c r="C175">
        <v>0.46500000000000002</v>
      </c>
      <c r="D175">
        <v>0.43730000000000002</v>
      </c>
      <c r="E175">
        <v>0.45229999999999998</v>
      </c>
      <c r="F175">
        <v>8326151.3499999996</v>
      </c>
      <c r="G175">
        <v>0.45229999999999998</v>
      </c>
      <c r="L175" t="s">
        <v>8</v>
      </c>
      <c r="M175" t="s">
        <v>7</v>
      </c>
      <c r="N175" t="s">
        <v>8</v>
      </c>
      <c r="P175">
        <f t="shared" ref="P175" si="850">IF(C175=D175,0,((E175-D175)-(C175-E175))/(C175-D175))</f>
        <v>8.3032490974726106E-2</v>
      </c>
      <c r="Q175">
        <f t="shared" ref="Q175" si="851">F175*P175</f>
        <v>691341.08682307857</v>
      </c>
      <c r="R175">
        <f t="shared" ref="R175" si="852">R176+Q175</f>
        <v>-3511723.4546068888</v>
      </c>
      <c r="S175">
        <f t="shared" ref="S175" si="853">R175/100000</f>
        <v>-35.117234546068886</v>
      </c>
      <c r="T175">
        <f t="shared" ref="T175" si="854">S175/1000</f>
        <v>-3.5117234546068889E-2</v>
      </c>
    </row>
    <row r="176" spans="1:20" x14ac:dyDescent="0.25">
      <c r="A176" s="5">
        <v>44417</v>
      </c>
      <c r="B176">
        <v>0.46150000000000002</v>
      </c>
      <c r="C176">
        <v>0.46310000000000001</v>
      </c>
      <c r="D176">
        <v>0.42759999999999998</v>
      </c>
      <c r="E176">
        <v>0.45779999999999998</v>
      </c>
      <c r="F176">
        <v>6262970.2300000004</v>
      </c>
      <c r="G176">
        <v>0.45779999999999998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0.70140845070422408</v>
      </c>
      <c r="Q176">
        <f t="shared" ref="Q176" si="856">F176*P176</f>
        <v>4392900.2458309783</v>
      </c>
      <c r="R176">
        <f t="shared" ref="R176" si="857">R177+Q176</f>
        <v>-4203064.5414299676</v>
      </c>
      <c r="S176">
        <f t="shared" ref="S176" si="858">R176/100000</f>
        <v>-42.030645414299677</v>
      </c>
      <c r="T176">
        <f t="shared" ref="T176" si="859">S176/1000</f>
        <v>-4.2030645414299676E-2</v>
      </c>
    </row>
    <row r="177" spans="1:20" x14ac:dyDescent="0.25">
      <c r="A177" s="5">
        <v>44416</v>
      </c>
      <c r="B177">
        <v>0.44119999999999998</v>
      </c>
      <c r="C177">
        <v>0.5282</v>
      </c>
      <c r="D177">
        <v>0.43440000000000001</v>
      </c>
      <c r="E177">
        <v>0.46039999999999998</v>
      </c>
      <c r="F177">
        <v>16600179.48</v>
      </c>
      <c r="G177">
        <v>0.46039999999999998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-0.44562899786780452</v>
      </c>
      <c r="Q177">
        <f t="shared" ref="Q177" si="861">F177*P177</f>
        <v>-7397521.3460980924</v>
      </c>
      <c r="R177">
        <f t="shared" ref="R177" si="862">R178+Q177</f>
        <v>-8595964.7872609459</v>
      </c>
      <c r="S177">
        <f t="shared" ref="S177" si="863">R177/100000</f>
        <v>-85.959647872609466</v>
      </c>
      <c r="T177">
        <f t="shared" ref="T177" si="864">S177/1000</f>
        <v>-8.5959647872609471E-2</v>
      </c>
    </row>
    <row r="178" spans="1:20" x14ac:dyDescent="0.25">
      <c r="A178" s="5">
        <v>44415</v>
      </c>
      <c r="B178">
        <v>0.42620000000000002</v>
      </c>
      <c r="C178">
        <v>0.44569999999999999</v>
      </c>
      <c r="D178">
        <v>0.41909999999999997</v>
      </c>
      <c r="E178">
        <v>0.43980000000000002</v>
      </c>
      <c r="F178">
        <v>6950645.1699999999</v>
      </c>
      <c r="G178">
        <v>0.43980000000000002</v>
      </c>
      <c r="L178" t="s">
        <v>8</v>
      </c>
      <c r="M178" t="s">
        <v>7</v>
      </c>
      <c r="N178" t="s">
        <v>7</v>
      </c>
      <c r="P178">
        <f t="shared" ref="P178" si="865">IF(C178=D178,0,((E178-D178)-(C178-E178))/(C178-D178))</f>
        <v>0.55639097744361221</v>
      </c>
      <c r="Q178">
        <f t="shared" ref="Q178" si="866">F178*P178</f>
        <v>3867276.2600000221</v>
      </c>
      <c r="R178">
        <f t="shared" ref="R178" si="867">R179+Q178</f>
        <v>-1198443.4411628535</v>
      </c>
      <c r="S178">
        <f t="shared" ref="S178" si="868">R178/100000</f>
        <v>-11.984434411628534</v>
      </c>
      <c r="T178">
        <f t="shared" ref="T178" si="869">S178/1000</f>
        <v>-1.1984434411628534E-2</v>
      </c>
    </row>
    <row r="179" spans="1:20" x14ac:dyDescent="0.25">
      <c r="A179" s="5">
        <v>44414</v>
      </c>
      <c r="B179">
        <v>0.42099999999999999</v>
      </c>
      <c r="C179">
        <v>0.44</v>
      </c>
      <c r="D179">
        <v>0.40760000000000002</v>
      </c>
      <c r="E179">
        <v>0.42559999999999998</v>
      </c>
      <c r="F179">
        <v>6498714.0599999996</v>
      </c>
      <c r="G179">
        <v>0.42559999999999998</v>
      </c>
      <c r="L179" t="s">
        <v>8</v>
      </c>
      <c r="M179" t="s">
        <v>7</v>
      </c>
      <c r="N179" t="s">
        <v>7</v>
      </c>
      <c r="P179">
        <f t="shared" ref="P179" si="870">IF(C179=D179,0,((E179-D179)-(C179-E179))/(C179-D179))</f>
        <v>0.1111111111111092</v>
      </c>
      <c r="Q179">
        <f t="shared" ref="Q179" si="871">F179*P179</f>
        <v>722079.33999998751</v>
      </c>
      <c r="R179">
        <f t="shared" ref="R179" si="872">R180+Q179</f>
        <v>-5065719.7011628756</v>
      </c>
      <c r="S179">
        <f t="shared" ref="S179" si="873">R179/100000</f>
        <v>-50.657197011628753</v>
      </c>
      <c r="T179">
        <f t="shared" ref="T179" si="874">S179/1000</f>
        <v>-5.0657197011628755E-2</v>
      </c>
    </row>
    <row r="180" spans="1:20" x14ac:dyDescent="0.25">
      <c r="A180" s="5">
        <v>44413</v>
      </c>
      <c r="B180">
        <v>0.41980000000000001</v>
      </c>
      <c r="C180">
        <v>0.42470000000000002</v>
      </c>
      <c r="D180">
        <v>0.39560000000000001</v>
      </c>
      <c r="E180">
        <v>0.42309999999999998</v>
      </c>
      <c r="F180">
        <v>4981051.7699999996</v>
      </c>
      <c r="G180">
        <v>0.42309999999999998</v>
      </c>
      <c r="L180" t="s">
        <v>8</v>
      </c>
      <c r="M180" t="s">
        <v>7</v>
      </c>
      <c r="N180" t="s">
        <v>7</v>
      </c>
      <c r="P180">
        <f t="shared" ref="P180" si="875">IF(C180=D180,0,((E180-D180)-(C180-E180))/(C180-D180))</f>
        <v>0.89003436426116533</v>
      </c>
      <c r="Q180">
        <f t="shared" ref="Q180" si="876">F180*P180</f>
        <v>4433307.2454639021</v>
      </c>
      <c r="R180">
        <f t="shared" ref="R180" si="877">R181+Q180</f>
        <v>-5787799.0411628634</v>
      </c>
      <c r="S180">
        <f t="shared" ref="S180" si="878">R180/100000</f>
        <v>-57.87799041162863</v>
      </c>
      <c r="T180">
        <f t="shared" ref="T180" si="879">S180/1000</f>
        <v>-5.7877990411628631E-2</v>
      </c>
    </row>
    <row r="181" spans="1:20" x14ac:dyDescent="0.25">
      <c r="A181" s="5">
        <v>44412</v>
      </c>
      <c r="B181">
        <v>0.39610000000000001</v>
      </c>
      <c r="C181">
        <v>0.4259</v>
      </c>
      <c r="D181">
        <v>0.38550000000000001</v>
      </c>
      <c r="E181">
        <v>0.41980000000000001</v>
      </c>
      <c r="F181">
        <v>6591830.04</v>
      </c>
      <c r="G181">
        <v>0.41980000000000001</v>
      </c>
      <c r="L181" t="s">
        <v>7</v>
      </c>
      <c r="M181" t="s">
        <v>7</v>
      </c>
      <c r="N181" t="s">
        <v>7</v>
      </c>
      <c r="P181">
        <f t="shared" ref="P181" si="880">IF(C181=D181,0,((E181-D181)-(C181-E181))/(C181-D181))</f>
        <v>0.6980198019801982</v>
      </c>
      <c r="Q181">
        <f t="shared" ref="Q181" si="881">F181*P181</f>
        <v>4601227.8992079217</v>
      </c>
      <c r="R181">
        <f t="shared" ref="R181" si="882">R182+Q181</f>
        <v>-10221106.286626766</v>
      </c>
      <c r="S181">
        <f t="shared" ref="S181" si="883">R181/100000</f>
        <v>-102.21106286626765</v>
      </c>
      <c r="T181">
        <f t="shared" ref="T181" si="884">S181/1000</f>
        <v>-0.10221106286626766</v>
      </c>
    </row>
    <row r="182" spans="1:20" x14ac:dyDescent="0.25">
      <c r="A182" s="5">
        <v>44411</v>
      </c>
      <c r="B182">
        <v>0.41099999999999998</v>
      </c>
      <c r="C182">
        <v>0.44769999999999999</v>
      </c>
      <c r="D182">
        <v>0.38200000000000001</v>
      </c>
      <c r="E182">
        <v>0.39510000000000001</v>
      </c>
      <c r="F182">
        <v>9267606.5</v>
      </c>
      <c r="G182">
        <v>0.39510000000000001</v>
      </c>
      <c r="L182" t="s">
        <v>8</v>
      </c>
      <c r="M182" t="s">
        <v>7</v>
      </c>
      <c r="N182" t="s">
        <v>7</v>
      </c>
      <c r="P182">
        <f t="shared" ref="P182" si="885">IF(C182=D182,0,((E182-D182)-(C182-E182))/(C182-D182))</f>
        <v>-0.60121765601217647</v>
      </c>
      <c r="Q182">
        <f t="shared" ref="Q182" si="886">F182*P182</f>
        <v>-5571848.6567732105</v>
      </c>
      <c r="R182">
        <f t="shared" ref="R182" si="887">R183+Q182</f>
        <v>-14822334.185834687</v>
      </c>
      <c r="S182">
        <f t="shared" ref="S182" si="888">R182/100000</f>
        <v>-148.22334185834688</v>
      </c>
      <c r="T182">
        <f t="shared" ref="T182" si="889">S182/1000</f>
        <v>-0.14822334185834687</v>
      </c>
    </row>
    <row r="183" spans="1:20" x14ac:dyDescent="0.25">
      <c r="A183" s="5">
        <v>44410</v>
      </c>
      <c r="B183">
        <v>0.38640000000000002</v>
      </c>
      <c r="C183">
        <v>0.4284</v>
      </c>
      <c r="D183">
        <v>0.37759999999999999</v>
      </c>
      <c r="E183">
        <v>0.41149999999999998</v>
      </c>
      <c r="F183">
        <v>14804161.26</v>
      </c>
      <c r="G183">
        <v>0.41149999999999998</v>
      </c>
      <c r="L183" t="s">
        <v>7</v>
      </c>
      <c r="M183" t="s">
        <v>7</v>
      </c>
      <c r="N183" t="s">
        <v>7</v>
      </c>
      <c r="P183">
        <f t="shared" ref="P183" si="890">IF(C183=D183,0,((E183-D183)-(C183-E183))/(C183-D183))</f>
        <v>0.33464566929133771</v>
      </c>
      <c r="Q183">
        <f t="shared" ref="Q183" si="891">F183*P183</f>
        <v>4954148.4531495934</v>
      </c>
      <c r="R183">
        <f t="shared" ref="R183" si="892">R184+Q183</f>
        <v>-9250485.5290614776</v>
      </c>
      <c r="S183">
        <f t="shared" ref="S183" si="893">R183/100000</f>
        <v>-92.504855290614771</v>
      </c>
      <c r="T183">
        <f t="shared" ref="T183" si="894">S183/1000</f>
        <v>-9.2504855290614765E-2</v>
      </c>
    </row>
    <row r="184" spans="1:20" x14ac:dyDescent="0.25">
      <c r="A184" s="5">
        <v>44409</v>
      </c>
      <c r="B184">
        <v>0.42</v>
      </c>
      <c r="C184">
        <v>0.4214</v>
      </c>
      <c r="D184">
        <v>0.38479999999999998</v>
      </c>
      <c r="E184">
        <v>0.38690000000000002</v>
      </c>
      <c r="F184">
        <v>14882532.210000001</v>
      </c>
      <c r="G184">
        <v>0.38690000000000002</v>
      </c>
      <c r="L184" t="s">
        <v>7</v>
      </c>
      <c r="M184" t="s">
        <v>7</v>
      </c>
      <c r="N184" t="s">
        <v>7</v>
      </c>
      <c r="P184">
        <f t="shared" ref="P184" si="895">IF(C184=D184,0,((E184-D184)-(C184-E184))/(C184-D184))</f>
        <v>-0.8852459016393418</v>
      </c>
      <c r="Q184">
        <f t="shared" ref="Q184" si="896">F184*P184</f>
        <v>-13174700.644917997</v>
      </c>
      <c r="R184">
        <f t="shared" ref="R184" si="897">R185+Q184</f>
        <v>-14204633.98221107</v>
      </c>
      <c r="S184">
        <f t="shared" ref="S184" si="898">R184/100000</f>
        <v>-142.0463398221107</v>
      </c>
      <c r="T184">
        <f t="shared" ref="T184" si="899">S184/1000</f>
        <v>-0.14204633982211071</v>
      </c>
    </row>
    <row r="185" spans="1:20" x14ac:dyDescent="0.25">
      <c r="A185" s="5">
        <v>44408</v>
      </c>
      <c r="B185">
        <v>0.43919999999999998</v>
      </c>
      <c r="C185">
        <v>0.44769999999999999</v>
      </c>
      <c r="D185">
        <v>0.41249999999999998</v>
      </c>
      <c r="E185">
        <v>0.41880000000000001</v>
      </c>
      <c r="F185">
        <v>13242585.289999999</v>
      </c>
      <c r="G185">
        <v>0.41880000000000001</v>
      </c>
      <c r="L185" t="s">
        <v>8</v>
      </c>
      <c r="M185" t="s">
        <v>7</v>
      </c>
      <c r="N185" t="s">
        <v>8</v>
      </c>
      <c r="P185">
        <f t="shared" ref="P185" si="900">IF(C185=D185,0,((E185-D185)-(C185-E185))/(C185-D185))</f>
        <v>-0.64204545454545303</v>
      </c>
      <c r="Q185">
        <f t="shared" ref="Q185" si="901">F185*P185</f>
        <v>-8502341.6918749791</v>
      </c>
      <c r="R185">
        <f t="shared" ref="R185" si="902">R186+Q185</f>
        <v>-1029933.3372930735</v>
      </c>
      <c r="S185">
        <f t="shared" ref="S185" si="903">R185/100000</f>
        <v>-10.299333372930736</v>
      </c>
      <c r="T185">
        <f t="shared" ref="T185" si="904">S185/1000</f>
        <v>-1.0299333372930736E-2</v>
      </c>
    </row>
    <row r="186" spans="1:20" x14ac:dyDescent="0.25">
      <c r="A186" s="5">
        <v>44407</v>
      </c>
      <c r="B186">
        <v>0.43530000000000002</v>
      </c>
      <c r="C186">
        <v>0.50700000000000001</v>
      </c>
      <c r="D186">
        <v>0.4037</v>
      </c>
      <c r="E186">
        <v>0.43940000000000001</v>
      </c>
      <c r="F186">
        <v>54018364.630000003</v>
      </c>
      <c r="G186">
        <v>0.43940000000000001</v>
      </c>
      <c r="L186" t="s">
        <v>7</v>
      </c>
      <c r="M186" t="s">
        <v>7</v>
      </c>
      <c r="N186" t="s">
        <v>8</v>
      </c>
      <c r="P186">
        <f t="shared" ref="P186" si="905">IF(C186=D186,0,((E186-D186)-(C186-E186))/(C186-D186))</f>
        <v>-0.30880929332042578</v>
      </c>
      <c r="Q186">
        <f t="shared" ref="Q186" si="906">F186*P186</f>
        <v>-16681373.007715384</v>
      </c>
      <c r="R186">
        <f t="shared" ref="R186" si="907">R187+Q186</f>
        <v>7472408.3545819055</v>
      </c>
      <c r="S186">
        <f t="shared" ref="S186" si="908">R186/100000</f>
        <v>74.724083545819056</v>
      </c>
      <c r="T186">
        <f t="shared" ref="T186" si="909">S186/1000</f>
        <v>7.4724083545819053E-2</v>
      </c>
    </row>
    <row r="187" spans="1:20" x14ac:dyDescent="0.25">
      <c r="A187" s="5">
        <v>44406</v>
      </c>
      <c r="B187">
        <v>0.35360000000000003</v>
      </c>
      <c r="C187">
        <v>0.55359999999999998</v>
      </c>
      <c r="D187">
        <v>0.3422</v>
      </c>
      <c r="E187">
        <v>0.43419999999999997</v>
      </c>
      <c r="F187">
        <v>123704152.06999999</v>
      </c>
      <c r="G187">
        <v>0.43419999999999997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-0.12961210974456025</v>
      </c>
      <c r="Q187">
        <f t="shared" ref="Q187" si="911">F187*P187</f>
        <v>-16033556.133954609</v>
      </c>
      <c r="R187">
        <f t="shared" ref="R187" si="912">R188+Q187</f>
        <v>24153781.362297289</v>
      </c>
      <c r="S187">
        <f t="shared" ref="S187" si="913">R187/100000</f>
        <v>241.53781362297289</v>
      </c>
      <c r="T187">
        <f t="shared" ref="T187" si="914">S187/1000</f>
        <v>0.24153781362297289</v>
      </c>
    </row>
    <row r="188" spans="1:20" x14ac:dyDescent="0.25">
      <c r="A188" s="5">
        <v>44405</v>
      </c>
      <c r="B188">
        <v>0.3538</v>
      </c>
      <c r="C188">
        <v>0.35510000000000003</v>
      </c>
      <c r="D188">
        <v>0.3337</v>
      </c>
      <c r="E188">
        <v>0.3548</v>
      </c>
      <c r="F188">
        <v>7554540.46</v>
      </c>
      <c r="G188">
        <v>0.3548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0.97196261682242779</v>
      </c>
      <c r="Q188">
        <f t="shared" ref="Q188" si="916">F188*P188</f>
        <v>7342730.9143925076</v>
      </c>
      <c r="R188">
        <f t="shared" ref="R188" si="917">R189+Q188</f>
        <v>40187337.496251896</v>
      </c>
      <c r="S188">
        <f t="shared" ref="S188" si="918">R188/100000</f>
        <v>401.87337496251894</v>
      </c>
      <c r="T188">
        <f t="shared" ref="T188" si="919">S188/1000</f>
        <v>0.40187337496251896</v>
      </c>
    </row>
    <row r="189" spans="1:20" x14ac:dyDescent="0.25">
      <c r="A189" s="5">
        <v>44404</v>
      </c>
      <c r="B189">
        <v>0.33589999999999998</v>
      </c>
      <c r="C189">
        <v>0.3599</v>
      </c>
      <c r="D189">
        <v>0.31119999999999998</v>
      </c>
      <c r="E189">
        <v>0.35449999999999998</v>
      </c>
      <c r="F189">
        <v>12437095.23</v>
      </c>
      <c r="G189">
        <v>0.35449999999999998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0.77823408624229928</v>
      </c>
      <c r="Q189">
        <f t="shared" ref="Q189" si="921">F189*P189</f>
        <v>9678971.4418275096</v>
      </c>
      <c r="R189">
        <f t="shared" ref="R189" si="922">R190+Q189</f>
        <v>32844606.581859387</v>
      </c>
      <c r="S189">
        <f t="shared" ref="S189" si="923">R189/100000</f>
        <v>328.44606581859387</v>
      </c>
      <c r="T189">
        <f t="shared" ref="T189" si="924">S189/1000</f>
        <v>0.32844606581859387</v>
      </c>
    </row>
    <row r="190" spans="1:20" x14ac:dyDescent="0.25">
      <c r="A190" s="5">
        <v>44403</v>
      </c>
      <c r="B190">
        <v>0.32219999999999999</v>
      </c>
      <c r="C190">
        <v>0.36</v>
      </c>
      <c r="D190">
        <v>0.31159999999999999</v>
      </c>
      <c r="E190">
        <v>0.33610000000000001</v>
      </c>
      <c r="F190">
        <v>10136802.210000001</v>
      </c>
      <c r="G190">
        <v>0.33610000000000001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1.2396694214876961E-2</v>
      </c>
      <c r="Q190">
        <f t="shared" ref="Q190" si="926">F190*P190</f>
        <v>125662.83731405901</v>
      </c>
      <c r="R190">
        <f t="shared" ref="R190" si="927">R191+Q190</f>
        <v>23165635.140031878</v>
      </c>
      <c r="S190">
        <f t="shared" ref="S190" si="928">R190/100000</f>
        <v>231.65635140031878</v>
      </c>
      <c r="T190">
        <f t="shared" ref="T190" si="929">S190/1000</f>
        <v>0.23165635140031879</v>
      </c>
    </row>
    <row r="191" spans="1:20" x14ac:dyDescent="0.25">
      <c r="A191" s="5">
        <v>44402</v>
      </c>
      <c r="B191">
        <v>0.31430000000000002</v>
      </c>
      <c r="C191">
        <v>0.3488</v>
      </c>
      <c r="D191">
        <v>0.29799999999999999</v>
      </c>
      <c r="E191">
        <v>0.3211</v>
      </c>
      <c r="F191">
        <v>5683701.96</v>
      </c>
      <c r="G191">
        <v>0.3211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-9.0551181102362044E-2</v>
      </c>
      <c r="Q191">
        <f t="shared" ref="Q191" si="931">F191*P191</f>
        <v>-514665.92551181011</v>
      </c>
      <c r="R191">
        <f t="shared" ref="R191" si="932">R192+Q191</f>
        <v>23039972.30271782</v>
      </c>
      <c r="S191">
        <f t="shared" ref="S191" si="933">R191/100000</f>
        <v>230.3997230271782</v>
      </c>
      <c r="T191">
        <f t="shared" ref="T191:T197" si="934">S191/1000</f>
        <v>0.2303997230271782</v>
      </c>
    </row>
    <row r="192" spans="1:20" x14ac:dyDescent="0.25">
      <c r="A192" s="5">
        <v>44401</v>
      </c>
      <c r="B192">
        <v>0.30449999999999999</v>
      </c>
      <c r="C192">
        <v>0.31640000000000001</v>
      </c>
      <c r="D192">
        <v>0.29530000000000001</v>
      </c>
      <c r="E192">
        <v>0.31440000000000001</v>
      </c>
      <c r="F192">
        <v>4129671.29</v>
      </c>
      <c r="G192">
        <v>0.31440000000000001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0.81042654028436012</v>
      </c>
      <c r="Q192">
        <f t="shared" ref="Q192" si="936">F192*P192</f>
        <v>3346795.2160663502</v>
      </c>
      <c r="R192">
        <f t="shared" ref="R192" si="937">R193+Q192</f>
        <v>23554638.228229631</v>
      </c>
      <c r="S192">
        <f t="shared" ref="S192" si="938">R192/100000</f>
        <v>235.54638228229632</v>
      </c>
      <c r="T192">
        <f t="shared" si="934"/>
        <v>0.23554638228229632</v>
      </c>
    </row>
    <row r="193" spans="1:20" x14ac:dyDescent="0.25">
      <c r="A193" s="5">
        <v>44400</v>
      </c>
      <c r="B193">
        <v>0.2969</v>
      </c>
      <c r="C193">
        <v>0.30980000000000002</v>
      </c>
      <c r="D193">
        <v>0.2873</v>
      </c>
      <c r="E193">
        <v>0.3044</v>
      </c>
      <c r="F193">
        <v>3335351.62</v>
      </c>
      <c r="G193">
        <v>0.3044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0.51999999999999902</v>
      </c>
      <c r="Q193">
        <f t="shared" ref="Q193" si="940">F193*P193</f>
        <v>1734382.8423999967</v>
      </c>
      <c r="R193">
        <f t="shared" ref="R193" si="941">R194+Q193</f>
        <v>20207843.012163281</v>
      </c>
      <c r="S193">
        <f t="shared" ref="S193" si="942">R193/100000</f>
        <v>202.07843012163281</v>
      </c>
      <c r="T193">
        <f t="shared" si="934"/>
        <v>0.20207843012163282</v>
      </c>
    </row>
    <row r="194" spans="1:20" x14ac:dyDescent="0.25">
      <c r="A194" s="5">
        <v>44399</v>
      </c>
      <c r="B194">
        <v>0.29299999999999998</v>
      </c>
      <c r="C194">
        <v>0.29899999999999999</v>
      </c>
      <c r="D194">
        <v>0.28220000000000001</v>
      </c>
      <c r="E194">
        <v>0.29780000000000001</v>
      </c>
      <c r="F194">
        <v>2946870.69</v>
      </c>
      <c r="G194">
        <v>0.29780000000000001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0.85714285714285954</v>
      </c>
      <c r="Q194">
        <f t="shared" ref="Q194" si="944">F194*P194</f>
        <v>2525889.1628571497</v>
      </c>
      <c r="R194">
        <f t="shared" ref="R194" si="945">R195+Q194</f>
        <v>18473460.169763286</v>
      </c>
      <c r="S194">
        <f t="shared" ref="S194" si="946">R194/100000</f>
        <v>184.73460169763285</v>
      </c>
      <c r="T194">
        <f t="shared" si="934"/>
        <v>0.18473460169763287</v>
      </c>
    </row>
    <row r="195" spans="1:20" x14ac:dyDescent="0.25">
      <c r="A195" s="5">
        <v>44398</v>
      </c>
      <c r="B195">
        <v>0.26350000000000001</v>
      </c>
      <c r="C195">
        <v>0.29360000000000003</v>
      </c>
      <c r="D195">
        <v>0.25640000000000002</v>
      </c>
      <c r="E195">
        <v>0.29339999999999999</v>
      </c>
      <c r="F195">
        <v>6366075.7199999997</v>
      </c>
      <c r="G195">
        <v>0.29339999999999999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0.98924731182795522</v>
      </c>
      <c r="Q195">
        <f t="shared" ref="Q195" si="948">F195*P195</f>
        <v>6297623.2929032147</v>
      </c>
      <c r="R195">
        <f t="shared" ref="R195" si="949">R196+Q195</f>
        <v>15947571.006906137</v>
      </c>
      <c r="S195">
        <f t="shared" ref="S195" si="950">R195/100000</f>
        <v>159.47571006906136</v>
      </c>
      <c r="T195">
        <f t="shared" si="934"/>
        <v>0.15947571006906136</v>
      </c>
    </row>
    <row r="196" spans="1:20" x14ac:dyDescent="0.25">
      <c r="A196" s="5">
        <v>44397</v>
      </c>
      <c r="B196">
        <v>0.28420000000000001</v>
      </c>
      <c r="C196">
        <v>0.29880000000000001</v>
      </c>
      <c r="D196">
        <v>0.2505</v>
      </c>
      <c r="E196">
        <v>0.26390000000000002</v>
      </c>
      <c r="F196">
        <v>6404318.7400000002</v>
      </c>
      <c r="G196">
        <v>0.26390000000000002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-0.44513457556935732</v>
      </c>
      <c r="Q196">
        <f t="shared" ref="Q196" si="952">F196*P196</f>
        <v>-2850783.7041407814</v>
      </c>
      <c r="R196">
        <f t="shared" ref="R196" si="953">R197+Q196</f>
        <v>9649947.7140029222</v>
      </c>
      <c r="S196">
        <f t="shared" ref="S196" si="954">R196/100000</f>
        <v>96.499477140029228</v>
      </c>
      <c r="T196">
        <f t="shared" si="934"/>
        <v>9.6499477140029224E-2</v>
      </c>
    </row>
    <row r="197" spans="1:20" x14ac:dyDescent="0.25">
      <c r="A197" s="5">
        <v>44396</v>
      </c>
      <c r="B197">
        <v>0.30170000000000002</v>
      </c>
      <c r="C197">
        <v>0.33400000000000002</v>
      </c>
      <c r="D197">
        <v>0.27260000000000001</v>
      </c>
      <c r="E197">
        <v>0.28360000000000002</v>
      </c>
      <c r="F197">
        <v>4980344.01</v>
      </c>
      <c r="G197">
        <v>0</v>
      </c>
      <c r="L197" t="s">
        <v>8</v>
      </c>
      <c r="M197" t="s">
        <v>7</v>
      </c>
      <c r="N197" t="s">
        <v>7</v>
      </c>
      <c r="P197">
        <f t="shared" ref="P197" si="955">IF(C197=D197,0,((E197-D197)-(C197-E197))/(C197-D197))</f>
        <v>-0.6416938110749183</v>
      </c>
      <c r="Q197">
        <f t="shared" ref="Q197" si="956">F197*P197</f>
        <v>-3195855.928241041</v>
      </c>
      <c r="R197">
        <f t="shared" ref="R197" si="957">R198+Q197</f>
        <v>12500731.418143705</v>
      </c>
      <c r="S197">
        <f t="shared" ref="S197" si="958">R197/100000</f>
        <v>125.00731418143704</v>
      </c>
      <c r="T197">
        <f t="shared" si="934"/>
        <v>0.12500731418143704</v>
      </c>
    </row>
    <row r="198" spans="1:20" x14ac:dyDescent="0.25">
      <c r="A198" s="5">
        <v>44395</v>
      </c>
      <c r="B198">
        <v>0.30649999999999999</v>
      </c>
      <c r="C198">
        <v>0.31240000000000001</v>
      </c>
      <c r="D198">
        <v>0.29320000000000002</v>
      </c>
      <c r="E198">
        <v>0.30149999999999999</v>
      </c>
      <c r="F198">
        <v>1711176.8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-0.13541666666666913</v>
      </c>
      <c r="Q198">
        <f t="shared" ref="Q198:Q261" si="960">F198*P198</f>
        <v>-231721.85833333756</v>
      </c>
      <c r="R198">
        <f t="shared" ref="R198:R261" si="961">R199+Q198</f>
        <v>15696587.346384745</v>
      </c>
      <c r="S198">
        <f t="shared" ref="S198:S261" si="962">R198/100000</f>
        <v>156.96587346384746</v>
      </c>
      <c r="T198">
        <f t="shared" ref="T198:T261" si="963">S198/1000</f>
        <v>0.15696587346384747</v>
      </c>
    </row>
    <row r="199" spans="1:20" x14ac:dyDescent="0.25">
      <c r="A199" s="5">
        <v>44394</v>
      </c>
      <c r="B199">
        <v>0.29949999999999999</v>
      </c>
      <c r="C199">
        <v>0.30730000000000002</v>
      </c>
      <c r="D199">
        <v>0.28599999999999998</v>
      </c>
      <c r="E199">
        <v>0.30609999999999998</v>
      </c>
      <c r="F199">
        <v>3483878.79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0.88732394366196887</v>
      </c>
      <c r="Q199">
        <f t="shared" si="960"/>
        <v>3091329.0671830885</v>
      </c>
      <c r="R199">
        <f t="shared" si="961"/>
        <v>15928309.204718083</v>
      </c>
      <c r="S199">
        <f t="shared" si="962"/>
        <v>159.28309204718084</v>
      </c>
      <c r="T199">
        <f t="shared" si="963"/>
        <v>0.15928309204718086</v>
      </c>
    </row>
    <row r="200" spans="1:20" x14ac:dyDescent="0.25">
      <c r="A200" s="5">
        <v>44393</v>
      </c>
      <c r="B200">
        <v>0.33090000000000003</v>
      </c>
      <c r="C200">
        <v>0.33090000000000003</v>
      </c>
      <c r="D200">
        <v>0.2888</v>
      </c>
      <c r="E200">
        <v>0.29849999999999999</v>
      </c>
      <c r="F200">
        <v>3990307.2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-0.53919239904988214</v>
      </c>
      <c r="Q200">
        <f t="shared" si="960"/>
        <v>-2151543.312114018</v>
      </c>
      <c r="R200">
        <f t="shared" si="961"/>
        <v>12836980.137534995</v>
      </c>
      <c r="S200">
        <f t="shared" si="962"/>
        <v>128.36980137534994</v>
      </c>
      <c r="T200">
        <f t="shared" si="963"/>
        <v>0.12836980137534992</v>
      </c>
    </row>
    <row r="201" spans="1:20" x14ac:dyDescent="0.25">
      <c r="A201" s="5">
        <v>44392</v>
      </c>
      <c r="B201">
        <v>0.33</v>
      </c>
      <c r="C201">
        <v>0.36</v>
      </c>
      <c r="D201">
        <v>0.31590000000000001</v>
      </c>
      <c r="E201">
        <v>0.33090000000000003</v>
      </c>
      <c r="F201">
        <v>10173062.42</v>
      </c>
      <c r="G201">
        <v>0</v>
      </c>
      <c r="L201" t="s">
        <v>8</v>
      </c>
      <c r="M201" t="s">
        <v>8</v>
      </c>
      <c r="N201" t="s">
        <v>7</v>
      </c>
      <c r="P201">
        <f t="shared" si="959"/>
        <v>-0.31972789115646155</v>
      </c>
      <c r="Q201">
        <f t="shared" si="960"/>
        <v>-3252611.7941496493</v>
      </c>
      <c r="R201">
        <f t="shared" si="961"/>
        <v>14988523.449649014</v>
      </c>
      <c r="S201">
        <f t="shared" si="962"/>
        <v>149.88523449649014</v>
      </c>
      <c r="T201">
        <f t="shared" si="963"/>
        <v>0.14988523449649013</v>
      </c>
    </row>
    <row r="202" spans="1:20" x14ac:dyDescent="0.25">
      <c r="A202" s="5">
        <v>44391</v>
      </c>
      <c r="B202">
        <v>0.3463</v>
      </c>
      <c r="C202">
        <v>0.35</v>
      </c>
      <c r="D202">
        <v>0.30740000000000001</v>
      </c>
      <c r="E202">
        <v>0.32900000000000001</v>
      </c>
      <c r="F202">
        <v>22062339.760000002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1.4084507042254585E-2</v>
      </c>
      <c r="Q202">
        <f t="shared" si="960"/>
        <v>310737.17971833335</v>
      </c>
      <c r="R202">
        <f t="shared" si="961"/>
        <v>18241135.243798662</v>
      </c>
      <c r="S202">
        <f t="shared" si="962"/>
        <v>182.41135243798661</v>
      </c>
      <c r="T202">
        <f t="shared" si="963"/>
        <v>0.18241135243798662</v>
      </c>
    </row>
    <row r="203" spans="1:20" x14ac:dyDescent="0.25">
      <c r="A203" s="5">
        <v>44390</v>
      </c>
      <c r="B203">
        <v>0.32490000000000002</v>
      </c>
      <c r="C203">
        <v>0.44900000000000001</v>
      </c>
      <c r="D203">
        <v>0.32240000000000002</v>
      </c>
      <c r="E203">
        <v>0.34560000000000002</v>
      </c>
      <c r="F203">
        <v>53484576.310000002</v>
      </c>
      <c r="G203">
        <v>0</v>
      </c>
      <c r="L203" t="s">
        <v>8</v>
      </c>
      <c r="M203" t="s">
        <v>8</v>
      </c>
      <c r="N203" t="s">
        <v>8</v>
      </c>
      <c r="P203">
        <f t="shared" si="959"/>
        <v>-0.63349131121642965</v>
      </c>
      <c r="Q203">
        <f t="shared" si="960"/>
        <v>-33882014.376477093</v>
      </c>
      <c r="R203">
        <f t="shared" si="961"/>
        <v>17930398.064080328</v>
      </c>
      <c r="S203">
        <f t="shared" si="962"/>
        <v>179.30398064080327</v>
      </c>
      <c r="T203">
        <f t="shared" si="963"/>
        <v>0.17930398064080327</v>
      </c>
    </row>
    <row r="204" spans="1:20" x14ac:dyDescent="0.25">
      <c r="A204" s="5">
        <v>44389</v>
      </c>
      <c r="B204">
        <v>0.31850000000000001</v>
      </c>
      <c r="C204">
        <v>0.32900000000000001</v>
      </c>
      <c r="D204">
        <v>0.30830000000000002</v>
      </c>
      <c r="E204">
        <v>0.32590000000000002</v>
      </c>
      <c r="F204">
        <v>3467363.94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0.70048309178744039</v>
      </c>
      <c r="Q204">
        <f t="shared" si="960"/>
        <v>2428829.8130434807</v>
      </c>
      <c r="R204">
        <f t="shared" si="961"/>
        <v>51812412.44055742</v>
      </c>
      <c r="S204">
        <f t="shared" si="962"/>
        <v>518.12412440557421</v>
      </c>
      <c r="T204">
        <f t="shared" si="963"/>
        <v>0.5181241244055742</v>
      </c>
    </row>
    <row r="205" spans="1:20" x14ac:dyDescent="0.25">
      <c r="A205" s="5">
        <v>44388</v>
      </c>
      <c r="B205">
        <v>0.31219999999999998</v>
      </c>
      <c r="C205">
        <v>0.33</v>
      </c>
      <c r="D205">
        <v>0.30280000000000001</v>
      </c>
      <c r="E205">
        <v>0.31969999999999998</v>
      </c>
      <c r="F205">
        <v>4002689.61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0.24264705882352716</v>
      </c>
      <c r="Q205">
        <f t="shared" si="960"/>
        <v>971240.86124999099</v>
      </c>
      <c r="R205">
        <f t="shared" si="961"/>
        <v>49383582.627513938</v>
      </c>
      <c r="S205">
        <f t="shared" si="962"/>
        <v>493.83582627513937</v>
      </c>
      <c r="T205">
        <f t="shared" si="963"/>
        <v>0.49383582627513939</v>
      </c>
    </row>
    <row r="206" spans="1:20" x14ac:dyDescent="0.25">
      <c r="A206" s="5">
        <v>44387</v>
      </c>
      <c r="B206">
        <v>0.30549999999999999</v>
      </c>
      <c r="C206">
        <v>0.32140000000000002</v>
      </c>
      <c r="D206">
        <v>0.30009999999999998</v>
      </c>
      <c r="E206">
        <v>0.312</v>
      </c>
      <c r="F206">
        <v>5219100.2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0.11737089201877922</v>
      </c>
      <c r="Q206">
        <f t="shared" si="960"/>
        <v>612570.44600938901</v>
      </c>
      <c r="R206">
        <f t="shared" si="961"/>
        <v>48412341.766263947</v>
      </c>
      <c r="S206">
        <f t="shared" si="962"/>
        <v>484.1234176626395</v>
      </c>
      <c r="T206">
        <f t="shared" si="963"/>
        <v>0.4841234176626395</v>
      </c>
    </row>
    <row r="207" spans="1:20" x14ac:dyDescent="0.25">
      <c r="A207" s="5">
        <v>44386</v>
      </c>
      <c r="B207">
        <v>0.29820000000000002</v>
      </c>
      <c r="C207">
        <v>0.315</v>
      </c>
      <c r="D207">
        <v>0.28260000000000002</v>
      </c>
      <c r="E207">
        <v>0.30549999999999999</v>
      </c>
      <c r="F207">
        <v>7422684.5300000003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0.41358024691357942</v>
      </c>
      <c r="Q207">
        <f t="shared" si="960"/>
        <v>3069875.7006790065</v>
      </c>
      <c r="R207">
        <f t="shared" si="961"/>
        <v>47799771.320254557</v>
      </c>
      <c r="S207">
        <f t="shared" si="962"/>
        <v>477.99771320254558</v>
      </c>
      <c r="T207">
        <f t="shared" si="963"/>
        <v>0.47799771320254558</v>
      </c>
    </row>
    <row r="208" spans="1:20" x14ac:dyDescent="0.25">
      <c r="A208" s="5">
        <v>44385</v>
      </c>
      <c r="B208">
        <v>0.34189999999999998</v>
      </c>
      <c r="C208">
        <v>0.34239999999999998</v>
      </c>
      <c r="D208">
        <v>0.29189999999999999</v>
      </c>
      <c r="E208">
        <v>0.29920000000000002</v>
      </c>
      <c r="F208">
        <v>6346208.0599999996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-0.71089108910890975</v>
      </c>
      <c r="Q208">
        <f t="shared" si="960"/>
        <v>-4511462.7594851414</v>
      </c>
      <c r="R208">
        <f t="shared" si="961"/>
        <v>44729895.619575553</v>
      </c>
      <c r="S208">
        <f t="shared" si="962"/>
        <v>447.29895619575552</v>
      </c>
      <c r="T208">
        <f t="shared" si="963"/>
        <v>0.44729895619575555</v>
      </c>
    </row>
    <row r="209" spans="1:20" x14ac:dyDescent="0.25">
      <c r="A209" s="5">
        <v>44384</v>
      </c>
      <c r="B209">
        <v>0.33260000000000001</v>
      </c>
      <c r="C209">
        <v>0.36830000000000002</v>
      </c>
      <c r="D209">
        <v>0.32750000000000001</v>
      </c>
      <c r="E209">
        <v>0.34239999999999998</v>
      </c>
      <c r="F209">
        <v>10950551.789999999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-0.2696078431372565</v>
      </c>
      <c r="Q209">
        <f t="shared" si="960"/>
        <v>-2952354.6492647231</v>
      </c>
      <c r="R209">
        <f t="shared" si="961"/>
        <v>49241358.379060693</v>
      </c>
      <c r="S209">
        <f t="shared" si="962"/>
        <v>492.41358379060694</v>
      </c>
      <c r="T209">
        <f t="shared" si="963"/>
        <v>0.49241358379060696</v>
      </c>
    </row>
    <row r="210" spans="1:20" x14ac:dyDescent="0.25">
      <c r="A210" s="5">
        <v>44383</v>
      </c>
      <c r="B210">
        <v>0.3291</v>
      </c>
      <c r="C210">
        <v>0.3377</v>
      </c>
      <c r="D210">
        <v>0.31769999999999998</v>
      </c>
      <c r="E210">
        <v>0.33250000000000002</v>
      </c>
      <c r="F210">
        <v>4022680.15</v>
      </c>
      <c r="G210">
        <v>0</v>
      </c>
      <c r="L210" t="s">
        <v>8</v>
      </c>
      <c r="M210" t="s">
        <v>7</v>
      </c>
      <c r="N210" t="s">
        <v>8</v>
      </c>
      <c r="P210">
        <f t="shared" si="959"/>
        <v>0.4800000000000022</v>
      </c>
      <c r="Q210">
        <f t="shared" si="960"/>
        <v>1930886.4720000089</v>
      </c>
      <c r="R210">
        <f t="shared" si="961"/>
        <v>52193713.028325416</v>
      </c>
      <c r="S210">
        <f t="shared" si="962"/>
        <v>521.93713028325419</v>
      </c>
      <c r="T210">
        <f t="shared" si="963"/>
        <v>0.52193713028325417</v>
      </c>
    </row>
    <row r="211" spans="1:20" x14ac:dyDescent="0.25">
      <c r="A211" s="5">
        <v>44382</v>
      </c>
      <c r="B211">
        <v>0.33850000000000002</v>
      </c>
      <c r="C211">
        <v>0.35</v>
      </c>
      <c r="D211">
        <v>0.30909999999999999</v>
      </c>
      <c r="E211">
        <v>0.32869999999999999</v>
      </c>
      <c r="F211">
        <v>10974149.029999999</v>
      </c>
      <c r="G211">
        <v>0</v>
      </c>
      <c r="L211" t="s">
        <v>7</v>
      </c>
      <c r="M211" t="s">
        <v>7</v>
      </c>
      <c r="N211" t="s">
        <v>8</v>
      </c>
      <c r="P211">
        <f t="shared" si="959"/>
        <v>-4.1564792176038624E-2</v>
      </c>
      <c r="Q211">
        <f t="shared" si="960"/>
        <v>-456138.22374082584</v>
      </c>
      <c r="R211">
        <f t="shared" si="961"/>
        <v>50262826.556325406</v>
      </c>
      <c r="S211">
        <f t="shared" si="962"/>
        <v>502.62826556325405</v>
      </c>
      <c r="T211">
        <f t="shared" si="963"/>
        <v>0.50262826556325402</v>
      </c>
    </row>
    <row r="212" spans="1:20" x14ac:dyDescent="0.25">
      <c r="A212" s="5">
        <v>44381</v>
      </c>
      <c r="B212">
        <v>0.33529999999999999</v>
      </c>
      <c r="C212">
        <v>0.35439999999999999</v>
      </c>
      <c r="D212">
        <v>0.32800000000000001</v>
      </c>
      <c r="E212">
        <v>0.33879999999999999</v>
      </c>
      <c r="F212">
        <v>7148904.2199999997</v>
      </c>
      <c r="G212">
        <v>0</v>
      </c>
      <c r="L212" t="s">
        <v>7</v>
      </c>
      <c r="M212" t="s">
        <v>8</v>
      </c>
      <c r="N212" t="s">
        <v>8</v>
      </c>
      <c r="P212">
        <f t="shared" si="959"/>
        <v>-0.18181818181818296</v>
      </c>
      <c r="Q212">
        <f t="shared" si="960"/>
        <v>-1299800.7672727355</v>
      </c>
      <c r="R212">
        <f t="shared" si="961"/>
        <v>50718964.780066229</v>
      </c>
      <c r="S212">
        <f t="shared" si="962"/>
        <v>507.18964780066227</v>
      </c>
      <c r="T212">
        <f t="shared" si="963"/>
        <v>0.50718964780066222</v>
      </c>
    </row>
    <row r="213" spans="1:20" x14ac:dyDescent="0.25">
      <c r="A213" s="5">
        <v>44380</v>
      </c>
      <c r="B213">
        <v>0.31480000000000002</v>
      </c>
      <c r="C213">
        <v>0.38250000000000001</v>
      </c>
      <c r="D213">
        <v>0.30669999999999997</v>
      </c>
      <c r="E213">
        <v>0.33539999999999998</v>
      </c>
      <c r="F213">
        <v>24954275.620000001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-0.24274406332453852</v>
      </c>
      <c r="Q213">
        <f t="shared" si="960"/>
        <v>-6057502.2613192676</v>
      </c>
      <c r="R213">
        <f t="shared" si="961"/>
        <v>52018765.547338963</v>
      </c>
      <c r="S213">
        <f t="shared" si="962"/>
        <v>520.18765547338967</v>
      </c>
      <c r="T213">
        <f t="shared" si="963"/>
        <v>0.52018765547338963</v>
      </c>
    </row>
    <row r="214" spans="1:20" x14ac:dyDescent="0.25">
      <c r="A214" s="5">
        <v>44379</v>
      </c>
      <c r="B214">
        <v>0.3412</v>
      </c>
      <c r="C214">
        <v>0.3422</v>
      </c>
      <c r="D214">
        <v>0.29189999999999999</v>
      </c>
      <c r="E214">
        <v>0.31469999999999998</v>
      </c>
      <c r="F214">
        <v>9706836.4399999995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-9.3439363817098137E-2</v>
      </c>
      <c r="Q214">
        <f t="shared" si="960"/>
        <v>-907000.62163022568</v>
      </c>
      <c r="R214">
        <f t="shared" si="961"/>
        <v>58076267.808658227</v>
      </c>
      <c r="S214">
        <f t="shared" si="962"/>
        <v>580.76267808658224</v>
      </c>
      <c r="T214">
        <f t="shared" si="963"/>
        <v>0.58076267808658222</v>
      </c>
    </row>
    <row r="215" spans="1:20" x14ac:dyDescent="0.25">
      <c r="A215" s="5">
        <v>44378</v>
      </c>
      <c r="B215">
        <v>0.30380000000000001</v>
      </c>
      <c r="C215">
        <v>0.34810000000000002</v>
      </c>
      <c r="D215">
        <v>0.27279999999999999</v>
      </c>
      <c r="E215">
        <v>0.33979999999999999</v>
      </c>
      <c r="F215">
        <v>17578487.370000001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0.77954847277556372</v>
      </c>
      <c r="Q215">
        <f t="shared" si="960"/>
        <v>13703282.982988037</v>
      </c>
      <c r="R215">
        <f t="shared" si="961"/>
        <v>58983268.430288456</v>
      </c>
      <c r="S215">
        <f t="shared" si="962"/>
        <v>589.83268430288456</v>
      </c>
      <c r="T215">
        <f t="shared" si="963"/>
        <v>0.5898326843028846</v>
      </c>
    </row>
    <row r="216" spans="1:20" x14ac:dyDescent="0.25">
      <c r="A216" s="5">
        <v>44377</v>
      </c>
      <c r="B216">
        <v>0.2762</v>
      </c>
      <c r="C216">
        <v>0.312</v>
      </c>
      <c r="D216">
        <v>0.27050000000000002</v>
      </c>
      <c r="E216">
        <v>0.30370000000000003</v>
      </c>
      <c r="F216">
        <v>11471252.68</v>
      </c>
      <c r="G216">
        <v>0</v>
      </c>
      <c r="L216" t="s">
        <v>7</v>
      </c>
      <c r="M216" t="s">
        <v>7</v>
      </c>
      <c r="N216" t="s">
        <v>8</v>
      </c>
      <c r="P216">
        <f t="shared" si="959"/>
        <v>0.60000000000000109</v>
      </c>
      <c r="Q216">
        <f t="shared" si="960"/>
        <v>6882751.6080000121</v>
      </c>
      <c r="R216">
        <f t="shared" si="961"/>
        <v>45279985.447300419</v>
      </c>
      <c r="S216">
        <f t="shared" si="962"/>
        <v>452.79985447300419</v>
      </c>
      <c r="T216">
        <f t="shared" si="963"/>
        <v>0.45279985447300419</v>
      </c>
    </row>
    <row r="217" spans="1:20" x14ac:dyDescent="0.25">
      <c r="A217" s="5">
        <v>44376</v>
      </c>
      <c r="B217">
        <v>0.27679999999999999</v>
      </c>
      <c r="C217">
        <v>0.33800000000000002</v>
      </c>
      <c r="D217">
        <v>0.27010000000000001</v>
      </c>
      <c r="E217">
        <v>0.27610000000000001</v>
      </c>
      <c r="F217">
        <v>26715977.260000002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-0.82326951399116333</v>
      </c>
      <c r="Q217">
        <f t="shared" si="960"/>
        <v>-21994449.614639174</v>
      </c>
      <c r="R217">
        <f t="shared" si="961"/>
        <v>38397233.839300409</v>
      </c>
      <c r="S217">
        <f t="shared" si="962"/>
        <v>383.97233839300407</v>
      </c>
      <c r="T217">
        <f t="shared" si="963"/>
        <v>0.38397233839300404</v>
      </c>
    </row>
    <row r="218" spans="1:20" x14ac:dyDescent="0.25">
      <c r="A218" s="5">
        <v>44375</v>
      </c>
      <c r="B218">
        <v>0.2306</v>
      </c>
      <c r="C218">
        <v>0.29720000000000002</v>
      </c>
      <c r="D218">
        <v>0.22459999999999999</v>
      </c>
      <c r="E218">
        <v>0.27729999999999999</v>
      </c>
      <c r="F218">
        <v>34991375.210000001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0.45179063360881483</v>
      </c>
      <c r="Q218">
        <f t="shared" si="960"/>
        <v>15808775.576969676</v>
      </c>
      <c r="R218">
        <f t="shared" si="961"/>
        <v>60391683.453939579</v>
      </c>
      <c r="S218">
        <f t="shared" si="962"/>
        <v>603.91683453939584</v>
      </c>
      <c r="T218">
        <f t="shared" si="963"/>
        <v>0.60391683453939582</v>
      </c>
    </row>
    <row r="219" spans="1:20" x14ac:dyDescent="0.25">
      <c r="A219" s="5">
        <v>44374</v>
      </c>
      <c r="B219">
        <v>0.2223</v>
      </c>
      <c r="C219">
        <v>0.23069999999999999</v>
      </c>
      <c r="D219">
        <v>0.2142</v>
      </c>
      <c r="E219">
        <v>0.2306</v>
      </c>
      <c r="F219">
        <v>2700838.08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0.98787878787878924</v>
      </c>
      <c r="Q219">
        <f t="shared" si="960"/>
        <v>2668100.6487272764</v>
      </c>
      <c r="R219">
        <f t="shared" si="961"/>
        <v>44582907.876969904</v>
      </c>
      <c r="S219">
        <f t="shared" si="962"/>
        <v>445.82907876969904</v>
      </c>
      <c r="T219">
        <f t="shared" si="963"/>
        <v>0.44582907876969902</v>
      </c>
    </row>
    <row r="220" spans="1:20" x14ac:dyDescent="0.25">
      <c r="A220" s="5">
        <v>44373</v>
      </c>
      <c r="B220">
        <v>0.22</v>
      </c>
      <c r="C220">
        <v>0.23119999999999999</v>
      </c>
      <c r="D220">
        <v>0.20469999999999999</v>
      </c>
      <c r="E220">
        <v>0.2223</v>
      </c>
      <c r="F220">
        <v>3983383.22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0.32830188679245337</v>
      </c>
      <c r="Q220">
        <f t="shared" si="960"/>
        <v>1307752.2269433984</v>
      </c>
      <c r="R220">
        <f t="shared" si="961"/>
        <v>41914807.228242628</v>
      </c>
      <c r="S220">
        <f t="shared" si="962"/>
        <v>419.14807228242626</v>
      </c>
      <c r="T220">
        <f t="shared" si="963"/>
        <v>0.41914807228242623</v>
      </c>
    </row>
    <row r="221" spans="1:20" x14ac:dyDescent="0.25">
      <c r="A221" s="5">
        <v>44372</v>
      </c>
      <c r="B221">
        <v>0.2472</v>
      </c>
      <c r="C221">
        <v>0.25600000000000001</v>
      </c>
      <c r="D221">
        <v>0.2175</v>
      </c>
      <c r="E221">
        <v>0.221</v>
      </c>
      <c r="F221">
        <v>5753688.6699999999</v>
      </c>
      <c r="G221">
        <v>0</v>
      </c>
      <c r="L221" t="s">
        <v>7</v>
      </c>
      <c r="M221" t="s">
        <v>8</v>
      </c>
      <c r="N221" t="s">
        <v>8</v>
      </c>
      <c r="P221">
        <f t="shared" si="959"/>
        <v>-0.81818181818181801</v>
      </c>
      <c r="Q221">
        <f t="shared" si="960"/>
        <v>-4707563.4572727261</v>
      </c>
      <c r="R221">
        <f t="shared" si="961"/>
        <v>40607055.001299232</v>
      </c>
      <c r="S221">
        <f t="shared" si="962"/>
        <v>406.07055001299233</v>
      </c>
      <c r="T221">
        <f t="shared" si="963"/>
        <v>0.4060705500129923</v>
      </c>
    </row>
    <row r="222" spans="1:20" x14ac:dyDescent="0.25">
      <c r="A222" s="5">
        <v>44371</v>
      </c>
      <c r="B222">
        <v>0.2293</v>
      </c>
      <c r="C222">
        <v>0.26679999999999998</v>
      </c>
      <c r="D222">
        <v>0.21709999999999999</v>
      </c>
      <c r="E222">
        <v>0.2475</v>
      </c>
      <c r="F222">
        <v>28754827.129999999</v>
      </c>
      <c r="G222">
        <v>0</v>
      </c>
      <c r="L222" t="s">
        <v>8</v>
      </c>
      <c r="M222" t="s">
        <v>7</v>
      </c>
      <c r="N222" t="s">
        <v>8</v>
      </c>
      <c r="P222">
        <f t="shared" si="959"/>
        <v>0.22334004024144924</v>
      </c>
      <c r="Q222">
        <f t="shared" si="960"/>
        <v>6422104.2483501164</v>
      </c>
      <c r="R222">
        <f t="shared" si="961"/>
        <v>45314618.458571956</v>
      </c>
      <c r="S222">
        <f t="shared" si="962"/>
        <v>453.14618458571954</v>
      </c>
      <c r="T222">
        <f t="shared" si="963"/>
        <v>0.45314618458571954</v>
      </c>
    </row>
    <row r="223" spans="1:20" x14ac:dyDescent="0.25">
      <c r="A223" s="5">
        <v>44370</v>
      </c>
      <c r="B223">
        <v>0.20330000000000001</v>
      </c>
      <c r="C223">
        <v>0.25679999999999997</v>
      </c>
      <c r="D223">
        <v>0.19239999999999999</v>
      </c>
      <c r="E223">
        <v>0.22889999999999999</v>
      </c>
      <c r="F223">
        <v>14349779.779999999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0.13354037267080787</v>
      </c>
      <c r="Q223">
        <f t="shared" si="960"/>
        <v>1916274.9395652234</v>
      </c>
      <c r="R223">
        <f t="shared" si="961"/>
        <v>38892514.210221842</v>
      </c>
      <c r="S223">
        <f t="shared" si="962"/>
        <v>388.92514210221844</v>
      </c>
      <c r="T223">
        <f t="shared" si="963"/>
        <v>0.38892514210221846</v>
      </c>
    </row>
    <row r="224" spans="1:20" x14ac:dyDescent="0.25">
      <c r="A224" s="5">
        <v>44369</v>
      </c>
      <c r="B224">
        <v>0.21510000000000001</v>
      </c>
      <c r="C224">
        <v>0.2331</v>
      </c>
      <c r="D224">
        <v>0.16520000000000001</v>
      </c>
      <c r="E224">
        <v>0.2044</v>
      </c>
      <c r="F224">
        <v>13252365.949999999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0.15463917525773171</v>
      </c>
      <c r="Q224">
        <f t="shared" si="960"/>
        <v>2049334.9407216462</v>
      </c>
      <c r="R224">
        <f t="shared" si="961"/>
        <v>36976239.270656615</v>
      </c>
      <c r="S224">
        <f t="shared" si="962"/>
        <v>369.76239270656617</v>
      </c>
      <c r="T224">
        <f t="shared" si="963"/>
        <v>0.36976239270656619</v>
      </c>
    </row>
    <row r="225" spans="1:20" x14ac:dyDescent="0.25">
      <c r="A225" s="5">
        <v>44368</v>
      </c>
      <c r="B225">
        <v>0.2928</v>
      </c>
      <c r="C225">
        <v>0.29310000000000003</v>
      </c>
      <c r="D225">
        <v>0.21379999999999999</v>
      </c>
      <c r="E225">
        <v>0.21510000000000001</v>
      </c>
      <c r="F225">
        <v>7209775.7800000003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-0.96721311475409777</v>
      </c>
      <c r="Q225">
        <f t="shared" si="960"/>
        <v>-6973389.6888524555</v>
      </c>
      <c r="R225">
        <f t="shared" si="961"/>
        <v>34926904.32993497</v>
      </c>
      <c r="S225">
        <f t="shared" si="962"/>
        <v>349.26904329934968</v>
      </c>
      <c r="T225">
        <f t="shared" si="963"/>
        <v>0.34926904329934966</v>
      </c>
    </row>
    <row r="226" spans="1:20" x14ac:dyDescent="0.25">
      <c r="A226" s="5">
        <v>44367</v>
      </c>
      <c r="B226">
        <v>0.29909999999999998</v>
      </c>
      <c r="C226">
        <v>0.30009999999999998</v>
      </c>
      <c r="D226">
        <v>0.2651</v>
      </c>
      <c r="E226">
        <v>0.29270000000000002</v>
      </c>
      <c r="F226">
        <v>4033575.88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0.57714285714285896</v>
      </c>
      <c r="Q226">
        <f t="shared" si="960"/>
        <v>2327949.5078857215</v>
      </c>
      <c r="R226">
        <f t="shared" si="961"/>
        <v>41900294.018787421</v>
      </c>
      <c r="S226">
        <f t="shared" si="962"/>
        <v>419.00294018787423</v>
      </c>
      <c r="T226">
        <f t="shared" si="963"/>
        <v>0.41900294018787421</v>
      </c>
    </row>
    <row r="227" spans="1:20" x14ac:dyDescent="0.25">
      <c r="A227" s="5">
        <v>44366</v>
      </c>
      <c r="B227">
        <v>0.31509999999999999</v>
      </c>
      <c r="C227">
        <v>0.316</v>
      </c>
      <c r="D227">
        <v>0.2969</v>
      </c>
      <c r="E227">
        <v>0.2994</v>
      </c>
      <c r="F227">
        <v>3584703.38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-0.73821989528795795</v>
      </c>
      <c r="Q227">
        <f t="shared" si="960"/>
        <v>-2646299.3538219887</v>
      </c>
      <c r="R227">
        <f t="shared" si="961"/>
        <v>39572344.510901697</v>
      </c>
      <c r="S227">
        <f t="shared" si="962"/>
        <v>395.72344510901695</v>
      </c>
      <c r="T227">
        <f t="shared" si="963"/>
        <v>0.39572344510901697</v>
      </c>
    </row>
    <row r="228" spans="1:20" x14ac:dyDescent="0.25">
      <c r="A228" s="5">
        <v>44365</v>
      </c>
      <c r="B228">
        <v>0.33679999999999999</v>
      </c>
      <c r="C228">
        <v>0.34499999999999997</v>
      </c>
      <c r="D228">
        <v>0.30649999999999999</v>
      </c>
      <c r="E228">
        <v>0.31490000000000001</v>
      </c>
      <c r="F228">
        <v>4588262.24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-0.56363636363636238</v>
      </c>
      <c r="Q228">
        <f t="shared" si="960"/>
        <v>-2586111.4443636308</v>
      </c>
      <c r="R228">
        <f t="shared" si="961"/>
        <v>42218643.864723682</v>
      </c>
      <c r="S228">
        <f t="shared" si="962"/>
        <v>422.1864386472368</v>
      </c>
      <c r="T228">
        <f t="shared" si="963"/>
        <v>0.42218643864723682</v>
      </c>
    </row>
    <row r="229" spans="1:20" x14ac:dyDescent="0.25">
      <c r="A229" s="5">
        <v>44364</v>
      </c>
      <c r="B229">
        <v>0.34439999999999998</v>
      </c>
      <c r="C229">
        <v>0.34699999999999998</v>
      </c>
      <c r="D229">
        <v>0.32140000000000002</v>
      </c>
      <c r="E229">
        <v>0.33729999999999999</v>
      </c>
      <c r="F229">
        <v>3303125.65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0.24218749999999975</v>
      </c>
      <c r="Q229">
        <f t="shared" si="960"/>
        <v>799975.74335937412</v>
      </c>
      <c r="R229">
        <f t="shared" si="961"/>
        <v>44804755.309087314</v>
      </c>
      <c r="S229">
        <f t="shared" si="962"/>
        <v>448.04755309087312</v>
      </c>
      <c r="T229">
        <f t="shared" si="963"/>
        <v>0.44804755309087313</v>
      </c>
    </row>
    <row r="230" spans="1:20" x14ac:dyDescent="0.25">
      <c r="A230" s="5">
        <v>44363</v>
      </c>
      <c r="B230">
        <v>0.36159999999999998</v>
      </c>
      <c r="C230">
        <v>0.36270000000000002</v>
      </c>
      <c r="D230">
        <v>0.33679999999999999</v>
      </c>
      <c r="E230">
        <v>0.3448</v>
      </c>
      <c r="F230">
        <v>2425812.46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-0.38223938223938253</v>
      </c>
      <c r="Q230">
        <f t="shared" si="960"/>
        <v>-927241.05613899685</v>
      </c>
      <c r="R230">
        <f t="shared" si="961"/>
        <v>44004779.565727942</v>
      </c>
      <c r="S230">
        <f t="shared" si="962"/>
        <v>440.04779565727944</v>
      </c>
      <c r="T230">
        <f t="shared" si="963"/>
        <v>0.44004779565727942</v>
      </c>
    </row>
    <row r="231" spans="1:20" x14ac:dyDescent="0.25">
      <c r="A231" s="5">
        <v>44362</v>
      </c>
      <c r="B231">
        <v>0.36840000000000001</v>
      </c>
      <c r="C231">
        <v>0.37</v>
      </c>
      <c r="D231">
        <v>0.35349999999999998</v>
      </c>
      <c r="E231">
        <v>0.36159999999999998</v>
      </c>
      <c r="F231">
        <v>4672273.72</v>
      </c>
      <c r="G231">
        <v>0</v>
      </c>
      <c r="L231" t="s">
        <v>7</v>
      </c>
      <c r="M231" t="s">
        <v>8</v>
      </c>
      <c r="N231" t="s">
        <v>7</v>
      </c>
      <c r="P231">
        <f t="shared" si="959"/>
        <v>-1.8181818181819527E-2</v>
      </c>
      <c r="Q231">
        <f t="shared" si="960"/>
        <v>-84950.431272733549</v>
      </c>
      <c r="R231">
        <f t="shared" si="961"/>
        <v>44932020.621866941</v>
      </c>
      <c r="S231">
        <f t="shared" si="962"/>
        <v>449.3202062186694</v>
      </c>
      <c r="T231">
        <f t="shared" si="963"/>
        <v>0.44932020621866942</v>
      </c>
    </row>
    <row r="232" spans="1:20" x14ac:dyDescent="0.25">
      <c r="A232" s="5">
        <v>44361</v>
      </c>
      <c r="B232">
        <v>0.36620000000000003</v>
      </c>
      <c r="C232">
        <v>0.37569999999999998</v>
      </c>
      <c r="D232">
        <v>0.34760000000000002</v>
      </c>
      <c r="E232">
        <v>0.36840000000000001</v>
      </c>
      <c r="F232">
        <v>9609154.0999999996</v>
      </c>
      <c r="G232">
        <v>0</v>
      </c>
      <c r="L232" t="s">
        <v>7</v>
      </c>
      <c r="M232" t="s">
        <v>8</v>
      </c>
      <c r="N232" t="s">
        <v>7</v>
      </c>
      <c r="P232">
        <f t="shared" si="959"/>
        <v>0.48042704626334631</v>
      </c>
      <c r="Q232">
        <f t="shared" si="960"/>
        <v>4616497.5213523237</v>
      </c>
      <c r="R232">
        <f t="shared" si="961"/>
        <v>45016971.053139672</v>
      </c>
      <c r="S232">
        <f t="shared" si="962"/>
        <v>450.16971053139673</v>
      </c>
      <c r="T232">
        <f t="shared" si="963"/>
        <v>0.45016971053139671</v>
      </c>
    </row>
    <row r="233" spans="1:20" x14ac:dyDescent="0.25">
      <c r="A233" s="5">
        <v>44360</v>
      </c>
      <c r="B233">
        <v>0.32750000000000001</v>
      </c>
      <c r="C233">
        <v>0.39100000000000001</v>
      </c>
      <c r="D233">
        <v>0.32640000000000002</v>
      </c>
      <c r="E233">
        <v>0.36599999999999999</v>
      </c>
      <c r="F233">
        <v>28705625.84</v>
      </c>
      <c r="G233">
        <v>0</v>
      </c>
      <c r="L233" t="s">
        <v>8</v>
      </c>
      <c r="M233" t="s">
        <v>8</v>
      </c>
      <c r="N233" t="s">
        <v>7</v>
      </c>
      <c r="P233">
        <f t="shared" si="959"/>
        <v>0.22600619195046359</v>
      </c>
      <c r="Q233">
        <f t="shared" si="960"/>
        <v>6487649.183653228</v>
      </c>
      <c r="R233">
        <f t="shared" si="961"/>
        <v>40400473.531787351</v>
      </c>
      <c r="S233">
        <f t="shared" si="962"/>
        <v>404.0047353178735</v>
      </c>
      <c r="T233">
        <f t="shared" si="963"/>
        <v>0.40400473531787351</v>
      </c>
    </row>
    <row r="234" spans="1:20" x14ac:dyDescent="0.25">
      <c r="A234" s="5">
        <v>44359</v>
      </c>
      <c r="B234">
        <v>0.35289999999999999</v>
      </c>
      <c r="C234">
        <v>0.3664</v>
      </c>
      <c r="D234">
        <v>0.31659999999999999</v>
      </c>
      <c r="E234">
        <v>0.32640000000000002</v>
      </c>
      <c r="F234">
        <v>4243820.43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-0.60642570281124386</v>
      </c>
      <c r="Q234">
        <f t="shared" si="960"/>
        <v>-2573561.7868674649</v>
      </c>
      <c r="R234">
        <f t="shared" si="961"/>
        <v>33912824.348134123</v>
      </c>
      <c r="S234">
        <f t="shared" si="962"/>
        <v>339.1282434813412</v>
      </c>
      <c r="T234">
        <f t="shared" si="963"/>
        <v>0.33912824348134119</v>
      </c>
    </row>
    <row r="235" spans="1:20" x14ac:dyDescent="0.25">
      <c r="A235" s="5">
        <v>44358</v>
      </c>
      <c r="B235">
        <v>0.39229999999999998</v>
      </c>
      <c r="C235">
        <v>0.39510000000000001</v>
      </c>
      <c r="D235">
        <v>0.3503</v>
      </c>
      <c r="E235">
        <v>0.35460000000000003</v>
      </c>
      <c r="F235">
        <v>4576470.54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-0.80803571428571319</v>
      </c>
      <c r="Q235">
        <f t="shared" si="960"/>
        <v>-3697951.6416964238</v>
      </c>
      <c r="R235">
        <f t="shared" si="961"/>
        <v>36486386.135001585</v>
      </c>
      <c r="S235">
        <f t="shared" si="962"/>
        <v>364.86386135001584</v>
      </c>
      <c r="T235">
        <f t="shared" si="963"/>
        <v>0.36486386135001586</v>
      </c>
    </row>
    <row r="236" spans="1:20" x14ac:dyDescent="0.25">
      <c r="A236" s="5">
        <v>44357</v>
      </c>
      <c r="B236">
        <v>0.39329999999999998</v>
      </c>
      <c r="C236">
        <v>0.43149999999999999</v>
      </c>
      <c r="D236">
        <v>0.37769999999999998</v>
      </c>
      <c r="E236">
        <v>0.39400000000000002</v>
      </c>
      <c r="F236">
        <v>7357402.6100000003</v>
      </c>
      <c r="G236">
        <v>0</v>
      </c>
      <c r="L236" t="s">
        <v>8</v>
      </c>
      <c r="M236" t="s">
        <v>8</v>
      </c>
      <c r="N236" t="s">
        <v>7</v>
      </c>
      <c r="P236">
        <f t="shared" si="959"/>
        <v>-0.39405204460966425</v>
      </c>
      <c r="Q236">
        <f t="shared" si="960"/>
        <v>-2899199.5414869804</v>
      </c>
      <c r="R236">
        <f t="shared" si="961"/>
        <v>40184337.776698008</v>
      </c>
      <c r="S236">
        <f t="shared" si="962"/>
        <v>401.8433777669801</v>
      </c>
      <c r="T236">
        <f t="shared" si="963"/>
        <v>0.40184337776698009</v>
      </c>
    </row>
    <row r="237" spans="1:20" x14ac:dyDescent="0.25">
      <c r="A237" s="5">
        <v>44356</v>
      </c>
      <c r="B237">
        <v>0.376</v>
      </c>
      <c r="C237">
        <v>0.39329999999999998</v>
      </c>
      <c r="D237">
        <v>0.3503</v>
      </c>
      <c r="E237">
        <v>0.39329999999999998</v>
      </c>
      <c r="F237">
        <v>5315894.7699999996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1</v>
      </c>
      <c r="Q237">
        <f t="shared" si="960"/>
        <v>5315894.7699999996</v>
      </c>
      <c r="R237">
        <f t="shared" si="961"/>
        <v>43083537.318184987</v>
      </c>
      <c r="S237">
        <f t="shared" si="962"/>
        <v>430.83537318184989</v>
      </c>
      <c r="T237">
        <f t="shared" si="963"/>
        <v>0.43083537318184989</v>
      </c>
    </row>
    <row r="238" spans="1:20" x14ac:dyDescent="0.25">
      <c r="A238" s="5">
        <v>44355</v>
      </c>
      <c r="B238">
        <v>0.38690000000000002</v>
      </c>
      <c r="C238">
        <v>0.3931</v>
      </c>
      <c r="D238">
        <v>0.33229999999999998</v>
      </c>
      <c r="E238">
        <v>0.376</v>
      </c>
      <c r="F238">
        <v>4812303.2300000004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0.43750000000000006</v>
      </c>
      <c r="Q238">
        <f t="shared" si="960"/>
        <v>2105382.6631250004</v>
      </c>
      <c r="R238">
        <f t="shared" si="961"/>
        <v>37767642.548184991</v>
      </c>
      <c r="S238">
        <f t="shared" si="962"/>
        <v>377.67642548184989</v>
      </c>
      <c r="T238">
        <f t="shared" si="963"/>
        <v>0.37767642548184988</v>
      </c>
    </row>
    <row r="239" spans="1:20" x14ac:dyDescent="0.25">
      <c r="A239" s="5">
        <v>44354</v>
      </c>
      <c r="B239">
        <v>0.41889999999999999</v>
      </c>
      <c r="C239">
        <v>0.43669999999999998</v>
      </c>
      <c r="D239">
        <v>0.38250000000000001</v>
      </c>
      <c r="E239">
        <v>0.38800000000000001</v>
      </c>
      <c r="F239">
        <v>4913595.84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-0.79704797047970455</v>
      </c>
      <c r="Q239">
        <f t="shared" si="960"/>
        <v>-3916371.5920295189</v>
      </c>
      <c r="R239">
        <f t="shared" si="961"/>
        <v>35662259.88505999</v>
      </c>
      <c r="S239">
        <f t="shared" si="962"/>
        <v>356.6225988505999</v>
      </c>
      <c r="T239">
        <f t="shared" si="963"/>
        <v>0.35662259885059988</v>
      </c>
    </row>
    <row r="240" spans="1:20" x14ac:dyDescent="0.25">
      <c r="A240" s="5">
        <v>44353</v>
      </c>
      <c r="B240">
        <v>0.40839999999999999</v>
      </c>
      <c r="C240">
        <v>0.44</v>
      </c>
      <c r="D240">
        <v>0.40799999999999997</v>
      </c>
      <c r="E240">
        <v>0.41889999999999999</v>
      </c>
      <c r="F240">
        <v>4139070.91</v>
      </c>
      <c r="G240">
        <v>0</v>
      </c>
      <c r="L240" t="s">
        <v>8</v>
      </c>
      <c r="M240" t="s">
        <v>7</v>
      </c>
      <c r="N240" t="s">
        <v>7</v>
      </c>
      <c r="P240">
        <f t="shared" si="959"/>
        <v>-0.31874999999999931</v>
      </c>
      <c r="Q240">
        <f t="shared" si="960"/>
        <v>-1319328.8525624971</v>
      </c>
      <c r="R240">
        <f t="shared" si="961"/>
        <v>39578631.477089509</v>
      </c>
      <c r="S240">
        <f t="shared" si="962"/>
        <v>395.7863147708951</v>
      </c>
      <c r="T240">
        <f t="shared" si="963"/>
        <v>0.3957863147708951</v>
      </c>
    </row>
    <row r="241" spans="1:20" x14ac:dyDescent="0.25">
      <c r="A241" s="5">
        <v>44352</v>
      </c>
      <c r="B241">
        <v>0.42620000000000002</v>
      </c>
      <c r="C241">
        <v>0.43840000000000001</v>
      </c>
      <c r="D241">
        <v>0.4007</v>
      </c>
      <c r="E241">
        <v>0.40960000000000002</v>
      </c>
      <c r="F241">
        <v>2256201.0699999998</v>
      </c>
      <c r="G241">
        <v>0</v>
      </c>
      <c r="L241" t="s">
        <v>7</v>
      </c>
      <c r="M241" t="s">
        <v>7</v>
      </c>
      <c r="N241" t="s">
        <v>7</v>
      </c>
      <c r="P241">
        <f t="shared" si="959"/>
        <v>-0.52785145888594076</v>
      </c>
      <c r="Q241">
        <f t="shared" si="960"/>
        <v>-1190939.0263395205</v>
      </c>
      <c r="R241">
        <f t="shared" si="961"/>
        <v>40897960.329652004</v>
      </c>
      <c r="S241">
        <f t="shared" si="962"/>
        <v>408.97960329652005</v>
      </c>
      <c r="T241">
        <f t="shared" si="963"/>
        <v>0.40897960329652006</v>
      </c>
    </row>
    <row r="242" spans="1:20" x14ac:dyDescent="0.25">
      <c r="A242" s="5">
        <v>44351</v>
      </c>
      <c r="B242">
        <v>0.45429999999999998</v>
      </c>
      <c r="C242">
        <v>0.4844</v>
      </c>
      <c r="D242">
        <v>0.40379999999999999</v>
      </c>
      <c r="E242">
        <v>0.42449999999999999</v>
      </c>
      <c r="F242">
        <v>6974233.9699999997</v>
      </c>
      <c r="G242">
        <v>0</v>
      </c>
      <c r="L242" t="s">
        <v>8</v>
      </c>
      <c r="M242" t="s">
        <v>8</v>
      </c>
      <c r="N242" t="s">
        <v>7</v>
      </c>
      <c r="P242">
        <f t="shared" si="959"/>
        <v>-0.4863523573200994</v>
      </c>
      <c r="Q242">
        <f t="shared" si="960"/>
        <v>-3391935.1318114153</v>
      </c>
      <c r="R242">
        <f t="shared" si="961"/>
        <v>42088899.355991527</v>
      </c>
      <c r="S242">
        <f t="shared" si="962"/>
        <v>420.88899355991526</v>
      </c>
      <c r="T242">
        <f t="shared" si="963"/>
        <v>0.42088899355991527</v>
      </c>
    </row>
    <row r="243" spans="1:20" x14ac:dyDescent="0.25">
      <c r="A243" s="5">
        <v>44350</v>
      </c>
      <c r="B243">
        <v>0.43719999999999998</v>
      </c>
      <c r="C243">
        <v>0.45800000000000002</v>
      </c>
      <c r="D243">
        <v>0.42270000000000002</v>
      </c>
      <c r="E243">
        <v>0.45479999999999998</v>
      </c>
      <c r="F243">
        <v>2598936.92</v>
      </c>
      <c r="G243">
        <v>0</v>
      </c>
      <c r="L243" t="s">
        <v>8</v>
      </c>
      <c r="M243" t="s">
        <v>7</v>
      </c>
      <c r="N243" t="s">
        <v>7</v>
      </c>
      <c r="P243">
        <f t="shared" si="959"/>
        <v>0.81869688385268913</v>
      </c>
      <c r="Q243">
        <f t="shared" si="960"/>
        <v>2127741.5577337057</v>
      </c>
      <c r="R243">
        <f t="shared" si="961"/>
        <v>45480834.487802945</v>
      </c>
      <c r="S243">
        <f t="shared" si="962"/>
        <v>454.80834487802946</v>
      </c>
      <c r="T243">
        <f t="shared" si="963"/>
        <v>0.45480834487802946</v>
      </c>
    </row>
    <row r="244" spans="1:20" x14ac:dyDescent="0.25">
      <c r="A244" s="5">
        <v>44349</v>
      </c>
      <c r="B244">
        <v>0.42380000000000001</v>
      </c>
      <c r="C244">
        <v>0.44</v>
      </c>
      <c r="D244">
        <v>0.4108</v>
      </c>
      <c r="E244">
        <v>0.43759999999999999</v>
      </c>
      <c r="F244">
        <v>2980673.86</v>
      </c>
      <c r="G244">
        <v>0</v>
      </c>
      <c r="L244" t="s">
        <v>8</v>
      </c>
      <c r="M244" t="s">
        <v>7</v>
      </c>
      <c r="N244" t="s">
        <v>7</v>
      </c>
      <c r="P244">
        <f t="shared" si="959"/>
        <v>0.8356164383561635</v>
      </c>
      <c r="Q244">
        <f t="shared" si="960"/>
        <v>2490700.0747945178</v>
      </c>
      <c r="R244">
        <f t="shared" si="961"/>
        <v>43353092.930069238</v>
      </c>
      <c r="S244">
        <f t="shared" si="962"/>
        <v>433.53092930069238</v>
      </c>
      <c r="T244">
        <f t="shared" si="963"/>
        <v>0.43353092930069237</v>
      </c>
    </row>
    <row r="245" spans="1:20" x14ac:dyDescent="0.25">
      <c r="A245" s="5">
        <v>44348</v>
      </c>
      <c r="B245">
        <v>0.43519999999999998</v>
      </c>
      <c r="C245">
        <v>0.43519999999999998</v>
      </c>
      <c r="D245">
        <v>0.40939999999999999</v>
      </c>
      <c r="E245">
        <v>0.42280000000000001</v>
      </c>
      <c r="F245">
        <v>5450316.1600000001</v>
      </c>
      <c r="G245">
        <v>0</v>
      </c>
      <c r="L245" t="s">
        <v>7</v>
      </c>
      <c r="M245" t="s">
        <v>7</v>
      </c>
      <c r="N245" t="s">
        <v>7</v>
      </c>
      <c r="P245">
        <f t="shared" si="959"/>
        <v>3.8759689922482819E-2</v>
      </c>
      <c r="Q245">
        <f t="shared" si="960"/>
        <v>211252.56434109726</v>
      </c>
      <c r="R245">
        <f t="shared" si="961"/>
        <v>40862392.855274722</v>
      </c>
      <c r="S245">
        <f t="shared" si="962"/>
        <v>408.6239285527472</v>
      </c>
      <c r="T245">
        <f t="shared" si="963"/>
        <v>0.40862392855274721</v>
      </c>
    </row>
    <row r="246" spans="1:20" x14ac:dyDescent="0.25">
      <c r="A246" s="5">
        <v>44347</v>
      </c>
      <c r="B246">
        <v>0.4214</v>
      </c>
      <c r="C246">
        <v>0.43640000000000001</v>
      </c>
      <c r="D246">
        <v>0.39389999999999997</v>
      </c>
      <c r="E246">
        <v>0.43419999999999997</v>
      </c>
      <c r="F246">
        <v>3044272.55</v>
      </c>
      <c r="G246">
        <v>0</v>
      </c>
      <c r="L246" t="s">
        <v>8</v>
      </c>
      <c r="M246" t="s">
        <v>7</v>
      </c>
      <c r="N246" t="s">
        <v>7</v>
      </c>
      <c r="P246">
        <f t="shared" si="959"/>
        <v>0.89647058823529258</v>
      </c>
      <c r="Q246">
        <f t="shared" si="960"/>
        <v>2729100.8036470539</v>
      </c>
      <c r="R246">
        <f t="shared" si="961"/>
        <v>40651140.290933624</v>
      </c>
      <c r="S246">
        <f t="shared" si="962"/>
        <v>406.51140290933625</v>
      </c>
      <c r="T246">
        <f t="shared" si="963"/>
        <v>0.40651140290933624</v>
      </c>
    </row>
    <row r="247" spans="1:20" x14ac:dyDescent="0.25">
      <c r="A247" s="5">
        <v>44346</v>
      </c>
      <c r="B247">
        <v>0.4204</v>
      </c>
      <c r="C247">
        <v>0.42580000000000001</v>
      </c>
      <c r="D247">
        <v>0.3871</v>
      </c>
      <c r="E247">
        <v>0.42180000000000001</v>
      </c>
      <c r="F247">
        <v>4332486.16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0.79328165374676995</v>
      </c>
      <c r="Q247">
        <f t="shared" si="960"/>
        <v>3436881.7858397933</v>
      </c>
      <c r="R247">
        <f t="shared" si="961"/>
        <v>37922039.487286568</v>
      </c>
      <c r="S247">
        <f t="shared" si="962"/>
        <v>379.22039487286565</v>
      </c>
      <c r="T247">
        <f t="shared" si="963"/>
        <v>0.37922039487286563</v>
      </c>
    </row>
    <row r="248" spans="1:20" x14ac:dyDescent="0.25">
      <c r="A248" s="5">
        <v>44345</v>
      </c>
      <c r="B248">
        <v>0.45</v>
      </c>
      <c r="C248">
        <v>0.45</v>
      </c>
      <c r="D248">
        <v>0.40010000000000001</v>
      </c>
      <c r="E248">
        <v>0.42130000000000001</v>
      </c>
      <c r="F248">
        <v>3911482.56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-0.15030060120240493</v>
      </c>
      <c r="Q248">
        <f t="shared" si="960"/>
        <v>-587898.18036072189</v>
      </c>
      <c r="R248">
        <f t="shared" si="961"/>
        <v>34485157.701446772</v>
      </c>
      <c r="S248">
        <f t="shared" si="962"/>
        <v>344.85157701446769</v>
      </c>
      <c r="T248">
        <f t="shared" si="963"/>
        <v>0.34485157701446767</v>
      </c>
    </row>
    <row r="249" spans="1:20" x14ac:dyDescent="0.25">
      <c r="A249" s="5">
        <v>44344</v>
      </c>
      <c r="B249">
        <v>0.49109999999999998</v>
      </c>
      <c r="C249">
        <v>0.50929999999999997</v>
      </c>
      <c r="D249">
        <v>0.42830000000000001</v>
      </c>
      <c r="E249">
        <v>0.44890000000000002</v>
      </c>
      <c r="F249">
        <v>6374663.7800000003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-0.49135802469135759</v>
      </c>
      <c r="Q249">
        <f t="shared" si="960"/>
        <v>-3132242.203012343</v>
      </c>
      <c r="R249">
        <f t="shared" si="961"/>
        <v>35073055.881807491</v>
      </c>
      <c r="S249">
        <f t="shared" si="962"/>
        <v>350.73055881807494</v>
      </c>
      <c r="T249">
        <f t="shared" si="963"/>
        <v>0.35073055881807497</v>
      </c>
    </row>
    <row r="250" spans="1:20" x14ac:dyDescent="0.25">
      <c r="A250" s="5">
        <v>44343</v>
      </c>
      <c r="B250">
        <v>0.52370000000000005</v>
      </c>
      <c r="C250">
        <v>0.52390000000000003</v>
      </c>
      <c r="D250">
        <v>0.46850000000000003</v>
      </c>
      <c r="E250">
        <v>0.48970000000000002</v>
      </c>
      <c r="F250">
        <v>3636821.94</v>
      </c>
      <c r="G250">
        <v>0</v>
      </c>
      <c r="L250" t="s">
        <v>7</v>
      </c>
      <c r="M250" t="s">
        <v>7</v>
      </c>
      <c r="N250" t="s">
        <v>8</v>
      </c>
      <c r="P250">
        <f t="shared" si="959"/>
        <v>-0.23465703971119153</v>
      </c>
      <c r="Q250">
        <f t="shared" si="960"/>
        <v>-853405.87039711257</v>
      </c>
      <c r="R250">
        <f t="shared" si="961"/>
        <v>38205298.084819831</v>
      </c>
      <c r="S250">
        <f t="shared" si="962"/>
        <v>382.05298084819833</v>
      </c>
      <c r="T250">
        <f t="shared" si="963"/>
        <v>0.38205298084819833</v>
      </c>
    </row>
    <row r="251" spans="1:20" x14ac:dyDescent="0.25">
      <c r="A251" s="5">
        <v>44342</v>
      </c>
      <c r="B251">
        <v>0.51400000000000001</v>
      </c>
      <c r="C251">
        <v>0.53149999999999997</v>
      </c>
      <c r="D251">
        <v>0.4753</v>
      </c>
      <c r="E251">
        <v>0.52539999999999998</v>
      </c>
      <c r="F251">
        <v>8057512.2000000002</v>
      </c>
      <c r="G251">
        <v>0</v>
      </c>
      <c r="L251" t="s">
        <v>7</v>
      </c>
      <c r="M251" t="s">
        <v>7</v>
      </c>
      <c r="N251" t="s">
        <v>8</v>
      </c>
      <c r="P251">
        <f t="shared" si="959"/>
        <v>0.78291814946619231</v>
      </c>
      <c r="Q251">
        <f t="shared" si="960"/>
        <v>6308372.5409252681</v>
      </c>
      <c r="R251">
        <f t="shared" si="961"/>
        <v>39058703.955216944</v>
      </c>
      <c r="S251">
        <f t="shared" si="962"/>
        <v>390.58703955216941</v>
      </c>
      <c r="T251">
        <f t="shared" si="963"/>
        <v>0.39058703955216939</v>
      </c>
    </row>
    <row r="252" spans="1:20" x14ac:dyDescent="0.25">
      <c r="A252" s="5">
        <v>44341</v>
      </c>
      <c r="B252">
        <v>0.56489999999999996</v>
      </c>
      <c r="C252">
        <v>0.6381</v>
      </c>
      <c r="D252">
        <v>0.45150000000000001</v>
      </c>
      <c r="E252">
        <v>0.51200000000000001</v>
      </c>
      <c r="F252">
        <v>15292419.48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-0.35155412647374062</v>
      </c>
      <c r="Q252">
        <f t="shared" si="960"/>
        <v>-5376113.1719614146</v>
      </c>
      <c r="R252">
        <f t="shared" si="961"/>
        <v>32750331.414291676</v>
      </c>
      <c r="S252">
        <f t="shared" si="962"/>
        <v>327.50331414291674</v>
      </c>
      <c r="T252">
        <f t="shared" si="963"/>
        <v>0.32750331414291672</v>
      </c>
    </row>
    <row r="253" spans="1:20" x14ac:dyDescent="0.25">
      <c r="A253" s="5">
        <v>44340</v>
      </c>
      <c r="B253">
        <v>0.56589999999999996</v>
      </c>
      <c r="C253">
        <v>0.57730000000000004</v>
      </c>
      <c r="D253">
        <v>0.36909999999999998</v>
      </c>
      <c r="E253">
        <v>0.56789999999999996</v>
      </c>
      <c r="F253">
        <v>35515682.060000002</v>
      </c>
      <c r="G253">
        <v>0</v>
      </c>
      <c r="L253" t="s">
        <v>8</v>
      </c>
      <c r="M253" t="s">
        <v>8</v>
      </c>
      <c r="N253" t="s">
        <v>7</v>
      </c>
      <c r="P253">
        <f t="shared" si="959"/>
        <v>0.90970220941402424</v>
      </c>
      <c r="Q253">
        <f t="shared" si="960"/>
        <v>32308694.438828025</v>
      </c>
      <c r="R253">
        <f t="shared" si="961"/>
        <v>38126444.586253092</v>
      </c>
      <c r="S253">
        <f t="shared" si="962"/>
        <v>381.26444586253092</v>
      </c>
      <c r="T253">
        <f t="shared" si="963"/>
        <v>0.38126444586253094</v>
      </c>
    </row>
    <row r="254" spans="1:20" x14ac:dyDescent="0.25">
      <c r="A254" s="5">
        <v>44339</v>
      </c>
      <c r="B254">
        <v>0.42309999999999998</v>
      </c>
      <c r="C254">
        <v>0.59</v>
      </c>
      <c r="D254">
        <v>0.3125</v>
      </c>
      <c r="E254">
        <v>0.56399999999999995</v>
      </c>
      <c r="F254">
        <v>25959224.77</v>
      </c>
      <c r="G254">
        <v>0</v>
      </c>
      <c r="L254" t="s">
        <v>7</v>
      </c>
      <c r="M254" t="s">
        <v>7</v>
      </c>
      <c r="N254" t="s">
        <v>8</v>
      </c>
      <c r="P254">
        <f t="shared" si="959"/>
        <v>0.81261261261261242</v>
      </c>
      <c r="Q254">
        <f t="shared" si="960"/>
        <v>21094793.461747743</v>
      </c>
      <c r="R254">
        <f t="shared" si="961"/>
        <v>5817750.1474250648</v>
      </c>
      <c r="S254">
        <f t="shared" si="962"/>
        <v>58.177501474250647</v>
      </c>
      <c r="T254">
        <f t="shared" si="963"/>
        <v>5.8177501474250645E-2</v>
      </c>
    </row>
    <row r="255" spans="1:20" x14ac:dyDescent="0.25">
      <c r="A255" s="5">
        <v>44338</v>
      </c>
      <c r="B255">
        <v>0.43190000000000001</v>
      </c>
      <c r="C255">
        <v>0.46910000000000002</v>
      </c>
      <c r="D255">
        <v>0.3821</v>
      </c>
      <c r="E255">
        <v>0.4214</v>
      </c>
      <c r="F255">
        <v>10330278.07</v>
      </c>
      <c r="G255">
        <v>0</v>
      </c>
      <c r="L255" t="s">
        <v>7</v>
      </c>
      <c r="M255" t="s">
        <v>7</v>
      </c>
      <c r="N255" t="s">
        <v>8</v>
      </c>
      <c r="P255">
        <f t="shared" si="959"/>
        <v>-9.6551724137931227E-2</v>
      </c>
      <c r="Q255">
        <f t="shared" si="960"/>
        <v>-997406.15848276066</v>
      </c>
      <c r="R255">
        <f t="shared" si="961"/>
        <v>-15277043.314322678</v>
      </c>
      <c r="S255">
        <f t="shared" si="962"/>
        <v>-152.7704331432268</v>
      </c>
      <c r="T255">
        <f t="shared" si="963"/>
        <v>-0.1527704331432268</v>
      </c>
    </row>
    <row r="256" spans="1:20" x14ac:dyDescent="0.25">
      <c r="A256" s="5">
        <v>44337</v>
      </c>
      <c r="B256">
        <v>0.41589999999999999</v>
      </c>
      <c r="C256">
        <v>0.5</v>
      </c>
      <c r="D256">
        <v>0.35589999999999999</v>
      </c>
      <c r="E256">
        <v>0.43</v>
      </c>
      <c r="F256">
        <v>20165832.949999999</v>
      </c>
      <c r="G256">
        <v>0</v>
      </c>
      <c r="L256" t="s">
        <v>8</v>
      </c>
      <c r="M256" t="s">
        <v>8</v>
      </c>
      <c r="N256" t="s">
        <v>8</v>
      </c>
      <c r="P256">
        <f t="shared" si="959"/>
        <v>2.8452463566967331E-2</v>
      </c>
      <c r="Q256">
        <f t="shared" si="960"/>
        <v>573767.62730742432</v>
      </c>
      <c r="R256">
        <f t="shared" si="961"/>
        <v>-14279637.155839918</v>
      </c>
      <c r="S256">
        <f t="shared" si="962"/>
        <v>-142.79637155839919</v>
      </c>
      <c r="T256">
        <f t="shared" si="963"/>
        <v>-0.14279637155839919</v>
      </c>
    </row>
    <row r="257" spans="1:20" x14ac:dyDescent="0.25">
      <c r="A257" s="5">
        <v>44336</v>
      </c>
      <c r="B257">
        <v>0.35730000000000001</v>
      </c>
      <c r="C257">
        <v>0.4229</v>
      </c>
      <c r="D257">
        <v>0.35020000000000001</v>
      </c>
      <c r="E257">
        <v>0.41499999999999998</v>
      </c>
      <c r="F257">
        <v>8801588.0299999993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0.7826685006877574</v>
      </c>
      <c r="Q257">
        <f t="shared" si="960"/>
        <v>6888725.7071114117</v>
      </c>
      <c r="R257">
        <f t="shared" si="961"/>
        <v>-14853404.783147343</v>
      </c>
      <c r="S257">
        <f t="shared" si="962"/>
        <v>-148.53404783147343</v>
      </c>
      <c r="T257">
        <f t="shared" si="963"/>
        <v>-0.14853404783147342</v>
      </c>
    </row>
    <row r="258" spans="1:20" x14ac:dyDescent="0.25">
      <c r="A258" s="5">
        <v>44335</v>
      </c>
      <c r="B258">
        <v>0.48730000000000001</v>
      </c>
      <c r="C258">
        <v>0.49370000000000003</v>
      </c>
      <c r="D258">
        <v>0.27179999999999999</v>
      </c>
      <c r="E258">
        <v>0.34870000000000001</v>
      </c>
      <c r="F258">
        <v>11533541.609999999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-0.30689499774673268</v>
      </c>
      <c r="Q258">
        <f t="shared" si="960"/>
        <v>-3539586.2264127973</v>
      </c>
      <c r="R258">
        <f t="shared" si="961"/>
        <v>-21742130.490258753</v>
      </c>
      <c r="S258">
        <f t="shared" si="962"/>
        <v>-217.42130490258754</v>
      </c>
      <c r="T258">
        <f t="shared" si="963"/>
        <v>-0.21742130490258754</v>
      </c>
    </row>
    <row r="259" spans="1:20" x14ac:dyDescent="0.25">
      <c r="A259" s="5">
        <v>44334</v>
      </c>
      <c r="B259">
        <v>0.48010000000000003</v>
      </c>
      <c r="C259">
        <v>0.51100000000000001</v>
      </c>
      <c r="D259">
        <v>0.46360000000000001</v>
      </c>
      <c r="E259">
        <v>0.4874</v>
      </c>
      <c r="F259">
        <v>7001227.6699999999</v>
      </c>
      <c r="G259">
        <v>0</v>
      </c>
      <c r="L259" t="s">
        <v>7</v>
      </c>
      <c r="M259" t="s">
        <v>8</v>
      </c>
      <c r="N259" t="s">
        <v>7</v>
      </c>
      <c r="P259">
        <f t="shared" si="959"/>
        <v>4.2194092826999575E-3</v>
      </c>
      <c r="Q259">
        <f t="shared" si="960"/>
        <v>29541.045021093796</v>
      </c>
      <c r="R259">
        <f t="shared" si="961"/>
        <v>-18202544.263845954</v>
      </c>
      <c r="S259">
        <f t="shared" si="962"/>
        <v>-182.02544263845954</v>
      </c>
      <c r="T259">
        <f t="shared" si="963"/>
        <v>-0.18202544263845954</v>
      </c>
    </row>
    <row r="260" spans="1:20" x14ac:dyDescent="0.25">
      <c r="A260" s="5">
        <v>44333</v>
      </c>
      <c r="B260">
        <v>0.4698</v>
      </c>
      <c r="C260">
        <v>0.55000000000000004</v>
      </c>
      <c r="D260">
        <v>0.44109999999999999</v>
      </c>
      <c r="E260">
        <v>0.47989999999999999</v>
      </c>
      <c r="F260">
        <v>18287170</v>
      </c>
      <c r="G260">
        <v>0</v>
      </c>
      <c r="L260" t="s">
        <v>8</v>
      </c>
      <c r="M260" t="s">
        <v>8</v>
      </c>
      <c r="N260" t="s">
        <v>7</v>
      </c>
      <c r="P260">
        <f t="shared" si="959"/>
        <v>-0.28741965105601502</v>
      </c>
      <c r="Q260">
        <f t="shared" si="960"/>
        <v>-5256092.0202020267</v>
      </c>
      <c r="R260">
        <f t="shared" si="961"/>
        <v>-18232085.308867048</v>
      </c>
      <c r="S260">
        <f t="shared" si="962"/>
        <v>-182.32085308867048</v>
      </c>
      <c r="T260">
        <f t="shared" si="963"/>
        <v>-0.18232085308867046</v>
      </c>
    </row>
    <row r="261" spans="1:20" x14ac:dyDescent="0.25">
      <c r="A261" s="5">
        <v>44332</v>
      </c>
      <c r="B261">
        <v>0.48039999999999999</v>
      </c>
      <c r="C261">
        <v>0.50109999999999999</v>
      </c>
      <c r="D261">
        <v>0.438</v>
      </c>
      <c r="E261">
        <v>0.47</v>
      </c>
      <c r="F261">
        <v>4286517.0999999996</v>
      </c>
      <c r="G261">
        <v>0</v>
      </c>
      <c r="L261" t="s">
        <v>7</v>
      </c>
      <c r="M261" t="s">
        <v>8</v>
      </c>
      <c r="N261" t="s">
        <v>7</v>
      </c>
      <c r="P261">
        <f t="shared" si="959"/>
        <v>1.4263074484943844E-2</v>
      </c>
      <c r="Q261">
        <f t="shared" si="960"/>
        <v>61138.912678285473</v>
      </c>
      <c r="R261">
        <f t="shared" si="961"/>
        <v>-12975993.288665021</v>
      </c>
      <c r="S261">
        <f t="shared" si="962"/>
        <v>-129.7599328866502</v>
      </c>
      <c r="T261">
        <f t="shared" si="963"/>
        <v>-0.12975993288665019</v>
      </c>
    </row>
    <row r="262" spans="1:20" x14ac:dyDescent="0.25">
      <c r="A262" s="5">
        <v>44331</v>
      </c>
      <c r="B262">
        <v>0.49149999999999999</v>
      </c>
      <c r="C262">
        <v>0.51119999999999999</v>
      </c>
      <c r="D262">
        <v>0.46</v>
      </c>
      <c r="E262">
        <v>0.47839999999999999</v>
      </c>
      <c r="F262">
        <v>5384398.1699999999</v>
      </c>
      <c r="G262">
        <v>0</v>
      </c>
      <c r="L262" t="s">
        <v>8</v>
      </c>
      <c r="M262" t="s">
        <v>8</v>
      </c>
      <c r="N262" t="s">
        <v>7</v>
      </c>
      <c r="P262">
        <f t="shared" ref="P262:P325" si="964">IF(C262=D262,0,((E262-D262)-(C262-E262))/(C262-D262))</f>
        <v>-0.28125000000000067</v>
      </c>
      <c r="Q262">
        <f t="shared" ref="Q262:Q325" si="965">F262*P262</f>
        <v>-1514361.9853125035</v>
      </c>
      <c r="R262">
        <f t="shared" ref="R262:R325" si="966">R263+Q262</f>
        <v>-13037132.201343305</v>
      </c>
      <c r="S262">
        <f t="shared" ref="S262:S325" si="967">R262/100000</f>
        <v>-130.37132201343306</v>
      </c>
      <c r="T262">
        <f t="shared" ref="T262:T325" si="968">S262/1000</f>
        <v>-0.13037132201343307</v>
      </c>
    </row>
    <row r="263" spans="1:20" x14ac:dyDescent="0.25">
      <c r="A263" s="5">
        <v>44330</v>
      </c>
      <c r="B263">
        <v>0.4829</v>
      </c>
      <c r="C263">
        <v>0.5</v>
      </c>
      <c r="D263">
        <v>0.4587</v>
      </c>
      <c r="E263">
        <v>0.49409999999999998</v>
      </c>
      <c r="F263">
        <v>6753927.7999999998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0.71428571428571352</v>
      </c>
      <c r="Q263">
        <f t="shared" si="965"/>
        <v>4824234.1428571371</v>
      </c>
      <c r="R263">
        <f t="shared" si="966"/>
        <v>-11522770.216030803</v>
      </c>
      <c r="S263">
        <f t="shared" si="967"/>
        <v>-115.22770216030803</v>
      </c>
      <c r="T263">
        <f t="shared" si="968"/>
        <v>-0.11522770216030803</v>
      </c>
    </row>
    <row r="264" spans="1:20" x14ac:dyDescent="0.25">
      <c r="A264" s="5">
        <v>44329</v>
      </c>
      <c r="B264">
        <v>0.45390000000000003</v>
      </c>
      <c r="C264">
        <v>0.59599999999999997</v>
      </c>
      <c r="D264">
        <v>0.43030000000000002</v>
      </c>
      <c r="E264">
        <v>0.48080000000000001</v>
      </c>
      <c r="F264">
        <v>20597656.940000001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-0.39046469523234761</v>
      </c>
      <c r="Q264">
        <f t="shared" si="965"/>
        <v>-8042657.8395775501</v>
      </c>
      <c r="R264">
        <f t="shared" si="966"/>
        <v>-16347004.358887939</v>
      </c>
      <c r="S264">
        <f t="shared" si="967"/>
        <v>-163.47004358887938</v>
      </c>
      <c r="T264">
        <f t="shared" si="968"/>
        <v>-0.16347004358887937</v>
      </c>
    </row>
    <row r="265" spans="1:20" x14ac:dyDescent="0.25">
      <c r="A265" s="5">
        <v>44328</v>
      </c>
      <c r="B265">
        <v>0.55030000000000001</v>
      </c>
      <c r="C265">
        <v>0.59809999999999997</v>
      </c>
      <c r="D265">
        <v>0.4486</v>
      </c>
      <c r="E265">
        <v>0.44940000000000002</v>
      </c>
      <c r="F265">
        <v>10050600.210000001</v>
      </c>
      <c r="G265">
        <v>0</v>
      </c>
      <c r="L265" t="s">
        <v>8</v>
      </c>
      <c r="M265" t="s">
        <v>7</v>
      </c>
      <c r="N265" t="s">
        <v>7</v>
      </c>
      <c r="P265">
        <f t="shared" si="964"/>
        <v>-0.98929765886287591</v>
      </c>
      <c r="Q265">
        <f t="shared" si="965"/>
        <v>-9943035.2579197306</v>
      </c>
      <c r="R265">
        <f t="shared" si="966"/>
        <v>-8304346.5193103887</v>
      </c>
      <c r="S265">
        <f t="shared" si="967"/>
        <v>-83.043465193103884</v>
      </c>
      <c r="T265">
        <f t="shared" si="968"/>
        <v>-8.3043465193103891E-2</v>
      </c>
    </row>
    <row r="266" spans="1:20" x14ac:dyDescent="0.25">
      <c r="A266" s="5">
        <v>44327</v>
      </c>
      <c r="B266">
        <v>0.50660000000000005</v>
      </c>
      <c r="C266">
        <v>0.56120000000000003</v>
      </c>
      <c r="D266">
        <v>0.4914</v>
      </c>
      <c r="E266">
        <v>0.54990000000000006</v>
      </c>
      <c r="F266">
        <v>7340864.4400000004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0.6762177650429807</v>
      </c>
      <c r="Q266">
        <f t="shared" si="965"/>
        <v>4964022.9451002926</v>
      </c>
      <c r="R266">
        <f t="shared" si="966"/>
        <v>1638688.7386093419</v>
      </c>
      <c r="S266">
        <f t="shared" si="967"/>
        <v>16.38688738609342</v>
      </c>
      <c r="T266">
        <f t="shared" si="968"/>
        <v>1.638688738609342E-2</v>
      </c>
    </row>
    <row r="267" spans="1:20" x14ac:dyDescent="0.25">
      <c r="A267" s="5">
        <v>44326</v>
      </c>
      <c r="B267">
        <v>0.56399999999999995</v>
      </c>
      <c r="C267">
        <v>0.5736</v>
      </c>
      <c r="D267">
        <v>0.5</v>
      </c>
      <c r="E267">
        <v>0.50819999999999999</v>
      </c>
      <c r="F267">
        <v>6439094.1799999997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-0.77717391304347871</v>
      </c>
      <c r="Q267">
        <f t="shared" si="965"/>
        <v>-5004296.02032609</v>
      </c>
      <c r="R267">
        <f t="shared" si="966"/>
        <v>-3325334.2064909507</v>
      </c>
      <c r="S267">
        <f t="shared" si="967"/>
        <v>-33.253342064909504</v>
      </c>
      <c r="T267">
        <f t="shared" si="968"/>
        <v>-3.3253342064909507E-2</v>
      </c>
    </row>
    <row r="268" spans="1:20" x14ac:dyDescent="0.25">
      <c r="A268" s="5">
        <v>44325</v>
      </c>
      <c r="B268">
        <v>0.58789999999999998</v>
      </c>
      <c r="C268">
        <v>0.58960000000000001</v>
      </c>
      <c r="D268">
        <v>0.52569999999999995</v>
      </c>
      <c r="E268">
        <v>0.56389999999999996</v>
      </c>
      <c r="F268">
        <v>6083199.0099999998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0.19561815336463134</v>
      </c>
      <c r="Q268">
        <f t="shared" si="965"/>
        <v>1189984.1568857536</v>
      </c>
      <c r="R268">
        <f t="shared" si="966"/>
        <v>1678961.8138351392</v>
      </c>
      <c r="S268">
        <f t="shared" si="967"/>
        <v>16.78961813835139</v>
      </c>
      <c r="T268">
        <f t="shared" si="968"/>
        <v>1.6789618138351389E-2</v>
      </c>
    </row>
    <row r="269" spans="1:20" x14ac:dyDescent="0.25">
      <c r="A269" s="5">
        <v>44324</v>
      </c>
      <c r="B269">
        <v>0.57730000000000004</v>
      </c>
      <c r="C269">
        <v>0.62670000000000003</v>
      </c>
      <c r="D269">
        <v>0.56720000000000004</v>
      </c>
      <c r="E269">
        <v>0.58789999999999998</v>
      </c>
      <c r="F269">
        <v>11753094.619999999</v>
      </c>
      <c r="G269">
        <v>0</v>
      </c>
      <c r="L269" t="s">
        <v>8</v>
      </c>
      <c r="M269" t="s">
        <v>8</v>
      </c>
      <c r="N269" t="s">
        <v>7</v>
      </c>
      <c r="P269">
        <f t="shared" si="964"/>
        <v>-0.30420168067227088</v>
      </c>
      <c r="Q269">
        <f t="shared" si="965"/>
        <v>-3575311.1365042245</v>
      </c>
      <c r="R269">
        <f t="shared" si="966"/>
        <v>488977.65694938553</v>
      </c>
      <c r="S269">
        <f t="shared" si="967"/>
        <v>4.8897765694938551</v>
      </c>
      <c r="T269">
        <f t="shared" si="968"/>
        <v>4.889776569493855E-3</v>
      </c>
    </row>
    <row r="270" spans="1:20" x14ac:dyDescent="0.25">
      <c r="A270" s="5">
        <v>44323</v>
      </c>
      <c r="B270">
        <v>0.57499999999999996</v>
      </c>
      <c r="C270">
        <v>0.6149</v>
      </c>
      <c r="D270">
        <v>0.52780000000000005</v>
      </c>
      <c r="E270">
        <v>0.57879999999999998</v>
      </c>
      <c r="F270">
        <v>11325921.060000001</v>
      </c>
      <c r="G270">
        <v>0</v>
      </c>
      <c r="L270" t="s">
        <v>7</v>
      </c>
      <c r="M270" t="s">
        <v>7</v>
      </c>
      <c r="N270" t="s">
        <v>7</v>
      </c>
      <c r="P270">
        <f t="shared" si="964"/>
        <v>0.17106773823191643</v>
      </c>
      <c r="Q270">
        <f t="shared" si="965"/>
        <v>1937499.6991274296</v>
      </c>
      <c r="R270">
        <f t="shared" si="966"/>
        <v>4064288.79345361</v>
      </c>
      <c r="S270">
        <f t="shared" si="967"/>
        <v>40.642887934536098</v>
      </c>
      <c r="T270">
        <f t="shared" si="968"/>
        <v>4.0642887934536097E-2</v>
      </c>
    </row>
    <row r="271" spans="1:20" x14ac:dyDescent="0.25">
      <c r="A271" s="5">
        <v>44322</v>
      </c>
      <c r="B271">
        <v>0.61360000000000003</v>
      </c>
      <c r="C271">
        <v>0.61450000000000005</v>
      </c>
      <c r="D271">
        <v>0.55740000000000001</v>
      </c>
      <c r="E271">
        <v>0.57340000000000002</v>
      </c>
      <c r="F271">
        <v>9874306.2200000007</v>
      </c>
      <c r="G271">
        <v>0</v>
      </c>
      <c r="L271" t="s">
        <v>8</v>
      </c>
      <c r="M271" t="s">
        <v>7</v>
      </c>
      <c r="N271" t="s">
        <v>7</v>
      </c>
      <c r="P271">
        <f t="shared" si="964"/>
        <v>-0.43957968476357256</v>
      </c>
      <c r="Q271">
        <f t="shared" si="965"/>
        <v>-4340544.4154465841</v>
      </c>
      <c r="R271">
        <f t="shared" si="966"/>
        <v>2126789.0943261804</v>
      </c>
      <c r="S271">
        <f t="shared" si="967"/>
        <v>21.267890943261804</v>
      </c>
      <c r="T271">
        <f t="shared" si="968"/>
        <v>2.1267890943261803E-2</v>
      </c>
    </row>
    <row r="272" spans="1:20" x14ac:dyDescent="0.25">
      <c r="A272" s="5">
        <v>44321</v>
      </c>
      <c r="B272">
        <v>0.57599999999999996</v>
      </c>
      <c r="C272">
        <v>0.6149</v>
      </c>
      <c r="D272">
        <v>0.55500000000000005</v>
      </c>
      <c r="E272">
        <v>0.6149</v>
      </c>
      <c r="F272">
        <v>11250507.33</v>
      </c>
      <c r="G272">
        <v>0</v>
      </c>
      <c r="L272" t="s">
        <v>7</v>
      </c>
      <c r="M272" t="s">
        <v>7</v>
      </c>
      <c r="N272" t="s">
        <v>7</v>
      </c>
      <c r="P272">
        <f t="shared" si="964"/>
        <v>1</v>
      </c>
      <c r="Q272">
        <f t="shared" si="965"/>
        <v>11250507.33</v>
      </c>
      <c r="R272">
        <f t="shared" si="966"/>
        <v>6467333.5097727645</v>
      </c>
      <c r="S272">
        <f t="shared" si="967"/>
        <v>64.673335097727644</v>
      </c>
      <c r="T272">
        <f t="shared" si="968"/>
        <v>6.4673335097727644E-2</v>
      </c>
    </row>
    <row r="273" spans="1:20" x14ac:dyDescent="0.25">
      <c r="A273" s="5">
        <v>44320</v>
      </c>
      <c r="B273">
        <v>0.66410000000000002</v>
      </c>
      <c r="C273">
        <v>0.66410000000000002</v>
      </c>
      <c r="D273">
        <v>0.56779999999999997</v>
      </c>
      <c r="E273">
        <v>0.5786</v>
      </c>
      <c r="F273">
        <v>14780193.42</v>
      </c>
      <c r="G273">
        <v>0</v>
      </c>
      <c r="L273" t="s">
        <v>7</v>
      </c>
      <c r="M273" t="s">
        <v>7</v>
      </c>
      <c r="N273" t="s">
        <v>7</v>
      </c>
      <c r="P273">
        <f t="shared" si="964"/>
        <v>-0.77570093457943867</v>
      </c>
      <c r="Q273">
        <f t="shared" si="965"/>
        <v>-11465009.84915887</v>
      </c>
      <c r="R273">
        <f t="shared" si="966"/>
        <v>-4783173.8202272356</v>
      </c>
      <c r="S273">
        <f t="shared" si="967"/>
        <v>-47.831738202272355</v>
      </c>
      <c r="T273">
        <f t="shared" si="968"/>
        <v>-4.7831738202272357E-2</v>
      </c>
    </row>
    <row r="274" spans="1:20" x14ac:dyDescent="0.25">
      <c r="A274" s="5">
        <v>44319</v>
      </c>
      <c r="B274">
        <v>0.63029999999999997</v>
      </c>
      <c r="C274">
        <v>0.69410000000000005</v>
      </c>
      <c r="D274">
        <v>0.61899999999999999</v>
      </c>
      <c r="E274">
        <v>0.66420000000000001</v>
      </c>
      <c r="F274">
        <v>25933636.969999999</v>
      </c>
      <c r="G274">
        <v>0</v>
      </c>
      <c r="L274" t="s">
        <v>8</v>
      </c>
      <c r="M274" t="s">
        <v>7</v>
      </c>
      <c r="N274" t="s">
        <v>7</v>
      </c>
      <c r="P274">
        <f t="shared" si="964"/>
        <v>0.20372836218375459</v>
      </c>
      <c r="Q274">
        <f t="shared" si="965"/>
        <v>5283417.3853661679</v>
      </c>
      <c r="R274">
        <f t="shared" si="966"/>
        <v>6681836.0289316345</v>
      </c>
      <c r="S274">
        <f t="shared" si="967"/>
        <v>66.818360289316345</v>
      </c>
      <c r="T274">
        <f t="shared" si="968"/>
        <v>6.6818360289316342E-2</v>
      </c>
    </row>
    <row r="275" spans="1:20" x14ac:dyDescent="0.25">
      <c r="A275" s="5">
        <v>44318</v>
      </c>
      <c r="B275">
        <v>0.65329999999999999</v>
      </c>
      <c r="C275">
        <v>0.65480000000000005</v>
      </c>
      <c r="D275">
        <v>0.60899999999999999</v>
      </c>
      <c r="E275">
        <v>0.62949999999999995</v>
      </c>
      <c r="F275">
        <v>5694269.0800000001</v>
      </c>
      <c r="G275">
        <v>0</v>
      </c>
      <c r="L275" t="s">
        <v>7</v>
      </c>
      <c r="M275" t="s">
        <v>7</v>
      </c>
      <c r="N275" t="s">
        <v>7</v>
      </c>
      <c r="P275">
        <f t="shared" si="964"/>
        <v>-0.10480349344978451</v>
      </c>
      <c r="Q275">
        <f t="shared" si="965"/>
        <v>-596779.29222709045</v>
      </c>
      <c r="R275">
        <f t="shared" si="966"/>
        <v>1398418.6435654662</v>
      </c>
      <c r="S275">
        <f t="shared" si="967"/>
        <v>13.984186435654662</v>
      </c>
      <c r="T275">
        <f t="shared" si="968"/>
        <v>1.3984186435654663E-2</v>
      </c>
    </row>
    <row r="276" spans="1:20" x14ac:dyDescent="0.25">
      <c r="A276" s="5">
        <v>44317</v>
      </c>
      <c r="B276">
        <v>0.65510000000000002</v>
      </c>
      <c r="C276">
        <v>0.69</v>
      </c>
      <c r="D276">
        <v>0.61380000000000001</v>
      </c>
      <c r="E276">
        <v>0.65469999999999995</v>
      </c>
      <c r="F276">
        <v>11640090.119999999</v>
      </c>
      <c r="G276">
        <v>0</v>
      </c>
      <c r="L276" t="s">
        <v>8</v>
      </c>
      <c r="M276" t="s">
        <v>7</v>
      </c>
      <c r="N276" t="s">
        <v>7</v>
      </c>
      <c r="P276">
        <f t="shared" si="964"/>
        <v>7.3490813648293213E-2</v>
      </c>
      <c r="Q276">
        <f t="shared" si="965"/>
        <v>855439.69385825889</v>
      </c>
      <c r="R276">
        <f t="shared" si="966"/>
        <v>1995197.9357925565</v>
      </c>
      <c r="S276">
        <f t="shared" si="967"/>
        <v>19.951979357925566</v>
      </c>
      <c r="T276">
        <f t="shared" si="968"/>
        <v>1.9951979357925566E-2</v>
      </c>
    </row>
    <row r="277" spans="1:20" x14ac:dyDescent="0.25">
      <c r="A277" s="5">
        <v>44316</v>
      </c>
      <c r="B277">
        <v>0.63560000000000005</v>
      </c>
      <c r="C277">
        <v>0.68500000000000005</v>
      </c>
      <c r="D277">
        <v>0.61480000000000001</v>
      </c>
      <c r="E277">
        <v>0.65600000000000003</v>
      </c>
      <c r="F277">
        <v>11686699.5</v>
      </c>
      <c r="G277">
        <v>0</v>
      </c>
      <c r="L277" t="s">
        <v>8</v>
      </c>
      <c r="M277" t="s">
        <v>7</v>
      </c>
      <c r="N277" t="s">
        <v>7</v>
      </c>
      <c r="P277">
        <f t="shared" si="964"/>
        <v>0.17378917378917352</v>
      </c>
      <c r="Q277">
        <f t="shared" si="965"/>
        <v>2031021.8504273472</v>
      </c>
      <c r="R277">
        <f t="shared" si="966"/>
        <v>1139758.2419342976</v>
      </c>
      <c r="S277">
        <f t="shared" si="967"/>
        <v>11.397582419342976</v>
      </c>
      <c r="T277">
        <f t="shared" si="968"/>
        <v>1.1397582419342977E-2</v>
      </c>
    </row>
    <row r="278" spans="1:20" x14ac:dyDescent="0.25">
      <c r="A278" s="5">
        <v>44315</v>
      </c>
      <c r="B278">
        <v>0.67549999999999999</v>
      </c>
      <c r="C278">
        <v>0.67679999999999996</v>
      </c>
      <c r="D278">
        <v>0.60640000000000005</v>
      </c>
      <c r="E278">
        <v>0.63500000000000001</v>
      </c>
      <c r="F278">
        <v>8944958.8599999994</v>
      </c>
      <c r="G278">
        <v>0</v>
      </c>
      <c r="L278" t="s">
        <v>7</v>
      </c>
      <c r="M278" t="s">
        <v>7</v>
      </c>
      <c r="N278" t="s">
        <v>7</v>
      </c>
      <c r="P278">
        <f t="shared" si="964"/>
        <v>-0.18750000000000011</v>
      </c>
      <c r="Q278">
        <f t="shared" si="965"/>
        <v>-1677179.7862500008</v>
      </c>
      <c r="R278">
        <f t="shared" si="966"/>
        <v>-891263.60849304963</v>
      </c>
      <c r="S278">
        <f t="shared" si="967"/>
        <v>-8.9126360849304955</v>
      </c>
      <c r="T278">
        <f t="shared" si="968"/>
        <v>-8.9126360849304948E-3</v>
      </c>
    </row>
    <row r="279" spans="1:20" x14ac:dyDescent="0.25">
      <c r="A279" s="5">
        <v>44314</v>
      </c>
      <c r="B279">
        <v>0.72050000000000003</v>
      </c>
      <c r="C279">
        <v>0.72360000000000002</v>
      </c>
      <c r="D279">
        <v>0.61450000000000005</v>
      </c>
      <c r="E279">
        <v>0.67679999999999996</v>
      </c>
      <c r="F279">
        <v>16020134.710000001</v>
      </c>
      <c r="G279">
        <v>0</v>
      </c>
      <c r="L279" t="s">
        <v>7</v>
      </c>
      <c r="M279" t="s">
        <v>7</v>
      </c>
      <c r="N279" t="s">
        <v>7</v>
      </c>
      <c r="P279">
        <f t="shared" si="964"/>
        <v>0.14207149404216179</v>
      </c>
      <c r="Q279">
        <f t="shared" si="965"/>
        <v>2276004.4730063947</v>
      </c>
      <c r="R279">
        <f t="shared" si="966"/>
        <v>785916.17775695119</v>
      </c>
      <c r="S279">
        <f t="shared" si="967"/>
        <v>7.8591617775695122</v>
      </c>
      <c r="T279">
        <f t="shared" si="968"/>
        <v>7.8591617775695122E-3</v>
      </c>
    </row>
    <row r="280" spans="1:20" x14ac:dyDescent="0.25">
      <c r="A280" s="5">
        <v>44313</v>
      </c>
      <c r="B280">
        <v>0.53480000000000005</v>
      </c>
      <c r="C280">
        <v>0.83199999999999996</v>
      </c>
      <c r="D280">
        <v>0.53339999999999999</v>
      </c>
      <c r="E280">
        <v>0.72030000000000005</v>
      </c>
      <c r="F280">
        <v>93035903.180000007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0.25184192900200991</v>
      </c>
      <c r="Q280">
        <f t="shared" si="965"/>
        <v>23430341.323295429</v>
      </c>
      <c r="R280">
        <f t="shared" si="966"/>
        <v>-1490088.2952494435</v>
      </c>
      <c r="S280">
        <f t="shared" si="967"/>
        <v>-14.900882952494435</v>
      </c>
      <c r="T280">
        <f t="shared" si="968"/>
        <v>-1.4900882952494435E-2</v>
      </c>
    </row>
    <row r="281" spans="1:20" x14ac:dyDescent="0.25">
      <c r="A281" s="5">
        <v>44312</v>
      </c>
      <c r="B281">
        <v>0.44700000000000001</v>
      </c>
      <c r="C281">
        <v>0.5837</v>
      </c>
      <c r="D281">
        <v>0.42949999999999999</v>
      </c>
      <c r="E281">
        <v>0.53500000000000003</v>
      </c>
      <c r="F281">
        <v>19830264.530000001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0.36835278858625209</v>
      </c>
      <c r="Q281">
        <f t="shared" si="965"/>
        <v>7304533.238028544</v>
      </c>
      <c r="R281">
        <f t="shared" si="966"/>
        <v>-24920429.618544873</v>
      </c>
      <c r="S281">
        <f t="shared" si="967"/>
        <v>-249.20429618544873</v>
      </c>
      <c r="T281">
        <f t="shared" si="968"/>
        <v>-0.24920429618544873</v>
      </c>
    </row>
    <row r="282" spans="1:20" x14ac:dyDescent="0.25">
      <c r="A282" s="5">
        <v>44311</v>
      </c>
      <c r="B282">
        <v>0.43519999999999998</v>
      </c>
      <c r="C282">
        <v>0.47760000000000002</v>
      </c>
      <c r="D282">
        <v>0.40029999999999999</v>
      </c>
      <c r="E282">
        <v>0.44629999999999997</v>
      </c>
      <c r="F282">
        <v>6625415.1299999999</v>
      </c>
      <c r="G282">
        <v>0</v>
      </c>
      <c r="L282" t="s">
        <v>7</v>
      </c>
      <c r="M282" t="s">
        <v>8</v>
      </c>
      <c r="N282" t="s">
        <v>7</v>
      </c>
      <c r="P282">
        <f t="shared" si="964"/>
        <v>0.19016817593790333</v>
      </c>
      <c r="Q282">
        <f t="shared" si="965"/>
        <v>1259943.1101034866</v>
      </c>
      <c r="R282">
        <f t="shared" si="966"/>
        <v>-32224962.856573418</v>
      </c>
      <c r="S282">
        <f t="shared" si="967"/>
        <v>-322.24962856573416</v>
      </c>
      <c r="T282">
        <f t="shared" si="968"/>
        <v>-0.32224962856573414</v>
      </c>
    </row>
    <row r="283" spans="1:20" x14ac:dyDescent="0.25">
      <c r="A283" s="5">
        <v>44310</v>
      </c>
      <c r="B283">
        <v>0.45829999999999999</v>
      </c>
      <c r="C283">
        <v>0.47539999999999999</v>
      </c>
      <c r="D283">
        <v>0.41360000000000002</v>
      </c>
      <c r="E283">
        <v>0.43740000000000001</v>
      </c>
      <c r="F283">
        <v>9842302.6300000008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-0.22977346278317148</v>
      </c>
      <c r="Q283">
        <f t="shared" si="965"/>
        <v>-2261499.957055016</v>
      </c>
      <c r="R283">
        <f t="shared" si="966"/>
        <v>-33484905.966676906</v>
      </c>
      <c r="S283">
        <f t="shared" si="967"/>
        <v>-334.84905966676905</v>
      </c>
      <c r="T283">
        <f t="shared" si="968"/>
        <v>-0.33484905966676903</v>
      </c>
    </row>
    <row r="284" spans="1:20" x14ac:dyDescent="0.25">
      <c r="A284" s="5">
        <v>44309</v>
      </c>
      <c r="B284">
        <v>0.46810000000000002</v>
      </c>
      <c r="C284">
        <v>0.47270000000000001</v>
      </c>
      <c r="D284">
        <v>0.36270000000000002</v>
      </c>
      <c r="E284">
        <v>0.4592</v>
      </c>
      <c r="F284">
        <v>18903608.600000001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0.7545454545454543</v>
      </c>
      <c r="Q284">
        <f t="shared" si="965"/>
        <v>14263631.94363636</v>
      </c>
      <c r="R284">
        <f t="shared" si="966"/>
        <v>-31223406.009621888</v>
      </c>
      <c r="S284">
        <f t="shared" si="967"/>
        <v>-312.23406009621891</v>
      </c>
      <c r="T284">
        <f t="shared" si="968"/>
        <v>-0.3122340600962189</v>
      </c>
    </row>
    <row r="285" spans="1:20" x14ac:dyDescent="0.25">
      <c r="A285" s="5">
        <v>44308</v>
      </c>
      <c r="B285">
        <v>0.51590000000000003</v>
      </c>
      <c r="C285">
        <v>0.64</v>
      </c>
      <c r="D285">
        <v>0.46700000000000003</v>
      </c>
      <c r="E285">
        <v>0.46820000000000001</v>
      </c>
      <c r="F285">
        <v>35161511.329999998</v>
      </c>
      <c r="G285">
        <v>0</v>
      </c>
      <c r="L285" t="s">
        <v>8</v>
      </c>
      <c r="M285" t="s">
        <v>8</v>
      </c>
      <c r="N285" t="s">
        <v>8</v>
      </c>
      <c r="P285">
        <f t="shared" si="964"/>
        <v>-0.98612716763005803</v>
      </c>
      <c r="Q285">
        <f t="shared" si="965"/>
        <v>-34673721.57744509</v>
      </c>
      <c r="R285">
        <f t="shared" si="966"/>
        <v>-45487037.953258246</v>
      </c>
      <c r="S285">
        <f t="shared" si="967"/>
        <v>-454.87037953258249</v>
      </c>
      <c r="T285">
        <f t="shared" si="968"/>
        <v>-0.45487037953258247</v>
      </c>
    </row>
    <row r="286" spans="1:20" x14ac:dyDescent="0.25">
      <c r="A286" s="5">
        <v>44307</v>
      </c>
      <c r="B286">
        <v>0.53790000000000004</v>
      </c>
      <c r="C286">
        <v>0.5595</v>
      </c>
      <c r="D286">
        <v>0.50829999999999997</v>
      </c>
      <c r="E286">
        <v>0.51590000000000003</v>
      </c>
      <c r="F286">
        <v>10252041.050000001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-0.70312499999999811</v>
      </c>
      <c r="Q286">
        <f t="shared" si="965"/>
        <v>-7208466.3632812314</v>
      </c>
      <c r="R286">
        <f t="shared" si="966"/>
        <v>-10813316.375813155</v>
      </c>
      <c r="S286">
        <f t="shared" si="967"/>
        <v>-108.13316375813154</v>
      </c>
      <c r="T286">
        <f t="shared" si="968"/>
        <v>-0.10813316375813155</v>
      </c>
    </row>
    <row r="287" spans="1:20" x14ac:dyDescent="0.25">
      <c r="A287" s="5">
        <v>44306</v>
      </c>
      <c r="B287">
        <v>0.50649999999999995</v>
      </c>
      <c r="C287">
        <v>0.63600000000000001</v>
      </c>
      <c r="D287">
        <v>0.44769999999999999</v>
      </c>
      <c r="E287">
        <v>0.53790000000000004</v>
      </c>
      <c r="F287">
        <v>43606749.93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-4.1954328199680861E-2</v>
      </c>
      <c r="Q287">
        <f t="shared" si="965"/>
        <v>-1829491.8982846304</v>
      </c>
      <c r="R287">
        <f t="shared" si="966"/>
        <v>-3604850.0125319227</v>
      </c>
      <c r="S287">
        <f t="shared" si="967"/>
        <v>-36.048500125319229</v>
      </c>
      <c r="T287">
        <f t="shared" si="968"/>
        <v>-3.6048500125319231E-2</v>
      </c>
    </row>
    <row r="288" spans="1:20" x14ac:dyDescent="0.25">
      <c r="A288" s="5">
        <v>44305</v>
      </c>
      <c r="B288">
        <v>0.52700000000000002</v>
      </c>
      <c r="C288">
        <v>0.67530000000000001</v>
      </c>
      <c r="D288">
        <v>0.50549999999999995</v>
      </c>
      <c r="E288">
        <v>0.50580000000000003</v>
      </c>
      <c r="F288">
        <v>30464997.23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-0.99646643109540545</v>
      </c>
      <c r="Q288">
        <f t="shared" si="965"/>
        <v>-30357347.063109513</v>
      </c>
      <c r="R288">
        <f t="shared" si="966"/>
        <v>-1775358.1142472923</v>
      </c>
      <c r="S288">
        <f t="shared" si="967"/>
        <v>-17.753581142472921</v>
      </c>
      <c r="T288">
        <f t="shared" si="968"/>
        <v>-1.775358114247292E-2</v>
      </c>
    </row>
    <row r="289" spans="1:20" x14ac:dyDescent="0.25">
      <c r="A289" s="5">
        <v>44304</v>
      </c>
      <c r="B289">
        <v>0.58799999999999997</v>
      </c>
      <c r="C289">
        <v>0.58799999999999997</v>
      </c>
      <c r="D289">
        <v>0.4662</v>
      </c>
      <c r="E289">
        <v>0.52639999999999998</v>
      </c>
      <c r="F289">
        <v>10626124.08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-1.1494252873563322E-2</v>
      </c>
      <c r="Q289">
        <f t="shared" si="965"/>
        <v>-122139.35724138042</v>
      </c>
      <c r="R289">
        <f t="shared" si="966"/>
        <v>28581988.948862221</v>
      </c>
      <c r="S289">
        <f t="shared" si="967"/>
        <v>285.81988948862221</v>
      </c>
      <c r="T289">
        <f t="shared" si="968"/>
        <v>0.28581988948862219</v>
      </c>
    </row>
    <row r="290" spans="1:20" x14ac:dyDescent="0.25">
      <c r="A290" s="5">
        <v>44303</v>
      </c>
      <c r="B290">
        <v>0.59360000000000002</v>
      </c>
      <c r="C290">
        <v>0.6331</v>
      </c>
      <c r="D290">
        <v>0.56999999999999995</v>
      </c>
      <c r="E290">
        <v>0.58799999999999997</v>
      </c>
      <c r="F290">
        <v>11798064.07</v>
      </c>
      <c r="G290">
        <v>0</v>
      </c>
      <c r="L290" t="s">
        <v>7</v>
      </c>
      <c r="M290" t="s">
        <v>7</v>
      </c>
      <c r="N290" t="s">
        <v>7</v>
      </c>
      <c r="P290">
        <f t="shared" si="964"/>
        <v>-0.4294770206022186</v>
      </c>
      <c r="Q290">
        <f t="shared" si="965"/>
        <v>-5066997.4056576854</v>
      </c>
      <c r="R290">
        <f t="shared" si="966"/>
        <v>28704128.306103602</v>
      </c>
      <c r="S290">
        <f t="shared" si="967"/>
        <v>287.04128306103604</v>
      </c>
      <c r="T290">
        <f t="shared" si="968"/>
        <v>0.28704128306103605</v>
      </c>
    </row>
    <row r="291" spans="1:20" x14ac:dyDescent="0.25">
      <c r="A291" s="5">
        <v>44302</v>
      </c>
      <c r="B291">
        <v>0.63390000000000002</v>
      </c>
      <c r="C291">
        <v>0.67679999999999996</v>
      </c>
      <c r="D291">
        <v>0.54220000000000002</v>
      </c>
      <c r="E291">
        <v>0.59399999999999997</v>
      </c>
      <c r="F291">
        <v>26036644.09</v>
      </c>
      <c r="G291">
        <v>0</v>
      </c>
      <c r="L291" t="s">
        <v>8</v>
      </c>
      <c r="M291" t="s">
        <v>7</v>
      </c>
      <c r="N291" t="s">
        <v>7</v>
      </c>
      <c r="P291">
        <f t="shared" si="964"/>
        <v>-0.23031203566121872</v>
      </c>
      <c r="Q291">
        <f t="shared" si="965"/>
        <v>-5996552.5021545393</v>
      </c>
      <c r="R291">
        <f t="shared" si="966"/>
        <v>33771125.711761288</v>
      </c>
      <c r="S291">
        <f t="shared" si="967"/>
        <v>337.71125711761289</v>
      </c>
      <c r="T291">
        <f t="shared" si="968"/>
        <v>0.33771125711761291</v>
      </c>
    </row>
    <row r="292" spans="1:20" x14ac:dyDescent="0.25">
      <c r="A292" s="5">
        <v>44301</v>
      </c>
      <c r="B292">
        <v>0.58579999999999999</v>
      </c>
      <c r="C292">
        <v>0.6361</v>
      </c>
      <c r="D292">
        <v>0.58199999999999996</v>
      </c>
      <c r="E292">
        <v>0.63200000000000001</v>
      </c>
      <c r="F292">
        <v>9195157.1300000008</v>
      </c>
      <c r="G292">
        <v>0</v>
      </c>
      <c r="L292" t="s">
        <v>8</v>
      </c>
      <c r="M292" t="s">
        <v>7</v>
      </c>
      <c r="N292" t="s">
        <v>7</v>
      </c>
      <c r="P292">
        <f t="shared" si="964"/>
        <v>0.84842883548983405</v>
      </c>
      <c r="Q292">
        <f t="shared" si="965"/>
        <v>7801436.4559519449</v>
      </c>
      <c r="R292">
        <f t="shared" si="966"/>
        <v>39767678.213915825</v>
      </c>
      <c r="S292">
        <f t="shared" si="967"/>
        <v>397.67678213915826</v>
      </c>
      <c r="T292">
        <f t="shared" si="968"/>
        <v>0.39767678213915825</v>
      </c>
    </row>
    <row r="293" spans="1:20" x14ac:dyDescent="0.25">
      <c r="A293" s="5">
        <v>44300</v>
      </c>
      <c r="B293">
        <v>0.63490000000000002</v>
      </c>
      <c r="C293">
        <v>0.64810000000000001</v>
      </c>
      <c r="D293">
        <v>0.56320000000000003</v>
      </c>
      <c r="E293">
        <v>0.58579999999999999</v>
      </c>
      <c r="F293">
        <v>7589133.6100000003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-0.46760895170789257</v>
      </c>
      <c r="Q293">
        <f t="shared" si="965"/>
        <v>-3548746.8117432347</v>
      </c>
      <c r="R293">
        <f t="shared" si="966"/>
        <v>31966241.757963877</v>
      </c>
      <c r="S293">
        <f t="shared" si="967"/>
        <v>319.66241757963877</v>
      </c>
      <c r="T293">
        <f t="shared" si="968"/>
        <v>0.31966241757963876</v>
      </c>
    </row>
    <row r="294" spans="1:20" x14ac:dyDescent="0.25">
      <c r="A294" s="5">
        <v>44299</v>
      </c>
      <c r="B294">
        <v>0.64759999999999995</v>
      </c>
      <c r="C294">
        <v>0.64880000000000004</v>
      </c>
      <c r="D294">
        <v>0.60750000000000004</v>
      </c>
      <c r="E294">
        <v>0.6351</v>
      </c>
      <c r="F294">
        <v>4289789.37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0.33656174334140221</v>
      </c>
      <c r="Q294">
        <f t="shared" si="965"/>
        <v>1443778.9889346156</v>
      </c>
      <c r="R294">
        <f t="shared" si="966"/>
        <v>35514988.569707111</v>
      </c>
      <c r="S294">
        <f t="shared" si="967"/>
        <v>355.14988569707111</v>
      </c>
      <c r="T294">
        <f t="shared" si="968"/>
        <v>0.35514988569707112</v>
      </c>
    </row>
    <row r="295" spans="1:20" x14ac:dyDescent="0.25">
      <c r="A295" s="5">
        <v>44298</v>
      </c>
      <c r="B295">
        <v>0.68230000000000002</v>
      </c>
      <c r="C295">
        <v>0.7026</v>
      </c>
      <c r="D295">
        <v>0.62619999999999998</v>
      </c>
      <c r="E295">
        <v>0.64780000000000004</v>
      </c>
      <c r="F295">
        <v>7078952.8600000003</v>
      </c>
      <c r="G295">
        <v>0</v>
      </c>
      <c r="L295" t="s">
        <v>8</v>
      </c>
      <c r="M295" t="s">
        <v>7</v>
      </c>
      <c r="N295" t="s">
        <v>8</v>
      </c>
      <c r="P295">
        <f t="shared" si="964"/>
        <v>-0.43455497382198804</v>
      </c>
      <c r="Q295">
        <f t="shared" si="965"/>
        <v>-3076194.1747643873</v>
      </c>
      <c r="R295">
        <f t="shared" si="966"/>
        <v>34071209.580772497</v>
      </c>
      <c r="S295">
        <f t="shared" si="967"/>
        <v>340.71209580772495</v>
      </c>
      <c r="T295">
        <f t="shared" si="968"/>
        <v>0.34071209580772494</v>
      </c>
    </row>
    <row r="296" spans="1:20" x14ac:dyDescent="0.25">
      <c r="A296" s="5">
        <v>44297</v>
      </c>
      <c r="B296">
        <v>0.70169999999999999</v>
      </c>
      <c r="C296">
        <v>0.70499999999999996</v>
      </c>
      <c r="D296">
        <v>0.61409999999999998</v>
      </c>
      <c r="E296">
        <v>0.68059999999999998</v>
      </c>
      <c r="F296">
        <v>12674013.18</v>
      </c>
      <c r="G296">
        <v>0</v>
      </c>
      <c r="L296" t="s">
        <v>7</v>
      </c>
      <c r="M296" t="s">
        <v>7</v>
      </c>
      <c r="N296" t="s">
        <v>8</v>
      </c>
      <c r="P296">
        <f t="shared" si="964"/>
        <v>0.46314631463146355</v>
      </c>
      <c r="Q296">
        <f t="shared" si="965"/>
        <v>5869922.4959075954</v>
      </c>
      <c r="R296">
        <f t="shared" si="966"/>
        <v>37147403.755536884</v>
      </c>
      <c r="S296">
        <f t="shared" si="967"/>
        <v>371.47403755536885</v>
      </c>
      <c r="T296">
        <f t="shared" si="968"/>
        <v>0.37147403755536884</v>
      </c>
    </row>
    <row r="297" spans="1:20" x14ac:dyDescent="0.25">
      <c r="A297" s="5">
        <v>44296</v>
      </c>
      <c r="B297">
        <v>0.68940000000000001</v>
      </c>
      <c r="C297">
        <v>0.74860000000000004</v>
      </c>
      <c r="D297">
        <v>0.65610000000000002</v>
      </c>
      <c r="E297">
        <v>0.70169999999999999</v>
      </c>
      <c r="F297">
        <v>26508504.359999999</v>
      </c>
      <c r="G297">
        <v>0</v>
      </c>
      <c r="L297" t="s">
        <v>7</v>
      </c>
      <c r="M297" t="s">
        <v>8</v>
      </c>
      <c r="N297" t="s">
        <v>8</v>
      </c>
      <c r="P297">
        <f t="shared" si="964"/>
        <v>-1.4054054054054903E-2</v>
      </c>
      <c r="Q297">
        <f t="shared" si="965"/>
        <v>-372551.95316759008</v>
      </c>
      <c r="R297">
        <f t="shared" si="966"/>
        <v>31277481.259629287</v>
      </c>
      <c r="S297">
        <f t="shared" si="967"/>
        <v>312.77481259629286</v>
      </c>
      <c r="T297">
        <f t="shared" si="968"/>
        <v>0.31277481259629286</v>
      </c>
    </row>
    <row r="298" spans="1:20" x14ac:dyDescent="0.25">
      <c r="A298" s="5">
        <v>44295</v>
      </c>
      <c r="B298">
        <v>0.62070000000000003</v>
      </c>
      <c r="C298">
        <v>0.75739999999999996</v>
      </c>
      <c r="D298">
        <v>0.60050000000000003</v>
      </c>
      <c r="E298">
        <v>0.6895</v>
      </c>
      <c r="F298">
        <v>36573829.109999999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0.13448056086679425</v>
      </c>
      <c r="Q298">
        <f t="shared" si="965"/>
        <v>4918469.0517590865</v>
      </c>
      <c r="R298">
        <f t="shared" si="966"/>
        <v>31650033.212796878</v>
      </c>
      <c r="S298">
        <f t="shared" si="967"/>
        <v>316.50033212796876</v>
      </c>
      <c r="T298">
        <f t="shared" si="968"/>
        <v>0.31650033212796874</v>
      </c>
    </row>
    <row r="299" spans="1:20" x14ac:dyDescent="0.25">
      <c r="A299" s="5">
        <v>44294</v>
      </c>
      <c r="B299">
        <v>0.54559999999999997</v>
      </c>
      <c r="C299">
        <v>0.62329999999999997</v>
      </c>
      <c r="D299">
        <v>0.53910000000000002</v>
      </c>
      <c r="E299">
        <v>0.62050000000000005</v>
      </c>
      <c r="F299">
        <v>17006092.98</v>
      </c>
      <c r="G299">
        <v>0</v>
      </c>
      <c r="L299" t="s">
        <v>8</v>
      </c>
      <c r="M299" t="s">
        <v>8</v>
      </c>
      <c r="N299" t="s">
        <v>7</v>
      </c>
      <c r="P299">
        <f t="shared" si="964"/>
        <v>0.9334916864608096</v>
      </c>
      <c r="Q299">
        <f t="shared" si="965"/>
        <v>15875046.416009536</v>
      </c>
      <c r="R299">
        <f t="shared" si="966"/>
        <v>26731564.161037792</v>
      </c>
      <c r="S299">
        <f t="shared" si="967"/>
        <v>267.3156416103779</v>
      </c>
      <c r="T299">
        <f t="shared" si="968"/>
        <v>0.26731564161037791</v>
      </c>
    </row>
    <row r="300" spans="1:20" x14ac:dyDescent="0.25">
      <c r="A300" s="5">
        <v>44293</v>
      </c>
      <c r="B300">
        <v>0.62019999999999997</v>
      </c>
      <c r="C300">
        <v>0.62350000000000005</v>
      </c>
      <c r="D300">
        <v>0.5</v>
      </c>
      <c r="E300">
        <v>0.54410000000000003</v>
      </c>
      <c r="F300">
        <v>22542995.190000001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-0.2858299595141699</v>
      </c>
      <c r="Q300">
        <f t="shared" si="965"/>
        <v>-6443463.402485827</v>
      </c>
      <c r="R300">
        <f t="shared" si="966"/>
        <v>10856517.745028256</v>
      </c>
      <c r="S300">
        <f t="shared" si="967"/>
        <v>108.56517745028256</v>
      </c>
      <c r="T300">
        <f t="shared" si="968"/>
        <v>0.10856517745028256</v>
      </c>
    </row>
    <row r="301" spans="1:20" x14ac:dyDescent="0.25">
      <c r="A301" s="5">
        <v>44292</v>
      </c>
      <c r="B301">
        <v>0.67049999999999998</v>
      </c>
      <c r="C301">
        <v>0.68</v>
      </c>
      <c r="D301">
        <v>0.5897</v>
      </c>
      <c r="E301">
        <v>0.62019999999999997</v>
      </c>
      <c r="F301">
        <v>14730141.17</v>
      </c>
      <c r="G301">
        <v>0</v>
      </c>
      <c r="L301" t="s">
        <v>7</v>
      </c>
      <c r="M301" t="s">
        <v>7</v>
      </c>
      <c r="N301" t="s">
        <v>7</v>
      </c>
      <c r="P301">
        <f t="shared" si="964"/>
        <v>-0.32447397563676733</v>
      </c>
      <c r="Q301">
        <f t="shared" si="965"/>
        <v>-4779547.4671207238</v>
      </c>
      <c r="R301">
        <f t="shared" si="966"/>
        <v>17299981.147514082</v>
      </c>
      <c r="S301">
        <f t="shared" si="967"/>
        <v>172.99981147514083</v>
      </c>
      <c r="T301">
        <f t="shared" si="968"/>
        <v>0.17299981147514082</v>
      </c>
    </row>
    <row r="302" spans="1:20" x14ac:dyDescent="0.25">
      <c r="A302" s="5">
        <v>44291</v>
      </c>
      <c r="B302">
        <v>0.74839999999999995</v>
      </c>
      <c r="C302">
        <v>0.75170000000000003</v>
      </c>
      <c r="D302">
        <v>0.65880000000000005</v>
      </c>
      <c r="E302">
        <v>0.67120000000000002</v>
      </c>
      <c r="F302">
        <v>13134346.970000001</v>
      </c>
      <c r="G302">
        <v>0</v>
      </c>
      <c r="L302" t="s">
        <v>7</v>
      </c>
      <c r="M302" t="s">
        <v>7</v>
      </c>
      <c r="N302" t="s">
        <v>7</v>
      </c>
      <c r="P302">
        <f t="shared" si="964"/>
        <v>-0.73304628632938706</v>
      </c>
      <c r="Q302">
        <f t="shared" si="965"/>
        <v>-9628084.2697201371</v>
      </c>
      <c r="R302">
        <f t="shared" si="966"/>
        <v>22079528.614634808</v>
      </c>
      <c r="S302">
        <f t="shared" si="967"/>
        <v>220.79528614634808</v>
      </c>
      <c r="T302">
        <f t="shared" si="968"/>
        <v>0.22079528614634808</v>
      </c>
    </row>
    <row r="303" spans="1:20" x14ac:dyDescent="0.25">
      <c r="A303" s="5">
        <v>44290</v>
      </c>
      <c r="B303">
        <v>0.70889999999999997</v>
      </c>
      <c r="C303">
        <v>0.75770000000000004</v>
      </c>
      <c r="D303">
        <v>0.69359999999999999</v>
      </c>
      <c r="E303">
        <v>0.74709999999999999</v>
      </c>
      <c r="F303">
        <v>10230189.890000001</v>
      </c>
      <c r="G303">
        <v>0</v>
      </c>
      <c r="L303" t="s">
        <v>8</v>
      </c>
      <c r="M303" t="s">
        <v>7</v>
      </c>
      <c r="N303" t="s">
        <v>7</v>
      </c>
      <c r="P303">
        <f t="shared" si="964"/>
        <v>0.66926677067082541</v>
      </c>
      <c r="Q303">
        <f t="shared" si="965"/>
        <v>6846726.1510296268</v>
      </c>
      <c r="R303">
        <f t="shared" si="966"/>
        <v>31707612.884354945</v>
      </c>
      <c r="S303">
        <f t="shared" si="967"/>
        <v>317.07612884354944</v>
      </c>
      <c r="T303">
        <f t="shared" si="968"/>
        <v>0.31707612884354947</v>
      </c>
    </row>
    <row r="304" spans="1:20" x14ac:dyDescent="0.25">
      <c r="A304" s="5">
        <v>44289</v>
      </c>
      <c r="B304">
        <v>0.84919999999999995</v>
      </c>
      <c r="C304">
        <v>0.85699999999999998</v>
      </c>
      <c r="D304">
        <v>0.68389999999999995</v>
      </c>
      <c r="E304">
        <v>0.70989999999999998</v>
      </c>
      <c r="F304">
        <v>15216857.52</v>
      </c>
      <c r="G304">
        <v>0</v>
      </c>
      <c r="L304" t="s">
        <v>7</v>
      </c>
      <c r="M304" t="s">
        <v>7</v>
      </c>
      <c r="N304" t="s">
        <v>7</v>
      </c>
      <c r="P304">
        <f t="shared" si="964"/>
        <v>-0.69959560947429211</v>
      </c>
      <c r="Q304">
        <f t="shared" si="965"/>
        <v>-10645646.710987864</v>
      </c>
      <c r="R304">
        <f t="shared" si="966"/>
        <v>24860886.733325318</v>
      </c>
      <c r="S304">
        <f t="shared" si="967"/>
        <v>248.60886733325319</v>
      </c>
      <c r="T304">
        <f t="shared" si="968"/>
        <v>0.24860886733325319</v>
      </c>
    </row>
    <row r="305" spans="1:20" x14ac:dyDescent="0.25">
      <c r="A305" s="5">
        <v>44288</v>
      </c>
      <c r="B305">
        <v>0.79520000000000002</v>
      </c>
      <c r="C305">
        <v>0.85960000000000003</v>
      </c>
      <c r="D305">
        <v>0.72899999999999998</v>
      </c>
      <c r="E305">
        <v>0.85019999999999996</v>
      </c>
      <c r="F305">
        <v>19689150.030000001</v>
      </c>
      <c r="G305">
        <v>0</v>
      </c>
      <c r="L305" t="s">
        <v>8</v>
      </c>
      <c r="M305" t="s">
        <v>8</v>
      </c>
      <c r="N305" t="s">
        <v>7</v>
      </c>
      <c r="P305">
        <f t="shared" si="964"/>
        <v>0.85604900459417965</v>
      </c>
      <c r="Q305">
        <f t="shared" si="965"/>
        <v>16854877.284486964</v>
      </c>
      <c r="R305">
        <f t="shared" si="966"/>
        <v>35506533.444313183</v>
      </c>
      <c r="S305">
        <f t="shared" si="967"/>
        <v>355.06533444313186</v>
      </c>
      <c r="T305">
        <f t="shared" si="968"/>
        <v>0.35506533444313187</v>
      </c>
    </row>
    <row r="306" spans="1:20" x14ac:dyDescent="0.25">
      <c r="A306" s="5">
        <v>44287</v>
      </c>
      <c r="B306">
        <v>0.75029999999999997</v>
      </c>
      <c r="C306">
        <v>0.83979999999999999</v>
      </c>
      <c r="D306">
        <v>0.73199999999999998</v>
      </c>
      <c r="E306">
        <v>0.79520000000000002</v>
      </c>
      <c r="F306">
        <v>20913821.43</v>
      </c>
      <c r="G306">
        <v>0</v>
      </c>
      <c r="L306" t="s">
        <v>8</v>
      </c>
      <c r="M306" t="s">
        <v>8</v>
      </c>
      <c r="N306" t="s">
        <v>7</v>
      </c>
      <c r="P306">
        <f t="shared" si="964"/>
        <v>0.17254174397031596</v>
      </c>
      <c r="Q306">
        <f t="shared" si="965"/>
        <v>3608507.222615967</v>
      </c>
      <c r="R306">
        <f t="shared" si="966"/>
        <v>18651656.159826215</v>
      </c>
      <c r="S306">
        <f t="shared" si="967"/>
        <v>186.51656159826214</v>
      </c>
      <c r="T306">
        <f t="shared" si="968"/>
        <v>0.18651656159826213</v>
      </c>
    </row>
    <row r="307" spans="1:20" x14ac:dyDescent="0.25">
      <c r="A307" s="5">
        <v>44286</v>
      </c>
      <c r="B307">
        <v>0.7732</v>
      </c>
      <c r="C307">
        <v>0.77500000000000002</v>
      </c>
      <c r="D307">
        <v>0.68779999999999997</v>
      </c>
      <c r="E307">
        <v>0.74929999999999997</v>
      </c>
      <c r="F307">
        <v>15097597</v>
      </c>
      <c r="G307">
        <v>0</v>
      </c>
      <c r="L307" t="s">
        <v>7</v>
      </c>
      <c r="M307" t="s">
        <v>8</v>
      </c>
      <c r="N307" t="s">
        <v>7</v>
      </c>
      <c r="P307">
        <f t="shared" si="964"/>
        <v>0.41055045871559542</v>
      </c>
      <c r="Q307">
        <f t="shared" si="965"/>
        <v>6198325.3738531973</v>
      </c>
      <c r="R307">
        <f t="shared" si="966"/>
        <v>15043148.937210249</v>
      </c>
      <c r="S307">
        <f t="shared" si="967"/>
        <v>150.43148937210248</v>
      </c>
      <c r="T307">
        <f t="shared" si="968"/>
        <v>0.15043148937210249</v>
      </c>
    </row>
    <row r="308" spans="1:20" x14ac:dyDescent="0.25">
      <c r="A308" s="5">
        <v>44285</v>
      </c>
      <c r="B308">
        <v>0.7601</v>
      </c>
      <c r="C308">
        <v>0.79100000000000004</v>
      </c>
      <c r="D308">
        <v>0.72099999999999997</v>
      </c>
      <c r="E308">
        <v>0.77239999999999998</v>
      </c>
      <c r="F308">
        <v>22018867.899999999</v>
      </c>
      <c r="G308">
        <v>0</v>
      </c>
      <c r="L308" t="s">
        <v>8</v>
      </c>
      <c r="M308" t="s">
        <v>8</v>
      </c>
      <c r="N308" t="s">
        <v>7</v>
      </c>
      <c r="P308">
        <f t="shared" si="964"/>
        <v>0.46857142857142731</v>
      </c>
      <c r="Q308">
        <f t="shared" si="965"/>
        <v>10317412.387428543</v>
      </c>
      <c r="R308">
        <f t="shared" si="966"/>
        <v>8844823.5633570515</v>
      </c>
      <c r="S308">
        <f t="shared" si="967"/>
        <v>88.448235633570519</v>
      </c>
      <c r="T308">
        <f t="shared" si="968"/>
        <v>8.8448235633570516E-2</v>
      </c>
    </row>
    <row r="309" spans="1:20" x14ac:dyDescent="0.25">
      <c r="A309" s="5">
        <v>44284</v>
      </c>
      <c r="B309">
        <v>0.76649999999999996</v>
      </c>
      <c r="C309">
        <v>0.81830000000000003</v>
      </c>
      <c r="D309">
        <v>0.67359999999999998</v>
      </c>
      <c r="E309">
        <v>0.7601</v>
      </c>
      <c r="F309">
        <v>57291429.170000002</v>
      </c>
      <c r="G309">
        <v>0</v>
      </c>
      <c r="L309" t="s">
        <v>7</v>
      </c>
      <c r="M309" t="s">
        <v>7</v>
      </c>
      <c r="N309" t="s">
        <v>7</v>
      </c>
      <c r="P309">
        <f t="shared" si="964"/>
        <v>0.19557705597788516</v>
      </c>
      <c r="Q309">
        <f t="shared" si="965"/>
        <v>11204889.049834134</v>
      </c>
      <c r="R309">
        <f t="shared" si="966"/>
        <v>-1472588.8240714911</v>
      </c>
      <c r="S309">
        <f t="shared" si="967"/>
        <v>-14.725888240714911</v>
      </c>
      <c r="T309">
        <f t="shared" si="968"/>
        <v>-1.4725888240714911E-2</v>
      </c>
    </row>
    <row r="310" spans="1:20" x14ac:dyDescent="0.25">
      <c r="A310" s="5">
        <v>44283</v>
      </c>
      <c r="B310">
        <v>0.52939999999999998</v>
      </c>
      <c r="C310">
        <v>1.05</v>
      </c>
      <c r="D310">
        <v>0.5292</v>
      </c>
      <c r="E310">
        <v>0.76729999999999998</v>
      </c>
      <c r="F310">
        <v>183013358.69999999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-8.5637480798771273E-2</v>
      </c>
      <c r="Q310">
        <f t="shared" si="965"/>
        <v>-15672802.991589889</v>
      </c>
      <c r="R310">
        <f t="shared" si="966"/>
        <v>-12677477.873905625</v>
      </c>
      <c r="S310">
        <f t="shared" si="967"/>
        <v>-126.77477873905625</v>
      </c>
      <c r="T310">
        <f t="shared" si="968"/>
        <v>-0.12677477873905624</v>
      </c>
    </row>
    <row r="311" spans="1:20" x14ac:dyDescent="0.25">
      <c r="A311" s="5">
        <v>44282</v>
      </c>
      <c r="B311">
        <v>0.52929999999999999</v>
      </c>
      <c r="C311">
        <v>0.54579999999999995</v>
      </c>
      <c r="D311">
        <v>0.49419999999999997</v>
      </c>
      <c r="E311">
        <v>0.52900000000000003</v>
      </c>
      <c r="F311">
        <v>10518987.640000001</v>
      </c>
      <c r="G311">
        <v>0</v>
      </c>
      <c r="L311" t="s">
        <v>8</v>
      </c>
      <c r="M311" t="s">
        <v>7</v>
      </c>
      <c r="N311" t="s">
        <v>7</v>
      </c>
      <c r="P311">
        <f t="shared" si="964"/>
        <v>0.3488372093023282</v>
      </c>
      <c r="Q311">
        <f t="shared" si="965"/>
        <v>3669414.2930232836</v>
      </c>
      <c r="R311">
        <f t="shared" si="966"/>
        <v>2995325.1176842647</v>
      </c>
      <c r="S311">
        <f t="shared" si="967"/>
        <v>29.953251176842645</v>
      </c>
      <c r="T311">
        <f t="shared" si="968"/>
        <v>2.9953251176842645E-2</v>
      </c>
    </row>
    <row r="312" spans="1:20" x14ac:dyDescent="0.25">
      <c r="A312" s="5">
        <v>44281</v>
      </c>
      <c r="B312">
        <v>0.49049999999999999</v>
      </c>
      <c r="C312">
        <v>0.52939999999999998</v>
      </c>
      <c r="D312">
        <v>0.48299999999999998</v>
      </c>
      <c r="E312">
        <v>0.52939999999999998</v>
      </c>
      <c r="F312">
        <v>13393681.24</v>
      </c>
      <c r="G312">
        <v>0</v>
      </c>
      <c r="L312" t="s">
        <v>8</v>
      </c>
      <c r="M312" t="s">
        <v>7</v>
      </c>
      <c r="N312" t="s">
        <v>7</v>
      </c>
      <c r="P312">
        <f t="shared" si="964"/>
        <v>1</v>
      </c>
      <c r="Q312">
        <f t="shared" si="965"/>
        <v>13393681.24</v>
      </c>
      <c r="R312">
        <f t="shared" si="966"/>
        <v>-674089.17533901893</v>
      </c>
      <c r="S312">
        <f t="shared" si="967"/>
        <v>-6.7408917533901889</v>
      </c>
      <c r="T312">
        <f t="shared" si="968"/>
        <v>-6.7408917533901885E-3</v>
      </c>
    </row>
    <row r="313" spans="1:20" x14ac:dyDescent="0.25">
      <c r="A313" s="5">
        <v>44280</v>
      </c>
      <c r="B313">
        <v>0.52510000000000001</v>
      </c>
      <c r="C313">
        <v>0.53239999999999998</v>
      </c>
      <c r="D313">
        <v>0.46160000000000001</v>
      </c>
      <c r="E313">
        <v>0.49059999999999998</v>
      </c>
      <c r="F313">
        <v>21034931.489999998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-0.18079096045197793</v>
      </c>
      <c r="Q313">
        <f t="shared" si="965"/>
        <v>-3802925.4671186549</v>
      </c>
      <c r="R313">
        <f t="shared" si="966"/>
        <v>-14067770.415339019</v>
      </c>
      <c r="S313">
        <f t="shared" si="967"/>
        <v>-140.67770415339018</v>
      </c>
      <c r="T313">
        <f t="shared" si="968"/>
        <v>-0.14067770415339018</v>
      </c>
    </row>
    <row r="314" spans="1:20" x14ac:dyDescent="0.25">
      <c r="A314" s="5">
        <v>44279</v>
      </c>
      <c r="B314">
        <v>0.64139999999999997</v>
      </c>
      <c r="C314">
        <v>0.71919999999999995</v>
      </c>
      <c r="D314">
        <v>0.50670000000000004</v>
      </c>
      <c r="E314">
        <v>0.52690000000000003</v>
      </c>
      <c r="F314">
        <v>35997741.700000003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-0.80988235294117639</v>
      </c>
      <c r="Q314">
        <f t="shared" si="965"/>
        <v>-29153935.748564705</v>
      </c>
      <c r="R314">
        <f t="shared" si="966"/>
        <v>-10264844.948220365</v>
      </c>
      <c r="S314">
        <f t="shared" si="967"/>
        <v>-102.64844948220365</v>
      </c>
      <c r="T314">
        <f t="shared" si="968"/>
        <v>-0.10264844948220364</v>
      </c>
    </row>
    <row r="315" spans="1:20" x14ac:dyDescent="0.25">
      <c r="A315" s="5">
        <v>44278</v>
      </c>
      <c r="B315">
        <v>0.45</v>
      </c>
      <c r="C315">
        <v>0.76700000000000002</v>
      </c>
      <c r="D315">
        <v>0.4471</v>
      </c>
      <c r="E315">
        <v>0.64149999999999996</v>
      </c>
      <c r="F315">
        <v>166077630.36000001</v>
      </c>
      <c r="G315">
        <v>0</v>
      </c>
      <c r="L315" t="s">
        <v>8</v>
      </c>
      <c r="M315" t="s">
        <v>8</v>
      </c>
      <c r="N315" t="s">
        <v>8</v>
      </c>
      <c r="P315">
        <f t="shared" si="964"/>
        <v>0.21537980618943389</v>
      </c>
      <c r="Q315">
        <f t="shared" si="965"/>
        <v>35769767.839337245</v>
      </c>
      <c r="R315">
        <f t="shared" si="966"/>
        <v>18889090.800344341</v>
      </c>
      <c r="S315">
        <f t="shared" si="967"/>
        <v>188.8909080034434</v>
      </c>
      <c r="T315">
        <f t="shared" si="968"/>
        <v>0.18889090800344341</v>
      </c>
    </row>
    <row r="316" spans="1:20" x14ac:dyDescent="0.25">
      <c r="A316" s="5">
        <v>44277</v>
      </c>
      <c r="B316">
        <v>0.40400000000000003</v>
      </c>
      <c r="C316">
        <v>0.54679999999999995</v>
      </c>
      <c r="D316">
        <v>0.38640000000000002</v>
      </c>
      <c r="E316">
        <v>0.45150000000000001</v>
      </c>
      <c r="F316">
        <v>64254286.909999996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-0.18827930174563567</v>
      </c>
      <c r="Q316">
        <f t="shared" si="965"/>
        <v>-12097752.273578538</v>
      </c>
      <c r="R316">
        <f t="shared" si="966"/>
        <v>-16880677.038992904</v>
      </c>
      <c r="S316">
        <f t="shared" si="967"/>
        <v>-168.80677038992903</v>
      </c>
      <c r="T316">
        <f t="shared" si="968"/>
        <v>-0.16880677038992903</v>
      </c>
    </row>
    <row r="317" spans="1:20" x14ac:dyDescent="0.25">
      <c r="A317" s="5">
        <v>44276</v>
      </c>
      <c r="B317">
        <v>0.39710000000000001</v>
      </c>
      <c r="C317">
        <v>0.4118</v>
      </c>
      <c r="D317">
        <v>0.36730000000000002</v>
      </c>
      <c r="E317">
        <v>0.40410000000000001</v>
      </c>
      <c r="F317">
        <v>11006078.01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0.6539325842696635</v>
      </c>
      <c r="Q317">
        <f t="shared" si="965"/>
        <v>7197233.0357528152</v>
      </c>
      <c r="R317">
        <f t="shared" si="966"/>
        <v>-4782924.7654143674</v>
      </c>
      <c r="S317">
        <f t="shared" si="967"/>
        <v>-47.829247654143671</v>
      </c>
      <c r="T317">
        <f t="shared" si="968"/>
        <v>-4.7829247654143668E-2</v>
      </c>
    </row>
    <row r="318" spans="1:20" x14ac:dyDescent="0.25">
      <c r="A318" s="5">
        <v>44275</v>
      </c>
      <c r="B318">
        <v>0.43680000000000002</v>
      </c>
      <c r="C318">
        <v>0.46389999999999998</v>
      </c>
      <c r="D318">
        <v>0.39429999999999998</v>
      </c>
      <c r="E318">
        <v>0.39710000000000001</v>
      </c>
      <c r="F318">
        <v>12075041.43</v>
      </c>
      <c r="G318">
        <v>0</v>
      </c>
      <c r="L318" t="s">
        <v>7</v>
      </c>
      <c r="M318" t="s">
        <v>8</v>
      </c>
      <c r="N318" t="s">
        <v>8</v>
      </c>
      <c r="P318">
        <f t="shared" si="964"/>
        <v>-0.91954022988505679</v>
      </c>
      <c r="Q318">
        <f t="shared" si="965"/>
        <v>-11103486.372413784</v>
      </c>
      <c r="R318">
        <f t="shared" si="966"/>
        <v>-11980157.801167183</v>
      </c>
      <c r="S318">
        <f t="shared" si="967"/>
        <v>-119.80157801167182</v>
      </c>
      <c r="T318">
        <f t="shared" si="968"/>
        <v>-0.11980157801167182</v>
      </c>
    </row>
    <row r="319" spans="1:20" x14ac:dyDescent="0.25">
      <c r="A319" s="5">
        <v>44274</v>
      </c>
      <c r="B319">
        <v>0.43780000000000002</v>
      </c>
      <c r="C319">
        <v>0.44450000000000001</v>
      </c>
      <c r="D319">
        <v>0.40799999999999997</v>
      </c>
      <c r="E319">
        <v>0.436</v>
      </c>
      <c r="F319">
        <v>11445512.369999999</v>
      </c>
      <c r="G319">
        <v>0</v>
      </c>
      <c r="L319" t="s">
        <v>7</v>
      </c>
      <c r="M319" t="s">
        <v>8</v>
      </c>
      <c r="N319" t="s">
        <v>8</v>
      </c>
      <c r="P319">
        <f t="shared" si="964"/>
        <v>0.53424657534246578</v>
      </c>
      <c r="Q319">
        <f t="shared" si="965"/>
        <v>6114725.7867123289</v>
      </c>
      <c r="R319">
        <f t="shared" si="966"/>
        <v>-876671.42875339929</v>
      </c>
      <c r="S319">
        <f t="shared" si="967"/>
        <v>-8.7667142875339934</v>
      </c>
      <c r="T319">
        <f t="shared" si="968"/>
        <v>-8.7667142875339932E-3</v>
      </c>
    </row>
    <row r="320" spans="1:20" x14ac:dyDescent="0.25">
      <c r="A320" s="5">
        <v>44273</v>
      </c>
      <c r="B320">
        <v>0.375</v>
      </c>
      <c r="C320">
        <v>0.44979999999999998</v>
      </c>
      <c r="D320">
        <v>0.3654</v>
      </c>
      <c r="E320">
        <v>0.43759999999999999</v>
      </c>
      <c r="F320">
        <v>24600097.699999999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0.71090047393364952</v>
      </c>
      <c r="Q320">
        <f t="shared" si="965"/>
        <v>17488221.11374408</v>
      </c>
      <c r="R320">
        <f t="shared" si="966"/>
        <v>-6991397.2154657282</v>
      </c>
      <c r="S320">
        <f t="shared" si="967"/>
        <v>-69.913972154657287</v>
      </c>
      <c r="T320">
        <f t="shared" si="968"/>
        <v>-6.9913972154657292E-2</v>
      </c>
    </row>
    <row r="321" spans="1:20" x14ac:dyDescent="0.25">
      <c r="A321" s="5">
        <v>44272</v>
      </c>
      <c r="B321">
        <v>0.38269999999999998</v>
      </c>
      <c r="C321">
        <v>0.38369999999999999</v>
      </c>
      <c r="D321">
        <v>0.34010000000000001</v>
      </c>
      <c r="E321">
        <v>0.37640000000000001</v>
      </c>
      <c r="F321">
        <v>5661575.2300000004</v>
      </c>
      <c r="G321">
        <v>0</v>
      </c>
      <c r="L321" t="s">
        <v>8</v>
      </c>
      <c r="M321" t="s">
        <v>7</v>
      </c>
      <c r="N321" t="s">
        <v>8</v>
      </c>
      <c r="P321">
        <f t="shared" si="964"/>
        <v>0.66513761467890009</v>
      </c>
      <c r="Q321">
        <f t="shared" si="965"/>
        <v>3765726.6438073455</v>
      </c>
      <c r="R321">
        <f t="shared" si="966"/>
        <v>-24479618.329209808</v>
      </c>
      <c r="S321">
        <f t="shared" si="967"/>
        <v>-244.79618329209808</v>
      </c>
      <c r="T321">
        <f t="shared" si="968"/>
        <v>-0.24479618329209807</v>
      </c>
    </row>
    <row r="322" spans="1:20" x14ac:dyDescent="0.25">
      <c r="A322" s="5">
        <v>44271</v>
      </c>
      <c r="B322">
        <v>0.3695</v>
      </c>
      <c r="C322">
        <v>0.40589999999999998</v>
      </c>
      <c r="D322">
        <v>0.34260000000000002</v>
      </c>
      <c r="E322">
        <v>0.38129999999999997</v>
      </c>
      <c r="F322">
        <v>14317106.15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0.22274881516587602</v>
      </c>
      <c r="Q322">
        <f t="shared" si="965"/>
        <v>3189118.431516577</v>
      </c>
      <c r="R322">
        <f t="shared" si="966"/>
        <v>-28245344.973017152</v>
      </c>
      <c r="S322">
        <f t="shared" si="967"/>
        <v>-282.45344973017154</v>
      </c>
      <c r="T322">
        <f t="shared" si="968"/>
        <v>-0.28245344973017156</v>
      </c>
    </row>
    <row r="323" spans="1:20" x14ac:dyDescent="0.25">
      <c r="A323" s="5">
        <v>44270</v>
      </c>
      <c r="B323">
        <v>0.38869999999999999</v>
      </c>
      <c r="C323">
        <v>0.4078</v>
      </c>
      <c r="D323">
        <v>0.34489999999999998</v>
      </c>
      <c r="E323">
        <v>0.36890000000000001</v>
      </c>
      <c r="F323">
        <v>11937969.58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-0.23688394276629518</v>
      </c>
      <c r="Q323">
        <f t="shared" si="965"/>
        <v>-2827913.3027344928</v>
      </c>
      <c r="R323">
        <f t="shared" si="966"/>
        <v>-31434463.404533729</v>
      </c>
      <c r="S323">
        <f t="shared" si="967"/>
        <v>-314.34463404533727</v>
      </c>
      <c r="T323">
        <f t="shared" si="968"/>
        <v>-0.31434463404533725</v>
      </c>
    </row>
    <row r="324" spans="1:20" x14ac:dyDescent="0.25">
      <c r="A324" s="5">
        <v>44269</v>
      </c>
      <c r="B324">
        <v>0.38779999999999998</v>
      </c>
      <c r="C324">
        <v>0.4199</v>
      </c>
      <c r="D324">
        <v>0.3639</v>
      </c>
      <c r="E324">
        <v>0.38869999999999999</v>
      </c>
      <c r="F324">
        <v>8708857.8000000007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-0.1142857142857146</v>
      </c>
      <c r="Q324">
        <f t="shared" si="965"/>
        <v>-995298.03428571706</v>
      </c>
      <c r="R324">
        <f t="shared" si="966"/>
        <v>-28606550.101799235</v>
      </c>
      <c r="S324">
        <f t="shared" si="967"/>
        <v>-286.06550101799235</v>
      </c>
      <c r="T324">
        <f t="shared" si="968"/>
        <v>-0.28606550101799233</v>
      </c>
    </row>
    <row r="325" spans="1:20" x14ac:dyDescent="0.25">
      <c r="A325" s="5">
        <v>44268</v>
      </c>
      <c r="B325">
        <v>0.34289999999999998</v>
      </c>
      <c r="C325">
        <v>0.41499999999999998</v>
      </c>
      <c r="D325">
        <v>0.33</v>
      </c>
      <c r="E325">
        <v>0.38779999999999998</v>
      </c>
      <c r="F325">
        <v>14968157.130000001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0.35999999999999971</v>
      </c>
      <c r="Q325">
        <f t="shared" si="965"/>
        <v>5388536.5667999955</v>
      </c>
      <c r="R325">
        <f t="shared" si="966"/>
        <v>-27611252.067513518</v>
      </c>
      <c r="S325">
        <f t="shared" si="967"/>
        <v>-276.11252067513516</v>
      </c>
      <c r="T325">
        <f t="shared" si="968"/>
        <v>-0.27611252067513514</v>
      </c>
    </row>
    <row r="326" spans="1:20" x14ac:dyDescent="0.25">
      <c r="A326" s="5">
        <v>44267</v>
      </c>
      <c r="B326">
        <v>0.3579</v>
      </c>
      <c r="C326">
        <v>0.36880000000000002</v>
      </c>
      <c r="D326">
        <v>0.32740000000000002</v>
      </c>
      <c r="E326">
        <v>0.3417</v>
      </c>
      <c r="F326">
        <v>7012660.7999999998</v>
      </c>
      <c r="G326">
        <v>0</v>
      </c>
      <c r="L326" t="s">
        <v>7</v>
      </c>
      <c r="M326" t="s">
        <v>8</v>
      </c>
      <c r="N326" t="s">
        <v>7</v>
      </c>
      <c r="P326">
        <f t="shared" ref="P326:P389" si="969">IF(C326=D326,0,((E326-D326)-(C326-E326))/(C326-D326))</f>
        <v>-0.30917874396135353</v>
      </c>
      <c r="Q326">
        <f t="shared" ref="Q326:Q389" si="970">F326*P326</f>
        <v>-2168165.6579710208</v>
      </c>
      <c r="R326">
        <f t="shared" ref="R326:R389" si="971">R327+Q326</f>
        <v>-32999788.634313513</v>
      </c>
      <c r="S326">
        <f t="shared" ref="S326:S389" si="972">R326/100000</f>
        <v>-329.99788634313512</v>
      </c>
      <c r="T326">
        <f t="shared" ref="T326:T389" si="973">S326/1000</f>
        <v>-0.32999788634313509</v>
      </c>
    </row>
    <row r="327" spans="1:20" x14ac:dyDescent="0.25">
      <c r="A327" s="5">
        <v>44266</v>
      </c>
      <c r="B327">
        <v>0.3397</v>
      </c>
      <c r="C327">
        <v>0.38479999999999998</v>
      </c>
      <c r="D327">
        <v>0.32519999999999999</v>
      </c>
      <c r="E327">
        <v>0.3579</v>
      </c>
      <c r="F327">
        <v>11027652.529999999</v>
      </c>
      <c r="G327">
        <v>0</v>
      </c>
      <c r="L327" t="s">
        <v>8</v>
      </c>
      <c r="M327" t="s">
        <v>8</v>
      </c>
      <c r="N327" t="s">
        <v>7</v>
      </c>
      <c r="P327">
        <f t="shared" si="969"/>
        <v>9.7315436241611222E-2</v>
      </c>
      <c r="Q327">
        <f t="shared" si="970"/>
        <v>1073160.8166778577</v>
      </c>
      <c r="R327">
        <f t="shared" si="971"/>
        <v>-30831622.976342492</v>
      </c>
      <c r="S327">
        <f t="shared" si="972"/>
        <v>-308.31622976342493</v>
      </c>
      <c r="T327">
        <f t="shared" si="973"/>
        <v>-0.30831622976342493</v>
      </c>
    </row>
    <row r="328" spans="1:20" x14ac:dyDescent="0.25">
      <c r="A328" s="5">
        <v>44265</v>
      </c>
      <c r="B328">
        <v>0.32369999999999999</v>
      </c>
      <c r="C328">
        <v>0.37540000000000001</v>
      </c>
      <c r="D328">
        <v>0.29649999999999999</v>
      </c>
      <c r="E328">
        <v>0.33939999999999998</v>
      </c>
      <c r="F328">
        <v>17228966.690000001</v>
      </c>
      <c r="G328">
        <v>0</v>
      </c>
      <c r="L328" t="s">
        <v>8</v>
      </c>
      <c r="M328" t="s">
        <v>8</v>
      </c>
      <c r="N328" t="s">
        <v>7</v>
      </c>
      <c r="P328">
        <f t="shared" si="969"/>
        <v>8.7452471482889219E-2</v>
      </c>
      <c r="Q328">
        <f t="shared" si="970"/>
        <v>1506715.7181368733</v>
      </c>
      <c r="R328">
        <f t="shared" si="971"/>
        <v>-31904783.793020349</v>
      </c>
      <c r="S328">
        <f t="shared" si="972"/>
        <v>-319.04783793020351</v>
      </c>
      <c r="T328">
        <f t="shared" si="973"/>
        <v>-0.31904783793020353</v>
      </c>
    </row>
    <row r="329" spans="1:20" x14ac:dyDescent="0.25">
      <c r="A329" s="5">
        <v>44264</v>
      </c>
      <c r="B329">
        <v>0.3155</v>
      </c>
      <c r="C329">
        <v>0.32729999999999998</v>
      </c>
      <c r="D329">
        <v>0.30499999999999999</v>
      </c>
      <c r="E329">
        <v>0.32350000000000001</v>
      </c>
      <c r="F329">
        <v>5524000.4299999997</v>
      </c>
      <c r="G329">
        <v>0</v>
      </c>
      <c r="L329" t="s">
        <v>8</v>
      </c>
      <c r="M329" t="s">
        <v>8</v>
      </c>
      <c r="N329" t="s">
        <v>7</v>
      </c>
      <c r="P329">
        <f t="shared" si="969"/>
        <v>0.65919282511211008</v>
      </c>
      <c r="Q329">
        <f t="shared" si="970"/>
        <v>3641381.4493722105</v>
      </c>
      <c r="R329">
        <f t="shared" si="971"/>
        <v>-33411499.511157222</v>
      </c>
      <c r="S329">
        <f t="shared" si="972"/>
        <v>-334.11499511157223</v>
      </c>
      <c r="T329">
        <f t="shared" si="973"/>
        <v>-0.33411499511157222</v>
      </c>
    </row>
    <row r="330" spans="1:20" x14ac:dyDescent="0.25">
      <c r="A330" s="5">
        <v>44263</v>
      </c>
      <c r="B330">
        <v>0.31690000000000002</v>
      </c>
      <c r="C330">
        <v>0.318</v>
      </c>
      <c r="D330">
        <v>0.29630000000000001</v>
      </c>
      <c r="E330">
        <v>0.31530000000000002</v>
      </c>
      <c r="F330">
        <v>6555230.6299999999</v>
      </c>
      <c r="G330">
        <v>0</v>
      </c>
      <c r="L330" t="s">
        <v>7</v>
      </c>
      <c r="M330" t="s">
        <v>8</v>
      </c>
      <c r="N330" t="s">
        <v>7</v>
      </c>
      <c r="P330">
        <f t="shared" si="969"/>
        <v>0.75115207373272064</v>
      </c>
      <c r="Q330">
        <f t="shared" si="970"/>
        <v>4923975.0815207483</v>
      </c>
      <c r="R330">
        <f t="shared" si="971"/>
        <v>-37052880.960529432</v>
      </c>
      <c r="S330">
        <f t="shared" si="972"/>
        <v>-370.52880960529433</v>
      </c>
      <c r="T330">
        <f t="shared" si="973"/>
        <v>-0.37052880960529433</v>
      </c>
    </row>
    <row r="331" spans="1:20" x14ac:dyDescent="0.25">
      <c r="A331" s="5">
        <v>44262</v>
      </c>
      <c r="B331">
        <v>0.29949999999999999</v>
      </c>
      <c r="C331">
        <v>0.3362</v>
      </c>
      <c r="D331">
        <v>0.28999999999999998</v>
      </c>
      <c r="E331">
        <v>0.31719999999999998</v>
      </c>
      <c r="F331">
        <v>13204963.65</v>
      </c>
      <c r="G331">
        <v>0</v>
      </c>
      <c r="L331" t="s">
        <v>8</v>
      </c>
      <c r="M331" t="s">
        <v>8</v>
      </c>
      <c r="N331" t="s">
        <v>7</v>
      </c>
      <c r="P331">
        <f t="shared" si="969"/>
        <v>0.17748917748917709</v>
      </c>
      <c r="Q331">
        <f t="shared" si="970"/>
        <v>2343738.1370129818</v>
      </c>
      <c r="R331">
        <f t="shared" si="971"/>
        <v>-41976856.042050183</v>
      </c>
      <c r="S331">
        <f t="shared" si="972"/>
        <v>-419.76856042050184</v>
      </c>
      <c r="T331">
        <f t="shared" si="973"/>
        <v>-0.41976856042050187</v>
      </c>
    </row>
    <row r="332" spans="1:20" x14ac:dyDescent="0.25">
      <c r="A332" s="5">
        <v>44261</v>
      </c>
      <c r="B332">
        <v>0.2883</v>
      </c>
      <c r="C332">
        <v>0.3029</v>
      </c>
      <c r="D332">
        <v>0.28000000000000003</v>
      </c>
      <c r="E332">
        <v>0.29959999999999998</v>
      </c>
      <c r="F332">
        <v>4603039.59</v>
      </c>
      <c r="G332">
        <v>0</v>
      </c>
      <c r="L332" t="s">
        <v>8</v>
      </c>
      <c r="M332" t="s">
        <v>7</v>
      </c>
      <c r="N332" t="s">
        <v>7</v>
      </c>
      <c r="P332">
        <f t="shared" si="969"/>
        <v>0.71179039301309799</v>
      </c>
      <c r="Q332">
        <f t="shared" si="970"/>
        <v>3276399.3588209492</v>
      </c>
      <c r="R332">
        <f t="shared" si="971"/>
        <v>-44320594.179063164</v>
      </c>
      <c r="S332">
        <f t="shared" si="972"/>
        <v>-443.20594179063164</v>
      </c>
      <c r="T332">
        <f t="shared" si="973"/>
        <v>-0.44320594179063166</v>
      </c>
    </row>
    <row r="333" spans="1:20" x14ac:dyDescent="0.25">
      <c r="A333" s="5">
        <v>44260</v>
      </c>
      <c r="B333">
        <v>0.29220000000000002</v>
      </c>
      <c r="C333">
        <v>0.29220000000000002</v>
      </c>
      <c r="D333">
        <v>0.27</v>
      </c>
      <c r="E333">
        <v>0.2873</v>
      </c>
      <c r="F333">
        <v>3723812.11</v>
      </c>
      <c r="G333">
        <v>0</v>
      </c>
      <c r="L333" t="s">
        <v>7</v>
      </c>
      <c r="M333" t="s">
        <v>7</v>
      </c>
      <c r="N333" t="s">
        <v>7</v>
      </c>
      <c r="P333">
        <f t="shared" si="969"/>
        <v>0.55855855855855707</v>
      </c>
      <c r="Q333">
        <f t="shared" si="970"/>
        <v>2079967.1245044989</v>
      </c>
      <c r="R333">
        <f t="shared" si="971"/>
        <v>-47596993.537884116</v>
      </c>
      <c r="S333">
        <f t="shared" si="972"/>
        <v>-475.96993537884117</v>
      </c>
      <c r="T333">
        <f t="shared" si="973"/>
        <v>-0.47596993537884119</v>
      </c>
    </row>
    <row r="334" spans="1:20" x14ac:dyDescent="0.25">
      <c r="A334" s="5">
        <v>44259</v>
      </c>
      <c r="B334">
        <v>0.30640000000000001</v>
      </c>
      <c r="C334">
        <v>0.30809999999999998</v>
      </c>
      <c r="D334">
        <v>0.28010000000000002</v>
      </c>
      <c r="E334">
        <v>0.29220000000000002</v>
      </c>
      <c r="F334">
        <v>5339720.76</v>
      </c>
      <c r="G334">
        <v>0</v>
      </c>
      <c r="L334" t="s">
        <v>7</v>
      </c>
      <c r="M334" t="s">
        <v>7</v>
      </c>
      <c r="N334" t="s">
        <v>7</v>
      </c>
      <c r="P334">
        <f t="shared" si="969"/>
        <v>-0.13571428571428479</v>
      </c>
      <c r="Q334">
        <f t="shared" si="970"/>
        <v>-724676.38885713788</v>
      </c>
      <c r="R334">
        <f t="shared" si="971"/>
        <v>-49676960.662388615</v>
      </c>
      <c r="S334">
        <f t="shared" si="972"/>
        <v>-496.76960662388615</v>
      </c>
      <c r="T334">
        <f t="shared" si="973"/>
        <v>-0.49676960662388614</v>
      </c>
    </row>
    <row r="335" spans="1:20" x14ac:dyDescent="0.25">
      <c r="A335" s="5">
        <v>44258</v>
      </c>
      <c r="B335">
        <v>0.29970000000000002</v>
      </c>
      <c r="C335">
        <v>0.31019999999999998</v>
      </c>
      <c r="D335">
        <v>0.29010000000000002</v>
      </c>
      <c r="E335">
        <v>0.30659999999999998</v>
      </c>
      <c r="F335">
        <v>7944792.2000000002</v>
      </c>
      <c r="G335">
        <v>0</v>
      </c>
      <c r="L335" t="s">
        <v>8</v>
      </c>
      <c r="M335" t="s">
        <v>7</v>
      </c>
      <c r="N335" t="s">
        <v>7</v>
      </c>
      <c r="P335">
        <f t="shared" si="969"/>
        <v>0.64179104477611937</v>
      </c>
      <c r="Q335">
        <f t="shared" si="970"/>
        <v>5098896.4865671638</v>
      </c>
      <c r="R335">
        <f t="shared" si="971"/>
        <v>-48952284.273531474</v>
      </c>
      <c r="S335">
        <f t="shared" si="972"/>
        <v>-489.52284273531473</v>
      </c>
      <c r="T335">
        <f t="shared" si="973"/>
        <v>-0.48952284273531471</v>
      </c>
    </row>
    <row r="336" spans="1:20" x14ac:dyDescent="0.25">
      <c r="A336" s="5">
        <v>44257</v>
      </c>
      <c r="B336">
        <v>0.31909999999999999</v>
      </c>
      <c r="C336">
        <v>0.31909999999999999</v>
      </c>
      <c r="D336">
        <v>0.27910000000000001</v>
      </c>
      <c r="E336">
        <v>0.29980000000000001</v>
      </c>
      <c r="F336">
        <v>11037106.17</v>
      </c>
      <c r="G336">
        <v>0</v>
      </c>
      <c r="L336" t="s">
        <v>7</v>
      </c>
      <c r="M336" t="s">
        <v>7</v>
      </c>
      <c r="N336" t="s">
        <v>7</v>
      </c>
      <c r="P336">
        <f t="shared" si="969"/>
        <v>3.5000000000000329E-2</v>
      </c>
      <c r="Q336">
        <f t="shared" si="970"/>
        <v>386298.71595000365</v>
      </c>
      <c r="R336">
        <f t="shared" si="971"/>
        <v>-54051180.760098636</v>
      </c>
      <c r="S336">
        <f t="shared" si="972"/>
        <v>-540.51180760098634</v>
      </c>
      <c r="T336">
        <f t="shared" si="973"/>
        <v>-0.54051180760098638</v>
      </c>
    </row>
    <row r="337" spans="1:20" x14ac:dyDescent="0.25">
      <c r="A337" s="5">
        <v>44256</v>
      </c>
      <c r="B337">
        <v>0.29289999999999999</v>
      </c>
      <c r="C337">
        <v>0.3241</v>
      </c>
      <c r="D337">
        <v>0.2843</v>
      </c>
      <c r="E337">
        <v>0.31900000000000001</v>
      </c>
      <c r="F337">
        <v>20780079.030000001</v>
      </c>
      <c r="G337">
        <v>0</v>
      </c>
      <c r="L337" t="s">
        <v>8</v>
      </c>
      <c r="M337" t="s">
        <v>7</v>
      </c>
      <c r="N337" t="s">
        <v>7</v>
      </c>
      <c r="P337">
        <f t="shared" si="969"/>
        <v>0.74371859296482445</v>
      </c>
      <c r="Q337">
        <f t="shared" si="970"/>
        <v>15454531.137889454</v>
      </c>
      <c r="R337">
        <f t="shared" si="971"/>
        <v>-54437479.476048641</v>
      </c>
      <c r="S337">
        <f t="shared" si="972"/>
        <v>-544.37479476048645</v>
      </c>
      <c r="T337">
        <f t="shared" si="973"/>
        <v>-0.54437479476048645</v>
      </c>
    </row>
    <row r="338" spans="1:20" x14ac:dyDescent="0.25">
      <c r="A338" s="5">
        <v>44255</v>
      </c>
      <c r="B338">
        <v>0.36720000000000003</v>
      </c>
      <c r="C338">
        <v>0.36730000000000002</v>
      </c>
      <c r="D338">
        <v>0.2727</v>
      </c>
      <c r="E338">
        <v>0.29310000000000003</v>
      </c>
      <c r="F338">
        <v>76132292.329999998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-0.56871035940803327</v>
      </c>
      <c r="Q338">
        <f t="shared" si="970"/>
        <v>-43297223.333551757</v>
      </c>
      <c r="R338">
        <f t="shared" si="971"/>
        <v>-69892010.613938093</v>
      </c>
      <c r="S338">
        <f t="shared" si="972"/>
        <v>-698.92010613938089</v>
      </c>
      <c r="T338">
        <f t="shared" si="973"/>
        <v>-0.69892010613938094</v>
      </c>
    </row>
    <row r="339" spans="1:20" x14ac:dyDescent="0.25">
      <c r="A339" s="5">
        <v>44254</v>
      </c>
      <c r="B339">
        <v>0.24460000000000001</v>
      </c>
      <c r="C339">
        <v>0.44950000000000001</v>
      </c>
      <c r="D339">
        <v>0.24149999999999999</v>
      </c>
      <c r="E339">
        <v>0.3674</v>
      </c>
      <c r="F339">
        <v>232080863.33000001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0.21057692307692308</v>
      </c>
      <c r="Q339">
        <f t="shared" si="970"/>
        <v>48870874.105067313</v>
      </c>
      <c r="R339">
        <f t="shared" si="971"/>
        <v>-26594787.280386329</v>
      </c>
      <c r="S339">
        <f t="shared" si="972"/>
        <v>-265.94787280386328</v>
      </c>
      <c r="T339">
        <f t="shared" si="973"/>
        <v>-0.26594787280386328</v>
      </c>
    </row>
    <row r="340" spans="1:20" x14ac:dyDescent="0.25">
      <c r="A340" s="5">
        <v>44253</v>
      </c>
      <c r="B340">
        <v>0.22140000000000001</v>
      </c>
      <c r="C340">
        <v>0.25190000000000001</v>
      </c>
      <c r="D340">
        <v>0.21340000000000001</v>
      </c>
      <c r="E340">
        <v>0.24340000000000001</v>
      </c>
      <c r="F340">
        <v>10338377.210000001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0.55844155844155807</v>
      </c>
      <c r="Q340">
        <f t="shared" si="970"/>
        <v>5773379.4809090877</v>
      </c>
      <c r="R340">
        <f t="shared" si="971"/>
        <v>-75465661.385453641</v>
      </c>
      <c r="S340">
        <f t="shared" si="972"/>
        <v>-754.65661385453643</v>
      </c>
      <c r="T340">
        <f t="shared" si="973"/>
        <v>-0.75465661385453642</v>
      </c>
    </row>
    <row r="341" spans="1:20" x14ac:dyDescent="0.25">
      <c r="A341" s="5">
        <v>44252</v>
      </c>
      <c r="B341">
        <v>0.22320000000000001</v>
      </c>
      <c r="C341">
        <v>0.29730000000000001</v>
      </c>
      <c r="D341">
        <v>0.21970000000000001</v>
      </c>
      <c r="E341">
        <v>0.22090000000000001</v>
      </c>
      <c r="F341">
        <v>18899814.43</v>
      </c>
      <c r="G341">
        <v>0</v>
      </c>
      <c r="L341" t="s">
        <v>8</v>
      </c>
      <c r="M341" t="s">
        <v>8</v>
      </c>
      <c r="N341" t="s">
        <v>8</v>
      </c>
      <c r="P341">
        <f t="shared" si="969"/>
        <v>-0.96907216494845339</v>
      </c>
      <c r="Q341">
        <f t="shared" si="970"/>
        <v>-18315284.086804118</v>
      </c>
      <c r="R341">
        <f t="shared" si="971"/>
        <v>-81239040.866362736</v>
      </c>
      <c r="S341">
        <f t="shared" si="972"/>
        <v>-812.39040866362734</v>
      </c>
      <c r="T341">
        <f t="shared" si="973"/>
        <v>-0.81239040866362733</v>
      </c>
    </row>
    <row r="342" spans="1:20" x14ac:dyDescent="0.25">
      <c r="A342" s="5">
        <v>44251</v>
      </c>
      <c r="B342">
        <v>0.21079999999999999</v>
      </c>
      <c r="C342">
        <v>0.23749999999999999</v>
      </c>
      <c r="D342">
        <v>0.19539999999999999</v>
      </c>
      <c r="E342">
        <v>0.223</v>
      </c>
      <c r="F342">
        <v>10810408.77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0.31116389548693657</v>
      </c>
      <c r="Q342">
        <f t="shared" si="970"/>
        <v>3363808.9046793422</v>
      </c>
      <c r="R342">
        <f t="shared" si="971"/>
        <v>-62923756.779558621</v>
      </c>
      <c r="S342">
        <f t="shared" si="972"/>
        <v>-629.23756779558619</v>
      </c>
      <c r="T342">
        <f t="shared" si="973"/>
        <v>-0.62923756779558615</v>
      </c>
    </row>
    <row r="343" spans="1:20" x14ac:dyDescent="0.25">
      <c r="A343" s="5">
        <v>44250</v>
      </c>
      <c r="B343">
        <v>0.28050000000000003</v>
      </c>
      <c r="C343">
        <v>0.28989999999999999</v>
      </c>
      <c r="D343">
        <v>0.17</v>
      </c>
      <c r="E343">
        <v>0.21079999999999999</v>
      </c>
      <c r="F343">
        <v>15047782.130000001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-0.31943286071726468</v>
      </c>
      <c r="Q343">
        <f t="shared" si="970"/>
        <v>-4806756.0932360347</v>
      </c>
      <c r="R343">
        <f t="shared" si="971"/>
        <v>-66287565.684237964</v>
      </c>
      <c r="S343">
        <f t="shared" si="972"/>
        <v>-662.87565684237961</v>
      </c>
      <c r="T343">
        <f t="shared" si="973"/>
        <v>-0.66287565684237959</v>
      </c>
    </row>
    <row r="344" spans="1:20" x14ac:dyDescent="0.25">
      <c r="A344" s="5">
        <v>44249</v>
      </c>
      <c r="B344">
        <v>0.32890000000000003</v>
      </c>
      <c r="C344">
        <v>0.33210000000000001</v>
      </c>
      <c r="D344">
        <v>0.23350000000000001</v>
      </c>
      <c r="E344">
        <v>0.28060000000000002</v>
      </c>
      <c r="F344">
        <v>11639909.689999999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-4.4624746450304134E-2</v>
      </c>
      <c r="Q344">
        <f t="shared" si="970"/>
        <v>-519428.01862068818</v>
      </c>
      <c r="R344">
        <f t="shared" si="971"/>
        <v>-61480809.591001928</v>
      </c>
      <c r="S344">
        <f t="shared" si="972"/>
        <v>-614.80809591001923</v>
      </c>
      <c r="T344">
        <f t="shared" si="973"/>
        <v>-0.61480809591001928</v>
      </c>
    </row>
    <row r="345" spans="1:20" x14ac:dyDescent="0.25">
      <c r="A345" s="5">
        <v>44248</v>
      </c>
      <c r="B345">
        <v>0.30120000000000002</v>
      </c>
      <c r="C345">
        <v>0.34089999999999998</v>
      </c>
      <c r="D345">
        <v>0.29360000000000003</v>
      </c>
      <c r="E345">
        <v>0.3276</v>
      </c>
      <c r="F345">
        <v>9795775.7899999991</v>
      </c>
      <c r="G345">
        <v>0</v>
      </c>
      <c r="L345" t="s">
        <v>8</v>
      </c>
      <c r="M345" t="s">
        <v>8</v>
      </c>
      <c r="N345" t="s">
        <v>7</v>
      </c>
      <c r="P345">
        <f t="shared" si="969"/>
        <v>0.43763213530655426</v>
      </c>
      <c r="Q345">
        <f t="shared" si="970"/>
        <v>4286946.2759619476</v>
      </c>
      <c r="R345">
        <f t="shared" si="971"/>
        <v>-60961381.572381243</v>
      </c>
      <c r="S345">
        <f t="shared" si="972"/>
        <v>-609.61381572381242</v>
      </c>
      <c r="T345">
        <f t="shared" si="973"/>
        <v>-0.60961381572381246</v>
      </c>
    </row>
    <row r="346" spans="1:20" x14ac:dyDescent="0.25">
      <c r="A346" s="5">
        <v>44247</v>
      </c>
      <c r="B346">
        <v>0.32540000000000002</v>
      </c>
      <c r="C346">
        <v>0.32540000000000002</v>
      </c>
      <c r="D346">
        <v>0.2918</v>
      </c>
      <c r="E346">
        <v>0.3</v>
      </c>
      <c r="F346">
        <v>6732324.0099999998</v>
      </c>
      <c r="G346">
        <v>0</v>
      </c>
      <c r="L346" t="s">
        <v>8</v>
      </c>
      <c r="M346" t="s">
        <v>8</v>
      </c>
      <c r="N346" t="s">
        <v>7</v>
      </c>
      <c r="P346">
        <f t="shared" si="969"/>
        <v>-0.51190476190476308</v>
      </c>
      <c r="Q346">
        <f t="shared" si="970"/>
        <v>-3446308.7194047696</v>
      </c>
      <c r="R346">
        <f t="shared" si="971"/>
        <v>-65248327.848343194</v>
      </c>
      <c r="S346">
        <f t="shared" si="972"/>
        <v>-652.48327848343195</v>
      </c>
      <c r="T346">
        <f t="shared" si="973"/>
        <v>-0.65248327848343191</v>
      </c>
    </row>
    <row r="347" spans="1:20" x14ac:dyDescent="0.25">
      <c r="A347" s="5">
        <v>44246</v>
      </c>
      <c r="B347">
        <v>0.32650000000000001</v>
      </c>
      <c r="C347">
        <v>0.3286</v>
      </c>
      <c r="D347">
        <v>0.28799999999999998</v>
      </c>
      <c r="E347">
        <v>0.32640000000000002</v>
      </c>
      <c r="F347">
        <v>11860029.42</v>
      </c>
      <c r="G347">
        <v>0</v>
      </c>
      <c r="L347" t="s">
        <v>7</v>
      </c>
      <c r="M347" t="s">
        <v>8</v>
      </c>
      <c r="N347" t="s">
        <v>7</v>
      </c>
      <c r="P347">
        <f t="shared" si="969"/>
        <v>0.89162561576354782</v>
      </c>
      <c r="Q347">
        <f t="shared" si="970"/>
        <v>10574706.034581292</v>
      </c>
      <c r="R347">
        <f t="shared" si="971"/>
        <v>-61802019.128938422</v>
      </c>
      <c r="S347">
        <f t="shared" si="972"/>
        <v>-618.02019128938423</v>
      </c>
      <c r="T347">
        <f t="shared" si="973"/>
        <v>-0.61802019128938424</v>
      </c>
    </row>
    <row r="348" spans="1:20" x14ac:dyDescent="0.25">
      <c r="A348" s="5">
        <v>44245</v>
      </c>
      <c r="B348">
        <v>0.29530000000000001</v>
      </c>
      <c r="C348">
        <v>0.33040000000000003</v>
      </c>
      <c r="D348">
        <v>0.28599999999999998</v>
      </c>
      <c r="E348">
        <v>0.32619999999999999</v>
      </c>
      <c r="F348">
        <v>15006213.130000001</v>
      </c>
      <c r="G348">
        <v>0</v>
      </c>
      <c r="L348" t="s">
        <v>8</v>
      </c>
      <c r="M348" t="s">
        <v>8</v>
      </c>
      <c r="N348" t="s">
        <v>7</v>
      </c>
      <c r="P348">
        <f t="shared" si="969"/>
        <v>0.81081081081080941</v>
      </c>
      <c r="Q348">
        <f t="shared" si="970"/>
        <v>12167199.835135115</v>
      </c>
      <c r="R348">
        <f t="shared" si="971"/>
        <v>-72376725.16351971</v>
      </c>
      <c r="S348">
        <f t="shared" si="972"/>
        <v>-723.76725163519711</v>
      </c>
      <c r="T348">
        <f t="shared" si="973"/>
        <v>-0.72376725163519706</v>
      </c>
    </row>
    <row r="349" spans="1:20" x14ac:dyDescent="0.25">
      <c r="A349" s="5">
        <v>44244</v>
      </c>
      <c r="B349">
        <v>0.308</v>
      </c>
      <c r="C349">
        <v>0.3115</v>
      </c>
      <c r="D349">
        <v>0.27760000000000001</v>
      </c>
      <c r="E349">
        <v>0.29580000000000001</v>
      </c>
      <c r="F349">
        <v>17910549.940000001</v>
      </c>
      <c r="G349">
        <v>0</v>
      </c>
      <c r="L349" t="s">
        <v>7</v>
      </c>
      <c r="M349" t="s">
        <v>7</v>
      </c>
      <c r="N349" t="s">
        <v>7</v>
      </c>
      <c r="P349">
        <f t="shared" si="969"/>
        <v>7.3746312684365878E-2</v>
      </c>
      <c r="Q349">
        <f t="shared" si="970"/>
        <v>1320837.0162241906</v>
      </c>
      <c r="R349">
        <f t="shared" si="971"/>
        <v>-84543924.998654827</v>
      </c>
      <c r="S349">
        <f t="shared" si="972"/>
        <v>-845.43924998654825</v>
      </c>
      <c r="T349">
        <f t="shared" si="973"/>
        <v>-0.84543924998654829</v>
      </c>
    </row>
    <row r="350" spans="1:20" x14ac:dyDescent="0.25">
      <c r="A350" s="5">
        <v>44243</v>
      </c>
      <c r="B350">
        <v>0.33510000000000001</v>
      </c>
      <c r="C350">
        <v>0.37609999999999999</v>
      </c>
      <c r="D350">
        <v>0.29420000000000002</v>
      </c>
      <c r="E350">
        <v>0.30769999999999997</v>
      </c>
      <c r="F350">
        <v>54201371.450000003</v>
      </c>
      <c r="G350">
        <v>0</v>
      </c>
      <c r="L350" t="s">
        <v>7</v>
      </c>
      <c r="M350" t="s">
        <v>7</v>
      </c>
      <c r="N350" t="s">
        <v>7</v>
      </c>
      <c r="P350">
        <f t="shared" si="969"/>
        <v>-0.67032967032967128</v>
      </c>
      <c r="Q350">
        <f t="shared" si="970"/>
        <v>-36332787.45549456</v>
      </c>
      <c r="R350">
        <f t="shared" si="971"/>
        <v>-85864762.014879018</v>
      </c>
      <c r="S350">
        <f t="shared" si="972"/>
        <v>-858.64762014879022</v>
      </c>
      <c r="T350">
        <f t="shared" si="973"/>
        <v>-0.85864762014879026</v>
      </c>
    </row>
    <row r="351" spans="1:20" x14ac:dyDescent="0.25">
      <c r="A351" s="5">
        <v>44242</v>
      </c>
      <c r="B351">
        <v>0.24679999999999999</v>
      </c>
      <c r="C351">
        <v>0.42880000000000001</v>
      </c>
      <c r="D351">
        <v>0.2021</v>
      </c>
      <c r="E351">
        <v>0.33500000000000002</v>
      </c>
      <c r="F351">
        <v>195956597.80000001</v>
      </c>
      <c r="G351">
        <v>0</v>
      </c>
      <c r="L351" t="s">
        <v>8</v>
      </c>
      <c r="M351" t="s">
        <v>8</v>
      </c>
      <c r="N351" t="s">
        <v>8</v>
      </c>
      <c r="P351">
        <f t="shared" si="969"/>
        <v>0.17247463608292907</v>
      </c>
      <c r="Q351">
        <f t="shared" si="970"/>
        <v>33797542.893603899</v>
      </c>
      <c r="R351">
        <f t="shared" si="971"/>
        <v>-49531974.559384458</v>
      </c>
      <c r="S351">
        <f t="shared" si="972"/>
        <v>-495.31974559384457</v>
      </c>
      <c r="T351">
        <f t="shared" si="973"/>
        <v>-0.49531974559384456</v>
      </c>
    </row>
    <row r="352" spans="1:20" x14ac:dyDescent="0.25">
      <c r="A352" s="5">
        <v>44241</v>
      </c>
      <c r="B352">
        <v>0.24229999999999999</v>
      </c>
      <c r="C352">
        <v>0.27179999999999999</v>
      </c>
      <c r="D352">
        <v>0.215</v>
      </c>
      <c r="E352">
        <v>0.24679999999999999</v>
      </c>
      <c r="F352">
        <v>22508542.859999999</v>
      </c>
      <c r="G352">
        <v>0</v>
      </c>
      <c r="L352" t="s">
        <v>8</v>
      </c>
      <c r="M352" t="s">
        <v>8</v>
      </c>
      <c r="N352" t="s">
        <v>8</v>
      </c>
      <c r="P352">
        <f t="shared" si="969"/>
        <v>0.11971830985915496</v>
      </c>
      <c r="Q352">
        <f t="shared" si="970"/>
        <v>2694684.7085915501</v>
      </c>
      <c r="R352">
        <f t="shared" si="971"/>
        <v>-83329517.452988356</v>
      </c>
      <c r="S352">
        <f t="shared" si="972"/>
        <v>-833.29517452988352</v>
      </c>
      <c r="T352">
        <f t="shared" si="973"/>
        <v>-0.83329517452988355</v>
      </c>
    </row>
    <row r="353" spans="1:20" x14ac:dyDescent="0.25">
      <c r="A353" s="5">
        <v>44240</v>
      </c>
      <c r="B353">
        <v>0.23799999999999999</v>
      </c>
      <c r="C353">
        <v>0.251</v>
      </c>
      <c r="D353">
        <v>0.21210000000000001</v>
      </c>
      <c r="E353">
        <v>0.2412</v>
      </c>
      <c r="F353">
        <v>19831669.239999998</v>
      </c>
      <c r="G353">
        <v>0</v>
      </c>
      <c r="L353" t="s">
        <v>7</v>
      </c>
      <c r="M353" t="s">
        <v>8</v>
      </c>
      <c r="N353" t="s">
        <v>8</v>
      </c>
      <c r="P353">
        <f t="shared" si="969"/>
        <v>0.49614395886889429</v>
      </c>
      <c r="Q353">
        <f t="shared" si="970"/>
        <v>9839362.8877120744</v>
      </c>
      <c r="R353">
        <f t="shared" si="971"/>
        <v>-86024202.161579907</v>
      </c>
      <c r="S353">
        <f t="shared" si="972"/>
        <v>-860.2420216157991</v>
      </c>
      <c r="T353">
        <f t="shared" si="973"/>
        <v>-0.8602420216157991</v>
      </c>
    </row>
    <row r="354" spans="1:20" x14ac:dyDescent="0.25">
      <c r="A354" s="5">
        <v>44239</v>
      </c>
      <c r="B354">
        <v>0.2296</v>
      </c>
      <c r="C354">
        <v>0.254</v>
      </c>
      <c r="D354">
        <v>0.21279999999999999</v>
      </c>
      <c r="E354">
        <v>0.23799999999999999</v>
      </c>
      <c r="F354">
        <v>15768680.1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0.22330097087378598</v>
      </c>
      <c r="Q354">
        <f t="shared" si="970"/>
        <v>3521161.5757281482</v>
      </c>
      <c r="R354">
        <f t="shared" si="971"/>
        <v>-95863565.049291983</v>
      </c>
      <c r="S354">
        <f t="shared" si="972"/>
        <v>-958.63565049291981</v>
      </c>
      <c r="T354">
        <f t="shared" si="973"/>
        <v>-0.95863565049291977</v>
      </c>
    </row>
    <row r="355" spans="1:20" x14ac:dyDescent="0.25">
      <c r="A355" s="5">
        <v>44238</v>
      </c>
      <c r="B355">
        <v>0.21329999999999999</v>
      </c>
      <c r="C355">
        <v>0.23899999999999999</v>
      </c>
      <c r="D355">
        <v>0.20780000000000001</v>
      </c>
      <c r="E355">
        <v>0.22969999999999999</v>
      </c>
      <c r="F355">
        <v>13525363.73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0.40384615384615324</v>
      </c>
      <c r="Q355">
        <f t="shared" si="970"/>
        <v>5462166.1217307616</v>
      </c>
      <c r="R355">
        <f t="shared" si="971"/>
        <v>-99384726.625020131</v>
      </c>
      <c r="S355">
        <f t="shared" si="972"/>
        <v>-993.8472662502013</v>
      </c>
      <c r="T355">
        <f t="shared" si="973"/>
        <v>-0.99384726625020126</v>
      </c>
    </row>
    <row r="356" spans="1:20" x14ac:dyDescent="0.25">
      <c r="A356" s="5">
        <v>44237</v>
      </c>
      <c r="B356">
        <v>0.1933</v>
      </c>
      <c r="C356">
        <v>0.22209999999999999</v>
      </c>
      <c r="D356">
        <v>0.1741</v>
      </c>
      <c r="E356">
        <v>0.21329999999999999</v>
      </c>
      <c r="F356">
        <v>20608479.280000001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0.63333333333333319</v>
      </c>
      <c r="Q356">
        <f t="shared" si="970"/>
        <v>13052036.877333332</v>
      </c>
      <c r="R356">
        <f t="shared" si="971"/>
        <v>-104846892.74675089</v>
      </c>
      <c r="S356">
        <f t="shared" si="972"/>
        <v>-1048.4689274675088</v>
      </c>
      <c r="T356">
        <f t="shared" si="973"/>
        <v>-1.0484689274675087</v>
      </c>
    </row>
    <row r="357" spans="1:20" x14ac:dyDescent="0.25">
      <c r="A357" s="5">
        <v>44236</v>
      </c>
      <c r="B357">
        <v>0.17680000000000001</v>
      </c>
      <c r="C357">
        <v>0.217</v>
      </c>
      <c r="D357">
        <v>0.17019999999999999</v>
      </c>
      <c r="E357">
        <v>0.1933</v>
      </c>
      <c r="F357">
        <v>25129048.59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-1.2820512820512593E-2</v>
      </c>
      <c r="Q357">
        <f t="shared" si="970"/>
        <v>-322167.28961537889</v>
      </c>
      <c r="R357">
        <f t="shared" si="971"/>
        <v>-117898929.62408422</v>
      </c>
      <c r="S357">
        <f t="shared" si="972"/>
        <v>-1178.9892962408421</v>
      </c>
      <c r="T357">
        <f t="shared" si="973"/>
        <v>-1.1789892962408421</v>
      </c>
    </row>
    <row r="358" spans="1:20" x14ac:dyDescent="0.25">
      <c r="A358" s="5">
        <v>44235</v>
      </c>
      <c r="B358">
        <v>0.15770000000000001</v>
      </c>
      <c r="C358">
        <v>0.182</v>
      </c>
      <c r="D358">
        <v>0.1547</v>
      </c>
      <c r="E358">
        <v>0.17680000000000001</v>
      </c>
      <c r="F358">
        <v>15228512.82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0.61904761904762018</v>
      </c>
      <c r="Q358">
        <f t="shared" si="970"/>
        <v>9427174.6028571595</v>
      </c>
      <c r="R358">
        <f t="shared" si="971"/>
        <v>-117576762.33446884</v>
      </c>
      <c r="S358">
        <f t="shared" si="972"/>
        <v>-1175.7676233446884</v>
      </c>
      <c r="T358">
        <f t="shared" si="973"/>
        <v>-1.1757676233446885</v>
      </c>
    </row>
    <row r="359" spans="1:20" x14ac:dyDescent="0.25">
      <c r="A359" s="5">
        <v>44234</v>
      </c>
      <c r="B359">
        <v>0.16239999999999999</v>
      </c>
      <c r="C359">
        <v>0.16239999999999999</v>
      </c>
      <c r="D359">
        <v>0.15</v>
      </c>
      <c r="E359">
        <v>0.15809999999999999</v>
      </c>
      <c r="F359">
        <v>5133525.63</v>
      </c>
      <c r="G359">
        <v>0</v>
      </c>
      <c r="L359" t="s">
        <v>7</v>
      </c>
      <c r="M359" t="s">
        <v>8</v>
      </c>
      <c r="N359" t="s">
        <v>8</v>
      </c>
      <c r="P359">
        <f t="shared" si="969"/>
        <v>0.30645161290322576</v>
      </c>
      <c r="Q359">
        <f t="shared" si="970"/>
        <v>1573177.2091935482</v>
      </c>
      <c r="R359">
        <f t="shared" si="971"/>
        <v>-127003936.937326</v>
      </c>
      <c r="S359">
        <f t="shared" si="972"/>
        <v>-1270.0393693732599</v>
      </c>
      <c r="T359">
        <f t="shared" si="973"/>
        <v>-1.2700393693732599</v>
      </c>
    </row>
    <row r="360" spans="1:20" x14ac:dyDescent="0.25">
      <c r="A360" s="5">
        <v>44233</v>
      </c>
      <c r="B360">
        <v>0.1721</v>
      </c>
      <c r="C360">
        <v>0.17799999999999999</v>
      </c>
      <c r="D360">
        <v>0.15709999999999999</v>
      </c>
      <c r="E360">
        <v>0.16239999999999999</v>
      </c>
      <c r="F360">
        <v>8242310.0999999996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-0.49282296650717716</v>
      </c>
      <c r="Q360">
        <f t="shared" si="970"/>
        <v>-4061999.714354068</v>
      </c>
      <c r="R360">
        <f t="shared" si="971"/>
        <v>-128577114.14651954</v>
      </c>
      <c r="S360">
        <f t="shared" si="972"/>
        <v>-1285.7711414651953</v>
      </c>
      <c r="T360">
        <f t="shared" si="973"/>
        <v>-1.2857711414651953</v>
      </c>
    </row>
    <row r="361" spans="1:20" x14ac:dyDescent="0.25">
      <c r="A361" s="5">
        <v>44232</v>
      </c>
      <c r="B361">
        <v>0.15790000000000001</v>
      </c>
      <c r="C361">
        <v>0.17319999999999999</v>
      </c>
      <c r="D361">
        <v>0.153</v>
      </c>
      <c r="E361">
        <v>0.17230000000000001</v>
      </c>
      <c r="F361">
        <v>14976819.039999999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0.91089108910891248</v>
      </c>
      <c r="Q361">
        <f t="shared" si="970"/>
        <v>13642251.006732697</v>
      </c>
      <c r="R361">
        <f t="shared" si="971"/>
        <v>-124515114.43216547</v>
      </c>
      <c r="S361">
        <f t="shared" si="972"/>
        <v>-1245.1511443216548</v>
      </c>
      <c r="T361">
        <f t="shared" si="973"/>
        <v>-1.2451511443216547</v>
      </c>
    </row>
    <row r="362" spans="1:20" x14ac:dyDescent="0.25">
      <c r="A362" s="5">
        <v>44231</v>
      </c>
      <c r="B362">
        <v>0.15379999999999999</v>
      </c>
      <c r="C362">
        <v>0.16819999999999999</v>
      </c>
      <c r="D362">
        <v>0.14729999999999999</v>
      </c>
      <c r="E362">
        <v>0.158</v>
      </c>
      <c r="F362">
        <v>9762379.2599999998</v>
      </c>
      <c r="G362">
        <v>0</v>
      </c>
      <c r="L362" t="s">
        <v>7</v>
      </c>
      <c r="M362" t="s">
        <v>7</v>
      </c>
      <c r="N362" t="s">
        <v>8</v>
      </c>
      <c r="P362">
        <f t="shared" si="969"/>
        <v>2.3923444976077901E-2</v>
      </c>
      <c r="Q362">
        <f t="shared" si="970"/>
        <v>233549.74306221408</v>
      </c>
      <c r="R362">
        <f t="shared" si="971"/>
        <v>-138157365.43889818</v>
      </c>
      <c r="S362">
        <f t="shared" si="972"/>
        <v>-1381.5736543889818</v>
      </c>
      <c r="T362">
        <f t="shared" si="973"/>
        <v>-1.3815736543889818</v>
      </c>
    </row>
    <row r="363" spans="1:20" x14ac:dyDescent="0.25">
      <c r="A363" s="5">
        <v>44230</v>
      </c>
      <c r="B363">
        <v>0.14499999999999999</v>
      </c>
      <c r="C363">
        <v>0.17499999999999999</v>
      </c>
      <c r="D363">
        <v>0.1444</v>
      </c>
      <c r="E363">
        <v>0.15379999999999999</v>
      </c>
      <c r="F363">
        <v>16152052.43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-0.38562091503268003</v>
      </c>
      <c r="Q363">
        <f t="shared" si="970"/>
        <v>-6228569.2377124233</v>
      </c>
      <c r="R363">
        <f t="shared" si="971"/>
        <v>-138390915.1819604</v>
      </c>
      <c r="S363">
        <f t="shared" si="972"/>
        <v>-1383.9091518196039</v>
      </c>
      <c r="T363">
        <f t="shared" si="973"/>
        <v>-1.3839091518196041</v>
      </c>
    </row>
    <row r="364" spans="1:20" x14ac:dyDescent="0.25">
      <c r="A364" s="5">
        <v>44229</v>
      </c>
      <c r="B364">
        <v>0.1389</v>
      </c>
      <c r="C364">
        <v>0.1462</v>
      </c>
      <c r="D364">
        <v>0.13769999999999999</v>
      </c>
      <c r="E364">
        <v>0.14499999999999999</v>
      </c>
      <c r="F364">
        <v>4301808.3</v>
      </c>
      <c r="G364">
        <v>0</v>
      </c>
      <c r="L364" t="s">
        <v>8</v>
      </c>
      <c r="M364" t="s">
        <v>7</v>
      </c>
      <c r="N364" t="s">
        <v>8</v>
      </c>
      <c r="P364">
        <f t="shared" si="969"/>
        <v>0.71764705882352808</v>
      </c>
      <c r="Q364">
        <f t="shared" si="970"/>
        <v>3087180.0741176414</v>
      </c>
      <c r="R364">
        <f t="shared" si="971"/>
        <v>-132162345.94424798</v>
      </c>
      <c r="S364">
        <f t="shared" si="972"/>
        <v>-1321.6234594424798</v>
      </c>
      <c r="T364">
        <f t="shared" si="973"/>
        <v>-1.3216234594424798</v>
      </c>
    </row>
    <row r="365" spans="1:20" x14ac:dyDescent="0.25">
      <c r="A365" s="5">
        <v>44228</v>
      </c>
      <c r="B365">
        <v>0.14030000000000001</v>
      </c>
      <c r="C365">
        <v>0.14410000000000001</v>
      </c>
      <c r="D365">
        <v>0.1353</v>
      </c>
      <c r="E365">
        <v>0.13919999999999999</v>
      </c>
      <c r="F365">
        <v>4099633.17</v>
      </c>
      <c r="G365">
        <v>0</v>
      </c>
      <c r="L365" t="s">
        <v>8</v>
      </c>
      <c r="M365" t="s">
        <v>7</v>
      </c>
      <c r="N365" t="s">
        <v>8</v>
      </c>
      <c r="P365">
        <f t="shared" si="969"/>
        <v>-0.11363636363636687</v>
      </c>
      <c r="Q365">
        <f t="shared" si="970"/>
        <v>-465867.40568183141</v>
      </c>
      <c r="R365">
        <f t="shared" si="971"/>
        <v>-135249526.01836562</v>
      </c>
      <c r="S365">
        <f t="shared" si="972"/>
        <v>-1352.4952601836562</v>
      </c>
      <c r="T365">
        <f t="shared" si="973"/>
        <v>-1.3524952601836562</v>
      </c>
    </row>
    <row r="366" spans="1:20" x14ac:dyDescent="0.25">
      <c r="A366" s="5">
        <v>44227</v>
      </c>
      <c r="B366">
        <v>0.13730000000000001</v>
      </c>
      <c r="C366">
        <v>0.14249999999999999</v>
      </c>
      <c r="D366">
        <v>0.13400000000000001</v>
      </c>
      <c r="E366">
        <v>0.14000000000000001</v>
      </c>
      <c r="F366">
        <v>5341550.82</v>
      </c>
      <c r="G366">
        <v>0</v>
      </c>
      <c r="L366" t="s">
        <v>7</v>
      </c>
      <c r="M366" t="s">
        <v>7</v>
      </c>
      <c r="N366" t="s">
        <v>8</v>
      </c>
      <c r="P366">
        <f t="shared" si="969"/>
        <v>0.41176470588235753</v>
      </c>
      <c r="Q366">
        <f t="shared" si="970"/>
        <v>2199462.1023529656</v>
      </c>
      <c r="R366">
        <f t="shared" si="971"/>
        <v>-134783658.6126838</v>
      </c>
      <c r="S366">
        <f t="shared" si="972"/>
        <v>-1347.836586126838</v>
      </c>
      <c r="T366">
        <f t="shared" si="973"/>
        <v>-1.347836586126838</v>
      </c>
    </row>
    <row r="367" spans="1:20" x14ac:dyDescent="0.25">
      <c r="A367" s="5">
        <v>44226</v>
      </c>
      <c r="B367">
        <v>0.1389</v>
      </c>
      <c r="C367">
        <v>0.1401</v>
      </c>
      <c r="D367">
        <v>0.13439999999999999</v>
      </c>
      <c r="E367">
        <v>0.13669999999999999</v>
      </c>
      <c r="F367">
        <v>2878255.1</v>
      </c>
      <c r="G367">
        <v>0</v>
      </c>
      <c r="L367" t="s">
        <v>7</v>
      </c>
      <c r="M367" t="s">
        <v>7</v>
      </c>
      <c r="N367" t="s">
        <v>8</v>
      </c>
      <c r="P367">
        <f t="shared" si="969"/>
        <v>-0.19298245614035361</v>
      </c>
      <c r="Q367">
        <f t="shared" si="970"/>
        <v>-555452.73859649908</v>
      </c>
      <c r="R367">
        <f t="shared" si="971"/>
        <v>-136983120.71503678</v>
      </c>
      <c r="S367">
        <f t="shared" si="972"/>
        <v>-1369.8312071503678</v>
      </c>
      <c r="T367">
        <f t="shared" si="973"/>
        <v>-1.3698312071503678</v>
      </c>
    </row>
    <row r="368" spans="1:20" x14ac:dyDescent="0.25">
      <c r="A368" s="5">
        <v>44225</v>
      </c>
      <c r="B368">
        <v>0.13980000000000001</v>
      </c>
      <c r="C368">
        <v>0.14910000000000001</v>
      </c>
      <c r="D368">
        <v>0.1353</v>
      </c>
      <c r="E368">
        <v>0.13950000000000001</v>
      </c>
      <c r="F368">
        <v>6591710.9500000002</v>
      </c>
      <c r="G368">
        <v>0</v>
      </c>
      <c r="L368" t="s">
        <v>8</v>
      </c>
      <c r="M368" t="s">
        <v>7</v>
      </c>
      <c r="N368" t="s">
        <v>8</v>
      </c>
      <c r="P368">
        <f t="shared" si="969"/>
        <v>-0.39130434782608592</v>
      </c>
      <c r="Q368">
        <f t="shared" si="970"/>
        <v>-2579365.1543478193</v>
      </c>
      <c r="R368">
        <f t="shared" si="971"/>
        <v>-136427667.97644028</v>
      </c>
      <c r="S368">
        <f t="shared" si="972"/>
        <v>-1364.2766797644028</v>
      </c>
      <c r="T368">
        <f t="shared" si="973"/>
        <v>-1.3642766797644028</v>
      </c>
    </row>
    <row r="369" spans="1:20" x14ac:dyDescent="0.25">
      <c r="A369" s="5">
        <v>44224</v>
      </c>
      <c r="B369">
        <v>0.13150000000000001</v>
      </c>
      <c r="C369">
        <v>0.14199999999999999</v>
      </c>
      <c r="D369">
        <v>0.12909999999999999</v>
      </c>
      <c r="E369">
        <v>0.13969999999999999</v>
      </c>
      <c r="F369">
        <v>4714367.41</v>
      </c>
      <c r="G369">
        <v>0</v>
      </c>
      <c r="L369" t="s">
        <v>8</v>
      </c>
      <c r="M369" t="s">
        <v>7</v>
      </c>
      <c r="N369" t="s">
        <v>8</v>
      </c>
      <c r="P369">
        <f t="shared" si="969"/>
        <v>0.64341085271317866</v>
      </c>
      <c r="Q369">
        <f t="shared" si="970"/>
        <v>3033275.1552713197</v>
      </c>
      <c r="R369">
        <f t="shared" si="971"/>
        <v>-133848302.82209247</v>
      </c>
      <c r="S369">
        <f t="shared" si="972"/>
        <v>-1338.4830282209248</v>
      </c>
      <c r="T369">
        <f t="shared" si="973"/>
        <v>-1.3384830282209248</v>
      </c>
    </row>
    <row r="370" spans="1:20" x14ac:dyDescent="0.25">
      <c r="A370" s="5">
        <v>44223</v>
      </c>
      <c r="B370">
        <v>0.1419</v>
      </c>
      <c r="C370">
        <v>0.14249999999999999</v>
      </c>
      <c r="D370">
        <v>0.125</v>
      </c>
      <c r="E370">
        <v>0.13109999999999999</v>
      </c>
      <c r="F370">
        <v>3622539.32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-0.30285714285714305</v>
      </c>
      <c r="Q370">
        <f t="shared" si="970"/>
        <v>-1097111.9083428578</v>
      </c>
      <c r="R370">
        <f t="shared" si="971"/>
        <v>-136881577.9773638</v>
      </c>
      <c r="S370">
        <f t="shared" si="972"/>
        <v>-1368.815779773638</v>
      </c>
      <c r="T370">
        <f t="shared" si="973"/>
        <v>-1.368815779773638</v>
      </c>
    </row>
    <row r="371" spans="1:20" x14ac:dyDescent="0.25">
      <c r="A371" s="5">
        <v>44222</v>
      </c>
      <c r="B371">
        <v>0.14169999999999999</v>
      </c>
      <c r="C371">
        <v>0.14360000000000001</v>
      </c>
      <c r="D371">
        <v>0.13450000000000001</v>
      </c>
      <c r="E371">
        <v>0.14249999999999999</v>
      </c>
      <c r="F371">
        <v>4173269.67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0.75824175824175433</v>
      </c>
      <c r="Q371">
        <f t="shared" si="970"/>
        <v>3164347.3321977858</v>
      </c>
      <c r="R371">
        <f t="shared" si="971"/>
        <v>-135784466.06902093</v>
      </c>
      <c r="S371">
        <f t="shared" si="972"/>
        <v>-1357.8446606902094</v>
      </c>
      <c r="T371">
        <f t="shared" si="973"/>
        <v>-1.3578446606902093</v>
      </c>
    </row>
    <row r="372" spans="1:20" x14ac:dyDescent="0.25">
      <c r="A372" s="5">
        <v>44221</v>
      </c>
      <c r="B372">
        <v>0.14810000000000001</v>
      </c>
      <c r="C372">
        <v>0.16500000000000001</v>
      </c>
      <c r="D372">
        <v>0.13969999999999999</v>
      </c>
      <c r="E372">
        <v>0.14199999999999999</v>
      </c>
      <c r="F372">
        <v>19836096.510000002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-0.81818181818181857</v>
      </c>
      <c r="Q372">
        <f t="shared" si="970"/>
        <v>-16229533.508181827</v>
      </c>
      <c r="R372">
        <f t="shared" si="971"/>
        <v>-138948813.40121871</v>
      </c>
      <c r="S372">
        <f t="shared" si="972"/>
        <v>-1389.4881340121872</v>
      </c>
      <c r="T372">
        <f t="shared" si="973"/>
        <v>-1.3894881340121872</v>
      </c>
    </row>
    <row r="373" spans="1:20" x14ac:dyDescent="0.25">
      <c r="A373" s="5">
        <v>44220</v>
      </c>
      <c r="B373">
        <v>0.13980000000000001</v>
      </c>
      <c r="C373">
        <v>0.1482</v>
      </c>
      <c r="D373">
        <v>0.1356</v>
      </c>
      <c r="E373">
        <v>0.1482</v>
      </c>
      <c r="F373">
        <v>4621912.7300000004</v>
      </c>
      <c r="G373">
        <v>0</v>
      </c>
      <c r="L373" t="s">
        <v>7</v>
      </c>
      <c r="M373" t="s">
        <v>7</v>
      </c>
      <c r="N373" t="s">
        <v>8</v>
      </c>
      <c r="P373">
        <f t="shared" si="969"/>
        <v>1</v>
      </c>
      <c r="Q373">
        <f t="shared" si="970"/>
        <v>4621912.7300000004</v>
      </c>
      <c r="R373">
        <f t="shared" si="971"/>
        <v>-122719279.89303689</v>
      </c>
      <c r="S373">
        <f t="shared" si="972"/>
        <v>-1227.1927989303688</v>
      </c>
      <c r="T373">
        <f t="shared" si="973"/>
        <v>-1.2271927989303688</v>
      </c>
    </row>
    <row r="374" spans="1:20" x14ac:dyDescent="0.25">
      <c r="A374" s="5">
        <v>44219</v>
      </c>
      <c r="B374">
        <v>0.1462</v>
      </c>
      <c r="C374">
        <v>0.1469</v>
      </c>
      <c r="D374">
        <v>0.1333</v>
      </c>
      <c r="E374">
        <v>0.1399</v>
      </c>
      <c r="F374">
        <v>4652699.01</v>
      </c>
      <c r="G374">
        <v>0</v>
      </c>
      <c r="L374" t="s">
        <v>8</v>
      </c>
      <c r="M374" t="s">
        <v>7</v>
      </c>
      <c r="N374" t="s">
        <v>8</v>
      </c>
      <c r="P374">
        <f t="shared" si="969"/>
        <v>-2.9411764705883192E-2</v>
      </c>
      <c r="Q374">
        <f t="shared" si="970"/>
        <v>-136844.08852941566</v>
      </c>
      <c r="R374">
        <f t="shared" si="971"/>
        <v>-127341192.62303689</v>
      </c>
      <c r="S374">
        <f t="shared" si="972"/>
        <v>-1273.4119262303689</v>
      </c>
      <c r="T374">
        <f t="shared" si="973"/>
        <v>-1.2734119262303689</v>
      </c>
    </row>
    <row r="375" spans="1:20" x14ac:dyDescent="0.25">
      <c r="A375" s="5">
        <v>44218</v>
      </c>
      <c r="B375">
        <v>0.15</v>
      </c>
      <c r="C375">
        <v>0.15290000000000001</v>
      </c>
      <c r="D375">
        <v>0.12559999999999999</v>
      </c>
      <c r="E375">
        <v>0.14549999999999999</v>
      </c>
      <c r="F375">
        <v>7495353.0099999998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0.45787545787545697</v>
      </c>
      <c r="Q375">
        <f t="shared" si="970"/>
        <v>3431938.1913919346</v>
      </c>
      <c r="R375">
        <f t="shared" si="971"/>
        <v>-127204348.53450747</v>
      </c>
      <c r="S375">
        <f t="shared" si="972"/>
        <v>-1272.0434853450747</v>
      </c>
      <c r="T375">
        <f t="shared" si="973"/>
        <v>-1.2720434853450746</v>
      </c>
    </row>
    <row r="376" spans="1:20" x14ac:dyDescent="0.25">
      <c r="A376" s="5">
        <v>44217</v>
      </c>
      <c r="B376">
        <v>0.1421</v>
      </c>
      <c r="C376">
        <v>0.16400000000000001</v>
      </c>
      <c r="D376">
        <v>0.13059999999999999</v>
      </c>
      <c r="E376">
        <v>0.15</v>
      </c>
      <c r="F376">
        <v>13031960.810000001</v>
      </c>
      <c r="G376">
        <v>0</v>
      </c>
      <c r="L376" t="s">
        <v>8</v>
      </c>
      <c r="M376" t="s">
        <v>8</v>
      </c>
      <c r="N376" t="s">
        <v>8</v>
      </c>
      <c r="P376">
        <f t="shared" si="969"/>
        <v>0.16167664670658641</v>
      </c>
      <c r="Q376">
        <f t="shared" si="970"/>
        <v>2106963.7237724499</v>
      </c>
      <c r="R376">
        <f t="shared" si="971"/>
        <v>-130636286.7258994</v>
      </c>
      <c r="S376">
        <f t="shared" si="972"/>
        <v>-1306.3628672589939</v>
      </c>
      <c r="T376">
        <f t="shared" si="973"/>
        <v>-1.306362867258994</v>
      </c>
    </row>
    <row r="377" spans="1:20" x14ac:dyDescent="0.25">
      <c r="A377" s="5">
        <v>44216</v>
      </c>
      <c r="B377">
        <v>0.13539999999999999</v>
      </c>
      <c r="C377">
        <v>0.1434</v>
      </c>
      <c r="D377">
        <v>0.12820000000000001</v>
      </c>
      <c r="E377">
        <v>0.1424</v>
      </c>
      <c r="F377">
        <v>3406918.88</v>
      </c>
      <c r="G377">
        <v>0</v>
      </c>
      <c r="L377" t="s">
        <v>8</v>
      </c>
      <c r="M377" t="s">
        <v>7</v>
      </c>
      <c r="N377" t="s">
        <v>8</v>
      </c>
      <c r="P377">
        <f t="shared" si="969"/>
        <v>0.86842105263157876</v>
      </c>
      <c r="Q377">
        <f t="shared" si="970"/>
        <v>2958640.0799999991</v>
      </c>
      <c r="R377">
        <f t="shared" si="971"/>
        <v>-132743250.44967185</v>
      </c>
      <c r="S377">
        <f t="shared" si="972"/>
        <v>-1327.4325044967186</v>
      </c>
      <c r="T377">
        <f t="shared" si="973"/>
        <v>-1.3274325044967186</v>
      </c>
    </row>
    <row r="378" spans="1:20" x14ac:dyDescent="0.25">
      <c r="A378" s="5">
        <v>44215</v>
      </c>
      <c r="B378">
        <v>0.13900000000000001</v>
      </c>
      <c r="C378">
        <v>0.1406</v>
      </c>
      <c r="D378">
        <v>0.13350000000000001</v>
      </c>
      <c r="E378">
        <v>0.1358</v>
      </c>
      <c r="F378">
        <v>3059592.97</v>
      </c>
      <c r="G378">
        <v>0</v>
      </c>
      <c r="L378" t="s">
        <v>8</v>
      </c>
      <c r="M378" t="s">
        <v>7</v>
      </c>
      <c r="N378" t="s">
        <v>8</v>
      </c>
      <c r="P378">
        <f t="shared" si="969"/>
        <v>-0.35211267605633856</v>
      </c>
      <c r="Q378">
        <f t="shared" si="970"/>
        <v>-1077321.4683098609</v>
      </c>
      <c r="R378">
        <f t="shared" si="971"/>
        <v>-135701890.52967185</v>
      </c>
      <c r="S378">
        <f t="shared" si="972"/>
        <v>-1357.0189052967185</v>
      </c>
      <c r="T378">
        <f t="shared" si="973"/>
        <v>-1.3570189052967185</v>
      </c>
    </row>
    <row r="379" spans="1:20" x14ac:dyDescent="0.25">
      <c r="A379" s="5">
        <v>44214</v>
      </c>
      <c r="B379">
        <v>0.13150000000000001</v>
      </c>
      <c r="C379">
        <v>0.1401</v>
      </c>
      <c r="D379">
        <v>0.12740000000000001</v>
      </c>
      <c r="E379">
        <v>0.1391</v>
      </c>
      <c r="F379">
        <v>5898819.2000000002</v>
      </c>
      <c r="G379">
        <v>0</v>
      </c>
      <c r="L379" t="s">
        <v>7</v>
      </c>
      <c r="M379" t="s">
        <v>7</v>
      </c>
      <c r="N379" t="s">
        <v>8</v>
      </c>
      <c r="P379">
        <f t="shared" si="969"/>
        <v>0.8425196850393698</v>
      </c>
      <c r="Q379">
        <f t="shared" si="970"/>
        <v>4969871.2944881879</v>
      </c>
      <c r="R379">
        <f t="shared" si="971"/>
        <v>-134624569.061362</v>
      </c>
      <c r="S379">
        <f t="shared" si="972"/>
        <v>-1346.2456906136199</v>
      </c>
      <c r="T379">
        <f t="shared" si="973"/>
        <v>-1.34624569061362</v>
      </c>
    </row>
    <row r="380" spans="1:20" x14ac:dyDescent="0.25">
      <c r="A380" s="5">
        <v>44213</v>
      </c>
      <c r="B380">
        <v>0.13550000000000001</v>
      </c>
      <c r="C380">
        <v>0.15490000000000001</v>
      </c>
      <c r="D380">
        <v>0.12330000000000001</v>
      </c>
      <c r="E380">
        <v>0.13159999999999999</v>
      </c>
      <c r="F380">
        <v>8756442.8399999999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-0.47468354430379828</v>
      </c>
      <c r="Q380">
        <f t="shared" si="970"/>
        <v>-4156539.3227848173</v>
      </c>
      <c r="R380">
        <f t="shared" si="971"/>
        <v>-139594440.35585019</v>
      </c>
      <c r="S380">
        <f t="shared" si="972"/>
        <v>-1395.9444035585018</v>
      </c>
      <c r="T380">
        <f t="shared" si="973"/>
        <v>-1.3959444035585018</v>
      </c>
    </row>
    <row r="381" spans="1:20" x14ac:dyDescent="0.25">
      <c r="A381" s="5">
        <v>44212</v>
      </c>
      <c r="B381">
        <v>0.12790000000000001</v>
      </c>
      <c r="C381">
        <v>0.1356</v>
      </c>
      <c r="D381">
        <v>0.12570000000000001</v>
      </c>
      <c r="E381">
        <v>0.13469999999999999</v>
      </c>
      <c r="F381">
        <v>4181071.06</v>
      </c>
      <c r="G381">
        <v>0</v>
      </c>
      <c r="L381" t="s">
        <v>8</v>
      </c>
      <c r="M381" t="s">
        <v>8</v>
      </c>
      <c r="N381" t="s">
        <v>7</v>
      </c>
      <c r="P381">
        <f t="shared" si="969"/>
        <v>0.81818181818181568</v>
      </c>
      <c r="Q381">
        <f t="shared" si="970"/>
        <v>3420876.3218181715</v>
      </c>
      <c r="R381">
        <f t="shared" si="971"/>
        <v>-135437901.03306538</v>
      </c>
      <c r="S381">
        <f t="shared" si="972"/>
        <v>-1354.3790103306537</v>
      </c>
      <c r="T381">
        <f t="shared" si="973"/>
        <v>-1.3543790103306537</v>
      </c>
    </row>
    <row r="382" spans="1:20" x14ac:dyDescent="0.25">
      <c r="A382" s="5">
        <v>44211</v>
      </c>
      <c r="B382">
        <v>0.13070000000000001</v>
      </c>
      <c r="C382">
        <v>0.1318</v>
      </c>
      <c r="D382">
        <v>0.1139</v>
      </c>
      <c r="E382">
        <v>0.12790000000000001</v>
      </c>
      <c r="F382">
        <v>2250848.56</v>
      </c>
      <c r="G382">
        <v>0</v>
      </c>
      <c r="L382" t="s">
        <v>7</v>
      </c>
      <c r="M382" t="s">
        <v>8</v>
      </c>
      <c r="N382" t="s">
        <v>7</v>
      </c>
      <c r="P382">
        <f t="shared" si="969"/>
        <v>0.56424581005586738</v>
      </c>
      <c r="Q382">
        <f t="shared" si="970"/>
        <v>1270031.8690502828</v>
      </c>
      <c r="R382">
        <f t="shared" si="971"/>
        <v>-138858777.35488355</v>
      </c>
      <c r="S382">
        <f t="shared" si="972"/>
        <v>-1388.5877735488355</v>
      </c>
      <c r="T382">
        <f t="shared" si="973"/>
        <v>-1.3885877735488354</v>
      </c>
    </row>
    <row r="383" spans="1:20" x14ac:dyDescent="0.25">
      <c r="A383" s="5">
        <v>44210</v>
      </c>
      <c r="B383">
        <v>0.12559999999999999</v>
      </c>
      <c r="C383">
        <v>0.13200000000000001</v>
      </c>
      <c r="D383">
        <v>0.12280000000000001</v>
      </c>
      <c r="E383">
        <v>0.13020000000000001</v>
      </c>
      <c r="F383">
        <v>1849524.09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0.60869565217391386</v>
      </c>
      <c r="Q383">
        <f t="shared" si="970"/>
        <v>1125797.2721739146</v>
      </c>
      <c r="R383">
        <f t="shared" si="971"/>
        <v>-140128809.22393385</v>
      </c>
      <c r="S383">
        <f t="shared" si="972"/>
        <v>-1401.2880922393385</v>
      </c>
      <c r="T383">
        <f t="shared" si="973"/>
        <v>-1.4012880922393385</v>
      </c>
    </row>
    <row r="384" spans="1:20" x14ac:dyDescent="0.25">
      <c r="A384" s="5">
        <v>44209</v>
      </c>
      <c r="B384">
        <v>0.12</v>
      </c>
      <c r="C384">
        <v>0.1285</v>
      </c>
      <c r="D384">
        <v>0.1169</v>
      </c>
      <c r="E384">
        <v>0.12520000000000001</v>
      </c>
      <c r="F384">
        <v>1707818.66</v>
      </c>
      <c r="G384">
        <v>0</v>
      </c>
      <c r="L384" t="s">
        <v>8</v>
      </c>
      <c r="M384" t="s">
        <v>7</v>
      </c>
      <c r="N384" t="s">
        <v>7</v>
      </c>
      <c r="P384">
        <f t="shared" si="969"/>
        <v>0.43103448275862111</v>
      </c>
      <c r="Q384">
        <f t="shared" si="970"/>
        <v>736128.73275862134</v>
      </c>
      <c r="R384">
        <f t="shared" si="971"/>
        <v>-141254606.49610776</v>
      </c>
      <c r="S384">
        <f t="shared" si="972"/>
        <v>-1412.5460649610775</v>
      </c>
      <c r="T384">
        <f t="shared" si="973"/>
        <v>-1.4125460649610775</v>
      </c>
    </row>
    <row r="385" spans="1:20" x14ac:dyDescent="0.25">
      <c r="A385" s="5">
        <v>44208</v>
      </c>
      <c r="B385">
        <v>0.1235</v>
      </c>
      <c r="C385">
        <v>0.125</v>
      </c>
      <c r="D385">
        <v>0.11409999999999999</v>
      </c>
      <c r="E385">
        <v>0.1198</v>
      </c>
      <c r="F385">
        <v>2195646.4300000002</v>
      </c>
      <c r="G385">
        <v>0</v>
      </c>
      <c r="L385" t="s">
        <v>8</v>
      </c>
      <c r="M385" t="s">
        <v>7</v>
      </c>
      <c r="N385" t="s">
        <v>7</v>
      </c>
      <c r="P385">
        <f t="shared" si="969"/>
        <v>4.5871559633028809E-2</v>
      </c>
      <c r="Q385">
        <f t="shared" si="970"/>
        <v>100717.72614679183</v>
      </c>
      <c r="R385">
        <f t="shared" si="971"/>
        <v>-141990735.22886637</v>
      </c>
      <c r="S385">
        <f t="shared" si="972"/>
        <v>-1419.9073522886638</v>
      </c>
      <c r="T385">
        <f t="shared" si="973"/>
        <v>-1.4199073522886638</v>
      </c>
    </row>
    <row r="386" spans="1:20" x14ac:dyDescent="0.25">
      <c r="A386" s="5">
        <v>44207</v>
      </c>
      <c r="B386">
        <v>0.125</v>
      </c>
      <c r="C386">
        <v>0.1351</v>
      </c>
      <c r="D386">
        <v>0.109</v>
      </c>
      <c r="E386">
        <v>0.122</v>
      </c>
      <c r="F386">
        <v>4671045.37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-3.8314176245211828E-3</v>
      </c>
      <c r="Q386">
        <f t="shared" si="970"/>
        <v>-17896.72555555607</v>
      </c>
      <c r="R386">
        <f t="shared" si="971"/>
        <v>-142091452.95501316</v>
      </c>
      <c r="S386">
        <f t="shared" si="972"/>
        <v>-1420.9145295501316</v>
      </c>
      <c r="T386">
        <f t="shared" si="973"/>
        <v>-1.4209145295501318</v>
      </c>
    </row>
    <row r="387" spans="1:20" x14ac:dyDescent="0.25">
      <c r="A387" s="5">
        <v>44206</v>
      </c>
      <c r="B387">
        <v>0.13420000000000001</v>
      </c>
      <c r="C387">
        <v>0.14430000000000001</v>
      </c>
      <c r="D387">
        <v>0.1202</v>
      </c>
      <c r="E387">
        <v>0.12540000000000001</v>
      </c>
      <c r="F387">
        <v>4526587.92</v>
      </c>
      <c r="G387">
        <v>0</v>
      </c>
      <c r="L387" t="s">
        <v>8</v>
      </c>
      <c r="M387" t="s">
        <v>8</v>
      </c>
      <c r="N387" t="s">
        <v>7</v>
      </c>
      <c r="P387">
        <f t="shared" si="969"/>
        <v>-0.56846473029045574</v>
      </c>
      <c r="Q387">
        <f t="shared" si="970"/>
        <v>-2573205.5810788348</v>
      </c>
      <c r="R387">
        <f t="shared" si="971"/>
        <v>-142073556.22945759</v>
      </c>
      <c r="S387">
        <f t="shared" si="972"/>
        <v>-1420.7355622945759</v>
      </c>
      <c r="T387">
        <f t="shared" si="973"/>
        <v>-1.4207355622945759</v>
      </c>
    </row>
    <row r="388" spans="1:20" x14ac:dyDescent="0.25">
      <c r="A388" s="5">
        <v>44205</v>
      </c>
      <c r="B388">
        <v>0.12809999999999999</v>
      </c>
      <c r="C388">
        <v>0.13420000000000001</v>
      </c>
      <c r="D388">
        <v>0.12239999999999999</v>
      </c>
      <c r="E388">
        <v>0.13420000000000001</v>
      </c>
      <c r="F388">
        <v>4330567.63</v>
      </c>
      <c r="G388">
        <v>0</v>
      </c>
      <c r="L388" t="s">
        <v>7</v>
      </c>
      <c r="M388" t="s">
        <v>8</v>
      </c>
      <c r="N388" t="s">
        <v>7</v>
      </c>
      <c r="P388">
        <f t="shared" si="969"/>
        <v>1</v>
      </c>
      <c r="Q388">
        <f t="shared" si="970"/>
        <v>4330567.63</v>
      </c>
      <c r="R388">
        <f t="shared" si="971"/>
        <v>-139500350.64837876</v>
      </c>
      <c r="S388">
        <f t="shared" si="972"/>
        <v>-1395.0035064837875</v>
      </c>
      <c r="T388">
        <f t="shared" si="973"/>
        <v>-1.3950035064837876</v>
      </c>
    </row>
    <row r="389" spans="1:20" x14ac:dyDescent="0.25">
      <c r="A389" s="5">
        <v>44204</v>
      </c>
      <c r="B389">
        <v>0.11940000000000001</v>
      </c>
      <c r="C389">
        <v>0.13350000000000001</v>
      </c>
      <c r="D389">
        <v>0.1123</v>
      </c>
      <c r="E389">
        <v>0.128</v>
      </c>
      <c r="F389">
        <v>4988876.43</v>
      </c>
      <c r="G389">
        <v>0</v>
      </c>
      <c r="L389" t="s">
        <v>8</v>
      </c>
      <c r="M389" t="s">
        <v>8</v>
      </c>
      <c r="N389" t="s">
        <v>7</v>
      </c>
      <c r="P389">
        <f t="shared" si="969"/>
        <v>0.4811320754716979</v>
      </c>
      <c r="Q389">
        <f t="shared" si="970"/>
        <v>2400308.4710377348</v>
      </c>
      <c r="R389">
        <f t="shared" si="971"/>
        <v>-143830918.27837875</v>
      </c>
      <c r="S389">
        <f t="shared" si="972"/>
        <v>-1438.3091827837875</v>
      </c>
      <c r="T389">
        <f t="shared" si="973"/>
        <v>-1.4383091827837875</v>
      </c>
    </row>
    <row r="390" spans="1:20" x14ac:dyDescent="0.25">
      <c r="A390" s="5">
        <v>44203</v>
      </c>
      <c r="B390">
        <v>0.12139999999999999</v>
      </c>
      <c r="C390">
        <v>0.12870000000000001</v>
      </c>
      <c r="D390">
        <v>0.11749999999999999</v>
      </c>
      <c r="E390">
        <v>0.1202</v>
      </c>
      <c r="F390">
        <v>5354685.3</v>
      </c>
      <c r="G390">
        <v>0</v>
      </c>
      <c r="L390" t="s">
        <v>8</v>
      </c>
      <c r="M390" t="s">
        <v>8</v>
      </c>
      <c r="N390" t="s">
        <v>7</v>
      </c>
      <c r="P390">
        <f t="shared" ref="P390:P453" si="974">IF(C390=D390,0,((E390-D390)-(C390-E390))/(C390-D390))</f>
        <v>-0.51785714285714213</v>
      </c>
      <c r="Q390">
        <f t="shared" ref="Q390:Q453" si="975">F390*P390</f>
        <v>-2772962.0303571387</v>
      </c>
      <c r="R390">
        <f t="shared" ref="R390:R453" si="976">R391+Q390</f>
        <v>-146231226.7494165</v>
      </c>
      <c r="S390">
        <f t="shared" ref="S390:S453" si="977">R390/100000</f>
        <v>-1462.3122674941651</v>
      </c>
      <c r="T390">
        <f t="shared" ref="T390:T453" si="978">S390/1000</f>
        <v>-1.4623122674941651</v>
      </c>
    </row>
    <row r="391" spans="1:20" x14ac:dyDescent="0.25">
      <c r="A391" s="5">
        <v>44202</v>
      </c>
      <c r="B391">
        <v>0.1163</v>
      </c>
      <c r="C391">
        <v>0.12470000000000001</v>
      </c>
      <c r="D391">
        <v>0.11219999999999999</v>
      </c>
      <c r="E391">
        <v>0.12139999999999999</v>
      </c>
      <c r="F391">
        <v>3618244.09</v>
      </c>
      <c r="G391">
        <v>0</v>
      </c>
      <c r="L391" t="s">
        <v>8</v>
      </c>
      <c r="M391" t="s">
        <v>8</v>
      </c>
      <c r="N391" t="s">
        <v>7</v>
      </c>
      <c r="P391">
        <f t="shared" si="974"/>
        <v>0.47199999999999864</v>
      </c>
      <c r="Q391">
        <f t="shared" si="975"/>
        <v>1707811.210479995</v>
      </c>
      <c r="R391">
        <f t="shared" si="976"/>
        <v>-143458264.71905935</v>
      </c>
      <c r="S391">
        <f t="shared" si="977"/>
        <v>-1434.5826471905934</v>
      </c>
      <c r="T391">
        <f t="shared" si="978"/>
        <v>-1.4345826471905934</v>
      </c>
    </row>
    <row r="392" spans="1:20" x14ac:dyDescent="0.25">
      <c r="A392" s="5">
        <v>44201</v>
      </c>
      <c r="B392">
        <v>0.1125</v>
      </c>
      <c r="C392">
        <v>0.1173</v>
      </c>
      <c r="D392">
        <v>0.11119999999999999</v>
      </c>
      <c r="E392">
        <v>0.1163</v>
      </c>
      <c r="F392">
        <v>2113044.25</v>
      </c>
      <c r="G392">
        <v>0</v>
      </c>
      <c r="L392" t="s">
        <v>8</v>
      </c>
      <c r="M392" t="s">
        <v>7</v>
      </c>
      <c r="N392" t="s">
        <v>7</v>
      </c>
      <c r="P392">
        <f t="shared" si="974"/>
        <v>0.6721311475409838</v>
      </c>
      <c r="Q392">
        <f t="shared" si="975"/>
        <v>1420242.8565573774</v>
      </c>
      <c r="R392">
        <f t="shared" si="976"/>
        <v>-145166075.92953935</v>
      </c>
      <c r="S392">
        <f t="shared" si="977"/>
        <v>-1451.6607592953935</v>
      </c>
      <c r="T392">
        <f t="shared" si="978"/>
        <v>-1.4516607592953936</v>
      </c>
    </row>
    <row r="393" spans="1:20" x14ac:dyDescent="0.25">
      <c r="A393" s="5">
        <v>44200</v>
      </c>
      <c r="B393">
        <v>0.11700000000000001</v>
      </c>
      <c r="C393">
        <v>0.12</v>
      </c>
      <c r="D393">
        <v>0.104</v>
      </c>
      <c r="E393">
        <v>0.1128</v>
      </c>
      <c r="F393">
        <v>3565953.03</v>
      </c>
      <c r="G393">
        <v>0</v>
      </c>
      <c r="L393" t="s">
        <v>7</v>
      </c>
      <c r="M393" t="s">
        <v>7</v>
      </c>
      <c r="N393" t="s">
        <v>7</v>
      </c>
      <c r="P393">
        <f t="shared" si="974"/>
        <v>0.10000000000000026</v>
      </c>
      <c r="Q393">
        <f t="shared" si="975"/>
        <v>356595.30300000089</v>
      </c>
      <c r="R393">
        <f t="shared" si="976"/>
        <v>-146586318.78609672</v>
      </c>
      <c r="S393">
        <f t="shared" si="977"/>
        <v>-1465.8631878609672</v>
      </c>
      <c r="T393">
        <f t="shared" si="978"/>
        <v>-1.4658631878609671</v>
      </c>
    </row>
    <row r="394" spans="1:20" x14ac:dyDescent="0.25">
      <c r="A394" s="5">
        <v>44199</v>
      </c>
      <c r="B394">
        <v>0.1159</v>
      </c>
      <c r="C394">
        <v>0.12</v>
      </c>
      <c r="D394">
        <v>0.11219999999999999</v>
      </c>
      <c r="E394">
        <v>0.1171</v>
      </c>
      <c r="F394">
        <v>1460393.96</v>
      </c>
      <c r="G394">
        <v>0</v>
      </c>
      <c r="L394" t="s">
        <v>7</v>
      </c>
      <c r="M394" t="s">
        <v>7</v>
      </c>
      <c r="N394" t="s">
        <v>7</v>
      </c>
      <c r="P394">
        <f t="shared" si="974"/>
        <v>0.25641025641025661</v>
      </c>
      <c r="Q394">
        <f t="shared" si="975"/>
        <v>374459.98974359001</v>
      </c>
      <c r="R394">
        <f t="shared" si="976"/>
        <v>-146942914.08909672</v>
      </c>
      <c r="S394">
        <f t="shared" si="977"/>
        <v>-1469.4291408909673</v>
      </c>
      <c r="T394">
        <f t="shared" si="978"/>
        <v>-1.4694291408909674</v>
      </c>
    </row>
    <row r="395" spans="1:20" x14ac:dyDescent="0.25">
      <c r="A395" s="5">
        <v>44198</v>
      </c>
      <c r="B395">
        <v>0.1179</v>
      </c>
      <c r="C395">
        <v>0.1225</v>
      </c>
      <c r="D395">
        <v>0.114</v>
      </c>
      <c r="E395">
        <v>0.11650000000000001</v>
      </c>
      <c r="F395">
        <v>1461240.63</v>
      </c>
      <c r="G395">
        <v>0</v>
      </c>
      <c r="L395" t="s">
        <v>8</v>
      </c>
      <c r="M395" t="s">
        <v>7</v>
      </c>
      <c r="N395" t="s">
        <v>7</v>
      </c>
      <c r="P395">
        <f t="shared" si="974"/>
        <v>-0.41176470588235198</v>
      </c>
      <c r="Q395">
        <f t="shared" si="975"/>
        <v>-601687.31823529268</v>
      </c>
      <c r="R395">
        <f t="shared" si="976"/>
        <v>-147317374.07884032</v>
      </c>
      <c r="S395">
        <f t="shared" si="977"/>
        <v>-1473.1737407884032</v>
      </c>
      <c r="T395">
        <f t="shared" si="978"/>
        <v>-1.4731737407884031</v>
      </c>
    </row>
    <row r="396" spans="1:20" x14ac:dyDescent="0.25">
      <c r="A396" s="5">
        <v>44197</v>
      </c>
      <c r="B396">
        <v>0.11459999999999999</v>
      </c>
      <c r="C396">
        <v>0.1187</v>
      </c>
      <c r="D396">
        <v>0.1142</v>
      </c>
      <c r="E396">
        <v>0.11840000000000001</v>
      </c>
      <c r="F396">
        <v>877717.86</v>
      </c>
      <c r="G396">
        <v>0</v>
      </c>
      <c r="L396" t="s">
        <v>8</v>
      </c>
      <c r="M396" t="s">
        <v>7</v>
      </c>
      <c r="N396" t="s">
        <v>7</v>
      </c>
      <c r="P396">
        <f t="shared" si="974"/>
        <v>0.86666666666666914</v>
      </c>
      <c r="Q396">
        <f t="shared" si="975"/>
        <v>760688.81200000213</v>
      </c>
      <c r="R396">
        <f t="shared" si="976"/>
        <v>-146715686.76060504</v>
      </c>
      <c r="S396">
        <f t="shared" si="977"/>
        <v>-1467.1568676060504</v>
      </c>
      <c r="T396">
        <f t="shared" si="978"/>
        <v>-1.4671568676060505</v>
      </c>
    </row>
    <row r="397" spans="1:20" x14ac:dyDescent="0.25">
      <c r="A397" s="5">
        <v>44196</v>
      </c>
      <c r="B397">
        <v>0.11219999999999999</v>
      </c>
      <c r="C397">
        <v>0.1173</v>
      </c>
      <c r="D397">
        <v>0.1108</v>
      </c>
      <c r="E397">
        <v>0.115</v>
      </c>
      <c r="F397">
        <v>701251.83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0.29230769230769399</v>
      </c>
      <c r="Q397">
        <f t="shared" si="975"/>
        <v>204981.30415384733</v>
      </c>
      <c r="R397">
        <f t="shared" si="976"/>
        <v>-147476375.57260504</v>
      </c>
      <c r="S397">
        <f t="shared" si="977"/>
        <v>-1474.7637557260505</v>
      </c>
      <c r="T397">
        <f t="shared" si="978"/>
        <v>-1.4747637557260505</v>
      </c>
    </row>
    <row r="398" spans="1:20" x14ac:dyDescent="0.25">
      <c r="A398" s="5">
        <v>44195</v>
      </c>
      <c r="B398">
        <v>0.115</v>
      </c>
      <c r="C398">
        <v>0.115</v>
      </c>
      <c r="D398">
        <v>0.1108</v>
      </c>
      <c r="E398">
        <v>0.11210000000000001</v>
      </c>
      <c r="F398">
        <v>742574.48</v>
      </c>
      <c r="G398">
        <v>0</v>
      </c>
      <c r="L398" t="s">
        <v>7</v>
      </c>
      <c r="M398" t="s">
        <v>7</v>
      </c>
      <c r="N398" t="s">
        <v>7</v>
      </c>
      <c r="P398">
        <f t="shared" si="974"/>
        <v>-0.38095238095237782</v>
      </c>
      <c r="Q398">
        <f t="shared" si="975"/>
        <v>-282885.51619047386</v>
      </c>
      <c r="R398">
        <f t="shared" si="976"/>
        <v>-147681356.8767589</v>
      </c>
      <c r="S398">
        <f t="shared" si="977"/>
        <v>-1476.813568767589</v>
      </c>
      <c r="T398">
        <f t="shared" si="978"/>
        <v>-1.476813568767589</v>
      </c>
    </row>
    <row r="399" spans="1:20" x14ac:dyDescent="0.25">
      <c r="A399" s="5">
        <v>44194</v>
      </c>
      <c r="B399">
        <v>0.1182</v>
      </c>
      <c r="C399">
        <v>0.13039999999999999</v>
      </c>
      <c r="D399">
        <v>0.1087</v>
      </c>
      <c r="E399">
        <v>0.11509999999999999</v>
      </c>
      <c r="F399">
        <v>3343017.96</v>
      </c>
      <c r="G399">
        <v>0</v>
      </c>
      <c r="L399" t="s">
        <v>8</v>
      </c>
      <c r="M399" t="s">
        <v>8</v>
      </c>
      <c r="N399" t="s">
        <v>7</v>
      </c>
      <c r="P399">
        <f t="shared" si="974"/>
        <v>-0.41013824884792682</v>
      </c>
      <c r="Q399">
        <f t="shared" si="975"/>
        <v>-1371099.5319815686</v>
      </c>
      <c r="R399">
        <f t="shared" si="976"/>
        <v>-147398471.36056843</v>
      </c>
      <c r="S399">
        <f t="shared" si="977"/>
        <v>-1473.9847136056844</v>
      </c>
      <c r="T399">
        <f t="shared" si="978"/>
        <v>-1.4739847136056845</v>
      </c>
    </row>
    <row r="400" spans="1:20" x14ac:dyDescent="0.25">
      <c r="A400" s="5">
        <v>44193</v>
      </c>
      <c r="B400">
        <v>0.1139</v>
      </c>
      <c r="C400">
        <v>0.1187</v>
      </c>
      <c r="D400">
        <v>0.113</v>
      </c>
      <c r="E400">
        <v>0.1178</v>
      </c>
      <c r="F400">
        <v>807179.76</v>
      </c>
      <c r="G400">
        <v>0</v>
      </c>
      <c r="L400" t="s">
        <v>8</v>
      </c>
      <c r="M400" t="s">
        <v>7</v>
      </c>
      <c r="N400" t="s">
        <v>7</v>
      </c>
      <c r="P400">
        <f t="shared" si="974"/>
        <v>0.68421052631578994</v>
      </c>
      <c r="Q400">
        <f t="shared" si="975"/>
        <v>552280.88842105307</v>
      </c>
      <c r="R400">
        <f t="shared" si="976"/>
        <v>-146027371.82858688</v>
      </c>
      <c r="S400">
        <f t="shared" si="977"/>
        <v>-1460.2737182858687</v>
      </c>
      <c r="T400">
        <f t="shared" si="978"/>
        <v>-1.4602737182858687</v>
      </c>
    </row>
    <row r="401" spans="1:20" x14ac:dyDescent="0.25">
      <c r="A401" s="5">
        <v>44192</v>
      </c>
      <c r="B401">
        <v>0.1135</v>
      </c>
      <c r="C401">
        <v>0.1196</v>
      </c>
      <c r="D401">
        <v>0.11</v>
      </c>
      <c r="E401">
        <v>0.1142</v>
      </c>
      <c r="F401">
        <v>1370814.68</v>
      </c>
      <c r="G401">
        <v>0</v>
      </c>
      <c r="L401" t="s">
        <v>7</v>
      </c>
      <c r="M401" t="s">
        <v>7</v>
      </c>
      <c r="N401" t="s">
        <v>7</v>
      </c>
      <c r="P401">
        <f t="shared" si="974"/>
        <v>-0.12500000000000072</v>
      </c>
      <c r="Q401">
        <f t="shared" si="975"/>
        <v>-171351.83500000098</v>
      </c>
      <c r="R401">
        <f t="shared" si="976"/>
        <v>-146579652.71700794</v>
      </c>
      <c r="S401">
        <f t="shared" si="977"/>
        <v>-1465.7965271700793</v>
      </c>
      <c r="T401">
        <f t="shared" si="978"/>
        <v>-1.4657965271700792</v>
      </c>
    </row>
    <row r="402" spans="1:20" x14ac:dyDescent="0.25">
      <c r="A402" s="5">
        <v>44191</v>
      </c>
      <c r="B402">
        <v>0.1148</v>
      </c>
      <c r="C402">
        <v>0.1162</v>
      </c>
      <c r="D402">
        <v>0.1115</v>
      </c>
      <c r="E402">
        <v>0.1135</v>
      </c>
      <c r="F402">
        <v>844553.06</v>
      </c>
      <c r="G402">
        <v>0</v>
      </c>
      <c r="L402" t="s">
        <v>8</v>
      </c>
      <c r="M402" t="s">
        <v>7</v>
      </c>
      <c r="N402" t="s">
        <v>7</v>
      </c>
      <c r="P402">
        <f t="shared" si="974"/>
        <v>-0.14893617021276445</v>
      </c>
      <c r="Q402">
        <f t="shared" si="975"/>
        <v>-125784.49829787108</v>
      </c>
      <c r="R402">
        <f t="shared" si="976"/>
        <v>-146408300.88200793</v>
      </c>
      <c r="S402">
        <f t="shared" si="977"/>
        <v>-1464.0830088200792</v>
      </c>
      <c r="T402">
        <f t="shared" si="978"/>
        <v>-1.4640830088200791</v>
      </c>
    </row>
    <row r="403" spans="1:20" x14ac:dyDescent="0.25">
      <c r="A403" s="5">
        <v>44190</v>
      </c>
      <c r="B403">
        <v>0.1173</v>
      </c>
      <c r="C403">
        <v>0.11990000000000001</v>
      </c>
      <c r="D403">
        <v>0.1115</v>
      </c>
      <c r="E403">
        <v>0.1142</v>
      </c>
      <c r="F403">
        <v>851506.87</v>
      </c>
      <c r="G403">
        <v>0</v>
      </c>
      <c r="L403" t="s">
        <v>8</v>
      </c>
      <c r="M403" t="s">
        <v>7</v>
      </c>
      <c r="N403" t="s">
        <v>7</v>
      </c>
      <c r="P403">
        <f t="shared" si="974"/>
        <v>-0.35714285714285893</v>
      </c>
      <c r="Q403">
        <f t="shared" si="975"/>
        <v>-304109.59642857296</v>
      </c>
      <c r="R403">
        <f t="shared" si="976"/>
        <v>-146282516.38371006</v>
      </c>
      <c r="S403">
        <f t="shared" si="977"/>
        <v>-1462.8251638371005</v>
      </c>
      <c r="T403">
        <f t="shared" si="978"/>
        <v>-1.4628251638371006</v>
      </c>
    </row>
    <row r="404" spans="1:20" x14ac:dyDescent="0.25">
      <c r="A404" s="5">
        <v>44189</v>
      </c>
      <c r="B404">
        <v>0.1094</v>
      </c>
      <c r="C404">
        <v>0.1178</v>
      </c>
      <c r="D404">
        <v>0.10589999999999999</v>
      </c>
      <c r="E404">
        <v>0.1178</v>
      </c>
      <c r="F404">
        <v>897703.46</v>
      </c>
      <c r="G404">
        <v>0</v>
      </c>
      <c r="L404" t="s">
        <v>7</v>
      </c>
      <c r="M404" t="s">
        <v>7</v>
      </c>
      <c r="N404" t="s">
        <v>7</v>
      </c>
      <c r="P404">
        <f t="shared" si="974"/>
        <v>1</v>
      </c>
      <c r="Q404">
        <f t="shared" si="975"/>
        <v>897703.46</v>
      </c>
      <c r="R404">
        <f t="shared" si="976"/>
        <v>-145978406.78728148</v>
      </c>
      <c r="S404">
        <f t="shared" si="977"/>
        <v>-1459.7840678728148</v>
      </c>
      <c r="T404">
        <f t="shared" si="978"/>
        <v>-1.4597840678728149</v>
      </c>
    </row>
    <row r="405" spans="1:20" x14ac:dyDescent="0.25">
      <c r="A405" s="5">
        <v>44188</v>
      </c>
      <c r="B405">
        <v>0.1265</v>
      </c>
      <c r="C405">
        <v>0.1265</v>
      </c>
      <c r="D405">
        <v>0.108</v>
      </c>
      <c r="E405">
        <v>0.1099</v>
      </c>
      <c r="F405">
        <v>2037364.68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-0.79459459459459469</v>
      </c>
      <c r="Q405">
        <f t="shared" si="975"/>
        <v>-1618878.9619459461</v>
      </c>
      <c r="R405">
        <f t="shared" si="976"/>
        <v>-146876110.24728149</v>
      </c>
      <c r="S405">
        <f t="shared" si="977"/>
        <v>-1468.7611024728149</v>
      </c>
      <c r="T405">
        <f t="shared" si="978"/>
        <v>-1.4687611024728149</v>
      </c>
    </row>
    <row r="406" spans="1:20" x14ac:dyDescent="0.25">
      <c r="A406" s="5">
        <v>44187</v>
      </c>
      <c r="B406">
        <v>0.1283</v>
      </c>
      <c r="C406">
        <v>0.12920000000000001</v>
      </c>
      <c r="D406">
        <v>0.1212</v>
      </c>
      <c r="E406">
        <v>0.12670000000000001</v>
      </c>
      <c r="F406">
        <v>934957.45</v>
      </c>
      <c r="G406">
        <v>0</v>
      </c>
      <c r="L406" t="s">
        <v>7</v>
      </c>
      <c r="M406" t="s">
        <v>7</v>
      </c>
      <c r="N406" t="s">
        <v>8</v>
      </c>
      <c r="P406">
        <f t="shared" si="974"/>
        <v>0.375</v>
      </c>
      <c r="Q406">
        <f t="shared" si="975"/>
        <v>350609.04374999995</v>
      </c>
      <c r="R406">
        <f t="shared" si="976"/>
        <v>-145257231.28533554</v>
      </c>
      <c r="S406">
        <f t="shared" si="977"/>
        <v>-1452.5723128533555</v>
      </c>
      <c r="T406">
        <f t="shared" si="978"/>
        <v>-1.4525723128533554</v>
      </c>
    </row>
    <row r="407" spans="1:20" x14ac:dyDescent="0.25">
      <c r="A407" s="5">
        <v>44186</v>
      </c>
      <c r="B407">
        <v>0.13669999999999999</v>
      </c>
      <c r="C407">
        <v>0.13750000000000001</v>
      </c>
      <c r="D407">
        <v>0.1212</v>
      </c>
      <c r="E407">
        <v>0.12790000000000001</v>
      </c>
      <c r="F407">
        <v>1865175.2</v>
      </c>
      <c r="G407">
        <v>0</v>
      </c>
      <c r="L407" t="s">
        <v>7</v>
      </c>
      <c r="M407" t="s">
        <v>7</v>
      </c>
      <c r="N407" t="s">
        <v>8</v>
      </c>
      <c r="P407">
        <f t="shared" si="974"/>
        <v>-0.17791411042944688</v>
      </c>
      <c r="Q407">
        <f t="shared" si="975"/>
        <v>-331840.98650306568</v>
      </c>
      <c r="R407">
        <f t="shared" si="976"/>
        <v>-145607840.32908553</v>
      </c>
      <c r="S407">
        <f t="shared" si="977"/>
        <v>-1456.0784032908552</v>
      </c>
      <c r="T407">
        <f t="shared" si="978"/>
        <v>-1.4560784032908551</v>
      </c>
    </row>
    <row r="408" spans="1:20" x14ac:dyDescent="0.25">
      <c r="A408" s="5">
        <v>44185</v>
      </c>
      <c r="B408">
        <v>0.1353</v>
      </c>
      <c r="C408">
        <v>0.14199999999999999</v>
      </c>
      <c r="D408">
        <v>0.1305</v>
      </c>
      <c r="E408">
        <v>0.13719999999999999</v>
      </c>
      <c r="F408">
        <v>2467650.5099999998</v>
      </c>
      <c r="G408">
        <v>0</v>
      </c>
      <c r="L408" t="s">
        <v>7</v>
      </c>
      <c r="M408" t="s">
        <v>8</v>
      </c>
      <c r="N408" t="s">
        <v>8</v>
      </c>
      <c r="P408">
        <f t="shared" si="974"/>
        <v>0.16521739130434679</v>
      </c>
      <c r="Q408">
        <f t="shared" si="975"/>
        <v>407698.77991304087</v>
      </c>
      <c r="R408">
        <f t="shared" si="976"/>
        <v>-145275999.34258246</v>
      </c>
      <c r="S408">
        <f t="shared" si="977"/>
        <v>-1452.7599934258246</v>
      </c>
      <c r="T408">
        <f t="shared" si="978"/>
        <v>-1.4527599934258246</v>
      </c>
    </row>
    <row r="409" spans="1:20" x14ac:dyDescent="0.25">
      <c r="A409" s="5">
        <v>44184</v>
      </c>
      <c r="B409">
        <v>0.13200000000000001</v>
      </c>
      <c r="C409">
        <v>0.14630000000000001</v>
      </c>
      <c r="D409">
        <v>0.1313</v>
      </c>
      <c r="E409">
        <v>0.13539999999999999</v>
      </c>
      <c r="F409">
        <v>5073785.1500000004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-0.45333333333333481</v>
      </c>
      <c r="Q409">
        <f t="shared" si="975"/>
        <v>-2300115.9346666741</v>
      </c>
      <c r="R409">
        <f t="shared" si="976"/>
        <v>-145683698.1224955</v>
      </c>
      <c r="S409">
        <f t="shared" si="977"/>
        <v>-1456.836981224955</v>
      </c>
      <c r="T409">
        <f t="shared" si="978"/>
        <v>-1.4568369812249551</v>
      </c>
    </row>
    <row r="410" spans="1:20" x14ac:dyDescent="0.25">
      <c r="A410" s="5">
        <v>44183</v>
      </c>
      <c r="B410">
        <v>0.12859999999999999</v>
      </c>
      <c r="C410">
        <v>0.1351</v>
      </c>
      <c r="D410">
        <v>0.1255</v>
      </c>
      <c r="E410">
        <v>0.13150000000000001</v>
      </c>
      <c r="F410">
        <v>1856257.38</v>
      </c>
      <c r="G410">
        <v>0</v>
      </c>
      <c r="L410" t="s">
        <v>8</v>
      </c>
      <c r="M410" t="s">
        <v>7</v>
      </c>
      <c r="N410" t="s">
        <v>8</v>
      </c>
      <c r="P410">
        <f t="shared" si="974"/>
        <v>0.25000000000000144</v>
      </c>
      <c r="Q410">
        <f t="shared" si="975"/>
        <v>464064.34500000265</v>
      </c>
      <c r="R410">
        <f t="shared" si="976"/>
        <v>-143383582.18782884</v>
      </c>
      <c r="S410">
        <f t="shared" si="977"/>
        <v>-1433.8358218782885</v>
      </c>
      <c r="T410">
        <f t="shared" si="978"/>
        <v>-1.4338358218782885</v>
      </c>
    </row>
    <row r="411" spans="1:20" x14ac:dyDescent="0.25">
      <c r="A411" s="5">
        <v>44182</v>
      </c>
      <c r="B411">
        <v>0.12909999999999999</v>
      </c>
      <c r="C411">
        <v>0.13200000000000001</v>
      </c>
      <c r="D411">
        <v>0.12330000000000001</v>
      </c>
      <c r="E411">
        <v>0.1283</v>
      </c>
      <c r="F411">
        <v>2052595.9</v>
      </c>
      <c r="G411">
        <v>0</v>
      </c>
      <c r="L411" t="s">
        <v>7</v>
      </c>
      <c r="M411" t="s">
        <v>7</v>
      </c>
      <c r="N411" t="s">
        <v>8</v>
      </c>
      <c r="P411">
        <f t="shared" si="974"/>
        <v>0.14942528735631974</v>
      </c>
      <c r="Q411">
        <f t="shared" si="975"/>
        <v>306709.73218390375</v>
      </c>
      <c r="R411">
        <f t="shared" si="976"/>
        <v>-143847646.53282884</v>
      </c>
      <c r="S411">
        <f t="shared" si="977"/>
        <v>-1438.4764653282884</v>
      </c>
      <c r="T411">
        <f t="shared" si="978"/>
        <v>-1.4384764653282884</v>
      </c>
    </row>
    <row r="412" spans="1:20" x14ac:dyDescent="0.25">
      <c r="A412" s="5">
        <v>44181</v>
      </c>
      <c r="B412">
        <v>0.1242</v>
      </c>
      <c r="C412">
        <v>0.1363</v>
      </c>
      <c r="D412">
        <v>0.1222</v>
      </c>
      <c r="E412">
        <v>0.12909999999999999</v>
      </c>
      <c r="F412">
        <v>2437408.66</v>
      </c>
      <c r="G412">
        <v>0</v>
      </c>
      <c r="L412" t="s">
        <v>8</v>
      </c>
      <c r="M412" t="s">
        <v>7</v>
      </c>
      <c r="N412" t="s">
        <v>8</v>
      </c>
      <c r="P412">
        <f t="shared" si="974"/>
        <v>-2.1276595744682443E-2</v>
      </c>
      <c r="Q412">
        <f t="shared" si="975"/>
        <v>-51859.758723408137</v>
      </c>
      <c r="R412">
        <f t="shared" si="976"/>
        <v>-144154356.26501274</v>
      </c>
      <c r="S412">
        <f t="shared" si="977"/>
        <v>-1441.5435626501273</v>
      </c>
      <c r="T412">
        <f t="shared" si="978"/>
        <v>-1.4415435626501274</v>
      </c>
    </row>
    <row r="413" spans="1:20" x14ac:dyDescent="0.25">
      <c r="A413" s="5">
        <v>44180</v>
      </c>
      <c r="B413">
        <v>0.12509999999999999</v>
      </c>
      <c r="C413">
        <v>0.12790000000000001</v>
      </c>
      <c r="D413">
        <v>0.1222</v>
      </c>
      <c r="E413">
        <v>0.1239</v>
      </c>
      <c r="F413">
        <v>809277</v>
      </c>
      <c r="G413">
        <v>0</v>
      </c>
      <c r="L413" t="s">
        <v>8</v>
      </c>
      <c r="M413" t="s">
        <v>7</v>
      </c>
      <c r="N413" t="s">
        <v>8</v>
      </c>
      <c r="P413">
        <f t="shared" si="974"/>
        <v>-0.40350877192982804</v>
      </c>
      <c r="Q413">
        <f t="shared" si="975"/>
        <v>-326550.36842105543</v>
      </c>
      <c r="R413">
        <f t="shared" si="976"/>
        <v>-144102496.50628933</v>
      </c>
      <c r="S413">
        <f t="shared" si="977"/>
        <v>-1441.0249650628934</v>
      </c>
      <c r="T413">
        <f t="shared" si="978"/>
        <v>-1.4410249650628935</v>
      </c>
    </row>
    <row r="414" spans="1:20" x14ac:dyDescent="0.25">
      <c r="A414" s="5">
        <v>44179</v>
      </c>
      <c r="B414">
        <v>0.1203</v>
      </c>
      <c r="C414">
        <v>0.1298</v>
      </c>
      <c r="D414">
        <v>0.11940000000000001</v>
      </c>
      <c r="E414">
        <v>0.12520000000000001</v>
      </c>
      <c r="F414">
        <v>1764611.28</v>
      </c>
      <c r="G414">
        <v>0</v>
      </c>
      <c r="L414" t="s">
        <v>8</v>
      </c>
      <c r="M414" t="s">
        <v>7</v>
      </c>
      <c r="N414" t="s">
        <v>8</v>
      </c>
      <c r="P414">
        <f t="shared" si="974"/>
        <v>0.1153846153846161</v>
      </c>
      <c r="Q414">
        <f t="shared" si="975"/>
        <v>203608.99384615512</v>
      </c>
      <c r="R414">
        <f t="shared" si="976"/>
        <v>-143775946.13786829</v>
      </c>
      <c r="S414">
        <f t="shared" si="977"/>
        <v>-1437.7594613786828</v>
      </c>
      <c r="T414">
        <f t="shared" si="978"/>
        <v>-1.4377594613786828</v>
      </c>
    </row>
    <row r="415" spans="1:20" x14ac:dyDescent="0.25">
      <c r="A415" s="5">
        <v>44178</v>
      </c>
      <c r="B415">
        <v>0.1205</v>
      </c>
      <c r="C415">
        <v>0.1231</v>
      </c>
      <c r="D415">
        <v>0.11849999999999999</v>
      </c>
      <c r="E415">
        <v>0.1202</v>
      </c>
      <c r="F415">
        <v>1051206.27</v>
      </c>
      <c r="G415">
        <v>0</v>
      </c>
      <c r="L415" t="s">
        <v>7</v>
      </c>
      <c r="M415" t="s">
        <v>7</v>
      </c>
      <c r="N415" t="s">
        <v>8</v>
      </c>
      <c r="P415">
        <f t="shared" si="974"/>
        <v>-0.26086956521738935</v>
      </c>
      <c r="Q415">
        <f t="shared" si="975"/>
        <v>-274227.72260869358</v>
      </c>
      <c r="R415">
        <f t="shared" si="976"/>
        <v>-143979555.13171443</v>
      </c>
      <c r="S415">
        <f t="shared" si="977"/>
        <v>-1439.7955513171444</v>
      </c>
      <c r="T415">
        <f t="shared" si="978"/>
        <v>-1.4397955513171443</v>
      </c>
    </row>
    <row r="416" spans="1:20" x14ac:dyDescent="0.25">
      <c r="A416" s="5">
        <v>44177</v>
      </c>
      <c r="B416">
        <v>0.1159</v>
      </c>
      <c r="C416">
        <v>0.15</v>
      </c>
      <c r="D416">
        <v>0.1152</v>
      </c>
      <c r="E416">
        <v>0.1206</v>
      </c>
      <c r="F416">
        <v>4949264.3499999996</v>
      </c>
      <c r="G416">
        <v>0</v>
      </c>
      <c r="L416" t="s">
        <v>8</v>
      </c>
      <c r="M416" t="s">
        <v>8</v>
      </c>
      <c r="N416" t="s">
        <v>8</v>
      </c>
      <c r="P416">
        <f t="shared" si="974"/>
        <v>-0.68965517241379293</v>
      </c>
      <c r="Q416">
        <f t="shared" si="975"/>
        <v>-3413285.7586206887</v>
      </c>
      <c r="R416">
        <f t="shared" si="976"/>
        <v>-143705327.40910575</v>
      </c>
      <c r="S416">
        <f t="shared" si="977"/>
        <v>-1437.0532740910576</v>
      </c>
      <c r="T416">
        <f t="shared" si="978"/>
        <v>-1.4370532740910575</v>
      </c>
    </row>
    <row r="417" spans="1:20" x14ac:dyDescent="0.25">
      <c r="A417" s="5">
        <v>44176</v>
      </c>
      <c r="B417">
        <v>0.1198</v>
      </c>
      <c r="C417">
        <v>0.12</v>
      </c>
      <c r="D417">
        <v>0.11269999999999999</v>
      </c>
      <c r="E417">
        <v>0.1159</v>
      </c>
      <c r="F417">
        <v>1100168.21</v>
      </c>
      <c r="G417">
        <v>0</v>
      </c>
      <c r="L417" t="s">
        <v>7</v>
      </c>
      <c r="M417" t="s">
        <v>7</v>
      </c>
      <c r="N417" t="s">
        <v>8</v>
      </c>
      <c r="P417">
        <f t="shared" si="974"/>
        <v>-0.12328767123287453</v>
      </c>
      <c r="Q417">
        <f t="shared" si="975"/>
        <v>-135637.17657534007</v>
      </c>
      <c r="R417">
        <f t="shared" si="976"/>
        <v>-140292041.65048507</v>
      </c>
      <c r="S417">
        <f t="shared" si="977"/>
        <v>-1402.9204165048507</v>
      </c>
      <c r="T417">
        <f t="shared" si="978"/>
        <v>-1.4029204165048506</v>
      </c>
    </row>
    <row r="418" spans="1:20" x14ac:dyDescent="0.25">
      <c r="A418" s="5">
        <v>44175</v>
      </c>
      <c r="B418">
        <v>0.125</v>
      </c>
      <c r="C418">
        <v>0.12529999999999999</v>
      </c>
      <c r="D418">
        <v>0.1171</v>
      </c>
      <c r="E418">
        <v>0.1196</v>
      </c>
      <c r="F418">
        <v>459158.61</v>
      </c>
      <c r="G418">
        <v>0</v>
      </c>
      <c r="L418" t="s">
        <v>8</v>
      </c>
      <c r="M418" t="s">
        <v>7</v>
      </c>
      <c r="N418" t="s">
        <v>8</v>
      </c>
      <c r="P418">
        <f t="shared" si="974"/>
        <v>-0.39024390243902379</v>
      </c>
      <c r="Q418">
        <f t="shared" si="975"/>
        <v>-179183.84780487776</v>
      </c>
      <c r="R418">
        <f t="shared" si="976"/>
        <v>-140156404.47390974</v>
      </c>
      <c r="S418">
        <f t="shared" si="977"/>
        <v>-1401.5640447390974</v>
      </c>
      <c r="T418">
        <f t="shared" si="978"/>
        <v>-1.4015640447390973</v>
      </c>
    </row>
    <row r="419" spans="1:20" x14ac:dyDescent="0.25">
      <c r="A419" s="5">
        <v>44174</v>
      </c>
      <c r="B419">
        <v>0.1278</v>
      </c>
      <c r="C419">
        <v>0.1285</v>
      </c>
      <c r="D419">
        <v>0.111</v>
      </c>
      <c r="E419">
        <v>0.1242</v>
      </c>
      <c r="F419">
        <v>1772493.27</v>
      </c>
      <c r="G419">
        <v>0</v>
      </c>
      <c r="L419" t="s">
        <v>7</v>
      </c>
      <c r="M419" t="s">
        <v>7</v>
      </c>
      <c r="N419" t="s">
        <v>8</v>
      </c>
      <c r="P419">
        <f t="shared" si="974"/>
        <v>0.50857142857142879</v>
      </c>
      <c r="Q419">
        <f t="shared" si="975"/>
        <v>901439.4344571433</v>
      </c>
      <c r="R419">
        <f t="shared" si="976"/>
        <v>-139977220.62610486</v>
      </c>
      <c r="S419">
        <f t="shared" si="977"/>
        <v>-1399.7722062610487</v>
      </c>
      <c r="T419">
        <f t="shared" si="978"/>
        <v>-1.3997722062610487</v>
      </c>
    </row>
    <row r="420" spans="1:20" x14ac:dyDescent="0.25">
      <c r="A420" s="5">
        <v>44173</v>
      </c>
      <c r="B420">
        <v>0.1358</v>
      </c>
      <c r="C420">
        <v>0.13789999999999999</v>
      </c>
      <c r="D420">
        <v>0.12640000000000001</v>
      </c>
      <c r="E420">
        <v>0.1278</v>
      </c>
      <c r="F420">
        <v>1849275.26</v>
      </c>
      <c r="G420">
        <v>0</v>
      </c>
      <c r="L420" t="s">
        <v>7</v>
      </c>
      <c r="M420" t="s">
        <v>7</v>
      </c>
      <c r="N420" t="s">
        <v>8</v>
      </c>
      <c r="P420">
        <f t="shared" si="974"/>
        <v>-0.75652173913043708</v>
      </c>
      <c r="Q420">
        <f t="shared" si="975"/>
        <v>-1399016.9358260911</v>
      </c>
      <c r="R420">
        <f t="shared" si="976"/>
        <v>-140878660.06056201</v>
      </c>
      <c r="S420">
        <f t="shared" si="977"/>
        <v>-1408.7866006056202</v>
      </c>
      <c r="T420">
        <f t="shared" si="978"/>
        <v>-1.4087866006056202</v>
      </c>
    </row>
    <row r="421" spans="1:20" x14ac:dyDescent="0.25">
      <c r="A421" s="5">
        <v>44172</v>
      </c>
      <c r="B421">
        <v>0.13120000000000001</v>
      </c>
      <c r="C421">
        <v>0.13830000000000001</v>
      </c>
      <c r="D421">
        <v>0.12970000000000001</v>
      </c>
      <c r="E421">
        <v>0.13569999999999999</v>
      </c>
      <c r="F421">
        <v>1754824.06</v>
      </c>
      <c r="G421">
        <v>0</v>
      </c>
      <c r="L421" t="s">
        <v>8</v>
      </c>
      <c r="M421" t="s">
        <v>7</v>
      </c>
      <c r="N421" t="s">
        <v>8</v>
      </c>
      <c r="P421">
        <f t="shared" si="974"/>
        <v>0.3953488372092977</v>
      </c>
      <c r="Q421">
        <f t="shared" si="975"/>
        <v>693767.65162789891</v>
      </c>
      <c r="R421">
        <f t="shared" si="976"/>
        <v>-139479643.12473592</v>
      </c>
      <c r="S421">
        <f t="shared" si="977"/>
        <v>-1394.7964312473591</v>
      </c>
      <c r="T421">
        <f t="shared" si="978"/>
        <v>-1.3947964312473591</v>
      </c>
    </row>
    <row r="422" spans="1:20" x14ac:dyDescent="0.25">
      <c r="A422" s="5">
        <v>44171</v>
      </c>
      <c r="B422">
        <v>0.1313</v>
      </c>
      <c r="C422">
        <v>0.13339999999999999</v>
      </c>
      <c r="D422">
        <v>0.1288</v>
      </c>
      <c r="E422">
        <v>0.13070000000000001</v>
      </c>
      <c r="F422">
        <v>539070.27</v>
      </c>
      <c r="G422">
        <v>0</v>
      </c>
      <c r="L422" t="s">
        <v>8</v>
      </c>
      <c r="M422" t="s">
        <v>7</v>
      </c>
      <c r="N422" t="s">
        <v>8</v>
      </c>
      <c r="P422">
        <f t="shared" si="974"/>
        <v>-0.17391304347825404</v>
      </c>
      <c r="Q422">
        <f t="shared" si="975"/>
        <v>-93751.351304344149</v>
      </c>
      <c r="R422">
        <f t="shared" si="976"/>
        <v>-140173410.77636382</v>
      </c>
      <c r="S422">
        <f t="shared" si="977"/>
        <v>-1401.7341077636381</v>
      </c>
      <c r="T422">
        <f t="shared" si="978"/>
        <v>-1.401734107763638</v>
      </c>
    </row>
    <row r="423" spans="1:20" x14ac:dyDescent="0.25">
      <c r="A423" s="5">
        <v>44170</v>
      </c>
      <c r="B423">
        <v>0.1255</v>
      </c>
      <c r="C423">
        <v>0.13220000000000001</v>
      </c>
      <c r="D423">
        <v>0.12330000000000001</v>
      </c>
      <c r="E423">
        <v>0.13120000000000001</v>
      </c>
      <c r="F423">
        <v>652243.54</v>
      </c>
      <c r="G423">
        <v>0</v>
      </c>
      <c r="L423" t="s">
        <v>7</v>
      </c>
      <c r="M423" t="s">
        <v>7</v>
      </c>
      <c r="N423" t="s">
        <v>8</v>
      </c>
      <c r="P423">
        <f t="shared" si="974"/>
        <v>0.77528089887640439</v>
      </c>
      <c r="Q423">
        <f t="shared" si="975"/>
        <v>505671.95797752804</v>
      </c>
      <c r="R423">
        <f t="shared" si="976"/>
        <v>-140079659.42505947</v>
      </c>
      <c r="S423">
        <f t="shared" si="977"/>
        <v>-1400.7965942505946</v>
      </c>
      <c r="T423">
        <f t="shared" si="978"/>
        <v>-1.4007965942505947</v>
      </c>
    </row>
    <row r="424" spans="1:20" x14ac:dyDescent="0.25">
      <c r="A424" s="5">
        <v>44169</v>
      </c>
      <c r="B424">
        <v>0.13539999999999999</v>
      </c>
      <c r="C424">
        <v>0.1363</v>
      </c>
      <c r="D424">
        <v>0.12470000000000001</v>
      </c>
      <c r="E424">
        <v>0.12479999999999999</v>
      </c>
      <c r="F424">
        <v>939054.03</v>
      </c>
      <c r="G424">
        <v>0</v>
      </c>
      <c r="L424" t="s">
        <v>7</v>
      </c>
      <c r="M424" t="s">
        <v>7</v>
      </c>
      <c r="N424" t="s">
        <v>8</v>
      </c>
      <c r="P424">
        <f t="shared" si="974"/>
        <v>-0.98275862068965703</v>
      </c>
      <c r="Q424">
        <f t="shared" si="975"/>
        <v>-922863.44327586389</v>
      </c>
      <c r="R424">
        <f t="shared" si="976"/>
        <v>-140585331.383037</v>
      </c>
      <c r="S424">
        <f t="shared" si="977"/>
        <v>-1405.8533138303701</v>
      </c>
      <c r="T424">
        <f t="shared" si="978"/>
        <v>-1.4058533138303702</v>
      </c>
    </row>
    <row r="425" spans="1:20" x14ac:dyDescent="0.25">
      <c r="A425" s="5">
        <v>44168</v>
      </c>
      <c r="B425">
        <v>0.1396</v>
      </c>
      <c r="C425">
        <v>0.1414</v>
      </c>
      <c r="D425">
        <v>0.13170000000000001</v>
      </c>
      <c r="E425">
        <v>0.13569999999999999</v>
      </c>
      <c r="F425">
        <v>1831539.17</v>
      </c>
      <c r="G425">
        <v>0</v>
      </c>
      <c r="L425" t="s">
        <v>8</v>
      </c>
      <c r="M425" t="s">
        <v>7</v>
      </c>
      <c r="N425" t="s">
        <v>8</v>
      </c>
      <c r="P425">
        <f t="shared" si="974"/>
        <v>-0.17525773195876673</v>
      </c>
      <c r="Q425">
        <f t="shared" si="975"/>
        <v>-320991.40092784207</v>
      </c>
      <c r="R425">
        <f t="shared" si="976"/>
        <v>-139662467.93976113</v>
      </c>
      <c r="S425">
        <f t="shared" si="977"/>
        <v>-1396.6246793976113</v>
      </c>
      <c r="T425">
        <f t="shared" si="978"/>
        <v>-1.3966246793976114</v>
      </c>
    </row>
    <row r="426" spans="1:20" x14ac:dyDescent="0.25">
      <c r="A426" s="5">
        <v>44167</v>
      </c>
      <c r="B426">
        <v>0.1258</v>
      </c>
      <c r="C426">
        <v>0.14430000000000001</v>
      </c>
      <c r="D426">
        <v>0.12239999999999999</v>
      </c>
      <c r="E426">
        <v>0.13919999999999999</v>
      </c>
      <c r="F426">
        <v>3822362.52</v>
      </c>
      <c r="G426">
        <v>0</v>
      </c>
      <c r="L426" t="s">
        <v>7</v>
      </c>
      <c r="M426" t="s">
        <v>7</v>
      </c>
      <c r="N426" t="s">
        <v>8</v>
      </c>
      <c r="P426">
        <f t="shared" si="974"/>
        <v>0.53424657534246422</v>
      </c>
      <c r="Q426">
        <f t="shared" si="975"/>
        <v>2042084.0860273915</v>
      </c>
      <c r="R426">
        <f t="shared" si="976"/>
        <v>-139341476.53883329</v>
      </c>
      <c r="S426">
        <f t="shared" si="977"/>
        <v>-1393.4147653883329</v>
      </c>
      <c r="T426">
        <f t="shared" si="978"/>
        <v>-1.3934147653883329</v>
      </c>
    </row>
    <row r="427" spans="1:20" x14ac:dyDescent="0.25">
      <c r="A427" s="5">
        <v>44166</v>
      </c>
      <c r="B427">
        <v>0.12470000000000001</v>
      </c>
      <c r="C427">
        <v>0.14799999999999999</v>
      </c>
      <c r="D427">
        <v>0.1169</v>
      </c>
      <c r="E427">
        <v>0.1268</v>
      </c>
      <c r="F427">
        <v>8122447.9199999999</v>
      </c>
      <c r="G427">
        <v>0</v>
      </c>
      <c r="L427" t="s">
        <v>8</v>
      </c>
      <c r="M427" t="s">
        <v>8</v>
      </c>
      <c r="N427" t="s">
        <v>8</v>
      </c>
      <c r="P427">
        <f t="shared" si="974"/>
        <v>-0.36334405144694559</v>
      </c>
      <c r="Q427">
        <f t="shared" si="975"/>
        <v>-2951243.1349196164</v>
      </c>
      <c r="R427">
        <f t="shared" si="976"/>
        <v>-141383560.62486067</v>
      </c>
      <c r="S427">
        <f t="shared" si="977"/>
        <v>-1413.8356062486068</v>
      </c>
      <c r="T427">
        <f t="shared" si="978"/>
        <v>-1.4138356062486068</v>
      </c>
    </row>
    <row r="428" spans="1:20" x14ac:dyDescent="0.25">
      <c r="A428" s="5">
        <v>44165</v>
      </c>
      <c r="B428">
        <v>0.1211</v>
      </c>
      <c r="C428">
        <v>0.1255</v>
      </c>
      <c r="D428">
        <v>0.12</v>
      </c>
      <c r="E428">
        <v>0.12479999999999999</v>
      </c>
      <c r="F428">
        <v>1367483.72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0.74545454545454348</v>
      </c>
      <c r="Q428">
        <f t="shared" si="975"/>
        <v>1019396.9549090882</v>
      </c>
      <c r="R428">
        <f t="shared" si="976"/>
        <v>-138432317.48994106</v>
      </c>
      <c r="S428">
        <f t="shared" si="977"/>
        <v>-1384.3231748994106</v>
      </c>
      <c r="T428">
        <f t="shared" si="978"/>
        <v>-1.3843231748994105</v>
      </c>
    </row>
    <row r="429" spans="1:20" x14ac:dyDescent="0.25">
      <c r="A429" s="5">
        <v>44164</v>
      </c>
      <c r="B429">
        <v>0.1221</v>
      </c>
      <c r="C429">
        <v>0.1229</v>
      </c>
      <c r="D429">
        <v>0.1179</v>
      </c>
      <c r="E429">
        <v>0.1211</v>
      </c>
      <c r="F429">
        <v>1227960.78</v>
      </c>
      <c r="G429">
        <v>0</v>
      </c>
      <c r="L429" t="s">
        <v>8</v>
      </c>
      <c r="M429" t="s">
        <v>8</v>
      </c>
      <c r="N429" t="s">
        <v>7</v>
      </c>
      <c r="P429">
        <f t="shared" si="974"/>
        <v>0.28000000000000025</v>
      </c>
      <c r="Q429">
        <f t="shared" si="975"/>
        <v>343829.01840000029</v>
      </c>
      <c r="R429">
        <f t="shared" si="976"/>
        <v>-139451714.44485015</v>
      </c>
      <c r="S429">
        <f t="shared" si="977"/>
        <v>-1394.5171444485015</v>
      </c>
      <c r="T429">
        <f t="shared" si="978"/>
        <v>-1.3945171444485016</v>
      </c>
    </row>
    <row r="430" spans="1:20" x14ac:dyDescent="0.25">
      <c r="A430" s="5">
        <v>44163</v>
      </c>
      <c r="B430">
        <v>0.1192</v>
      </c>
      <c r="C430">
        <v>0.1242</v>
      </c>
      <c r="D430">
        <v>0.11600000000000001</v>
      </c>
      <c r="E430">
        <v>0.1229</v>
      </c>
      <c r="F430">
        <v>1153113.73</v>
      </c>
      <c r="G430">
        <v>0</v>
      </c>
      <c r="L430" t="s">
        <v>8</v>
      </c>
      <c r="M430" t="s">
        <v>8</v>
      </c>
      <c r="N430" t="s">
        <v>7</v>
      </c>
      <c r="P430">
        <f t="shared" si="974"/>
        <v>0.68292682926829029</v>
      </c>
      <c r="Q430">
        <f t="shared" si="975"/>
        <v>787492.3034146314</v>
      </c>
      <c r="R430">
        <f t="shared" si="976"/>
        <v>-139795543.46325016</v>
      </c>
      <c r="S430">
        <f t="shared" si="977"/>
        <v>-1397.9554346325017</v>
      </c>
      <c r="T430">
        <f t="shared" si="978"/>
        <v>-1.3979554346325016</v>
      </c>
    </row>
    <row r="431" spans="1:20" x14ac:dyDescent="0.25">
      <c r="A431" s="5">
        <v>44162</v>
      </c>
      <c r="B431">
        <v>0.12230000000000001</v>
      </c>
      <c r="C431">
        <v>0.126</v>
      </c>
      <c r="D431">
        <v>0.10150000000000001</v>
      </c>
      <c r="E431">
        <v>0.11899999999999999</v>
      </c>
      <c r="F431">
        <v>1998545.9199999999</v>
      </c>
      <c r="G431">
        <v>0</v>
      </c>
      <c r="L431" t="s">
        <v>7</v>
      </c>
      <c r="M431" t="s">
        <v>7</v>
      </c>
      <c r="N431" t="s">
        <v>7</v>
      </c>
      <c r="P431">
        <f t="shared" si="974"/>
        <v>0.42857142857142794</v>
      </c>
      <c r="Q431">
        <f t="shared" si="975"/>
        <v>856519.67999999865</v>
      </c>
      <c r="R431">
        <f t="shared" si="976"/>
        <v>-140583035.7666648</v>
      </c>
      <c r="S431">
        <f t="shared" si="977"/>
        <v>-1405.8303576666481</v>
      </c>
      <c r="T431">
        <f t="shared" si="978"/>
        <v>-1.405830357666648</v>
      </c>
    </row>
    <row r="432" spans="1:20" x14ac:dyDescent="0.25">
      <c r="A432" s="5">
        <v>44161</v>
      </c>
      <c r="B432">
        <v>0.13739999999999999</v>
      </c>
      <c r="C432">
        <v>0.1583</v>
      </c>
      <c r="D432">
        <v>0.1134</v>
      </c>
      <c r="E432">
        <v>0.122</v>
      </c>
      <c r="F432">
        <v>6495989.54</v>
      </c>
      <c r="G432">
        <v>0</v>
      </c>
      <c r="L432" t="s">
        <v>8</v>
      </c>
      <c r="M432" t="s">
        <v>8</v>
      </c>
      <c r="N432" t="s">
        <v>8</v>
      </c>
      <c r="P432">
        <f t="shared" si="974"/>
        <v>-0.61692650334075738</v>
      </c>
      <c r="Q432">
        <f t="shared" si="975"/>
        <v>-4007548.1126503348</v>
      </c>
      <c r="R432">
        <f t="shared" si="976"/>
        <v>-141439555.44666481</v>
      </c>
      <c r="S432">
        <f t="shared" si="977"/>
        <v>-1414.395554466648</v>
      </c>
      <c r="T432">
        <f t="shared" si="978"/>
        <v>-1.414395554466648</v>
      </c>
    </row>
    <row r="433" spans="1:20" x14ac:dyDescent="0.25">
      <c r="A433" s="5">
        <v>44160</v>
      </c>
      <c r="B433">
        <v>0.1331</v>
      </c>
      <c r="C433">
        <v>0.15029999999999999</v>
      </c>
      <c r="D433">
        <v>0.13089999999999999</v>
      </c>
      <c r="E433">
        <v>0.13719999999999999</v>
      </c>
      <c r="F433">
        <v>4809439.3099999996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-0.3505154639175258</v>
      </c>
      <c r="Q433">
        <f t="shared" si="975"/>
        <v>-1685782.8509278351</v>
      </c>
      <c r="R433">
        <f t="shared" si="976"/>
        <v>-137432007.33401448</v>
      </c>
      <c r="S433">
        <f t="shared" si="977"/>
        <v>-1374.3200733401447</v>
      </c>
      <c r="T433">
        <f t="shared" si="978"/>
        <v>-1.3743200733401448</v>
      </c>
    </row>
    <row r="434" spans="1:20" x14ac:dyDescent="0.25">
      <c r="A434" s="5">
        <v>44159</v>
      </c>
      <c r="B434">
        <v>0.13170000000000001</v>
      </c>
      <c r="C434">
        <v>0.13789999999999999</v>
      </c>
      <c r="D434">
        <v>0.1255</v>
      </c>
      <c r="E434">
        <v>0.13339999999999999</v>
      </c>
      <c r="F434">
        <v>5240059.9400000004</v>
      </c>
      <c r="G434">
        <v>0</v>
      </c>
      <c r="L434" t="s">
        <v>8</v>
      </c>
      <c r="M434" t="s">
        <v>8</v>
      </c>
      <c r="N434" t="s">
        <v>7</v>
      </c>
      <c r="P434">
        <f t="shared" si="974"/>
        <v>0.27419354838709581</v>
      </c>
      <c r="Q434">
        <f t="shared" si="975"/>
        <v>1436790.6287096725</v>
      </c>
      <c r="R434">
        <f t="shared" si="976"/>
        <v>-135746224.48308665</v>
      </c>
      <c r="S434">
        <f t="shared" si="977"/>
        <v>-1357.4622448308664</v>
      </c>
      <c r="T434">
        <f t="shared" si="978"/>
        <v>-1.3574622448308664</v>
      </c>
    </row>
    <row r="435" spans="1:20" x14ac:dyDescent="0.25">
      <c r="A435" s="5">
        <v>44158</v>
      </c>
      <c r="B435">
        <v>0.1255</v>
      </c>
      <c r="C435">
        <v>0.13350000000000001</v>
      </c>
      <c r="D435">
        <v>0.1222</v>
      </c>
      <c r="E435">
        <v>0.1313</v>
      </c>
      <c r="F435">
        <v>4138284.45</v>
      </c>
      <c r="G435">
        <v>0</v>
      </c>
      <c r="L435" t="s">
        <v>8</v>
      </c>
      <c r="M435" t="s">
        <v>7</v>
      </c>
      <c r="N435" t="s">
        <v>7</v>
      </c>
      <c r="P435">
        <f t="shared" si="974"/>
        <v>0.61061946902654751</v>
      </c>
      <c r="Q435">
        <f t="shared" si="975"/>
        <v>2526917.0535398182</v>
      </c>
      <c r="R435">
        <f t="shared" si="976"/>
        <v>-137183015.11179632</v>
      </c>
      <c r="S435">
        <f t="shared" si="977"/>
        <v>-1371.8301511179632</v>
      </c>
      <c r="T435">
        <f t="shared" si="978"/>
        <v>-1.3718301511179631</v>
      </c>
    </row>
    <row r="436" spans="1:20" x14ac:dyDescent="0.25">
      <c r="A436" s="5">
        <v>44157</v>
      </c>
      <c r="B436">
        <v>0.1308</v>
      </c>
      <c r="C436">
        <v>0.1326</v>
      </c>
      <c r="D436">
        <v>0.1206</v>
      </c>
      <c r="E436">
        <v>0.1255</v>
      </c>
      <c r="F436">
        <v>1380859.4</v>
      </c>
      <c r="G436">
        <v>0</v>
      </c>
      <c r="L436" t="s">
        <v>7</v>
      </c>
      <c r="M436" t="s">
        <v>7</v>
      </c>
      <c r="N436" t="s">
        <v>7</v>
      </c>
      <c r="P436">
        <f t="shared" si="974"/>
        <v>-0.18333333333333285</v>
      </c>
      <c r="Q436">
        <f t="shared" si="975"/>
        <v>-253157.55666666597</v>
      </c>
      <c r="R436">
        <f t="shared" si="976"/>
        <v>-139709932.16533613</v>
      </c>
      <c r="S436">
        <f t="shared" si="977"/>
        <v>-1397.0993216533614</v>
      </c>
      <c r="T436">
        <f t="shared" si="978"/>
        <v>-1.3970993216533614</v>
      </c>
    </row>
    <row r="437" spans="1:20" x14ac:dyDescent="0.25">
      <c r="A437" s="5">
        <v>44156</v>
      </c>
      <c r="B437">
        <v>0.12429999999999999</v>
      </c>
      <c r="C437">
        <v>0.13420000000000001</v>
      </c>
      <c r="D437">
        <v>0.12089999999999999</v>
      </c>
      <c r="E437">
        <v>0.13020000000000001</v>
      </c>
      <c r="F437">
        <v>1711685.47</v>
      </c>
      <c r="G437">
        <v>0</v>
      </c>
      <c r="L437" t="s">
        <v>8</v>
      </c>
      <c r="M437" t="s">
        <v>7</v>
      </c>
      <c r="N437" t="s">
        <v>7</v>
      </c>
      <c r="P437">
        <f t="shared" si="974"/>
        <v>0.39849624060150413</v>
      </c>
      <c r="Q437">
        <f t="shared" si="975"/>
        <v>682100.22488721868</v>
      </c>
      <c r="R437">
        <f t="shared" si="976"/>
        <v>-139456774.60866946</v>
      </c>
      <c r="S437">
        <f t="shared" si="977"/>
        <v>-1394.5677460866946</v>
      </c>
      <c r="T437">
        <f t="shared" si="978"/>
        <v>-1.3945677460866945</v>
      </c>
    </row>
    <row r="438" spans="1:20" x14ac:dyDescent="0.25">
      <c r="A438" s="5">
        <v>44155</v>
      </c>
      <c r="B438">
        <v>0.1186</v>
      </c>
      <c r="C438">
        <v>0.128</v>
      </c>
      <c r="D438">
        <v>0.1181</v>
      </c>
      <c r="E438">
        <v>0.12429999999999999</v>
      </c>
      <c r="F438">
        <v>1102828.27</v>
      </c>
      <c r="G438">
        <v>0</v>
      </c>
      <c r="L438" t="s">
        <v>8</v>
      </c>
      <c r="M438" t="s">
        <v>7</v>
      </c>
      <c r="N438" t="s">
        <v>7</v>
      </c>
      <c r="P438">
        <f t="shared" si="974"/>
        <v>0.25252525252525121</v>
      </c>
      <c r="Q438">
        <f t="shared" si="975"/>
        <v>278491.98737373593</v>
      </c>
      <c r="R438">
        <f t="shared" si="976"/>
        <v>-140138874.83355668</v>
      </c>
      <c r="S438">
        <f t="shared" si="977"/>
        <v>-1401.3887483355668</v>
      </c>
      <c r="T438">
        <f t="shared" si="978"/>
        <v>-1.4013887483355667</v>
      </c>
    </row>
    <row r="439" spans="1:20" x14ac:dyDescent="0.25">
      <c r="A439" s="5">
        <v>44154</v>
      </c>
      <c r="B439">
        <v>0.1226</v>
      </c>
      <c r="C439">
        <v>0.1237</v>
      </c>
      <c r="D439">
        <v>0.11559999999999999</v>
      </c>
      <c r="E439">
        <v>0.11899999999999999</v>
      </c>
      <c r="F439">
        <v>582662.30000000005</v>
      </c>
      <c r="G439">
        <v>0</v>
      </c>
      <c r="L439" t="s">
        <v>7</v>
      </c>
      <c r="M439" t="s">
        <v>7</v>
      </c>
      <c r="N439" t="s">
        <v>7</v>
      </c>
      <c r="P439">
        <f t="shared" si="974"/>
        <v>-0.16049382716049479</v>
      </c>
      <c r="Q439">
        <f t="shared" si="975"/>
        <v>-93513.702469136377</v>
      </c>
      <c r="R439">
        <f t="shared" si="976"/>
        <v>-140417366.82093042</v>
      </c>
      <c r="S439">
        <f t="shared" si="977"/>
        <v>-1404.1736682093042</v>
      </c>
      <c r="T439">
        <f t="shared" si="978"/>
        <v>-1.4041736682093042</v>
      </c>
    </row>
    <row r="440" spans="1:20" x14ac:dyDescent="0.25">
      <c r="A440" s="5">
        <v>44153</v>
      </c>
      <c r="B440">
        <v>0.122</v>
      </c>
      <c r="C440">
        <v>0.1263</v>
      </c>
      <c r="D440">
        <v>0.11650000000000001</v>
      </c>
      <c r="E440">
        <v>0.1222</v>
      </c>
      <c r="F440">
        <v>1120578.45</v>
      </c>
      <c r="G440">
        <v>0</v>
      </c>
      <c r="L440" t="s">
        <v>7</v>
      </c>
      <c r="M440" t="s">
        <v>7</v>
      </c>
      <c r="N440" t="s">
        <v>7</v>
      </c>
      <c r="P440">
        <f t="shared" si="974"/>
        <v>0.16326530612244958</v>
      </c>
      <c r="Q440">
        <f t="shared" si="975"/>
        <v>182951.58367347004</v>
      </c>
      <c r="R440">
        <f t="shared" si="976"/>
        <v>-140323853.11846128</v>
      </c>
      <c r="S440">
        <f t="shared" si="977"/>
        <v>-1403.2385311846128</v>
      </c>
      <c r="T440">
        <f t="shared" si="978"/>
        <v>-1.4032385311846129</v>
      </c>
    </row>
    <row r="441" spans="1:20" x14ac:dyDescent="0.25">
      <c r="A441" s="5">
        <v>44152</v>
      </c>
      <c r="B441">
        <v>0.12620000000000001</v>
      </c>
      <c r="C441">
        <v>0.12709999999999999</v>
      </c>
      <c r="D441">
        <v>0.1217</v>
      </c>
      <c r="E441">
        <v>0.12230000000000001</v>
      </c>
      <c r="F441">
        <v>1441563.29</v>
      </c>
      <c r="G441">
        <v>0</v>
      </c>
      <c r="L441" t="s">
        <v>7</v>
      </c>
      <c r="M441" t="s">
        <v>7</v>
      </c>
      <c r="N441" t="s">
        <v>7</v>
      </c>
      <c r="P441">
        <f t="shared" si="974"/>
        <v>-0.77777777777777601</v>
      </c>
      <c r="Q441">
        <f t="shared" si="975"/>
        <v>-1121215.8922222196</v>
      </c>
      <c r="R441">
        <f t="shared" si="976"/>
        <v>-140506804.70213476</v>
      </c>
      <c r="S441">
        <f t="shared" si="977"/>
        <v>-1405.0680470213476</v>
      </c>
      <c r="T441">
        <f t="shared" si="978"/>
        <v>-1.4050680470213477</v>
      </c>
    </row>
    <row r="442" spans="1:20" x14ac:dyDescent="0.25">
      <c r="A442" s="5">
        <v>44151</v>
      </c>
      <c r="B442">
        <v>0.1202</v>
      </c>
      <c r="C442">
        <v>0.13370000000000001</v>
      </c>
      <c r="D442">
        <v>0.12</v>
      </c>
      <c r="E442">
        <v>0.12620000000000001</v>
      </c>
      <c r="F442">
        <v>2930174.32</v>
      </c>
      <c r="G442">
        <v>0</v>
      </c>
      <c r="L442" t="s">
        <v>8</v>
      </c>
      <c r="M442" t="s">
        <v>7</v>
      </c>
      <c r="N442" t="s">
        <v>7</v>
      </c>
      <c r="P442">
        <f t="shared" si="974"/>
        <v>-9.4890510948904661E-2</v>
      </c>
      <c r="Q442">
        <f t="shared" si="975"/>
        <v>-278045.73839415924</v>
      </c>
      <c r="R442">
        <f t="shared" si="976"/>
        <v>-139385588.80991253</v>
      </c>
      <c r="S442">
        <f t="shared" si="977"/>
        <v>-1393.8558880991254</v>
      </c>
      <c r="T442">
        <f t="shared" si="978"/>
        <v>-1.3938558880991254</v>
      </c>
    </row>
    <row r="443" spans="1:20" x14ac:dyDescent="0.25">
      <c r="A443" s="5">
        <v>44150</v>
      </c>
      <c r="B443">
        <v>0.12379999999999999</v>
      </c>
      <c r="C443">
        <v>0.12570000000000001</v>
      </c>
      <c r="D443">
        <v>0.11840000000000001</v>
      </c>
      <c r="E443">
        <v>0.11990000000000001</v>
      </c>
      <c r="F443">
        <v>579602.93999999994</v>
      </c>
      <c r="G443">
        <v>0</v>
      </c>
      <c r="L443" t="s">
        <v>7</v>
      </c>
      <c r="M443" t="s">
        <v>7</v>
      </c>
      <c r="N443" t="s">
        <v>7</v>
      </c>
      <c r="P443">
        <f t="shared" si="974"/>
        <v>-0.58904109589041065</v>
      </c>
      <c r="Q443">
        <f t="shared" si="975"/>
        <v>-341409.95095890388</v>
      </c>
      <c r="R443">
        <f t="shared" si="976"/>
        <v>-139107543.07151836</v>
      </c>
      <c r="S443">
        <f t="shared" si="977"/>
        <v>-1391.0754307151835</v>
      </c>
      <c r="T443">
        <f t="shared" si="978"/>
        <v>-1.3910754307151836</v>
      </c>
    </row>
    <row r="444" spans="1:20" x14ac:dyDescent="0.25">
      <c r="A444" s="5">
        <v>44149</v>
      </c>
      <c r="B444">
        <v>0.1285</v>
      </c>
      <c r="C444">
        <v>0.12959999999999999</v>
      </c>
      <c r="D444">
        <v>0.12180000000000001</v>
      </c>
      <c r="E444">
        <v>0.1241</v>
      </c>
      <c r="F444">
        <v>661456.64000000001</v>
      </c>
      <c r="G444">
        <v>0</v>
      </c>
      <c r="L444" t="s">
        <v>7</v>
      </c>
      <c r="M444" t="s">
        <v>7</v>
      </c>
      <c r="N444" t="s">
        <v>7</v>
      </c>
      <c r="P444">
        <f t="shared" si="974"/>
        <v>-0.41025641025641019</v>
      </c>
      <c r="Q444">
        <f t="shared" si="975"/>
        <v>-271366.8266666666</v>
      </c>
      <c r="R444">
        <f t="shared" si="976"/>
        <v>-138766133.12055945</v>
      </c>
      <c r="S444">
        <f t="shared" si="977"/>
        <v>-1387.6613312055945</v>
      </c>
      <c r="T444">
        <f t="shared" si="978"/>
        <v>-1.3876613312055945</v>
      </c>
    </row>
    <row r="445" spans="1:20" x14ac:dyDescent="0.25">
      <c r="A445" s="5">
        <v>44148</v>
      </c>
      <c r="B445">
        <v>0.1278</v>
      </c>
      <c r="C445">
        <v>0.13589999999999999</v>
      </c>
      <c r="D445">
        <v>0.122</v>
      </c>
      <c r="E445">
        <v>0.12859999999999999</v>
      </c>
      <c r="F445">
        <v>2152042.87</v>
      </c>
      <c r="G445">
        <v>0</v>
      </c>
      <c r="L445" t="s">
        <v>7</v>
      </c>
      <c r="M445" t="s">
        <v>7</v>
      </c>
      <c r="N445" t="s">
        <v>7</v>
      </c>
      <c r="P445">
        <f t="shared" si="974"/>
        <v>-5.0359712230216284E-2</v>
      </c>
      <c r="Q445">
        <f t="shared" si="975"/>
        <v>-108376.25964028876</v>
      </c>
      <c r="R445">
        <f t="shared" si="976"/>
        <v>-138494766.2938928</v>
      </c>
      <c r="S445">
        <f t="shared" si="977"/>
        <v>-1384.947662938928</v>
      </c>
      <c r="T445">
        <f t="shared" si="978"/>
        <v>-1.3849476629389281</v>
      </c>
    </row>
    <row r="446" spans="1:20" x14ac:dyDescent="0.25">
      <c r="A446" s="5">
        <v>44147</v>
      </c>
      <c r="B446">
        <v>0.1239</v>
      </c>
      <c r="C446">
        <v>0.14510000000000001</v>
      </c>
      <c r="D446">
        <v>0.1207</v>
      </c>
      <c r="E446">
        <v>0.128</v>
      </c>
      <c r="F446">
        <v>2589624.2599999998</v>
      </c>
      <c r="G446">
        <v>0</v>
      </c>
      <c r="L446" t="s">
        <v>8</v>
      </c>
      <c r="M446" t="s">
        <v>8</v>
      </c>
      <c r="N446" t="s">
        <v>7</v>
      </c>
      <c r="P446">
        <f t="shared" si="974"/>
        <v>-0.40163934426229514</v>
      </c>
      <c r="Q446">
        <f t="shared" si="975"/>
        <v>-1040094.9896721313</v>
      </c>
      <c r="R446">
        <f t="shared" si="976"/>
        <v>-138386390.03425252</v>
      </c>
      <c r="S446">
        <f t="shared" si="977"/>
        <v>-1383.8639003425253</v>
      </c>
      <c r="T446">
        <f t="shared" si="978"/>
        <v>-1.3838639003425253</v>
      </c>
    </row>
    <row r="447" spans="1:20" x14ac:dyDescent="0.25">
      <c r="A447" s="5">
        <v>44146</v>
      </c>
      <c r="B447">
        <v>0.12</v>
      </c>
      <c r="C447">
        <v>0.12909999999999999</v>
      </c>
      <c r="D447">
        <v>0.11899999999999999</v>
      </c>
      <c r="E447">
        <v>0.1236</v>
      </c>
      <c r="F447">
        <v>1538229.34</v>
      </c>
      <c r="G447">
        <v>0</v>
      </c>
      <c r="L447" t="s">
        <v>8</v>
      </c>
      <c r="M447" t="s">
        <v>8</v>
      </c>
      <c r="N447" t="s">
        <v>7</v>
      </c>
      <c r="P447">
        <f t="shared" si="974"/>
        <v>-8.9108910891087564E-2</v>
      </c>
      <c r="Q447">
        <f t="shared" si="975"/>
        <v>-137069.94118811644</v>
      </c>
      <c r="R447">
        <f t="shared" si="976"/>
        <v>-137346295.0445804</v>
      </c>
      <c r="S447">
        <f t="shared" si="977"/>
        <v>-1373.4629504458039</v>
      </c>
      <c r="T447">
        <f t="shared" si="978"/>
        <v>-1.373462950445804</v>
      </c>
    </row>
    <row r="448" spans="1:20" x14ac:dyDescent="0.25">
      <c r="A448" s="5">
        <v>44145</v>
      </c>
      <c r="B448">
        <v>0.1163</v>
      </c>
      <c r="C448">
        <v>0.125</v>
      </c>
      <c r="D448">
        <v>0.115</v>
      </c>
      <c r="E448">
        <v>0.1205</v>
      </c>
      <c r="F448">
        <v>1173551.17</v>
      </c>
      <c r="G448">
        <v>0</v>
      </c>
      <c r="L448" t="s">
        <v>8</v>
      </c>
      <c r="M448" t="s">
        <v>7</v>
      </c>
      <c r="N448" t="s">
        <v>7</v>
      </c>
      <c r="P448">
        <f t="shared" si="974"/>
        <v>9.9999999999998757E-2</v>
      </c>
      <c r="Q448">
        <f t="shared" si="975"/>
        <v>117355.11699999853</v>
      </c>
      <c r="R448">
        <f t="shared" si="976"/>
        <v>-137209225.10339227</v>
      </c>
      <c r="S448">
        <f t="shared" si="977"/>
        <v>-1372.0922510339228</v>
      </c>
      <c r="T448">
        <f t="shared" si="978"/>
        <v>-1.3720922510339228</v>
      </c>
    </row>
    <row r="449" spans="1:20" x14ac:dyDescent="0.25">
      <c r="A449" s="5">
        <v>44144</v>
      </c>
      <c r="B449">
        <v>0.1171</v>
      </c>
      <c r="C449">
        <v>0.1191</v>
      </c>
      <c r="D449">
        <v>0.1115</v>
      </c>
      <c r="E449">
        <v>0.1164</v>
      </c>
      <c r="F449">
        <v>565916.35</v>
      </c>
      <c r="G449">
        <v>0</v>
      </c>
      <c r="L449" t="s">
        <v>7</v>
      </c>
      <c r="M449" t="s">
        <v>7</v>
      </c>
      <c r="N449" t="s">
        <v>7</v>
      </c>
      <c r="P449">
        <f t="shared" si="974"/>
        <v>0.28947368421052749</v>
      </c>
      <c r="Q449">
        <f t="shared" si="975"/>
        <v>163817.89078947433</v>
      </c>
      <c r="R449">
        <f t="shared" si="976"/>
        <v>-137326580.22039226</v>
      </c>
      <c r="S449">
        <f t="shared" si="977"/>
        <v>-1373.2658022039225</v>
      </c>
      <c r="T449">
        <f t="shared" si="978"/>
        <v>-1.3732658022039226</v>
      </c>
    </row>
    <row r="450" spans="1:20" x14ac:dyDescent="0.25">
      <c r="A450" s="5">
        <v>44143</v>
      </c>
      <c r="B450">
        <v>0.11269999999999999</v>
      </c>
      <c r="C450">
        <v>0.11899999999999999</v>
      </c>
      <c r="D450">
        <v>0.1124</v>
      </c>
      <c r="E450">
        <v>0.11749999999999999</v>
      </c>
      <c r="F450">
        <v>730321.32</v>
      </c>
      <c r="G450">
        <v>0</v>
      </c>
      <c r="L450" t="s">
        <v>7</v>
      </c>
      <c r="M450" t="s">
        <v>7</v>
      </c>
      <c r="N450" t="s">
        <v>7</v>
      </c>
      <c r="P450">
        <f t="shared" si="974"/>
        <v>0.54545454545454464</v>
      </c>
      <c r="Q450">
        <f t="shared" si="975"/>
        <v>398357.08363636304</v>
      </c>
      <c r="R450">
        <f t="shared" si="976"/>
        <v>-137490398.11118174</v>
      </c>
      <c r="S450">
        <f t="shared" si="977"/>
        <v>-1374.9039811118173</v>
      </c>
      <c r="T450">
        <f t="shared" si="978"/>
        <v>-1.3749039811118173</v>
      </c>
    </row>
    <row r="451" spans="1:20" x14ac:dyDescent="0.25">
      <c r="A451" s="5">
        <v>44142</v>
      </c>
      <c r="B451">
        <v>0.1198</v>
      </c>
      <c r="C451">
        <v>0.125</v>
      </c>
      <c r="D451">
        <v>0.1106</v>
      </c>
      <c r="E451">
        <v>0.1135</v>
      </c>
      <c r="F451">
        <v>1243440.48</v>
      </c>
      <c r="G451">
        <v>0</v>
      </c>
      <c r="L451" t="s">
        <v>8</v>
      </c>
      <c r="M451" t="s">
        <v>7</v>
      </c>
      <c r="N451" t="s">
        <v>7</v>
      </c>
      <c r="P451">
        <f t="shared" si="974"/>
        <v>-0.5972222222222221</v>
      </c>
      <c r="Q451">
        <f t="shared" si="975"/>
        <v>-742610.28666666651</v>
      </c>
      <c r="R451">
        <f t="shared" si="976"/>
        <v>-137888755.19481811</v>
      </c>
      <c r="S451">
        <f t="shared" si="977"/>
        <v>-1378.887551948181</v>
      </c>
      <c r="T451">
        <f t="shared" si="978"/>
        <v>-1.3788875519481809</v>
      </c>
    </row>
    <row r="452" spans="1:20" x14ac:dyDescent="0.25">
      <c r="A452" s="5">
        <v>44141</v>
      </c>
      <c r="B452">
        <v>0.11169999999999999</v>
      </c>
      <c r="C452">
        <v>0.1211</v>
      </c>
      <c r="D452">
        <v>0.1111</v>
      </c>
      <c r="E452">
        <v>0.1191</v>
      </c>
      <c r="F452">
        <v>2056927.56</v>
      </c>
      <c r="G452">
        <v>0</v>
      </c>
      <c r="L452" t="s">
        <v>8</v>
      </c>
      <c r="M452" t="s">
        <v>7</v>
      </c>
      <c r="N452" t="s">
        <v>7</v>
      </c>
      <c r="P452">
        <f t="shared" si="974"/>
        <v>0.59999999999999942</v>
      </c>
      <c r="Q452">
        <f t="shared" si="975"/>
        <v>1234156.5359999989</v>
      </c>
      <c r="R452">
        <f t="shared" si="976"/>
        <v>-137146144.90815145</v>
      </c>
      <c r="S452">
        <f t="shared" si="977"/>
        <v>-1371.4614490815145</v>
      </c>
      <c r="T452">
        <f t="shared" si="978"/>
        <v>-1.3714614490815145</v>
      </c>
    </row>
    <row r="453" spans="1:20" x14ac:dyDescent="0.25">
      <c r="A453" s="5">
        <v>44140</v>
      </c>
      <c r="B453">
        <v>0.1115</v>
      </c>
      <c r="C453">
        <v>0.1139</v>
      </c>
      <c r="D453">
        <v>0.10879999999999999</v>
      </c>
      <c r="E453">
        <v>0.1111</v>
      </c>
      <c r="F453">
        <v>1107705.7</v>
      </c>
      <c r="G453">
        <v>0</v>
      </c>
      <c r="L453" t="s">
        <v>7</v>
      </c>
      <c r="M453" t="s">
        <v>7</v>
      </c>
      <c r="N453" t="s">
        <v>7</v>
      </c>
      <c r="P453">
        <f t="shared" si="974"/>
        <v>-9.8039215686271733E-2</v>
      </c>
      <c r="Q453">
        <f t="shared" si="975"/>
        <v>-108598.59803921261</v>
      </c>
      <c r="R453">
        <f t="shared" si="976"/>
        <v>-138380301.44415146</v>
      </c>
      <c r="S453">
        <f t="shared" si="977"/>
        <v>-1383.8030144415145</v>
      </c>
      <c r="T453">
        <f t="shared" si="978"/>
        <v>-1.3838030144415145</v>
      </c>
    </row>
    <row r="454" spans="1:20" x14ac:dyDescent="0.25">
      <c r="A454" s="5">
        <v>44139</v>
      </c>
      <c r="B454">
        <v>0.1116</v>
      </c>
      <c r="C454">
        <v>0.1138</v>
      </c>
      <c r="D454">
        <v>0.1082</v>
      </c>
      <c r="E454">
        <v>0.112</v>
      </c>
      <c r="F454">
        <v>393113.32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0.35714285714285787</v>
      </c>
      <c r="Q454">
        <f t="shared" ref="Q454:Q517" si="980">F454*P454</f>
        <v>140397.61428571458</v>
      </c>
      <c r="R454">
        <f t="shared" ref="R454:R517" si="981">R455+Q454</f>
        <v>-138271702.84611225</v>
      </c>
      <c r="S454">
        <f t="shared" ref="S454:S517" si="982">R454/100000</f>
        <v>-1382.7170284611225</v>
      </c>
      <c r="T454">
        <f t="shared" ref="T454:T517" si="983">S454/1000</f>
        <v>-1.3827170284611225</v>
      </c>
    </row>
    <row r="455" spans="1:20" x14ac:dyDescent="0.25">
      <c r="A455" s="5">
        <v>44138</v>
      </c>
      <c r="B455">
        <v>0.11219999999999999</v>
      </c>
      <c r="C455">
        <v>0.1134</v>
      </c>
      <c r="D455">
        <v>0.1072</v>
      </c>
      <c r="E455">
        <v>0.1116</v>
      </c>
      <c r="F455">
        <v>580562.17000000004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0.41935483870967843</v>
      </c>
      <c r="Q455">
        <f t="shared" si="980"/>
        <v>243461.55516129092</v>
      </c>
      <c r="R455">
        <f t="shared" si="981"/>
        <v>-138412100.46039796</v>
      </c>
      <c r="S455">
        <f t="shared" si="982"/>
        <v>-1384.1210046039796</v>
      </c>
      <c r="T455">
        <f t="shared" si="983"/>
        <v>-1.3841210046039796</v>
      </c>
    </row>
    <row r="456" spans="1:20" x14ac:dyDescent="0.25">
      <c r="A456" s="5">
        <v>44137</v>
      </c>
      <c r="B456">
        <v>0.1178</v>
      </c>
      <c r="C456">
        <v>0.11990000000000001</v>
      </c>
      <c r="D456">
        <v>0.1111</v>
      </c>
      <c r="E456">
        <v>0.11310000000000001</v>
      </c>
      <c r="F456">
        <v>525661.68000000005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-0.54545454545454519</v>
      </c>
      <c r="Q456">
        <f t="shared" si="980"/>
        <v>-286724.55272727262</v>
      </c>
      <c r="R456">
        <f t="shared" si="981"/>
        <v>-138655562.01555926</v>
      </c>
      <c r="S456">
        <f t="shared" si="982"/>
        <v>-1386.5556201555926</v>
      </c>
      <c r="T456">
        <f t="shared" si="983"/>
        <v>-1.3865556201555926</v>
      </c>
    </row>
    <row r="457" spans="1:20" x14ac:dyDescent="0.25">
      <c r="A457" s="5">
        <v>44136</v>
      </c>
      <c r="B457">
        <v>0.1181</v>
      </c>
      <c r="C457">
        <v>0.1222</v>
      </c>
      <c r="D457">
        <v>0.1169</v>
      </c>
      <c r="E457">
        <v>0.1176</v>
      </c>
      <c r="F457">
        <v>429358.01</v>
      </c>
      <c r="G457">
        <v>0</v>
      </c>
      <c r="L457" t="s">
        <v>8</v>
      </c>
      <c r="M457" t="s">
        <v>7</v>
      </c>
      <c r="N457" t="s">
        <v>7</v>
      </c>
      <c r="P457">
        <f t="shared" si="979"/>
        <v>-0.73584905660377642</v>
      </c>
      <c r="Q457">
        <f t="shared" si="980"/>
        <v>-315942.68660377478</v>
      </c>
      <c r="R457">
        <f t="shared" si="981"/>
        <v>-138368837.46283197</v>
      </c>
      <c r="S457">
        <f t="shared" si="982"/>
        <v>-1383.6883746283197</v>
      </c>
      <c r="T457">
        <f t="shared" si="983"/>
        <v>-1.3836883746283197</v>
      </c>
    </row>
    <row r="458" spans="1:20" x14ac:dyDescent="0.25">
      <c r="A458" s="5">
        <v>44135</v>
      </c>
      <c r="B458">
        <v>0.11550000000000001</v>
      </c>
      <c r="C458">
        <v>0.11899999999999999</v>
      </c>
      <c r="D458">
        <v>0.115</v>
      </c>
      <c r="E458">
        <v>0.11799999999999999</v>
      </c>
      <c r="F458">
        <v>747198.09</v>
      </c>
      <c r="G458">
        <v>0</v>
      </c>
      <c r="L458" t="s">
        <v>7</v>
      </c>
      <c r="M458" t="s">
        <v>7</v>
      </c>
      <c r="N458" t="s">
        <v>7</v>
      </c>
      <c r="P458">
        <f t="shared" si="979"/>
        <v>0.49999999999999828</v>
      </c>
      <c r="Q458">
        <f t="shared" si="980"/>
        <v>373599.0449999987</v>
      </c>
      <c r="R458">
        <f t="shared" si="981"/>
        <v>-138052894.77622819</v>
      </c>
      <c r="S458">
        <f t="shared" si="982"/>
        <v>-1380.5289477622819</v>
      </c>
      <c r="T458">
        <f t="shared" si="983"/>
        <v>-1.380528947762282</v>
      </c>
    </row>
    <row r="459" spans="1:20" x14ac:dyDescent="0.25">
      <c r="A459" s="5">
        <v>44134</v>
      </c>
      <c r="B459">
        <v>0.1231</v>
      </c>
      <c r="C459">
        <v>0.1242</v>
      </c>
      <c r="D459">
        <v>0.1129</v>
      </c>
      <c r="E459">
        <v>0.11600000000000001</v>
      </c>
      <c r="F459">
        <v>618571.75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-0.45132743362831784</v>
      </c>
      <c r="Q459">
        <f t="shared" si="980"/>
        <v>-279178.40044247743</v>
      </c>
      <c r="R459">
        <f t="shared" si="981"/>
        <v>-138426493.82122818</v>
      </c>
      <c r="S459">
        <f t="shared" si="982"/>
        <v>-1384.2649382122818</v>
      </c>
      <c r="T459">
        <f t="shared" si="983"/>
        <v>-1.3842649382122818</v>
      </c>
    </row>
    <row r="460" spans="1:20" x14ac:dyDescent="0.25">
      <c r="A460" s="5">
        <v>44133</v>
      </c>
      <c r="B460">
        <v>0.12590000000000001</v>
      </c>
      <c r="C460">
        <v>0.12690000000000001</v>
      </c>
      <c r="D460">
        <v>0.12180000000000001</v>
      </c>
      <c r="E460">
        <v>0.1234</v>
      </c>
      <c r="F460">
        <v>423767.66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-0.37254901960784781</v>
      </c>
      <c r="Q460">
        <f t="shared" si="980"/>
        <v>-157874.22627451178</v>
      </c>
      <c r="R460">
        <f t="shared" si="981"/>
        <v>-138147315.4207857</v>
      </c>
      <c r="S460">
        <f t="shared" si="982"/>
        <v>-1381.4731542078569</v>
      </c>
      <c r="T460">
        <f t="shared" si="983"/>
        <v>-1.3814731542078569</v>
      </c>
    </row>
    <row r="461" spans="1:20" x14ac:dyDescent="0.25">
      <c r="A461" s="5">
        <v>44132</v>
      </c>
      <c r="B461">
        <v>0.13539999999999999</v>
      </c>
      <c r="C461">
        <v>0.13539999999999999</v>
      </c>
      <c r="D461">
        <v>0.1229</v>
      </c>
      <c r="E461">
        <v>0.126</v>
      </c>
      <c r="F461">
        <v>971798.11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-0.503999999999999</v>
      </c>
      <c r="Q461">
        <f t="shared" si="980"/>
        <v>-489786.24743999902</v>
      </c>
      <c r="R461">
        <f t="shared" si="981"/>
        <v>-137989441.19451118</v>
      </c>
      <c r="S461">
        <f t="shared" si="982"/>
        <v>-1379.8944119451116</v>
      </c>
      <c r="T461">
        <f t="shared" si="983"/>
        <v>-1.3798944119451115</v>
      </c>
    </row>
    <row r="462" spans="1:20" x14ac:dyDescent="0.25">
      <c r="A462" s="5">
        <v>44131</v>
      </c>
      <c r="B462">
        <v>0.13800000000000001</v>
      </c>
      <c r="C462">
        <v>0.13850000000000001</v>
      </c>
      <c r="D462">
        <v>0.1331</v>
      </c>
      <c r="E462">
        <v>0.13469999999999999</v>
      </c>
      <c r="F462">
        <v>494349.83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-0.40740740740741271</v>
      </c>
      <c r="Q462">
        <f t="shared" si="980"/>
        <v>-201401.78259259523</v>
      </c>
      <c r="R462">
        <f t="shared" si="981"/>
        <v>-137499654.94707116</v>
      </c>
      <c r="S462">
        <f t="shared" si="982"/>
        <v>-1374.9965494707117</v>
      </c>
      <c r="T462">
        <f t="shared" si="983"/>
        <v>-1.3749965494707117</v>
      </c>
    </row>
    <row r="463" spans="1:20" x14ac:dyDescent="0.25">
      <c r="A463" s="5">
        <v>44130</v>
      </c>
      <c r="B463">
        <v>0.14180000000000001</v>
      </c>
      <c r="C463">
        <v>0.14399999999999999</v>
      </c>
      <c r="D463">
        <v>0.13689999999999999</v>
      </c>
      <c r="E463">
        <v>0.1391</v>
      </c>
      <c r="F463">
        <v>474715.66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-0.38028169014084257</v>
      </c>
      <c r="Q463">
        <f t="shared" si="980"/>
        <v>-180525.67352112557</v>
      </c>
      <c r="R463">
        <f t="shared" si="981"/>
        <v>-137298253.16447857</v>
      </c>
      <c r="S463">
        <f t="shared" si="982"/>
        <v>-1372.9825316447857</v>
      </c>
      <c r="T463">
        <f t="shared" si="983"/>
        <v>-1.3729825316447857</v>
      </c>
    </row>
    <row r="464" spans="1:20" x14ac:dyDescent="0.25">
      <c r="A464" s="5">
        <v>44129</v>
      </c>
      <c r="B464">
        <v>0.14660000000000001</v>
      </c>
      <c r="C464">
        <v>0.1492</v>
      </c>
      <c r="D464">
        <v>0.1414</v>
      </c>
      <c r="E464">
        <v>0.14219999999999999</v>
      </c>
      <c r="F464">
        <v>288145.88</v>
      </c>
      <c r="G464">
        <v>0</v>
      </c>
      <c r="L464" t="s">
        <v>8</v>
      </c>
      <c r="M464" t="s">
        <v>7</v>
      </c>
      <c r="N464" t="s">
        <v>7</v>
      </c>
      <c r="P464">
        <f t="shared" si="979"/>
        <v>-0.79487179487179616</v>
      </c>
      <c r="Q464">
        <f t="shared" si="980"/>
        <v>-229039.03282051318</v>
      </c>
      <c r="R464">
        <f t="shared" si="981"/>
        <v>-137117727.49095744</v>
      </c>
      <c r="S464">
        <f t="shared" si="982"/>
        <v>-1371.1772749095744</v>
      </c>
      <c r="T464">
        <f t="shared" si="983"/>
        <v>-1.3711772749095743</v>
      </c>
    </row>
    <row r="465" spans="1:20" x14ac:dyDescent="0.25">
      <c r="A465" s="5">
        <v>44128</v>
      </c>
      <c r="B465">
        <v>0.1454</v>
      </c>
      <c r="C465">
        <v>0.1479</v>
      </c>
      <c r="D465">
        <v>0.14349999999999999</v>
      </c>
      <c r="E465">
        <v>0.14660000000000001</v>
      </c>
      <c r="F465">
        <v>332515.18</v>
      </c>
      <c r="G465">
        <v>0</v>
      </c>
      <c r="L465" t="s">
        <v>8</v>
      </c>
      <c r="M465" t="s">
        <v>7</v>
      </c>
      <c r="N465" t="s">
        <v>7</v>
      </c>
      <c r="P465">
        <f t="shared" si="979"/>
        <v>0.40909090909091311</v>
      </c>
      <c r="Q465">
        <f t="shared" si="980"/>
        <v>136028.9372727286</v>
      </c>
      <c r="R465">
        <f t="shared" si="981"/>
        <v>-136888688.45813692</v>
      </c>
      <c r="S465">
        <f t="shared" si="982"/>
        <v>-1368.8868845813693</v>
      </c>
      <c r="T465">
        <f t="shared" si="983"/>
        <v>-1.3688868845813693</v>
      </c>
    </row>
    <row r="466" spans="1:20" x14ac:dyDescent="0.25">
      <c r="A466" s="5">
        <v>44127</v>
      </c>
      <c r="B466">
        <v>0.1431</v>
      </c>
      <c r="C466">
        <v>0.1484</v>
      </c>
      <c r="D466">
        <v>0.1424</v>
      </c>
      <c r="E466">
        <v>0.14549999999999999</v>
      </c>
      <c r="F466">
        <v>562844.25</v>
      </c>
      <c r="G466">
        <v>0</v>
      </c>
      <c r="L466" t="s">
        <v>8</v>
      </c>
      <c r="M466" t="s">
        <v>7</v>
      </c>
      <c r="N466" t="s">
        <v>7</v>
      </c>
      <c r="P466">
        <f t="shared" si="979"/>
        <v>3.3333333333329634E-2</v>
      </c>
      <c r="Q466">
        <f t="shared" si="980"/>
        <v>18761.474999997918</v>
      </c>
      <c r="R466">
        <f t="shared" si="981"/>
        <v>-137024717.39540964</v>
      </c>
      <c r="S466">
        <f t="shared" si="982"/>
        <v>-1370.2471739540965</v>
      </c>
      <c r="T466">
        <f t="shared" si="983"/>
        <v>-1.3702471739540965</v>
      </c>
    </row>
    <row r="467" spans="1:20" x14ac:dyDescent="0.25">
      <c r="A467" s="5">
        <v>44126</v>
      </c>
      <c r="B467">
        <v>0.1421</v>
      </c>
      <c r="C467">
        <v>0.1482</v>
      </c>
      <c r="D467">
        <v>0.14199999999999999</v>
      </c>
      <c r="E467">
        <v>0.14419999999999999</v>
      </c>
      <c r="F467">
        <v>387963.65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-0.29032258064516014</v>
      </c>
      <c r="Q467">
        <f t="shared" si="980"/>
        <v>-112634.60806451569</v>
      </c>
      <c r="R467">
        <f t="shared" si="981"/>
        <v>-137043478.87040964</v>
      </c>
      <c r="S467">
        <f t="shared" si="982"/>
        <v>-1370.4347887040963</v>
      </c>
      <c r="T467">
        <f t="shared" si="983"/>
        <v>-1.3704347887040962</v>
      </c>
    </row>
    <row r="468" spans="1:20" x14ac:dyDescent="0.25">
      <c r="A468" s="5">
        <v>44125</v>
      </c>
      <c r="B468">
        <v>0.1381</v>
      </c>
      <c r="C468">
        <v>0.14369999999999999</v>
      </c>
      <c r="D468">
        <v>0.1381</v>
      </c>
      <c r="E468">
        <v>0.14280000000000001</v>
      </c>
      <c r="F468">
        <v>549387.34</v>
      </c>
      <c r="G468">
        <v>0</v>
      </c>
      <c r="L468" t="s">
        <v>7</v>
      </c>
      <c r="M468" t="s">
        <v>7</v>
      </c>
      <c r="N468" t="s">
        <v>7</v>
      </c>
      <c r="P468">
        <f t="shared" si="979"/>
        <v>0.67857142857143393</v>
      </c>
      <c r="Q468">
        <f t="shared" si="980"/>
        <v>372798.55214286008</v>
      </c>
      <c r="R468">
        <f t="shared" si="981"/>
        <v>-136930844.26234514</v>
      </c>
      <c r="S468">
        <f t="shared" si="982"/>
        <v>-1369.3084426234514</v>
      </c>
      <c r="T468">
        <f t="shared" si="983"/>
        <v>-1.3693084426234514</v>
      </c>
    </row>
    <row r="469" spans="1:20" x14ac:dyDescent="0.25">
      <c r="A469" s="5">
        <v>44124</v>
      </c>
      <c r="B469">
        <v>0.1482</v>
      </c>
      <c r="C469">
        <v>0.14929999999999999</v>
      </c>
      <c r="D469">
        <v>0.1363</v>
      </c>
      <c r="E469">
        <v>0.13719999999999999</v>
      </c>
      <c r="F469">
        <v>683246.27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-0.86153846153846381</v>
      </c>
      <c r="Q469">
        <f t="shared" si="980"/>
        <v>-588642.94030769391</v>
      </c>
      <c r="R469">
        <f t="shared" si="981"/>
        <v>-137303642.81448799</v>
      </c>
      <c r="S469">
        <f t="shared" si="982"/>
        <v>-1373.0364281448799</v>
      </c>
      <c r="T469">
        <f t="shared" si="983"/>
        <v>-1.3730364281448799</v>
      </c>
    </row>
    <row r="470" spans="1:20" x14ac:dyDescent="0.25">
      <c r="A470" s="5">
        <v>44123</v>
      </c>
      <c r="B470">
        <v>0.15040000000000001</v>
      </c>
      <c r="C470">
        <v>0.15040000000000001</v>
      </c>
      <c r="D470">
        <v>0.1467</v>
      </c>
      <c r="E470">
        <v>0.14829999999999999</v>
      </c>
      <c r="F470">
        <v>236162.67</v>
      </c>
      <c r="G470">
        <v>0</v>
      </c>
      <c r="L470" t="s">
        <v>7</v>
      </c>
      <c r="M470" t="s">
        <v>8</v>
      </c>
      <c r="N470" t="s">
        <v>7</v>
      </c>
      <c r="P470">
        <f t="shared" si="979"/>
        <v>-0.13513513513514244</v>
      </c>
      <c r="Q470">
        <f t="shared" si="980"/>
        <v>-31913.874324326051</v>
      </c>
      <c r="R470">
        <f t="shared" si="981"/>
        <v>-136714999.87418029</v>
      </c>
      <c r="S470">
        <f t="shared" si="982"/>
        <v>-1367.1499987418028</v>
      </c>
      <c r="T470">
        <f t="shared" si="983"/>
        <v>-1.3671499987418028</v>
      </c>
    </row>
    <row r="471" spans="1:20" x14ac:dyDescent="0.25">
      <c r="A471" s="5">
        <v>44122</v>
      </c>
      <c r="B471">
        <v>0.14860000000000001</v>
      </c>
      <c r="C471">
        <v>0.158</v>
      </c>
      <c r="D471">
        <v>0.14860000000000001</v>
      </c>
      <c r="E471">
        <v>0.14949999999999999</v>
      </c>
      <c r="F471">
        <v>472317.79</v>
      </c>
      <c r="G471">
        <v>0</v>
      </c>
      <c r="L471" t="s">
        <v>7</v>
      </c>
      <c r="M471" t="s">
        <v>8</v>
      </c>
      <c r="N471" t="s">
        <v>7</v>
      </c>
      <c r="P471">
        <f t="shared" si="979"/>
        <v>-0.80851063829787551</v>
      </c>
      <c r="Q471">
        <f t="shared" si="980"/>
        <v>-381873.95787234191</v>
      </c>
      <c r="R471">
        <f t="shared" si="981"/>
        <v>-136683085.99985597</v>
      </c>
      <c r="S471">
        <f t="shared" si="982"/>
        <v>-1366.8308599985596</v>
      </c>
      <c r="T471">
        <f t="shared" si="983"/>
        <v>-1.3668308599985597</v>
      </c>
    </row>
    <row r="472" spans="1:20" x14ac:dyDescent="0.25">
      <c r="A472" s="5">
        <v>44121</v>
      </c>
      <c r="B472">
        <v>0.15040000000000001</v>
      </c>
      <c r="C472">
        <v>0.15110000000000001</v>
      </c>
      <c r="D472">
        <v>0.14749999999999999</v>
      </c>
      <c r="E472">
        <v>0.14940000000000001</v>
      </c>
      <c r="F472">
        <v>107070.78</v>
      </c>
      <c r="G472">
        <v>0</v>
      </c>
      <c r="L472" t="s">
        <v>7</v>
      </c>
      <c r="M472" t="s">
        <v>8</v>
      </c>
      <c r="N472" t="s">
        <v>7</v>
      </c>
      <c r="P472">
        <f t="shared" si="979"/>
        <v>5.5555555555556843E-2</v>
      </c>
      <c r="Q472">
        <f t="shared" si="980"/>
        <v>5948.3766666668043</v>
      </c>
      <c r="R472">
        <f t="shared" si="981"/>
        <v>-136301212.04198363</v>
      </c>
      <c r="S472">
        <f t="shared" si="982"/>
        <v>-1363.0121204198363</v>
      </c>
      <c r="T472">
        <f t="shared" si="983"/>
        <v>-1.3630121204198362</v>
      </c>
    </row>
    <row r="473" spans="1:20" x14ac:dyDescent="0.25">
      <c r="A473" s="5">
        <v>44120</v>
      </c>
      <c r="B473">
        <v>0.15429999999999999</v>
      </c>
      <c r="C473">
        <v>0.15740000000000001</v>
      </c>
      <c r="D473">
        <v>0.14749999999999999</v>
      </c>
      <c r="E473">
        <v>0.15010000000000001</v>
      </c>
      <c r="F473">
        <v>617513.66</v>
      </c>
      <c r="G473">
        <v>0</v>
      </c>
      <c r="L473" t="s">
        <v>7</v>
      </c>
      <c r="M473" t="s">
        <v>8</v>
      </c>
      <c r="N473" t="s">
        <v>7</v>
      </c>
      <c r="P473">
        <f t="shared" si="979"/>
        <v>-0.47474747474747198</v>
      </c>
      <c r="Q473">
        <f t="shared" si="980"/>
        <v>-293163.05070706899</v>
      </c>
      <c r="R473">
        <f t="shared" si="981"/>
        <v>-136307160.4186503</v>
      </c>
      <c r="S473">
        <f t="shared" si="982"/>
        <v>-1363.071604186503</v>
      </c>
      <c r="T473">
        <f t="shared" si="983"/>
        <v>-1.363071604186503</v>
      </c>
    </row>
    <row r="474" spans="1:20" x14ac:dyDescent="0.25">
      <c r="A474" s="5">
        <v>44119</v>
      </c>
      <c r="B474">
        <v>0.14929999999999999</v>
      </c>
      <c r="C474">
        <v>0.15570000000000001</v>
      </c>
      <c r="D474">
        <v>0.1472</v>
      </c>
      <c r="E474">
        <v>0.15329999999999999</v>
      </c>
      <c r="F474">
        <v>576756.52</v>
      </c>
      <c r="G474">
        <v>0</v>
      </c>
      <c r="L474" t="s">
        <v>7</v>
      </c>
      <c r="M474" t="s">
        <v>8</v>
      </c>
      <c r="N474" t="s">
        <v>7</v>
      </c>
      <c r="P474">
        <f t="shared" si="979"/>
        <v>0.43529411764705622</v>
      </c>
      <c r="Q474">
        <f t="shared" si="980"/>
        <v>251058.72047058673</v>
      </c>
      <c r="R474">
        <f t="shared" si="981"/>
        <v>-136013997.36794323</v>
      </c>
      <c r="S474">
        <f t="shared" si="982"/>
        <v>-1360.1399736794322</v>
      </c>
      <c r="T474">
        <f t="shared" si="983"/>
        <v>-1.3601399736794322</v>
      </c>
    </row>
    <row r="475" spans="1:20" x14ac:dyDescent="0.25">
      <c r="A475" s="5">
        <v>44118</v>
      </c>
      <c r="B475">
        <v>0.15409999999999999</v>
      </c>
      <c r="C475">
        <v>0.156</v>
      </c>
      <c r="D475">
        <v>0.1474</v>
      </c>
      <c r="E475">
        <v>0.1497</v>
      </c>
      <c r="F475">
        <v>424257.97</v>
      </c>
      <c r="G475">
        <v>0</v>
      </c>
      <c r="L475" t="s">
        <v>7</v>
      </c>
      <c r="M475" t="s">
        <v>8</v>
      </c>
      <c r="N475" t="s">
        <v>7</v>
      </c>
      <c r="P475">
        <f t="shared" si="979"/>
        <v>-0.46511627906976805</v>
      </c>
      <c r="Q475">
        <f t="shared" si="980"/>
        <v>-197329.28837209326</v>
      </c>
      <c r="R475">
        <f t="shared" si="981"/>
        <v>-136265056.0884138</v>
      </c>
      <c r="S475">
        <f t="shared" si="982"/>
        <v>-1362.650560884138</v>
      </c>
      <c r="T475">
        <f t="shared" si="983"/>
        <v>-1.3626505608841379</v>
      </c>
    </row>
    <row r="476" spans="1:20" x14ac:dyDescent="0.25">
      <c r="A476" s="5">
        <v>44117</v>
      </c>
      <c r="B476">
        <v>0.15859999999999999</v>
      </c>
      <c r="C476">
        <v>0.1595</v>
      </c>
      <c r="D476">
        <v>0.14860000000000001</v>
      </c>
      <c r="E476">
        <v>0.15529999999999999</v>
      </c>
      <c r="F476">
        <v>771456.49</v>
      </c>
      <c r="G476">
        <v>0</v>
      </c>
      <c r="L476" t="s">
        <v>7</v>
      </c>
      <c r="M476" t="s">
        <v>8</v>
      </c>
      <c r="N476" t="s">
        <v>7</v>
      </c>
      <c r="P476">
        <f t="shared" si="979"/>
        <v>0.22935779816513541</v>
      </c>
      <c r="Q476">
        <f t="shared" si="980"/>
        <v>176939.56192660381</v>
      </c>
      <c r="R476">
        <f t="shared" si="981"/>
        <v>-136067726.80004171</v>
      </c>
      <c r="S476">
        <f t="shared" si="982"/>
        <v>-1360.6772680004171</v>
      </c>
      <c r="T476">
        <f t="shared" si="983"/>
        <v>-1.3606772680004171</v>
      </c>
    </row>
    <row r="477" spans="1:20" x14ac:dyDescent="0.25">
      <c r="A477" s="5">
        <v>44116</v>
      </c>
      <c r="B477">
        <v>0.15690000000000001</v>
      </c>
      <c r="C477">
        <v>0.16450000000000001</v>
      </c>
      <c r="D477">
        <v>0.15490000000000001</v>
      </c>
      <c r="E477">
        <v>0.158</v>
      </c>
      <c r="F477">
        <v>976751.02</v>
      </c>
      <c r="G477">
        <v>0</v>
      </c>
      <c r="L477" t="s">
        <v>8</v>
      </c>
      <c r="M477" t="s">
        <v>8</v>
      </c>
      <c r="N477" t="s">
        <v>7</v>
      </c>
      <c r="P477">
        <f t="shared" si="979"/>
        <v>-0.35416666666666824</v>
      </c>
      <c r="Q477">
        <f t="shared" si="980"/>
        <v>-345932.65291666822</v>
      </c>
      <c r="R477">
        <f t="shared" si="981"/>
        <v>-136244666.36196831</v>
      </c>
      <c r="S477">
        <f t="shared" si="982"/>
        <v>-1362.446663619683</v>
      </c>
      <c r="T477">
        <f t="shared" si="983"/>
        <v>-1.362446663619683</v>
      </c>
    </row>
    <row r="478" spans="1:20" x14ac:dyDescent="0.25">
      <c r="A478" s="5">
        <v>44115</v>
      </c>
      <c r="B478">
        <v>0.15279999999999999</v>
      </c>
      <c r="C478">
        <v>0.16</v>
      </c>
      <c r="D478">
        <v>0.15160000000000001</v>
      </c>
      <c r="E478">
        <v>0.157</v>
      </c>
      <c r="F478">
        <v>1023809.12</v>
      </c>
      <c r="G478">
        <v>0</v>
      </c>
      <c r="L478" t="s">
        <v>7</v>
      </c>
      <c r="M478" t="s">
        <v>8</v>
      </c>
      <c r="N478" t="s">
        <v>7</v>
      </c>
      <c r="P478">
        <f t="shared" si="979"/>
        <v>0.28571428571428431</v>
      </c>
      <c r="Q478">
        <f t="shared" si="980"/>
        <v>292516.89142856997</v>
      </c>
      <c r="R478">
        <f t="shared" si="981"/>
        <v>-135898733.70905164</v>
      </c>
      <c r="S478">
        <f t="shared" si="982"/>
        <v>-1358.9873370905163</v>
      </c>
      <c r="T478">
        <f t="shared" si="983"/>
        <v>-1.3589873370905163</v>
      </c>
    </row>
    <row r="479" spans="1:20" x14ac:dyDescent="0.25">
      <c r="A479" s="5">
        <v>44114</v>
      </c>
      <c r="B479">
        <v>0.14510000000000001</v>
      </c>
      <c r="C479">
        <v>0.16539999999999999</v>
      </c>
      <c r="D479">
        <v>0.14460000000000001</v>
      </c>
      <c r="E479">
        <v>0.15279999999999999</v>
      </c>
      <c r="F479">
        <v>3345186.23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-0.21153846153846242</v>
      </c>
      <c r="Q479">
        <f t="shared" si="980"/>
        <v>-707635.54865384917</v>
      </c>
      <c r="R479">
        <f t="shared" si="981"/>
        <v>-136191250.6004802</v>
      </c>
      <c r="S479">
        <f t="shared" si="982"/>
        <v>-1361.912506004802</v>
      </c>
      <c r="T479">
        <f t="shared" si="983"/>
        <v>-1.3619125060048021</v>
      </c>
    </row>
    <row r="480" spans="1:20" x14ac:dyDescent="0.25">
      <c r="A480" s="5">
        <v>44113</v>
      </c>
      <c r="B480">
        <v>0.1401</v>
      </c>
      <c r="C480">
        <v>0.14929999999999999</v>
      </c>
      <c r="D480">
        <v>0.13719999999999999</v>
      </c>
      <c r="E480">
        <v>0.1452</v>
      </c>
      <c r="F480">
        <v>776250.55</v>
      </c>
      <c r="G480">
        <v>0</v>
      </c>
      <c r="L480" t="s">
        <v>8</v>
      </c>
      <c r="M480" t="s">
        <v>7</v>
      </c>
      <c r="N480" t="s">
        <v>7</v>
      </c>
      <c r="P480">
        <f t="shared" si="979"/>
        <v>0.32231404958677806</v>
      </c>
      <c r="Q480">
        <f t="shared" si="980"/>
        <v>250196.45826446376</v>
      </c>
      <c r="R480">
        <f t="shared" si="981"/>
        <v>-135483615.05182636</v>
      </c>
      <c r="S480">
        <f t="shared" si="982"/>
        <v>-1354.8361505182636</v>
      </c>
      <c r="T480">
        <f t="shared" si="983"/>
        <v>-1.3548361505182636</v>
      </c>
    </row>
    <row r="481" spans="1:20" x14ac:dyDescent="0.25">
      <c r="A481" s="5">
        <v>44112</v>
      </c>
      <c r="B481">
        <v>0.13919999999999999</v>
      </c>
      <c r="C481">
        <v>0.14349999999999999</v>
      </c>
      <c r="D481">
        <v>0.1343</v>
      </c>
      <c r="E481">
        <v>0.13969999999999999</v>
      </c>
      <c r="F481">
        <v>823616.43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0.17391304347826009</v>
      </c>
      <c r="Q481">
        <f t="shared" si="980"/>
        <v>143237.63999999937</v>
      </c>
      <c r="R481">
        <f t="shared" si="981"/>
        <v>-135733811.51009083</v>
      </c>
      <c r="S481">
        <f t="shared" si="982"/>
        <v>-1357.3381151009082</v>
      </c>
      <c r="T481">
        <f t="shared" si="983"/>
        <v>-1.3573381151009083</v>
      </c>
    </row>
    <row r="482" spans="1:20" x14ac:dyDescent="0.25">
      <c r="A482" s="5">
        <v>44111</v>
      </c>
      <c r="B482">
        <v>0.1343</v>
      </c>
      <c r="C482">
        <v>0.14080000000000001</v>
      </c>
      <c r="D482">
        <v>0.13159999999999999</v>
      </c>
      <c r="E482">
        <v>0.1384</v>
      </c>
      <c r="F482">
        <v>715972.74</v>
      </c>
      <c r="G482">
        <v>0</v>
      </c>
      <c r="L482" t="s">
        <v>8</v>
      </c>
      <c r="M482" t="s">
        <v>7</v>
      </c>
      <c r="N482" t="s">
        <v>7</v>
      </c>
      <c r="P482">
        <f t="shared" si="979"/>
        <v>0.4782608695652153</v>
      </c>
      <c r="Q482">
        <f t="shared" si="980"/>
        <v>342421.74521738978</v>
      </c>
      <c r="R482">
        <f t="shared" si="981"/>
        <v>-135877049.15009081</v>
      </c>
      <c r="S482">
        <f t="shared" si="982"/>
        <v>-1358.7704915009081</v>
      </c>
      <c r="T482">
        <f t="shared" si="983"/>
        <v>-1.358770491500908</v>
      </c>
    </row>
    <row r="483" spans="1:20" x14ac:dyDescent="0.25">
      <c r="A483" s="5">
        <v>44110</v>
      </c>
      <c r="B483">
        <v>0.1575</v>
      </c>
      <c r="C483">
        <v>0.1585</v>
      </c>
      <c r="D483">
        <v>0.1326</v>
      </c>
      <c r="E483">
        <v>0.13450000000000001</v>
      </c>
      <c r="F483">
        <v>1603162.27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-0.85328185328185235</v>
      </c>
      <c r="Q483">
        <f t="shared" si="980"/>
        <v>-1367949.2728571414</v>
      </c>
      <c r="R483">
        <f t="shared" si="981"/>
        <v>-136219470.8953082</v>
      </c>
      <c r="S483">
        <f t="shared" si="982"/>
        <v>-1362.194708953082</v>
      </c>
      <c r="T483">
        <f t="shared" si="983"/>
        <v>-1.3621947089530819</v>
      </c>
    </row>
    <row r="484" spans="1:20" x14ac:dyDescent="0.25">
      <c r="A484" s="5">
        <v>44109</v>
      </c>
      <c r="B484">
        <v>0.15010000000000001</v>
      </c>
      <c r="C484">
        <v>0.16839999999999999</v>
      </c>
      <c r="D484">
        <v>0.1492</v>
      </c>
      <c r="E484">
        <v>0.15740000000000001</v>
      </c>
      <c r="F484">
        <v>3271106.35</v>
      </c>
      <c r="G484">
        <v>0</v>
      </c>
      <c r="L484" t="s">
        <v>8</v>
      </c>
      <c r="M484" t="s">
        <v>8</v>
      </c>
      <c r="N484" t="s">
        <v>7</v>
      </c>
      <c r="P484">
        <f t="shared" si="979"/>
        <v>-0.14583333333333176</v>
      </c>
      <c r="Q484">
        <f t="shared" si="980"/>
        <v>-477036.34270832821</v>
      </c>
      <c r="R484">
        <f t="shared" si="981"/>
        <v>-134851521.62245107</v>
      </c>
      <c r="S484">
        <f t="shared" si="982"/>
        <v>-1348.5152162245106</v>
      </c>
      <c r="T484">
        <f t="shared" si="983"/>
        <v>-1.3485152162245106</v>
      </c>
    </row>
    <row r="485" spans="1:20" x14ac:dyDescent="0.25">
      <c r="A485" s="5">
        <v>44108</v>
      </c>
      <c r="B485">
        <v>0.15040000000000001</v>
      </c>
      <c r="C485">
        <v>0.15459999999999999</v>
      </c>
      <c r="D485">
        <v>0.1484</v>
      </c>
      <c r="E485">
        <v>0.15029999999999999</v>
      </c>
      <c r="F485">
        <v>994559.88</v>
      </c>
      <c r="G485">
        <v>0</v>
      </c>
      <c r="L485" t="s">
        <v>7</v>
      </c>
      <c r="M485" t="s">
        <v>8</v>
      </c>
      <c r="N485" t="s">
        <v>7</v>
      </c>
      <c r="P485">
        <f t="shared" si="979"/>
        <v>-0.38709677419355154</v>
      </c>
      <c r="Q485">
        <f t="shared" si="980"/>
        <v>-384990.9212903257</v>
      </c>
      <c r="R485">
        <f t="shared" si="981"/>
        <v>-134374485.27974275</v>
      </c>
      <c r="S485">
        <f t="shared" si="982"/>
        <v>-1343.7448527974275</v>
      </c>
      <c r="T485">
        <f t="shared" si="983"/>
        <v>-1.3437448527974274</v>
      </c>
    </row>
    <row r="486" spans="1:20" x14ac:dyDescent="0.25">
      <c r="A486" s="5">
        <v>44107</v>
      </c>
      <c r="B486">
        <v>0.1515</v>
      </c>
      <c r="C486">
        <v>0.16739999999999999</v>
      </c>
      <c r="D486">
        <v>0.1482</v>
      </c>
      <c r="E486">
        <v>0.15060000000000001</v>
      </c>
      <c r="F486">
        <v>2335756.9700000002</v>
      </c>
      <c r="G486">
        <v>0</v>
      </c>
      <c r="L486" t="s">
        <v>8</v>
      </c>
      <c r="M486" t="s">
        <v>8</v>
      </c>
      <c r="N486" t="s">
        <v>7</v>
      </c>
      <c r="P486">
        <f t="shared" si="979"/>
        <v>-0.74999999999999856</v>
      </c>
      <c r="Q486">
        <f t="shared" si="980"/>
        <v>-1751817.7274999968</v>
      </c>
      <c r="R486">
        <f t="shared" si="981"/>
        <v>-133989494.35845241</v>
      </c>
      <c r="S486">
        <f t="shared" si="982"/>
        <v>-1339.8949435845241</v>
      </c>
      <c r="T486">
        <f t="shared" si="983"/>
        <v>-1.339894943584524</v>
      </c>
    </row>
    <row r="487" spans="1:20" x14ac:dyDescent="0.25">
      <c r="A487" s="5">
        <v>44106</v>
      </c>
      <c r="B487">
        <v>0.14929999999999999</v>
      </c>
      <c r="C487">
        <v>0.15190000000000001</v>
      </c>
      <c r="D487">
        <v>0.14349999999999999</v>
      </c>
      <c r="E487">
        <v>0.151</v>
      </c>
      <c r="F487">
        <v>562190.12</v>
      </c>
      <c r="G487">
        <v>0</v>
      </c>
      <c r="L487" t="s">
        <v>7</v>
      </c>
      <c r="M487" t="s">
        <v>8</v>
      </c>
      <c r="N487" t="s">
        <v>7</v>
      </c>
      <c r="P487">
        <f t="shared" si="979"/>
        <v>0.78571428571428337</v>
      </c>
      <c r="Q487">
        <f t="shared" si="980"/>
        <v>441720.80857142725</v>
      </c>
      <c r="R487">
        <f t="shared" si="981"/>
        <v>-132237676.63095242</v>
      </c>
      <c r="S487">
        <f t="shared" si="982"/>
        <v>-1322.3767663095241</v>
      </c>
      <c r="T487">
        <f t="shared" si="983"/>
        <v>-1.3223767663095241</v>
      </c>
    </row>
    <row r="488" spans="1:20" x14ac:dyDescent="0.25">
      <c r="A488" s="5">
        <v>44105</v>
      </c>
      <c r="B488">
        <v>0.15310000000000001</v>
      </c>
      <c r="C488">
        <v>0.15670000000000001</v>
      </c>
      <c r="D488">
        <v>0.1464</v>
      </c>
      <c r="E488">
        <v>0.14929999999999999</v>
      </c>
      <c r="F488">
        <v>665260.89</v>
      </c>
      <c r="G488">
        <v>0</v>
      </c>
      <c r="L488" t="s">
        <v>7</v>
      </c>
      <c r="M488" t="s">
        <v>8</v>
      </c>
      <c r="N488" t="s">
        <v>7</v>
      </c>
      <c r="P488">
        <f t="shared" si="979"/>
        <v>-0.43689320388349806</v>
      </c>
      <c r="Q488">
        <f t="shared" si="980"/>
        <v>-290647.96165048738</v>
      </c>
      <c r="R488">
        <f t="shared" si="981"/>
        <v>-132679397.43952385</v>
      </c>
      <c r="S488">
        <f t="shared" si="982"/>
        <v>-1326.7939743952384</v>
      </c>
      <c r="T488">
        <f t="shared" si="983"/>
        <v>-1.3267939743952384</v>
      </c>
    </row>
    <row r="489" spans="1:20" x14ac:dyDescent="0.25">
      <c r="A489" s="5">
        <v>44104</v>
      </c>
      <c r="B489">
        <v>0.15579999999999999</v>
      </c>
      <c r="C489">
        <v>0.1598</v>
      </c>
      <c r="D489">
        <v>0.14910000000000001</v>
      </c>
      <c r="E489">
        <v>0.15260000000000001</v>
      </c>
      <c r="F489">
        <v>800507.2</v>
      </c>
      <c r="G489">
        <v>0</v>
      </c>
      <c r="L489" t="s">
        <v>7</v>
      </c>
      <c r="M489" t="s">
        <v>8</v>
      </c>
      <c r="N489" t="s">
        <v>7</v>
      </c>
      <c r="P489">
        <f t="shared" si="979"/>
        <v>-0.34579439252336314</v>
      </c>
      <c r="Q489">
        <f t="shared" si="980"/>
        <v>-276810.90093457833</v>
      </c>
      <c r="R489">
        <f t="shared" si="981"/>
        <v>-132388749.47787336</v>
      </c>
      <c r="S489">
        <f t="shared" si="982"/>
        <v>-1323.8874947787335</v>
      </c>
      <c r="T489">
        <f t="shared" si="983"/>
        <v>-1.3238874947787336</v>
      </c>
    </row>
    <row r="490" spans="1:20" x14ac:dyDescent="0.25">
      <c r="A490" s="5">
        <v>44103</v>
      </c>
      <c r="B490">
        <v>0.15590000000000001</v>
      </c>
      <c r="C490">
        <v>0.15870000000000001</v>
      </c>
      <c r="D490">
        <v>0.1507</v>
      </c>
      <c r="E490">
        <v>0.15509999999999999</v>
      </c>
      <c r="F490">
        <v>765374.19</v>
      </c>
      <c r="G490">
        <v>0</v>
      </c>
      <c r="L490" t="s">
        <v>7</v>
      </c>
      <c r="M490" t="s">
        <v>8</v>
      </c>
      <c r="N490" t="s">
        <v>7</v>
      </c>
      <c r="P490">
        <f t="shared" si="979"/>
        <v>9.9999999999995842E-2</v>
      </c>
      <c r="Q490">
        <f t="shared" si="980"/>
        <v>76537.418999996808</v>
      </c>
      <c r="R490">
        <f t="shared" si="981"/>
        <v>-132111938.57693878</v>
      </c>
      <c r="S490">
        <f t="shared" si="982"/>
        <v>-1321.1193857693877</v>
      </c>
      <c r="T490">
        <f t="shared" si="983"/>
        <v>-1.3211193857693877</v>
      </c>
    </row>
    <row r="491" spans="1:20" x14ac:dyDescent="0.25">
      <c r="A491" s="5">
        <v>44102</v>
      </c>
      <c r="B491">
        <v>0.15629999999999999</v>
      </c>
      <c r="C491">
        <v>0.1686</v>
      </c>
      <c r="D491">
        <v>0.15509999999999999</v>
      </c>
      <c r="E491">
        <v>0.15620000000000001</v>
      </c>
      <c r="F491">
        <v>1261335.78</v>
      </c>
      <c r="G491">
        <v>0</v>
      </c>
      <c r="L491" t="s">
        <v>8</v>
      </c>
      <c r="M491" t="s">
        <v>8</v>
      </c>
      <c r="N491" t="s">
        <v>7</v>
      </c>
      <c r="P491">
        <f t="shared" si="979"/>
        <v>-0.83703703703703458</v>
      </c>
      <c r="Q491">
        <f t="shared" si="980"/>
        <v>-1055784.7639999969</v>
      </c>
      <c r="R491">
        <f t="shared" si="981"/>
        <v>-132188475.99593878</v>
      </c>
      <c r="S491">
        <f t="shared" si="982"/>
        <v>-1321.8847599593878</v>
      </c>
      <c r="T491">
        <f t="shared" si="983"/>
        <v>-1.3218847599593877</v>
      </c>
    </row>
    <row r="492" spans="1:20" x14ac:dyDescent="0.25">
      <c r="A492" s="5">
        <v>44101</v>
      </c>
      <c r="B492">
        <v>0.159</v>
      </c>
      <c r="C492">
        <v>0.1598</v>
      </c>
      <c r="D492">
        <v>0.14979999999999999</v>
      </c>
      <c r="E492">
        <v>0.15640000000000001</v>
      </c>
      <c r="F492">
        <v>626046.48</v>
      </c>
      <c r="G492">
        <v>0</v>
      </c>
      <c r="L492" t="s">
        <v>8</v>
      </c>
      <c r="M492" t="s">
        <v>7</v>
      </c>
      <c r="N492" t="s">
        <v>7</v>
      </c>
      <c r="P492">
        <f t="shared" si="979"/>
        <v>0.32000000000000334</v>
      </c>
      <c r="Q492">
        <f t="shared" si="980"/>
        <v>200334.87360000209</v>
      </c>
      <c r="R492">
        <f t="shared" si="981"/>
        <v>-131132691.23193878</v>
      </c>
      <c r="S492">
        <f t="shared" si="982"/>
        <v>-1311.3269123193877</v>
      </c>
      <c r="T492">
        <f t="shared" si="983"/>
        <v>-1.3113269123193878</v>
      </c>
    </row>
    <row r="493" spans="1:20" x14ac:dyDescent="0.25">
      <c r="A493" s="5">
        <v>44100</v>
      </c>
      <c r="B493">
        <v>0.15770000000000001</v>
      </c>
      <c r="C493">
        <v>0.16109999999999999</v>
      </c>
      <c r="D493">
        <v>0.1565</v>
      </c>
      <c r="E493">
        <v>0.15770000000000001</v>
      </c>
      <c r="F493">
        <v>416362.63</v>
      </c>
      <c r="G493">
        <v>0</v>
      </c>
      <c r="L493" t="s">
        <v>8</v>
      </c>
      <c r="M493" t="s">
        <v>7</v>
      </c>
      <c r="N493" t="s">
        <v>7</v>
      </c>
      <c r="P493">
        <f t="shared" si="979"/>
        <v>-0.47826086956521374</v>
      </c>
      <c r="Q493">
        <f t="shared" si="980"/>
        <v>-199129.95347825935</v>
      </c>
      <c r="R493">
        <f t="shared" si="981"/>
        <v>-131333026.10553879</v>
      </c>
      <c r="S493">
        <f t="shared" si="982"/>
        <v>-1313.3302610553878</v>
      </c>
      <c r="T493">
        <f t="shared" si="983"/>
        <v>-1.3133302610553879</v>
      </c>
    </row>
    <row r="494" spans="1:20" x14ac:dyDescent="0.25">
      <c r="A494" s="5">
        <v>44099</v>
      </c>
      <c r="B494">
        <v>0.15290000000000001</v>
      </c>
      <c r="C494">
        <v>0.15859999999999999</v>
      </c>
      <c r="D494">
        <v>0.14960000000000001</v>
      </c>
      <c r="E494">
        <v>0.15670000000000001</v>
      </c>
      <c r="F494">
        <v>901847.81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0.57777777777778017</v>
      </c>
      <c r="Q494">
        <f t="shared" si="980"/>
        <v>521067.62355555774</v>
      </c>
      <c r="R494">
        <f t="shared" si="981"/>
        <v>-131133896.15206052</v>
      </c>
      <c r="S494">
        <f t="shared" si="982"/>
        <v>-1311.3389615206052</v>
      </c>
      <c r="T494">
        <f t="shared" si="983"/>
        <v>-1.3113389615206053</v>
      </c>
    </row>
    <row r="495" spans="1:20" x14ac:dyDescent="0.25">
      <c r="A495" s="5">
        <v>44098</v>
      </c>
      <c r="B495">
        <v>0.14560000000000001</v>
      </c>
      <c r="C495">
        <v>0.153</v>
      </c>
      <c r="D495">
        <v>0.14180000000000001</v>
      </c>
      <c r="E495">
        <v>0.15290000000000001</v>
      </c>
      <c r="F495">
        <v>803487.22</v>
      </c>
      <c r="G495">
        <v>0</v>
      </c>
      <c r="L495" t="s">
        <v>8</v>
      </c>
      <c r="M495" t="s">
        <v>7</v>
      </c>
      <c r="N495" t="s">
        <v>7</v>
      </c>
      <c r="P495">
        <f t="shared" si="979"/>
        <v>0.98214285714285909</v>
      </c>
      <c r="Q495">
        <f t="shared" si="980"/>
        <v>789139.23392857297</v>
      </c>
      <c r="R495">
        <f t="shared" si="981"/>
        <v>-131654963.77561608</v>
      </c>
      <c r="S495">
        <f t="shared" si="982"/>
        <v>-1316.5496377561608</v>
      </c>
      <c r="T495">
        <f t="shared" si="983"/>
        <v>-1.3165496377561607</v>
      </c>
    </row>
    <row r="496" spans="1:20" x14ac:dyDescent="0.25">
      <c r="A496" s="5">
        <v>44097</v>
      </c>
      <c r="B496">
        <v>0.16259999999999999</v>
      </c>
      <c r="C496">
        <v>0.16350000000000001</v>
      </c>
      <c r="D496">
        <v>0.13930000000000001</v>
      </c>
      <c r="E496">
        <v>0.1449</v>
      </c>
      <c r="F496">
        <v>1361012.49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-0.53719008264462864</v>
      </c>
      <c r="Q496">
        <f t="shared" si="980"/>
        <v>-731122.41198347183</v>
      </c>
      <c r="R496">
        <f t="shared" si="981"/>
        <v>-132444103.00954466</v>
      </c>
      <c r="S496">
        <f t="shared" si="982"/>
        <v>-1324.4410300954466</v>
      </c>
      <c r="T496">
        <f t="shared" si="983"/>
        <v>-1.3244410300954466</v>
      </c>
    </row>
    <row r="497" spans="1:20" x14ac:dyDescent="0.25">
      <c r="A497" s="5">
        <v>44096</v>
      </c>
      <c r="B497">
        <v>0.1714</v>
      </c>
      <c r="C497">
        <v>0.1797</v>
      </c>
      <c r="D497">
        <v>0.15659999999999999</v>
      </c>
      <c r="E497">
        <v>0.1628</v>
      </c>
      <c r="F497">
        <v>2511393.85</v>
      </c>
      <c r="G497">
        <v>0</v>
      </c>
      <c r="L497" t="s">
        <v>8</v>
      </c>
      <c r="M497" t="s">
        <v>7</v>
      </c>
      <c r="N497" t="s">
        <v>7</v>
      </c>
      <c r="P497">
        <f t="shared" si="979"/>
        <v>-0.46320346320346245</v>
      </c>
      <c r="Q497">
        <f t="shared" si="980"/>
        <v>-1163286.328787877</v>
      </c>
      <c r="R497">
        <f t="shared" si="981"/>
        <v>-131712980.59756118</v>
      </c>
      <c r="S497">
        <f t="shared" si="982"/>
        <v>-1317.1298059756118</v>
      </c>
      <c r="T497">
        <f t="shared" si="983"/>
        <v>-1.3171298059756118</v>
      </c>
    </row>
    <row r="498" spans="1:20" x14ac:dyDescent="0.25">
      <c r="A498" s="5">
        <v>44095</v>
      </c>
      <c r="B498">
        <v>0.17810000000000001</v>
      </c>
      <c r="C498">
        <v>0.18640000000000001</v>
      </c>
      <c r="D498">
        <v>0.1547</v>
      </c>
      <c r="E498">
        <v>0.1729</v>
      </c>
      <c r="F498">
        <v>2666821.17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0.14826498422712875</v>
      </c>
      <c r="Q498">
        <f t="shared" si="980"/>
        <v>395396.19870662305</v>
      </c>
      <c r="R498">
        <f t="shared" si="981"/>
        <v>-130549694.2687733</v>
      </c>
      <c r="S498">
        <f t="shared" si="982"/>
        <v>-1305.4969426877331</v>
      </c>
      <c r="T498">
        <f t="shared" si="983"/>
        <v>-1.305496942687733</v>
      </c>
    </row>
    <row r="499" spans="1:20" x14ac:dyDescent="0.25">
      <c r="A499" s="5">
        <v>44094</v>
      </c>
      <c r="B499">
        <v>0.17319999999999999</v>
      </c>
      <c r="C499">
        <v>0.1804</v>
      </c>
      <c r="D499">
        <v>0.16619999999999999</v>
      </c>
      <c r="E499">
        <v>0.17929999999999999</v>
      </c>
      <c r="F499">
        <v>654570.74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0.84507042253520903</v>
      </c>
      <c r="Q499">
        <f t="shared" si="980"/>
        <v>553158.37183098448</v>
      </c>
      <c r="R499">
        <f t="shared" si="981"/>
        <v>-130945090.46747993</v>
      </c>
      <c r="S499">
        <f t="shared" si="982"/>
        <v>-1309.4509046747994</v>
      </c>
      <c r="T499">
        <f t="shared" si="983"/>
        <v>-1.3094509046747993</v>
      </c>
    </row>
    <row r="500" spans="1:20" x14ac:dyDescent="0.25">
      <c r="A500" s="5">
        <v>44093</v>
      </c>
      <c r="B500">
        <v>0.17230000000000001</v>
      </c>
      <c r="C500">
        <v>0.1749</v>
      </c>
      <c r="D500">
        <v>0.1696</v>
      </c>
      <c r="E500">
        <v>0.17330000000000001</v>
      </c>
      <c r="F500">
        <v>523065.64</v>
      </c>
      <c r="G500">
        <v>0</v>
      </c>
      <c r="L500" t="s">
        <v>7</v>
      </c>
      <c r="M500" t="s">
        <v>7</v>
      </c>
      <c r="N500" t="s">
        <v>7</v>
      </c>
      <c r="P500">
        <f t="shared" si="979"/>
        <v>0.3962264150943432</v>
      </c>
      <c r="Q500">
        <f t="shared" si="980"/>
        <v>207252.42339622829</v>
      </c>
      <c r="R500">
        <f t="shared" si="981"/>
        <v>-131498248.83931091</v>
      </c>
      <c r="S500">
        <f t="shared" si="982"/>
        <v>-1314.9824883931092</v>
      </c>
      <c r="T500">
        <f t="shared" si="983"/>
        <v>-1.3149824883931092</v>
      </c>
    </row>
    <row r="501" spans="1:20" x14ac:dyDescent="0.25">
      <c r="A501" s="5">
        <v>44092</v>
      </c>
      <c r="B501">
        <v>0.1681</v>
      </c>
      <c r="C501">
        <v>0.183</v>
      </c>
      <c r="D501">
        <v>0.16750000000000001</v>
      </c>
      <c r="E501">
        <v>0.1719</v>
      </c>
      <c r="F501">
        <v>2386954.13</v>
      </c>
      <c r="G501">
        <v>0</v>
      </c>
      <c r="L501" t="s">
        <v>8</v>
      </c>
      <c r="M501" t="s">
        <v>7</v>
      </c>
      <c r="N501" t="s">
        <v>7</v>
      </c>
      <c r="P501">
        <f t="shared" si="979"/>
        <v>-0.43225806451613019</v>
      </c>
      <c r="Q501">
        <f t="shared" si="980"/>
        <v>-1031780.1723225834</v>
      </c>
      <c r="R501">
        <f t="shared" si="981"/>
        <v>-131705501.26270714</v>
      </c>
      <c r="S501">
        <f t="shared" si="982"/>
        <v>-1317.0550126270714</v>
      </c>
      <c r="T501">
        <f t="shared" si="983"/>
        <v>-1.3170550126270715</v>
      </c>
    </row>
    <row r="502" spans="1:20" x14ac:dyDescent="0.25">
      <c r="A502" s="5">
        <v>44091</v>
      </c>
      <c r="B502">
        <v>0.1696</v>
      </c>
      <c r="C502">
        <v>0.17399999999999999</v>
      </c>
      <c r="D502">
        <v>0.16489999999999999</v>
      </c>
      <c r="E502">
        <v>0.1681</v>
      </c>
      <c r="F502">
        <v>963163.46</v>
      </c>
      <c r="G502">
        <v>0</v>
      </c>
      <c r="L502" t="s">
        <v>7</v>
      </c>
      <c r="M502" t="s">
        <v>7</v>
      </c>
      <c r="N502" t="s">
        <v>7</v>
      </c>
      <c r="P502">
        <f t="shared" si="979"/>
        <v>-0.29670329670329465</v>
      </c>
      <c r="Q502">
        <f t="shared" si="980"/>
        <v>-285773.77384615183</v>
      </c>
      <c r="R502">
        <f t="shared" si="981"/>
        <v>-130673721.09038456</v>
      </c>
      <c r="S502">
        <f t="shared" si="982"/>
        <v>-1306.7372109038456</v>
      </c>
      <c r="T502">
        <f t="shared" si="983"/>
        <v>-1.3067372109038455</v>
      </c>
    </row>
    <row r="503" spans="1:20" x14ac:dyDescent="0.25">
      <c r="A503" s="5">
        <v>44090</v>
      </c>
      <c r="B503">
        <v>0.17100000000000001</v>
      </c>
      <c r="C503">
        <v>0.1711</v>
      </c>
      <c r="D503">
        <v>0.1618</v>
      </c>
      <c r="E503">
        <v>0.1704</v>
      </c>
      <c r="F503">
        <v>828990.62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0.84946236559139654</v>
      </c>
      <c r="Q503">
        <f t="shared" si="980"/>
        <v>704196.33311827853</v>
      </c>
      <c r="R503">
        <f t="shared" si="981"/>
        <v>-130387947.31653841</v>
      </c>
      <c r="S503">
        <f t="shared" si="982"/>
        <v>-1303.8794731653841</v>
      </c>
      <c r="T503">
        <f t="shared" si="983"/>
        <v>-1.303879473165384</v>
      </c>
    </row>
    <row r="504" spans="1:20" x14ac:dyDescent="0.25">
      <c r="A504" s="5">
        <v>44089</v>
      </c>
      <c r="B504">
        <v>0.1807</v>
      </c>
      <c r="C504">
        <v>0.184</v>
      </c>
      <c r="D504">
        <v>0.17080000000000001</v>
      </c>
      <c r="E504">
        <v>0.1709</v>
      </c>
      <c r="F504">
        <v>887759.03</v>
      </c>
      <c r="G504">
        <v>0</v>
      </c>
      <c r="L504" t="s">
        <v>7</v>
      </c>
      <c r="M504" t="s">
        <v>7</v>
      </c>
      <c r="N504" t="s">
        <v>7</v>
      </c>
      <c r="P504">
        <f t="shared" si="979"/>
        <v>-0.98484848484848653</v>
      </c>
      <c r="Q504">
        <f t="shared" si="980"/>
        <v>-874308.13560606213</v>
      </c>
      <c r="R504">
        <f t="shared" si="981"/>
        <v>-131092143.64965668</v>
      </c>
      <c r="S504">
        <f t="shared" si="982"/>
        <v>-1310.9214364965669</v>
      </c>
      <c r="T504">
        <f t="shared" si="983"/>
        <v>-1.3109214364965669</v>
      </c>
    </row>
    <row r="505" spans="1:20" x14ac:dyDescent="0.25">
      <c r="A505" s="5">
        <v>44088</v>
      </c>
      <c r="B505">
        <v>0.17899999999999999</v>
      </c>
      <c r="C505">
        <v>0.188</v>
      </c>
      <c r="D505">
        <v>0.1767</v>
      </c>
      <c r="E505">
        <v>0.18029999999999999</v>
      </c>
      <c r="F505">
        <v>1026033.81</v>
      </c>
      <c r="G505">
        <v>0</v>
      </c>
      <c r="L505" t="s">
        <v>7</v>
      </c>
      <c r="M505" t="s">
        <v>8</v>
      </c>
      <c r="N505" t="s">
        <v>7</v>
      </c>
      <c r="P505">
        <f t="shared" si="979"/>
        <v>-0.36283185840708132</v>
      </c>
      <c r="Q505">
        <f t="shared" si="980"/>
        <v>-372277.75407079823</v>
      </c>
      <c r="R505">
        <f t="shared" si="981"/>
        <v>-130217835.51405062</v>
      </c>
      <c r="S505">
        <f t="shared" si="982"/>
        <v>-1302.1783551405063</v>
      </c>
      <c r="T505">
        <f t="shared" si="983"/>
        <v>-1.3021783551405062</v>
      </c>
    </row>
    <row r="506" spans="1:20" x14ac:dyDescent="0.25">
      <c r="A506" s="5">
        <v>44087</v>
      </c>
      <c r="B506">
        <v>0.1915</v>
      </c>
      <c r="C506">
        <v>0.19159999999999999</v>
      </c>
      <c r="D506">
        <v>0.17599999999999999</v>
      </c>
      <c r="E506">
        <v>0.17949999999999999</v>
      </c>
      <c r="F506">
        <v>1375364.61</v>
      </c>
      <c r="G506">
        <v>0</v>
      </c>
      <c r="L506" t="s">
        <v>7</v>
      </c>
      <c r="M506" t="s">
        <v>8</v>
      </c>
      <c r="N506" t="s">
        <v>7</v>
      </c>
      <c r="P506">
        <f t="shared" si="979"/>
        <v>-0.55128205128205099</v>
      </c>
      <c r="Q506">
        <f t="shared" si="980"/>
        <v>-758213.82346153806</v>
      </c>
      <c r="R506">
        <f t="shared" si="981"/>
        <v>-129845557.75997981</v>
      </c>
      <c r="S506">
        <f t="shared" si="982"/>
        <v>-1298.4555775997981</v>
      </c>
      <c r="T506">
        <f t="shared" si="983"/>
        <v>-1.2984555775997981</v>
      </c>
    </row>
    <row r="507" spans="1:20" x14ac:dyDescent="0.25">
      <c r="A507" s="5">
        <v>44086</v>
      </c>
      <c r="B507">
        <v>0.19239999999999999</v>
      </c>
      <c r="C507">
        <v>0.1946</v>
      </c>
      <c r="D507">
        <v>0.18740000000000001</v>
      </c>
      <c r="E507">
        <v>0.19159999999999999</v>
      </c>
      <c r="F507">
        <v>1420663.68</v>
      </c>
      <c r="G507">
        <v>0</v>
      </c>
      <c r="L507" t="s">
        <v>7</v>
      </c>
      <c r="M507" t="s">
        <v>8</v>
      </c>
      <c r="N507" t="s">
        <v>7</v>
      </c>
      <c r="P507">
        <f t="shared" si="979"/>
        <v>0.1666666666666641</v>
      </c>
      <c r="Q507">
        <f t="shared" si="980"/>
        <v>236777.27999999636</v>
      </c>
      <c r="R507">
        <f t="shared" si="981"/>
        <v>-129087343.93651828</v>
      </c>
      <c r="S507">
        <f t="shared" si="982"/>
        <v>-1290.8734393651828</v>
      </c>
      <c r="T507">
        <f t="shared" si="983"/>
        <v>-1.2908734393651828</v>
      </c>
    </row>
    <row r="508" spans="1:20" x14ac:dyDescent="0.25">
      <c r="A508" s="5">
        <v>44085</v>
      </c>
      <c r="B508">
        <v>0.1852</v>
      </c>
      <c r="C508">
        <v>0.20380000000000001</v>
      </c>
      <c r="D508">
        <v>0.1789</v>
      </c>
      <c r="E508">
        <v>0.19239999999999999</v>
      </c>
      <c r="F508">
        <v>3495296.62</v>
      </c>
      <c r="G508">
        <v>0</v>
      </c>
      <c r="L508" t="s">
        <v>8</v>
      </c>
      <c r="M508" t="s">
        <v>8</v>
      </c>
      <c r="N508" t="s">
        <v>7</v>
      </c>
      <c r="P508">
        <f t="shared" si="979"/>
        <v>8.4337349397588857E-2</v>
      </c>
      <c r="Q508">
        <f t="shared" si="980"/>
        <v>294784.05228915135</v>
      </c>
      <c r="R508">
        <f t="shared" si="981"/>
        <v>-129324121.21651828</v>
      </c>
      <c r="S508">
        <f t="shared" si="982"/>
        <v>-1293.2412121651828</v>
      </c>
      <c r="T508">
        <f t="shared" si="983"/>
        <v>-1.2932412121651828</v>
      </c>
    </row>
    <row r="509" spans="1:20" x14ac:dyDescent="0.25">
      <c r="A509" s="5">
        <v>44084</v>
      </c>
      <c r="B509">
        <v>0.18079999999999999</v>
      </c>
      <c r="C509">
        <v>0.188</v>
      </c>
      <c r="D509">
        <v>0.17710000000000001</v>
      </c>
      <c r="E509">
        <v>0.1852</v>
      </c>
      <c r="F509">
        <v>1494523.11</v>
      </c>
      <c r="G509">
        <v>0</v>
      </c>
      <c r="L509" t="s">
        <v>8</v>
      </c>
      <c r="M509" t="s">
        <v>7</v>
      </c>
      <c r="N509" t="s">
        <v>7</v>
      </c>
      <c r="P509">
        <f t="shared" si="979"/>
        <v>0.48623853211009199</v>
      </c>
      <c r="Q509">
        <f t="shared" si="980"/>
        <v>726694.72321100964</v>
      </c>
      <c r="R509">
        <f t="shared" si="981"/>
        <v>-129618905.26880744</v>
      </c>
      <c r="S509">
        <f t="shared" si="982"/>
        <v>-1296.1890526880743</v>
      </c>
      <c r="T509">
        <f t="shared" si="983"/>
        <v>-1.2961890526880744</v>
      </c>
    </row>
    <row r="510" spans="1:20" x14ac:dyDescent="0.25">
      <c r="A510" s="5">
        <v>44083</v>
      </c>
      <c r="B510">
        <v>0.1744</v>
      </c>
      <c r="C510">
        <v>0.1837</v>
      </c>
      <c r="D510">
        <v>0.1694</v>
      </c>
      <c r="E510">
        <v>0.18</v>
      </c>
      <c r="F510">
        <v>1312885.8500000001</v>
      </c>
      <c r="G510">
        <v>0</v>
      </c>
      <c r="L510" t="s">
        <v>8</v>
      </c>
      <c r="M510" t="s">
        <v>7</v>
      </c>
      <c r="N510" t="s">
        <v>7</v>
      </c>
      <c r="P510">
        <f t="shared" si="979"/>
        <v>0.48251748251748156</v>
      </c>
      <c r="Q510">
        <f t="shared" si="980"/>
        <v>633490.37517482392</v>
      </c>
      <c r="R510">
        <f t="shared" si="981"/>
        <v>-130345599.99201845</v>
      </c>
      <c r="S510">
        <f t="shared" si="982"/>
        <v>-1303.4559999201845</v>
      </c>
      <c r="T510">
        <f t="shared" si="983"/>
        <v>-1.3034559999201845</v>
      </c>
    </row>
    <row r="511" spans="1:20" x14ac:dyDescent="0.25">
      <c r="A511" s="5">
        <v>44082</v>
      </c>
      <c r="B511">
        <v>0.17510000000000001</v>
      </c>
      <c r="C511">
        <v>0.183</v>
      </c>
      <c r="D511">
        <v>0.1666</v>
      </c>
      <c r="E511">
        <v>0.17419999999999999</v>
      </c>
      <c r="F511">
        <v>1407868.96</v>
      </c>
      <c r="G511">
        <v>0</v>
      </c>
      <c r="L511" t="s">
        <v>7</v>
      </c>
      <c r="M511" t="s">
        <v>7</v>
      </c>
      <c r="N511" t="s">
        <v>7</v>
      </c>
      <c r="P511">
        <f t="shared" si="979"/>
        <v>-7.3170731707317485E-2</v>
      </c>
      <c r="Q511">
        <f t="shared" si="980"/>
        <v>-103014.80195122008</v>
      </c>
      <c r="R511">
        <f t="shared" si="981"/>
        <v>-130979090.36719327</v>
      </c>
      <c r="S511">
        <f t="shared" si="982"/>
        <v>-1309.7909036719327</v>
      </c>
      <c r="T511">
        <f t="shared" si="983"/>
        <v>-1.3097909036719326</v>
      </c>
    </row>
    <row r="512" spans="1:20" x14ac:dyDescent="0.25">
      <c r="A512" s="5">
        <v>44081</v>
      </c>
      <c r="B512">
        <v>0.17560000000000001</v>
      </c>
      <c r="C512">
        <v>0.186</v>
      </c>
      <c r="D512">
        <v>0.16</v>
      </c>
      <c r="E512">
        <v>0.17519999999999999</v>
      </c>
      <c r="F512">
        <v>1758612.18</v>
      </c>
      <c r="G512">
        <v>0</v>
      </c>
      <c r="L512" t="s">
        <v>8</v>
      </c>
      <c r="M512" t="s">
        <v>7</v>
      </c>
      <c r="N512" t="s">
        <v>7</v>
      </c>
      <c r="P512">
        <f t="shared" si="979"/>
        <v>0.16923076923076877</v>
      </c>
      <c r="Q512">
        <f t="shared" si="980"/>
        <v>297611.2919999992</v>
      </c>
      <c r="R512">
        <f t="shared" si="981"/>
        <v>-130876075.56524205</v>
      </c>
      <c r="S512">
        <f t="shared" si="982"/>
        <v>-1308.7607556524206</v>
      </c>
      <c r="T512">
        <f t="shared" si="983"/>
        <v>-1.3087607556524206</v>
      </c>
    </row>
    <row r="513" spans="1:20" x14ac:dyDescent="0.25">
      <c r="A513" s="5">
        <v>44080</v>
      </c>
      <c r="B513">
        <v>0.16880000000000001</v>
      </c>
      <c r="C513">
        <v>0.18010000000000001</v>
      </c>
      <c r="D513">
        <v>0.1585</v>
      </c>
      <c r="E513">
        <v>0.17630000000000001</v>
      </c>
      <c r="F513">
        <v>1804025.05</v>
      </c>
      <c r="G513">
        <v>0</v>
      </c>
      <c r="L513" t="s">
        <v>7</v>
      </c>
      <c r="M513" t="s">
        <v>7</v>
      </c>
      <c r="N513" t="s">
        <v>7</v>
      </c>
      <c r="P513">
        <f t="shared" si="979"/>
        <v>0.64814814814814847</v>
      </c>
      <c r="Q513">
        <f t="shared" si="980"/>
        <v>1169275.495370371</v>
      </c>
      <c r="R513">
        <f t="shared" si="981"/>
        <v>-131173686.85724205</v>
      </c>
      <c r="S513">
        <f t="shared" si="982"/>
        <v>-1311.7368685724205</v>
      </c>
      <c r="T513">
        <f t="shared" si="983"/>
        <v>-1.3117368685724204</v>
      </c>
    </row>
    <row r="514" spans="1:20" x14ac:dyDescent="0.25">
      <c r="A514" s="5">
        <v>44079</v>
      </c>
      <c r="B514">
        <v>0.18790000000000001</v>
      </c>
      <c r="C514">
        <v>0.19239999999999999</v>
      </c>
      <c r="D514">
        <v>0.16209999999999999</v>
      </c>
      <c r="E514">
        <v>0.16769999999999999</v>
      </c>
      <c r="F514">
        <v>1836989.79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-0.63036303630363066</v>
      </c>
      <c r="Q514">
        <f t="shared" si="980"/>
        <v>-1157970.461683169</v>
      </c>
      <c r="R514">
        <f t="shared" si="981"/>
        <v>-132342962.35261242</v>
      </c>
      <c r="S514">
        <f t="shared" si="982"/>
        <v>-1323.4296235261243</v>
      </c>
      <c r="T514">
        <f t="shared" si="983"/>
        <v>-1.3234296235261243</v>
      </c>
    </row>
    <row r="515" spans="1:20" x14ac:dyDescent="0.25">
      <c r="A515" s="5">
        <v>44078</v>
      </c>
      <c r="B515">
        <v>0.17399999999999999</v>
      </c>
      <c r="C515">
        <v>0.1898</v>
      </c>
      <c r="D515">
        <v>0.1729</v>
      </c>
      <c r="E515">
        <v>0.18890000000000001</v>
      </c>
      <c r="F515">
        <v>1862838.1</v>
      </c>
      <c r="G515">
        <v>0</v>
      </c>
      <c r="L515" t="s">
        <v>8</v>
      </c>
      <c r="M515" t="s">
        <v>7</v>
      </c>
      <c r="N515" t="s">
        <v>7</v>
      </c>
      <c r="P515">
        <f t="shared" si="979"/>
        <v>0.89349112426035693</v>
      </c>
      <c r="Q515">
        <f t="shared" si="980"/>
        <v>1664429.3082840273</v>
      </c>
      <c r="R515">
        <f t="shared" si="981"/>
        <v>-131184991.89092925</v>
      </c>
      <c r="S515">
        <f t="shared" si="982"/>
        <v>-1311.8499189092925</v>
      </c>
      <c r="T515">
        <f t="shared" si="983"/>
        <v>-1.3118499189092925</v>
      </c>
    </row>
    <row r="516" spans="1:20" x14ac:dyDescent="0.25">
      <c r="A516" s="5">
        <v>44077</v>
      </c>
      <c r="B516">
        <v>0.222</v>
      </c>
      <c r="C516">
        <v>0.224</v>
      </c>
      <c r="D516">
        <v>0.1691</v>
      </c>
      <c r="E516">
        <v>0.17399999999999999</v>
      </c>
      <c r="F516">
        <v>4157892.14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-0.8214936247723138</v>
      </c>
      <c r="Q516">
        <f t="shared" si="980"/>
        <v>-3415681.885500913</v>
      </c>
      <c r="R516">
        <f t="shared" si="981"/>
        <v>-132849421.19921328</v>
      </c>
      <c r="S516">
        <f t="shared" si="982"/>
        <v>-1328.4942119921327</v>
      </c>
      <c r="T516">
        <f t="shared" si="983"/>
        <v>-1.3284942119921328</v>
      </c>
    </row>
    <row r="517" spans="1:20" x14ac:dyDescent="0.25">
      <c r="A517" s="5">
        <v>44076</v>
      </c>
      <c r="B517">
        <v>0.24</v>
      </c>
      <c r="C517">
        <v>0.24</v>
      </c>
      <c r="D517">
        <v>0.21510000000000001</v>
      </c>
      <c r="E517">
        <v>0.222</v>
      </c>
      <c r="F517">
        <v>2761843.51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-0.44578313253012081</v>
      </c>
      <c r="Q517">
        <f t="shared" si="980"/>
        <v>-1231183.251445784</v>
      </c>
      <c r="R517">
        <f t="shared" si="981"/>
        <v>-129433739.31371237</v>
      </c>
      <c r="S517">
        <f t="shared" si="982"/>
        <v>-1294.3373931371236</v>
      </c>
      <c r="T517">
        <f t="shared" si="983"/>
        <v>-1.2943373931371236</v>
      </c>
    </row>
    <row r="518" spans="1:20" x14ac:dyDescent="0.25">
      <c r="A518" s="5">
        <v>44075</v>
      </c>
      <c r="B518">
        <v>0.2437</v>
      </c>
      <c r="C518">
        <v>0.24829999999999999</v>
      </c>
      <c r="D518">
        <v>0.2351</v>
      </c>
      <c r="E518">
        <v>0.23960000000000001</v>
      </c>
      <c r="F518">
        <v>2140623.34</v>
      </c>
      <c r="G518">
        <v>0</v>
      </c>
      <c r="L518" t="s">
        <v>8</v>
      </c>
      <c r="M518" t="s">
        <v>7</v>
      </c>
      <c r="N518" t="s">
        <v>7</v>
      </c>
      <c r="P518">
        <f t="shared" ref="P518:P581" si="984">IF(C518=D518,0,((E518-D518)-(C518-E518))/(C518-D518))</f>
        <v>-0.31818181818181701</v>
      </c>
      <c r="Q518">
        <f t="shared" ref="Q518:Q581" si="985">F518*P518</f>
        <v>-681107.42636363383</v>
      </c>
      <c r="R518">
        <f t="shared" ref="R518:R581" si="986">R519+Q518</f>
        <v>-128202556.06226659</v>
      </c>
      <c r="S518">
        <f t="shared" ref="S518:S581" si="987">R518/100000</f>
        <v>-1282.0255606226658</v>
      </c>
      <c r="T518">
        <f t="shared" ref="T518:T581" si="988">S518/1000</f>
        <v>-1.2820255606226658</v>
      </c>
    </row>
    <row r="519" spans="1:20" x14ac:dyDescent="0.25">
      <c r="A519" s="5">
        <v>44074</v>
      </c>
      <c r="B519">
        <v>0.2369</v>
      </c>
      <c r="C519">
        <v>0.24809999999999999</v>
      </c>
      <c r="D519">
        <v>0.23400000000000001</v>
      </c>
      <c r="E519">
        <v>0.24379999999999999</v>
      </c>
      <c r="F519">
        <v>2657259.2200000002</v>
      </c>
      <c r="G519">
        <v>0</v>
      </c>
      <c r="L519" t="s">
        <v>8</v>
      </c>
      <c r="M519" t="s">
        <v>7</v>
      </c>
      <c r="N519" t="s">
        <v>7</v>
      </c>
      <c r="P519">
        <f t="shared" si="984"/>
        <v>0.39007092198581472</v>
      </c>
      <c r="Q519">
        <f t="shared" si="985"/>
        <v>1036519.5539007069</v>
      </c>
      <c r="R519">
        <f t="shared" si="986"/>
        <v>-127521448.63590296</v>
      </c>
      <c r="S519">
        <f t="shared" si="987"/>
        <v>-1275.2144863590295</v>
      </c>
      <c r="T519">
        <f t="shared" si="988"/>
        <v>-1.2752144863590296</v>
      </c>
    </row>
    <row r="520" spans="1:20" x14ac:dyDescent="0.25">
      <c r="A520" s="5">
        <v>44073</v>
      </c>
      <c r="B520">
        <v>0.23619999999999999</v>
      </c>
      <c r="C520">
        <v>0.23910000000000001</v>
      </c>
      <c r="D520">
        <v>0.2326</v>
      </c>
      <c r="E520">
        <v>0.23630000000000001</v>
      </c>
      <c r="F520">
        <v>1298080.3799999999</v>
      </c>
      <c r="G520">
        <v>0</v>
      </c>
      <c r="L520" t="s">
        <v>8</v>
      </c>
      <c r="M520" t="s">
        <v>7</v>
      </c>
      <c r="N520" t="s">
        <v>7</v>
      </c>
      <c r="P520">
        <f t="shared" si="984"/>
        <v>0.13846153846154016</v>
      </c>
      <c r="Q520">
        <f t="shared" si="985"/>
        <v>179734.20646154066</v>
      </c>
      <c r="R520">
        <f t="shared" si="986"/>
        <v>-128557968.18980366</v>
      </c>
      <c r="S520">
        <f t="shared" si="987"/>
        <v>-1285.5796818980366</v>
      </c>
      <c r="T520">
        <f t="shared" si="988"/>
        <v>-1.2855796818980365</v>
      </c>
    </row>
    <row r="521" spans="1:20" x14ac:dyDescent="0.25">
      <c r="A521" s="5">
        <v>44072</v>
      </c>
      <c r="B521">
        <v>0.23300000000000001</v>
      </c>
      <c r="C521">
        <v>0.23799999999999999</v>
      </c>
      <c r="D521">
        <v>0.22489999999999999</v>
      </c>
      <c r="E521">
        <v>0.23719999999999999</v>
      </c>
      <c r="F521">
        <v>1619127.82</v>
      </c>
      <c r="G521">
        <v>0</v>
      </c>
      <c r="L521" t="s">
        <v>8</v>
      </c>
      <c r="M521" t="s">
        <v>7</v>
      </c>
      <c r="N521" t="s">
        <v>7</v>
      </c>
      <c r="P521">
        <f t="shared" si="984"/>
        <v>0.87786259541984812</v>
      </c>
      <c r="Q521">
        <f t="shared" si="985"/>
        <v>1421371.7503816807</v>
      </c>
      <c r="R521">
        <f t="shared" si="986"/>
        <v>-128737702.39626519</v>
      </c>
      <c r="S521">
        <f t="shared" si="987"/>
        <v>-1287.3770239626519</v>
      </c>
      <c r="T521">
        <f t="shared" si="988"/>
        <v>-1.2873770239626519</v>
      </c>
    </row>
    <row r="522" spans="1:20" x14ac:dyDescent="0.25">
      <c r="A522" s="5">
        <v>44071</v>
      </c>
      <c r="B522">
        <v>0.224</v>
      </c>
      <c r="C522">
        <v>0.2359</v>
      </c>
      <c r="D522">
        <v>0.22289999999999999</v>
      </c>
      <c r="E522">
        <v>0.23300000000000001</v>
      </c>
      <c r="F522">
        <v>1697208.73</v>
      </c>
      <c r="G522">
        <v>0</v>
      </c>
      <c r="L522" t="s">
        <v>8</v>
      </c>
      <c r="M522" t="s">
        <v>7</v>
      </c>
      <c r="N522" t="s">
        <v>7</v>
      </c>
      <c r="P522">
        <f t="shared" si="984"/>
        <v>0.55384615384615643</v>
      </c>
      <c r="Q522">
        <f t="shared" si="985"/>
        <v>939992.52738461981</v>
      </c>
      <c r="R522">
        <f t="shared" si="986"/>
        <v>-130159074.14664687</v>
      </c>
      <c r="S522">
        <f t="shared" si="987"/>
        <v>-1301.5907414664687</v>
      </c>
      <c r="T522">
        <f t="shared" si="988"/>
        <v>-1.3015907414664687</v>
      </c>
    </row>
    <row r="523" spans="1:20" x14ac:dyDescent="0.25">
      <c r="A523" s="5">
        <v>44070</v>
      </c>
      <c r="B523">
        <v>0.2326</v>
      </c>
      <c r="C523">
        <v>0.23499999999999999</v>
      </c>
      <c r="D523">
        <v>0.22</v>
      </c>
      <c r="E523">
        <v>0.22389999999999999</v>
      </c>
      <c r="F523">
        <v>2217633.67</v>
      </c>
      <c r="G523">
        <v>0</v>
      </c>
      <c r="L523" t="s">
        <v>7</v>
      </c>
      <c r="M523" t="s">
        <v>7</v>
      </c>
      <c r="N523" t="s">
        <v>7</v>
      </c>
      <c r="P523">
        <f t="shared" si="984"/>
        <v>-0.48000000000000126</v>
      </c>
      <c r="Q523">
        <f t="shared" si="985"/>
        <v>-1064464.1616000028</v>
      </c>
      <c r="R523">
        <f t="shared" si="986"/>
        <v>-131099066.6740315</v>
      </c>
      <c r="S523">
        <f t="shared" si="987"/>
        <v>-1310.990666740315</v>
      </c>
      <c r="T523">
        <f t="shared" si="988"/>
        <v>-1.3109906667403151</v>
      </c>
    </row>
    <row r="524" spans="1:20" x14ac:dyDescent="0.25">
      <c r="A524" s="5">
        <v>44069</v>
      </c>
      <c r="B524">
        <v>0.2296</v>
      </c>
      <c r="C524">
        <v>0.23910000000000001</v>
      </c>
      <c r="D524">
        <v>0.2248</v>
      </c>
      <c r="E524">
        <v>0.23330000000000001</v>
      </c>
      <c r="F524">
        <v>2957565.64</v>
      </c>
      <c r="G524">
        <v>0</v>
      </c>
      <c r="L524" t="s">
        <v>7</v>
      </c>
      <c r="M524" t="s">
        <v>7</v>
      </c>
      <c r="N524" t="s">
        <v>7</v>
      </c>
      <c r="P524">
        <f t="shared" si="984"/>
        <v>0.18881118881118927</v>
      </c>
      <c r="Q524">
        <f t="shared" si="985"/>
        <v>558421.48447552591</v>
      </c>
      <c r="R524">
        <f t="shared" si="986"/>
        <v>-130034602.51243149</v>
      </c>
      <c r="S524">
        <f t="shared" si="987"/>
        <v>-1300.3460251243148</v>
      </c>
      <c r="T524">
        <f t="shared" si="988"/>
        <v>-1.3003460251243149</v>
      </c>
    </row>
    <row r="525" spans="1:20" x14ac:dyDescent="0.25">
      <c r="A525" s="5">
        <v>44068</v>
      </c>
      <c r="B525">
        <v>0.24840000000000001</v>
      </c>
      <c r="C525">
        <v>0.25280000000000002</v>
      </c>
      <c r="D525">
        <v>0.2258</v>
      </c>
      <c r="E525">
        <v>0.22950000000000001</v>
      </c>
      <c r="F525">
        <v>2693839.23</v>
      </c>
      <c r="G525">
        <v>0</v>
      </c>
      <c r="L525" t="s">
        <v>7</v>
      </c>
      <c r="M525" t="s">
        <v>7</v>
      </c>
      <c r="N525" t="s">
        <v>7</v>
      </c>
      <c r="P525">
        <f t="shared" si="984"/>
        <v>-0.72592592592592553</v>
      </c>
      <c r="Q525">
        <f t="shared" si="985"/>
        <v>-1955527.7373333322</v>
      </c>
      <c r="R525">
        <f t="shared" si="986"/>
        <v>-130593023.99690701</v>
      </c>
      <c r="S525">
        <f t="shared" si="987"/>
        <v>-1305.93023996907</v>
      </c>
      <c r="T525">
        <f t="shared" si="988"/>
        <v>-1.30593023996907</v>
      </c>
    </row>
    <row r="526" spans="1:20" x14ac:dyDescent="0.25">
      <c r="A526" s="5">
        <v>44067</v>
      </c>
      <c r="B526">
        <v>0.2422</v>
      </c>
      <c r="C526">
        <v>0.25359999999999999</v>
      </c>
      <c r="D526">
        <v>0.23980000000000001</v>
      </c>
      <c r="E526">
        <v>0.24840000000000001</v>
      </c>
      <c r="F526">
        <v>2509264.3199999998</v>
      </c>
      <c r="G526">
        <v>0</v>
      </c>
      <c r="L526" t="s">
        <v>8</v>
      </c>
      <c r="M526" t="s">
        <v>7</v>
      </c>
      <c r="N526" t="s">
        <v>7</v>
      </c>
      <c r="P526">
        <f t="shared" si="984"/>
        <v>0.2463768115942043</v>
      </c>
      <c r="Q526">
        <f t="shared" si="985"/>
        <v>618224.54260869918</v>
      </c>
      <c r="R526">
        <f t="shared" si="986"/>
        <v>-128637496.25957368</v>
      </c>
      <c r="S526">
        <f t="shared" si="987"/>
        <v>-1286.3749625957369</v>
      </c>
      <c r="T526">
        <f t="shared" si="988"/>
        <v>-1.2863749625957368</v>
      </c>
    </row>
    <row r="527" spans="1:20" x14ac:dyDescent="0.25">
      <c r="A527" s="5">
        <v>44066</v>
      </c>
      <c r="B527">
        <v>0.24840000000000001</v>
      </c>
      <c r="C527">
        <v>0.25140000000000001</v>
      </c>
      <c r="D527">
        <v>0.23769999999999999</v>
      </c>
      <c r="E527">
        <v>0.24179999999999999</v>
      </c>
      <c r="F527">
        <v>2199639.87</v>
      </c>
      <c r="G527">
        <v>0</v>
      </c>
      <c r="L527" t="s">
        <v>8</v>
      </c>
      <c r="M527" t="s">
        <v>7</v>
      </c>
      <c r="N527" t="s">
        <v>7</v>
      </c>
      <c r="P527">
        <f t="shared" si="984"/>
        <v>-0.40145985401460038</v>
      </c>
      <c r="Q527">
        <f t="shared" si="985"/>
        <v>-883067.10109489458</v>
      </c>
      <c r="R527">
        <f t="shared" si="986"/>
        <v>-129255720.80218238</v>
      </c>
      <c r="S527">
        <f t="shared" si="987"/>
        <v>-1292.5572080218237</v>
      </c>
      <c r="T527">
        <f t="shared" si="988"/>
        <v>-1.2925572080218237</v>
      </c>
    </row>
    <row r="528" spans="1:20" x14ac:dyDescent="0.25">
      <c r="A528" s="5">
        <v>44065</v>
      </c>
      <c r="B528">
        <v>0.2465</v>
      </c>
      <c r="C528">
        <v>0.25009999999999999</v>
      </c>
      <c r="D528">
        <v>0.23200000000000001</v>
      </c>
      <c r="E528">
        <v>0.24740000000000001</v>
      </c>
      <c r="F528">
        <v>2921346.19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0.70165745856353767</v>
      </c>
      <c r="Q528">
        <f t="shared" si="985"/>
        <v>2049784.3432596736</v>
      </c>
      <c r="R528">
        <f t="shared" si="986"/>
        <v>-128372653.70108747</v>
      </c>
      <c r="S528">
        <f t="shared" si="987"/>
        <v>-1283.7265370108748</v>
      </c>
      <c r="T528">
        <f t="shared" si="988"/>
        <v>-1.2837265370108748</v>
      </c>
    </row>
    <row r="529" spans="1:20" x14ac:dyDescent="0.25">
      <c r="A529" s="5">
        <v>44064</v>
      </c>
      <c r="B529">
        <v>0.2697</v>
      </c>
      <c r="C529">
        <v>0.27060000000000001</v>
      </c>
      <c r="D529">
        <v>0.2429</v>
      </c>
      <c r="E529">
        <v>0.2465</v>
      </c>
      <c r="F529">
        <v>6515938.71</v>
      </c>
      <c r="G529">
        <v>0</v>
      </c>
      <c r="L529" t="s">
        <v>7</v>
      </c>
      <c r="M529" t="s">
        <v>7</v>
      </c>
      <c r="N529" t="s">
        <v>8</v>
      </c>
      <c r="P529">
        <f t="shared" si="984"/>
        <v>-0.74007220216606562</v>
      </c>
      <c r="Q529">
        <f t="shared" si="985"/>
        <v>-4822265.1102888128</v>
      </c>
      <c r="R529">
        <f t="shared" si="986"/>
        <v>-130422438.04434715</v>
      </c>
      <c r="S529">
        <f t="shared" si="987"/>
        <v>-1304.2243804434715</v>
      </c>
      <c r="T529">
        <f t="shared" si="988"/>
        <v>-1.3042243804434714</v>
      </c>
    </row>
    <row r="530" spans="1:20" x14ac:dyDescent="0.25">
      <c r="A530" s="5">
        <v>44063</v>
      </c>
      <c r="B530">
        <v>0.27329999999999999</v>
      </c>
      <c r="C530">
        <v>0.34449999999999997</v>
      </c>
      <c r="D530">
        <v>0.26179999999999998</v>
      </c>
      <c r="E530">
        <v>0.2697</v>
      </c>
      <c r="F530">
        <v>29071812.629999999</v>
      </c>
      <c r="G530">
        <v>0</v>
      </c>
      <c r="L530" t="s">
        <v>8</v>
      </c>
      <c r="M530" t="s">
        <v>8</v>
      </c>
      <c r="N530" t="s">
        <v>8</v>
      </c>
      <c r="P530">
        <f t="shared" si="984"/>
        <v>-0.80894800483675888</v>
      </c>
      <c r="Q530">
        <f t="shared" si="985"/>
        <v>-23517584.824026588</v>
      </c>
      <c r="R530">
        <f t="shared" si="986"/>
        <v>-125600172.93405834</v>
      </c>
      <c r="S530">
        <f t="shared" si="987"/>
        <v>-1256.0017293405833</v>
      </c>
      <c r="T530">
        <f t="shared" si="988"/>
        <v>-1.2560017293405834</v>
      </c>
    </row>
    <row r="531" spans="1:20" x14ac:dyDescent="0.25">
      <c r="A531" s="5">
        <v>44062</v>
      </c>
      <c r="B531">
        <v>0.26889999999999997</v>
      </c>
      <c r="C531">
        <v>0.2767</v>
      </c>
      <c r="D531">
        <v>0.2452</v>
      </c>
      <c r="E531">
        <v>0.27410000000000001</v>
      </c>
      <c r="F531">
        <v>4760665.3600000003</v>
      </c>
      <c r="G531">
        <v>0</v>
      </c>
      <c r="L531" t="s">
        <v>7</v>
      </c>
      <c r="M531" t="s">
        <v>8</v>
      </c>
      <c r="N531" t="s">
        <v>8</v>
      </c>
      <c r="P531">
        <f t="shared" si="984"/>
        <v>0.83492063492063551</v>
      </c>
      <c r="Q531">
        <f t="shared" si="985"/>
        <v>3974777.7450158759</v>
      </c>
      <c r="R531">
        <f t="shared" si="986"/>
        <v>-102082588.11003175</v>
      </c>
      <c r="S531">
        <f t="shared" si="987"/>
        <v>-1020.8258811003176</v>
      </c>
      <c r="T531">
        <f t="shared" si="988"/>
        <v>-1.0208258811003177</v>
      </c>
    </row>
    <row r="532" spans="1:20" x14ac:dyDescent="0.25">
      <c r="A532" s="5">
        <v>44061</v>
      </c>
      <c r="B532">
        <v>0.2727</v>
      </c>
      <c r="C532">
        <v>0.2858</v>
      </c>
      <c r="D532">
        <v>0.25419999999999998</v>
      </c>
      <c r="E532">
        <v>0.26889999999999997</v>
      </c>
      <c r="F532">
        <v>4165437.06</v>
      </c>
      <c r="G532">
        <v>0</v>
      </c>
      <c r="L532" t="s">
        <v>7</v>
      </c>
      <c r="M532" t="s">
        <v>8</v>
      </c>
      <c r="N532" t="s">
        <v>8</v>
      </c>
      <c r="P532">
        <f t="shared" si="984"/>
        <v>-6.9620253164558041E-2</v>
      </c>
      <c r="Q532">
        <f t="shared" si="985"/>
        <v>-289998.78265823232</v>
      </c>
      <c r="R532">
        <f t="shared" si="986"/>
        <v>-106057365.85504763</v>
      </c>
      <c r="S532">
        <f t="shared" si="987"/>
        <v>-1060.5736585504762</v>
      </c>
      <c r="T532">
        <f t="shared" si="988"/>
        <v>-1.0605736585504761</v>
      </c>
    </row>
    <row r="533" spans="1:20" x14ac:dyDescent="0.25">
      <c r="A533" s="5">
        <v>44060</v>
      </c>
      <c r="B533">
        <v>0.28199999999999997</v>
      </c>
      <c r="C533">
        <v>0.28939999999999999</v>
      </c>
      <c r="D533">
        <v>0.27060000000000001</v>
      </c>
      <c r="E533">
        <v>0.2727</v>
      </c>
      <c r="F533">
        <v>5781002.2699999996</v>
      </c>
      <c r="G533">
        <v>0</v>
      </c>
      <c r="L533" t="s">
        <v>7</v>
      </c>
      <c r="M533" t="s">
        <v>8</v>
      </c>
      <c r="N533" t="s">
        <v>8</v>
      </c>
      <c r="P533">
        <f t="shared" si="984"/>
        <v>-0.7765957446808518</v>
      </c>
      <c r="Q533">
        <f t="shared" si="985"/>
        <v>-4489501.7628723439</v>
      </c>
      <c r="R533">
        <f t="shared" si="986"/>
        <v>-105767367.07238939</v>
      </c>
      <c r="S533">
        <f t="shared" si="987"/>
        <v>-1057.673670723894</v>
      </c>
      <c r="T533">
        <f t="shared" si="988"/>
        <v>-1.0576736707238941</v>
      </c>
    </row>
    <row r="534" spans="1:20" x14ac:dyDescent="0.25">
      <c r="A534" s="5">
        <v>44059</v>
      </c>
      <c r="B534">
        <v>0.26379999999999998</v>
      </c>
      <c r="C534">
        <v>0.29220000000000002</v>
      </c>
      <c r="D534">
        <v>0.2616</v>
      </c>
      <c r="E534">
        <v>0.28189999999999998</v>
      </c>
      <c r="F534">
        <v>7952518.29</v>
      </c>
      <c r="G534">
        <v>0</v>
      </c>
      <c r="L534" t="s">
        <v>8</v>
      </c>
      <c r="M534" t="s">
        <v>8</v>
      </c>
      <c r="N534" t="s">
        <v>8</v>
      </c>
      <c r="P534">
        <f t="shared" si="984"/>
        <v>0.32679738562091332</v>
      </c>
      <c r="Q534">
        <f t="shared" si="985"/>
        <v>2598862.1862744964</v>
      </c>
      <c r="R534">
        <f t="shared" si="986"/>
        <v>-101277865.30951706</v>
      </c>
      <c r="S534">
        <f t="shared" si="987"/>
        <v>-1012.7786530951705</v>
      </c>
      <c r="T534">
        <f t="shared" si="988"/>
        <v>-1.0127786530951706</v>
      </c>
    </row>
    <row r="535" spans="1:20" x14ac:dyDescent="0.25">
      <c r="A535" s="5">
        <v>44058</v>
      </c>
      <c r="B535">
        <v>0.25719999999999998</v>
      </c>
      <c r="C535">
        <v>0.27350000000000002</v>
      </c>
      <c r="D535">
        <v>0.25219999999999998</v>
      </c>
      <c r="E535">
        <v>0.26240000000000002</v>
      </c>
      <c r="F535">
        <v>5084305.51</v>
      </c>
      <c r="G535">
        <v>0</v>
      </c>
      <c r="L535" t="s">
        <v>8</v>
      </c>
      <c r="M535" t="s">
        <v>8</v>
      </c>
      <c r="N535" t="s">
        <v>7</v>
      </c>
      <c r="P535">
        <f t="shared" si="984"/>
        <v>-4.2253521126758432E-2</v>
      </c>
      <c r="Q535">
        <f t="shared" si="985"/>
        <v>-214829.8102816793</v>
      </c>
      <c r="R535">
        <f t="shared" si="986"/>
        <v>-103876727.49579155</v>
      </c>
      <c r="S535">
        <f t="shared" si="987"/>
        <v>-1038.7672749579156</v>
      </c>
      <c r="T535">
        <f t="shared" si="988"/>
        <v>-1.0387672749579155</v>
      </c>
    </row>
    <row r="536" spans="1:20" x14ac:dyDescent="0.25">
      <c r="A536" s="5">
        <v>44057</v>
      </c>
      <c r="B536">
        <v>0.2596</v>
      </c>
      <c r="C536">
        <v>0.26440000000000002</v>
      </c>
      <c r="D536">
        <v>0.25419999999999998</v>
      </c>
      <c r="E536">
        <v>0.25600000000000001</v>
      </c>
      <c r="F536">
        <v>3791871.81</v>
      </c>
      <c r="G536">
        <v>0</v>
      </c>
      <c r="L536" t="s">
        <v>8</v>
      </c>
      <c r="M536" t="s">
        <v>7</v>
      </c>
      <c r="N536" t="s">
        <v>7</v>
      </c>
      <c r="P536">
        <f t="shared" si="984"/>
        <v>-0.64705882352940858</v>
      </c>
      <c r="Q536">
        <f t="shared" si="985"/>
        <v>-2453564.1123529291</v>
      </c>
      <c r="R536">
        <f t="shared" si="986"/>
        <v>-103661897.68550988</v>
      </c>
      <c r="S536">
        <f t="shared" si="987"/>
        <v>-1036.6189768550987</v>
      </c>
      <c r="T536">
        <f t="shared" si="988"/>
        <v>-1.0366189768550986</v>
      </c>
    </row>
    <row r="537" spans="1:20" x14ac:dyDescent="0.25">
      <c r="A537" s="5">
        <v>44056</v>
      </c>
      <c r="B537">
        <v>0.2495</v>
      </c>
      <c r="C537">
        <v>0.2656</v>
      </c>
      <c r="D537">
        <v>0.23699999999999999</v>
      </c>
      <c r="E537">
        <v>0.26069999999999999</v>
      </c>
      <c r="F537">
        <v>6005774.7000000002</v>
      </c>
      <c r="G537">
        <v>0</v>
      </c>
      <c r="L537" t="s">
        <v>8</v>
      </c>
      <c r="M537" t="s">
        <v>7</v>
      </c>
      <c r="N537" t="s">
        <v>7</v>
      </c>
      <c r="P537">
        <f t="shared" si="984"/>
        <v>0.6573426573426564</v>
      </c>
      <c r="Q537">
        <f t="shared" si="985"/>
        <v>3947851.9006992951</v>
      </c>
      <c r="R537">
        <f t="shared" si="986"/>
        <v>-101208333.57315695</v>
      </c>
      <c r="S537">
        <f t="shared" si="987"/>
        <v>-1012.0833357315695</v>
      </c>
      <c r="T537">
        <f t="shared" si="988"/>
        <v>-1.0120833357315695</v>
      </c>
    </row>
    <row r="538" spans="1:20" x14ac:dyDescent="0.25">
      <c r="A538" s="5">
        <v>44055</v>
      </c>
      <c r="B538">
        <v>0.24540000000000001</v>
      </c>
      <c r="C538">
        <v>0.255</v>
      </c>
      <c r="D538">
        <v>0.22900000000000001</v>
      </c>
      <c r="E538">
        <v>0.25030000000000002</v>
      </c>
      <c r="F538">
        <v>4103041.5</v>
      </c>
      <c r="G538">
        <v>0</v>
      </c>
      <c r="L538" t="s">
        <v>7</v>
      </c>
      <c r="M538" t="s">
        <v>7</v>
      </c>
      <c r="N538" t="s">
        <v>7</v>
      </c>
      <c r="P538">
        <f t="shared" si="984"/>
        <v>0.63846153846153975</v>
      </c>
      <c r="Q538">
        <f t="shared" si="985"/>
        <v>2619634.1884615435</v>
      </c>
      <c r="R538">
        <f t="shared" si="986"/>
        <v>-105156185.47385626</v>
      </c>
      <c r="S538">
        <f t="shared" si="987"/>
        <v>-1051.5618547385625</v>
      </c>
      <c r="T538">
        <f t="shared" si="988"/>
        <v>-1.0515618547385626</v>
      </c>
    </row>
    <row r="539" spans="1:20" x14ac:dyDescent="0.25">
      <c r="A539" s="5">
        <v>44054</v>
      </c>
      <c r="B539">
        <v>0.25819999999999999</v>
      </c>
      <c r="C539">
        <v>0.26350000000000001</v>
      </c>
      <c r="D539">
        <v>0.2349</v>
      </c>
      <c r="E539">
        <v>0.24429999999999999</v>
      </c>
      <c r="F539">
        <v>4211613.99</v>
      </c>
      <c r="G539">
        <v>0</v>
      </c>
      <c r="L539" t="s">
        <v>7</v>
      </c>
      <c r="M539" t="s">
        <v>8</v>
      </c>
      <c r="N539" t="s">
        <v>7</v>
      </c>
      <c r="P539">
        <f t="shared" si="984"/>
        <v>-0.34265734265734354</v>
      </c>
      <c r="Q539">
        <f t="shared" si="985"/>
        <v>-1443140.458111892</v>
      </c>
      <c r="R539">
        <f t="shared" si="986"/>
        <v>-107775819.6623178</v>
      </c>
      <c r="S539">
        <f t="shared" si="987"/>
        <v>-1077.758196623178</v>
      </c>
      <c r="T539">
        <f t="shared" si="988"/>
        <v>-1.077758196623178</v>
      </c>
    </row>
    <row r="540" spans="1:20" x14ac:dyDescent="0.25">
      <c r="A540" s="5">
        <v>44053</v>
      </c>
      <c r="B540">
        <v>0.2545</v>
      </c>
      <c r="C540">
        <v>0.26369999999999999</v>
      </c>
      <c r="D540">
        <v>0.24540000000000001</v>
      </c>
      <c r="E540">
        <v>0.25819999999999999</v>
      </c>
      <c r="F540">
        <v>3681391.05</v>
      </c>
      <c r="G540">
        <v>0</v>
      </c>
      <c r="L540" t="s">
        <v>7</v>
      </c>
      <c r="M540" t="s">
        <v>8</v>
      </c>
      <c r="N540" t="s">
        <v>7</v>
      </c>
      <c r="P540">
        <f t="shared" si="984"/>
        <v>0.3989071038251355</v>
      </c>
      <c r="Q540">
        <f t="shared" si="985"/>
        <v>1468533.0418032745</v>
      </c>
      <c r="R540">
        <f t="shared" si="986"/>
        <v>-106332679.2042059</v>
      </c>
      <c r="S540">
        <f t="shared" si="987"/>
        <v>-1063.326792042059</v>
      </c>
      <c r="T540">
        <f t="shared" si="988"/>
        <v>-1.063326792042059</v>
      </c>
    </row>
    <row r="541" spans="1:20" x14ac:dyDescent="0.25">
      <c r="A541" s="5">
        <v>44052</v>
      </c>
      <c r="B541">
        <v>0.25969999999999999</v>
      </c>
      <c r="C541">
        <v>0.2762</v>
      </c>
      <c r="D541">
        <v>0.24660000000000001</v>
      </c>
      <c r="E541">
        <v>0.25440000000000002</v>
      </c>
      <c r="F541">
        <v>5877554.21</v>
      </c>
      <c r="G541">
        <v>0</v>
      </c>
      <c r="L541" t="s">
        <v>8</v>
      </c>
      <c r="M541" t="s">
        <v>8</v>
      </c>
      <c r="N541" t="s">
        <v>7</v>
      </c>
      <c r="P541">
        <f t="shared" si="984"/>
        <v>-0.47297297297297264</v>
      </c>
      <c r="Q541">
        <f t="shared" si="985"/>
        <v>-2779924.2885135114</v>
      </c>
      <c r="R541">
        <f t="shared" si="986"/>
        <v>-107801212.24600917</v>
      </c>
      <c r="S541">
        <f t="shared" si="987"/>
        <v>-1078.0121224600916</v>
      </c>
      <c r="T541">
        <f t="shared" si="988"/>
        <v>-1.0780121224600916</v>
      </c>
    </row>
    <row r="542" spans="1:20" x14ac:dyDescent="0.25">
      <c r="A542" s="5">
        <v>44051</v>
      </c>
      <c r="B542">
        <v>0.2472</v>
      </c>
      <c r="C542">
        <v>0.26219999999999999</v>
      </c>
      <c r="D542">
        <v>0.2422</v>
      </c>
      <c r="E542">
        <v>0.25900000000000001</v>
      </c>
      <c r="F542">
        <v>4434289.4400000004</v>
      </c>
      <c r="G542">
        <v>0</v>
      </c>
      <c r="L542" t="s">
        <v>8</v>
      </c>
      <c r="M542" t="s">
        <v>8</v>
      </c>
      <c r="N542" t="s">
        <v>7</v>
      </c>
      <c r="P542">
        <f t="shared" si="984"/>
        <v>0.68000000000000183</v>
      </c>
      <c r="Q542">
        <f t="shared" si="985"/>
        <v>3015316.8192000082</v>
      </c>
      <c r="R542">
        <f t="shared" si="986"/>
        <v>-105021287.95749566</v>
      </c>
      <c r="S542">
        <f t="shared" si="987"/>
        <v>-1050.2128795749566</v>
      </c>
      <c r="T542">
        <f t="shared" si="988"/>
        <v>-1.0502128795749566</v>
      </c>
    </row>
    <row r="543" spans="1:20" x14ac:dyDescent="0.25">
      <c r="A543" s="5">
        <v>44050</v>
      </c>
      <c r="B543">
        <v>0.2329</v>
      </c>
      <c r="C543">
        <v>0.25430000000000003</v>
      </c>
      <c r="D543">
        <v>0.22889999999999999</v>
      </c>
      <c r="E543">
        <v>0.2482</v>
      </c>
      <c r="F543">
        <v>7328704.3300000001</v>
      </c>
      <c r="G543">
        <v>0</v>
      </c>
      <c r="L543" t="s">
        <v>8</v>
      </c>
      <c r="M543" t="s">
        <v>8</v>
      </c>
      <c r="N543" t="s">
        <v>7</v>
      </c>
      <c r="P543">
        <f t="shared" si="984"/>
        <v>0.51968503937007759</v>
      </c>
      <c r="Q543">
        <f t="shared" si="985"/>
        <v>3808617.9982677083</v>
      </c>
      <c r="R543">
        <f t="shared" si="986"/>
        <v>-108036604.77669567</v>
      </c>
      <c r="S543">
        <f t="shared" si="987"/>
        <v>-1080.3660477669566</v>
      </c>
      <c r="T543">
        <f t="shared" si="988"/>
        <v>-1.0803660477669565</v>
      </c>
    </row>
    <row r="544" spans="1:20" x14ac:dyDescent="0.25">
      <c r="A544" s="5">
        <v>44049</v>
      </c>
      <c r="B544">
        <v>0.22339999999999999</v>
      </c>
      <c r="C544">
        <v>0.23350000000000001</v>
      </c>
      <c r="D544">
        <v>0.2198</v>
      </c>
      <c r="E544">
        <v>0.2334</v>
      </c>
      <c r="F544">
        <v>3578110.18</v>
      </c>
      <c r="G544">
        <v>0</v>
      </c>
      <c r="L544" t="s">
        <v>8</v>
      </c>
      <c r="M544" t="s">
        <v>8</v>
      </c>
      <c r="N544" t="s">
        <v>7</v>
      </c>
      <c r="P544">
        <f t="shared" si="984"/>
        <v>0.98540145985401217</v>
      </c>
      <c r="Q544">
        <f t="shared" si="985"/>
        <v>3525874.9948905027</v>
      </c>
      <c r="R544">
        <f t="shared" si="986"/>
        <v>-111845222.77496338</v>
      </c>
      <c r="S544">
        <f t="shared" si="987"/>
        <v>-1118.4522277496337</v>
      </c>
      <c r="T544">
        <f t="shared" si="988"/>
        <v>-1.1184522277496338</v>
      </c>
    </row>
    <row r="545" spans="1:20" x14ac:dyDescent="0.25">
      <c r="A545" s="5">
        <v>44048</v>
      </c>
      <c r="B545">
        <v>0.22189999999999999</v>
      </c>
      <c r="C545">
        <v>0.22489999999999999</v>
      </c>
      <c r="D545">
        <v>0.21840000000000001</v>
      </c>
      <c r="E545">
        <v>0.2233</v>
      </c>
      <c r="F545">
        <v>2361891.5299999998</v>
      </c>
      <c r="G545">
        <v>0</v>
      </c>
      <c r="L545" t="s">
        <v>7</v>
      </c>
      <c r="M545" t="s">
        <v>8</v>
      </c>
      <c r="N545" t="s">
        <v>7</v>
      </c>
      <c r="P545">
        <f t="shared" si="984"/>
        <v>0.507692307692309</v>
      </c>
      <c r="Q545">
        <f t="shared" si="985"/>
        <v>1199114.1613846184</v>
      </c>
      <c r="R545">
        <f t="shared" si="986"/>
        <v>-115371097.76985388</v>
      </c>
      <c r="S545">
        <f t="shared" si="987"/>
        <v>-1153.7109776985387</v>
      </c>
      <c r="T545">
        <f t="shared" si="988"/>
        <v>-1.1537109776985388</v>
      </c>
    </row>
    <row r="546" spans="1:20" x14ac:dyDescent="0.25">
      <c r="A546" s="5">
        <v>44047</v>
      </c>
      <c r="B546">
        <v>0.2213</v>
      </c>
      <c r="C546">
        <v>0.22320000000000001</v>
      </c>
      <c r="D546">
        <v>0.2165</v>
      </c>
      <c r="E546">
        <v>0.22189999999999999</v>
      </c>
      <c r="F546">
        <v>1624669.97</v>
      </c>
      <c r="G546">
        <v>0</v>
      </c>
      <c r="L546" t="s">
        <v>7</v>
      </c>
      <c r="M546" t="s">
        <v>8</v>
      </c>
      <c r="N546" t="s">
        <v>7</v>
      </c>
      <c r="P546">
        <f t="shared" si="984"/>
        <v>0.61194029850745635</v>
      </c>
      <c r="Q546">
        <f t="shared" si="985"/>
        <v>994201.02641790011</v>
      </c>
      <c r="R546">
        <f t="shared" si="986"/>
        <v>-116570211.93123849</v>
      </c>
      <c r="S546">
        <f t="shared" si="987"/>
        <v>-1165.7021193123849</v>
      </c>
      <c r="T546">
        <f t="shared" si="988"/>
        <v>-1.1657021193123849</v>
      </c>
    </row>
    <row r="547" spans="1:20" x14ac:dyDescent="0.25">
      <c r="A547" s="5">
        <v>44046</v>
      </c>
      <c r="B547">
        <v>0.21759999999999999</v>
      </c>
      <c r="C547">
        <v>0.22409999999999999</v>
      </c>
      <c r="D547">
        <v>0.2172</v>
      </c>
      <c r="E547">
        <v>0.22170000000000001</v>
      </c>
      <c r="F547">
        <v>1453748.67</v>
      </c>
      <c r="G547">
        <v>0</v>
      </c>
      <c r="L547" t="s">
        <v>7</v>
      </c>
      <c r="M547" t="s">
        <v>8</v>
      </c>
      <c r="N547" t="s">
        <v>7</v>
      </c>
      <c r="P547">
        <f t="shared" si="984"/>
        <v>0.30434782608695965</v>
      </c>
      <c r="Q547">
        <f t="shared" si="985"/>
        <v>442445.24739130889</v>
      </c>
      <c r="R547">
        <f t="shared" si="986"/>
        <v>-117564412.95765638</v>
      </c>
      <c r="S547">
        <f t="shared" si="987"/>
        <v>-1175.6441295765637</v>
      </c>
      <c r="T547">
        <f t="shared" si="988"/>
        <v>-1.1756441295765638</v>
      </c>
    </row>
    <row r="548" spans="1:20" x14ac:dyDescent="0.25">
      <c r="A548" s="5">
        <v>44045</v>
      </c>
      <c r="B548">
        <v>0.22359999999999999</v>
      </c>
      <c r="C548">
        <v>0.23799999999999999</v>
      </c>
      <c r="D548">
        <v>0.21299999999999999</v>
      </c>
      <c r="E548">
        <v>0.2177</v>
      </c>
      <c r="F548">
        <v>4249778.2</v>
      </c>
      <c r="G548">
        <v>0</v>
      </c>
      <c r="L548" t="s">
        <v>7</v>
      </c>
      <c r="M548" t="s">
        <v>8</v>
      </c>
      <c r="N548" t="s">
        <v>7</v>
      </c>
      <c r="P548">
        <f t="shared" si="984"/>
        <v>-0.62399999999999911</v>
      </c>
      <c r="Q548">
        <f t="shared" si="985"/>
        <v>-2651861.5967999962</v>
      </c>
      <c r="R548">
        <f t="shared" si="986"/>
        <v>-118006858.2050477</v>
      </c>
      <c r="S548">
        <f t="shared" si="987"/>
        <v>-1180.0685820504771</v>
      </c>
      <c r="T548">
        <f t="shared" si="988"/>
        <v>-1.180068582050477</v>
      </c>
    </row>
    <row r="549" spans="1:20" x14ac:dyDescent="0.25">
      <c r="A549" s="5">
        <v>44044</v>
      </c>
      <c r="B549">
        <v>0.2235</v>
      </c>
      <c r="C549">
        <v>0.2311</v>
      </c>
      <c r="D549">
        <v>0.22189999999999999</v>
      </c>
      <c r="E549">
        <v>0.22370000000000001</v>
      </c>
      <c r="F549">
        <v>2275967.98</v>
      </c>
      <c r="G549">
        <v>0</v>
      </c>
      <c r="L549" t="s">
        <v>7</v>
      </c>
      <c r="M549" t="s">
        <v>8</v>
      </c>
      <c r="N549" t="s">
        <v>7</v>
      </c>
      <c r="P549">
        <f t="shared" si="984"/>
        <v>-0.60869565217390842</v>
      </c>
      <c r="Q549">
        <f t="shared" si="985"/>
        <v>-1385371.8139130329</v>
      </c>
      <c r="R549">
        <f t="shared" si="986"/>
        <v>-115354996.6082477</v>
      </c>
      <c r="S549">
        <f t="shared" si="987"/>
        <v>-1153.5499660824769</v>
      </c>
      <c r="T549">
        <f t="shared" si="988"/>
        <v>-1.1535499660824768</v>
      </c>
    </row>
    <row r="550" spans="1:20" x14ac:dyDescent="0.25">
      <c r="A550" s="5">
        <v>44043</v>
      </c>
      <c r="B550">
        <v>0.2271</v>
      </c>
      <c r="C550">
        <v>0.23150000000000001</v>
      </c>
      <c r="D550">
        <v>0.2218</v>
      </c>
      <c r="E550">
        <v>0.2235</v>
      </c>
      <c r="F550">
        <v>1869195.63</v>
      </c>
      <c r="G550">
        <v>0</v>
      </c>
      <c r="L550" t="s">
        <v>7</v>
      </c>
      <c r="M550" t="s">
        <v>8</v>
      </c>
      <c r="N550" t="s">
        <v>7</v>
      </c>
      <c r="P550">
        <f t="shared" si="984"/>
        <v>-0.64948453608247325</v>
      </c>
      <c r="Q550">
        <f t="shared" si="985"/>
        <v>-1214013.6565979363</v>
      </c>
      <c r="R550">
        <f t="shared" si="986"/>
        <v>-113969624.79433466</v>
      </c>
      <c r="S550">
        <f t="shared" si="987"/>
        <v>-1139.6962479433466</v>
      </c>
      <c r="T550">
        <f t="shared" si="988"/>
        <v>-1.1396962479433466</v>
      </c>
    </row>
    <row r="551" spans="1:20" x14ac:dyDescent="0.25">
      <c r="A551" s="5">
        <v>44042</v>
      </c>
      <c r="B551">
        <v>0.2389</v>
      </c>
      <c r="C551">
        <v>0.23899999999999999</v>
      </c>
      <c r="D551">
        <v>0.223</v>
      </c>
      <c r="E551">
        <v>0.22620000000000001</v>
      </c>
      <c r="F551">
        <v>2336066.9700000002</v>
      </c>
      <c r="G551">
        <v>0</v>
      </c>
      <c r="L551" t="s">
        <v>7</v>
      </c>
      <c r="M551" t="s">
        <v>8</v>
      </c>
      <c r="N551" t="s">
        <v>7</v>
      </c>
      <c r="P551">
        <f t="shared" si="984"/>
        <v>-0.59999999999999865</v>
      </c>
      <c r="Q551">
        <f t="shared" si="985"/>
        <v>-1401640.181999997</v>
      </c>
      <c r="R551">
        <f t="shared" si="986"/>
        <v>-112755611.13773672</v>
      </c>
      <c r="S551">
        <f t="shared" si="987"/>
        <v>-1127.5561113773672</v>
      </c>
      <c r="T551">
        <f t="shared" si="988"/>
        <v>-1.1275561113773671</v>
      </c>
    </row>
    <row r="552" spans="1:20" x14ac:dyDescent="0.25">
      <c r="A552" s="5">
        <v>44041</v>
      </c>
      <c r="B552">
        <v>0.2344</v>
      </c>
      <c r="C552">
        <v>0.24660000000000001</v>
      </c>
      <c r="D552">
        <v>0.2319</v>
      </c>
      <c r="E552">
        <v>0.2389</v>
      </c>
      <c r="F552">
        <v>3790084.09</v>
      </c>
      <c r="G552">
        <v>0</v>
      </c>
      <c r="L552" t="s">
        <v>8</v>
      </c>
      <c r="M552" t="s">
        <v>8</v>
      </c>
      <c r="N552" t="s">
        <v>7</v>
      </c>
      <c r="P552">
        <f t="shared" si="984"/>
        <v>-4.7619047619047977E-2</v>
      </c>
      <c r="Q552">
        <f t="shared" si="985"/>
        <v>-180480.19476190611</v>
      </c>
      <c r="R552">
        <f t="shared" si="986"/>
        <v>-111353970.95573673</v>
      </c>
      <c r="S552">
        <f t="shared" si="987"/>
        <v>-1113.5397095573674</v>
      </c>
      <c r="T552">
        <f t="shared" si="988"/>
        <v>-1.1135397095573674</v>
      </c>
    </row>
    <row r="553" spans="1:20" x14ac:dyDescent="0.25">
      <c r="A553" s="5">
        <v>44040</v>
      </c>
      <c r="B553">
        <v>0.22070000000000001</v>
      </c>
      <c r="C553">
        <v>0.24</v>
      </c>
      <c r="D553">
        <v>0.2145</v>
      </c>
      <c r="E553">
        <v>0.2336</v>
      </c>
      <c r="F553">
        <v>5687135.0499999998</v>
      </c>
      <c r="G553">
        <v>0</v>
      </c>
      <c r="L553" t="s">
        <v>7</v>
      </c>
      <c r="M553" t="s">
        <v>8</v>
      </c>
      <c r="N553" t="s">
        <v>7</v>
      </c>
      <c r="P553">
        <f t="shared" si="984"/>
        <v>0.49803921568627529</v>
      </c>
      <c r="Q553">
        <f t="shared" si="985"/>
        <v>2832416.2798039261</v>
      </c>
      <c r="R553">
        <f t="shared" si="986"/>
        <v>-111173490.76097482</v>
      </c>
      <c r="S553">
        <f t="shared" si="987"/>
        <v>-1111.7349076097482</v>
      </c>
      <c r="T553">
        <f t="shared" si="988"/>
        <v>-1.1117349076097482</v>
      </c>
    </row>
    <row r="554" spans="1:20" x14ac:dyDescent="0.25">
      <c r="A554" s="5">
        <v>44039</v>
      </c>
      <c r="B554">
        <v>0.21679999999999999</v>
      </c>
      <c r="C554">
        <v>0.24890000000000001</v>
      </c>
      <c r="D554">
        <v>0.21049999999999999</v>
      </c>
      <c r="E554">
        <v>0.22070000000000001</v>
      </c>
      <c r="F554">
        <v>9540446.3100000005</v>
      </c>
      <c r="G554">
        <v>0</v>
      </c>
      <c r="L554" t="s">
        <v>8</v>
      </c>
      <c r="M554" t="s">
        <v>8</v>
      </c>
      <c r="N554" t="s">
        <v>7</v>
      </c>
      <c r="P554">
        <f t="shared" si="984"/>
        <v>-0.4687499999999995</v>
      </c>
      <c r="Q554">
        <f t="shared" si="985"/>
        <v>-4472084.2078124955</v>
      </c>
      <c r="R554">
        <f t="shared" si="986"/>
        <v>-114005907.04077876</v>
      </c>
      <c r="S554">
        <f t="shared" si="987"/>
        <v>-1140.0590704077877</v>
      </c>
      <c r="T554">
        <f t="shared" si="988"/>
        <v>-1.1400590704077878</v>
      </c>
    </row>
    <row r="555" spans="1:20" x14ac:dyDescent="0.25">
      <c r="A555" s="5">
        <v>44038</v>
      </c>
      <c r="B555">
        <v>0.2238</v>
      </c>
      <c r="C555">
        <v>0.22420000000000001</v>
      </c>
      <c r="D555">
        <v>0.2097</v>
      </c>
      <c r="E555">
        <v>0.21679999999999999</v>
      </c>
      <c r="F555">
        <v>2470704.19</v>
      </c>
      <c r="G555">
        <v>0</v>
      </c>
      <c r="L555" t="s">
        <v>7</v>
      </c>
      <c r="M555" t="s">
        <v>7</v>
      </c>
      <c r="N555" t="s">
        <v>7</v>
      </c>
      <c r="P555">
        <f t="shared" si="984"/>
        <v>-2.0689655172415323E-2</v>
      </c>
      <c r="Q555">
        <f t="shared" si="985"/>
        <v>-51118.017724141711</v>
      </c>
      <c r="R555">
        <f t="shared" si="986"/>
        <v>-109533822.83296627</v>
      </c>
      <c r="S555">
        <f t="shared" si="987"/>
        <v>-1095.3382283296626</v>
      </c>
      <c r="T555">
        <f t="shared" si="988"/>
        <v>-1.0953382283296627</v>
      </c>
    </row>
    <row r="556" spans="1:20" x14ac:dyDescent="0.25">
      <c r="A556" s="5">
        <v>44037</v>
      </c>
      <c r="B556">
        <v>0.2235</v>
      </c>
      <c r="C556">
        <v>0.22900000000000001</v>
      </c>
      <c r="D556">
        <v>0.222</v>
      </c>
      <c r="E556">
        <v>0.2238</v>
      </c>
      <c r="F556">
        <v>1407455.98</v>
      </c>
      <c r="G556">
        <v>0</v>
      </c>
      <c r="L556" t="s">
        <v>7</v>
      </c>
      <c r="M556" t="s">
        <v>7</v>
      </c>
      <c r="N556" t="s">
        <v>7</v>
      </c>
      <c r="P556">
        <f t="shared" si="984"/>
        <v>-0.48571428571428732</v>
      </c>
      <c r="Q556">
        <f t="shared" si="985"/>
        <v>-683621.47600000224</v>
      </c>
      <c r="R556">
        <f t="shared" si="986"/>
        <v>-109482704.81524213</v>
      </c>
      <c r="S556">
        <f t="shared" si="987"/>
        <v>-1094.8270481524212</v>
      </c>
      <c r="T556">
        <f t="shared" si="988"/>
        <v>-1.0948270481524212</v>
      </c>
    </row>
    <row r="557" spans="1:20" x14ac:dyDescent="0.25">
      <c r="A557" s="5">
        <v>44036</v>
      </c>
      <c r="B557">
        <v>0.22359999999999999</v>
      </c>
      <c r="C557">
        <v>0.23269999999999999</v>
      </c>
      <c r="D557">
        <v>0.2225</v>
      </c>
      <c r="E557">
        <v>0.2235</v>
      </c>
      <c r="F557">
        <v>1927515.62</v>
      </c>
      <c r="G557">
        <v>0</v>
      </c>
      <c r="L557" t="s">
        <v>7</v>
      </c>
      <c r="M557" t="s">
        <v>7</v>
      </c>
      <c r="N557" t="s">
        <v>7</v>
      </c>
      <c r="P557">
        <f t="shared" si="984"/>
        <v>-0.80392156862745057</v>
      </c>
      <c r="Q557">
        <f t="shared" si="985"/>
        <v>-1549571.380784313</v>
      </c>
      <c r="R557">
        <f t="shared" si="986"/>
        <v>-108799083.33924213</v>
      </c>
      <c r="S557">
        <f t="shared" si="987"/>
        <v>-1087.9908333924213</v>
      </c>
      <c r="T557">
        <f t="shared" si="988"/>
        <v>-1.0879908333924213</v>
      </c>
    </row>
    <row r="558" spans="1:20" x14ac:dyDescent="0.25">
      <c r="A558" s="5">
        <v>44035</v>
      </c>
      <c r="B558">
        <v>0.22700000000000001</v>
      </c>
      <c r="C558">
        <v>0.22950000000000001</v>
      </c>
      <c r="D558">
        <v>0.2218</v>
      </c>
      <c r="E558">
        <v>0.22370000000000001</v>
      </c>
      <c r="F558">
        <v>2243546.9900000002</v>
      </c>
      <c r="G558">
        <v>0</v>
      </c>
      <c r="L558" t="s">
        <v>7</v>
      </c>
      <c r="M558" t="s">
        <v>7</v>
      </c>
      <c r="N558" t="s">
        <v>7</v>
      </c>
      <c r="P558">
        <f t="shared" si="984"/>
        <v>-0.506493506493504</v>
      </c>
      <c r="Q558">
        <f t="shared" si="985"/>
        <v>-1136341.9819480465</v>
      </c>
      <c r="R558">
        <f t="shared" si="986"/>
        <v>-107249511.95845781</v>
      </c>
      <c r="S558">
        <f t="shared" si="987"/>
        <v>-1072.4951195845781</v>
      </c>
      <c r="T558">
        <f t="shared" si="988"/>
        <v>-1.0724951195845782</v>
      </c>
    </row>
    <row r="559" spans="1:20" x14ac:dyDescent="0.25">
      <c r="A559" s="5">
        <v>44034</v>
      </c>
      <c r="B559">
        <v>0.23130000000000001</v>
      </c>
      <c r="C559">
        <v>0.23749999999999999</v>
      </c>
      <c r="D559">
        <v>0.22470000000000001</v>
      </c>
      <c r="E559">
        <v>0.22750000000000001</v>
      </c>
      <c r="F559">
        <v>5081818.41</v>
      </c>
      <c r="G559">
        <v>0</v>
      </c>
      <c r="L559" t="s">
        <v>7</v>
      </c>
      <c r="M559" t="s">
        <v>7</v>
      </c>
      <c r="N559" t="s">
        <v>7</v>
      </c>
      <c r="P559">
        <f t="shared" si="984"/>
        <v>-0.56249999999999978</v>
      </c>
      <c r="Q559">
        <f t="shared" si="985"/>
        <v>-2858522.8556249989</v>
      </c>
      <c r="R559">
        <f t="shared" si="986"/>
        <v>-106113169.97650976</v>
      </c>
      <c r="S559">
        <f t="shared" si="987"/>
        <v>-1061.1316997650977</v>
      </c>
      <c r="T559">
        <f t="shared" si="988"/>
        <v>-1.0611316997650977</v>
      </c>
    </row>
    <row r="560" spans="1:20" x14ac:dyDescent="0.25">
      <c r="A560" s="5">
        <v>44033</v>
      </c>
      <c r="B560">
        <v>0.21609999999999999</v>
      </c>
      <c r="C560">
        <v>0.28489999999999999</v>
      </c>
      <c r="D560">
        <v>0.2135</v>
      </c>
      <c r="E560">
        <v>0.2321</v>
      </c>
      <c r="F560">
        <v>20798775.420000002</v>
      </c>
      <c r="G560">
        <v>0</v>
      </c>
      <c r="L560" t="s">
        <v>8</v>
      </c>
      <c r="M560" t="s">
        <v>8</v>
      </c>
      <c r="N560" t="s">
        <v>7</v>
      </c>
      <c r="P560">
        <f t="shared" si="984"/>
        <v>-0.47899159663865526</v>
      </c>
      <c r="Q560">
        <f t="shared" si="985"/>
        <v>-9962438.6465546191</v>
      </c>
      <c r="R560">
        <f t="shared" si="986"/>
        <v>-103254647.12088476</v>
      </c>
      <c r="S560">
        <f t="shared" si="987"/>
        <v>-1032.5464712088476</v>
      </c>
      <c r="T560">
        <f t="shared" si="988"/>
        <v>-1.0325464712088477</v>
      </c>
    </row>
    <row r="561" spans="1:104" x14ac:dyDescent="0.25">
      <c r="A561" s="5">
        <v>44032</v>
      </c>
      <c r="B561">
        <v>0.2132</v>
      </c>
      <c r="C561">
        <v>0.2203</v>
      </c>
      <c r="D561">
        <v>0.21010000000000001</v>
      </c>
      <c r="E561">
        <v>0.21609999999999999</v>
      </c>
      <c r="F561">
        <v>3000695.55</v>
      </c>
      <c r="G561">
        <v>0</v>
      </c>
      <c r="L561" t="s">
        <v>7</v>
      </c>
      <c r="M561" t="s">
        <v>8</v>
      </c>
      <c r="N561" t="s">
        <v>7</v>
      </c>
      <c r="P561">
        <f t="shared" si="984"/>
        <v>0.17647058823529124</v>
      </c>
      <c r="Q561">
        <f t="shared" si="985"/>
        <v>529534.50882352074</v>
      </c>
      <c r="R561">
        <f t="shared" si="986"/>
        <v>-93292208.474330142</v>
      </c>
      <c r="S561">
        <f t="shared" si="987"/>
        <v>-932.92208474330141</v>
      </c>
      <c r="T561">
        <f t="shared" si="988"/>
        <v>-0.93292208474330141</v>
      </c>
      <c r="CZ561" t="s">
        <v>7</v>
      </c>
    </row>
    <row r="562" spans="1:104" x14ac:dyDescent="0.25">
      <c r="A562" s="5">
        <v>44031</v>
      </c>
      <c r="B562">
        <v>0.2109</v>
      </c>
      <c r="C562">
        <v>0.21859999999999999</v>
      </c>
      <c r="D562">
        <v>0.21049999999999999</v>
      </c>
      <c r="E562">
        <v>0.2132</v>
      </c>
      <c r="F562">
        <v>1280028.07</v>
      </c>
      <c r="G562">
        <v>0</v>
      </c>
      <c r="L562" t="s">
        <v>7</v>
      </c>
      <c r="M562" t="s">
        <v>8</v>
      </c>
      <c r="N562" t="s">
        <v>7</v>
      </c>
      <c r="P562">
        <f t="shared" si="984"/>
        <v>-0.33333333333333104</v>
      </c>
      <c r="Q562">
        <f t="shared" si="985"/>
        <v>-426676.02333333041</v>
      </c>
      <c r="R562">
        <f t="shared" si="986"/>
        <v>-93821742.983153656</v>
      </c>
      <c r="S562">
        <f t="shared" si="987"/>
        <v>-938.21742983153661</v>
      </c>
      <c r="T562">
        <f t="shared" si="988"/>
        <v>-0.93821742983153655</v>
      </c>
      <c r="CZ562" t="s">
        <v>7</v>
      </c>
    </row>
    <row r="563" spans="1:104" x14ac:dyDescent="0.25">
      <c r="A563" s="5">
        <v>44030</v>
      </c>
      <c r="B563">
        <v>0.21060000000000001</v>
      </c>
      <c r="C563">
        <v>0.21340000000000001</v>
      </c>
      <c r="D563">
        <v>0.20849999999999999</v>
      </c>
      <c r="E563">
        <v>0.2109</v>
      </c>
      <c r="F563">
        <v>600935.89</v>
      </c>
      <c r="G563">
        <v>0</v>
      </c>
      <c r="L563" t="s">
        <v>7</v>
      </c>
      <c r="M563" t="s">
        <v>8</v>
      </c>
      <c r="N563" t="s">
        <v>7</v>
      </c>
      <c r="P563">
        <f t="shared" si="984"/>
        <v>-2.040816326530381E-2</v>
      </c>
      <c r="Q563">
        <f t="shared" si="985"/>
        <v>-12263.997755100652</v>
      </c>
      <c r="R563">
        <f t="shared" si="986"/>
        <v>-93395066.95982033</v>
      </c>
      <c r="S563">
        <f t="shared" si="987"/>
        <v>-933.95066959820326</v>
      </c>
      <c r="T563">
        <f t="shared" si="988"/>
        <v>-0.93395066959820328</v>
      </c>
      <c r="CZ563" t="s">
        <v>7</v>
      </c>
    </row>
    <row r="564" spans="1:104" x14ac:dyDescent="0.25">
      <c r="A564" s="5">
        <v>44029</v>
      </c>
      <c r="B564">
        <v>0.21229999999999999</v>
      </c>
      <c r="C564">
        <v>0.2142</v>
      </c>
      <c r="D564">
        <v>0.20699999999999999</v>
      </c>
      <c r="E564">
        <v>0.2114</v>
      </c>
      <c r="F564">
        <v>1075776.83</v>
      </c>
      <c r="G564">
        <v>0</v>
      </c>
      <c r="L564" t="s">
        <v>7</v>
      </c>
      <c r="M564" t="s">
        <v>8</v>
      </c>
      <c r="N564" t="s">
        <v>7</v>
      </c>
      <c r="P564">
        <f t="shared" si="984"/>
        <v>0.22222222222222437</v>
      </c>
      <c r="Q564">
        <f t="shared" si="985"/>
        <v>239061.5177777801</v>
      </c>
      <c r="R564">
        <f t="shared" si="986"/>
        <v>-93382802.962065235</v>
      </c>
      <c r="S564">
        <f t="shared" si="987"/>
        <v>-933.82802962065239</v>
      </c>
      <c r="T564">
        <f t="shared" si="988"/>
        <v>-0.93382802962065237</v>
      </c>
    </row>
    <row r="565" spans="1:104" x14ac:dyDescent="0.25">
      <c r="A565" s="5">
        <v>44028</v>
      </c>
      <c r="B565">
        <v>0.21820000000000001</v>
      </c>
      <c r="C565">
        <v>0.219</v>
      </c>
      <c r="D565">
        <v>0.20530000000000001</v>
      </c>
      <c r="E565">
        <v>0.2112</v>
      </c>
      <c r="F565">
        <v>1249718.28</v>
      </c>
      <c r="G565">
        <v>0</v>
      </c>
      <c r="L565" t="s">
        <v>7</v>
      </c>
      <c r="M565" t="s">
        <v>8</v>
      </c>
      <c r="N565" t="s">
        <v>7</v>
      </c>
      <c r="P565">
        <f t="shared" si="984"/>
        <v>-0.13868613138686234</v>
      </c>
      <c r="Q565">
        <f t="shared" si="985"/>
        <v>-173318.59357664362</v>
      </c>
      <c r="R565">
        <f t="shared" si="986"/>
        <v>-93621864.47984302</v>
      </c>
      <c r="S565">
        <f t="shared" si="987"/>
        <v>-936.2186447984302</v>
      </c>
      <c r="T565">
        <f t="shared" si="988"/>
        <v>-0.9362186447984302</v>
      </c>
    </row>
    <row r="566" spans="1:104" x14ac:dyDescent="0.25">
      <c r="A566" s="5">
        <v>44027</v>
      </c>
      <c r="B566">
        <v>0.2175</v>
      </c>
      <c r="C566">
        <v>0.22239999999999999</v>
      </c>
      <c r="D566">
        <v>0.215</v>
      </c>
      <c r="E566">
        <v>0.21890000000000001</v>
      </c>
      <c r="F566">
        <v>1077171.26</v>
      </c>
      <c r="G566">
        <v>0</v>
      </c>
      <c r="L566" t="s">
        <v>7</v>
      </c>
      <c r="M566" t="s">
        <v>8</v>
      </c>
      <c r="N566" t="s">
        <v>7</v>
      </c>
      <c r="P566">
        <f t="shared" si="984"/>
        <v>5.4054054054059428E-2</v>
      </c>
      <c r="Q566">
        <f t="shared" si="985"/>
        <v>58225.473513519304</v>
      </c>
      <c r="R566">
        <f t="shared" si="986"/>
        <v>-93448545.886266381</v>
      </c>
      <c r="S566">
        <f t="shared" si="987"/>
        <v>-934.48545886266379</v>
      </c>
      <c r="T566">
        <f t="shared" si="988"/>
        <v>-0.93448545886266376</v>
      </c>
    </row>
    <row r="567" spans="1:104" x14ac:dyDescent="0.25">
      <c r="A567" s="5">
        <v>44026</v>
      </c>
      <c r="B567">
        <v>0.2223</v>
      </c>
      <c r="C567">
        <v>0.2223</v>
      </c>
      <c r="D567">
        <v>0.214</v>
      </c>
      <c r="E567">
        <v>0.21829999999999999</v>
      </c>
      <c r="F567">
        <v>1563477.09</v>
      </c>
      <c r="G567">
        <v>0</v>
      </c>
      <c r="L567" t="s">
        <v>7</v>
      </c>
      <c r="M567" t="s">
        <v>8</v>
      </c>
      <c r="N567" t="s">
        <v>7</v>
      </c>
      <c r="P567">
        <f t="shared" si="984"/>
        <v>3.6144578313252365E-2</v>
      </c>
      <c r="Q567">
        <f t="shared" si="985"/>
        <v>56511.220120480917</v>
      </c>
      <c r="R567">
        <f t="shared" si="986"/>
        <v>-93506771.359779894</v>
      </c>
      <c r="S567">
        <f t="shared" si="987"/>
        <v>-935.06771359779896</v>
      </c>
      <c r="T567">
        <f t="shared" si="988"/>
        <v>-0.93506771359779894</v>
      </c>
    </row>
    <row r="568" spans="1:104" x14ac:dyDescent="0.25">
      <c r="A568" s="5">
        <v>44025</v>
      </c>
      <c r="B568">
        <v>0.22700000000000001</v>
      </c>
      <c r="C568">
        <v>0.22900000000000001</v>
      </c>
      <c r="D568">
        <v>0.22109999999999999</v>
      </c>
      <c r="E568">
        <v>0.22289999999999999</v>
      </c>
      <c r="F568">
        <v>823597.04</v>
      </c>
      <c r="G568">
        <v>0</v>
      </c>
      <c r="L568" t="s">
        <v>7</v>
      </c>
      <c r="M568" t="s">
        <v>8</v>
      </c>
      <c r="N568" t="s">
        <v>7</v>
      </c>
      <c r="P568">
        <f t="shared" si="984"/>
        <v>-0.54430379746835644</v>
      </c>
      <c r="Q568">
        <f t="shared" si="985"/>
        <v>-448286.99645569787</v>
      </c>
      <c r="R568">
        <f t="shared" si="986"/>
        <v>-93563282.579900369</v>
      </c>
      <c r="S568">
        <f t="shared" si="987"/>
        <v>-935.63282579900374</v>
      </c>
      <c r="T568">
        <f t="shared" si="988"/>
        <v>-0.93563282579900375</v>
      </c>
    </row>
    <row r="569" spans="1:104" x14ac:dyDescent="0.25">
      <c r="A569" s="5">
        <v>44024</v>
      </c>
      <c r="B569">
        <v>0.23419999999999999</v>
      </c>
      <c r="C569">
        <v>0.2349</v>
      </c>
      <c r="D569">
        <v>0.2228</v>
      </c>
      <c r="E569">
        <v>0.2271</v>
      </c>
      <c r="F569">
        <v>1112837.45</v>
      </c>
      <c r="G569">
        <v>0</v>
      </c>
      <c r="L569" t="s">
        <v>8</v>
      </c>
      <c r="M569" t="s">
        <v>8</v>
      </c>
      <c r="N569" t="s">
        <v>7</v>
      </c>
      <c r="P569">
        <f t="shared" si="984"/>
        <v>-0.2892561983471077</v>
      </c>
      <c r="Q569">
        <f t="shared" si="985"/>
        <v>-321895.13016528951</v>
      </c>
      <c r="R569">
        <f t="shared" si="986"/>
        <v>-93114995.58344467</v>
      </c>
      <c r="S569">
        <f t="shared" si="987"/>
        <v>-931.1499558344467</v>
      </c>
      <c r="T569">
        <f t="shared" si="988"/>
        <v>-0.93114995583444671</v>
      </c>
    </row>
    <row r="570" spans="1:104" x14ac:dyDescent="0.25">
      <c r="A570" s="5">
        <v>44023</v>
      </c>
      <c r="B570">
        <v>0.2316</v>
      </c>
      <c r="C570">
        <v>0.23769999999999999</v>
      </c>
      <c r="D570">
        <v>0.2286</v>
      </c>
      <c r="E570">
        <v>0.2349</v>
      </c>
      <c r="F570">
        <v>1862698.7</v>
      </c>
      <c r="G570">
        <v>0</v>
      </c>
      <c r="L570" t="s">
        <v>8</v>
      </c>
      <c r="M570" t="s">
        <v>8</v>
      </c>
      <c r="N570" t="s">
        <v>7</v>
      </c>
      <c r="P570">
        <f t="shared" si="984"/>
        <v>0.38461538461538508</v>
      </c>
      <c r="Q570">
        <f t="shared" si="985"/>
        <v>716422.57692307781</v>
      </c>
      <c r="R570">
        <f t="shared" si="986"/>
        <v>-92793100.453279376</v>
      </c>
      <c r="S570">
        <f t="shared" si="987"/>
        <v>-927.93100453279374</v>
      </c>
      <c r="T570">
        <f t="shared" si="988"/>
        <v>-0.92793100453279376</v>
      </c>
    </row>
    <row r="571" spans="1:104" x14ac:dyDescent="0.25">
      <c r="A571" s="5">
        <v>44022</v>
      </c>
      <c r="B571">
        <v>0.218</v>
      </c>
      <c r="C571">
        <v>0.23980000000000001</v>
      </c>
      <c r="D571">
        <v>0.21579999999999999</v>
      </c>
      <c r="E571">
        <v>0.23150000000000001</v>
      </c>
      <c r="F571">
        <v>3280570.76</v>
      </c>
      <c r="G571">
        <v>0</v>
      </c>
      <c r="L571" t="s">
        <v>8</v>
      </c>
      <c r="M571" t="s">
        <v>8</v>
      </c>
      <c r="N571" t="s">
        <v>7</v>
      </c>
      <c r="P571">
        <f t="shared" si="984"/>
        <v>0.30833333333333379</v>
      </c>
      <c r="Q571">
        <f t="shared" si="985"/>
        <v>1011509.3176666681</v>
      </c>
      <c r="R571">
        <f t="shared" si="986"/>
        <v>-93509523.030202448</v>
      </c>
      <c r="S571">
        <f t="shared" si="987"/>
        <v>-935.09523030202445</v>
      </c>
      <c r="T571">
        <f t="shared" si="988"/>
        <v>-0.93509523030202446</v>
      </c>
    </row>
    <row r="572" spans="1:104" x14ac:dyDescent="0.25">
      <c r="A572" s="5">
        <v>44021</v>
      </c>
      <c r="B572">
        <v>0.2185</v>
      </c>
      <c r="C572">
        <v>0.2273</v>
      </c>
      <c r="D572">
        <v>0.21099999999999999</v>
      </c>
      <c r="E572">
        <v>0.218</v>
      </c>
      <c r="F572">
        <v>2410541.92</v>
      </c>
      <c r="G572">
        <v>0</v>
      </c>
      <c r="L572" t="s">
        <v>7</v>
      </c>
      <c r="M572" t="s">
        <v>7</v>
      </c>
      <c r="N572" t="s">
        <v>7</v>
      </c>
      <c r="P572">
        <f t="shared" si="984"/>
        <v>-0.14110429447852732</v>
      </c>
      <c r="Q572">
        <f t="shared" si="985"/>
        <v>-340137.81693251466</v>
      </c>
      <c r="R572">
        <f t="shared" si="986"/>
        <v>-94521032.347869113</v>
      </c>
      <c r="S572">
        <f t="shared" si="987"/>
        <v>-945.21032347869118</v>
      </c>
      <c r="T572">
        <f t="shared" si="988"/>
        <v>-0.94521032347869116</v>
      </c>
    </row>
    <row r="573" spans="1:104" x14ac:dyDescent="0.25">
      <c r="A573" s="5">
        <v>44020</v>
      </c>
      <c r="B573">
        <v>0.21679999999999999</v>
      </c>
      <c r="C573">
        <v>0.22189999999999999</v>
      </c>
      <c r="D573">
        <v>0.2145</v>
      </c>
      <c r="E573">
        <v>0.21879999999999999</v>
      </c>
      <c r="F573">
        <v>1515800.98</v>
      </c>
      <c r="G573">
        <v>0</v>
      </c>
      <c r="L573" t="s">
        <v>8</v>
      </c>
      <c r="M573" t="s">
        <v>7</v>
      </c>
      <c r="N573" t="s">
        <v>7</v>
      </c>
      <c r="P573">
        <f t="shared" si="984"/>
        <v>0.16216216216216328</v>
      </c>
      <c r="Q573">
        <f t="shared" si="985"/>
        <v>245805.56432432603</v>
      </c>
      <c r="R573">
        <f t="shared" si="986"/>
        <v>-94180894.530936599</v>
      </c>
      <c r="S573">
        <f t="shared" si="987"/>
        <v>-941.80894530936598</v>
      </c>
      <c r="T573">
        <f t="shared" si="988"/>
        <v>-0.94180894530936599</v>
      </c>
    </row>
    <row r="574" spans="1:104" x14ac:dyDescent="0.25">
      <c r="A574" s="5">
        <v>44019</v>
      </c>
      <c r="B574">
        <v>0.22450000000000001</v>
      </c>
      <c r="C574">
        <v>0.22450000000000001</v>
      </c>
      <c r="D574">
        <v>0.2137</v>
      </c>
      <c r="E574">
        <v>0.21609999999999999</v>
      </c>
      <c r="F574">
        <v>1005220.97</v>
      </c>
      <c r="G574">
        <v>0</v>
      </c>
      <c r="L574" t="s">
        <v>8</v>
      </c>
      <c r="M574" t="s">
        <v>7</v>
      </c>
      <c r="N574" t="s">
        <v>7</v>
      </c>
      <c r="P574">
        <f t="shared" si="984"/>
        <v>-0.55555555555555836</v>
      </c>
      <c r="Q574">
        <f t="shared" si="985"/>
        <v>-558456.0944444472</v>
      </c>
      <c r="R574">
        <f t="shared" si="986"/>
        <v>-94426700.095260918</v>
      </c>
      <c r="S574">
        <f t="shared" si="987"/>
        <v>-944.26700095260924</v>
      </c>
      <c r="T574">
        <f t="shared" si="988"/>
        <v>-0.94426700095260929</v>
      </c>
    </row>
    <row r="575" spans="1:104" x14ac:dyDescent="0.25">
      <c r="A575" s="5">
        <v>44018</v>
      </c>
      <c r="B575">
        <v>0.20630000000000001</v>
      </c>
      <c r="C575">
        <v>0.22800000000000001</v>
      </c>
      <c r="D575">
        <v>0.20599999999999999</v>
      </c>
      <c r="E575">
        <v>0.2248</v>
      </c>
      <c r="F575">
        <v>1864641.84</v>
      </c>
      <c r="G575">
        <v>0</v>
      </c>
      <c r="L575" t="s">
        <v>8</v>
      </c>
      <c r="M575" t="s">
        <v>7</v>
      </c>
      <c r="N575" t="s">
        <v>7</v>
      </c>
      <c r="P575">
        <f t="shared" si="984"/>
        <v>0.70909090909090855</v>
      </c>
      <c r="Q575">
        <f t="shared" si="985"/>
        <v>1322200.5774545446</v>
      </c>
      <c r="R575">
        <f t="shared" si="986"/>
        <v>-93868244.000816464</v>
      </c>
      <c r="S575">
        <f t="shared" si="987"/>
        <v>-938.68244000816469</v>
      </c>
      <c r="T575">
        <f t="shared" si="988"/>
        <v>-0.9386824400081647</v>
      </c>
    </row>
    <row r="576" spans="1:104" x14ac:dyDescent="0.25">
      <c r="A576" s="5">
        <v>44017</v>
      </c>
      <c r="B576">
        <v>0.2104</v>
      </c>
      <c r="C576">
        <v>0.21190000000000001</v>
      </c>
      <c r="D576">
        <v>0.2036</v>
      </c>
      <c r="E576">
        <v>0.20660000000000001</v>
      </c>
      <c r="F576">
        <v>1162781.21</v>
      </c>
      <c r="G576">
        <v>0</v>
      </c>
      <c r="L576" t="s">
        <v>7</v>
      </c>
      <c r="M576" t="s">
        <v>7</v>
      </c>
      <c r="N576" t="s">
        <v>7</v>
      </c>
      <c r="P576">
        <f t="shared" si="984"/>
        <v>-0.27710843373493926</v>
      </c>
      <c r="Q576">
        <f t="shared" si="985"/>
        <v>-322216.47987951746</v>
      </c>
      <c r="R576">
        <f t="shared" si="986"/>
        <v>-95190444.578271016</v>
      </c>
      <c r="S576">
        <f t="shared" si="987"/>
        <v>-951.90444578271013</v>
      </c>
      <c r="T576">
        <f t="shared" si="988"/>
        <v>-0.95190444578271016</v>
      </c>
    </row>
    <row r="577" spans="1:20" x14ac:dyDescent="0.25">
      <c r="A577" s="5">
        <v>44016</v>
      </c>
      <c r="B577">
        <v>0.2074</v>
      </c>
      <c r="C577">
        <v>0.21659999999999999</v>
      </c>
      <c r="D577">
        <v>0.2054</v>
      </c>
      <c r="E577">
        <v>0.2104</v>
      </c>
      <c r="F577">
        <v>1700560.47</v>
      </c>
      <c r="G577">
        <v>0</v>
      </c>
      <c r="L577" t="s">
        <v>7</v>
      </c>
      <c r="M577" t="s">
        <v>7</v>
      </c>
      <c r="N577" t="s">
        <v>7</v>
      </c>
      <c r="P577">
        <f t="shared" si="984"/>
        <v>-0.10714285714285537</v>
      </c>
      <c r="Q577">
        <f t="shared" si="985"/>
        <v>-182202.907499997</v>
      </c>
      <c r="R577">
        <f t="shared" si="986"/>
        <v>-94868228.098391503</v>
      </c>
      <c r="S577">
        <f t="shared" si="987"/>
        <v>-948.68228098391501</v>
      </c>
      <c r="T577">
        <f t="shared" si="988"/>
        <v>-0.94868228098391505</v>
      </c>
    </row>
    <row r="578" spans="1:20" x14ac:dyDescent="0.25">
      <c r="A578" s="5">
        <v>44015</v>
      </c>
      <c r="B578">
        <v>0.2077</v>
      </c>
      <c r="C578">
        <v>0.2099</v>
      </c>
      <c r="D578">
        <v>0.20599999999999999</v>
      </c>
      <c r="E578">
        <v>0.2074</v>
      </c>
      <c r="F578">
        <v>518823.91</v>
      </c>
      <c r="G578">
        <v>0</v>
      </c>
      <c r="L578" t="s">
        <v>7</v>
      </c>
      <c r="M578" t="s">
        <v>7</v>
      </c>
      <c r="N578" t="s">
        <v>7</v>
      </c>
      <c r="P578">
        <f t="shared" si="984"/>
        <v>-0.28205128205127838</v>
      </c>
      <c r="Q578">
        <f t="shared" si="985"/>
        <v>-146334.94897435707</v>
      </c>
      <c r="R578">
        <f t="shared" si="986"/>
        <v>-94686025.190891504</v>
      </c>
      <c r="S578">
        <f t="shared" si="987"/>
        <v>-946.86025190891507</v>
      </c>
      <c r="T578">
        <f t="shared" si="988"/>
        <v>-0.9468602519089151</v>
      </c>
    </row>
    <row r="579" spans="1:20" x14ac:dyDescent="0.25">
      <c r="A579" s="5">
        <v>44014</v>
      </c>
      <c r="B579">
        <v>0.21529999999999999</v>
      </c>
      <c r="C579">
        <v>0.21529999999999999</v>
      </c>
      <c r="D579">
        <v>0.20200000000000001</v>
      </c>
      <c r="E579">
        <v>0.20830000000000001</v>
      </c>
      <c r="F579">
        <v>1184654.79</v>
      </c>
      <c r="G579">
        <v>0</v>
      </c>
      <c r="L579" t="s">
        <v>7</v>
      </c>
      <c r="M579" t="s">
        <v>7</v>
      </c>
      <c r="N579" t="s">
        <v>7</v>
      </c>
      <c r="P579">
        <f t="shared" si="984"/>
        <v>-5.2631578947366885E-2</v>
      </c>
      <c r="Q579">
        <f t="shared" si="985"/>
        <v>-62350.252105261337</v>
      </c>
      <c r="R579">
        <f t="shared" si="986"/>
        <v>-94539690.241917148</v>
      </c>
      <c r="S579">
        <f t="shared" si="987"/>
        <v>-945.39690241917151</v>
      </c>
      <c r="T579">
        <f t="shared" si="988"/>
        <v>-0.94539690241917151</v>
      </c>
    </row>
    <row r="580" spans="1:20" x14ac:dyDescent="0.25">
      <c r="A580" s="5">
        <v>44013</v>
      </c>
      <c r="B580">
        <v>0.21829999999999999</v>
      </c>
      <c r="C580">
        <v>0.21990000000000001</v>
      </c>
      <c r="D580">
        <v>0.21329999999999999</v>
      </c>
      <c r="E580">
        <v>0.214</v>
      </c>
      <c r="F580">
        <v>754441.76</v>
      </c>
      <c r="G580">
        <v>0</v>
      </c>
      <c r="L580" t="s">
        <v>7</v>
      </c>
      <c r="M580" t="s">
        <v>7</v>
      </c>
      <c r="N580" t="s">
        <v>7</v>
      </c>
      <c r="P580">
        <f t="shared" si="984"/>
        <v>-0.78787878787878673</v>
      </c>
      <c r="Q580">
        <f t="shared" si="985"/>
        <v>-594408.65939393849</v>
      </c>
      <c r="R580">
        <f t="shared" si="986"/>
        <v>-94477339.989811882</v>
      </c>
      <c r="S580">
        <f t="shared" si="987"/>
        <v>-944.77339989811878</v>
      </c>
      <c r="T580">
        <f t="shared" si="988"/>
        <v>-0.94477339989811882</v>
      </c>
    </row>
    <row r="581" spans="1:20" x14ac:dyDescent="0.25">
      <c r="A581" s="5">
        <v>44012</v>
      </c>
      <c r="B581">
        <v>0.22289999999999999</v>
      </c>
      <c r="C581">
        <v>0.2238</v>
      </c>
      <c r="D581">
        <v>0.21560000000000001</v>
      </c>
      <c r="E581">
        <v>0.21740000000000001</v>
      </c>
      <c r="F581">
        <v>938770.03</v>
      </c>
      <c r="G581">
        <v>0</v>
      </c>
      <c r="L581" t="s">
        <v>8</v>
      </c>
      <c r="M581" t="s">
        <v>7</v>
      </c>
      <c r="N581" t="s">
        <v>7</v>
      </c>
      <c r="P581">
        <f t="shared" si="984"/>
        <v>-0.56097560975609773</v>
      </c>
      <c r="Q581">
        <f t="shared" si="985"/>
        <v>-526627.0900000002</v>
      </c>
      <c r="R581">
        <f t="shared" si="986"/>
        <v>-93882931.330417946</v>
      </c>
      <c r="S581">
        <f t="shared" si="987"/>
        <v>-938.82931330417944</v>
      </c>
      <c r="T581">
        <f t="shared" si="988"/>
        <v>-0.9388293133041794</v>
      </c>
    </row>
    <row r="582" spans="1:20" x14ac:dyDescent="0.25">
      <c r="A582" s="5">
        <v>44011</v>
      </c>
      <c r="B582">
        <v>0.20699999999999999</v>
      </c>
      <c r="C582">
        <v>0.23089999999999999</v>
      </c>
      <c r="D582">
        <v>0.20699999999999999</v>
      </c>
      <c r="E582">
        <v>0.22359999999999999</v>
      </c>
      <c r="F582">
        <v>3066578.54</v>
      </c>
      <c r="G582">
        <v>0</v>
      </c>
      <c r="L582" t="s">
        <v>8</v>
      </c>
      <c r="M582" t="s">
        <v>7</v>
      </c>
      <c r="N582" t="s">
        <v>7</v>
      </c>
      <c r="P582">
        <f t="shared" ref="P582:P645" si="989">IF(C582=D582,0,((E582-D582)-(C582-E582))/(C582-D582))</f>
        <v>0.38912133891213391</v>
      </c>
      <c r="Q582">
        <f t="shared" ref="Q582:Q645" si="990">F582*P582</f>
        <v>1193271.1473640169</v>
      </c>
      <c r="R582">
        <f t="shared" ref="R582:R645" si="991">R583+Q582</f>
        <v>-93356304.240417942</v>
      </c>
      <c r="S582">
        <f t="shared" ref="S582:S645" si="992">R582/100000</f>
        <v>-933.56304240417944</v>
      </c>
      <c r="T582">
        <f t="shared" ref="T582:T645" si="993">S582/1000</f>
        <v>-0.93356304240417942</v>
      </c>
    </row>
    <row r="583" spans="1:20" x14ac:dyDescent="0.25">
      <c r="A583" s="5">
        <v>44010</v>
      </c>
      <c r="B583">
        <v>0.2056</v>
      </c>
      <c r="C583">
        <v>0.215</v>
      </c>
      <c r="D583">
        <v>0.1988</v>
      </c>
      <c r="E583">
        <v>0.20699999999999999</v>
      </c>
      <c r="F583">
        <v>1367494.92</v>
      </c>
      <c r="G583">
        <v>0</v>
      </c>
      <c r="L583" t="s">
        <v>8</v>
      </c>
      <c r="M583" t="s">
        <v>7</v>
      </c>
      <c r="N583" t="s">
        <v>7</v>
      </c>
      <c r="P583">
        <f t="shared" si="989"/>
        <v>1.2345679012344325E-2</v>
      </c>
      <c r="Q583">
        <f t="shared" si="990"/>
        <v>16882.65333333148</v>
      </c>
      <c r="R583">
        <f t="shared" si="991"/>
        <v>-94549575.387781963</v>
      </c>
      <c r="S583">
        <f t="shared" si="992"/>
        <v>-945.49575387781965</v>
      </c>
      <c r="T583">
        <f t="shared" si="993"/>
        <v>-0.9454957538778197</v>
      </c>
    </row>
    <row r="584" spans="1:20" x14ac:dyDescent="0.25">
      <c r="A584" s="5">
        <v>44009</v>
      </c>
      <c r="B584">
        <v>0.21940000000000001</v>
      </c>
      <c r="C584">
        <v>0.22559999999999999</v>
      </c>
      <c r="D584">
        <v>0.19850000000000001</v>
      </c>
      <c r="E584">
        <v>0.20619999999999999</v>
      </c>
      <c r="F584">
        <v>3160149.42</v>
      </c>
      <c r="G584">
        <v>0</v>
      </c>
      <c r="L584" t="s">
        <v>7</v>
      </c>
      <c r="M584" t="s">
        <v>7</v>
      </c>
      <c r="N584" t="s">
        <v>7</v>
      </c>
      <c r="P584">
        <f t="shared" si="989"/>
        <v>-0.43173431734317425</v>
      </c>
      <c r="Q584">
        <f t="shared" si="990"/>
        <v>-1364344.9525461281</v>
      </c>
      <c r="R584">
        <f t="shared" si="991"/>
        <v>-94566458.041115299</v>
      </c>
      <c r="S584">
        <f t="shared" si="992"/>
        <v>-945.664580411153</v>
      </c>
      <c r="T584">
        <f t="shared" si="993"/>
        <v>-0.94566458041115298</v>
      </c>
    </row>
    <row r="585" spans="1:20" x14ac:dyDescent="0.25">
      <c r="A585" s="5">
        <v>44008</v>
      </c>
      <c r="B585">
        <v>0.2366</v>
      </c>
      <c r="C585">
        <v>0.2404</v>
      </c>
      <c r="D585">
        <v>0.21490000000000001</v>
      </c>
      <c r="E585">
        <v>0.2195</v>
      </c>
      <c r="F585">
        <v>3866902.67</v>
      </c>
      <c r="G585">
        <v>0</v>
      </c>
      <c r="L585" t="s">
        <v>7</v>
      </c>
      <c r="M585" t="s">
        <v>7</v>
      </c>
      <c r="N585" t="s">
        <v>7</v>
      </c>
      <c r="P585">
        <f t="shared" si="989"/>
        <v>-0.63921568627451031</v>
      </c>
      <c r="Q585">
        <f t="shared" si="990"/>
        <v>-2471784.8439607862</v>
      </c>
      <c r="R585">
        <f t="shared" si="991"/>
        <v>-93202113.088569164</v>
      </c>
      <c r="S585">
        <f t="shared" si="992"/>
        <v>-932.0211308856916</v>
      </c>
      <c r="T585">
        <f t="shared" si="993"/>
        <v>-0.93202113088569161</v>
      </c>
    </row>
    <row r="586" spans="1:20" x14ac:dyDescent="0.25">
      <c r="A586" s="5">
        <v>44007</v>
      </c>
      <c r="B586">
        <v>0.2399</v>
      </c>
      <c r="C586">
        <v>0.2412</v>
      </c>
      <c r="D586">
        <v>0.22850000000000001</v>
      </c>
      <c r="E586">
        <v>0.23569999999999999</v>
      </c>
      <c r="F586">
        <v>2358517.77</v>
      </c>
      <c r="G586">
        <v>0</v>
      </c>
      <c r="L586" t="s">
        <v>7</v>
      </c>
      <c r="M586" t="s">
        <v>7</v>
      </c>
      <c r="N586" t="s">
        <v>7</v>
      </c>
      <c r="P586">
        <f t="shared" si="989"/>
        <v>0.13385826771653392</v>
      </c>
      <c r="Q586">
        <f t="shared" si="990"/>
        <v>315707.10307086259</v>
      </c>
      <c r="R586">
        <f t="shared" si="991"/>
        <v>-90730328.244608372</v>
      </c>
      <c r="S586">
        <f t="shared" si="992"/>
        <v>-907.3032824460837</v>
      </c>
      <c r="T586">
        <f t="shared" si="993"/>
        <v>-0.90730328244608371</v>
      </c>
    </row>
    <row r="587" spans="1:20" x14ac:dyDescent="0.25">
      <c r="A587" s="5">
        <v>44006</v>
      </c>
      <c r="B587">
        <v>0.24840000000000001</v>
      </c>
      <c r="C587">
        <v>0.25230000000000002</v>
      </c>
      <c r="D587">
        <v>0.2351</v>
      </c>
      <c r="E587">
        <v>0.24</v>
      </c>
      <c r="F587">
        <v>5251627.87</v>
      </c>
      <c r="G587">
        <v>0</v>
      </c>
      <c r="L587" t="s">
        <v>7</v>
      </c>
      <c r="M587" t="s">
        <v>7</v>
      </c>
      <c r="N587" t="s">
        <v>7</v>
      </c>
      <c r="P587">
        <f t="shared" si="989"/>
        <v>-0.43023255813953698</v>
      </c>
      <c r="Q587">
        <f t="shared" si="990"/>
        <v>-2259421.2929069879</v>
      </c>
      <c r="R587">
        <f t="shared" si="991"/>
        <v>-91046035.347679242</v>
      </c>
      <c r="S587">
        <f t="shared" si="992"/>
        <v>-910.46035347679242</v>
      </c>
      <c r="T587">
        <f t="shared" si="993"/>
        <v>-0.91046035347679244</v>
      </c>
    </row>
    <row r="588" spans="1:20" x14ac:dyDescent="0.25">
      <c r="A588" s="5">
        <v>44005</v>
      </c>
      <c r="B588">
        <v>0.249</v>
      </c>
      <c r="C588">
        <v>0.25309999999999999</v>
      </c>
      <c r="D588">
        <v>0.24610000000000001</v>
      </c>
      <c r="E588">
        <v>0.24840000000000001</v>
      </c>
      <c r="F588">
        <v>2872144.86</v>
      </c>
      <c r="G588">
        <v>0</v>
      </c>
      <c r="L588" t="s">
        <v>8</v>
      </c>
      <c r="M588" t="s">
        <v>7</v>
      </c>
      <c r="N588" t="s">
        <v>7</v>
      </c>
      <c r="P588">
        <f t="shared" si="989"/>
        <v>-0.34285714285714186</v>
      </c>
      <c r="Q588">
        <f t="shared" si="990"/>
        <v>-984735.38057142566</v>
      </c>
      <c r="R588">
        <f t="shared" si="991"/>
        <v>-88786614.054772258</v>
      </c>
      <c r="S588">
        <f t="shared" si="992"/>
        <v>-887.86614054772258</v>
      </c>
      <c r="T588">
        <f t="shared" si="993"/>
        <v>-0.88786614054772262</v>
      </c>
    </row>
    <row r="589" spans="1:20" x14ac:dyDescent="0.25">
      <c r="A589" s="5">
        <v>44004</v>
      </c>
      <c r="B589">
        <v>0.24990000000000001</v>
      </c>
      <c r="C589">
        <v>0.2515</v>
      </c>
      <c r="D589">
        <v>0.2447</v>
      </c>
      <c r="E589">
        <v>0.2495</v>
      </c>
      <c r="F589">
        <v>2098744.23</v>
      </c>
      <c r="G589">
        <v>0</v>
      </c>
      <c r="L589" t="s">
        <v>8</v>
      </c>
      <c r="M589" t="s">
        <v>7</v>
      </c>
      <c r="N589" t="s">
        <v>7</v>
      </c>
      <c r="P589">
        <f t="shared" si="989"/>
        <v>0.41176470588235248</v>
      </c>
      <c r="Q589">
        <f t="shared" si="990"/>
        <v>864188.80058823433</v>
      </c>
      <c r="R589">
        <f t="shared" si="991"/>
        <v>-87801878.674200833</v>
      </c>
      <c r="S589">
        <f t="shared" si="992"/>
        <v>-878.01878674200827</v>
      </c>
      <c r="T589">
        <f t="shared" si="993"/>
        <v>-0.87801878674200828</v>
      </c>
    </row>
    <row r="590" spans="1:20" x14ac:dyDescent="0.25">
      <c r="A590" s="5">
        <v>44003</v>
      </c>
      <c r="B590">
        <v>0.25290000000000001</v>
      </c>
      <c r="C590">
        <v>0.254</v>
      </c>
      <c r="D590">
        <v>0.2455</v>
      </c>
      <c r="E590">
        <v>0.24979999999999999</v>
      </c>
      <c r="F590">
        <v>3090169.61</v>
      </c>
      <c r="G590">
        <v>0</v>
      </c>
      <c r="L590" t="s">
        <v>8</v>
      </c>
      <c r="M590" t="s">
        <v>7</v>
      </c>
      <c r="N590" t="s">
        <v>7</v>
      </c>
      <c r="P590">
        <f t="shared" si="989"/>
        <v>1.1764705882351635E-2</v>
      </c>
      <c r="Q590">
        <f t="shared" si="990"/>
        <v>36354.936588231256</v>
      </c>
      <c r="R590">
        <f t="shared" si="991"/>
        <v>-88666067.474789068</v>
      </c>
      <c r="S590">
        <f t="shared" si="992"/>
        <v>-886.66067474789065</v>
      </c>
      <c r="T590">
        <f t="shared" si="993"/>
        <v>-0.88666067474789068</v>
      </c>
    </row>
    <row r="591" spans="1:20" x14ac:dyDescent="0.25">
      <c r="A591" s="5">
        <v>44002</v>
      </c>
      <c r="B591">
        <v>0.24129999999999999</v>
      </c>
      <c r="C591">
        <v>0.25700000000000001</v>
      </c>
      <c r="D591">
        <v>0.2412</v>
      </c>
      <c r="E591">
        <v>0.25340000000000001</v>
      </c>
      <c r="F591">
        <v>4856664.3099999996</v>
      </c>
      <c r="G591">
        <v>0</v>
      </c>
      <c r="L591" t="s">
        <v>8</v>
      </c>
      <c r="M591" t="s">
        <v>7</v>
      </c>
      <c r="N591" t="s">
        <v>7</v>
      </c>
      <c r="P591">
        <f t="shared" si="989"/>
        <v>0.54430379746835567</v>
      </c>
      <c r="Q591">
        <f t="shared" si="990"/>
        <v>2643500.826962031</v>
      </c>
      <c r="R591">
        <f t="shared" si="991"/>
        <v>-88702422.411377296</v>
      </c>
      <c r="S591">
        <f t="shared" si="992"/>
        <v>-887.0242241137729</v>
      </c>
      <c r="T591">
        <f t="shared" si="993"/>
        <v>-0.88702422411377291</v>
      </c>
    </row>
    <row r="592" spans="1:20" x14ac:dyDescent="0.25">
      <c r="A592" s="5">
        <v>44001</v>
      </c>
      <c r="B592">
        <v>0.24510000000000001</v>
      </c>
      <c r="C592">
        <v>0.246</v>
      </c>
      <c r="D592">
        <v>0.24010000000000001</v>
      </c>
      <c r="E592">
        <v>0.2407</v>
      </c>
      <c r="F592">
        <v>1311999.1100000001</v>
      </c>
      <c r="G592">
        <v>0</v>
      </c>
      <c r="L592" t="s">
        <v>7</v>
      </c>
      <c r="M592" t="s">
        <v>7</v>
      </c>
      <c r="N592" t="s">
        <v>7</v>
      </c>
      <c r="P592">
        <f t="shared" si="989"/>
        <v>-0.79661016949152863</v>
      </c>
      <c r="Q592">
        <f t="shared" si="990"/>
        <v>-1045151.8333898349</v>
      </c>
      <c r="R592">
        <f t="shared" si="991"/>
        <v>-91345923.23833932</v>
      </c>
      <c r="S592">
        <f t="shared" si="992"/>
        <v>-913.45923238339321</v>
      </c>
      <c r="T592">
        <f t="shared" si="993"/>
        <v>-0.91345923238339322</v>
      </c>
    </row>
    <row r="593" spans="1:20" x14ac:dyDescent="0.25">
      <c r="A593" s="5">
        <v>44000</v>
      </c>
      <c r="B593">
        <v>0.25219999999999998</v>
      </c>
      <c r="C593">
        <v>0.253</v>
      </c>
      <c r="D593">
        <v>0.24229999999999999</v>
      </c>
      <c r="E593">
        <v>0.2455</v>
      </c>
      <c r="F593">
        <v>2668247.9500000002</v>
      </c>
      <c r="G593">
        <v>0</v>
      </c>
      <c r="L593" t="s">
        <v>7</v>
      </c>
      <c r="M593" t="s">
        <v>7</v>
      </c>
      <c r="N593" t="s">
        <v>7</v>
      </c>
      <c r="P593">
        <f t="shared" si="989"/>
        <v>-0.40186915887850394</v>
      </c>
      <c r="Q593">
        <f t="shared" si="990"/>
        <v>-1072286.5593457925</v>
      </c>
      <c r="R593">
        <f t="shared" si="991"/>
        <v>-90300771.404949486</v>
      </c>
      <c r="S593">
        <f t="shared" si="992"/>
        <v>-903.00771404949489</v>
      </c>
      <c r="T593">
        <f t="shared" si="993"/>
        <v>-0.90300771404949487</v>
      </c>
    </row>
    <row r="594" spans="1:20" x14ac:dyDescent="0.25">
      <c r="A594" s="5">
        <v>43999</v>
      </c>
      <c r="B594">
        <v>0.25490000000000002</v>
      </c>
      <c r="C594">
        <v>0.26</v>
      </c>
      <c r="D594">
        <v>0.2477</v>
      </c>
      <c r="E594">
        <v>0.251</v>
      </c>
      <c r="F594">
        <v>2409410.46</v>
      </c>
      <c r="G594">
        <v>0</v>
      </c>
      <c r="L594" t="s">
        <v>7</v>
      </c>
      <c r="M594" t="s">
        <v>7</v>
      </c>
      <c r="N594" t="s">
        <v>7</v>
      </c>
      <c r="P594">
        <f t="shared" si="989"/>
        <v>-0.4634146341463421</v>
      </c>
      <c r="Q594">
        <f t="shared" si="990"/>
        <v>-1116556.0668292698</v>
      </c>
      <c r="R594">
        <f t="shared" si="991"/>
        <v>-89228484.84560369</v>
      </c>
      <c r="S594">
        <f t="shared" si="992"/>
        <v>-892.28484845603691</v>
      </c>
      <c r="T594">
        <f t="shared" si="993"/>
        <v>-0.89228484845603695</v>
      </c>
    </row>
    <row r="595" spans="1:20" x14ac:dyDescent="0.25">
      <c r="A595" s="5">
        <v>43998</v>
      </c>
      <c r="B595">
        <v>0.25159999999999999</v>
      </c>
      <c r="C595">
        <v>0.25750000000000001</v>
      </c>
      <c r="D595">
        <v>0.2467</v>
      </c>
      <c r="E595">
        <v>0.2555</v>
      </c>
      <c r="F595">
        <v>2138208.62</v>
      </c>
      <c r="G595">
        <v>0</v>
      </c>
      <c r="L595" t="s">
        <v>7</v>
      </c>
      <c r="M595" t="s">
        <v>7</v>
      </c>
      <c r="N595" t="s">
        <v>7</v>
      </c>
      <c r="P595">
        <f t="shared" si="989"/>
        <v>0.62962962962962943</v>
      </c>
      <c r="Q595">
        <f t="shared" si="990"/>
        <v>1346279.5014814811</v>
      </c>
      <c r="R595">
        <f t="shared" si="991"/>
        <v>-88111928.778774425</v>
      </c>
      <c r="S595">
        <f t="shared" si="992"/>
        <v>-881.11928778774427</v>
      </c>
      <c r="T595">
        <f t="shared" si="993"/>
        <v>-0.88111928778774429</v>
      </c>
    </row>
    <row r="596" spans="1:20" x14ac:dyDescent="0.25">
      <c r="A596" s="5">
        <v>43997</v>
      </c>
      <c r="B596">
        <v>0.25309999999999999</v>
      </c>
      <c r="C596">
        <v>0.25600000000000001</v>
      </c>
      <c r="D596">
        <v>0.2404</v>
      </c>
      <c r="E596">
        <v>0.25159999999999999</v>
      </c>
      <c r="F596">
        <v>5386285.3399999999</v>
      </c>
      <c r="G596">
        <v>0</v>
      </c>
      <c r="L596" t="s">
        <v>7</v>
      </c>
      <c r="M596" t="s">
        <v>7</v>
      </c>
      <c r="N596" t="s">
        <v>7</v>
      </c>
      <c r="P596">
        <f t="shared" si="989"/>
        <v>0.43589743589743407</v>
      </c>
      <c r="Q596">
        <f t="shared" si="990"/>
        <v>2347867.9687179388</v>
      </c>
      <c r="R596">
        <f t="shared" si="991"/>
        <v>-89458208.280255914</v>
      </c>
      <c r="S596">
        <f t="shared" si="992"/>
        <v>-894.58208280255917</v>
      </c>
      <c r="T596">
        <f t="shared" si="993"/>
        <v>-0.89458208280255913</v>
      </c>
    </row>
    <row r="597" spans="1:20" x14ac:dyDescent="0.25">
      <c r="A597" s="5">
        <v>43996</v>
      </c>
      <c r="B597">
        <v>0.26100000000000001</v>
      </c>
      <c r="C597">
        <v>0.27839999999999998</v>
      </c>
      <c r="D597">
        <v>0.25240000000000001</v>
      </c>
      <c r="E597">
        <v>0.25319999999999998</v>
      </c>
      <c r="F597">
        <v>6189329.04</v>
      </c>
      <c r="G597">
        <v>0</v>
      </c>
      <c r="L597" t="s">
        <v>8</v>
      </c>
      <c r="M597" t="s">
        <v>7</v>
      </c>
      <c r="N597" t="s">
        <v>7</v>
      </c>
      <c r="P597">
        <f t="shared" si="989"/>
        <v>-0.9384615384615409</v>
      </c>
      <c r="Q597">
        <f t="shared" si="990"/>
        <v>-5808447.2529230919</v>
      </c>
      <c r="R597">
        <f t="shared" si="991"/>
        <v>-91806076.248973846</v>
      </c>
      <c r="S597">
        <f t="shared" si="992"/>
        <v>-918.06076248973841</v>
      </c>
      <c r="T597">
        <f t="shared" si="993"/>
        <v>-0.91806076248973845</v>
      </c>
    </row>
    <row r="598" spans="1:20" x14ac:dyDescent="0.25">
      <c r="A598" s="5">
        <v>43995</v>
      </c>
      <c r="B598">
        <v>0.25490000000000002</v>
      </c>
      <c r="C598">
        <v>0.26329999999999998</v>
      </c>
      <c r="D598">
        <v>0.24809999999999999</v>
      </c>
      <c r="E598">
        <v>0.26100000000000001</v>
      </c>
      <c r="F598">
        <v>2534101.2000000002</v>
      </c>
      <c r="G598">
        <v>0</v>
      </c>
      <c r="L598" t="s">
        <v>8</v>
      </c>
      <c r="M598" t="s">
        <v>7</v>
      </c>
      <c r="N598" t="s">
        <v>7</v>
      </c>
      <c r="P598">
        <f t="shared" si="989"/>
        <v>0.69736842105263552</v>
      </c>
      <c r="Q598">
        <f t="shared" si="990"/>
        <v>1767202.152631589</v>
      </c>
      <c r="R598">
        <f t="shared" si="991"/>
        <v>-85997628.99605076</v>
      </c>
      <c r="S598">
        <f t="shared" si="992"/>
        <v>-859.97628996050764</v>
      </c>
      <c r="T598">
        <f t="shared" si="993"/>
        <v>-0.85997628996050768</v>
      </c>
    </row>
    <row r="599" spans="1:20" x14ac:dyDescent="0.25">
      <c r="A599" s="5">
        <v>43994</v>
      </c>
      <c r="B599">
        <v>0.24440000000000001</v>
      </c>
      <c r="C599">
        <v>0.25800000000000001</v>
      </c>
      <c r="D599">
        <v>0.2399</v>
      </c>
      <c r="E599">
        <v>0.25490000000000002</v>
      </c>
      <c r="F599">
        <v>4320362.04</v>
      </c>
      <c r="G599">
        <v>0</v>
      </c>
      <c r="L599" t="s">
        <v>8</v>
      </c>
      <c r="M599" t="s">
        <v>7</v>
      </c>
      <c r="N599" t="s">
        <v>7</v>
      </c>
      <c r="P599">
        <f t="shared" si="989"/>
        <v>0.65745856353591259</v>
      </c>
      <c r="Q599">
        <f t="shared" si="990"/>
        <v>2840459.0207734848</v>
      </c>
      <c r="R599">
        <f t="shared" si="991"/>
        <v>-87764831.148682356</v>
      </c>
      <c r="S599">
        <f t="shared" si="992"/>
        <v>-877.64831148682356</v>
      </c>
      <c r="T599">
        <f t="shared" si="993"/>
        <v>-0.87764831148682354</v>
      </c>
    </row>
    <row r="600" spans="1:20" x14ac:dyDescent="0.25">
      <c r="A600" s="5">
        <v>43993</v>
      </c>
      <c r="B600">
        <v>0.24759999999999999</v>
      </c>
      <c r="C600">
        <v>0.26140000000000002</v>
      </c>
      <c r="D600">
        <v>0.23330000000000001</v>
      </c>
      <c r="E600">
        <v>0.24529999999999999</v>
      </c>
      <c r="F600">
        <v>9500974.8499999996</v>
      </c>
      <c r="G600">
        <v>0</v>
      </c>
      <c r="L600" t="s">
        <v>7</v>
      </c>
      <c r="M600" t="s">
        <v>7</v>
      </c>
      <c r="N600" t="s">
        <v>7</v>
      </c>
      <c r="P600">
        <f t="shared" si="989"/>
        <v>-0.14590747330961018</v>
      </c>
      <c r="Q600">
        <f t="shared" si="990"/>
        <v>-1386263.2343416526</v>
      </c>
      <c r="R600">
        <f t="shared" si="991"/>
        <v>-90605290.169455841</v>
      </c>
      <c r="S600">
        <f t="shared" si="992"/>
        <v>-906.05290169455839</v>
      </c>
      <c r="T600">
        <f t="shared" si="993"/>
        <v>-0.90605290169455843</v>
      </c>
    </row>
    <row r="601" spans="1:20" x14ac:dyDescent="0.25">
      <c r="A601" s="5">
        <v>43992</v>
      </c>
      <c r="B601">
        <v>0.25069999999999998</v>
      </c>
      <c r="C601">
        <v>0.251</v>
      </c>
      <c r="D601">
        <v>0.24440000000000001</v>
      </c>
      <c r="E601">
        <v>0.2485</v>
      </c>
      <c r="F601">
        <v>1136624.97</v>
      </c>
      <c r="G601">
        <v>0</v>
      </c>
      <c r="L601" t="s">
        <v>7</v>
      </c>
      <c r="M601" t="s">
        <v>7</v>
      </c>
      <c r="N601" t="s">
        <v>7</v>
      </c>
      <c r="P601">
        <f t="shared" si="989"/>
        <v>0.24242424242424115</v>
      </c>
      <c r="Q601">
        <f t="shared" si="990"/>
        <v>275545.44727272581</v>
      </c>
      <c r="R601">
        <f t="shared" si="991"/>
        <v>-89219026.93511419</v>
      </c>
      <c r="S601">
        <f t="shared" si="992"/>
        <v>-892.19026935114186</v>
      </c>
      <c r="T601">
        <f t="shared" si="993"/>
        <v>-0.89219026935114187</v>
      </c>
    </row>
    <row r="602" spans="1:20" x14ac:dyDescent="0.25">
      <c r="A602" s="5">
        <v>43991</v>
      </c>
      <c r="B602">
        <v>0.25140000000000001</v>
      </c>
      <c r="C602">
        <v>0.25459999999999999</v>
      </c>
      <c r="D602">
        <v>0.249</v>
      </c>
      <c r="E602">
        <v>0.2495</v>
      </c>
      <c r="F602">
        <v>918940.75</v>
      </c>
      <c r="G602">
        <v>0</v>
      </c>
      <c r="L602" t="s">
        <v>7</v>
      </c>
      <c r="M602" t="s">
        <v>7</v>
      </c>
      <c r="N602" t="s">
        <v>7</v>
      </c>
      <c r="P602">
        <f t="shared" si="989"/>
        <v>-0.82142857142857106</v>
      </c>
      <c r="Q602">
        <f t="shared" si="990"/>
        <v>-754844.18749999965</v>
      </c>
      <c r="R602">
        <f t="shared" si="991"/>
        <v>-89494572.382386923</v>
      </c>
      <c r="S602">
        <f t="shared" si="992"/>
        <v>-894.94572382386923</v>
      </c>
      <c r="T602">
        <f t="shared" si="993"/>
        <v>-0.89494572382386928</v>
      </c>
    </row>
    <row r="603" spans="1:20" x14ac:dyDescent="0.25">
      <c r="A603" s="5">
        <v>43990</v>
      </c>
      <c r="B603">
        <v>0.25109999999999999</v>
      </c>
      <c r="C603">
        <v>0.254</v>
      </c>
      <c r="D603">
        <v>0.24909999999999999</v>
      </c>
      <c r="E603">
        <v>0.25059999999999999</v>
      </c>
      <c r="F603">
        <v>913466.93</v>
      </c>
      <c r="G603">
        <v>0</v>
      </c>
      <c r="L603" t="s">
        <v>7</v>
      </c>
      <c r="M603" t="s">
        <v>7</v>
      </c>
      <c r="N603" t="s">
        <v>7</v>
      </c>
      <c r="P603">
        <f t="shared" si="989"/>
        <v>-0.3877551020408177</v>
      </c>
      <c r="Q603">
        <f t="shared" si="990"/>
        <v>-354201.46265306248</v>
      </c>
      <c r="R603">
        <f t="shared" si="991"/>
        <v>-88739728.194886923</v>
      </c>
      <c r="S603">
        <f t="shared" si="992"/>
        <v>-887.39728194886925</v>
      </c>
      <c r="T603">
        <f t="shared" si="993"/>
        <v>-0.88739728194886924</v>
      </c>
    </row>
    <row r="604" spans="1:20" x14ac:dyDescent="0.25">
      <c r="A604" s="5">
        <v>43989</v>
      </c>
      <c r="B604">
        <v>0.25219999999999998</v>
      </c>
      <c r="C604">
        <v>0.26069999999999999</v>
      </c>
      <c r="D604">
        <v>0.24729999999999999</v>
      </c>
      <c r="E604">
        <v>0.25180000000000002</v>
      </c>
      <c r="F604">
        <v>1448798.78</v>
      </c>
      <c r="G604">
        <v>0</v>
      </c>
      <c r="L604" t="s">
        <v>7</v>
      </c>
      <c r="M604" t="s">
        <v>7</v>
      </c>
      <c r="N604" t="s">
        <v>7</v>
      </c>
      <c r="P604">
        <f t="shared" si="989"/>
        <v>-0.32835820895521889</v>
      </c>
      <c r="Q604">
        <f t="shared" si="990"/>
        <v>-475724.9725373062</v>
      </c>
      <c r="R604">
        <f t="shared" si="991"/>
        <v>-88385526.732233867</v>
      </c>
      <c r="S604">
        <f t="shared" si="992"/>
        <v>-883.8552673223387</v>
      </c>
      <c r="T604">
        <f t="shared" si="993"/>
        <v>-0.88385526732233866</v>
      </c>
    </row>
    <row r="605" spans="1:20" x14ac:dyDescent="0.25">
      <c r="A605" s="5">
        <v>43988</v>
      </c>
      <c r="B605">
        <v>0.25990000000000002</v>
      </c>
      <c r="C605">
        <v>0.26029999999999998</v>
      </c>
      <c r="D605">
        <v>0.24940000000000001</v>
      </c>
      <c r="E605">
        <v>0.2525</v>
      </c>
      <c r="F605">
        <v>1300722.8700000001</v>
      </c>
      <c r="G605">
        <v>0</v>
      </c>
      <c r="L605" t="s">
        <v>7</v>
      </c>
      <c r="M605" t="s">
        <v>7</v>
      </c>
      <c r="N605" t="s">
        <v>7</v>
      </c>
      <c r="P605">
        <f t="shared" si="989"/>
        <v>-0.43119266055045846</v>
      </c>
      <c r="Q605">
        <f t="shared" si="990"/>
        <v>-560862.1549541282</v>
      </c>
      <c r="R605">
        <f t="shared" si="991"/>
        <v>-87909801.759696558</v>
      </c>
      <c r="S605">
        <f t="shared" si="992"/>
        <v>-879.09801759696563</v>
      </c>
      <c r="T605">
        <f t="shared" si="993"/>
        <v>-0.8790980175969656</v>
      </c>
    </row>
    <row r="606" spans="1:20" x14ac:dyDescent="0.25">
      <c r="A606" s="5">
        <v>43987</v>
      </c>
      <c r="B606">
        <v>0.26400000000000001</v>
      </c>
      <c r="C606">
        <v>0.27</v>
      </c>
      <c r="D606">
        <v>0.2525</v>
      </c>
      <c r="E606">
        <v>0.25990000000000002</v>
      </c>
      <c r="F606">
        <v>2692705.32</v>
      </c>
      <c r="G606">
        <v>0</v>
      </c>
      <c r="L606" t="s">
        <v>8</v>
      </c>
      <c r="M606" t="s">
        <v>7</v>
      </c>
      <c r="N606" t="s">
        <v>7</v>
      </c>
      <c r="P606">
        <f t="shared" si="989"/>
        <v>-0.15428571428571303</v>
      </c>
      <c r="Q606">
        <f t="shared" si="990"/>
        <v>-415445.96365713945</v>
      </c>
      <c r="R606">
        <f t="shared" si="991"/>
        <v>-87348939.604742423</v>
      </c>
      <c r="S606">
        <f t="shared" si="992"/>
        <v>-873.48939604742418</v>
      </c>
      <c r="T606">
        <f t="shared" si="993"/>
        <v>-0.87348939604742415</v>
      </c>
    </row>
    <row r="607" spans="1:20" x14ac:dyDescent="0.25">
      <c r="A607" s="5">
        <v>43986</v>
      </c>
      <c r="B607">
        <v>0.24629999999999999</v>
      </c>
      <c r="C607">
        <v>0.2671</v>
      </c>
      <c r="D607">
        <v>0.24440000000000001</v>
      </c>
      <c r="E607">
        <v>0.26369999999999999</v>
      </c>
      <c r="F607">
        <v>2526067.8199999998</v>
      </c>
      <c r="G607">
        <v>0</v>
      </c>
      <c r="L607" t="s">
        <v>8</v>
      </c>
      <c r="M607" t="s">
        <v>7</v>
      </c>
      <c r="N607" t="s">
        <v>7</v>
      </c>
      <c r="P607">
        <f t="shared" si="989"/>
        <v>0.70044052863436002</v>
      </c>
      <c r="Q607">
        <f t="shared" si="990"/>
        <v>1769360.2792070452</v>
      </c>
      <c r="R607">
        <f t="shared" si="991"/>
        <v>-86933493.641085282</v>
      </c>
      <c r="S607">
        <f t="shared" si="992"/>
        <v>-869.33493641085283</v>
      </c>
      <c r="T607">
        <f t="shared" si="993"/>
        <v>-0.8693349364108528</v>
      </c>
    </row>
    <row r="608" spans="1:20" x14ac:dyDescent="0.25">
      <c r="A608" s="5">
        <v>43985</v>
      </c>
      <c r="B608">
        <v>0.2429</v>
      </c>
      <c r="C608">
        <v>0.2545</v>
      </c>
      <c r="D608">
        <v>0.23810000000000001</v>
      </c>
      <c r="E608">
        <v>0.24740000000000001</v>
      </c>
      <c r="F608">
        <v>1494493.8</v>
      </c>
      <c r="G608">
        <v>0</v>
      </c>
      <c r="L608" t="s">
        <v>8</v>
      </c>
      <c r="M608" t="s">
        <v>7</v>
      </c>
      <c r="N608" t="s">
        <v>7</v>
      </c>
      <c r="P608">
        <f t="shared" si="989"/>
        <v>0.13414634146341511</v>
      </c>
      <c r="Q608">
        <f t="shared" si="990"/>
        <v>200480.87560975683</v>
      </c>
      <c r="R608">
        <f t="shared" si="991"/>
        <v>-88702853.920292333</v>
      </c>
      <c r="S608">
        <f t="shared" si="992"/>
        <v>-887.0285392029233</v>
      </c>
      <c r="T608">
        <f t="shared" si="993"/>
        <v>-0.88702853920292335</v>
      </c>
    </row>
    <row r="609" spans="1:20" x14ac:dyDescent="0.25">
      <c r="A609" s="5">
        <v>43984</v>
      </c>
      <c r="B609">
        <v>0.25659999999999999</v>
      </c>
      <c r="C609">
        <v>0.26219999999999999</v>
      </c>
      <c r="D609">
        <v>0.23499999999999999</v>
      </c>
      <c r="E609">
        <v>0.24199999999999999</v>
      </c>
      <c r="F609">
        <v>2769642.73</v>
      </c>
      <c r="G609">
        <v>0</v>
      </c>
      <c r="L609" t="s">
        <v>7</v>
      </c>
      <c r="M609" t="s">
        <v>7</v>
      </c>
      <c r="N609" t="s">
        <v>7</v>
      </c>
      <c r="P609">
        <f t="shared" si="989"/>
        <v>-0.48529411764705838</v>
      </c>
      <c r="Q609">
        <f t="shared" si="990"/>
        <v>-1344091.3248529399</v>
      </c>
      <c r="R609">
        <f t="shared" si="991"/>
        <v>-88903334.795902088</v>
      </c>
      <c r="S609">
        <f t="shared" si="992"/>
        <v>-889.03334795902083</v>
      </c>
      <c r="T609">
        <f t="shared" si="993"/>
        <v>-0.88903334795902078</v>
      </c>
    </row>
    <row r="610" spans="1:20" x14ac:dyDescent="0.25">
      <c r="A610" s="5">
        <v>43983</v>
      </c>
      <c r="B610">
        <v>0.23530000000000001</v>
      </c>
      <c r="C610">
        <v>0.27410000000000001</v>
      </c>
      <c r="D610">
        <v>0.23530000000000001</v>
      </c>
      <c r="E610">
        <v>0.25650000000000001</v>
      </c>
      <c r="F610">
        <v>5156620.51</v>
      </c>
      <c r="G610">
        <v>0</v>
      </c>
      <c r="L610" t="s">
        <v>8</v>
      </c>
      <c r="M610" t="s">
        <v>7</v>
      </c>
      <c r="N610" t="s">
        <v>7</v>
      </c>
      <c r="P610">
        <f t="shared" si="989"/>
        <v>9.2783505154638971E-2</v>
      </c>
      <c r="Q610">
        <f t="shared" si="990"/>
        <v>478449.32567010203</v>
      </c>
      <c r="R610">
        <f t="shared" si="991"/>
        <v>-87559243.471049145</v>
      </c>
      <c r="S610">
        <f t="shared" si="992"/>
        <v>-875.59243471049149</v>
      </c>
      <c r="T610">
        <f t="shared" si="993"/>
        <v>-0.87559243471049153</v>
      </c>
    </row>
    <row r="611" spans="1:20" x14ac:dyDescent="0.25">
      <c r="A611" s="5">
        <v>43982</v>
      </c>
      <c r="B611">
        <v>0.25769999999999998</v>
      </c>
      <c r="C611">
        <v>0.26129999999999998</v>
      </c>
      <c r="D611">
        <v>0.2321</v>
      </c>
      <c r="E611">
        <v>0.23519999999999999</v>
      </c>
      <c r="F611">
        <v>2956850.13</v>
      </c>
      <c r="G611">
        <v>0</v>
      </c>
      <c r="L611" t="s">
        <v>7</v>
      </c>
      <c r="M611" t="s">
        <v>7</v>
      </c>
      <c r="N611" t="s">
        <v>7</v>
      </c>
      <c r="P611">
        <f t="shared" si="989"/>
        <v>-0.7876712328767127</v>
      </c>
      <c r="Q611">
        <f t="shared" si="990"/>
        <v>-2329025.7873287681</v>
      </c>
      <c r="R611">
        <f t="shared" si="991"/>
        <v>-88037692.796719253</v>
      </c>
      <c r="S611">
        <f t="shared" si="992"/>
        <v>-880.3769279671925</v>
      </c>
      <c r="T611">
        <f t="shared" si="993"/>
        <v>-0.88037692796719247</v>
      </c>
    </row>
    <row r="612" spans="1:20" x14ac:dyDescent="0.25">
      <c r="A612" s="5">
        <v>43981</v>
      </c>
      <c r="B612">
        <v>0.26929999999999998</v>
      </c>
      <c r="C612">
        <v>0.26950000000000002</v>
      </c>
      <c r="D612">
        <v>0.25609999999999999</v>
      </c>
      <c r="E612">
        <v>0.25790000000000002</v>
      </c>
      <c r="F612">
        <v>2761622.28</v>
      </c>
      <c r="G612">
        <v>0</v>
      </c>
      <c r="L612" t="s">
        <v>7</v>
      </c>
      <c r="M612" t="s">
        <v>7</v>
      </c>
      <c r="N612" t="s">
        <v>7</v>
      </c>
      <c r="P612">
        <f t="shared" si="989"/>
        <v>-0.73134328358208645</v>
      </c>
      <c r="Q612">
        <f t="shared" si="990"/>
        <v>-2019693.9062686479</v>
      </c>
      <c r="R612">
        <f t="shared" si="991"/>
        <v>-85708667.009390488</v>
      </c>
      <c r="S612">
        <f t="shared" si="992"/>
        <v>-857.0866700939049</v>
      </c>
      <c r="T612">
        <f t="shared" si="993"/>
        <v>-0.85708667009390493</v>
      </c>
    </row>
    <row r="613" spans="1:20" x14ac:dyDescent="0.25">
      <c r="A613" s="5">
        <v>43980</v>
      </c>
      <c r="B613">
        <v>0.27179999999999999</v>
      </c>
      <c r="C613">
        <v>0.2737</v>
      </c>
      <c r="D613">
        <v>0.2666</v>
      </c>
      <c r="E613">
        <v>0.26919999999999999</v>
      </c>
      <c r="F613">
        <v>1388837.38</v>
      </c>
      <c r="G613">
        <v>0</v>
      </c>
      <c r="L613" t="s">
        <v>7</v>
      </c>
      <c r="M613" t="s">
        <v>7</v>
      </c>
      <c r="N613" t="s">
        <v>7</v>
      </c>
      <c r="P613">
        <f t="shared" si="989"/>
        <v>-0.26760563380281888</v>
      </c>
      <c r="Q613">
        <f t="shared" si="990"/>
        <v>-371660.70732394635</v>
      </c>
      <c r="R613">
        <f t="shared" si="991"/>
        <v>-83688973.103121847</v>
      </c>
      <c r="S613">
        <f t="shared" si="992"/>
        <v>-836.8897310312185</v>
      </c>
      <c r="T613">
        <f t="shared" si="993"/>
        <v>-0.83688973103121855</v>
      </c>
    </row>
    <row r="614" spans="1:20" x14ac:dyDescent="0.25">
      <c r="A614" s="5">
        <v>43979</v>
      </c>
      <c r="B614">
        <v>0.27639999999999998</v>
      </c>
      <c r="C614">
        <v>0.27800000000000002</v>
      </c>
      <c r="D614">
        <v>0.2656</v>
      </c>
      <c r="E614">
        <v>0.27179999999999999</v>
      </c>
      <c r="F614">
        <v>2184991.79</v>
      </c>
      <c r="G614">
        <v>0</v>
      </c>
      <c r="L614" t="s">
        <v>7</v>
      </c>
      <c r="M614" t="s">
        <v>7</v>
      </c>
      <c r="N614" t="s">
        <v>7</v>
      </c>
      <c r="P614">
        <f t="shared" si="989"/>
        <v>-4.4767057444562683E-15</v>
      </c>
      <c r="Q614">
        <f t="shared" si="990"/>
        <v>-9.7815652978827848E-9</v>
      </c>
      <c r="R614">
        <f t="shared" si="991"/>
        <v>-83317312.395797893</v>
      </c>
      <c r="S614">
        <f t="shared" si="992"/>
        <v>-833.17312395797899</v>
      </c>
      <c r="T614">
        <f t="shared" si="993"/>
        <v>-0.83317312395797893</v>
      </c>
    </row>
    <row r="615" spans="1:20" x14ac:dyDescent="0.25">
      <c r="A615" s="5">
        <v>43978</v>
      </c>
      <c r="B615">
        <v>0.27229999999999999</v>
      </c>
      <c r="C615">
        <v>0.2853</v>
      </c>
      <c r="D615">
        <v>0.27100000000000002</v>
      </c>
      <c r="E615">
        <v>0.27639999999999998</v>
      </c>
      <c r="F615">
        <v>2702964.76</v>
      </c>
      <c r="G615">
        <v>0</v>
      </c>
      <c r="L615" t="s">
        <v>7</v>
      </c>
      <c r="M615" t="s">
        <v>7</v>
      </c>
      <c r="N615" t="s">
        <v>7</v>
      </c>
      <c r="P615">
        <f t="shared" si="989"/>
        <v>-0.24475524475524921</v>
      </c>
      <c r="Q615">
        <f t="shared" si="990"/>
        <v>-661564.80139861337</v>
      </c>
      <c r="R615">
        <f t="shared" si="991"/>
        <v>-83317312.395797879</v>
      </c>
      <c r="S615">
        <f t="shared" si="992"/>
        <v>-833.17312395797876</v>
      </c>
      <c r="T615">
        <f t="shared" si="993"/>
        <v>-0.83317312395797871</v>
      </c>
    </row>
    <row r="616" spans="1:20" x14ac:dyDescent="0.25">
      <c r="A616" s="5">
        <v>43977</v>
      </c>
      <c r="B616">
        <v>0.27539999999999998</v>
      </c>
      <c r="C616">
        <v>0.30499999999999999</v>
      </c>
      <c r="D616">
        <v>0.2671</v>
      </c>
      <c r="E616">
        <v>0.27229999999999999</v>
      </c>
      <c r="F616">
        <v>4714763.6900000004</v>
      </c>
      <c r="G616">
        <v>0</v>
      </c>
      <c r="L616" t="s">
        <v>8</v>
      </c>
      <c r="M616" t="s">
        <v>7</v>
      </c>
      <c r="N616" t="s">
        <v>7</v>
      </c>
      <c r="P616">
        <f t="shared" si="989"/>
        <v>-0.72559366754617505</v>
      </c>
      <c r="Q616">
        <f t="shared" si="990"/>
        <v>-3421002.6774406377</v>
      </c>
      <c r="R616">
        <f t="shared" si="991"/>
        <v>-82655747.594399258</v>
      </c>
      <c r="S616">
        <f t="shared" si="992"/>
        <v>-826.55747594399259</v>
      </c>
      <c r="T616">
        <f t="shared" si="993"/>
        <v>-0.82655747594399254</v>
      </c>
    </row>
    <row r="617" spans="1:20" x14ac:dyDescent="0.25">
      <c r="A617" s="5">
        <v>43976</v>
      </c>
      <c r="B617">
        <v>0.26679999999999998</v>
      </c>
      <c r="C617">
        <v>0.29270000000000002</v>
      </c>
      <c r="D617">
        <v>0.26190000000000002</v>
      </c>
      <c r="E617">
        <v>0.27539999999999998</v>
      </c>
      <c r="F617">
        <v>4206435.75</v>
      </c>
      <c r="G617">
        <v>0</v>
      </c>
      <c r="L617" t="s">
        <v>8</v>
      </c>
      <c r="M617" t="s">
        <v>7</v>
      </c>
      <c r="N617" t="s">
        <v>7</v>
      </c>
      <c r="P617">
        <f t="shared" si="989"/>
        <v>-0.12337662337662603</v>
      </c>
      <c r="Q617">
        <f t="shared" si="990"/>
        <v>-518975.83928572544</v>
      </c>
      <c r="R617">
        <f t="shared" si="991"/>
        <v>-79234744.916958615</v>
      </c>
      <c r="S617">
        <f t="shared" si="992"/>
        <v>-792.34744916958618</v>
      </c>
      <c r="T617">
        <f t="shared" si="993"/>
        <v>-0.79234744916958622</v>
      </c>
    </row>
    <row r="618" spans="1:20" x14ac:dyDescent="0.25">
      <c r="A618" s="5">
        <v>43975</v>
      </c>
      <c r="B618">
        <v>0.29360000000000003</v>
      </c>
      <c r="C618">
        <v>0.29849999999999999</v>
      </c>
      <c r="D618">
        <v>0.2646</v>
      </c>
      <c r="E618">
        <v>0.26719999999999999</v>
      </c>
      <c r="F618">
        <v>2625731.86</v>
      </c>
      <c r="G618">
        <v>0</v>
      </c>
      <c r="L618" t="s">
        <v>7</v>
      </c>
      <c r="M618" t="s">
        <v>7</v>
      </c>
      <c r="N618" t="s">
        <v>7</v>
      </c>
      <c r="P618">
        <f t="shared" si="989"/>
        <v>-0.84660766961651968</v>
      </c>
      <c r="Q618">
        <f t="shared" si="990"/>
        <v>-2222964.7310324498</v>
      </c>
      <c r="R618">
        <f t="shared" si="991"/>
        <v>-78715769.077672884</v>
      </c>
      <c r="S618">
        <f t="shared" si="992"/>
        <v>-787.15769077672883</v>
      </c>
      <c r="T618">
        <f t="shared" si="993"/>
        <v>-0.78715769077672881</v>
      </c>
    </row>
    <row r="619" spans="1:20" x14ac:dyDescent="0.25">
      <c r="A619" s="5">
        <v>43974</v>
      </c>
      <c r="B619">
        <v>0.29770000000000002</v>
      </c>
      <c r="C619">
        <v>0.3029</v>
      </c>
      <c r="D619">
        <v>0.29039999999999999</v>
      </c>
      <c r="E619">
        <v>0.29360000000000003</v>
      </c>
      <c r="F619">
        <v>1863257.2</v>
      </c>
      <c r="G619">
        <v>0</v>
      </c>
      <c r="L619" t="s">
        <v>8</v>
      </c>
      <c r="M619" t="s">
        <v>7</v>
      </c>
      <c r="N619" t="s">
        <v>7</v>
      </c>
      <c r="P619">
        <f t="shared" si="989"/>
        <v>-0.48799999999999466</v>
      </c>
      <c r="Q619">
        <f t="shared" si="990"/>
        <v>-909269.51359999005</v>
      </c>
      <c r="R619">
        <f t="shared" si="991"/>
        <v>-76492804.346640438</v>
      </c>
      <c r="S619">
        <f t="shared" si="992"/>
        <v>-764.92804346640435</v>
      </c>
      <c r="T619">
        <f t="shared" si="993"/>
        <v>-0.76492804346640431</v>
      </c>
    </row>
    <row r="620" spans="1:20" x14ac:dyDescent="0.25">
      <c r="A620" s="5">
        <v>43973</v>
      </c>
      <c r="B620">
        <v>0.2944</v>
      </c>
      <c r="C620">
        <v>0.30590000000000001</v>
      </c>
      <c r="D620">
        <v>0.28839999999999999</v>
      </c>
      <c r="E620">
        <v>0.2974</v>
      </c>
      <c r="F620">
        <v>2528216.9</v>
      </c>
      <c r="G620">
        <v>0</v>
      </c>
      <c r="L620" t="s">
        <v>8</v>
      </c>
      <c r="M620" t="s">
        <v>7</v>
      </c>
      <c r="N620" t="s">
        <v>7</v>
      </c>
      <c r="P620">
        <f t="shared" si="989"/>
        <v>2.8571428571428571E-2</v>
      </c>
      <c r="Q620">
        <f t="shared" si="990"/>
        <v>72234.768571428562</v>
      </c>
      <c r="R620">
        <f t="shared" si="991"/>
        <v>-75583534.833040446</v>
      </c>
      <c r="S620">
        <f t="shared" si="992"/>
        <v>-755.83534833040449</v>
      </c>
      <c r="T620">
        <f t="shared" si="993"/>
        <v>-0.75583534833040444</v>
      </c>
    </row>
    <row r="621" spans="1:20" x14ac:dyDescent="0.25">
      <c r="A621" s="5">
        <v>43972</v>
      </c>
      <c r="B621">
        <v>0.318</v>
      </c>
      <c r="C621">
        <v>0.32200000000000001</v>
      </c>
      <c r="D621">
        <v>0.2868</v>
      </c>
      <c r="E621">
        <v>0.2944</v>
      </c>
      <c r="F621">
        <v>2690867.67</v>
      </c>
      <c r="G621">
        <v>0</v>
      </c>
      <c r="L621" t="s">
        <v>7</v>
      </c>
      <c r="M621" t="s">
        <v>7</v>
      </c>
      <c r="N621" t="s">
        <v>7</v>
      </c>
      <c r="P621">
        <f t="shared" si="989"/>
        <v>-0.56818181818181857</v>
      </c>
      <c r="Q621">
        <f t="shared" si="990"/>
        <v>-1528902.0852272736</v>
      </c>
      <c r="R621">
        <f t="shared" si="991"/>
        <v>-75655769.601611868</v>
      </c>
      <c r="S621">
        <f t="shared" si="992"/>
        <v>-756.55769601611871</v>
      </c>
      <c r="T621">
        <f t="shared" si="993"/>
        <v>-0.75655769601611866</v>
      </c>
    </row>
    <row r="622" spans="1:20" x14ac:dyDescent="0.25">
      <c r="A622" s="5">
        <v>43971</v>
      </c>
      <c r="B622">
        <v>0.316</v>
      </c>
      <c r="C622">
        <v>0.33750000000000002</v>
      </c>
      <c r="D622">
        <v>0.31209999999999999</v>
      </c>
      <c r="E622">
        <v>0.31900000000000001</v>
      </c>
      <c r="F622">
        <v>5248748.2300000004</v>
      </c>
      <c r="G622">
        <v>0</v>
      </c>
      <c r="L622" t="s">
        <v>7</v>
      </c>
      <c r="M622" t="s">
        <v>8</v>
      </c>
      <c r="N622" t="s">
        <v>7</v>
      </c>
      <c r="P622">
        <f t="shared" si="989"/>
        <v>-0.45669291338582613</v>
      </c>
      <c r="Q622">
        <f t="shared" si="990"/>
        <v>-2397066.1207873984</v>
      </c>
      <c r="R622">
        <f t="shared" si="991"/>
        <v>-74126867.516384587</v>
      </c>
      <c r="S622">
        <f t="shared" si="992"/>
        <v>-741.26867516384584</v>
      </c>
      <c r="T622">
        <f t="shared" si="993"/>
        <v>-0.74126867516384587</v>
      </c>
    </row>
    <row r="623" spans="1:20" x14ac:dyDescent="0.25">
      <c r="A623" s="5">
        <v>43970</v>
      </c>
      <c r="B623">
        <v>0.3221</v>
      </c>
      <c r="C623">
        <v>0.373</v>
      </c>
      <c r="D623">
        <v>0.31340000000000001</v>
      </c>
      <c r="E623">
        <v>0.31659999999999999</v>
      </c>
      <c r="F623">
        <v>8780242.9499999993</v>
      </c>
      <c r="G623">
        <v>0</v>
      </c>
      <c r="L623" t="s">
        <v>8</v>
      </c>
      <c r="M623" t="s">
        <v>8</v>
      </c>
      <c r="N623" t="s">
        <v>7</v>
      </c>
      <c r="P623">
        <f t="shared" si="989"/>
        <v>-0.89261744966443013</v>
      </c>
      <c r="Q623">
        <f t="shared" si="990"/>
        <v>-7837398.0694630919</v>
      </c>
      <c r="R623">
        <f t="shared" si="991"/>
        <v>-71729801.39559719</v>
      </c>
      <c r="S623">
        <f t="shared" si="992"/>
        <v>-717.2980139559719</v>
      </c>
      <c r="T623">
        <f t="shared" si="993"/>
        <v>-0.71729801395597192</v>
      </c>
    </row>
    <row r="624" spans="1:20" x14ac:dyDescent="0.25">
      <c r="A624" s="5">
        <v>43969</v>
      </c>
      <c r="B624">
        <v>0.35270000000000001</v>
      </c>
      <c r="C624">
        <v>0.35349999999999998</v>
      </c>
      <c r="D624">
        <v>0.32050000000000001</v>
      </c>
      <c r="E624">
        <v>0.3221</v>
      </c>
      <c r="F624">
        <v>4369090.93</v>
      </c>
      <c r="G624">
        <v>0</v>
      </c>
      <c r="L624" t="s">
        <v>8</v>
      </c>
      <c r="M624" t="s">
        <v>7</v>
      </c>
      <c r="N624" t="s">
        <v>7</v>
      </c>
      <c r="P624">
        <f t="shared" si="989"/>
        <v>-0.90303030303030352</v>
      </c>
      <c r="Q624">
        <f t="shared" si="990"/>
        <v>-3945421.5064848503</v>
      </c>
      <c r="R624">
        <f t="shared" si="991"/>
        <v>-63892403.326134093</v>
      </c>
      <c r="S624">
        <f t="shared" si="992"/>
        <v>-638.92403326134092</v>
      </c>
      <c r="T624">
        <f t="shared" si="993"/>
        <v>-0.63892403326134095</v>
      </c>
    </row>
    <row r="625" spans="1:20" x14ac:dyDescent="0.25">
      <c r="A625" s="5">
        <v>43968</v>
      </c>
      <c r="B625">
        <v>0.30730000000000002</v>
      </c>
      <c r="C625">
        <v>0.35849999999999999</v>
      </c>
      <c r="D625">
        <v>0.3</v>
      </c>
      <c r="E625">
        <v>0.35270000000000001</v>
      </c>
      <c r="F625">
        <v>3638821.15</v>
      </c>
      <c r="G625">
        <v>0</v>
      </c>
      <c r="L625" t="s">
        <v>7</v>
      </c>
      <c r="M625" t="s">
        <v>7</v>
      </c>
      <c r="N625" t="s">
        <v>7</v>
      </c>
      <c r="P625">
        <f t="shared" si="989"/>
        <v>0.80170940170940264</v>
      </c>
      <c r="Q625">
        <f t="shared" si="990"/>
        <v>2917277.1270940206</v>
      </c>
      <c r="R625">
        <f t="shared" si="991"/>
        <v>-59946981.819649242</v>
      </c>
      <c r="S625">
        <f t="shared" si="992"/>
        <v>-599.46981819649238</v>
      </c>
      <c r="T625">
        <f t="shared" si="993"/>
        <v>-0.59946981819649237</v>
      </c>
    </row>
    <row r="626" spans="1:20" x14ac:dyDescent="0.25">
      <c r="A626" s="5">
        <v>43967</v>
      </c>
      <c r="B626">
        <v>0.31580000000000003</v>
      </c>
      <c r="C626">
        <v>0.317</v>
      </c>
      <c r="D626">
        <v>0.30570000000000003</v>
      </c>
      <c r="E626">
        <v>0.30769999999999997</v>
      </c>
      <c r="F626">
        <v>1137619.3899999999</v>
      </c>
      <c r="G626">
        <v>0</v>
      </c>
      <c r="L626" t="s">
        <v>7</v>
      </c>
      <c r="M626" t="s">
        <v>7</v>
      </c>
      <c r="N626" t="s">
        <v>7</v>
      </c>
      <c r="P626">
        <f t="shared" si="989"/>
        <v>-0.64601769911505302</v>
      </c>
      <c r="Q626">
        <f t="shared" si="990"/>
        <v>-734922.2607964701</v>
      </c>
      <c r="R626">
        <f t="shared" si="991"/>
        <v>-62864258.946743265</v>
      </c>
      <c r="S626">
        <f t="shared" si="992"/>
        <v>-628.64258946743269</v>
      </c>
      <c r="T626">
        <f t="shared" si="993"/>
        <v>-0.62864258946743268</v>
      </c>
    </row>
    <row r="627" spans="1:20" x14ac:dyDescent="0.25">
      <c r="A627" s="5">
        <v>43966</v>
      </c>
      <c r="B627">
        <v>0.33100000000000002</v>
      </c>
      <c r="C627">
        <v>0.33510000000000001</v>
      </c>
      <c r="D627">
        <v>0.308</v>
      </c>
      <c r="E627">
        <v>0.31480000000000002</v>
      </c>
      <c r="F627">
        <v>1118502.1000000001</v>
      </c>
      <c r="G627">
        <v>0</v>
      </c>
      <c r="L627" t="s">
        <v>7</v>
      </c>
      <c r="M627" t="s">
        <v>7</v>
      </c>
      <c r="N627" t="s">
        <v>7</v>
      </c>
      <c r="P627">
        <f t="shared" si="989"/>
        <v>-0.49815498154981364</v>
      </c>
      <c r="Q627">
        <f t="shared" si="990"/>
        <v>-557187.3929889279</v>
      </c>
      <c r="R627">
        <f t="shared" si="991"/>
        <v>-62129336.685946792</v>
      </c>
      <c r="S627">
        <f t="shared" si="992"/>
        <v>-621.29336685946794</v>
      </c>
      <c r="T627">
        <f t="shared" si="993"/>
        <v>-0.6212933668594679</v>
      </c>
    </row>
    <row r="628" spans="1:20" x14ac:dyDescent="0.25">
      <c r="A628" s="5">
        <v>43965</v>
      </c>
      <c r="B628">
        <v>0.32300000000000001</v>
      </c>
      <c r="C628">
        <v>0.33979999999999999</v>
      </c>
      <c r="D628">
        <v>0.31759999999999999</v>
      </c>
      <c r="E628">
        <v>0.33100000000000002</v>
      </c>
      <c r="F628">
        <v>1748907.16</v>
      </c>
      <c r="G628">
        <v>0</v>
      </c>
      <c r="L628" t="s">
        <v>8</v>
      </c>
      <c r="M628" t="s">
        <v>8</v>
      </c>
      <c r="N628" t="s">
        <v>7</v>
      </c>
      <c r="P628">
        <f t="shared" si="989"/>
        <v>0.20720720720720942</v>
      </c>
      <c r="Q628">
        <f t="shared" si="990"/>
        <v>362386.16828829213</v>
      </c>
      <c r="R628">
        <f t="shared" si="991"/>
        <v>-61572149.292957865</v>
      </c>
      <c r="S628">
        <f t="shared" si="992"/>
        <v>-615.72149292957863</v>
      </c>
      <c r="T628">
        <f t="shared" si="993"/>
        <v>-0.61572149292957867</v>
      </c>
    </row>
    <row r="629" spans="1:20" x14ac:dyDescent="0.25">
      <c r="A629" s="5">
        <v>43964</v>
      </c>
      <c r="B629">
        <v>0.3221</v>
      </c>
      <c r="C629">
        <v>0.32919999999999999</v>
      </c>
      <c r="D629">
        <v>0.32</v>
      </c>
      <c r="E629">
        <v>0.3226</v>
      </c>
      <c r="F629">
        <v>1270854.9099999999</v>
      </c>
      <c r="G629">
        <v>0</v>
      </c>
      <c r="L629" t="s">
        <v>7</v>
      </c>
      <c r="M629" t="s">
        <v>8</v>
      </c>
      <c r="N629" t="s">
        <v>7</v>
      </c>
      <c r="P629">
        <f t="shared" si="989"/>
        <v>-0.43478260869565322</v>
      </c>
      <c r="Q629">
        <f t="shared" si="990"/>
        <v>-552545.6130434795</v>
      </c>
      <c r="R629">
        <f t="shared" si="991"/>
        <v>-61934535.461246155</v>
      </c>
      <c r="S629">
        <f t="shared" si="992"/>
        <v>-619.34535461246151</v>
      </c>
      <c r="T629">
        <f t="shared" si="993"/>
        <v>-0.61934535461246154</v>
      </c>
    </row>
    <row r="630" spans="1:20" x14ac:dyDescent="0.25">
      <c r="A630" s="5">
        <v>43963</v>
      </c>
      <c r="B630">
        <v>0.31830000000000003</v>
      </c>
      <c r="C630">
        <v>0.34</v>
      </c>
      <c r="D630">
        <v>0.3105</v>
      </c>
      <c r="E630">
        <v>0.32290000000000002</v>
      </c>
      <c r="F630">
        <v>1752010.73</v>
      </c>
      <c r="G630">
        <v>0</v>
      </c>
      <c r="L630" t="s">
        <v>7</v>
      </c>
      <c r="M630" t="s">
        <v>8</v>
      </c>
      <c r="N630" t="s">
        <v>7</v>
      </c>
      <c r="P630">
        <f t="shared" si="989"/>
        <v>-0.15932203389830432</v>
      </c>
      <c r="Q630">
        <f t="shared" si="990"/>
        <v>-279133.91291525291</v>
      </c>
      <c r="R630">
        <f t="shared" si="991"/>
        <v>-61381989.848202676</v>
      </c>
      <c r="S630">
        <f t="shared" si="992"/>
        <v>-613.8198984820267</v>
      </c>
      <c r="T630">
        <f t="shared" si="993"/>
        <v>-0.61381989848202667</v>
      </c>
    </row>
    <row r="631" spans="1:20" x14ac:dyDescent="0.25">
      <c r="A631" s="5">
        <v>43962</v>
      </c>
      <c r="B631">
        <v>0.307</v>
      </c>
      <c r="C631">
        <v>0.3654</v>
      </c>
      <c r="D631">
        <v>0.307</v>
      </c>
      <c r="E631">
        <v>0.31890000000000002</v>
      </c>
      <c r="F631">
        <v>3942022.66</v>
      </c>
      <c r="G631">
        <v>0</v>
      </c>
      <c r="L631" t="s">
        <v>8</v>
      </c>
      <c r="M631" t="s">
        <v>8</v>
      </c>
      <c r="N631" t="s">
        <v>7</v>
      </c>
      <c r="P631">
        <f t="shared" si="989"/>
        <v>-0.59246575342465679</v>
      </c>
      <c r="Q631">
        <f t="shared" si="990"/>
        <v>-2335513.4252739698</v>
      </c>
      <c r="R631">
        <f t="shared" si="991"/>
        <v>-61102855.935287423</v>
      </c>
      <c r="S631">
        <f t="shared" si="992"/>
        <v>-611.02855935287425</v>
      </c>
      <c r="T631">
        <f t="shared" si="993"/>
        <v>-0.61102855935287426</v>
      </c>
    </row>
    <row r="632" spans="1:20" x14ac:dyDescent="0.25">
      <c r="A632" s="5">
        <v>43961</v>
      </c>
      <c r="B632">
        <v>0.35010000000000002</v>
      </c>
      <c r="C632">
        <v>0.35070000000000001</v>
      </c>
      <c r="D632">
        <v>0.29189999999999999</v>
      </c>
      <c r="E632">
        <v>0.307</v>
      </c>
      <c r="F632">
        <v>2992874.5</v>
      </c>
      <c r="G632">
        <v>0</v>
      </c>
      <c r="L632" t="s">
        <v>7</v>
      </c>
      <c r="M632" t="s">
        <v>7</v>
      </c>
      <c r="N632" t="s">
        <v>7</v>
      </c>
      <c r="P632">
        <f t="shared" si="989"/>
        <v>-0.48639455782312935</v>
      </c>
      <c r="Q632">
        <f t="shared" si="990"/>
        <v>-1455717.8690476194</v>
      </c>
      <c r="R632">
        <f t="shared" si="991"/>
        <v>-58767342.510013454</v>
      </c>
      <c r="S632">
        <f t="shared" si="992"/>
        <v>-587.67342510013452</v>
      </c>
      <c r="T632">
        <f t="shared" si="993"/>
        <v>-0.58767342510013454</v>
      </c>
    </row>
    <row r="633" spans="1:20" x14ac:dyDescent="0.25">
      <c r="A633" s="5">
        <v>43960</v>
      </c>
      <c r="B633">
        <v>0.36209999999999998</v>
      </c>
      <c r="C633">
        <v>0.375</v>
      </c>
      <c r="D633">
        <v>0.34849999999999998</v>
      </c>
      <c r="E633">
        <v>0.35020000000000001</v>
      </c>
      <c r="F633">
        <v>1969815.75</v>
      </c>
      <c r="G633">
        <v>0</v>
      </c>
      <c r="L633" t="s">
        <v>7</v>
      </c>
      <c r="M633" t="s">
        <v>7</v>
      </c>
      <c r="N633" t="s">
        <v>7</v>
      </c>
      <c r="P633">
        <f t="shared" si="989"/>
        <v>-0.87169811320754464</v>
      </c>
      <c r="Q633">
        <f t="shared" si="990"/>
        <v>-1717084.6726415046</v>
      </c>
      <c r="R633">
        <f t="shared" si="991"/>
        <v>-57311624.640965834</v>
      </c>
      <c r="S633">
        <f t="shared" si="992"/>
        <v>-573.11624640965829</v>
      </c>
      <c r="T633">
        <f t="shared" si="993"/>
        <v>-0.5731162464096583</v>
      </c>
    </row>
    <row r="634" spans="1:20" x14ac:dyDescent="0.25">
      <c r="A634" s="5">
        <v>43959</v>
      </c>
      <c r="B634">
        <v>0.36080000000000001</v>
      </c>
      <c r="C634">
        <v>0.39550000000000002</v>
      </c>
      <c r="D634">
        <v>0.36080000000000001</v>
      </c>
      <c r="E634">
        <v>0.36199999999999999</v>
      </c>
      <c r="F634">
        <v>2596086.2400000002</v>
      </c>
      <c r="G634">
        <v>0</v>
      </c>
      <c r="L634" t="s">
        <v>8</v>
      </c>
      <c r="M634" t="s">
        <v>7</v>
      </c>
      <c r="N634" t="s">
        <v>8</v>
      </c>
      <c r="P634">
        <f t="shared" si="989"/>
        <v>-0.93083573487031823</v>
      </c>
      <c r="Q634">
        <f t="shared" si="990"/>
        <v>-2416529.8429971216</v>
      </c>
      <c r="R634">
        <f t="shared" si="991"/>
        <v>-55594539.968324326</v>
      </c>
      <c r="S634">
        <f t="shared" si="992"/>
        <v>-555.94539968324329</v>
      </c>
      <c r="T634">
        <f t="shared" si="993"/>
        <v>-0.5559453996832433</v>
      </c>
    </row>
    <row r="635" spans="1:20" x14ac:dyDescent="0.25">
      <c r="A635" s="5">
        <v>43958</v>
      </c>
      <c r="B635">
        <v>0.37080000000000002</v>
      </c>
      <c r="C635">
        <v>0.38540000000000002</v>
      </c>
      <c r="D635">
        <v>0.35189999999999999</v>
      </c>
      <c r="E635">
        <v>0.3604</v>
      </c>
      <c r="F635">
        <v>3685069.84</v>
      </c>
      <c r="G635">
        <v>0</v>
      </c>
      <c r="L635" t="s">
        <v>7</v>
      </c>
      <c r="M635" t="s">
        <v>7</v>
      </c>
      <c r="N635" t="s">
        <v>8</v>
      </c>
      <c r="P635">
        <f t="shared" si="989"/>
        <v>-0.4925373134328358</v>
      </c>
      <c r="Q635">
        <f t="shared" si="990"/>
        <v>-1815034.3988059701</v>
      </c>
      <c r="R635">
        <f t="shared" si="991"/>
        <v>-53178010.125327207</v>
      </c>
      <c r="S635">
        <f t="shared" si="992"/>
        <v>-531.78010125327205</v>
      </c>
      <c r="T635">
        <f t="shared" si="993"/>
        <v>-0.53178010125327202</v>
      </c>
    </row>
    <row r="636" spans="1:20" x14ac:dyDescent="0.25">
      <c r="A636" s="5">
        <v>43957</v>
      </c>
      <c r="B636">
        <v>0.40129999999999999</v>
      </c>
      <c r="C636">
        <v>0.40899999999999997</v>
      </c>
      <c r="D636">
        <v>0.36099999999999999</v>
      </c>
      <c r="E636">
        <v>0.37080000000000002</v>
      </c>
      <c r="F636">
        <v>5181761.3499999996</v>
      </c>
      <c r="G636">
        <v>0</v>
      </c>
      <c r="L636" t="s">
        <v>7</v>
      </c>
      <c r="M636" t="s">
        <v>7</v>
      </c>
      <c r="N636" t="s">
        <v>8</v>
      </c>
      <c r="P636">
        <f t="shared" si="989"/>
        <v>-0.59166666666666523</v>
      </c>
      <c r="Q636">
        <f t="shared" si="990"/>
        <v>-3065875.4654166591</v>
      </c>
      <c r="R636">
        <f t="shared" si="991"/>
        <v>-51362975.726521239</v>
      </c>
      <c r="S636">
        <f t="shared" si="992"/>
        <v>-513.62975726521233</v>
      </c>
      <c r="T636">
        <f t="shared" si="993"/>
        <v>-0.51362975726521232</v>
      </c>
    </row>
    <row r="637" spans="1:20" x14ac:dyDescent="0.25">
      <c r="A637" s="5">
        <v>43956</v>
      </c>
      <c r="B637">
        <v>0.42409999999999998</v>
      </c>
      <c r="C637">
        <v>0.437</v>
      </c>
      <c r="D637">
        <v>0.39100000000000001</v>
      </c>
      <c r="E637">
        <v>0.4007</v>
      </c>
      <c r="F637">
        <v>7335302.8300000001</v>
      </c>
      <c r="G637">
        <v>0</v>
      </c>
      <c r="L637" t="s">
        <v>7</v>
      </c>
      <c r="M637" t="s">
        <v>7</v>
      </c>
      <c r="N637" t="s">
        <v>8</v>
      </c>
      <c r="P637">
        <f t="shared" si="989"/>
        <v>-0.57826086956521783</v>
      </c>
      <c r="Q637">
        <f t="shared" si="990"/>
        <v>-4241718.5930000031</v>
      </c>
      <c r="R637">
        <f t="shared" si="991"/>
        <v>-48297100.261104576</v>
      </c>
      <c r="S637">
        <f t="shared" si="992"/>
        <v>-482.97100261104578</v>
      </c>
      <c r="T637">
        <f t="shared" si="993"/>
        <v>-0.48297100261104575</v>
      </c>
    </row>
    <row r="638" spans="1:20" x14ac:dyDescent="0.25">
      <c r="A638" s="5">
        <v>43955</v>
      </c>
      <c r="B638">
        <v>0.40610000000000002</v>
      </c>
      <c r="C638">
        <v>0.47339999999999999</v>
      </c>
      <c r="D638">
        <v>0.36030000000000001</v>
      </c>
      <c r="E638">
        <v>0.42309999999999998</v>
      </c>
      <c r="F638">
        <v>24012971.960000001</v>
      </c>
      <c r="G638">
        <v>0</v>
      </c>
      <c r="L638" t="s">
        <v>8</v>
      </c>
      <c r="M638" t="s">
        <v>8</v>
      </c>
      <c r="N638" t="s">
        <v>8</v>
      </c>
      <c r="P638">
        <f t="shared" si="989"/>
        <v>0.1105216622457998</v>
      </c>
      <c r="Q638">
        <f t="shared" si="990"/>
        <v>2653953.5764809814</v>
      </c>
      <c r="R638">
        <f t="shared" si="991"/>
        <v>-44055381.668104574</v>
      </c>
      <c r="S638">
        <f t="shared" si="992"/>
        <v>-440.55381668104576</v>
      </c>
      <c r="T638">
        <f t="shared" si="993"/>
        <v>-0.44055381668104576</v>
      </c>
    </row>
    <row r="639" spans="1:20" x14ac:dyDescent="0.25">
      <c r="A639" s="5">
        <v>43954</v>
      </c>
      <c r="B639">
        <v>0.33860000000000001</v>
      </c>
      <c r="C639">
        <v>0.43880000000000002</v>
      </c>
      <c r="D639">
        <v>0.30590000000000001</v>
      </c>
      <c r="E639">
        <v>0.40610000000000002</v>
      </c>
      <c r="F639">
        <v>20210374.41</v>
      </c>
      <c r="G639">
        <v>0</v>
      </c>
      <c r="L639" t="s">
        <v>7</v>
      </c>
      <c r="M639" t="s">
        <v>7</v>
      </c>
      <c r="N639" t="s">
        <v>7</v>
      </c>
      <c r="P639">
        <f t="shared" si="989"/>
        <v>0.50790067720090293</v>
      </c>
      <c r="Q639">
        <f t="shared" si="990"/>
        <v>10264862.8493228</v>
      </c>
      <c r="R639">
        <f t="shared" si="991"/>
        <v>-46709335.244585559</v>
      </c>
      <c r="S639">
        <f t="shared" si="992"/>
        <v>-467.0933524458556</v>
      </c>
      <c r="T639">
        <f t="shared" si="993"/>
        <v>-0.46709335244585559</v>
      </c>
    </row>
    <row r="640" spans="1:20" x14ac:dyDescent="0.25">
      <c r="A640" s="5">
        <v>43953</v>
      </c>
      <c r="B640">
        <v>0.37169999999999997</v>
      </c>
      <c r="C640">
        <v>0.39169999999999999</v>
      </c>
      <c r="D640">
        <v>0.33779999999999999</v>
      </c>
      <c r="E640">
        <v>0.33860000000000001</v>
      </c>
      <c r="F640">
        <v>7226361.1500000004</v>
      </c>
      <c r="G640">
        <v>0</v>
      </c>
      <c r="L640" t="s">
        <v>7</v>
      </c>
      <c r="M640" t="s">
        <v>7</v>
      </c>
      <c r="N640" t="s">
        <v>7</v>
      </c>
      <c r="P640">
        <f t="shared" si="989"/>
        <v>-0.97031539888682661</v>
      </c>
      <c r="Q640">
        <f t="shared" si="990"/>
        <v>-7011849.5017625177</v>
      </c>
      <c r="R640">
        <f t="shared" si="991"/>
        <v>-56974198.093908362</v>
      </c>
      <c r="S640">
        <f t="shared" si="992"/>
        <v>-569.74198093908365</v>
      </c>
      <c r="T640">
        <f t="shared" si="993"/>
        <v>-0.56974198093908368</v>
      </c>
    </row>
    <row r="641" spans="1:20" x14ac:dyDescent="0.25">
      <c r="A641" s="5">
        <v>43952</v>
      </c>
      <c r="B641">
        <v>0.41860000000000003</v>
      </c>
      <c r="C641">
        <v>0.4224</v>
      </c>
      <c r="D641">
        <v>0.36449999999999999</v>
      </c>
      <c r="E641">
        <v>0.37080000000000002</v>
      </c>
      <c r="F641">
        <v>6929603.5700000003</v>
      </c>
      <c r="G641">
        <v>0</v>
      </c>
      <c r="L641" t="s">
        <v>7</v>
      </c>
      <c r="M641" t="s">
        <v>7</v>
      </c>
      <c r="N641" t="s">
        <v>7</v>
      </c>
      <c r="P641">
        <f t="shared" si="989"/>
        <v>-0.78238341968911829</v>
      </c>
      <c r="Q641">
        <f t="shared" si="990"/>
        <v>-5421606.9381865226</v>
      </c>
      <c r="R641">
        <f t="shared" si="991"/>
        <v>-49962348.592145845</v>
      </c>
      <c r="S641">
        <f t="shared" si="992"/>
        <v>-499.62348592145844</v>
      </c>
      <c r="T641">
        <f t="shared" si="993"/>
        <v>-0.49962348592145844</v>
      </c>
    </row>
    <row r="642" spans="1:20" x14ac:dyDescent="0.25">
      <c r="A642" s="5">
        <v>43951</v>
      </c>
      <c r="B642">
        <v>0.44429999999999997</v>
      </c>
      <c r="C642">
        <v>0.48930000000000001</v>
      </c>
      <c r="D642">
        <v>0.41599999999999998</v>
      </c>
      <c r="E642">
        <v>0.41860000000000003</v>
      </c>
      <c r="F642">
        <v>7504188.4199999999</v>
      </c>
      <c r="G642">
        <v>0</v>
      </c>
      <c r="L642" t="s">
        <v>8</v>
      </c>
      <c r="M642" t="s">
        <v>8</v>
      </c>
      <c r="N642" t="s">
        <v>7</v>
      </c>
      <c r="P642">
        <f t="shared" si="989"/>
        <v>-0.92905866302864815</v>
      </c>
      <c r="Q642">
        <f t="shared" si="990"/>
        <v>-6971831.2606002633</v>
      </c>
      <c r="R642">
        <f t="shared" si="991"/>
        <v>-44540741.653959326</v>
      </c>
      <c r="S642">
        <f t="shared" si="992"/>
        <v>-445.40741653959327</v>
      </c>
      <c r="T642">
        <f t="shared" si="993"/>
        <v>-0.44540741653959326</v>
      </c>
    </row>
    <row r="643" spans="1:20" x14ac:dyDescent="0.25">
      <c r="A643" s="5">
        <v>43950</v>
      </c>
      <c r="B643">
        <v>0.44140000000000001</v>
      </c>
      <c r="C643">
        <v>0.50380000000000003</v>
      </c>
      <c r="D643">
        <v>0.39279999999999998</v>
      </c>
      <c r="E643">
        <v>0.44429999999999997</v>
      </c>
      <c r="F643">
        <v>17343441.23</v>
      </c>
      <c r="G643">
        <v>0</v>
      </c>
      <c r="L643" t="s">
        <v>7</v>
      </c>
      <c r="M643" t="s">
        <v>7</v>
      </c>
      <c r="N643" t="s">
        <v>7</v>
      </c>
      <c r="P643">
        <f t="shared" si="989"/>
        <v>-7.2072072072072613E-2</v>
      </c>
      <c r="Q643">
        <f t="shared" si="990"/>
        <v>-1249977.7463063158</v>
      </c>
      <c r="R643">
        <f t="shared" si="991"/>
        <v>-37568910.393359065</v>
      </c>
      <c r="S643">
        <f t="shared" si="992"/>
        <v>-375.68910393359067</v>
      </c>
      <c r="T643">
        <f t="shared" si="993"/>
        <v>-0.37568910393359067</v>
      </c>
    </row>
    <row r="644" spans="1:20" x14ac:dyDescent="0.25">
      <c r="A644" s="5">
        <v>43949</v>
      </c>
      <c r="B644">
        <v>0.44900000000000001</v>
      </c>
      <c r="C644">
        <v>0.49919999999999998</v>
      </c>
      <c r="D644">
        <v>0.42309999999999998</v>
      </c>
      <c r="E644">
        <v>0.44140000000000001</v>
      </c>
      <c r="F644">
        <v>9890494.1300000008</v>
      </c>
      <c r="G644">
        <v>0</v>
      </c>
      <c r="L644" t="s">
        <v>7</v>
      </c>
      <c r="M644" t="s">
        <v>7</v>
      </c>
      <c r="N644" t="s">
        <v>7</v>
      </c>
      <c r="P644">
        <f t="shared" si="989"/>
        <v>-0.51905387647831702</v>
      </c>
      <c r="Q644">
        <f t="shared" si="990"/>
        <v>-5133699.3184625404</v>
      </c>
      <c r="R644">
        <f t="shared" si="991"/>
        <v>-36318932.64705275</v>
      </c>
      <c r="S644">
        <f t="shared" si="992"/>
        <v>-363.18932647052748</v>
      </c>
      <c r="T644">
        <f t="shared" si="993"/>
        <v>-0.36318932647052748</v>
      </c>
    </row>
    <row r="645" spans="1:20" x14ac:dyDescent="0.25">
      <c r="A645" s="5">
        <v>43948</v>
      </c>
      <c r="B645">
        <v>0.4178</v>
      </c>
      <c r="C645">
        <v>0.92</v>
      </c>
      <c r="D645">
        <v>0.4178</v>
      </c>
      <c r="E645">
        <v>0.44800000000000001</v>
      </c>
      <c r="F645">
        <v>35448674.009999998</v>
      </c>
      <c r="G645">
        <v>0</v>
      </c>
      <c r="P645">
        <f t="shared" si="989"/>
        <v>-0.87972919155714868</v>
      </c>
      <c r="Q645">
        <f t="shared" si="990"/>
        <v>-31185233.328590207</v>
      </c>
      <c r="R645">
        <f t="shared" si="991"/>
        <v>-31185233.328590207</v>
      </c>
      <c r="S645">
        <f t="shared" si="992"/>
        <v>-311.85233328590209</v>
      </c>
      <c r="T645">
        <f t="shared" si="993"/>
        <v>-0.31185233328590212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LD595" sqref="LD595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$A$594</v>
      </c>
      <c r="D111" s="1" t="str">
        <f>ADDRESS(C121-1,D121,1,1)</f>
        <v>$LD$594</v>
      </c>
      <c r="E111"/>
    </row>
    <row r="112" spans="1:5" x14ac:dyDescent="0.25">
      <c r="A112" s="7">
        <v>12164.144957890772</v>
      </c>
      <c r="C112" s="1" t="str">
        <f>ADDRESS(C121,1,1,1)</f>
        <v>$A$595</v>
      </c>
      <c r="D112" s="1" t="str">
        <f>ADDRESS(C121,D121-1,1,1)</f>
        <v>$LC$595</v>
      </c>
      <c r="E112"/>
    </row>
    <row r="113" spans="1:5" x14ac:dyDescent="0.25">
      <c r="A113" s="7">
        <v>11925.63231165762</v>
      </c>
      <c r="C113" s="1" t="str">
        <f>ADDRESS(C121+1,1,1,1)</f>
        <v>$A$596</v>
      </c>
      <c r="D113" s="1" t="str">
        <f>ADDRESS(C121-1,D121+1,1,1)</f>
        <v>$LE$594</v>
      </c>
    </row>
    <row r="114" spans="1:5" x14ac:dyDescent="0.25">
      <c r="A114" s="7">
        <v>11691.796383978059</v>
      </c>
      <c r="C114" s="1" t="str">
        <f>ADDRESS(C121,D121,1,1)</f>
        <v>$LD$595</v>
      </c>
      <c r="D114" s="1" t="str">
        <f>ADDRESS(C121+1,D121+1,1,1)</f>
        <v>$LE$596</v>
      </c>
    </row>
    <row r="115" spans="1:5" x14ac:dyDescent="0.25">
      <c r="A115" s="7">
        <v>11462.545474488292</v>
      </c>
      <c r="C115" s="1" t="str">
        <f>ADDRESS(C121+1,D121,1,1)</f>
        <v>$LD$596</v>
      </c>
    </row>
    <row r="116" spans="1:5" x14ac:dyDescent="0.25">
      <c r="A116" s="7">
        <v>11237.789680870874</v>
      </c>
      <c r="C116" s="1">
        <f>C117-1</f>
        <v>594</v>
      </c>
    </row>
    <row r="117" spans="1:5" x14ac:dyDescent="0.25">
      <c r="A117" s="7">
        <v>11017.440863598895</v>
      </c>
      <c r="C117" s="1">
        <f>C121</f>
        <v>595</v>
      </c>
      <c r="D117" s="1">
        <f>D121</f>
        <v>316</v>
      </c>
    </row>
    <row r="118" spans="1:5" x14ac:dyDescent="0.25">
      <c r="A118" s="7">
        <v>10801.412611371465</v>
      </c>
      <c r="C118" s="1">
        <f>C117+1</f>
        <v>596</v>
      </c>
      <c r="D118" s="1">
        <f>D117+1</f>
        <v>317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595</v>
      </c>
      <c r="D121" s="19">
        <v>316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R595</v>
      </c>
      <c r="D123" s="1" t="str">
        <f>"C"&amp;D121</f>
        <v>C316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0.85349037119011173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282" x14ac:dyDescent="0.25">
      <c r="A513" s="7">
        <v>4.3292504462035977</v>
      </c>
      <c r="B513"/>
      <c r="C513"/>
      <c r="D513"/>
      <c r="E513"/>
    </row>
    <row r="514" spans="1:282" x14ac:dyDescent="0.25">
      <c r="A514" s="7">
        <v>4.2443631825525463</v>
      </c>
      <c r="B514"/>
      <c r="C514"/>
      <c r="D514"/>
      <c r="E514"/>
    </row>
    <row r="515" spans="1:282" x14ac:dyDescent="0.25">
      <c r="A515" s="7">
        <v>4.1611403750515157</v>
      </c>
      <c r="B515"/>
      <c r="C515"/>
      <c r="D515"/>
      <c r="E515"/>
    </row>
    <row r="516" spans="1:282" x14ac:dyDescent="0.25">
      <c r="A516" s="7">
        <v>4.0795493873054074</v>
      </c>
      <c r="B516"/>
      <c r="C516"/>
      <c r="D516"/>
      <c r="E516"/>
    </row>
    <row r="517" spans="1:282" x14ac:dyDescent="0.25">
      <c r="A517" s="7">
        <v>3.9995582228484383</v>
      </c>
      <c r="B517"/>
      <c r="C517"/>
      <c r="D517"/>
      <c r="E517"/>
    </row>
    <row r="518" spans="1:282" x14ac:dyDescent="0.25">
      <c r="A518" s="7">
        <v>3.9211355125965079</v>
      </c>
      <c r="B518"/>
      <c r="C518"/>
      <c r="D518"/>
      <c r="E518"/>
    </row>
    <row r="519" spans="1:282" x14ac:dyDescent="0.25">
      <c r="A519" s="7">
        <v>3.844250502545596</v>
      </c>
      <c r="B519"/>
      <c r="C519"/>
      <c r="D519"/>
      <c r="E519"/>
    </row>
    <row r="520" spans="1:282" x14ac:dyDescent="0.25">
      <c r="A520" s="7">
        <v>3.7688730417113687</v>
      </c>
      <c r="B520"/>
      <c r="C520"/>
      <c r="D520"/>
      <c r="E520"/>
    </row>
    <row r="521" spans="1:282" x14ac:dyDescent="0.25">
      <c r="A521" s="7">
        <v>3.6949735703052635</v>
      </c>
      <c r="B521"/>
      <c r="C521"/>
      <c r="D521"/>
      <c r="E521"/>
    </row>
    <row r="522" spans="1:282" x14ac:dyDescent="0.25">
      <c r="A522" s="7">
        <v>3.6225231081424152</v>
      </c>
      <c r="B522"/>
      <c r="C522"/>
      <c r="D522"/>
      <c r="E522"/>
    </row>
    <row r="523" spans="1:282" x14ac:dyDescent="0.25">
      <c r="A523" s="7">
        <v>3.5514932432768775</v>
      </c>
      <c r="B523"/>
      <c r="C523"/>
      <c r="D523"/>
      <c r="E523"/>
    </row>
    <row r="524" spans="1:282" x14ac:dyDescent="0.25">
      <c r="A524" s="7">
        <v>3.4818561208596837</v>
      </c>
      <c r="B524"/>
      <c r="C524"/>
      <c r="D524"/>
      <c r="E524"/>
    </row>
    <row r="525" spans="1:282" x14ac:dyDescent="0.25">
      <c r="A525" s="7">
        <v>3.4135844322153761</v>
      </c>
      <c r="B525"/>
      <c r="C525"/>
      <c r="D525"/>
      <c r="E525"/>
      <c r="JU525" s="27" t="s">
        <v>8</v>
      </c>
    </row>
    <row r="526" spans="1:282" x14ac:dyDescent="0.25">
      <c r="A526" s="7">
        <v>3.3466514041327216</v>
      </c>
      <c r="B526"/>
      <c r="C526"/>
      <c r="D526"/>
      <c r="E526"/>
      <c r="JU526" s="27" t="s">
        <v>8</v>
      </c>
      <c r="JV526" s="27" t="s">
        <v>7</v>
      </c>
    </row>
    <row r="527" spans="1:282" x14ac:dyDescent="0.25">
      <c r="A527" s="7">
        <v>3.2810307883654133</v>
      </c>
      <c r="B527"/>
      <c r="C527"/>
      <c r="D527"/>
      <c r="E527"/>
      <c r="JU527" s="27" t="s">
        <v>8</v>
      </c>
      <c r="JV527" s="27" t="s">
        <v>7</v>
      </c>
    </row>
    <row r="528" spans="1:282" x14ac:dyDescent="0.25">
      <c r="A528" s="7">
        <v>3.2166968513386403</v>
      </c>
      <c r="B528"/>
      <c r="C528"/>
      <c r="D528"/>
      <c r="E528"/>
      <c r="JU528" s="27" t="s">
        <v>8</v>
      </c>
      <c r="JV528" s="27" t="s">
        <v>7</v>
      </c>
    </row>
    <row r="529" spans="1:284" x14ac:dyDescent="0.25">
      <c r="A529" s="7">
        <v>3.1536243640574906</v>
      </c>
      <c r="B529"/>
      <c r="C529"/>
      <c r="D529"/>
      <c r="E529"/>
      <c r="JU529" s="27" t="s">
        <v>8</v>
      </c>
      <c r="JV529" s="27" t="s">
        <v>7</v>
      </c>
    </row>
    <row r="530" spans="1:284" x14ac:dyDescent="0.25">
      <c r="A530" s="7">
        <v>3.0917885922132262</v>
      </c>
      <c r="B530"/>
      <c r="C530"/>
      <c r="D530"/>
      <c r="E530"/>
      <c r="JU530" s="27" t="s">
        <v>8</v>
      </c>
      <c r="JV530" s="27" t="s">
        <v>7</v>
      </c>
    </row>
    <row r="531" spans="1:284" x14ac:dyDescent="0.25">
      <c r="A531" s="7">
        <v>3.0311652864835552</v>
      </c>
      <c r="B531"/>
      <c r="C531"/>
      <c r="D531"/>
      <c r="E531"/>
      <c r="JU531" s="27" t="s">
        <v>8</v>
      </c>
      <c r="JV531" s="27" t="s">
        <v>7</v>
      </c>
      <c r="JW531" s="27" t="s">
        <v>8</v>
      </c>
    </row>
    <row r="532" spans="1:284" x14ac:dyDescent="0.25">
      <c r="A532" s="7">
        <v>2.9717306730230932</v>
      </c>
      <c r="B532"/>
      <c r="C532"/>
      <c r="D532"/>
      <c r="E532"/>
      <c r="JU532" s="27" t="s">
        <v>8</v>
      </c>
      <c r="JV532" s="27" t="s">
        <v>7</v>
      </c>
      <c r="JW532" s="27" t="s">
        <v>8</v>
      </c>
      <c r="JX532" s="27" t="s">
        <v>7</v>
      </c>
    </row>
    <row r="533" spans="1:284" x14ac:dyDescent="0.25">
      <c r="A533" s="7">
        <v>2.9134614441402875</v>
      </c>
      <c r="B533"/>
      <c r="C533"/>
      <c r="D533"/>
      <c r="E533"/>
      <c r="JU533" s="27" t="s">
        <v>8</v>
      </c>
      <c r="JV533" s="27" t="s">
        <v>7</v>
      </c>
      <c r="JW533" s="27" t="s">
        <v>8</v>
      </c>
      <c r="JX533" s="27" t="s">
        <v>7</v>
      </c>
    </row>
    <row r="534" spans="1:284" x14ac:dyDescent="0.25">
      <c r="A534" s="7">
        <v>2.8563347491571447</v>
      </c>
      <c r="B534"/>
      <c r="C534"/>
      <c r="D534"/>
      <c r="E534"/>
      <c r="JU534" s="27" t="s">
        <v>8</v>
      </c>
      <c r="JV534" s="27" t="s">
        <v>7</v>
      </c>
      <c r="JW534" s="27" t="s">
        <v>8</v>
      </c>
      <c r="JX534" s="27" t="s">
        <v>7</v>
      </c>
    </row>
    <row r="535" spans="1:284" x14ac:dyDescent="0.25">
      <c r="A535" s="7">
        <v>2.8003281854481812</v>
      </c>
      <c r="B535"/>
      <c r="C535"/>
      <c r="D535"/>
      <c r="E535"/>
      <c r="JU535" s="27" t="s">
        <v>8</v>
      </c>
      <c r="JV535" s="27" t="s">
        <v>7</v>
      </c>
      <c r="JW535" s="27" t="s">
        <v>8</v>
      </c>
      <c r="JX535" s="27" t="s">
        <v>7</v>
      </c>
    </row>
    <row r="536" spans="1:284" x14ac:dyDescent="0.25">
      <c r="A536" s="7">
        <v>2.7454197896550796</v>
      </c>
      <c r="B536"/>
      <c r="C536"/>
      <c r="D536"/>
      <c r="E536"/>
      <c r="JU536" s="27" t="s">
        <v>8</v>
      </c>
      <c r="JV536" s="27" t="s">
        <v>7</v>
      </c>
      <c r="JW536" s="27" t="s">
        <v>8</v>
      </c>
      <c r="JX536" s="27" t="s">
        <v>7</v>
      </c>
    </row>
    <row r="537" spans="1:284" x14ac:dyDescent="0.25">
      <c r="A537" s="7">
        <v>2.6915880290736074</v>
      </c>
      <c r="B537"/>
      <c r="C537"/>
      <c r="D537"/>
      <c r="E537"/>
      <c r="JU537" s="27" t="s">
        <v>8</v>
      </c>
      <c r="JV537" s="27" t="s">
        <v>7</v>
      </c>
      <c r="JW537" s="27" t="s">
        <v>8</v>
      </c>
      <c r="JX537" s="27" t="s">
        <v>7</v>
      </c>
    </row>
    <row r="538" spans="1:284" x14ac:dyDescent="0.25">
      <c r="A538" s="7">
        <v>2.6388117932094191</v>
      </c>
      <c r="B538"/>
      <c r="C538"/>
      <c r="D538"/>
      <c r="E538"/>
      <c r="JU538" s="27" t="s">
        <v>8</v>
      </c>
      <c r="JV538" s="27" t="s">
        <v>7</v>
      </c>
      <c r="JW538" s="27" t="s">
        <v>8</v>
      </c>
      <c r="JX538" s="27" t="s">
        <v>7</v>
      </c>
    </row>
    <row r="539" spans="1:284" x14ac:dyDescent="0.25">
      <c r="A539" s="7">
        <v>2.5870703854994304</v>
      </c>
      <c r="B539"/>
      <c r="C539"/>
      <c r="D539"/>
      <c r="E539"/>
      <c r="JU539" s="27" t="s">
        <v>8</v>
      </c>
      <c r="JV539" s="27" t="s">
        <v>7</v>
      </c>
      <c r="JW539" s="27" t="s">
        <v>8</v>
      </c>
      <c r="JX539" s="27" t="s">
        <v>7</v>
      </c>
    </row>
    <row r="540" spans="1:284" x14ac:dyDescent="0.25">
      <c r="A540" s="7">
        <v>2.53634351519552</v>
      </c>
      <c r="B540"/>
      <c r="C540"/>
      <c r="D540"/>
      <c r="E540"/>
      <c r="JU540" s="27" t="s">
        <v>8</v>
      </c>
      <c r="JV540" s="27" t="s">
        <v>7</v>
      </c>
      <c r="JW540" s="27" t="s">
        <v>8</v>
      </c>
      <c r="JX540" s="27" t="s">
        <v>7</v>
      </c>
    </row>
    <row r="541" spans="1:284" x14ac:dyDescent="0.25">
      <c r="A541" s="7">
        <v>2.4866112894073726</v>
      </c>
      <c r="B541"/>
      <c r="C541"/>
      <c r="D541"/>
      <c r="E541"/>
      <c r="JU541" s="27" t="s">
        <v>8</v>
      </c>
      <c r="JV541" s="27" t="s">
        <v>7</v>
      </c>
      <c r="JW541" s="27" t="s">
        <v>8</v>
      </c>
      <c r="JX541" s="27" t="s">
        <v>7</v>
      </c>
    </row>
    <row r="542" spans="1:284" x14ac:dyDescent="0.25">
      <c r="A542" s="7">
        <v>2.4378542053013459</v>
      </c>
      <c r="B542"/>
      <c r="C542"/>
      <c r="D542"/>
      <c r="E542"/>
      <c r="JU542" s="27" t="s">
        <v>8</v>
      </c>
      <c r="JV542" s="27" t="s">
        <v>7</v>
      </c>
      <c r="JW542" s="27" t="s">
        <v>8</v>
      </c>
      <c r="JX542" s="27" t="s">
        <v>7</v>
      </c>
    </row>
    <row r="543" spans="1:284" x14ac:dyDescent="0.25">
      <c r="A543" s="7">
        <v>2.3900531424522997</v>
      </c>
      <c r="B543"/>
      <c r="C543"/>
      <c r="D543"/>
      <c r="E543"/>
      <c r="JU543" s="27" t="s">
        <v>8</v>
      </c>
      <c r="JV543" s="27" t="s">
        <v>7</v>
      </c>
      <c r="JW543" s="27" t="s">
        <v>8</v>
      </c>
      <c r="JX543" s="27" t="s">
        <v>7</v>
      </c>
    </row>
    <row r="544" spans="1:284" x14ac:dyDescent="0.25">
      <c r="A544" s="7">
        <v>2.343189355345392</v>
      </c>
      <c r="B544"/>
      <c r="C544"/>
      <c r="D544"/>
      <c r="E544"/>
      <c r="JU544" s="27" t="s">
        <v>8</v>
      </c>
      <c r="JV544" s="27" t="s">
        <v>7</v>
      </c>
      <c r="JW544" s="27" t="s">
        <v>8</v>
      </c>
      <c r="JX544" s="27" t="s">
        <v>7</v>
      </c>
    </row>
    <row r="545" spans="1:305" x14ac:dyDescent="0.25">
      <c r="A545" s="7">
        <v>2.2972444660248938</v>
      </c>
      <c r="B545"/>
      <c r="C545"/>
      <c r="D545"/>
      <c r="E545"/>
      <c r="JU545" s="27" t="s">
        <v>8</v>
      </c>
      <c r="JV545" s="27" t="s">
        <v>7</v>
      </c>
      <c r="JW545" s="27" t="s">
        <v>8</v>
      </c>
      <c r="JX545" s="27" t="s">
        <v>7</v>
      </c>
    </row>
    <row r="546" spans="1:305" x14ac:dyDescent="0.25">
      <c r="A546" s="7">
        <v>2.252200456887151</v>
      </c>
      <c r="B546"/>
      <c r="C546"/>
      <c r="D546"/>
      <c r="E546"/>
      <c r="JU546" s="27" t="s">
        <v>8</v>
      </c>
      <c r="JV546" s="27" t="s">
        <v>7</v>
      </c>
      <c r="JW546" s="27" t="s">
        <v>8</v>
      </c>
      <c r="JX546" s="27" t="s">
        <v>7</v>
      </c>
    </row>
    <row r="547" spans="1:305" x14ac:dyDescent="0.25">
      <c r="A547" s="7">
        <v>2.208039663614854</v>
      </c>
      <c r="B547"/>
      <c r="C547"/>
      <c r="D547"/>
      <c r="E547"/>
      <c r="JU547" s="27" t="s">
        <v>8</v>
      </c>
      <c r="JV547" s="27" t="s">
        <v>7</v>
      </c>
      <c r="JW547" s="27" t="s">
        <v>8</v>
      </c>
      <c r="JX547" s="27" t="s">
        <v>7</v>
      </c>
    </row>
    <row r="548" spans="1:305" x14ac:dyDescent="0.25">
      <c r="A548" s="7">
        <v>2.1647447682498568</v>
      </c>
      <c r="B548"/>
      <c r="C548"/>
      <c r="D548"/>
      <c r="E548"/>
      <c r="JU548" s="27" t="s">
        <v>8</v>
      </c>
      <c r="JV548" s="27" t="s">
        <v>7</v>
      </c>
      <c r="JW548" s="27" t="s">
        <v>8</v>
      </c>
      <c r="JX548" s="27" t="s">
        <v>7</v>
      </c>
    </row>
    <row r="549" spans="1:305" x14ac:dyDescent="0.25">
      <c r="A549" s="7">
        <v>2.1222987924018204</v>
      </c>
      <c r="B549"/>
      <c r="C549"/>
      <c r="D549"/>
      <c r="E549"/>
      <c r="JU549" s="27" t="s">
        <v>8</v>
      </c>
      <c r="JV549" s="27" t="s">
        <v>7</v>
      </c>
      <c r="JW549" s="27" t="s">
        <v>8</v>
      </c>
      <c r="JX549" s="27" t="s">
        <v>7</v>
      </c>
    </row>
    <row r="550" spans="1:305" x14ac:dyDescent="0.25">
      <c r="A550" s="7">
        <v>2.0806850905900198</v>
      </c>
      <c r="B550"/>
      <c r="C550"/>
      <c r="D550"/>
      <c r="E550"/>
      <c r="JU550" s="27" t="s">
        <v>8</v>
      </c>
      <c r="JV550" s="27" t="s">
        <v>7</v>
      </c>
      <c r="JW550" s="27" t="s">
        <v>8</v>
      </c>
      <c r="JX550" s="27" t="s">
        <v>7</v>
      </c>
    </row>
    <row r="551" spans="1:305" x14ac:dyDescent="0.25">
      <c r="A551" s="7">
        <v>2.0398873437157055</v>
      </c>
      <c r="B551"/>
      <c r="C551"/>
      <c r="D551"/>
      <c r="E551"/>
      <c r="JU551" s="27" t="s">
        <v>8</v>
      </c>
      <c r="JV551" s="27" t="s">
        <v>7</v>
      </c>
      <c r="JW551" s="27" t="s">
        <v>8</v>
      </c>
      <c r="JX551" s="27" t="s">
        <v>7</v>
      </c>
    </row>
    <row r="552" spans="1:305" x14ac:dyDescent="0.25">
      <c r="A552" s="7">
        <v>1.9998895526624565</v>
      </c>
      <c r="B552"/>
      <c r="C552"/>
      <c r="D552"/>
      <c r="E552"/>
      <c r="JU552" s="27" t="s">
        <v>8</v>
      </c>
      <c r="JV552" s="27" t="s">
        <v>7</v>
      </c>
      <c r="JW552" s="27" t="s">
        <v>8</v>
      </c>
      <c r="JX552" s="27" t="s">
        <v>7</v>
      </c>
      <c r="JY552" s="27" t="s">
        <v>8</v>
      </c>
    </row>
    <row r="553" spans="1:305" x14ac:dyDescent="0.25">
      <c r="A553" s="7">
        <v>1.9606760320220162</v>
      </c>
      <c r="B553"/>
      <c r="C553"/>
      <c r="D553"/>
      <c r="E553"/>
      <c r="JU553" s="27" t="s">
        <v>8</v>
      </c>
      <c r="JV553" s="27" t="s">
        <v>7</v>
      </c>
      <c r="JX553" s="27" t="s">
        <v>7</v>
      </c>
      <c r="JY553" s="27" t="s">
        <v>8</v>
      </c>
      <c r="JZ553" s="27" t="s">
        <v>7</v>
      </c>
    </row>
    <row r="554" spans="1:305" x14ac:dyDescent="0.25">
      <c r="A554" s="7">
        <v>1.9222314039431532</v>
      </c>
      <c r="B554"/>
      <c r="C554"/>
      <c r="D554"/>
      <c r="E554"/>
      <c r="JU554" s="27" t="s">
        <v>8</v>
      </c>
      <c r="JX554" s="27" t="s">
        <v>7</v>
      </c>
      <c r="JY554" s="27" t="s">
        <v>8</v>
      </c>
      <c r="JZ554" s="27" t="s">
        <v>7</v>
      </c>
      <c r="KC554" s="27" t="s">
        <v>8</v>
      </c>
    </row>
    <row r="555" spans="1:305" x14ac:dyDescent="0.25">
      <c r="A555" s="7">
        <v>1.8845405921011305</v>
      </c>
      <c r="B555"/>
      <c r="C555"/>
      <c r="D555"/>
      <c r="E555"/>
      <c r="JU555" s="27" t="s">
        <v>8</v>
      </c>
      <c r="JX555" s="27" t="s">
        <v>7</v>
      </c>
      <c r="JY555" s="27" t="s">
        <v>8</v>
      </c>
      <c r="JZ555" s="27" t="s">
        <v>7</v>
      </c>
      <c r="KA555" s="27" t="s">
        <v>8</v>
      </c>
      <c r="KC555" s="27" t="s">
        <v>8</v>
      </c>
      <c r="KD555" s="27" t="s">
        <v>7</v>
      </c>
      <c r="KM555" s="27" t="s">
        <v>8</v>
      </c>
    </row>
    <row r="556" spans="1:305" x14ac:dyDescent="0.25">
      <c r="A556" s="7">
        <v>1.8475888157854219</v>
      </c>
      <c r="B556"/>
      <c r="C556"/>
      <c r="D556"/>
      <c r="E556"/>
      <c r="JU556" s="27" t="s">
        <v>8</v>
      </c>
      <c r="JX556" s="27" t="s">
        <v>7</v>
      </c>
      <c r="JY556" s="27" t="s">
        <v>8</v>
      </c>
      <c r="JZ556" s="27" t="s">
        <v>7</v>
      </c>
      <c r="KA556" s="27" t="s">
        <v>8</v>
      </c>
      <c r="KB556" s="27" t="s">
        <v>7</v>
      </c>
      <c r="KC556" s="27" t="s">
        <v>8</v>
      </c>
      <c r="KD556" s="27" t="s">
        <v>7</v>
      </c>
      <c r="KM556" s="27" t="s">
        <v>8</v>
      </c>
      <c r="KN556" s="27" t="s">
        <v>7</v>
      </c>
    </row>
    <row r="557" spans="1:305" x14ac:dyDescent="0.25">
      <c r="A557" s="7">
        <v>1.8113615841033548</v>
      </c>
      <c r="B557"/>
      <c r="C557"/>
      <c r="D557"/>
      <c r="E557"/>
      <c r="JU557" s="27" t="s">
        <v>8</v>
      </c>
      <c r="JX557" s="27" t="s">
        <v>7</v>
      </c>
      <c r="JY557" s="27" t="s">
        <v>8</v>
      </c>
      <c r="JZ557" s="27" t="s">
        <v>7</v>
      </c>
      <c r="KA557" s="27" t="s">
        <v>8</v>
      </c>
      <c r="KB557" s="27" t="s">
        <v>7</v>
      </c>
      <c r="KC557" s="27" t="s">
        <v>8</v>
      </c>
      <c r="KD557" s="27" t="s">
        <v>7</v>
      </c>
      <c r="KM557" s="27" t="s">
        <v>8</v>
      </c>
      <c r="KN557" s="27" t="s">
        <v>7</v>
      </c>
    </row>
    <row r="558" spans="1:305" x14ac:dyDescent="0.25">
      <c r="A558" s="7">
        <v>1.7758446902974065</v>
      </c>
      <c r="B558"/>
      <c r="C558"/>
      <c r="D558"/>
      <c r="E558"/>
      <c r="JU558" s="27" t="s">
        <v>8</v>
      </c>
      <c r="JX558" s="27" t="s">
        <v>7</v>
      </c>
      <c r="JY558" s="27" t="s">
        <v>8</v>
      </c>
      <c r="JZ558" s="27" t="s">
        <v>7</v>
      </c>
      <c r="KA558" s="27" t="s">
        <v>8</v>
      </c>
      <c r="KB558" s="27" t="s">
        <v>7</v>
      </c>
      <c r="KC558" s="27" t="s">
        <v>8</v>
      </c>
      <c r="KD558" s="27" t="s">
        <v>7</v>
      </c>
      <c r="KM558" s="27" t="s">
        <v>8</v>
      </c>
      <c r="KN558" s="27" t="s">
        <v>7</v>
      </c>
      <c r="KQ558" s="27" t="s">
        <v>8</v>
      </c>
    </row>
    <row r="559" spans="1:305" x14ac:dyDescent="0.25">
      <c r="A559" s="7">
        <v>1.7410242061739281</v>
      </c>
      <c r="B559"/>
      <c r="C559"/>
      <c r="D559"/>
      <c r="E559"/>
      <c r="JU559" s="27" t="s">
        <v>8</v>
      </c>
      <c r="JX559" s="27" t="s">
        <v>7</v>
      </c>
      <c r="JY559" s="27" t="s">
        <v>8</v>
      </c>
      <c r="JZ559" s="27" t="s">
        <v>7</v>
      </c>
      <c r="KA559" s="27" t="s">
        <v>8</v>
      </c>
      <c r="KB559" s="27" t="s">
        <v>7</v>
      </c>
      <c r="KC559" s="27" t="s">
        <v>8</v>
      </c>
      <c r="KD559" s="27" t="s">
        <v>7</v>
      </c>
      <c r="KM559" s="27" t="s">
        <v>8</v>
      </c>
      <c r="KN559" s="27" t="s">
        <v>7</v>
      </c>
      <c r="KQ559" s="27" t="s">
        <v>8</v>
      </c>
      <c r="KR559" s="27" t="s">
        <v>7</v>
      </c>
    </row>
    <row r="560" spans="1:305" x14ac:dyDescent="0.25">
      <c r="A560" s="7">
        <v>1.7068864766411058</v>
      </c>
      <c r="B560"/>
      <c r="C560"/>
      <c r="D560"/>
      <c r="E560"/>
      <c r="JU560" s="27" t="s">
        <v>8</v>
      </c>
      <c r="JX560" s="27" t="s">
        <v>7</v>
      </c>
      <c r="JY560" s="27" t="s">
        <v>8</v>
      </c>
      <c r="JZ560" s="27" t="s">
        <v>7</v>
      </c>
      <c r="KA560" s="27" t="s">
        <v>8</v>
      </c>
      <c r="KB560" s="27" t="s">
        <v>7</v>
      </c>
      <c r="KC560" s="27" t="s">
        <v>8</v>
      </c>
      <c r="KD560" s="27" t="s">
        <v>7</v>
      </c>
      <c r="KK560" s="27" t="s">
        <v>8</v>
      </c>
      <c r="KM560" s="27" t="s">
        <v>8</v>
      </c>
      <c r="KN560" s="27" t="s">
        <v>7</v>
      </c>
      <c r="KQ560" s="27" t="s">
        <v>8</v>
      </c>
      <c r="KR560" s="27" t="s">
        <v>7</v>
      </c>
      <c r="KS560" s="27" t="s">
        <v>8</v>
      </c>
    </row>
    <row r="561" spans="1:312" x14ac:dyDescent="0.25">
      <c r="A561" s="7">
        <v>1.6734181143540252</v>
      </c>
      <c r="B561"/>
      <c r="C561"/>
      <c r="D561"/>
      <c r="E561"/>
      <c r="JU561" s="27" t="s">
        <v>8</v>
      </c>
      <c r="JX561" s="27" t="s">
        <v>7</v>
      </c>
      <c r="JY561" s="27" t="s">
        <v>8</v>
      </c>
      <c r="JZ561" s="27" t="s">
        <v>7</v>
      </c>
      <c r="KA561" s="27" t="s">
        <v>8</v>
      </c>
      <c r="KB561" s="27" t="s">
        <v>7</v>
      </c>
      <c r="KC561" s="27" t="s">
        <v>8</v>
      </c>
      <c r="KD561" s="27" t="s">
        <v>7</v>
      </c>
      <c r="KK561" s="27" t="s">
        <v>8</v>
      </c>
      <c r="KL561" s="27" t="s">
        <v>7</v>
      </c>
      <c r="KM561" s="27" t="s">
        <v>8</v>
      </c>
      <c r="KN561" s="27" t="s">
        <v>7</v>
      </c>
      <c r="KQ561" s="27" t="s">
        <v>8</v>
      </c>
      <c r="KR561" s="27" t="s">
        <v>7</v>
      </c>
      <c r="KS561" s="27" t="s">
        <v>8</v>
      </c>
      <c r="KT561" s="27" t="s">
        <v>7</v>
      </c>
    </row>
    <row r="562" spans="1:312" x14ac:dyDescent="0.25">
      <c r="A562" s="7">
        <v>1.6406059944647307</v>
      </c>
      <c r="B562"/>
      <c r="C562"/>
      <c r="D562"/>
      <c r="E562"/>
      <c r="JU562" s="27" t="s">
        <v>8</v>
      </c>
      <c r="JX562" s="27" t="s">
        <v>7</v>
      </c>
      <c r="JY562" s="27" t="s">
        <v>8</v>
      </c>
      <c r="JZ562" s="27" t="s">
        <v>7</v>
      </c>
      <c r="KA562" s="27" t="s">
        <v>8</v>
      </c>
      <c r="KB562" s="27" t="s">
        <v>7</v>
      </c>
      <c r="KC562" s="27" t="s">
        <v>8</v>
      </c>
      <c r="KD562" s="27" t="s">
        <v>7</v>
      </c>
      <c r="KK562" s="27" t="s">
        <v>8</v>
      </c>
      <c r="KL562" s="27" t="s">
        <v>7</v>
      </c>
      <c r="KM562" s="27" t="s">
        <v>8</v>
      </c>
      <c r="KN562" s="27" t="s">
        <v>7</v>
      </c>
      <c r="KQ562" s="27" t="s">
        <v>8</v>
      </c>
      <c r="KR562" s="27" t="s">
        <v>7</v>
      </c>
      <c r="KS562" s="27" t="s">
        <v>8</v>
      </c>
      <c r="KT562" s="27" t="s">
        <v>7</v>
      </c>
    </row>
    <row r="563" spans="1:312" x14ac:dyDescent="0.25">
      <c r="A563" s="7">
        <v>1.6084372494752261</v>
      </c>
      <c r="B563"/>
      <c r="C563"/>
      <c r="D563"/>
      <c r="E563"/>
      <c r="JU563" s="27" t="s">
        <v>8</v>
      </c>
      <c r="JX563" s="27" t="s">
        <v>7</v>
      </c>
      <c r="JY563" s="27" t="s">
        <v>8</v>
      </c>
      <c r="JZ563" s="27" t="s">
        <v>7</v>
      </c>
      <c r="KA563" s="27" t="s">
        <v>8</v>
      </c>
      <c r="KB563" s="27" t="s">
        <v>7</v>
      </c>
      <c r="KC563" s="27" t="s">
        <v>8</v>
      </c>
      <c r="KD563" s="27" t="s">
        <v>7</v>
      </c>
      <c r="KE563" s="27" t="s">
        <v>8</v>
      </c>
      <c r="KK563" s="27" t="s">
        <v>8</v>
      </c>
      <c r="KL563" s="27" t="s">
        <v>7</v>
      </c>
      <c r="KM563" s="27" t="s">
        <v>8</v>
      </c>
      <c r="KN563" s="27" t="s">
        <v>7</v>
      </c>
      <c r="KQ563" s="27" t="s">
        <v>8</v>
      </c>
      <c r="KR563" s="27" t="s">
        <v>7</v>
      </c>
      <c r="KS563" s="27" t="s">
        <v>8</v>
      </c>
      <c r="KT563" s="27" t="s">
        <v>7</v>
      </c>
    </row>
    <row r="564" spans="1:312" x14ac:dyDescent="0.25">
      <c r="A564" s="7">
        <v>1.5768992641913981</v>
      </c>
      <c r="B564"/>
      <c r="C564"/>
      <c r="D564"/>
      <c r="E564"/>
      <c r="JU564" s="27" t="s">
        <v>8</v>
      </c>
      <c r="JX564" s="27" t="s">
        <v>7</v>
      </c>
      <c r="JY564" s="27" t="s">
        <v>8</v>
      </c>
      <c r="JZ564" s="27" t="s">
        <v>7</v>
      </c>
      <c r="KA564" s="27" t="s">
        <v>8</v>
      </c>
      <c r="KB564" s="27" t="s">
        <v>7</v>
      </c>
      <c r="KD564" s="27" t="s">
        <v>7</v>
      </c>
      <c r="KE564" s="27" t="s">
        <v>8</v>
      </c>
      <c r="KF564" s="27" t="s">
        <v>7</v>
      </c>
      <c r="KK564" s="27" t="s">
        <v>8</v>
      </c>
      <c r="KL564" s="27" t="s">
        <v>7</v>
      </c>
      <c r="KN564" s="27" t="s">
        <v>7</v>
      </c>
      <c r="KQ564" s="27" t="s">
        <v>8</v>
      </c>
      <c r="KR564" s="27" t="s">
        <v>7</v>
      </c>
      <c r="KT564" s="27" t="s">
        <v>7</v>
      </c>
    </row>
    <row r="565" spans="1:312" x14ac:dyDescent="0.25">
      <c r="A565" s="7">
        <v>1.5459796707758806</v>
      </c>
      <c r="B565"/>
      <c r="C565"/>
      <c r="D565"/>
      <c r="E565"/>
      <c r="IY565" s="27" t="s">
        <v>8</v>
      </c>
      <c r="JU565" s="27" t="s">
        <v>8</v>
      </c>
      <c r="JX565" s="27" t="s">
        <v>7</v>
      </c>
      <c r="JY565" s="27" t="s">
        <v>8</v>
      </c>
      <c r="JZ565" s="27" t="s">
        <v>7</v>
      </c>
      <c r="KA565" s="27" t="s">
        <v>8</v>
      </c>
      <c r="KD565" s="27" t="s">
        <v>7</v>
      </c>
      <c r="KE565" s="27" t="s">
        <v>8</v>
      </c>
      <c r="KF565" s="27" t="s">
        <v>7</v>
      </c>
      <c r="KG565" s="27" t="s">
        <v>8</v>
      </c>
      <c r="KI565" s="27" t="s">
        <v>8</v>
      </c>
      <c r="KK565" s="27" t="s">
        <v>8</v>
      </c>
      <c r="KN565" s="27" t="s">
        <v>7</v>
      </c>
      <c r="KO565" s="27" t="s">
        <v>8</v>
      </c>
      <c r="KQ565" s="27" t="s">
        <v>8</v>
      </c>
      <c r="KT565" s="27" t="s">
        <v>7</v>
      </c>
    </row>
    <row r="566" spans="1:312" x14ac:dyDescent="0.25">
      <c r="A566" s="7">
        <v>1.5156663438979221</v>
      </c>
      <c r="B566"/>
      <c r="C566"/>
      <c r="D566"/>
      <c r="E566"/>
      <c r="IY566" s="27" t="s">
        <v>8</v>
      </c>
      <c r="IZ566" s="27" t="s">
        <v>7</v>
      </c>
      <c r="JU566" s="27" t="s">
        <v>8</v>
      </c>
      <c r="JX566" s="27" t="s">
        <v>7</v>
      </c>
      <c r="JY566" s="27" t="s">
        <v>8</v>
      </c>
      <c r="JZ566" s="27" t="s">
        <v>7</v>
      </c>
      <c r="KA566" s="27" t="s">
        <v>8</v>
      </c>
      <c r="KD566" s="27" t="s">
        <v>7</v>
      </c>
      <c r="KE566" s="27" t="s">
        <v>8</v>
      </c>
      <c r="KF566" s="27" t="s">
        <v>7</v>
      </c>
      <c r="KG566" s="27" t="s">
        <v>8</v>
      </c>
      <c r="KH566" s="27" t="s">
        <v>7</v>
      </c>
      <c r="KI566" s="27" t="s">
        <v>8</v>
      </c>
      <c r="KJ566" s="27" t="s">
        <v>7</v>
      </c>
      <c r="KK566" s="27" t="s">
        <v>8</v>
      </c>
      <c r="KN566" s="27" t="s">
        <v>7</v>
      </c>
      <c r="KO566" s="27" t="s">
        <v>8</v>
      </c>
      <c r="KP566" s="27" t="s">
        <v>7</v>
      </c>
      <c r="KQ566" s="27" t="s">
        <v>8</v>
      </c>
      <c r="KT566" s="27" t="s">
        <v>7</v>
      </c>
    </row>
    <row r="567" spans="1:312" x14ac:dyDescent="0.25">
      <c r="A567" s="7">
        <v>1.4859473959783549</v>
      </c>
      <c r="B567"/>
      <c r="C567"/>
      <c r="D567"/>
      <c r="E567"/>
      <c r="IY567" s="27" t="s">
        <v>8</v>
      </c>
      <c r="IZ567" s="27" t="s">
        <v>7</v>
      </c>
      <c r="JU567" s="27" t="s">
        <v>8</v>
      </c>
      <c r="JX567" s="27" t="s">
        <v>7</v>
      </c>
      <c r="JY567" s="27" t="s">
        <v>8</v>
      </c>
      <c r="JZ567" s="27" t="s">
        <v>7</v>
      </c>
      <c r="KA567" s="27" t="s">
        <v>8</v>
      </c>
      <c r="KD567" s="27" t="s">
        <v>7</v>
      </c>
      <c r="KE567" s="27" t="s">
        <v>8</v>
      </c>
      <c r="KF567" s="27" t="s">
        <v>7</v>
      </c>
      <c r="KG567" s="27" t="s">
        <v>8</v>
      </c>
      <c r="KH567" s="27" t="s">
        <v>7</v>
      </c>
      <c r="KI567" s="27" t="s">
        <v>8</v>
      </c>
      <c r="KJ567" s="27" t="s">
        <v>7</v>
      </c>
      <c r="KK567" s="27" t="s">
        <v>8</v>
      </c>
      <c r="KN567" s="27" t="s">
        <v>7</v>
      </c>
      <c r="KO567" s="27" t="s">
        <v>8</v>
      </c>
      <c r="KP567" s="27" t="s">
        <v>7</v>
      </c>
      <c r="KQ567" s="27" t="s">
        <v>8</v>
      </c>
      <c r="KT567" s="27" t="s">
        <v>7</v>
      </c>
    </row>
    <row r="568" spans="1:312" x14ac:dyDescent="0.25">
      <c r="A568" s="7">
        <v>1.4568111725277988</v>
      </c>
      <c r="B568"/>
      <c r="C568"/>
      <c r="D568"/>
      <c r="E568"/>
      <c r="IY568" s="27" t="s">
        <v>8</v>
      </c>
      <c r="IZ568" s="27" t="s">
        <v>7</v>
      </c>
      <c r="JU568" s="27" t="s">
        <v>8</v>
      </c>
      <c r="JX568" s="27" t="s">
        <v>7</v>
      </c>
      <c r="JY568" s="27" t="s">
        <v>8</v>
      </c>
      <c r="JZ568" s="27" t="s">
        <v>7</v>
      </c>
      <c r="KA568" s="27" t="s">
        <v>8</v>
      </c>
      <c r="KD568" s="27" t="s">
        <v>7</v>
      </c>
      <c r="KF568" s="27" t="s">
        <v>7</v>
      </c>
      <c r="KG568" s="27" t="s">
        <v>8</v>
      </c>
      <c r="KH568" s="27" t="s">
        <v>7</v>
      </c>
      <c r="KI568" s="27" t="s">
        <v>8</v>
      </c>
      <c r="KJ568" s="27" t="s">
        <v>7</v>
      </c>
      <c r="KK568" s="27" t="s">
        <v>8</v>
      </c>
      <c r="KN568" s="27" t="s">
        <v>7</v>
      </c>
      <c r="KP568" s="27" t="s">
        <v>7</v>
      </c>
      <c r="KT568" s="27" t="s">
        <v>7</v>
      </c>
    </row>
    <row r="569" spans="1:312" x14ac:dyDescent="0.25">
      <c r="A569" s="7">
        <v>1.4282462475762734</v>
      </c>
      <c r="B569"/>
      <c r="C569"/>
      <c r="D569"/>
      <c r="E569"/>
      <c r="IY569" s="27" t="s">
        <v>8</v>
      </c>
      <c r="IZ569" s="27" t="s">
        <v>7</v>
      </c>
      <c r="JU569" s="27" t="s">
        <v>8</v>
      </c>
      <c r="JX569" s="27" t="s">
        <v>7</v>
      </c>
      <c r="JY569" s="27" t="s">
        <v>8</v>
      </c>
      <c r="JZ569" s="27" t="s">
        <v>7</v>
      </c>
      <c r="KA569" s="27" t="s">
        <v>8</v>
      </c>
      <c r="KF569" s="27" t="s">
        <v>7</v>
      </c>
      <c r="KG569" s="27" t="s">
        <v>8</v>
      </c>
      <c r="KH569" s="27" t="s">
        <v>7</v>
      </c>
      <c r="KJ569" s="27" t="s">
        <v>7</v>
      </c>
      <c r="KK569" s="27" t="s">
        <v>8</v>
      </c>
      <c r="KT569" s="27" t="s">
        <v>7</v>
      </c>
    </row>
    <row r="570" spans="1:312" x14ac:dyDescent="0.25">
      <c r="A570" s="7">
        <v>1.4002414191924248</v>
      </c>
      <c r="B570"/>
      <c r="C570"/>
      <c r="D570"/>
      <c r="E570"/>
      <c r="IY570" s="27" t="s">
        <v>8</v>
      </c>
      <c r="IZ570" s="27" t="s">
        <v>7</v>
      </c>
      <c r="JU570" s="27" t="s">
        <v>8</v>
      </c>
      <c r="JX570" s="27" t="s">
        <v>7</v>
      </c>
      <c r="JY570" s="27" t="s">
        <v>8</v>
      </c>
      <c r="JZ570" s="27" t="s">
        <v>7</v>
      </c>
      <c r="KF570" s="27" t="s">
        <v>7</v>
      </c>
      <c r="KG570" s="27" t="s">
        <v>8</v>
      </c>
      <c r="KJ570" s="27" t="s">
        <v>7</v>
      </c>
      <c r="KK570" s="27" t="s">
        <v>8</v>
      </c>
      <c r="KT570" s="27" t="s">
        <v>7</v>
      </c>
      <c r="KU570" s="27" t="s">
        <v>8</v>
      </c>
    </row>
    <row r="571" spans="1:312" x14ac:dyDescent="0.25">
      <c r="A571" s="7">
        <v>1.3727857050906125</v>
      </c>
      <c r="B571"/>
      <c r="C571"/>
      <c r="D571"/>
      <c r="E571"/>
      <c r="IY571" s="27" t="s">
        <v>8</v>
      </c>
      <c r="IZ571" s="27" t="s">
        <v>7</v>
      </c>
      <c r="JU571" s="27" t="s">
        <v>8</v>
      </c>
      <c r="JX571" s="27" t="s">
        <v>7</v>
      </c>
      <c r="KF571" s="27" t="s">
        <v>7</v>
      </c>
      <c r="KG571" s="27" t="s">
        <v>8</v>
      </c>
      <c r="KJ571" s="27" t="s">
        <v>7</v>
      </c>
      <c r="KK571" s="27" t="s">
        <v>8</v>
      </c>
      <c r="KT571" s="27" t="s">
        <v>7</v>
      </c>
      <c r="KU571" s="27" t="s">
        <v>8</v>
      </c>
      <c r="KV571" s="27" t="s">
        <v>7</v>
      </c>
      <c r="KW571" s="27" t="s">
        <v>8</v>
      </c>
    </row>
    <row r="572" spans="1:312" x14ac:dyDescent="0.25">
      <c r="A572" s="7">
        <v>1.3458683383241299</v>
      </c>
      <c r="B572"/>
      <c r="C572"/>
      <c r="D572"/>
      <c r="E572"/>
      <c r="IY572" s="27" t="s">
        <v>8</v>
      </c>
      <c r="IZ572" s="27" t="s">
        <v>7</v>
      </c>
      <c r="JU572" s="27" t="s">
        <v>8</v>
      </c>
      <c r="KF572" s="27" t="s">
        <v>7</v>
      </c>
      <c r="KG572" s="27" t="s">
        <v>8</v>
      </c>
      <c r="KJ572" s="27" t="s">
        <v>7</v>
      </c>
      <c r="KT572" s="27" t="s">
        <v>7</v>
      </c>
      <c r="KU572" s="27" t="s">
        <v>8</v>
      </c>
      <c r="KV572" s="27" t="s">
        <v>7</v>
      </c>
      <c r="KW572" s="27" t="s">
        <v>8</v>
      </c>
      <c r="KX572" s="27" t="s">
        <v>7</v>
      </c>
    </row>
    <row r="573" spans="1:312" x14ac:dyDescent="0.25">
      <c r="A573" s="7">
        <v>1.3194787630628724</v>
      </c>
      <c r="B573"/>
      <c r="C573"/>
      <c r="D573"/>
      <c r="E573"/>
      <c r="IY573" s="27" t="s">
        <v>8</v>
      </c>
      <c r="IZ573" s="27" t="s">
        <v>7</v>
      </c>
      <c r="JU573" s="27" t="s">
        <v>8</v>
      </c>
      <c r="KF573" s="27" t="s">
        <v>7</v>
      </c>
      <c r="KG573" s="27" t="s">
        <v>8</v>
      </c>
      <c r="KT573" s="27" t="s">
        <v>7</v>
      </c>
      <c r="KU573" s="27" t="s">
        <v>8</v>
      </c>
      <c r="KV573" s="27" t="s">
        <v>7</v>
      </c>
      <c r="KW573" s="27" t="s">
        <v>8</v>
      </c>
      <c r="KX573" s="27" t="s">
        <v>7</v>
      </c>
      <c r="KY573" s="27" t="s">
        <v>8</v>
      </c>
    </row>
    <row r="574" spans="1:312" x14ac:dyDescent="0.25">
      <c r="A574" s="7">
        <v>1.2936066304537963</v>
      </c>
      <c r="B574"/>
      <c r="C574"/>
      <c r="D574"/>
      <c r="E574"/>
      <c r="IY574" s="27" t="s">
        <v>8</v>
      </c>
      <c r="IZ574" s="27" t="s">
        <v>7</v>
      </c>
      <c r="JQ574" s="27" t="s">
        <v>8</v>
      </c>
      <c r="JS574" s="27" t="s">
        <v>8</v>
      </c>
      <c r="JU574" s="27" t="s">
        <v>8</v>
      </c>
      <c r="KF574" s="27" t="s">
        <v>7</v>
      </c>
      <c r="KT574" s="27" t="s">
        <v>7</v>
      </c>
      <c r="KU574" s="27" t="s">
        <v>8</v>
      </c>
      <c r="KV574" s="27" t="s">
        <v>7</v>
      </c>
      <c r="KW574" s="27" t="s">
        <v>8</v>
      </c>
      <c r="KX574" s="27" t="s">
        <v>7</v>
      </c>
      <c r="KY574" s="27" t="s">
        <v>8</v>
      </c>
      <c r="KZ574" s="27" t="s">
        <v>7</v>
      </c>
    </row>
    <row r="575" spans="1:312" x14ac:dyDescent="0.25">
      <c r="A575" s="7">
        <v>1.2682417945625455</v>
      </c>
      <c r="B575"/>
      <c r="C575"/>
      <c r="D575"/>
      <c r="E575"/>
      <c r="IY575" s="27" t="s">
        <v>8</v>
      </c>
      <c r="IZ575" s="27" t="s">
        <v>7</v>
      </c>
      <c r="JQ575" s="27" t="s">
        <v>8</v>
      </c>
      <c r="JR575" s="27" t="s">
        <v>7</v>
      </c>
      <c r="JS575" s="27" t="s">
        <v>8</v>
      </c>
      <c r="JT575" s="27" t="s">
        <v>7</v>
      </c>
      <c r="JU575" s="27" t="s">
        <v>8</v>
      </c>
      <c r="KT575" s="27" t="s">
        <v>7</v>
      </c>
      <c r="KV575" s="27" t="s">
        <v>7</v>
      </c>
      <c r="KW575" s="27" t="s">
        <v>8</v>
      </c>
      <c r="KX575" s="27" t="s">
        <v>7</v>
      </c>
      <c r="KY575" s="27" t="s">
        <v>8</v>
      </c>
      <c r="KZ575" s="27" t="s">
        <v>7</v>
      </c>
    </row>
    <row r="576" spans="1:312" x14ac:dyDescent="0.25">
      <c r="A576" s="7">
        <v>1.2433743083946525</v>
      </c>
      <c r="B576"/>
      <c r="C576"/>
      <c r="D576"/>
      <c r="E576"/>
      <c r="IY576" s="27" t="s">
        <v>8</v>
      </c>
      <c r="IZ576" s="27" t="s">
        <v>7</v>
      </c>
      <c r="JQ576" s="27" t="s">
        <v>8</v>
      </c>
      <c r="JR576" s="27" t="s">
        <v>7</v>
      </c>
      <c r="JS576" s="27" t="s">
        <v>8</v>
      </c>
      <c r="JT576" s="27" t="s">
        <v>7</v>
      </c>
      <c r="JU576" s="27" t="s">
        <v>8</v>
      </c>
      <c r="KV576" s="27" t="s">
        <v>7</v>
      </c>
      <c r="KW576" s="27" t="s">
        <v>8</v>
      </c>
      <c r="KX576" s="27" t="s">
        <v>7</v>
      </c>
      <c r="KZ576" s="27" t="s">
        <v>7</v>
      </c>
    </row>
    <row r="577" spans="1:316" x14ac:dyDescent="0.25">
      <c r="A577" s="7">
        <v>1.2189944199947573</v>
      </c>
      <c r="B577"/>
      <c r="C577"/>
      <c r="D577"/>
      <c r="E577"/>
      <c r="IY577" s="27" t="s">
        <v>8</v>
      </c>
      <c r="IZ577" s="27" t="s">
        <v>7</v>
      </c>
      <c r="JQ577" s="27" t="s">
        <v>8</v>
      </c>
      <c r="JR577" s="27" t="s">
        <v>7</v>
      </c>
      <c r="JS577" s="27" t="s">
        <v>8</v>
      </c>
      <c r="JT577" s="27" t="s">
        <v>7</v>
      </c>
      <c r="JU577" s="27" t="s">
        <v>8</v>
      </c>
      <c r="KV577" s="27" t="s">
        <v>7</v>
      </c>
      <c r="KW577" s="27" t="s">
        <v>8</v>
      </c>
      <c r="KZ577" s="27" t="s">
        <v>7</v>
      </c>
    </row>
    <row r="578" spans="1:316" x14ac:dyDescent="0.25">
      <c r="A578" s="7">
        <v>1.1950925686223111</v>
      </c>
      <c r="B578"/>
      <c r="C578"/>
      <c r="D578"/>
      <c r="E578"/>
      <c r="IY578" s="27" t="s">
        <v>8</v>
      </c>
      <c r="IZ578" s="27" t="s">
        <v>7</v>
      </c>
      <c r="JQ578" s="27" t="s">
        <v>8</v>
      </c>
      <c r="JR578" s="27" t="s">
        <v>7</v>
      </c>
      <c r="JS578" s="27" t="s">
        <v>8</v>
      </c>
      <c r="JT578" s="27" t="s">
        <v>7</v>
      </c>
      <c r="JU578" s="27" t="s">
        <v>8</v>
      </c>
      <c r="KV578" s="27" t="s">
        <v>7</v>
      </c>
      <c r="KZ578" s="27" t="s">
        <v>7</v>
      </c>
    </row>
    <row r="579" spans="1:316" x14ac:dyDescent="0.25">
      <c r="A579" s="7">
        <v>1.1716593810022657</v>
      </c>
      <c r="B579"/>
      <c r="C579"/>
      <c r="D579"/>
      <c r="E579"/>
      <c r="IY579" s="27" t="s">
        <v>8</v>
      </c>
      <c r="IZ579" s="27" t="s">
        <v>7</v>
      </c>
      <c r="JM579" s="27" t="s">
        <v>8</v>
      </c>
      <c r="JQ579" s="27" t="s">
        <v>8</v>
      </c>
      <c r="JR579" s="27" t="s">
        <v>7</v>
      </c>
      <c r="JS579" s="27" t="s">
        <v>8</v>
      </c>
      <c r="JT579" s="27" t="s">
        <v>7</v>
      </c>
      <c r="JU579" s="27" t="s">
        <v>8</v>
      </c>
      <c r="KZ579" s="27" t="s">
        <v>7</v>
      </c>
    </row>
    <row r="580" spans="1:316" x14ac:dyDescent="0.25">
      <c r="A580" s="7">
        <v>1.14868566764928</v>
      </c>
      <c r="B580"/>
      <c r="C580"/>
      <c r="D580"/>
      <c r="E580"/>
      <c r="IG580" s="27" t="s">
        <v>8</v>
      </c>
      <c r="IY580" s="27" t="s">
        <v>8</v>
      </c>
      <c r="IZ580" s="27" t="s">
        <v>7</v>
      </c>
      <c r="JM580" s="27" t="s">
        <v>8</v>
      </c>
      <c r="JN580" s="27" t="s">
        <v>7</v>
      </c>
      <c r="JQ580" s="27" t="s">
        <v>8</v>
      </c>
      <c r="JR580" s="27" t="s">
        <v>7</v>
      </c>
      <c r="JS580" s="27" t="s">
        <v>8</v>
      </c>
      <c r="JT580" s="27" t="s">
        <v>7</v>
      </c>
      <c r="JU580" s="27" t="s">
        <v>8</v>
      </c>
      <c r="KZ580" s="27" t="s">
        <v>7</v>
      </c>
    </row>
    <row r="581" spans="1:316" x14ac:dyDescent="0.25">
      <c r="A581" s="7">
        <v>1.1261624192640001</v>
      </c>
      <c r="B581"/>
      <c r="C581"/>
      <c r="D581"/>
      <c r="E581"/>
      <c r="IG581" s="27" t="s">
        <v>8</v>
      </c>
      <c r="IH581" s="27" t="s">
        <v>7</v>
      </c>
      <c r="IY581" s="27" t="s">
        <v>8</v>
      </c>
      <c r="IZ581" s="27" t="s">
        <v>7</v>
      </c>
      <c r="JM581" s="27" t="s">
        <v>8</v>
      </c>
      <c r="JN581" s="27" t="s">
        <v>7</v>
      </c>
      <c r="JQ581" s="27" t="s">
        <v>8</v>
      </c>
      <c r="JR581" s="27" t="s">
        <v>7</v>
      </c>
      <c r="JS581" s="27" t="s">
        <v>8</v>
      </c>
      <c r="JT581" s="27" t="s">
        <v>7</v>
      </c>
      <c r="JU581" s="27" t="s">
        <v>8</v>
      </c>
      <c r="KZ581" s="27" t="s">
        <v>7</v>
      </c>
    </row>
    <row r="582" spans="1:316" x14ac:dyDescent="0.25">
      <c r="A582" s="7">
        <v>1.1040808032</v>
      </c>
      <c r="B582"/>
      <c r="C582"/>
      <c r="D582"/>
      <c r="E582"/>
      <c r="IG582" s="27" t="s">
        <v>8</v>
      </c>
      <c r="IH582" s="27" t="s">
        <v>7</v>
      </c>
      <c r="IY582" s="27" t="s">
        <v>8</v>
      </c>
      <c r="IZ582" s="27" t="s">
        <v>7</v>
      </c>
      <c r="JM582" s="27" t="s">
        <v>8</v>
      </c>
      <c r="JN582" s="27" t="s">
        <v>7</v>
      </c>
      <c r="JQ582" s="27" t="s">
        <v>8</v>
      </c>
      <c r="JR582" s="27" t="s">
        <v>7</v>
      </c>
      <c r="JS582" s="27" t="s">
        <v>8</v>
      </c>
      <c r="JT582" s="27" t="s">
        <v>7</v>
      </c>
      <c r="JU582" s="27" t="s">
        <v>8</v>
      </c>
      <c r="KZ582" s="27" t="s">
        <v>7</v>
      </c>
    </row>
    <row r="583" spans="1:316" x14ac:dyDescent="0.25">
      <c r="A583" s="7">
        <v>1.08243216</v>
      </c>
      <c r="B583"/>
      <c r="C583"/>
      <c r="D583"/>
      <c r="E583"/>
      <c r="IG583" s="27" t="s">
        <v>8</v>
      </c>
      <c r="IH583" s="27" t="s">
        <v>7</v>
      </c>
      <c r="IY583" s="27" t="s">
        <v>8</v>
      </c>
      <c r="IZ583" s="27" t="s">
        <v>7</v>
      </c>
      <c r="JM583" s="27" t="s">
        <v>8</v>
      </c>
      <c r="JN583" s="27" t="s">
        <v>7</v>
      </c>
      <c r="JQ583" s="27" t="s">
        <v>8</v>
      </c>
      <c r="JR583" s="27" t="s">
        <v>7</v>
      </c>
      <c r="JS583" s="27" t="s">
        <v>8</v>
      </c>
      <c r="JT583" s="27" t="s">
        <v>7</v>
      </c>
      <c r="JU583" s="27" t="s">
        <v>8</v>
      </c>
      <c r="KZ583" s="27" t="s">
        <v>7</v>
      </c>
    </row>
    <row r="584" spans="1:316" x14ac:dyDescent="0.25">
      <c r="A584" s="7">
        <v>1.0612079999999999</v>
      </c>
      <c r="B584"/>
      <c r="C584"/>
      <c r="D584"/>
      <c r="E584"/>
      <c r="IG584" s="27" t="s">
        <v>8</v>
      </c>
      <c r="IH584" s="27" t="s">
        <v>7</v>
      </c>
      <c r="IY584" s="27" t="s">
        <v>8</v>
      </c>
      <c r="IZ584" s="27" t="s">
        <v>7</v>
      </c>
      <c r="JM584" s="27" t="s">
        <v>8</v>
      </c>
      <c r="JN584" s="27" t="s">
        <v>7</v>
      </c>
      <c r="JQ584" s="27" t="s">
        <v>8</v>
      </c>
      <c r="JR584" s="27" t="s">
        <v>7</v>
      </c>
      <c r="JS584" s="27" t="s">
        <v>8</v>
      </c>
      <c r="JT584" s="27" t="s">
        <v>7</v>
      </c>
      <c r="JU584" s="27" t="s">
        <v>8</v>
      </c>
      <c r="KZ584" s="27" t="s">
        <v>7</v>
      </c>
    </row>
    <row r="585" spans="1:316" x14ac:dyDescent="0.25">
      <c r="A585" s="7">
        <v>1.0404</v>
      </c>
      <c r="B585"/>
      <c r="C585"/>
      <c r="D585"/>
      <c r="E585"/>
      <c r="EW585" s="27" t="s">
        <v>8</v>
      </c>
      <c r="IG585" s="27" t="s">
        <v>8</v>
      </c>
      <c r="IH585" s="27" t="s">
        <v>7</v>
      </c>
      <c r="IY585" s="27" t="s">
        <v>8</v>
      </c>
      <c r="IZ585" s="27" t="s">
        <v>7</v>
      </c>
      <c r="JM585" s="27" t="s">
        <v>8</v>
      </c>
      <c r="JN585" s="27" t="s">
        <v>7</v>
      </c>
      <c r="JQ585" s="27" t="s">
        <v>8</v>
      </c>
      <c r="JR585" s="27" t="s">
        <v>7</v>
      </c>
      <c r="JS585" s="27" t="s">
        <v>8</v>
      </c>
      <c r="JT585" s="27" t="s">
        <v>7</v>
      </c>
      <c r="JU585" s="27" t="s">
        <v>8</v>
      </c>
      <c r="KZ585" s="27" t="s">
        <v>7</v>
      </c>
    </row>
    <row r="586" spans="1:316" x14ac:dyDescent="0.25">
      <c r="A586" s="7">
        <v>1.02</v>
      </c>
      <c r="B586"/>
      <c r="C586"/>
      <c r="D586"/>
      <c r="E586"/>
      <c r="EW586" s="27" t="s">
        <v>8</v>
      </c>
      <c r="EX586" s="27" t="s">
        <v>7</v>
      </c>
      <c r="IG586" s="27" t="s">
        <v>8</v>
      </c>
      <c r="IH586" s="27" t="s">
        <v>7</v>
      </c>
      <c r="IY586" s="27" t="s">
        <v>8</v>
      </c>
      <c r="IZ586" s="27" t="s">
        <v>7</v>
      </c>
      <c r="JM586" s="27" t="s">
        <v>8</v>
      </c>
      <c r="JN586" s="27" t="s">
        <v>7</v>
      </c>
      <c r="JQ586" s="27" t="s">
        <v>8</v>
      </c>
      <c r="JR586" s="27" t="s">
        <v>7</v>
      </c>
      <c r="JS586" s="27" t="s">
        <v>8</v>
      </c>
      <c r="JT586" s="27" t="s">
        <v>7</v>
      </c>
      <c r="JU586" s="27" t="s">
        <v>8</v>
      </c>
      <c r="KZ586" s="27" t="s">
        <v>7</v>
      </c>
    </row>
    <row r="587" spans="1:316" x14ac:dyDescent="0.25">
      <c r="A587" s="7">
        <v>1</v>
      </c>
      <c r="B587"/>
      <c r="C587"/>
      <c r="D587"/>
      <c r="E587" s="29" t="s">
        <v>8</v>
      </c>
      <c r="EW587" s="27" t="s">
        <v>8</v>
      </c>
      <c r="EX587" s="27" t="s">
        <v>7</v>
      </c>
      <c r="IG587" s="27" t="s">
        <v>8</v>
      </c>
      <c r="IH587" s="27" t="s">
        <v>7</v>
      </c>
      <c r="IY587" s="27" t="s">
        <v>8</v>
      </c>
      <c r="IZ587" s="27" t="s">
        <v>7</v>
      </c>
      <c r="JM587" s="27" t="s">
        <v>8</v>
      </c>
      <c r="JN587" s="27" t="s">
        <v>7</v>
      </c>
      <c r="JQ587" s="27" t="s">
        <v>8</v>
      </c>
      <c r="JR587" s="27" t="s">
        <v>7</v>
      </c>
      <c r="JS587" s="27" t="s">
        <v>8</v>
      </c>
      <c r="JT587" s="27" t="s">
        <v>7</v>
      </c>
      <c r="JU587" s="27" t="s">
        <v>8</v>
      </c>
      <c r="KZ587" s="27" t="s">
        <v>7</v>
      </c>
    </row>
    <row r="588" spans="1:316" x14ac:dyDescent="0.25">
      <c r="A588" s="7">
        <v>0.98039215686274506</v>
      </c>
      <c r="B588"/>
      <c r="C588"/>
      <c r="D588"/>
      <c r="E588"/>
      <c r="F588" s="27" t="s">
        <v>7</v>
      </c>
      <c r="EW588" s="27" t="s">
        <v>8</v>
      </c>
      <c r="EX588" s="27" t="s">
        <v>7</v>
      </c>
      <c r="IG588" s="27" t="s">
        <v>8</v>
      </c>
      <c r="IH588" s="27" t="s">
        <v>7</v>
      </c>
      <c r="IY588" s="27" t="s">
        <v>8</v>
      </c>
      <c r="IZ588" s="27" t="s">
        <v>7</v>
      </c>
      <c r="JM588" s="27" t="s">
        <v>8</v>
      </c>
      <c r="JN588" s="27" t="s">
        <v>7</v>
      </c>
      <c r="JQ588" s="27" t="s">
        <v>8</v>
      </c>
      <c r="JR588" s="27" t="s">
        <v>7</v>
      </c>
      <c r="JS588" s="27" t="s">
        <v>8</v>
      </c>
      <c r="JT588" s="27" t="s">
        <v>7</v>
      </c>
      <c r="KZ588" s="27" t="s">
        <v>7</v>
      </c>
    </row>
    <row r="589" spans="1:316" x14ac:dyDescent="0.25">
      <c r="A589" s="7">
        <v>0.96116878123798544</v>
      </c>
      <c r="B589"/>
      <c r="C589"/>
      <c r="D589"/>
      <c r="E589"/>
      <c r="F589" s="27" t="s">
        <v>7</v>
      </c>
      <c r="EW589" s="27" t="s">
        <v>8</v>
      </c>
      <c r="EX589" s="27" t="s">
        <v>7</v>
      </c>
      <c r="IG589" s="27" t="s">
        <v>8</v>
      </c>
      <c r="IH589" s="27" t="s">
        <v>7</v>
      </c>
      <c r="IY589" s="27" t="s">
        <v>8</v>
      </c>
      <c r="IZ589" s="27" t="s">
        <v>7</v>
      </c>
      <c r="JM589" s="27" t="s">
        <v>8</v>
      </c>
      <c r="JN589" s="27" t="s">
        <v>7</v>
      </c>
      <c r="JQ589" s="27" t="s">
        <v>8</v>
      </c>
      <c r="JR589" s="27" t="s">
        <v>7</v>
      </c>
      <c r="JS589" s="27" t="s">
        <v>8</v>
      </c>
      <c r="KZ589" s="27" t="s">
        <v>7</v>
      </c>
      <c r="LC589" s="27" t="s">
        <v>8</v>
      </c>
    </row>
    <row r="590" spans="1:316" x14ac:dyDescent="0.25">
      <c r="A590" s="7">
        <v>0.94232233454704462</v>
      </c>
      <c r="B590"/>
      <c r="C590"/>
      <c r="D590"/>
      <c r="E590"/>
      <c r="F590" s="27" t="s">
        <v>7</v>
      </c>
      <c r="EW590" s="27" t="s">
        <v>8</v>
      </c>
      <c r="EX590" s="27" t="s">
        <v>7</v>
      </c>
      <c r="IG590" s="27" t="s">
        <v>8</v>
      </c>
      <c r="IH590" s="27" t="s">
        <v>7</v>
      </c>
      <c r="IY590" s="27" t="s">
        <v>8</v>
      </c>
      <c r="IZ590" s="27" t="s">
        <v>7</v>
      </c>
      <c r="JM590" s="27" t="s">
        <v>8</v>
      </c>
      <c r="JN590" s="27" t="s">
        <v>7</v>
      </c>
      <c r="JQ590" s="27" t="s">
        <v>8</v>
      </c>
      <c r="JR590" s="27" t="s">
        <v>7</v>
      </c>
      <c r="JS590" s="27" t="s">
        <v>8</v>
      </c>
      <c r="KZ590" s="27" t="s">
        <v>7</v>
      </c>
      <c r="LC590" s="27" t="s">
        <v>8</v>
      </c>
      <c r="LD590" s="27" t="s">
        <v>7</v>
      </c>
    </row>
    <row r="591" spans="1:316" x14ac:dyDescent="0.25">
      <c r="A591" s="7">
        <v>0.92384542602651432</v>
      </c>
      <c r="B591"/>
      <c r="C591"/>
      <c r="D591"/>
      <c r="E591"/>
      <c r="F591" s="27" t="s">
        <v>7</v>
      </c>
      <c r="EW591" s="27" t="s">
        <v>8</v>
      </c>
      <c r="EX591" s="27" t="s">
        <v>7</v>
      </c>
      <c r="IG591" s="27" t="s">
        <v>8</v>
      </c>
      <c r="IH591" s="27" t="s">
        <v>7</v>
      </c>
      <c r="IK591" s="27" t="s">
        <v>8</v>
      </c>
      <c r="IY591" s="27" t="s">
        <v>8</v>
      </c>
      <c r="IZ591" s="27" t="s">
        <v>7</v>
      </c>
      <c r="JM591" s="27" t="s">
        <v>8</v>
      </c>
      <c r="JN591" s="27" t="s">
        <v>7</v>
      </c>
      <c r="JQ591" s="27" t="s">
        <v>8</v>
      </c>
      <c r="JR591" s="27" t="s">
        <v>7</v>
      </c>
      <c r="JS591" s="27" t="s">
        <v>8</v>
      </c>
      <c r="KZ591" s="27" t="s">
        <v>7</v>
      </c>
      <c r="LC591" s="27" t="s">
        <v>8</v>
      </c>
      <c r="LD591" s="27" t="s">
        <v>7</v>
      </c>
    </row>
    <row r="592" spans="1:316" x14ac:dyDescent="0.25">
      <c r="A592" s="7">
        <v>0.90573080982991594</v>
      </c>
      <c r="B592"/>
      <c r="C592"/>
      <c r="D592"/>
      <c r="E592"/>
      <c r="F592" s="27" t="s">
        <v>7</v>
      </c>
      <c r="EW592" s="27" t="s">
        <v>8</v>
      </c>
      <c r="EX592" s="27" t="s">
        <v>7</v>
      </c>
      <c r="IG592" s="27" t="s">
        <v>8</v>
      </c>
      <c r="IH592" s="27" t="s">
        <v>7</v>
      </c>
      <c r="IK592" s="27" t="s">
        <v>8</v>
      </c>
      <c r="IL592" s="27" t="s">
        <v>7</v>
      </c>
      <c r="IY592" s="27" t="s">
        <v>8</v>
      </c>
      <c r="IZ592" s="27" t="s">
        <v>7</v>
      </c>
      <c r="JM592" s="27" t="s">
        <v>8</v>
      </c>
      <c r="JN592" s="27" t="s">
        <v>7</v>
      </c>
      <c r="JQ592" s="27" t="s">
        <v>8</v>
      </c>
      <c r="JR592" s="27" t="s">
        <v>7</v>
      </c>
      <c r="JS592" s="27" t="s">
        <v>8</v>
      </c>
      <c r="KZ592" s="27" t="s">
        <v>7</v>
      </c>
      <c r="LC592" s="27" t="s">
        <v>8</v>
      </c>
      <c r="LD592" s="27" t="s">
        <v>7</v>
      </c>
    </row>
    <row r="593" spans="1:316" x14ac:dyDescent="0.25">
      <c r="A593" s="7">
        <v>0.8879713821861922</v>
      </c>
      <c r="B593"/>
      <c r="C593"/>
      <c r="D593"/>
      <c r="E593"/>
      <c r="F593" s="27" t="s">
        <v>7</v>
      </c>
      <c r="EW593" s="27" t="s">
        <v>8</v>
      </c>
      <c r="EX593" s="27" t="s">
        <v>7</v>
      </c>
      <c r="IG593" s="27" t="s">
        <v>8</v>
      </c>
      <c r="IH593" s="27" t="s">
        <v>7</v>
      </c>
      <c r="II593" s="27" t="s">
        <v>8</v>
      </c>
      <c r="IK593" s="27" t="s">
        <v>8</v>
      </c>
      <c r="IL593" s="27" t="s">
        <v>7</v>
      </c>
      <c r="IY593" s="27" t="s">
        <v>8</v>
      </c>
      <c r="IZ593" s="27" t="s">
        <v>7</v>
      </c>
      <c r="JC593" s="27" t="s">
        <v>8</v>
      </c>
      <c r="JM593" s="27" t="s">
        <v>8</v>
      </c>
      <c r="JN593" s="27" t="s">
        <v>7</v>
      </c>
      <c r="JQ593" s="27" t="s">
        <v>8</v>
      </c>
      <c r="JR593" s="27" t="s">
        <v>7</v>
      </c>
      <c r="JS593" s="27" t="s">
        <v>8</v>
      </c>
      <c r="KZ593" s="27" t="s">
        <v>7</v>
      </c>
      <c r="LC593" s="27" t="s">
        <v>8</v>
      </c>
      <c r="LD593" s="27" t="s">
        <v>7</v>
      </c>
    </row>
    <row r="594" spans="1:316" x14ac:dyDescent="0.25">
      <c r="A594" s="7">
        <v>0.87056017861391399</v>
      </c>
      <c r="B594"/>
      <c r="C594"/>
      <c r="D594"/>
      <c r="E594"/>
      <c r="F594" s="27" t="s">
        <v>7</v>
      </c>
      <c r="EW594" s="27" t="s">
        <v>8</v>
      </c>
      <c r="EX594" s="27" t="s">
        <v>7</v>
      </c>
      <c r="IG594" s="27" t="s">
        <v>8</v>
      </c>
      <c r="IH594" s="27" t="s">
        <v>7</v>
      </c>
      <c r="II594" s="27" t="s">
        <v>8</v>
      </c>
      <c r="IJ594" s="27" t="s">
        <v>7</v>
      </c>
      <c r="IK594" s="27" t="s">
        <v>8</v>
      </c>
      <c r="IL594" s="27" t="s">
        <v>7</v>
      </c>
      <c r="IY594" s="27" t="s">
        <v>8</v>
      </c>
      <c r="IZ594" s="27" t="s">
        <v>7</v>
      </c>
      <c r="JA594" s="27" t="s">
        <v>8</v>
      </c>
      <c r="JC594" s="27" t="s">
        <v>8</v>
      </c>
      <c r="JD594" s="27" t="s">
        <v>7</v>
      </c>
      <c r="JM594" s="27" t="s">
        <v>8</v>
      </c>
      <c r="JN594" s="27" t="s">
        <v>7</v>
      </c>
      <c r="JQ594" s="27" t="s">
        <v>8</v>
      </c>
      <c r="JR594" s="27" t="s">
        <v>7</v>
      </c>
      <c r="KZ594" s="27" t="s">
        <v>7</v>
      </c>
      <c r="LA594" s="27" t="s">
        <v>8</v>
      </c>
      <c r="LC594" s="27" t="s">
        <v>8</v>
      </c>
      <c r="LD594" s="27" t="s">
        <v>7</v>
      </c>
    </row>
    <row r="595" spans="1:316" x14ac:dyDescent="0.25">
      <c r="A595" s="7">
        <v>0.85349037119011173</v>
      </c>
      <c r="B595"/>
      <c r="C595"/>
      <c r="D595"/>
      <c r="E595"/>
      <c r="F595" s="27" t="s">
        <v>7</v>
      </c>
      <c r="EW595" s="27" t="s">
        <v>8</v>
      </c>
      <c r="EX595" s="27" t="s">
        <v>7</v>
      </c>
      <c r="FA595" s="27" t="s">
        <v>8</v>
      </c>
      <c r="IG595" s="27" t="s">
        <v>8</v>
      </c>
      <c r="IH595" s="27" t="s">
        <v>7</v>
      </c>
      <c r="II595" s="27" t="s">
        <v>8</v>
      </c>
      <c r="IJ595" s="27" t="s">
        <v>7</v>
      </c>
      <c r="IK595" s="27" t="s">
        <v>8</v>
      </c>
      <c r="IL595" s="27" t="s">
        <v>7</v>
      </c>
      <c r="IY595" s="27" t="s">
        <v>8</v>
      </c>
      <c r="IZ595" s="27" t="s">
        <v>7</v>
      </c>
      <c r="JA595" s="27" t="s">
        <v>8</v>
      </c>
      <c r="JB595" s="27" t="s">
        <v>7</v>
      </c>
      <c r="JC595" s="27" t="s">
        <v>8</v>
      </c>
      <c r="JD595" s="27" t="s">
        <v>7</v>
      </c>
      <c r="JM595" s="27" t="s">
        <v>8</v>
      </c>
      <c r="JN595" s="27" t="s">
        <v>7</v>
      </c>
      <c r="JO595" s="27" t="s">
        <v>8</v>
      </c>
      <c r="JQ595" s="27" t="s">
        <v>8</v>
      </c>
      <c r="KZ595" s="27" t="s">
        <v>7</v>
      </c>
      <c r="LA595" s="27" t="s">
        <v>8</v>
      </c>
      <c r="LB595" s="27" t="s">
        <v>7</v>
      </c>
      <c r="LC595" s="27" t="s">
        <v>8</v>
      </c>
      <c r="LD595" s="27" t="s">
        <v>7</v>
      </c>
    </row>
    <row r="596" spans="1:316" x14ac:dyDescent="0.25">
      <c r="A596" s="7">
        <v>0.83675526587265858</v>
      </c>
      <c r="B596"/>
      <c r="C596"/>
      <c r="D596"/>
      <c r="E596"/>
      <c r="F596" s="27" t="s">
        <v>7</v>
      </c>
      <c r="EW596" s="27" t="s">
        <v>8</v>
      </c>
      <c r="EX596" s="27" t="s">
        <v>7</v>
      </c>
      <c r="FA596" s="27" t="s">
        <v>8</v>
      </c>
      <c r="FB596" s="27" t="s">
        <v>7</v>
      </c>
      <c r="IG596" s="27" t="s">
        <v>8</v>
      </c>
      <c r="IH596" s="27" t="s">
        <v>7</v>
      </c>
      <c r="II596" s="27" t="s">
        <v>8</v>
      </c>
      <c r="IJ596" s="27" t="s">
        <v>7</v>
      </c>
      <c r="IK596" s="27" t="s">
        <v>8</v>
      </c>
      <c r="IL596" s="27" t="s">
        <v>7</v>
      </c>
      <c r="IM596" s="27" t="s">
        <v>8</v>
      </c>
      <c r="IY596" s="27" t="s">
        <v>8</v>
      </c>
      <c r="IZ596" s="27" t="s">
        <v>7</v>
      </c>
      <c r="JA596" s="27" t="s">
        <v>8</v>
      </c>
      <c r="JB596" s="27" t="s">
        <v>7</v>
      </c>
      <c r="JC596" s="27" t="s">
        <v>8</v>
      </c>
      <c r="JD596" s="27" t="s">
        <v>7</v>
      </c>
      <c r="JG596" s="27" t="s">
        <v>8</v>
      </c>
      <c r="JI596" s="27" t="s">
        <v>8</v>
      </c>
      <c r="JK596" s="27" t="s">
        <v>8</v>
      </c>
      <c r="JM596" s="27" t="s">
        <v>8</v>
      </c>
      <c r="JN596" s="27" t="s">
        <v>7</v>
      </c>
      <c r="JO596" s="27" t="s">
        <v>8</v>
      </c>
      <c r="JP596" s="27" t="s">
        <v>7</v>
      </c>
      <c r="JQ596" s="27" t="s">
        <v>8</v>
      </c>
      <c r="KZ596" s="27" t="s">
        <v>7</v>
      </c>
      <c r="LA596" s="27" t="s">
        <v>8</v>
      </c>
      <c r="LB596" s="27" t="s">
        <v>7</v>
      </c>
      <c r="LC596" s="27" t="s">
        <v>8</v>
      </c>
    </row>
    <row r="597" spans="1:316" x14ac:dyDescent="0.25">
      <c r="A597" s="7">
        <v>0.82034829987515545</v>
      </c>
      <c r="B597"/>
      <c r="C597"/>
      <c r="D597"/>
      <c r="E597"/>
      <c r="F597" s="27" t="s">
        <v>7</v>
      </c>
      <c r="EW597" s="27" t="s">
        <v>8</v>
      </c>
      <c r="EX597" s="27" t="s">
        <v>7</v>
      </c>
      <c r="FA597" s="27" t="s">
        <v>8</v>
      </c>
      <c r="FB597" s="27" t="s">
        <v>7</v>
      </c>
      <c r="FQ597" s="27" t="s">
        <v>8</v>
      </c>
      <c r="IG597" s="27" t="s">
        <v>8</v>
      </c>
      <c r="IH597" s="27" t="s">
        <v>7</v>
      </c>
      <c r="II597" s="27" t="s">
        <v>8</v>
      </c>
      <c r="IJ597" s="27" t="s">
        <v>7</v>
      </c>
      <c r="IK597" s="27" t="s">
        <v>8</v>
      </c>
      <c r="IL597" s="27" t="s">
        <v>7</v>
      </c>
      <c r="IM597" s="27" t="s">
        <v>8</v>
      </c>
      <c r="IN597" s="27" t="s">
        <v>7</v>
      </c>
      <c r="IY597" s="27" t="s">
        <v>8</v>
      </c>
      <c r="IZ597" s="27" t="s">
        <v>7</v>
      </c>
      <c r="JA597" s="27" t="s">
        <v>8</v>
      </c>
      <c r="JB597" s="27" t="s">
        <v>7</v>
      </c>
      <c r="JC597" s="27" t="s">
        <v>8</v>
      </c>
      <c r="JD597" s="27" t="s">
        <v>7</v>
      </c>
      <c r="JE597" s="27" t="s">
        <v>8</v>
      </c>
      <c r="JG597" s="27" t="s">
        <v>8</v>
      </c>
      <c r="JH597" s="27" t="s">
        <v>7</v>
      </c>
      <c r="JI597" s="27" t="s">
        <v>8</v>
      </c>
      <c r="JJ597" s="27" t="s">
        <v>7</v>
      </c>
      <c r="JK597" s="27" t="s">
        <v>8</v>
      </c>
      <c r="JL597" s="27" t="s">
        <v>7</v>
      </c>
      <c r="JM597" s="27" t="s">
        <v>8</v>
      </c>
      <c r="JN597" s="27" t="s">
        <v>7</v>
      </c>
      <c r="JO597" s="27" t="s">
        <v>8</v>
      </c>
      <c r="JP597" s="27" t="s">
        <v>7</v>
      </c>
      <c r="JQ597" s="27" t="s">
        <v>8</v>
      </c>
      <c r="KZ597" s="27" t="s">
        <v>7</v>
      </c>
      <c r="LA597" s="27" t="s">
        <v>8</v>
      </c>
      <c r="LB597" s="27" t="s">
        <v>7</v>
      </c>
      <c r="LC597" s="27" t="s">
        <v>8</v>
      </c>
    </row>
    <row r="598" spans="1:316" x14ac:dyDescent="0.25">
      <c r="A598" s="7">
        <v>0.80426303909328967</v>
      </c>
      <c r="B598"/>
      <c r="C598"/>
      <c r="D598"/>
      <c r="E598"/>
      <c r="F598" s="27" t="s">
        <v>7</v>
      </c>
      <c r="EW598" s="27" t="s">
        <v>8</v>
      </c>
      <c r="EX598" s="27" t="s">
        <v>7</v>
      </c>
      <c r="FA598" s="27" t="s">
        <v>8</v>
      </c>
      <c r="FB598" s="27" t="s">
        <v>7</v>
      </c>
      <c r="FQ598" s="27" t="s">
        <v>8</v>
      </c>
      <c r="FR598" s="27" t="s">
        <v>7</v>
      </c>
      <c r="IG598" s="27" t="s">
        <v>8</v>
      </c>
      <c r="IH598" s="27" t="s">
        <v>7</v>
      </c>
      <c r="II598" s="27" t="s">
        <v>8</v>
      </c>
      <c r="IJ598" s="27" t="s">
        <v>7</v>
      </c>
      <c r="IK598" s="27" t="s">
        <v>8</v>
      </c>
      <c r="IL598" s="27" t="s">
        <v>7</v>
      </c>
      <c r="IM598" s="27" t="s">
        <v>8</v>
      </c>
      <c r="IN598" s="27" t="s">
        <v>7</v>
      </c>
      <c r="IY598" s="27" t="s">
        <v>8</v>
      </c>
      <c r="IZ598" s="27" t="s">
        <v>7</v>
      </c>
      <c r="JB598" s="27" t="s">
        <v>7</v>
      </c>
      <c r="JC598" s="27" t="s">
        <v>8</v>
      </c>
      <c r="JD598" s="27" t="s">
        <v>7</v>
      </c>
      <c r="JE598" s="27" t="s">
        <v>8</v>
      </c>
      <c r="JF598" s="27" t="s">
        <v>7</v>
      </c>
      <c r="JG598" s="27" t="s">
        <v>8</v>
      </c>
      <c r="JH598" s="27" t="s">
        <v>7</v>
      </c>
      <c r="JI598" s="27" t="s">
        <v>8</v>
      </c>
      <c r="JJ598" s="27" t="s">
        <v>7</v>
      </c>
      <c r="JK598" s="27" t="s">
        <v>8</v>
      </c>
      <c r="JL598" s="27" t="s">
        <v>7</v>
      </c>
      <c r="JM598" s="27" t="s">
        <v>8</v>
      </c>
      <c r="JN598" s="27" t="s">
        <v>7</v>
      </c>
      <c r="JO598" s="27" t="s">
        <v>8</v>
      </c>
      <c r="JP598" s="27" t="s">
        <v>7</v>
      </c>
      <c r="JQ598" s="27" t="s">
        <v>8</v>
      </c>
      <c r="KZ598" s="27" t="s">
        <v>7</v>
      </c>
      <c r="LA598" s="27" t="s">
        <v>8</v>
      </c>
      <c r="LB598" s="27" t="s">
        <v>7</v>
      </c>
      <c r="LC598" s="27" t="s">
        <v>8</v>
      </c>
    </row>
    <row r="599" spans="1:316" x14ac:dyDescent="0.25">
      <c r="A599" s="7">
        <v>0.78849317558165644</v>
      </c>
      <c r="B599"/>
      <c r="C599"/>
      <c r="D599"/>
      <c r="E599"/>
      <c r="F599" s="27" t="s">
        <v>7</v>
      </c>
      <c r="EW599" s="27" t="s">
        <v>8</v>
      </c>
      <c r="EX599" s="27" t="s">
        <v>7</v>
      </c>
      <c r="EY599" s="27" t="s">
        <v>8</v>
      </c>
      <c r="FA599" s="27" t="s">
        <v>8</v>
      </c>
      <c r="FB599" s="27" t="s">
        <v>7</v>
      </c>
      <c r="FQ599" s="27" t="s">
        <v>8</v>
      </c>
      <c r="FR599" s="27" t="s">
        <v>7</v>
      </c>
      <c r="IG599" s="27" t="s">
        <v>8</v>
      </c>
      <c r="IH599" s="27" t="s">
        <v>7</v>
      </c>
      <c r="II599" s="27" t="s">
        <v>8</v>
      </c>
      <c r="IJ599" s="27" t="s">
        <v>7</v>
      </c>
      <c r="IK599" s="27" t="s">
        <v>8</v>
      </c>
      <c r="IL599" s="27" t="s">
        <v>7</v>
      </c>
      <c r="IM599" s="27" t="s">
        <v>8</v>
      </c>
      <c r="IN599" s="27" t="s">
        <v>7</v>
      </c>
      <c r="IY599" s="27" t="s">
        <v>8</v>
      </c>
      <c r="JB599" s="27" t="s">
        <v>7</v>
      </c>
      <c r="JC599" s="27" t="s">
        <v>8</v>
      </c>
      <c r="JD599" s="27" t="s">
        <v>7</v>
      </c>
      <c r="JE599" s="27" t="s">
        <v>8</v>
      </c>
      <c r="JF599" s="27" t="s">
        <v>7</v>
      </c>
      <c r="JG599" s="27" t="s">
        <v>8</v>
      </c>
      <c r="JH599" s="27" t="s">
        <v>7</v>
      </c>
      <c r="JI599" s="27" t="s">
        <v>8</v>
      </c>
      <c r="JJ599" s="27" t="s">
        <v>7</v>
      </c>
      <c r="JL599" s="27" t="s">
        <v>7</v>
      </c>
      <c r="JN599" s="27" t="s">
        <v>7</v>
      </c>
      <c r="JP599" s="27" t="s">
        <v>7</v>
      </c>
      <c r="KZ599" s="27" t="s">
        <v>7</v>
      </c>
      <c r="LA599" s="27" t="s">
        <v>8</v>
      </c>
      <c r="LB599" s="27" t="s">
        <v>7</v>
      </c>
    </row>
    <row r="600" spans="1:316" x14ac:dyDescent="0.25">
      <c r="A600" s="7">
        <v>0.77303252508005538</v>
      </c>
      <c r="B600"/>
      <c r="C600"/>
      <c r="D600"/>
      <c r="E600"/>
      <c r="F600" s="27" t="s">
        <v>7</v>
      </c>
      <c r="EW600" s="27" t="s">
        <v>8</v>
      </c>
      <c r="EX600" s="27" t="s">
        <v>7</v>
      </c>
      <c r="EY600" s="27" t="s">
        <v>8</v>
      </c>
      <c r="EZ600" s="27" t="s">
        <v>7</v>
      </c>
      <c r="FA600" s="27" t="s">
        <v>8</v>
      </c>
      <c r="FB600" s="27" t="s">
        <v>7</v>
      </c>
      <c r="FQ600" s="27" t="s">
        <v>8</v>
      </c>
      <c r="FR600" s="27" t="s">
        <v>7</v>
      </c>
      <c r="IG600" s="27" t="s">
        <v>8</v>
      </c>
      <c r="IH600" s="27" t="s">
        <v>7</v>
      </c>
      <c r="II600" s="27" t="s">
        <v>8</v>
      </c>
      <c r="IJ600" s="27" t="s">
        <v>7</v>
      </c>
      <c r="IK600" s="27" t="s">
        <v>8</v>
      </c>
      <c r="IL600" s="27" t="s">
        <v>7</v>
      </c>
      <c r="IM600" s="27" t="s">
        <v>8</v>
      </c>
      <c r="IN600" s="27" t="s">
        <v>7</v>
      </c>
      <c r="IY600" s="27" t="s">
        <v>8</v>
      </c>
      <c r="JB600" s="27" t="s">
        <v>7</v>
      </c>
      <c r="JC600" s="27" t="s">
        <v>8</v>
      </c>
      <c r="JD600" s="27" t="s">
        <v>7</v>
      </c>
      <c r="JE600" s="27" t="s">
        <v>8</v>
      </c>
      <c r="JF600" s="27" t="s">
        <v>7</v>
      </c>
      <c r="JG600" s="27" t="s">
        <v>8</v>
      </c>
      <c r="JH600" s="27" t="s">
        <v>7</v>
      </c>
      <c r="JI600" s="27" t="s">
        <v>8</v>
      </c>
      <c r="KZ600" s="27" t="s">
        <v>7</v>
      </c>
      <c r="LA600" s="27" t="s">
        <v>8</v>
      </c>
    </row>
    <row r="601" spans="1:316" x14ac:dyDescent="0.25">
      <c r="A601" s="7">
        <v>0.75787502458828959</v>
      </c>
      <c r="B601"/>
      <c r="C601"/>
      <c r="D601"/>
      <c r="E601"/>
      <c r="F601" s="27" t="s">
        <v>7</v>
      </c>
      <c r="EU601" s="27" t="s">
        <v>8</v>
      </c>
      <c r="EW601" s="27" t="s">
        <v>8</v>
      </c>
      <c r="EX601" s="27" t="s">
        <v>7</v>
      </c>
      <c r="EY601" s="27" t="s">
        <v>8</v>
      </c>
      <c r="EZ601" s="27" t="s">
        <v>7</v>
      </c>
      <c r="FA601" s="27" t="s">
        <v>8</v>
      </c>
      <c r="FB601" s="27" t="s">
        <v>7</v>
      </c>
      <c r="FQ601" s="27" t="s">
        <v>8</v>
      </c>
      <c r="FR601" s="27" t="s">
        <v>7</v>
      </c>
      <c r="IG601" s="27" t="s">
        <v>8</v>
      </c>
      <c r="IH601" s="27" t="s">
        <v>7</v>
      </c>
      <c r="II601" s="27" t="s">
        <v>8</v>
      </c>
      <c r="IJ601" s="27" t="s">
        <v>7</v>
      </c>
      <c r="IK601" s="27" t="s">
        <v>8</v>
      </c>
      <c r="IL601" s="27" t="s">
        <v>7</v>
      </c>
      <c r="IM601" s="27" t="s">
        <v>8</v>
      </c>
      <c r="IN601" s="27" t="s">
        <v>7</v>
      </c>
      <c r="IY601" s="27" t="s">
        <v>8</v>
      </c>
      <c r="JB601" s="27" t="s">
        <v>7</v>
      </c>
      <c r="JC601" s="27" t="s">
        <v>8</v>
      </c>
      <c r="JD601" s="27" t="s">
        <v>7</v>
      </c>
      <c r="JE601" s="27" t="s">
        <v>8</v>
      </c>
      <c r="JF601" s="27" t="s">
        <v>7</v>
      </c>
      <c r="JG601" s="27" t="s">
        <v>8</v>
      </c>
      <c r="JH601" s="27" t="s">
        <v>7</v>
      </c>
      <c r="JI601" s="27" t="s">
        <v>8</v>
      </c>
      <c r="KZ601" s="27" t="s">
        <v>7</v>
      </c>
      <c r="LA601" s="27" t="s">
        <v>8</v>
      </c>
    </row>
    <row r="602" spans="1:316" x14ac:dyDescent="0.25">
      <c r="A602" s="7">
        <v>0.74301472998851925</v>
      </c>
      <c r="B602"/>
      <c r="C602"/>
      <c r="D602"/>
      <c r="E602"/>
      <c r="F602" s="27" t="s">
        <v>7</v>
      </c>
      <c r="EU602" s="27" t="s">
        <v>8</v>
      </c>
      <c r="EV602" s="27" t="s">
        <v>7</v>
      </c>
      <c r="EW602" s="27" t="s">
        <v>8</v>
      </c>
      <c r="EX602" s="27" t="s">
        <v>7</v>
      </c>
      <c r="EY602" s="27" t="s">
        <v>8</v>
      </c>
      <c r="EZ602" s="27" t="s">
        <v>7</v>
      </c>
      <c r="FA602" s="27" t="s">
        <v>8</v>
      </c>
      <c r="FB602" s="27" t="s">
        <v>7</v>
      </c>
      <c r="FC602" s="27" t="s">
        <v>8</v>
      </c>
      <c r="FE602" s="27" t="s">
        <v>8</v>
      </c>
      <c r="FQ602" s="27" t="s">
        <v>8</v>
      </c>
      <c r="FR602" s="27" t="s">
        <v>7</v>
      </c>
      <c r="IG602" s="27" t="s">
        <v>8</v>
      </c>
      <c r="IH602" s="27" t="s">
        <v>7</v>
      </c>
      <c r="IJ602" s="27" t="s">
        <v>7</v>
      </c>
      <c r="IK602" s="27" t="s">
        <v>8</v>
      </c>
      <c r="IL602" s="27" t="s">
        <v>7</v>
      </c>
      <c r="IN602" s="27" t="s">
        <v>7</v>
      </c>
      <c r="IW602" s="27" t="s">
        <v>8</v>
      </c>
      <c r="IY602" s="27" t="s">
        <v>8</v>
      </c>
      <c r="JB602" s="27" t="s">
        <v>7</v>
      </c>
      <c r="JD602" s="27" t="s">
        <v>7</v>
      </c>
      <c r="JF602" s="27" t="s">
        <v>7</v>
      </c>
      <c r="JH602" s="27" t="s">
        <v>7</v>
      </c>
      <c r="JI602" s="27" t="s">
        <v>8</v>
      </c>
      <c r="KZ602" s="27" t="s">
        <v>7</v>
      </c>
      <c r="LA602" s="27" t="s">
        <v>8</v>
      </c>
    </row>
    <row r="603" spans="1:316" x14ac:dyDescent="0.25">
      <c r="A603" s="7">
        <v>0.72844581371423456</v>
      </c>
      <c r="B603"/>
      <c r="C603"/>
      <c r="D603"/>
      <c r="E603"/>
      <c r="F603" s="27" t="s">
        <v>7</v>
      </c>
      <c r="EU603" s="27" t="s">
        <v>8</v>
      </c>
      <c r="EV603" s="27" t="s">
        <v>7</v>
      </c>
      <c r="EW603" s="27" t="s">
        <v>8</v>
      </c>
      <c r="EX603" s="27" t="s">
        <v>7</v>
      </c>
      <c r="EY603" s="27" t="s">
        <v>8</v>
      </c>
      <c r="EZ603" s="27" t="s">
        <v>7</v>
      </c>
      <c r="FA603" s="27" t="s">
        <v>8</v>
      </c>
      <c r="FB603" s="27" t="s">
        <v>7</v>
      </c>
      <c r="FC603" s="27" t="s">
        <v>8</v>
      </c>
      <c r="FD603" s="27" t="s">
        <v>7</v>
      </c>
      <c r="FE603" s="27" t="s">
        <v>8</v>
      </c>
      <c r="FF603" s="27" t="s">
        <v>7</v>
      </c>
      <c r="FQ603" s="27" t="s">
        <v>8</v>
      </c>
      <c r="FR603" s="27" t="s">
        <v>7</v>
      </c>
      <c r="IG603" s="27" t="s">
        <v>8</v>
      </c>
      <c r="IJ603" s="27" t="s">
        <v>7</v>
      </c>
      <c r="IN603" s="27" t="s">
        <v>7</v>
      </c>
      <c r="IW603" s="27" t="s">
        <v>8</v>
      </c>
      <c r="IX603" s="27" t="s">
        <v>7</v>
      </c>
      <c r="IY603" s="27" t="s">
        <v>8</v>
      </c>
      <c r="JH603" s="27" t="s">
        <v>7</v>
      </c>
      <c r="JI603" s="27" t="s">
        <v>8</v>
      </c>
      <c r="KZ603" s="27" t="s">
        <v>7</v>
      </c>
      <c r="LA603" s="27" t="s">
        <v>8</v>
      </c>
    </row>
    <row r="604" spans="1:316" x14ac:dyDescent="0.25">
      <c r="A604" s="7">
        <v>0.71416256246493581</v>
      </c>
      <c r="B604"/>
      <c r="C604"/>
      <c r="D604"/>
      <c r="E604"/>
      <c r="F604" s="27" t="s">
        <v>7</v>
      </c>
      <c r="EU604" s="27" t="s">
        <v>8</v>
      </c>
      <c r="EV604" s="27" t="s">
        <v>7</v>
      </c>
      <c r="EW604" s="27" t="s">
        <v>8</v>
      </c>
      <c r="EX604" s="27" t="s">
        <v>7</v>
      </c>
      <c r="EY604" s="27" t="s">
        <v>8</v>
      </c>
      <c r="EZ604" s="27" t="s">
        <v>7</v>
      </c>
      <c r="FA604" s="27" t="s">
        <v>8</v>
      </c>
      <c r="FB604" s="27" t="s">
        <v>7</v>
      </c>
      <c r="FC604" s="27" t="s">
        <v>8</v>
      </c>
      <c r="FD604" s="27" t="s">
        <v>7</v>
      </c>
      <c r="FE604" s="27" t="s">
        <v>8</v>
      </c>
      <c r="FF604" s="27" t="s">
        <v>7</v>
      </c>
      <c r="FQ604" s="27" t="s">
        <v>8</v>
      </c>
      <c r="FR604" s="27" t="s">
        <v>7</v>
      </c>
      <c r="IG604" s="27" t="s">
        <v>8</v>
      </c>
      <c r="IN604" s="27" t="s">
        <v>7</v>
      </c>
      <c r="IW604" s="27" t="s">
        <v>8</v>
      </c>
      <c r="IX604" s="27" t="s">
        <v>7</v>
      </c>
      <c r="IY604" s="27" t="s">
        <v>8</v>
      </c>
      <c r="JH604" s="27" t="s">
        <v>7</v>
      </c>
      <c r="JI604" s="27" t="s">
        <v>8</v>
      </c>
      <c r="KZ604" s="27" t="s">
        <v>7</v>
      </c>
    </row>
    <row r="605" spans="1:316" x14ac:dyDescent="0.25">
      <c r="A605" s="7">
        <v>0.7001593749656233</v>
      </c>
      <c r="B605"/>
      <c r="C605"/>
      <c r="D605"/>
      <c r="E605"/>
      <c r="F605" s="27" t="s">
        <v>7</v>
      </c>
      <c r="EU605" s="27" t="s">
        <v>8</v>
      </c>
      <c r="EV605" s="27" t="s">
        <v>7</v>
      </c>
      <c r="EW605" s="27" t="s">
        <v>8</v>
      </c>
      <c r="EX605" s="27" t="s">
        <v>7</v>
      </c>
      <c r="EY605" s="27" t="s">
        <v>8</v>
      </c>
      <c r="EZ605" s="27" t="s">
        <v>7</v>
      </c>
      <c r="FB605" s="27" t="s">
        <v>7</v>
      </c>
      <c r="FC605" s="27" t="s">
        <v>8</v>
      </c>
      <c r="FD605" s="27" t="s">
        <v>7</v>
      </c>
      <c r="FE605" s="27" t="s">
        <v>8</v>
      </c>
      <c r="FF605" s="27" t="s">
        <v>7</v>
      </c>
      <c r="FG605" s="27" t="s">
        <v>8</v>
      </c>
      <c r="FQ605" s="27" t="s">
        <v>8</v>
      </c>
      <c r="FR605" s="27" t="s">
        <v>7</v>
      </c>
      <c r="IG605" s="27" t="s">
        <v>8</v>
      </c>
      <c r="IN605" s="27" t="s">
        <v>7</v>
      </c>
      <c r="IW605" s="27" t="s">
        <v>8</v>
      </c>
      <c r="IX605" s="27" t="s">
        <v>7</v>
      </c>
      <c r="IY605" s="27" t="s">
        <v>8</v>
      </c>
      <c r="JH605" s="27" t="s">
        <v>7</v>
      </c>
    </row>
    <row r="606" spans="1:316" x14ac:dyDescent="0.25">
      <c r="A606" s="7">
        <v>0.68643075977021883</v>
      </c>
      <c r="B606"/>
      <c r="C606"/>
      <c r="D606"/>
      <c r="E606"/>
      <c r="F606" s="27" t="s">
        <v>7</v>
      </c>
      <c r="EU606" s="27" t="s">
        <v>8</v>
      </c>
      <c r="EV606" s="27" t="s">
        <v>7</v>
      </c>
      <c r="EW606" s="27" t="s">
        <v>8</v>
      </c>
      <c r="EX606" s="27" t="s">
        <v>7</v>
      </c>
      <c r="FB606" s="27" t="s">
        <v>7</v>
      </c>
      <c r="FD606" s="27" t="s">
        <v>7</v>
      </c>
      <c r="FE606" s="27" t="s">
        <v>8</v>
      </c>
      <c r="FF606" s="27" t="s">
        <v>7</v>
      </c>
      <c r="FG606" s="27" t="s">
        <v>8</v>
      </c>
      <c r="FH606" s="27" t="s">
        <v>7</v>
      </c>
      <c r="FQ606" s="27" t="s">
        <v>8</v>
      </c>
      <c r="FR606" s="27" t="s">
        <v>7</v>
      </c>
      <c r="FS606" s="27" t="s">
        <v>8</v>
      </c>
      <c r="FU606" s="27" t="s">
        <v>8</v>
      </c>
      <c r="IG606" s="27" t="s">
        <v>8</v>
      </c>
      <c r="IN606" s="27" t="s">
        <v>7</v>
      </c>
      <c r="IW606" s="27" t="s">
        <v>8</v>
      </c>
      <c r="IX606" s="27" t="s">
        <v>7</v>
      </c>
      <c r="IY606" s="27" t="s">
        <v>8</v>
      </c>
    </row>
    <row r="607" spans="1:316" x14ac:dyDescent="0.25">
      <c r="A607" s="7">
        <v>0.67297133310805768</v>
      </c>
      <c r="B607"/>
      <c r="C607"/>
      <c r="D607"/>
      <c r="E607"/>
      <c r="F607" s="27" t="s">
        <v>7</v>
      </c>
      <c r="EU607" s="27" t="s">
        <v>8</v>
      </c>
      <c r="EV607" s="27" t="s">
        <v>7</v>
      </c>
      <c r="EW607" s="27" t="s">
        <v>8</v>
      </c>
      <c r="FD607" s="27" t="s">
        <v>7</v>
      </c>
      <c r="FE607" s="27" t="s">
        <v>8</v>
      </c>
      <c r="FF607" s="27" t="s">
        <v>7</v>
      </c>
      <c r="FG607" s="27" t="s">
        <v>8</v>
      </c>
      <c r="FH607" s="27" t="s">
        <v>7</v>
      </c>
      <c r="FI607" s="27" t="s">
        <v>8</v>
      </c>
      <c r="FK607" s="27" t="s">
        <v>8</v>
      </c>
      <c r="FQ607" s="27" t="s">
        <v>8</v>
      </c>
      <c r="FR607" s="27" t="s">
        <v>7</v>
      </c>
      <c r="FS607" s="27" t="s">
        <v>8</v>
      </c>
      <c r="FT607" s="27" t="s">
        <v>7</v>
      </c>
      <c r="FU607" s="27" t="s">
        <v>8</v>
      </c>
      <c r="FV607" s="27" t="s">
        <v>7</v>
      </c>
      <c r="IG607" s="27" t="s">
        <v>8</v>
      </c>
      <c r="IN607" s="27" t="s">
        <v>7</v>
      </c>
      <c r="IW607" s="27" t="s">
        <v>8</v>
      </c>
      <c r="IX607" s="27" t="s">
        <v>7</v>
      </c>
    </row>
    <row r="608" spans="1:316" x14ac:dyDescent="0.25">
      <c r="A608" s="7">
        <v>0.65977581677260566</v>
      </c>
      <c r="B608"/>
      <c r="C608"/>
      <c r="D608"/>
      <c r="E608"/>
      <c r="F608" s="27" t="s">
        <v>7</v>
      </c>
      <c r="EU608" s="27" t="s">
        <v>8</v>
      </c>
      <c r="EV608" s="27" t="s">
        <v>7</v>
      </c>
      <c r="EW608" s="27" t="s">
        <v>8</v>
      </c>
      <c r="FD608" s="27" t="s">
        <v>7</v>
      </c>
      <c r="FE608" s="27" t="s">
        <v>8</v>
      </c>
      <c r="FF608" s="27" t="s">
        <v>7</v>
      </c>
      <c r="FG608" s="27" t="s">
        <v>8</v>
      </c>
      <c r="FH608" s="27" t="s">
        <v>7</v>
      </c>
      <c r="FI608" s="27" t="s">
        <v>8</v>
      </c>
      <c r="FJ608" s="27" t="s">
        <v>7</v>
      </c>
      <c r="FK608" s="27" t="s">
        <v>8</v>
      </c>
      <c r="FL608" s="27" t="s">
        <v>7</v>
      </c>
      <c r="FQ608" s="27" t="s">
        <v>8</v>
      </c>
      <c r="FR608" s="27" t="s">
        <v>7</v>
      </c>
      <c r="FS608" s="27" t="s">
        <v>8</v>
      </c>
      <c r="FT608" s="27" t="s">
        <v>7</v>
      </c>
      <c r="FU608" s="27" t="s">
        <v>8</v>
      </c>
      <c r="FV608" s="27" t="s">
        <v>7</v>
      </c>
      <c r="IG608" s="27" t="s">
        <v>8</v>
      </c>
      <c r="IN608" s="27" t="s">
        <v>7</v>
      </c>
      <c r="IW608" s="27" t="s">
        <v>8</v>
      </c>
    </row>
    <row r="609" spans="1:257" x14ac:dyDescent="0.25">
      <c r="A609" s="7">
        <v>0.64683903605157422</v>
      </c>
      <c r="B609"/>
      <c r="C609"/>
      <c r="D609"/>
      <c r="E609"/>
      <c r="F609" s="27" t="s">
        <v>7</v>
      </c>
      <c r="EU609" s="27" t="s">
        <v>8</v>
      </c>
      <c r="EV609" s="27" t="s">
        <v>7</v>
      </c>
      <c r="EW609" s="27" t="s">
        <v>8</v>
      </c>
      <c r="FD609" s="27" t="s">
        <v>7</v>
      </c>
      <c r="FE609" s="27" t="s">
        <v>8</v>
      </c>
      <c r="FF609" s="27" t="s">
        <v>7</v>
      </c>
      <c r="FG609" s="27" t="s">
        <v>8</v>
      </c>
      <c r="FH609" s="27" t="s">
        <v>7</v>
      </c>
      <c r="FI609" s="27" t="s">
        <v>8</v>
      </c>
      <c r="FJ609" s="27" t="s">
        <v>7</v>
      </c>
      <c r="FK609" s="27" t="s">
        <v>8</v>
      </c>
      <c r="FL609" s="27" t="s">
        <v>7</v>
      </c>
      <c r="FQ609" s="27" t="s">
        <v>8</v>
      </c>
      <c r="FR609" s="27" t="s">
        <v>7</v>
      </c>
      <c r="FS609" s="27" t="s">
        <v>8</v>
      </c>
      <c r="FT609" s="27" t="s">
        <v>7</v>
      </c>
      <c r="FU609" s="27" t="s">
        <v>8</v>
      </c>
      <c r="FV609" s="27" t="s">
        <v>7</v>
      </c>
      <c r="IG609" s="27" t="s">
        <v>8</v>
      </c>
      <c r="IN609" s="27" t="s">
        <v>7</v>
      </c>
      <c r="IO609" s="27" t="s">
        <v>8</v>
      </c>
      <c r="IQ609" s="27" t="s">
        <v>8</v>
      </c>
      <c r="IU609" s="27" t="s">
        <v>8</v>
      </c>
      <c r="IW609" s="27" t="s">
        <v>8</v>
      </c>
    </row>
    <row r="610" spans="1:257" x14ac:dyDescent="0.25">
      <c r="A610" s="7">
        <v>0.63415591769762181</v>
      </c>
      <c r="B610"/>
      <c r="C610"/>
      <c r="D610"/>
      <c r="E610"/>
      <c r="F610" s="27" t="s">
        <v>7</v>
      </c>
      <c r="EU610" s="27" t="s">
        <v>8</v>
      </c>
      <c r="EV610" s="27" t="s">
        <v>7</v>
      </c>
      <c r="EW610" s="27" t="s">
        <v>8</v>
      </c>
      <c r="FD610" s="27" t="s">
        <v>7</v>
      </c>
      <c r="FE610" s="27" t="s">
        <v>8</v>
      </c>
      <c r="FF610" s="27" t="s">
        <v>7</v>
      </c>
      <c r="FG610" s="27" t="s">
        <v>8</v>
      </c>
      <c r="FH610" s="27" t="s">
        <v>7</v>
      </c>
      <c r="FI610" s="27" t="s">
        <v>8</v>
      </c>
      <c r="FJ610" s="27" t="s">
        <v>7</v>
      </c>
      <c r="FK610" s="27" t="s">
        <v>8</v>
      </c>
      <c r="FL610" s="27" t="s">
        <v>7</v>
      </c>
      <c r="FM610" s="27" t="s">
        <v>8</v>
      </c>
      <c r="FQ610" s="27" t="s">
        <v>8</v>
      </c>
      <c r="FR610" s="27" t="s">
        <v>7</v>
      </c>
      <c r="FS610" s="27" t="s">
        <v>8</v>
      </c>
      <c r="FT610" s="27" t="s">
        <v>7</v>
      </c>
      <c r="FU610" s="27" t="s">
        <v>8</v>
      </c>
      <c r="FV610" s="27" t="s">
        <v>7</v>
      </c>
      <c r="GI610" s="27" t="s">
        <v>8</v>
      </c>
      <c r="IG610" s="27" t="s">
        <v>8</v>
      </c>
      <c r="IN610" s="27" t="s">
        <v>7</v>
      </c>
      <c r="IO610" s="27" t="s">
        <v>8</v>
      </c>
      <c r="IP610" s="27" t="s">
        <v>7</v>
      </c>
      <c r="IQ610" s="27" t="s">
        <v>8</v>
      </c>
      <c r="IR610" s="27" t="s">
        <v>7</v>
      </c>
      <c r="IU610" s="27" t="s">
        <v>8</v>
      </c>
      <c r="IV610" s="27" t="s">
        <v>7</v>
      </c>
      <c r="IW610" s="27" t="s">
        <v>8</v>
      </c>
    </row>
    <row r="611" spans="1:257" x14ac:dyDescent="0.25">
      <c r="A611" s="7">
        <v>0.62172148793884496</v>
      </c>
      <c r="B611"/>
      <c r="C611"/>
      <c r="D611"/>
      <c r="E611"/>
      <c r="F611" s="27" t="s">
        <v>7</v>
      </c>
      <c r="EU611" s="27" t="s">
        <v>8</v>
      </c>
      <c r="EV611" s="27" t="s">
        <v>7</v>
      </c>
      <c r="EW611" s="27" t="s">
        <v>8</v>
      </c>
      <c r="FD611" s="27" t="s">
        <v>7</v>
      </c>
      <c r="FE611" s="27" t="s">
        <v>8</v>
      </c>
      <c r="FF611" s="27" t="s">
        <v>7</v>
      </c>
      <c r="FH611" s="27" t="s">
        <v>7</v>
      </c>
      <c r="FI611" s="27" t="s">
        <v>8</v>
      </c>
      <c r="FJ611" s="27" t="s">
        <v>7</v>
      </c>
      <c r="FK611" s="27" t="s">
        <v>8</v>
      </c>
      <c r="FL611" s="27" t="s">
        <v>7</v>
      </c>
      <c r="FM611" s="27" t="s">
        <v>8</v>
      </c>
      <c r="FN611" s="27" t="s">
        <v>7</v>
      </c>
      <c r="FQ611" s="27" t="s">
        <v>8</v>
      </c>
      <c r="FR611" s="27" t="s">
        <v>7</v>
      </c>
      <c r="FS611" s="27" t="s">
        <v>8</v>
      </c>
      <c r="FT611" s="27" t="s">
        <v>7</v>
      </c>
      <c r="FU611" s="27" t="s">
        <v>8</v>
      </c>
      <c r="FV611" s="27" t="s">
        <v>7</v>
      </c>
      <c r="FY611" s="27" t="s">
        <v>8</v>
      </c>
      <c r="GI611" s="27" t="s">
        <v>8</v>
      </c>
      <c r="GJ611" s="27" t="s">
        <v>7</v>
      </c>
      <c r="IE611" s="27" t="s">
        <v>8</v>
      </c>
      <c r="IG611" s="27" t="s">
        <v>8</v>
      </c>
      <c r="IN611" s="27" t="s">
        <v>7</v>
      </c>
      <c r="IO611" s="27" t="s">
        <v>8</v>
      </c>
      <c r="IP611" s="27" t="s">
        <v>7</v>
      </c>
      <c r="IQ611" s="27" t="s">
        <v>8</v>
      </c>
      <c r="IR611" s="27" t="s">
        <v>7</v>
      </c>
      <c r="IU611" s="27" t="s">
        <v>8</v>
      </c>
      <c r="IV611" s="27" t="s">
        <v>7</v>
      </c>
      <c r="IW611" s="27" t="s">
        <v>8</v>
      </c>
    </row>
    <row r="612" spans="1:257" x14ac:dyDescent="0.25">
      <c r="A612" s="7">
        <v>0.60953087052827937</v>
      </c>
      <c r="B612"/>
      <c r="C612"/>
      <c r="D612"/>
      <c r="E612"/>
      <c r="F612" s="27" t="s">
        <v>7</v>
      </c>
      <c r="EU612" s="27" t="s">
        <v>8</v>
      </c>
      <c r="EV612" s="27" t="s">
        <v>7</v>
      </c>
      <c r="EW612" s="27" t="s">
        <v>8</v>
      </c>
      <c r="FD612" s="27" t="s">
        <v>7</v>
      </c>
      <c r="FE612" s="27" t="s">
        <v>8</v>
      </c>
      <c r="FH612" s="27" t="s">
        <v>7</v>
      </c>
      <c r="FI612" s="27" t="s">
        <v>8</v>
      </c>
      <c r="FJ612" s="27" t="s">
        <v>7</v>
      </c>
      <c r="FK612" s="27" t="s">
        <v>8</v>
      </c>
      <c r="FL612" s="27" t="s">
        <v>7</v>
      </c>
      <c r="FM612" s="27" t="s">
        <v>8</v>
      </c>
      <c r="FN612" s="27" t="s">
        <v>7</v>
      </c>
      <c r="FQ612" s="27" t="s">
        <v>8</v>
      </c>
      <c r="FR612" s="27" t="s">
        <v>7</v>
      </c>
      <c r="FT612" s="27" t="s">
        <v>7</v>
      </c>
      <c r="FV612" s="27" t="s">
        <v>7</v>
      </c>
      <c r="FW612" s="27" t="s">
        <v>8</v>
      </c>
      <c r="FY612" s="27" t="s">
        <v>8</v>
      </c>
      <c r="FZ612" s="27" t="s">
        <v>7</v>
      </c>
      <c r="GI612" s="27" t="s">
        <v>8</v>
      </c>
      <c r="GJ612" s="27" t="s">
        <v>7</v>
      </c>
      <c r="IA612" s="27" t="s">
        <v>8</v>
      </c>
      <c r="IE612" s="27" t="s">
        <v>8</v>
      </c>
      <c r="IF612" s="27" t="s">
        <v>7</v>
      </c>
      <c r="IG612" s="27" t="s">
        <v>8</v>
      </c>
      <c r="IN612" s="27" t="s">
        <v>7</v>
      </c>
      <c r="IO612" s="27" t="s">
        <v>8</v>
      </c>
      <c r="IP612" s="27" t="s">
        <v>7</v>
      </c>
      <c r="IQ612" s="27" t="s">
        <v>8</v>
      </c>
      <c r="IR612" s="27" t="s">
        <v>7</v>
      </c>
      <c r="IU612" s="27" t="s">
        <v>8</v>
      </c>
      <c r="IV612" s="27" t="s">
        <v>7</v>
      </c>
      <c r="IW612" s="27" t="s">
        <v>8</v>
      </c>
    </row>
    <row r="613" spans="1:257" x14ac:dyDescent="0.25">
      <c r="A613" s="7">
        <v>0.59757928483164646</v>
      </c>
      <c r="B613"/>
      <c r="C613"/>
      <c r="D613"/>
      <c r="E613"/>
      <c r="F613" s="27" t="s">
        <v>7</v>
      </c>
      <c r="EU613" s="27" t="s">
        <v>8</v>
      </c>
      <c r="EV613" s="27" t="s">
        <v>7</v>
      </c>
      <c r="EW613" s="27" t="s">
        <v>8</v>
      </c>
      <c r="FD613" s="27" t="s">
        <v>7</v>
      </c>
      <c r="FE613" s="27" t="s">
        <v>8</v>
      </c>
      <c r="FH613" s="27" t="s">
        <v>7</v>
      </c>
      <c r="FI613" s="27" t="s">
        <v>8</v>
      </c>
      <c r="FJ613" s="27" t="s">
        <v>7</v>
      </c>
      <c r="FK613" s="27" t="s">
        <v>8</v>
      </c>
      <c r="FL613" s="27" t="s">
        <v>7</v>
      </c>
      <c r="FM613" s="27" t="s">
        <v>8</v>
      </c>
      <c r="FN613" s="27" t="s">
        <v>7</v>
      </c>
      <c r="FQ613" s="27" t="s">
        <v>8</v>
      </c>
      <c r="FV613" s="27" t="s">
        <v>7</v>
      </c>
      <c r="FW613" s="27" t="s">
        <v>8</v>
      </c>
      <c r="FX613" s="27" t="s">
        <v>7</v>
      </c>
      <c r="FY613" s="27" t="s">
        <v>8</v>
      </c>
      <c r="FZ613" s="27" t="s">
        <v>7</v>
      </c>
      <c r="GA613" s="27" t="s">
        <v>8</v>
      </c>
      <c r="GI613" s="27" t="s">
        <v>8</v>
      </c>
      <c r="GJ613" s="27" t="s">
        <v>7</v>
      </c>
      <c r="IA613" s="27" t="s">
        <v>8</v>
      </c>
      <c r="IB613" s="27" t="s">
        <v>7</v>
      </c>
      <c r="IE613" s="27" t="s">
        <v>8</v>
      </c>
      <c r="IF613" s="27" t="s">
        <v>7</v>
      </c>
      <c r="IG613" s="27" t="s">
        <v>8</v>
      </c>
      <c r="IN613" s="27" t="s">
        <v>7</v>
      </c>
      <c r="IO613" s="27" t="s">
        <v>8</v>
      </c>
      <c r="IP613" s="27" t="s">
        <v>7</v>
      </c>
      <c r="IQ613" s="27" t="s">
        <v>8</v>
      </c>
      <c r="IR613" s="27" t="s">
        <v>7</v>
      </c>
      <c r="IU613" s="27" t="s">
        <v>8</v>
      </c>
      <c r="IV613" s="27" t="s">
        <v>7</v>
      </c>
    </row>
    <row r="614" spans="1:257" x14ac:dyDescent="0.25">
      <c r="A614" s="7">
        <v>0.58586204395259456</v>
      </c>
      <c r="B614"/>
      <c r="C614"/>
      <c r="D614"/>
      <c r="E614"/>
      <c r="F614" s="27" t="s">
        <v>7</v>
      </c>
      <c r="EU614" s="27" t="s">
        <v>8</v>
      </c>
      <c r="EV614" s="27" t="s">
        <v>7</v>
      </c>
      <c r="EW614" s="27" t="s">
        <v>8</v>
      </c>
      <c r="FD614" s="27" t="s">
        <v>7</v>
      </c>
      <c r="FE614" s="27" t="s">
        <v>8</v>
      </c>
      <c r="FH614" s="27" t="s">
        <v>7</v>
      </c>
      <c r="FI614" s="27" t="s">
        <v>8</v>
      </c>
      <c r="FJ614" s="27" t="s">
        <v>7</v>
      </c>
      <c r="FK614" s="27" t="s">
        <v>8</v>
      </c>
      <c r="FL614" s="27" t="s">
        <v>7</v>
      </c>
      <c r="FM614" s="27" t="s">
        <v>8</v>
      </c>
      <c r="FN614" s="27" t="s">
        <v>7</v>
      </c>
      <c r="FQ614" s="27" t="s">
        <v>8</v>
      </c>
      <c r="FV614" s="27" t="s">
        <v>7</v>
      </c>
      <c r="FW614" s="27" t="s">
        <v>8</v>
      </c>
      <c r="FX614" s="27" t="s">
        <v>7</v>
      </c>
      <c r="FY614" s="27" t="s">
        <v>8</v>
      </c>
      <c r="FZ614" s="27" t="s">
        <v>7</v>
      </c>
      <c r="GA614" s="27" t="s">
        <v>8</v>
      </c>
      <c r="GB614" s="27" t="s">
        <v>7</v>
      </c>
      <c r="GI614" s="27" t="s">
        <v>8</v>
      </c>
      <c r="GJ614" s="27" t="s">
        <v>7</v>
      </c>
      <c r="IA614" s="27" t="s">
        <v>8</v>
      </c>
      <c r="IB614" s="27" t="s">
        <v>7</v>
      </c>
      <c r="IC614" s="27" t="s">
        <v>8</v>
      </c>
      <c r="IE614" s="27" t="s">
        <v>8</v>
      </c>
      <c r="IF614" s="27" t="s">
        <v>7</v>
      </c>
      <c r="IG614" s="27" t="s">
        <v>8</v>
      </c>
      <c r="IN614" s="27" t="s">
        <v>7</v>
      </c>
      <c r="IO614" s="27" t="s">
        <v>8</v>
      </c>
      <c r="IP614" s="27" t="s">
        <v>7</v>
      </c>
      <c r="IQ614" s="27" t="s">
        <v>8</v>
      </c>
      <c r="IR614" s="27" t="s">
        <v>7</v>
      </c>
      <c r="IS614" s="27" t="s">
        <v>8</v>
      </c>
      <c r="IU614" s="27" t="s">
        <v>8</v>
      </c>
    </row>
    <row r="615" spans="1:257" x14ac:dyDescent="0.25">
      <c r="A615" s="7">
        <v>0.57437455289470052</v>
      </c>
      <c r="B615"/>
      <c r="C615"/>
      <c r="D615"/>
      <c r="E615"/>
      <c r="F615" s="27" t="s">
        <v>7</v>
      </c>
      <c r="EU615" s="27" t="s">
        <v>8</v>
      </c>
      <c r="EV615" s="27" t="s">
        <v>7</v>
      </c>
      <c r="EW615" s="27" t="s">
        <v>8</v>
      </c>
      <c r="FD615" s="27" t="s">
        <v>7</v>
      </c>
      <c r="FE615" s="27" t="s">
        <v>8</v>
      </c>
      <c r="FH615" s="27" t="s">
        <v>7</v>
      </c>
      <c r="FJ615" s="27" t="s">
        <v>7</v>
      </c>
      <c r="FK615" s="27" t="s">
        <v>8</v>
      </c>
      <c r="FL615" s="27" t="s">
        <v>7</v>
      </c>
      <c r="FM615" s="27" t="s">
        <v>8</v>
      </c>
      <c r="FN615" s="27" t="s">
        <v>7</v>
      </c>
      <c r="FQ615" s="27" t="s">
        <v>8</v>
      </c>
      <c r="FV615" s="27" t="s">
        <v>7</v>
      </c>
      <c r="FW615" s="27" t="s">
        <v>8</v>
      </c>
      <c r="FX615" s="27" t="s">
        <v>7</v>
      </c>
      <c r="FY615" s="27" t="s">
        <v>8</v>
      </c>
      <c r="FZ615" s="27" t="s">
        <v>7</v>
      </c>
      <c r="GA615" s="27" t="s">
        <v>8</v>
      </c>
      <c r="GB615" s="27" t="s">
        <v>7</v>
      </c>
      <c r="GI615" s="27" t="s">
        <v>8</v>
      </c>
      <c r="GJ615" s="27" t="s">
        <v>7</v>
      </c>
      <c r="IA615" s="27" t="s">
        <v>8</v>
      </c>
      <c r="IB615" s="27" t="s">
        <v>7</v>
      </c>
      <c r="IC615" s="27" t="s">
        <v>8</v>
      </c>
      <c r="ID615" s="27" t="s">
        <v>7</v>
      </c>
      <c r="IE615" s="27" t="s">
        <v>8</v>
      </c>
      <c r="IF615" s="27" t="s">
        <v>7</v>
      </c>
      <c r="IG615" s="27" t="s">
        <v>8</v>
      </c>
      <c r="IN615" s="27" t="s">
        <v>7</v>
      </c>
      <c r="IO615" s="27" t="s">
        <v>8</v>
      </c>
      <c r="IP615" s="27" t="s">
        <v>7</v>
      </c>
      <c r="IQ615" s="27" t="s">
        <v>8</v>
      </c>
      <c r="IR615" s="27" t="s">
        <v>7</v>
      </c>
      <c r="IS615" s="27" t="s">
        <v>8</v>
      </c>
      <c r="IT615" s="27" t="s">
        <v>7</v>
      </c>
      <c r="IU615" s="27" t="s">
        <v>8</v>
      </c>
    </row>
    <row r="616" spans="1:257" x14ac:dyDescent="0.25">
      <c r="A616" s="7">
        <v>0.56311230675951029</v>
      </c>
      <c r="B616"/>
      <c r="C616"/>
      <c r="D616"/>
      <c r="E616"/>
      <c r="F616" s="27" t="s">
        <v>7</v>
      </c>
      <c r="EU616" s="27" t="s">
        <v>8</v>
      </c>
      <c r="EV616" s="27" t="s">
        <v>7</v>
      </c>
      <c r="EW616" s="27" t="s">
        <v>8</v>
      </c>
      <c r="FD616" s="27" t="s">
        <v>7</v>
      </c>
      <c r="FE616" s="27" t="s">
        <v>8</v>
      </c>
      <c r="FJ616" s="27" t="s">
        <v>7</v>
      </c>
      <c r="FK616" s="27" t="s">
        <v>8</v>
      </c>
      <c r="FL616" s="27" t="s">
        <v>7</v>
      </c>
      <c r="FM616" s="27" t="s">
        <v>8</v>
      </c>
      <c r="FN616" s="27" t="s">
        <v>7</v>
      </c>
      <c r="FQ616" s="27" t="s">
        <v>8</v>
      </c>
      <c r="FV616" s="27" t="s">
        <v>7</v>
      </c>
      <c r="FX616" s="27" t="s">
        <v>7</v>
      </c>
      <c r="FY616" s="27" t="s">
        <v>8</v>
      </c>
      <c r="FZ616" s="27" t="s">
        <v>7</v>
      </c>
      <c r="GA616" s="27" t="s">
        <v>8</v>
      </c>
      <c r="GB616" s="27" t="s">
        <v>7</v>
      </c>
      <c r="GI616" s="27" t="s">
        <v>8</v>
      </c>
      <c r="GJ616" s="27" t="s">
        <v>7</v>
      </c>
      <c r="IA616" s="27" t="s">
        <v>8</v>
      </c>
      <c r="IB616" s="27" t="s">
        <v>7</v>
      </c>
      <c r="IC616" s="27" t="s">
        <v>8</v>
      </c>
      <c r="ID616" s="27" t="s">
        <v>7</v>
      </c>
      <c r="IE616" s="27" t="s">
        <v>8</v>
      </c>
      <c r="IF616" s="27" t="s">
        <v>7</v>
      </c>
      <c r="IN616" s="27" t="s">
        <v>7</v>
      </c>
      <c r="IO616" s="27" t="s">
        <v>8</v>
      </c>
      <c r="IP616" s="27" t="s">
        <v>7</v>
      </c>
      <c r="IQ616" s="27" t="s">
        <v>8</v>
      </c>
      <c r="IR616" s="27" t="s">
        <v>7</v>
      </c>
      <c r="IS616" s="27" t="s">
        <v>8</v>
      </c>
      <c r="IT616" s="27" t="s">
        <v>7</v>
      </c>
      <c r="IU616" s="27" t="s">
        <v>8</v>
      </c>
    </row>
    <row r="617" spans="1:257" x14ac:dyDescent="0.25">
      <c r="A617" s="7">
        <v>0.55207088897991208</v>
      </c>
      <c r="B617"/>
      <c r="C617"/>
      <c r="D617"/>
      <c r="E617"/>
      <c r="F617" s="27" t="s">
        <v>7</v>
      </c>
      <c r="EU617" s="27" t="s">
        <v>8</v>
      </c>
      <c r="EV617" s="27" t="s">
        <v>7</v>
      </c>
      <c r="EW617" s="27" t="s">
        <v>8</v>
      </c>
      <c r="FD617" s="27" t="s">
        <v>7</v>
      </c>
      <c r="FE617" s="27" t="s">
        <v>8</v>
      </c>
      <c r="FJ617" s="27" t="s">
        <v>7</v>
      </c>
      <c r="FK617" s="27" t="s">
        <v>8</v>
      </c>
      <c r="FL617" s="27" t="s">
        <v>7</v>
      </c>
      <c r="FM617" s="27" t="s">
        <v>8</v>
      </c>
      <c r="FN617" s="27" t="s">
        <v>7</v>
      </c>
      <c r="FQ617" s="27" t="s">
        <v>8</v>
      </c>
      <c r="FX617" s="27" t="s">
        <v>7</v>
      </c>
      <c r="FY617" s="27" t="s">
        <v>8</v>
      </c>
      <c r="FZ617" s="27" t="s">
        <v>7</v>
      </c>
      <c r="GA617" s="27" t="s">
        <v>8</v>
      </c>
      <c r="GB617" s="27" t="s">
        <v>7</v>
      </c>
      <c r="GI617" s="27" t="s">
        <v>8</v>
      </c>
      <c r="GJ617" s="27" t="s">
        <v>7</v>
      </c>
      <c r="HO617" s="27" t="s">
        <v>8</v>
      </c>
      <c r="IA617" s="27" t="s">
        <v>8</v>
      </c>
      <c r="IB617" s="27" t="s">
        <v>7</v>
      </c>
      <c r="IC617" s="27" t="s">
        <v>8</v>
      </c>
      <c r="ID617" s="27" t="s">
        <v>7</v>
      </c>
      <c r="IE617" s="27" t="s">
        <v>8</v>
      </c>
      <c r="IN617" s="27" t="s">
        <v>7</v>
      </c>
      <c r="IO617" s="27" t="s">
        <v>8</v>
      </c>
      <c r="IP617" s="27" t="s">
        <v>7</v>
      </c>
      <c r="IQ617" s="27" t="s">
        <v>8</v>
      </c>
      <c r="IR617" s="27" t="s">
        <v>7</v>
      </c>
      <c r="IT617" s="27" t="s">
        <v>7</v>
      </c>
      <c r="IU617" s="27" t="s">
        <v>8</v>
      </c>
    </row>
    <row r="618" spans="1:257" x14ac:dyDescent="0.25">
      <c r="A618" s="7">
        <v>0.54124596958814908</v>
      </c>
      <c r="B618"/>
      <c r="C618"/>
      <c r="D618"/>
      <c r="E618"/>
      <c r="F618" s="27" t="s">
        <v>7</v>
      </c>
      <c r="EU618" s="27" t="s">
        <v>8</v>
      </c>
      <c r="EV618" s="27" t="s">
        <v>7</v>
      </c>
      <c r="EW618" s="27" t="s">
        <v>8</v>
      </c>
      <c r="FD618" s="27" t="s">
        <v>7</v>
      </c>
      <c r="FE618" s="27" t="s">
        <v>8</v>
      </c>
      <c r="FJ618" s="27" t="s">
        <v>7</v>
      </c>
      <c r="FK618" s="27" t="s">
        <v>8</v>
      </c>
      <c r="FL618" s="27" t="s">
        <v>7</v>
      </c>
      <c r="FM618" s="27" t="s">
        <v>8</v>
      </c>
      <c r="FN618" s="27" t="s">
        <v>7</v>
      </c>
      <c r="FQ618" s="27" t="s">
        <v>8</v>
      </c>
      <c r="FX618" s="27" t="s">
        <v>7</v>
      </c>
      <c r="FY618" s="27" t="s">
        <v>8</v>
      </c>
      <c r="FZ618" s="27" t="s">
        <v>7</v>
      </c>
      <c r="GA618" s="27" t="s">
        <v>8</v>
      </c>
      <c r="GB618" s="27" t="s">
        <v>7</v>
      </c>
      <c r="GE618" s="27" t="s">
        <v>8</v>
      </c>
      <c r="GI618" s="27" t="s">
        <v>8</v>
      </c>
      <c r="GJ618" s="27" t="s">
        <v>7</v>
      </c>
      <c r="HO618" s="27" t="s">
        <v>8</v>
      </c>
      <c r="HP618" s="27" t="s">
        <v>7</v>
      </c>
      <c r="HY618" s="27" t="s">
        <v>8</v>
      </c>
      <c r="IA618" s="27" t="s">
        <v>8</v>
      </c>
      <c r="IB618" s="27" t="s">
        <v>7</v>
      </c>
      <c r="IC618" s="27" t="s">
        <v>8</v>
      </c>
      <c r="ID618" s="27" t="s">
        <v>7</v>
      </c>
      <c r="IN618" s="27" t="s">
        <v>7</v>
      </c>
      <c r="IO618" s="27" t="s">
        <v>8</v>
      </c>
      <c r="IP618" s="27" t="s">
        <v>7</v>
      </c>
      <c r="IT618" s="27" t="s">
        <v>7</v>
      </c>
      <c r="IU618" s="27" t="s">
        <v>8</v>
      </c>
    </row>
    <row r="619" spans="1:257" x14ac:dyDescent="0.25">
      <c r="A619" s="7">
        <v>0.53063330351779314</v>
      </c>
      <c r="B619"/>
      <c r="C619"/>
      <c r="D619"/>
      <c r="E619"/>
      <c r="F619" s="27" t="s">
        <v>7</v>
      </c>
      <c r="EU619" s="27" t="s">
        <v>8</v>
      </c>
      <c r="EV619" s="27" t="s">
        <v>7</v>
      </c>
      <c r="EW619" s="27" t="s">
        <v>8</v>
      </c>
      <c r="FD619" s="27" t="s">
        <v>7</v>
      </c>
      <c r="FE619" s="27" t="s">
        <v>8</v>
      </c>
      <c r="FJ619" s="27" t="s">
        <v>7</v>
      </c>
      <c r="FK619" s="27" t="s">
        <v>8</v>
      </c>
      <c r="FL619" s="27" t="s">
        <v>7</v>
      </c>
      <c r="FM619" s="27" t="s">
        <v>8</v>
      </c>
      <c r="FN619" s="27" t="s">
        <v>7</v>
      </c>
      <c r="FQ619" s="27" t="s">
        <v>8</v>
      </c>
      <c r="FX619" s="27" t="s">
        <v>7</v>
      </c>
      <c r="FZ619" s="27" t="s">
        <v>7</v>
      </c>
      <c r="GA619" s="27" t="s">
        <v>8</v>
      </c>
      <c r="GB619" s="27" t="s">
        <v>7</v>
      </c>
      <c r="GE619" s="27" t="s">
        <v>8</v>
      </c>
      <c r="GF619" s="27" t="s">
        <v>7</v>
      </c>
      <c r="GI619" s="27" t="s">
        <v>8</v>
      </c>
      <c r="GJ619" s="27" t="s">
        <v>7</v>
      </c>
      <c r="HO619" s="27" t="s">
        <v>8</v>
      </c>
      <c r="HP619" s="27" t="s">
        <v>7</v>
      </c>
      <c r="HY619" s="27" t="s">
        <v>8</v>
      </c>
      <c r="HZ619" s="27" t="s">
        <v>7</v>
      </c>
      <c r="IA619" s="27" t="s">
        <v>8</v>
      </c>
      <c r="IB619" s="27" t="s">
        <v>7</v>
      </c>
      <c r="IC619" s="27" t="s">
        <v>8</v>
      </c>
      <c r="IN619" s="27" t="s">
        <v>7</v>
      </c>
      <c r="IO619" s="27" t="s">
        <v>8</v>
      </c>
      <c r="IT619" s="27" t="s">
        <v>7</v>
      </c>
      <c r="IU619" s="27" t="s">
        <v>8</v>
      </c>
    </row>
    <row r="620" spans="1:257" x14ac:dyDescent="0.25">
      <c r="A620" s="7">
        <v>0.52022872893901284</v>
      </c>
      <c r="B620"/>
      <c r="C620"/>
      <c r="D620"/>
      <c r="E620"/>
      <c r="F620" s="27" t="s">
        <v>7</v>
      </c>
      <c r="EU620" s="27" t="s">
        <v>8</v>
      </c>
      <c r="EV620" s="27" t="s">
        <v>7</v>
      </c>
      <c r="EW620" s="27" t="s">
        <v>8</v>
      </c>
      <c r="FD620" s="27" t="s">
        <v>7</v>
      </c>
      <c r="FE620" s="27" t="s">
        <v>8</v>
      </c>
      <c r="FJ620" s="27" t="s">
        <v>7</v>
      </c>
      <c r="FK620" s="27" t="s">
        <v>8</v>
      </c>
      <c r="FL620" s="27" t="s">
        <v>7</v>
      </c>
      <c r="FM620" s="27" t="s">
        <v>8</v>
      </c>
      <c r="FN620" s="27" t="s">
        <v>7</v>
      </c>
      <c r="FQ620" s="27" t="s">
        <v>8</v>
      </c>
      <c r="FZ620" s="27" t="s">
        <v>7</v>
      </c>
      <c r="GA620" s="27" t="s">
        <v>8</v>
      </c>
      <c r="GB620" s="27" t="s">
        <v>7</v>
      </c>
      <c r="GE620" s="27" t="s">
        <v>8</v>
      </c>
      <c r="GF620" s="27" t="s">
        <v>7</v>
      </c>
      <c r="GI620" s="27" t="s">
        <v>8</v>
      </c>
      <c r="GJ620" s="27" t="s">
        <v>7</v>
      </c>
      <c r="HO620" s="27" t="s">
        <v>8</v>
      </c>
      <c r="HP620" s="27" t="s">
        <v>7</v>
      </c>
      <c r="HU620" s="27" t="s">
        <v>8</v>
      </c>
      <c r="HY620" s="27" t="s">
        <v>8</v>
      </c>
      <c r="HZ620" s="27" t="s">
        <v>7</v>
      </c>
      <c r="IA620" s="27" t="s">
        <v>8</v>
      </c>
      <c r="IB620" s="27" t="s">
        <v>7</v>
      </c>
      <c r="IC620" s="27" t="s">
        <v>8</v>
      </c>
      <c r="IN620" s="27" t="s">
        <v>7</v>
      </c>
      <c r="IT620" s="27" t="s">
        <v>7</v>
      </c>
      <c r="IU620" s="27" t="s">
        <v>8</v>
      </c>
    </row>
    <row r="621" spans="1:257" x14ac:dyDescent="0.25">
      <c r="A621" s="7">
        <v>0.51002816562648323</v>
      </c>
      <c r="B621"/>
      <c r="C621"/>
      <c r="D621"/>
      <c r="E621"/>
      <c r="F621" s="27" t="s">
        <v>7</v>
      </c>
      <c r="EU621" s="27" t="s">
        <v>8</v>
      </c>
      <c r="EV621" s="27" t="s">
        <v>7</v>
      </c>
      <c r="EW621" s="27" t="s">
        <v>8</v>
      </c>
      <c r="FD621" s="27" t="s">
        <v>7</v>
      </c>
      <c r="FE621" s="27" t="s">
        <v>8</v>
      </c>
      <c r="FJ621" s="27" t="s">
        <v>7</v>
      </c>
      <c r="FK621" s="27" t="s">
        <v>8</v>
      </c>
      <c r="FL621" s="27" t="s">
        <v>7</v>
      </c>
      <c r="FM621" s="27" t="s">
        <v>8</v>
      </c>
      <c r="FN621" s="27" t="s">
        <v>7</v>
      </c>
      <c r="FQ621" s="27" t="s">
        <v>8</v>
      </c>
      <c r="FZ621" s="27" t="s">
        <v>7</v>
      </c>
      <c r="GA621" s="27" t="s">
        <v>8</v>
      </c>
      <c r="GB621" s="27" t="s">
        <v>7</v>
      </c>
      <c r="GC621" s="27" t="s">
        <v>8</v>
      </c>
      <c r="GE621" s="27" t="s">
        <v>8</v>
      </c>
      <c r="GF621" s="27" t="s">
        <v>7</v>
      </c>
      <c r="GI621" s="27" t="s">
        <v>8</v>
      </c>
      <c r="GJ621" s="27" t="s">
        <v>7</v>
      </c>
      <c r="HO621" s="27" t="s">
        <v>8</v>
      </c>
      <c r="HP621" s="27" t="s">
        <v>7</v>
      </c>
      <c r="HU621" s="27" t="s">
        <v>8</v>
      </c>
      <c r="HV621" s="27" t="s">
        <v>7</v>
      </c>
      <c r="HY621" s="27" t="s">
        <v>8</v>
      </c>
      <c r="HZ621" s="27" t="s">
        <v>7</v>
      </c>
      <c r="IA621" s="27" t="s">
        <v>8</v>
      </c>
      <c r="IB621" s="27" t="s">
        <v>7</v>
      </c>
      <c r="IC621" s="27" t="s">
        <v>8</v>
      </c>
      <c r="IT621" s="27" t="s">
        <v>7</v>
      </c>
    </row>
    <row r="622" spans="1:257" x14ac:dyDescent="0.25">
      <c r="A622" s="7">
        <v>0.50002761335929735</v>
      </c>
      <c r="B622"/>
      <c r="C622"/>
      <c r="D622"/>
      <c r="E622"/>
      <c r="F622" s="27" t="s">
        <v>7</v>
      </c>
      <c r="EU622" s="27" t="s">
        <v>8</v>
      </c>
      <c r="EV622" s="27" t="s">
        <v>7</v>
      </c>
      <c r="EW622" s="27" t="s">
        <v>8</v>
      </c>
      <c r="FD622" s="27" t="s">
        <v>7</v>
      </c>
      <c r="FJ622" s="27" t="s">
        <v>7</v>
      </c>
      <c r="FK622" s="27" t="s">
        <v>8</v>
      </c>
      <c r="FL622" s="27" t="s">
        <v>7</v>
      </c>
      <c r="FM622" s="27" t="s">
        <v>8</v>
      </c>
      <c r="FN622" s="27" t="s">
        <v>7</v>
      </c>
      <c r="FQ622" s="27" t="s">
        <v>8</v>
      </c>
      <c r="FZ622" s="27" t="s">
        <v>7</v>
      </c>
      <c r="GB622" s="27" t="s">
        <v>7</v>
      </c>
      <c r="GC622" s="27" t="s">
        <v>8</v>
      </c>
      <c r="GD622" s="27" t="s">
        <v>7</v>
      </c>
      <c r="GE622" s="27" t="s">
        <v>8</v>
      </c>
      <c r="GF622" s="27" t="s">
        <v>7</v>
      </c>
      <c r="GI622" s="27" t="s">
        <v>8</v>
      </c>
      <c r="GJ622" s="27" t="s">
        <v>7</v>
      </c>
      <c r="HO622" s="27" t="s">
        <v>8</v>
      </c>
      <c r="HP622" s="27" t="s">
        <v>7</v>
      </c>
      <c r="HU622" s="27" t="s">
        <v>8</v>
      </c>
      <c r="HV622" s="27" t="s">
        <v>7</v>
      </c>
      <c r="HY622" s="27" t="s">
        <v>8</v>
      </c>
      <c r="HZ622" s="27" t="s">
        <v>7</v>
      </c>
      <c r="IB622" s="27" t="s">
        <v>7</v>
      </c>
      <c r="IC622" s="27" t="s">
        <v>8</v>
      </c>
    </row>
    <row r="623" spans="1:257" x14ac:dyDescent="0.25">
      <c r="A623" s="7">
        <v>0.49022315035225228</v>
      </c>
      <c r="B623"/>
      <c r="C623"/>
      <c r="D623"/>
      <c r="E623"/>
      <c r="F623" s="27" t="s">
        <v>7</v>
      </c>
      <c r="EU623" s="27" t="s">
        <v>8</v>
      </c>
      <c r="EV623" s="27" t="s">
        <v>7</v>
      </c>
      <c r="EW623" s="27" t="s">
        <v>8</v>
      </c>
      <c r="FJ623" s="27" t="s">
        <v>7</v>
      </c>
      <c r="FK623" s="27" t="s">
        <v>8</v>
      </c>
      <c r="FL623" s="27" t="s">
        <v>7</v>
      </c>
      <c r="FM623" s="27" t="s">
        <v>8</v>
      </c>
      <c r="FN623" s="27" t="s">
        <v>7</v>
      </c>
      <c r="FQ623" s="27" t="s">
        <v>8</v>
      </c>
      <c r="GB623" s="27" t="s">
        <v>7</v>
      </c>
      <c r="GC623" s="27" t="s">
        <v>8</v>
      </c>
      <c r="GD623" s="27" t="s">
        <v>7</v>
      </c>
      <c r="GE623" s="27" t="s">
        <v>8</v>
      </c>
      <c r="GF623" s="27" t="s">
        <v>7</v>
      </c>
      <c r="GG623" s="27" t="s">
        <v>8</v>
      </c>
      <c r="GI623" s="27" t="s">
        <v>8</v>
      </c>
      <c r="GJ623" s="27" t="s">
        <v>7</v>
      </c>
      <c r="HO623" s="27" t="s">
        <v>8</v>
      </c>
      <c r="HP623" s="27" t="s">
        <v>7</v>
      </c>
      <c r="HU623" s="27" t="s">
        <v>8</v>
      </c>
      <c r="HV623" s="27" t="s">
        <v>7</v>
      </c>
      <c r="HW623" s="27" t="s">
        <v>8</v>
      </c>
      <c r="HY623" s="27" t="s">
        <v>8</v>
      </c>
      <c r="IB623" s="27" t="s">
        <v>7</v>
      </c>
      <c r="IC623" s="27" t="s">
        <v>8</v>
      </c>
    </row>
    <row r="624" spans="1:257" x14ac:dyDescent="0.25">
      <c r="A624" s="7">
        <v>0.48061093171789437</v>
      </c>
      <c r="B624"/>
      <c r="C624"/>
      <c r="D624"/>
      <c r="E624"/>
      <c r="F624" s="27" t="s">
        <v>7</v>
      </c>
      <c r="G624" s="27" t="s">
        <v>8</v>
      </c>
      <c r="EU624" s="27" t="s">
        <v>8</v>
      </c>
      <c r="EV624" s="27" t="s">
        <v>7</v>
      </c>
      <c r="EW624" s="27" t="s">
        <v>8</v>
      </c>
      <c r="FJ624" s="27" t="s">
        <v>7</v>
      </c>
      <c r="FK624" s="27" t="s">
        <v>8</v>
      </c>
      <c r="FL624" s="27" t="s">
        <v>7</v>
      </c>
      <c r="FM624" s="27" t="s">
        <v>8</v>
      </c>
      <c r="FN624" s="27" t="s">
        <v>7</v>
      </c>
      <c r="FQ624" s="27" t="s">
        <v>8</v>
      </c>
      <c r="GB624" s="27" t="s">
        <v>7</v>
      </c>
      <c r="GC624" s="27" t="s">
        <v>8</v>
      </c>
      <c r="GD624" s="27" t="s">
        <v>7</v>
      </c>
      <c r="GE624" s="27" t="s">
        <v>8</v>
      </c>
      <c r="GF624" s="27" t="s">
        <v>7</v>
      </c>
      <c r="GG624" s="27" t="s">
        <v>8</v>
      </c>
      <c r="GH624" s="27" t="s">
        <v>7</v>
      </c>
      <c r="GI624" s="27" t="s">
        <v>8</v>
      </c>
      <c r="GJ624" s="27" t="s">
        <v>7</v>
      </c>
      <c r="GM624" s="27" t="s">
        <v>8</v>
      </c>
      <c r="HO624" s="27" t="s">
        <v>8</v>
      </c>
      <c r="HP624" s="27" t="s">
        <v>7</v>
      </c>
      <c r="HU624" s="27" t="s">
        <v>8</v>
      </c>
      <c r="HV624" s="27" t="s">
        <v>7</v>
      </c>
      <c r="HW624" s="27" t="s">
        <v>8</v>
      </c>
      <c r="HX624" s="27" t="s">
        <v>7</v>
      </c>
      <c r="HY624" s="27" t="s">
        <v>8</v>
      </c>
      <c r="IB624" s="27" t="s">
        <v>7</v>
      </c>
    </row>
    <row r="625" spans="1:233" x14ac:dyDescent="0.25">
      <c r="A625" s="7">
        <v>0.47118718795871994</v>
      </c>
      <c r="B625"/>
      <c r="C625"/>
      <c r="D625"/>
      <c r="E625"/>
      <c r="F625" s="27" t="s">
        <v>7</v>
      </c>
      <c r="G625" s="27" t="s">
        <v>8</v>
      </c>
      <c r="H625" s="27" t="s">
        <v>7</v>
      </c>
      <c r="I625" s="27" t="s">
        <v>8</v>
      </c>
      <c r="EU625" s="27" t="s">
        <v>8</v>
      </c>
      <c r="EV625" s="27" t="s">
        <v>7</v>
      </c>
      <c r="EW625" s="27" t="s">
        <v>8</v>
      </c>
      <c r="FJ625" s="27" t="s">
        <v>7</v>
      </c>
      <c r="FL625" s="27" t="s">
        <v>7</v>
      </c>
      <c r="FM625" s="27" t="s">
        <v>8</v>
      </c>
      <c r="FN625" s="27" t="s">
        <v>7</v>
      </c>
      <c r="FO625" s="27" t="s">
        <v>8</v>
      </c>
      <c r="FQ625" s="27" t="s">
        <v>8</v>
      </c>
      <c r="GB625" s="27" t="s">
        <v>7</v>
      </c>
      <c r="GC625" s="27" t="s">
        <v>8</v>
      </c>
      <c r="GD625" s="27" t="s">
        <v>7</v>
      </c>
      <c r="GE625" s="27" t="s">
        <v>8</v>
      </c>
      <c r="GF625" s="27" t="s">
        <v>7</v>
      </c>
      <c r="GG625" s="27" t="s">
        <v>8</v>
      </c>
      <c r="GH625" s="27" t="s">
        <v>7</v>
      </c>
      <c r="GI625" s="27" t="s">
        <v>8</v>
      </c>
      <c r="GJ625" s="27" t="s">
        <v>7</v>
      </c>
      <c r="GM625" s="27" t="s">
        <v>8</v>
      </c>
      <c r="GN625" s="27" t="s">
        <v>7</v>
      </c>
      <c r="HO625" s="27" t="s">
        <v>8</v>
      </c>
      <c r="HP625" s="27" t="s">
        <v>7</v>
      </c>
      <c r="HU625" s="27" t="s">
        <v>8</v>
      </c>
      <c r="HV625" s="27" t="s">
        <v>7</v>
      </c>
      <c r="HW625" s="27" t="s">
        <v>8</v>
      </c>
      <c r="HX625" s="27" t="s">
        <v>7</v>
      </c>
      <c r="HY625" s="27" t="s">
        <v>8</v>
      </c>
    </row>
    <row r="626" spans="1:233" x14ac:dyDescent="0.25">
      <c r="A626" s="7">
        <v>0.46194822348894116</v>
      </c>
      <c r="B626"/>
      <c r="C626"/>
      <c r="D626"/>
      <c r="E626"/>
      <c r="F626" s="27" t="s">
        <v>7</v>
      </c>
      <c r="G626" s="27" t="s">
        <v>8</v>
      </c>
      <c r="H626" s="27" t="s">
        <v>7</v>
      </c>
      <c r="I626" s="27" t="s">
        <v>8</v>
      </c>
      <c r="J626" s="27" t="s">
        <v>7</v>
      </c>
      <c r="EU626" s="27" t="s">
        <v>8</v>
      </c>
      <c r="EV626" s="27" t="s">
        <v>7</v>
      </c>
      <c r="FL626" s="27" t="s">
        <v>7</v>
      </c>
      <c r="FM626" s="27" t="s">
        <v>8</v>
      </c>
      <c r="FN626" s="27" t="s">
        <v>7</v>
      </c>
      <c r="FO626" s="27" t="s">
        <v>8</v>
      </c>
      <c r="FP626" s="27" t="s">
        <v>7</v>
      </c>
      <c r="FQ626" s="27" t="s">
        <v>8</v>
      </c>
      <c r="GB626" s="27" t="s">
        <v>7</v>
      </c>
      <c r="GC626" s="27" t="s">
        <v>8</v>
      </c>
      <c r="GD626" s="27" t="s">
        <v>7</v>
      </c>
      <c r="GE626" s="27" t="s">
        <v>8</v>
      </c>
      <c r="GF626" s="27" t="s">
        <v>7</v>
      </c>
      <c r="GG626" s="27" t="s">
        <v>8</v>
      </c>
      <c r="GH626" s="27" t="s">
        <v>7</v>
      </c>
      <c r="GI626" s="27" t="s">
        <v>8</v>
      </c>
      <c r="GJ626" s="27" t="s">
        <v>7</v>
      </c>
      <c r="GM626" s="27" t="s">
        <v>8</v>
      </c>
      <c r="GN626" s="27" t="s">
        <v>7</v>
      </c>
      <c r="HO626" s="27" t="s">
        <v>8</v>
      </c>
      <c r="HP626" s="27" t="s">
        <v>7</v>
      </c>
      <c r="HU626" s="27" t="s">
        <v>8</v>
      </c>
      <c r="HV626" s="27" t="s">
        <v>7</v>
      </c>
      <c r="HW626" s="27" t="s">
        <v>8</v>
      </c>
      <c r="HX626" s="27" t="s">
        <v>7</v>
      </c>
      <c r="HY626" s="27" t="s">
        <v>8</v>
      </c>
    </row>
    <row r="627" spans="1:233" x14ac:dyDescent="0.25">
      <c r="A627" s="7">
        <v>0.45289041518523643</v>
      </c>
      <c r="B627"/>
      <c r="C627"/>
      <c r="D627"/>
      <c r="E627"/>
      <c r="F627" s="27" t="s">
        <v>7</v>
      </c>
      <c r="G627" s="27" t="s">
        <v>8</v>
      </c>
      <c r="H627" s="27" t="s">
        <v>7</v>
      </c>
      <c r="I627" s="27" t="s">
        <v>8</v>
      </c>
      <c r="J627" s="27" t="s">
        <v>7</v>
      </c>
      <c r="EU627" s="27" t="s">
        <v>8</v>
      </c>
      <c r="FL627" s="27" t="s">
        <v>7</v>
      </c>
      <c r="FN627" s="27" t="s">
        <v>7</v>
      </c>
      <c r="FO627" s="27" t="s">
        <v>8</v>
      </c>
      <c r="FP627" s="27" t="s">
        <v>7</v>
      </c>
      <c r="FQ627" s="27" t="s">
        <v>8</v>
      </c>
      <c r="GB627" s="27" t="s">
        <v>7</v>
      </c>
      <c r="GC627" s="27" t="s">
        <v>8</v>
      </c>
      <c r="GD627" s="27" t="s">
        <v>7</v>
      </c>
      <c r="GE627" s="27" t="s">
        <v>8</v>
      </c>
      <c r="GF627" s="27" t="s">
        <v>7</v>
      </c>
      <c r="GG627" s="27" t="s">
        <v>8</v>
      </c>
      <c r="GH627" s="27" t="s">
        <v>7</v>
      </c>
      <c r="GI627" s="27" t="s">
        <v>8</v>
      </c>
      <c r="GJ627" s="27" t="s">
        <v>7</v>
      </c>
      <c r="GM627" s="27" t="s">
        <v>8</v>
      </c>
      <c r="GN627" s="27" t="s">
        <v>7</v>
      </c>
      <c r="HO627" s="27" t="s">
        <v>8</v>
      </c>
      <c r="HP627" s="27" t="s">
        <v>7</v>
      </c>
      <c r="HU627" s="27" t="s">
        <v>8</v>
      </c>
      <c r="HV627" s="27" t="s">
        <v>7</v>
      </c>
      <c r="HW627" s="27" t="s">
        <v>8</v>
      </c>
      <c r="HX627" s="27" t="s">
        <v>7</v>
      </c>
      <c r="HY627" s="27" t="s">
        <v>8</v>
      </c>
    </row>
    <row r="628" spans="1:233" x14ac:dyDescent="0.25">
      <c r="A628" s="7">
        <v>0.44401021096591808</v>
      </c>
      <c r="B628"/>
      <c r="C628"/>
      <c r="D628"/>
      <c r="E628"/>
      <c r="F628" s="27" t="s">
        <v>7</v>
      </c>
      <c r="G628" s="27" t="s">
        <v>8</v>
      </c>
      <c r="H628" s="27" t="s">
        <v>7</v>
      </c>
      <c r="I628" s="27" t="s">
        <v>8</v>
      </c>
      <c r="J628" s="27" t="s">
        <v>7</v>
      </c>
      <c r="EG628" s="27" t="s">
        <v>8</v>
      </c>
      <c r="ES628" s="27" t="s">
        <v>8</v>
      </c>
      <c r="EU628" s="27" t="s">
        <v>8</v>
      </c>
      <c r="FN628" s="27" t="s">
        <v>7</v>
      </c>
      <c r="FO628" s="27" t="s">
        <v>8</v>
      </c>
      <c r="FP628" s="27" t="s">
        <v>7</v>
      </c>
      <c r="FQ628" s="27" t="s">
        <v>8</v>
      </c>
      <c r="GB628" s="27" t="s">
        <v>7</v>
      </c>
      <c r="GC628" s="27" t="s">
        <v>8</v>
      </c>
      <c r="GD628" s="27" t="s">
        <v>7</v>
      </c>
      <c r="GF628" s="27" t="s">
        <v>7</v>
      </c>
      <c r="GG628" s="27" t="s">
        <v>8</v>
      </c>
      <c r="GH628" s="27" t="s">
        <v>7</v>
      </c>
      <c r="GI628" s="27" t="s">
        <v>8</v>
      </c>
      <c r="GJ628" s="27" t="s">
        <v>7</v>
      </c>
      <c r="GM628" s="27" t="s">
        <v>8</v>
      </c>
      <c r="GN628" s="27" t="s">
        <v>7</v>
      </c>
      <c r="HG628" s="27" t="s">
        <v>8</v>
      </c>
      <c r="HO628" s="27" t="s">
        <v>8</v>
      </c>
      <c r="HP628" s="27" t="s">
        <v>7</v>
      </c>
      <c r="HQ628" s="27" t="s">
        <v>8</v>
      </c>
      <c r="HS628" s="27" t="s">
        <v>8</v>
      </c>
      <c r="HU628" s="27" t="s">
        <v>8</v>
      </c>
      <c r="HV628" s="27" t="s">
        <v>7</v>
      </c>
      <c r="HW628" s="27" t="s">
        <v>8</v>
      </c>
      <c r="HX628" s="27" t="s">
        <v>7</v>
      </c>
      <c r="HY628" s="27" t="s">
        <v>8</v>
      </c>
    </row>
    <row r="629" spans="1:233" x14ac:dyDescent="0.25">
      <c r="A629" s="7">
        <v>0.4353041283979589</v>
      </c>
      <c r="B629"/>
      <c r="C629"/>
      <c r="D629"/>
      <c r="E629"/>
      <c r="F629" s="27" t="s">
        <v>7</v>
      </c>
      <c r="G629" s="27" t="s">
        <v>8</v>
      </c>
      <c r="H629" s="27" t="s">
        <v>7</v>
      </c>
      <c r="I629" s="27" t="s">
        <v>8</v>
      </c>
      <c r="J629" s="27" t="s">
        <v>7</v>
      </c>
      <c r="EG629" s="27" t="s">
        <v>8</v>
      </c>
      <c r="EH629" s="27" t="s">
        <v>7</v>
      </c>
      <c r="ES629" s="27" t="s">
        <v>8</v>
      </c>
      <c r="ET629" s="27" t="s">
        <v>7</v>
      </c>
      <c r="EU629" s="27" t="s">
        <v>8</v>
      </c>
      <c r="FN629" s="27" t="s">
        <v>7</v>
      </c>
      <c r="FO629" s="27" t="s">
        <v>8</v>
      </c>
      <c r="FP629" s="27" t="s">
        <v>7</v>
      </c>
      <c r="FQ629" s="27" t="s">
        <v>8</v>
      </c>
      <c r="GB629" s="27" t="s">
        <v>7</v>
      </c>
      <c r="GF629" s="27" t="s">
        <v>7</v>
      </c>
      <c r="GG629" s="27" t="s">
        <v>8</v>
      </c>
      <c r="GH629" s="27" t="s">
        <v>7</v>
      </c>
      <c r="GI629" s="27" t="s">
        <v>8</v>
      </c>
      <c r="GJ629" s="27" t="s">
        <v>7</v>
      </c>
      <c r="GK629" s="27" t="s">
        <v>8</v>
      </c>
      <c r="GM629" s="27" t="s">
        <v>8</v>
      </c>
      <c r="GN629" s="27" t="s">
        <v>7</v>
      </c>
      <c r="GO629" s="27" t="s">
        <v>8</v>
      </c>
      <c r="HG629" s="27" t="s">
        <v>8</v>
      </c>
      <c r="HH629" s="27" t="s">
        <v>7</v>
      </c>
      <c r="HO629" s="27" t="s">
        <v>8</v>
      </c>
      <c r="HP629" s="27" t="s">
        <v>7</v>
      </c>
      <c r="HQ629" s="27" t="s">
        <v>8</v>
      </c>
      <c r="HR629" s="27" t="s">
        <v>7</v>
      </c>
      <c r="HS629" s="27" t="s">
        <v>8</v>
      </c>
      <c r="HT629" s="27" t="s">
        <v>7</v>
      </c>
      <c r="HU629" s="27" t="s">
        <v>8</v>
      </c>
      <c r="HV629" s="27" t="s">
        <v>7</v>
      </c>
      <c r="HX629" s="27" t="s">
        <v>7</v>
      </c>
      <c r="HY629" s="27" t="s">
        <v>8</v>
      </c>
    </row>
    <row r="630" spans="1:233" x14ac:dyDescent="0.25">
      <c r="A630" s="7">
        <v>0.4267687533313323</v>
      </c>
      <c r="B630"/>
      <c r="C630"/>
      <c r="D630"/>
      <c r="E630"/>
      <c r="F630" s="27" t="s">
        <v>7</v>
      </c>
      <c r="G630" s="27" t="s">
        <v>8</v>
      </c>
      <c r="H630" s="27" t="s">
        <v>7</v>
      </c>
      <c r="I630" s="27" t="s">
        <v>8</v>
      </c>
      <c r="J630" s="27" t="s">
        <v>7</v>
      </c>
      <c r="DY630" s="27" t="s">
        <v>8</v>
      </c>
      <c r="EG630" s="27" t="s">
        <v>8</v>
      </c>
      <c r="EH630" s="27" t="s">
        <v>7</v>
      </c>
      <c r="ES630" s="27" t="s">
        <v>8</v>
      </c>
      <c r="ET630" s="27" t="s">
        <v>7</v>
      </c>
      <c r="EU630" s="27" t="s">
        <v>8</v>
      </c>
      <c r="FN630" s="27" t="s">
        <v>7</v>
      </c>
      <c r="FO630" s="27" t="s">
        <v>8</v>
      </c>
      <c r="FP630" s="27" t="s">
        <v>7</v>
      </c>
      <c r="FQ630" s="27" t="s">
        <v>8</v>
      </c>
      <c r="GF630" s="27" t="s">
        <v>7</v>
      </c>
      <c r="GG630" s="27" t="s">
        <v>8</v>
      </c>
      <c r="GH630" s="27" t="s">
        <v>7</v>
      </c>
      <c r="GI630" s="27" t="s">
        <v>8</v>
      </c>
      <c r="GJ630" s="27" t="s">
        <v>7</v>
      </c>
      <c r="GK630" s="27" t="s">
        <v>8</v>
      </c>
      <c r="GL630" s="27" t="s">
        <v>7</v>
      </c>
      <c r="GM630" s="27" t="s">
        <v>8</v>
      </c>
      <c r="GN630" s="27" t="s">
        <v>7</v>
      </c>
      <c r="GO630" s="27" t="s">
        <v>8</v>
      </c>
      <c r="GP630" s="27" t="s">
        <v>7</v>
      </c>
      <c r="GQ630" s="27" t="s">
        <v>8</v>
      </c>
      <c r="HG630" s="27" t="s">
        <v>8</v>
      </c>
      <c r="HH630" s="27" t="s">
        <v>7</v>
      </c>
      <c r="HO630" s="27" t="s">
        <v>8</v>
      </c>
      <c r="HP630" s="27" t="s">
        <v>7</v>
      </c>
      <c r="HQ630" s="27" t="s">
        <v>8</v>
      </c>
      <c r="HR630" s="27" t="s">
        <v>7</v>
      </c>
      <c r="HS630" s="27" t="s">
        <v>8</v>
      </c>
      <c r="HT630" s="27" t="s">
        <v>7</v>
      </c>
      <c r="HU630" s="27" t="s">
        <v>8</v>
      </c>
      <c r="HX630" s="27" t="s">
        <v>7</v>
      </c>
    </row>
    <row r="631" spans="1:233" x14ac:dyDescent="0.25">
      <c r="A631" s="7">
        <v>0.41840073856012971</v>
      </c>
      <c r="B631"/>
      <c r="C631"/>
      <c r="D631"/>
      <c r="E631"/>
      <c r="F631" s="27" t="s">
        <v>7</v>
      </c>
      <c r="G631" s="27" t="s">
        <v>8</v>
      </c>
      <c r="H631" s="27" t="s">
        <v>7</v>
      </c>
      <c r="I631" s="27" t="s">
        <v>8</v>
      </c>
      <c r="J631" s="27" t="s">
        <v>7</v>
      </c>
      <c r="DY631" s="27" t="s">
        <v>8</v>
      </c>
      <c r="DZ631" s="27" t="s">
        <v>7</v>
      </c>
      <c r="EG631" s="27" t="s">
        <v>8</v>
      </c>
      <c r="EH631" s="27" t="s">
        <v>7</v>
      </c>
      <c r="EQ631" s="27" t="s">
        <v>8</v>
      </c>
      <c r="ES631" s="27" t="s">
        <v>8</v>
      </c>
      <c r="ET631" s="27" t="s">
        <v>7</v>
      </c>
      <c r="EU631" s="27" t="s">
        <v>8</v>
      </c>
      <c r="FN631" s="27" t="s">
        <v>7</v>
      </c>
      <c r="FO631" s="27" t="s">
        <v>8</v>
      </c>
      <c r="FP631" s="27" t="s">
        <v>7</v>
      </c>
      <c r="FQ631" s="27" t="s">
        <v>8</v>
      </c>
      <c r="GF631" s="27" t="s">
        <v>7</v>
      </c>
      <c r="GG631" s="27" t="s">
        <v>8</v>
      </c>
      <c r="GH631" s="27" t="s">
        <v>7</v>
      </c>
      <c r="GI631" s="27" t="s">
        <v>8</v>
      </c>
      <c r="GJ631" s="27" t="s">
        <v>7</v>
      </c>
      <c r="GK631" s="27" t="s">
        <v>8</v>
      </c>
      <c r="GL631" s="27" t="s">
        <v>7</v>
      </c>
      <c r="GM631" s="27" t="s">
        <v>8</v>
      </c>
      <c r="GN631" s="27" t="s">
        <v>7</v>
      </c>
      <c r="GO631" s="27" t="s">
        <v>8</v>
      </c>
      <c r="GP631" s="27" t="s">
        <v>7</v>
      </c>
      <c r="GQ631" s="27" t="s">
        <v>8</v>
      </c>
      <c r="GR631" s="27" t="s">
        <v>7</v>
      </c>
      <c r="HG631" s="27" t="s">
        <v>8</v>
      </c>
      <c r="HH631" s="27" t="s">
        <v>7</v>
      </c>
      <c r="HO631" s="27" t="s">
        <v>8</v>
      </c>
      <c r="HP631" s="27" t="s">
        <v>7</v>
      </c>
      <c r="HQ631" s="27" t="s">
        <v>8</v>
      </c>
      <c r="HR631" s="27" t="s">
        <v>7</v>
      </c>
      <c r="HS631" s="27" t="s">
        <v>8</v>
      </c>
      <c r="HT631" s="27" t="s">
        <v>7</v>
      </c>
      <c r="HU631" s="27" t="s">
        <v>8</v>
      </c>
    </row>
    <row r="632" spans="1:233" x14ac:dyDescent="0.25">
      <c r="A632" s="7">
        <v>0.41019680250993112</v>
      </c>
      <c r="B632"/>
      <c r="C632"/>
      <c r="D632"/>
      <c r="E632"/>
      <c r="F632" s="27" t="s">
        <v>7</v>
      </c>
      <c r="G632" s="27" t="s">
        <v>8</v>
      </c>
      <c r="H632" s="27" t="s">
        <v>7</v>
      </c>
      <c r="I632" s="27" t="s">
        <v>8</v>
      </c>
      <c r="J632" s="27" t="s">
        <v>7</v>
      </c>
      <c r="DY632" s="27" t="s">
        <v>8</v>
      </c>
      <c r="DZ632" s="27" t="s">
        <v>7</v>
      </c>
      <c r="EG632" s="27" t="s">
        <v>8</v>
      </c>
      <c r="EH632" s="27" t="s">
        <v>7</v>
      </c>
      <c r="EQ632" s="27" t="s">
        <v>8</v>
      </c>
      <c r="ER632" s="27" t="s">
        <v>7</v>
      </c>
      <c r="ES632" s="27" t="s">
        <v>8</v>
      </c>
      <c r="ET632" s="27" t="s">
        <v>7</v>
      </c>
      <c r="EU632" s="27" t="s">
        <v>8</v>
      </c>
      <c r="FN632" s="27" t="s">
        <v>7</v>
      </c>
      <c r="FO632" s="27" t="s">
        <v>8</v>
      </c>
      <c r="FP632" s="27" t="s">
        <v>7</v>
      </c>
      <c r="FQ632" s="27" t="s">
        <v>8</v>
      </c>
      <c r="GF632" s="27" t="s">
        <v>7</v>
      </c>
      <c r="GG632" s="27" t="s">
        <v>8</v>
      </c>
      <c r="GH632" s="27" t="s">
        <v>7</v>
      </c>
      <c r="GI632" s="27" t="s">
        <v>8</v>
      </c>
      <c r="GJ632" s="27" t="s">
        <v>7</v>
      </c>
      <c r="GK632" s="27" t="s">
        <v>8</v>
      </c>
      <c r="GL632" s="27" t="s">
        <v>7</v>
      </c>
      <c r="GN632" s="27" t="s">
        <v>7</v>
      </c>
      <c r="GO632" s="27" t="s">
        <v>8</v>
      </c>
      <c r="GP632" s="27" t="s">
        <v>7</v>
      </c>
      <c r="GQ632" s="27" t="s">
        <v>8</v>
      </c>
      <c r="GR632" s="27" t="s">
        <v>7</v>
      </c>
      <c r="HG632" s="27" t="s">
        <v>8</v>
      </c>
      <c r="HH632" s="27" t="s">
        <v>7</v>
      </c>
      <c r="HO632" s="27" t="s">
        <v>8</v>
      </c>
      <c r="HP632" s="27" t="s">
        <v>7</v>
      </c>
      <c r="HR632" s="27" t="s">
        <v>7</v>
      </c>
      <c r="HS632" s="27" t="s">
        <v>8</v>
      </c>
      <c r="HT632" s="27" t="s">
        <v>7</v>
      </c>
      <c r="HU632" s="27" t="s">
        <v>8</v>
      </c>
    </row>
    <row r="633" spans="1:233" x14ac:dyDescent="0.25">
      <c r="A633" s="7">
        <v>0.40215372795091286</v>
      </c>
      <c r="B633"/>
      <c r="C633"/>
      <c r="D633"/>
      <c r="E633"/>
      <c r="F633" s="27" t="s">
        <v>7</v>
      </c>
      <c r="G633" s="27" t="s">
        <v>8</v>
      </c>
      <c r="H633" s="27" t="s">
        <v>7</v>
      </c>
      <c r="I633" s="27" t="s">
        <v>8</v>
      </c>
      <c r="J633" s="27" t="s">
        <v>7</v>
      </c>
      <c r="DY633" s="27" t="s">
        <v>8</v>
      </c>
      <c r="DZ633" s="27" t="s">
        <v>7</v>
      </c>
      <c r="EG633" s="27" t="s">
        <v>8</v>
      </c>
      <c r="EH633" s="27" t="s">
        <v>7</v>
      </c>
      <c r="EQ633" s="27" t="s">
        <v>8</v>
      </c>
      <c r="ER633" s="27" t="s">
        <v>7</v>
      </c>
      <c r="ES633" s="27" t="s">
        <v>8</v>
      </c>
      <c r="ET633" s="27" t="s">
        <v>7</v>
      </c>
      <c r="EU633" s="27" t="s">
        <v>8</v>
      </c>
      <c r="FN633" s="27" t="s">
        <v>7</v>
      </c>
      <c r="FO633" s="27" t="s">
        <v>8</v>
      </c>
      <c r="FP633" s="27" t="s">
        <v>7</v>
      </c>
      <c r="GF633" s="27" t="s">
        <v>7</v>
      </c>
      <c r="GG633" s="27" t="s">
        <v>8</v>
      </c>
      <c r="GH633" s="27" t="s">
        <v>7</v>
      </c>
      <c r="GI633" s="27" t="s">
        <v>8</v>
      </c>
      <c r="GJ633" s="27" t="s">
        <v>7</v>
      </c>
      <c r="GK633" s="27" t="s">
        <v>8</v>
      </c>
      <c r="GN633" s="27" t="s">
        <v>7</v>
      </c>
      <c r="GP633" s="27" t="s">
        <v>7</v>
      </c>
      <c r="GQ633" s="27" t="s">
        <v>8</v>
      </c>
      <c r="GR633" s="27" t="s">
        <v>7</v>
      </c>
      <c r="HG633" s="27" t="s">
        <v>8</v>
      </c>
      <c r="HH633" s="27" t="s">
        <v>7</v>
      </c>
      <c r="HO633" s="27" t="s">
        <v>8</v>
      </c>
      <c r="HR633" s="27" t="s">
        <v>7</v>
      </c>
      <c r="HS633" s="27" t="s">
        <v>8</v>
      </c>
      <c r="HT633" s="27" t="s">
        <v>7</v>
      </c>
      <c r="HU633" s="27" t="s">
        <v>8</v>
      </c>
    </row>
    <row r="634" spans="1:233" x14ac:dyDescent="0.25">
      <c r="A634" s="7">
        <v>0.39426836073618904</v>
      </c>
      <c r="B634"/>
      <c r="C634"/>
      <c r="D634"/>
      <c r="E634"/>
      <c r="F634" s="27" t="s">
        <v>7</v>
      </c>
      <c r="H634" s="27" t="s">
        <v>7</v>
      </c>
      <c r="I634" s="27" t="s">
        <v>8</v>
      </c>
      <c r="J634" s="27" t="s">
        <v>7</v>
      </c>
      <c r="K634" s="27" t="s">
        <v>8</v>
      </c>
      <c r="DY634" s="27" t="s">
        <v>8</v>
      </c>
      <c r="DZ634" s="27" t="s">
        <v>7</v>
      </c>
      <c r="EG634" s="27" t="s">
        <v>8</v>
      </c>
      <c r="EH634" s="27" t="s">
        <v>7</v>
      </c>
      <c r="EQ634" s="27" t="s">
        <v>8</v>
      </c>
      <c r="ER634" s="27" t="s">
        <v>7</v>
      </c>
      <c r="ES634" s="27" t="s">
        <v>8</v>
      </c>
      <c r="ET634" s="27" t="s">
        <v>7</v>
      </c>
      <c r="EU634" s="27" t="s">
        <v>8</v>
      </c>
      <c r="FN634" s="27" t="s">
        <v>7</v>
      </c>
      <c r="FO634" s="27" t="s">
        <v>8</v>
      </c>
      <c r="GF634" s="27" t="s">
        <v>7</v>
      </c>
      <c r="GG634" s="27" t="s">
        <v>8</v>
      </c>
      <c r="GH634" s="27" t="s">
        <v>7</v>
      </c>
      <c r="GI634" s="27" t="s">
        <v>8</v>
      </c>
      <c r="GJ634" s="27" t="s">
        <v>7</v>
      </c>
      <c r="GP634" s="27" t="s">
        <v>7</v>
      </c>
      <c r="GQ634" s="27" t="s">
        <v>8</v>
      </c>
      <c r="GR634" s="27" t="s">
        <v>7</v>
      </c>
      <c r="HG634" s="27" t="s">
        <v>8</v>
      </c>
      <c r="HH634" s="27" t="s">
        <v>7</v>
      </c>
      <c r="HO634" s="27" t="s">
        <v>8</v>
      </c>
      <c r="HR634" s="27" t="s">
        <v>7</v>
      </c>
      <c r="HS634" s="27" t="s">
        <v>8</v>
      </c>
      <c r="HT634" s="27" t="s">
        <v>7</v>
      </c>
      <c r="HU634" s="27" t="s">
        <v>8</v>
      </c>
    </row>
    <row r="635" spans="1:233" x14ac:dyDescent="0.25">
      <c r="A635" s="7">
        <v>0.38653760856489122</v>
      </c>
      <c r="B635"/>
      <c r="C635"/>
      <c r="D635"/>
      <c r="E635"/>
      <c r="H635" s="27" t="s">
        <v>7</v>
      </c>
      <c r="I635" s="27" t="s">
        <v>8</v>
      </c>
      <c r="J635" s="27" t="s">
        <v>7</v>
      </c>
      <c r="K635" s="27" t="s">
        <v>8</v>
      </c>
      <c r="L635" s="27" t="s">
        <v>7</v>
      </c>
      <c r="DY635" s="27" t="s">
        <v>8</v>
      </c>
      <c r="DZ635" s="27" t="s">
        <v>7</v>
      </c>
      <c r="EG635" s="27" t="s">
        <v>8</v>
      </c>
      <c r="EH635" s="27" t="s">
        <v>7</v>
      </c>
      <c r="EQ635" s="27" t="s">
        <v>8</v>
      </c>
      <c r="ER635" s="27" t="s">
        <v>7</v>
      </c>
      <c r="ES635" s="27" t="s">
        <v>8</v>
      </c>
      <c r="ET635" s="27" t="s">
        <v>7</v>
      </c>
      <c r="EU635" s="27" t="s">
        <v>8</v>
      </c>
      <c r="FN635" s="27" t="s">
        <v>7</v>
      </c>
      <c r="FO635" s="27" t="s">
        <v>8</v>
      </c>
      <c r="GF635" s="27" t="s">
        <v>7</v>
      </c>
      <c r="GG635" s="27" t="s">
        <v>8</v>
      </c>
      <c r="GH635" s="27" t="s">
        <v>7</v>
      </c>
      <c r="GI635" s="27" t="s">
        <v>8</v>
      </c>
      <c r="GP635" s="27" t="s">
        <v>7</v>
      </c>
      <c r="GQ635" s="27" t="s">
        <v>8</v>
      </c>
      <c r="GR635" s="27" t="s">
        <v>7</v>
      </c>
      <c r="GS635" s="27" t="s">
        <v>8</v>
      </c>
      <c r="HG635" s="27" t="s">
        <v>8</v>
      </c>
      <c r="HH635" s="27" t="s">
        <v>7</v>
      </c>
      <c r="HO635" s="27" t="s">
        <v>8</v>
      </c>
      <c r="HR635" s="27" t="s">
        <v>7</v>
      </c>
      <c r="HS635" s="27" t="s">
        <v>8</v>
      </c>
      <c r="HT635" s="27" t="s">
        <v>7</v>
      </c>
    </row>
    <row r="636" spans="1:233" x14ac:dyDescent="0.25">
      <c r="A636" s="7">
        <v>0.37895843976950117</v>
      </c>
      <c r="B636"/>
      <c r="C636"/>
      <c r="D636"/>
      <c r="E636"/>
      <c r="H636" s="27" t="s">
        <v>7</v>
      </c>
      <c r="I636" s="27" t="s">
        <v>8</v>
      </c>
      <c r="J636" s="27" t="s">
        <v>7</v>
      </c>
      <c r="K636" s="27" t="s">
        <v>8</v>
      </c>
      <c r="L636" s="27" t="s">
        <v>7</v>
      </c>
      <c r="DY636" s="27" t="s">
        <v>8</v>
      </c>
      <c r="DZ636" s="27" t="s">
        <v>7</v>
      </c>
      <c r="EG636" s="27" t="s">
        <v>8</v>
      </c>
      <c r="EH636" s="27" t="s">
        <v>7</v>
      </c>
      <c r="EO636" s="27" t="s">
        <v>8</v>
      </c>
      <c r="EQ636" s="27" t="s">
        <v>8</v>
      </c>
      <c r="ER636" s="27" t="s">
        <v>7</v>
      </c>
      <c r="ES636" s="27" t="s">
        <v>8</v>
      </c>
      <c r="ET636" s="27" t="s">
        <v>7</v>
      </c>
      <c r="EU636" s="27" t="s">
        <v>8</v>
      </c>
      <c r="FN636" s="27" t="s">
        <v>7</v>
      </c>
      <c r="FO636" s="27" t="s">
        <v>8</v>
      </c>
      <c r="GF636" s="27" t="s">
        <v>7</v>
      </c>
      <c r="GG636" s="27" t="s">
        <v>8</v>
      </c>
      <c r="GH636" s="27" t="s">
        <v>7</v>
      </c>
      <c r="GI636" s="27" t="s">
        <v>8</v>
      </c>
      <c r="GP636" s="27" t="s">
        <v>7</v>
      </c>
      <c r="GQ636" s="27" t="s">
        <v>8</v>
      </c>
      <c r="GR636" s="27" t="s">
        <v>7</v>
      </c>
      <c r="GS636" s="27" t="s">
        <v>8</v>
      </c>
      <c r="GT636" s="27" t="s">
        <v>7</v>
      </c>
      <c r="HA636" s="27" t="s">
        <v>8</v>
      </c>
      <c r="HG636" s="27" t="s">
        <v>8</v>
      </c>
      <c r="HH636" s="27" t="s">
        <v>7</v>
      </c>
      <c r="HO636" s="27" t="s">
        <v>8</v>
      </c>
      <c r="HR636" s="27" t="s">
        <v>7</v>
      </c>
    </row>
    <row r="637" spans="1:233" x14ac:dyDescent="0.25">
      <c r="A637" s="7">
        <v>0.37152788212696197</v>
      </c>
      <c r="B637"/>
      <c r="C637"/>
      <c r="D637"/>
      <c r="E637"/>
      <c r="H637" s="27" t="s">
        <v>7</v>
      </c>
      <c r="I637" s="27" t="s">
        <v>8</v>
      </c>
      <c r="J637" s="27" t="s">
        <v>7</v>
      </c>
      <c r="K637" s="27" t="s">
        <v>8</v>
      </c>
      <c r="L637" s="27" t="s">
        <v>7</v>
      </c>
      <c r="Q637" s="27" t="s">
        <v>8</v>
      </c>
      <c r="DY637" s="27" t="s">
        <v>8</v>
      </c>
      <c r="DZ637" s="27" t="s">
        <v>7</v>
      </c>
      <c r="EG637" s="27" t="s">
        <v>8</v>
      </c>
      <c r="EH637" s="27" t="s">
        <v>7</v>
      </c>
      <c r="EO637" s="27" t="s">
        <v>8</v>
      </c>
      <c r="EP637" s="27" t="s">
        <v>7</v>
      </c>
      <c r="EQ637" s="27" t="s">
        <v>8</v>
      </c>
      <c r="ER637" s="27" t="s">
        <v>7</v>
      </c>
      <c r="ES637" s="27" t="s">
        <v>8</v>
      </c>
      <c r="ET637" s="27" t="s">
        <v>7</v>
      </c>
      <c r="FN637" s="27" t="s">
        <v>7</v>
      </c>
      <c r="FO637" s="27" t="s">
        <v>8</v>
      </c>
      <c r="GF637" s="27" t="s">
        <v>7</v>
      </c>
      <c r="GG637" s="27" t="s">
        <v>8</v>
      </c>
      <c r="GH637" s="27" t="s">
        <v>7</v>
      </c>
      <c r="GI637" s="27" t="s">
        <v>8</v>
      </c>
      <c r="GP637" s="27" t="s">
        <v>7</v>
      </c>
      <c r="GQ637" s="27" t="s">
        <v>8</v>
      </c>
      <c r="GR637" s="27" t="s">
        <v>7</v>
      </c>
      <c r="GS637" s="27" t="s">
        <v>8</v>
      </c>
      <c r="GT637" s="27" t="s">
        <v>7</v>
      </c>
      <c r="HA637" s="27" t="s">
        <v>8</v>
      </c>
      <c r="HB637" s="27" t="s">
        <v>7</v>
      </c>
      <c r="HG637" s="27" t="s">
        <v>8</v>
      </c>
      <c r="HH637" s="27" t="s">
        <v>7</v>
      </c>
      <c r="HO637" s="27" t="s">
        <v>8</v>
      </c>
    </row>
    <row r="638" spans="1:233" x14ac:dyDescent="0.25">
      <c r="A638" s="7">
        <v>0.36424302169310002</v>
      </c>
      <c r="B638"/>
      <c r="C638"/>
      <c r="D638"/>
      <c r="E638"/>
      <c r="H638" s="27" t="s">
        <v>7</v>
      </c>
      <c r="I638" s="27" t="s">
        <v>8</v>
      </c>
      <c r="J638" s="27" t="s">
        <v>7</v>
      </c>
      <c r="K638" s="27" t="s">
        <v>8</v>
      </c>
      <c r="L638" s="27" t="s">
        <v>7</v>
      </c>
      <c r="M638" s="27" t="s">
        <v>8</v>
      </c>
      <c r="Q638" s="27" t="s">
        <v>8</v>
      </c>
      <c r="R638" s="27" t="s">
        <v>7</v>
      </c>
      <c r="DY638" s="27" t="s">
        <v>8</v>
      </c>
      <c r="DZ638" s="27" t="s">
        <v>7</v>
      </c>
      <c r="EG638" s="27" t="s">
        <v>8</v>
      </c>
      <c r="EH638" s="27" t="s">
        <v>7</v>
      </c>
      <c r="EO638" s="27" t="s">
        <v>8</v>
      </c>
      <c r="EP638" s="27" t="s">
        <v>7</v>
      </c>
      <c r="EQ638" s="27" t="s">
        <v>8</v>
      </c>
      <c r="ER638" s="27" t="s">
        <v>7</v>
      </c>
      <c r="ES638" s="27" t="s">
        <v>8</v>
      </c>
      <c r="FN638" s="27" t="s">
        <v>7</v>
      </c>
      <c r="GF638" s="27" t="s">
        <v>7</v>
      </c>
      <c r="GG638" s="27" t="s">
        <v>8</v>
      </c>
      <c r="GH638" s="27" t="s">
        <v>7</v>
      </c>
      <c r="GI638" s="27" t="s">
        <v>8</v>
      </c>
      <c r="GP638" s="27" t="s">
        <v>7</v>
      </c>
      <c r="GQ638" s="27" t="s">
        <v>8</v>
      </c>
      <c r="GR638" s="27" t="s">
        <v>7</v>
      </c>
      <c r="GS638" s="27" t="s">
        <v>8</v>
      </c>
      <c r="GT638" s="27" t="s">
        <v>7</v>
      </c>
      <c r="HA638" s="27" t="s">
        <v>8</v>
      </c>
      <c r="HB638" s="27" t="s">
        <v>7</v>
      </c>
      <c r="HC638" s="27" t="s">
        <v>8</v>
      </c>
      <c r="HG638" s="27" t="s">
        <v>8</v>
      </c>
      <c r="HH638" s="27" t="s">
        <v>7</v>
      </c>
      <c r="HO638" s="27" t="s">
        <v>8</v>
      </c>
    </row>
    <row r="639" spans="1:233" x14ac:dyDescent="0.25">
      <c r="A639" s="7">
        <v>0.35710100165990194</v>
      </c>
      <c r="B639"/>
      <c r="C639"/>
      <c r="D639"/>
      <c r="E639"/>
      <c r="H639" s="27" t="s">
        <v>7</v>
      </c>
      <c r="I639" s="27" t="s">
        <v>8</v>
      </c>
      <c r="J639" s="27" t="s">
        <v>7</v>
      </c>
      <c r="L639" s="27" t="s">
        <v>7</v>
      </c>
      <c r="M639" s="27" t="s">
        <v>8</v>
      </c>
      <c r="N639" s="27" t="s">
        <v>7</v>
      </c>
      <c r="Q639" s="27" t="s">
        <v>8</v>
      </c>
      <c r="R639" s="27" t="s">
        <v>7</v>
      </c>
      <c r="DY639" s="27" t="s">
        <v>8</v>
      </c>
      <c r="DZ639" s="27" t="s">
        <v>7</v>
      </c>
      <c r="EG639" s="27" t="s">
        <v>8</v>
      </c>
      <c r="EH639" s="27" t="s">
        <v>7</v>
      </c>
      <c r="EO639" s="27" t="s">
        <v>8</v>
      </c>
      <c r="EP639" s="27" t="s">
        <v>7</v>
      </c>
      <c r="EQ639" s="27" t="s">
        <v>8</v>
      </c>
      <c r="ER639" s="27" t="s">
        <v>7</v>
      </c>
      <c r="ES639" s="27" t="s">
        <v>8</v>
      </c>
      <c r="GF639" s="27" t="s">
        <v>7</v>
      </c>
      <c r="GG639" s="27" t="s">
        <v>8</v>
      </c>
      <c r="GH639" s="27" t="s">
        <v>7</v>
      </c>
      <c r="GI639" s="27" t="s">
        <v>8</v>
      </c>
      <c r="GP639" s="27" t="s">
        <v>7</v>
      </c>
      <c r="GQ639" s="27" t="s">
        <v>8</v>
      </c>
      <c r="GR639" s="27" t="s">
        <v>7</v>
      </c>
      <c r="GS639" s="27" t="s">
        <v>8</v>
      </c>
      <c r="GT639" s="27" t="s">
        <v>7</v>
      </c>
      <c r="HA639" s="27" t="s">
        <v>8</v>
      </c>
      <c r="HB639" s="27" t="s">
        <v>7</v>
      </c>
      <c r="HC639" s="27" t="s">
        <v>8</v>
      </c>
      <c r="HD639" s="27" t="s">
        <v>7</v>
      </c>
      <c r="HG639" s="27" t="s">
        <v>8</v>
      </c>
      <c r="HH639" s="27" t="s">
        <v>7</v>
      </c>
      <c r="HI639" s="27" t="s">
        <v>8</v>
      </c>
      <c r="HM639" s="27" t="s">
        <v>8</v>
      </c>
      <c r="HO639" s="27" t="s">
        <v>8</v>
      </c>
    </row>
    <row r="640" spans="1:233" x14ac:dyDescent="0.25">
      <c r="A640" s="7">
        <v>0.35009902123519804</v>
      </c>
      <c r="B640"/>
      <c r="C640"/>
      <c r="D640"/>
      <c r="E640"/>
      <c r="H640" s="27" t="s">
        <v>7</v>
      </c>
      <c r="I640" s="27" t="s">
        <v>8</v>
      </c>
      <c r="L640" s="27" t="s">
        <v>7</v>
      </c>
      <c r="M640" s="27" t="s">
        <v>8</v>
      </c>
      <c r="N640" s="27" t="s">
        <v>7</v>
      </c>
      <c r="Q640" s="27" t="s">
        <v>8</v>
      </c>
      <c r="R640" s="27" t="s">
        <v>7</v>
      </c>
      <c r="DY640" s="27" t="s">
        <v>8</v>
      </c>
      <c r="DZ640" s="27" t="s">
        <v>7</v>
      </c>
      <c r="EG640" s="27" t="s">
        <v>8</v>
      </c>
      <c r="EH640" s="27" t="s">
        <v>7</v>
      </c>
      <c r="EO640" s="27" t="s">
        <v>8</v>
      </c>
      <c r="EP640" s="27" t="s">
        <v>7</v>
      </c>
      <c r="EQ640" s="27" t="s">
        <v>8</v>
      </c>
      <c r="ER640" s="27" t="s">
        <v>7</v>
      </c>
      <c r="ES640" s="27" t="s">
        <v>8</v>
      </c>
      <c r="GF640" s="27" t="s">
        <v>7</v>
      </c>
      <c r="GG640" s="27" t="s">
        <v>8</v>
      </c>
      <c r="GH640" s="27" t="s">
        <v>7</v>
      </c>
      <c r="GI640" s="27" t="s">
        <v>8</v>
      </c>
      <c r="GP640" s="27" t="s">
        <v>7</v>
      </c>
      <c r="GQ640" s="27" t="s">
        <v>8</v>
      </c>
      <c r="GR640" s="27" t="s">
        <v>7</v>
      </c>
      <c r="GS640" s="27" t="s">
        <v>8</v>
      </c>
      <c r="GT640" s="27" t="s">
        <v>7</v>
      </c>
      <c r="HA640" s="27" t="s">
        <v>8</v>
      </c>
      <c r="HB640" s="27" t="s">
        <v>7</v>
      </c>
      <c r="HC640" s="27" t="s">
        <v>8</v>
      </c>
      <c r="HD640" s="27" t="s">
        <v>7</v>
      </c>
      <c r="HG640" s="27" t="s">
        <v>8</v>
      </c>
      <c r="HH640" s="27" t="s">
        <v>7</v>
      </c>
      <c r="HI640" s="27" t="s">
        <v>8</v>
      </c>
      <c r="HJ640" s="27" t="s">
        <v>7</v>
      </c>
      <c r="HM640" s="27" t="s">
        <v>8</v>
      </c>
      <c r="HN640" s="27" t="s">
        <v>7</v>
      </c>
      <c r="HO640" s="27" t="s">
        <v>8</v>
      </c>
    </row>
    <row r="641" spans="1:223" x14ac:dyDescent="0.25">
      <c r="A641" s="7">
        <v>0.34323433454431179</v>
      </c>
      <c r="B641"/>
      <c r="C641"/>
      <c r="D641"/>
      <c r="E641"/>
      <c r="H641" s="27" t="s">
        <v>7</v>
      </c>
      <c r="I641" s="27" t="s">
        <v>8</v>
      </c>
      <c r="L641" s="27" t="s">
        <v>7</v>
      </c>
      <c r="M641" s="27" t="s">
        <v>8</v>
      </c>
      <c r="N641" s="27" t="s">
        <v>7</v>
      </c>
      <c r="Q641" s="27" t="s">
        <v>8</v>
      </c>
      <c r="R641" s="27" t="s">
        <v>7</v>
      </c>
      <c r="AU641" s="27" t="s">
        <v>8</v>
      </c>
      <c r="DY641" s="27" t="s">
        <v>8</v>
      </c>
      <c r="DZ641" s="27" t="s">
        <v>7</v>
      </c>
      <c r="EG641" s="27" t="s">
        <v>8</v>
      </c>
      <c r="EH641" s="27" t="s">
        <v>7</v>
      </c>
      <c r="EO641" s="27" t="s">
        <v>8</v>
      </c>
      <c r="EP641" s="27" t="s">
        <v>7</v>
      </c>
      <c r="EQ641" s="27" t="s">
        <v>8</v>
      </c>
      <c r="ER641" s="27" t="s">
        <v>7</v>
      </c>
      <c r="GF641" s="27" t="s">
        <v>7</v>
      </c>
      <c r="GG641" s="27" t="s">
        <v>8</v>
      </c>
      <c r="GH641" s="27" t="s">
        <v>7</v>
      </c>
      <c r="GI641" s="27" t="s">
        <v>8</v>
      </c>
      <c r="GP641" s="27" t="s">
        <v>7</v>
      </c>
      <c r="GQ641" s="27" t="s">
        <v>8</v>
      </c>
      <c r="GR641" s="27" t="s">
        <v>7</v>
      </c>
      <c r="GS641" s="27" t="s">
        <v>8</v>
      </c>
      <c r="GT641" s="27" t="s">
        <v>7</v>
      </c>
      <c r="GY641" s="27" t="s">
        <v>8</v>
      </c>
      <c r="HA641" s="27" t="s">
        <v>8</v>
      </c>
      <c r="HB641" s="27" t="s">
        <v>7</v>
      </c>
      <c r="HC641" s="27" t="s">
        <v>8</v>
      </c>
      <c r="HD641" s="27" t="s">
        <v>7</v>
      </c>
      <c r="HG641" s="27" t="s">
        <v>8</v>
      </c>
      <c r="HH641" s="27" t="s">
        <v>7</v>
      </c>
      <c r="HI641" s="27" t="s">
        <v>8</v>
      </c>
      <c r="HJ641" s="27" t="s">
        <v>7</v>
      </c>
      <c r="HM641" s="27" t="s">
        <v>8</v>
      </c>
      <c r="HN641" s="27" t="s">
        <v>7</v>
      </c>
      <c r="HO641" s="27" t="s">
        <v>8</v>
      </c>
    </row>
    <row r="642" spans="1:223" x14ac:dyDescent="0.25">
      <c r="A642" s="7">
        <v>0.33650424955324681</v>
      </c>
      <c r="B642"/>
      <c r="C642"/>
      <c r="D642"/>
      <c r="E642"/>
      <c r="H642" s="27" t="s">
        <v>7</v>
      </c>
      <c r="I642" s="27" t="s">
        <v>8</v>
      </c>
      <c r="L642" s="27" t="s">
        <v>7</v>
      </c>
      <c r="M642" s="27" t="s">
        <v>8</v>
      </c>
      <c r="N642" s="27" t="s">
        <v>7</v>
      </c>
      <c r="O642" s="27" t="s">
        <v>8</v>
      </c>
      <c r="Q642" s="27" t="s">
        <v>8</v>
      </c>
      <c r="R642" s="27" t="s">
        <v>7</v>
      </c>
      <c r="AU642" s="27" t="s">
        <v>8</v>
      </c>
      <c r="AV642" s="27" t="s">
        <v>7</v>
      </c>
      <c r="DY642" s="27" t="s">
        <v>8</v>
      </c>
      <c r="DZ642" s="27" t="s">
        <v>7</v>
      </c>
      <c r="EC642" s="27" t="s">
        <v>8</v>
      </c>
      <c r="EG642" s="27" t="s">
        <v>8</v>
      </c>
      <c r="EH642" s="27" t="s">
        <v>7</v>
      </c>
      <c r="EO642" s="27" t="s">
        <v>8</v>
      </c>
      <c r="EP642" s="27" t="s">
        <v>7</v>
      </c>
      <c r="EQ642" s="27" t="s">
        <v>8</v>
      </c>
      <c r="GF642" s="27" t="s">
        <v>7</v>
      </c>
      <c r="GG642" s="27" t="s">
        <v>8</v>
      </c>
      <c r="GH642" s="27" t="s">
        <v>7</v>
      </c>
      <c r="GI642" s="27" t="s">
        <v>8</v>
      </c>
      <c r="GP642" s="27" t="s">
        <v>7</v>
      </c>
      <c r="GR642" s="27" t="s">
        <v>7</v>
      </c>
      <c r="GS642" s="27" t="s">
        <v>8</v>
      </c>
      <c r="GT642" s="27" t="s">
        <v>7</v>
      </c>
      <c r="GW642" s="27" t="s">
        <v>8</v>
      </c>
      <c r="GY642" s="27" t="s">
        <v>8</v>
      </c>
      <c r="GZ642" s="27" t="s">
        <v>7</v>
      </c>
      <c r="HA642" s="27" t="s">
        <v>8</v>
      </c>
      <c r="HB642" s="27" t="s">
        <v>7</v>
      </c>
      <c r="HC642" s="27" t="s">
        <v>8</v>
      </c>
      <c r="HD642" s="27" t="s">
        <v>7</v>
      </c>
      <c r="HG642" s="27" t="s">
        <v>8</v>
      </c>
      <c r="HH642" s="27" t="s">
        <v>7</v>
      </c>
      <c r="HI642" s="27" t="s">
        <v>8</v>
      </c>
      <c r="HJ642" s="27" t="s">
        <v>7</v>
      </c>
      <c r="HM642" s="27" t="s">
        <v>8</v>
      </c>
      <c r="HN642" s="27" t="s">
        <v>7</v>
      </c>
      <c r="HO642" s="27" t="s">
        <v>8</v>
      </c>
    </row>
    <row r="643" spans="1:223" x14ac:dyDescent="0.25">
      <c r="A643" s="7">
        <v>0.3299061270129871</v>
      </c>
      <c r="B643"/>
      <c r="C643"/>
      <c r="D643"/>
      <c r="E643"/>
      <c r="H643" s="27" t="s">
        <v>7</v>
      </c>
      <c r="I643" s="27" t="s">
        <v>8</v>
      </c>
      <c r="L643" s="27" t="s">
        <v>7</v>
      </c>
      <c r="M643" s="27" t="s">
        <v>8</v>
      </c>
      <c r="N643" s="27" t="s">
        <v>7</v>
      </c>
      <c r="O643" s="27" t="s">
        <v>8</v>
      </c>
      <c r="P643" s="27" t="s">
        <v>7</v>
      </c>
      <c r="Q643" s="27" t="s">
        <v>8</v>
      </c>
      <c r="R643" s="27" t="s">
        <v>7</v>
      </c>
      <c r="AU643" s="27" t="s">
        <v>8</v>
      </c>
      <c r="AV643" s="27" t="s">
        <v>7</v>
      </c>
      <c r="DY643" s="27" t="s">
        <v>8</v>
      </c>
      <c r="DZ643" s="27" t="s">
        <v>7</v>
      </c>
      <c r="EA643" s="27" t="s">
        <v>8</v>
      </c>
      <c r="EC643" s="27" t="s">
        <v>8</v>
      </c>
      <c r="ED643" s="27" t="s">
        <v>7</v>
      </c>
      <c r="EG643" s="27" t="s">
        <v>8</v>
      </c>
      <c r="EH643" s="27" t="s">
        <v>7</v>
      </c>
      <c r="EM643" s="27" t="s">
        <v>8</v>
      </c>
      <c r="EO643" s="27" t="s">
        <v>8</v>
      </c>
      <c r="EP643" s="27" t="s">
        <v>7</v>
      </c>
      <c r="GF643" s="27" t="s">
        <v>7</v>
      </c>
      <c r="GG643" s="27" t="s">
        <v>8</v>
      </c>
      <c r="GH643" s="27" t="s">
        <v>7</v>
      </c>
      <c r="GI643" s="27" t="s">
        <v>8</v>
      </c>
      <c r="GR643" s="27" t="s">
        <v>7</v>
      </c>
      <c r="GS643" s="27" t="s">
        <v>8</v>
      </c>
      <c r="GT643" s="27" t="s">
        <v>7</v>
      </c>
      <c r="GW643" s="27" t="s">
        <v>8</v>
      </c>
      <c r="GX643" s="27" t="s">
        <v>7</v>
      </c>
      <c r="GY643" s="27" t="s">
        <v>8</v>
      </c>
      <c r="GZ643" s="27" t="s">
        <v>7</v>
      </c>
      <c r="HA643" s="27" t="s">
        <v>8</v>
      </c>
      <c r="HB643" s="27" t="s">
        <v>7</v>
      </c>
      <c r="HC643" s="27" t="s">
        <v>8</v>
      </c>
      <c r="HD643" s="27" t="s">
        <v>7</v>
      </c>
      <c r="HE643" s="27" t="s">
        <v>8</v>
      </c>
      <c r="HG643" s="27" t="s">
        <v>8</v>
      </c>
      <c r="HH643" s="27" t="s">
        <v>7</v>
      </c>
      <c r="HI643" s="27" t="s">
        <v>8</v>
      </c>
      <c r="HJ643" s="27" t="s">
        <v>7</v>
      </c>
      <c r="HK643" s="18" t="s">
        <v>8</v>
      </c>
      <c r="HM643" s="27" t="s">
        <v>8</v>
      </c>
      <c r="HN643" s="27" t="s">
        <v>7</v>
      </c>
      <c r="HO643" s="27" t="s">
        <v>8</v>
      </c>
    </row>
    <row r="644" spans="1:223" x14ac:dyDescent="0.25">
      <c r="A644" s="7">
        <v>0.32343737942449713</v>
      </c>
      <c r="B644"/>
      <c r="C644"/>
      <c r="D644"/>
      <c r="E644"/>
      <c r="H644" s="27" t="s">
        <v>7</v>
      </c>
      <c r="I644" s="27" t="s">
        <v>8</v>
      </c>
      <c r="L644" s="27" t="s">
        <v>7</v>
      </c>
      <c r="M644" s="27" t="s">
        <v>8</v>
      </c>
      <c r="N644" s="27" t="s">
        <v>7</v>
      </c>
      <c r="O644" s="27" t="s">
        <v>8</v>
      </c>
      <c r="P644" s="27" t="s">
        <v>7</v>
      </c>
      <c r="Q644" s="27" t="s">
        <v>8</v>
      </c>
      <c r="R644" s="27" t="s">
        <v>7</v>
      </c>
      <c r="AU644" s="27" t="s">
        <v>8</v>
      </c>
      <c r="AV644" s="27" t="s">
        <v>7</v>
      </c>
      <c r="DY644" s="27" t="s">
        <v>8</v>
      </c>
      <c r="DZ644" s="27" t="s">
        <v>7</v>
      </c>
      <c r="EA644" s="27" t="s">
        <v>8</v>
      </c>
      <c r="EB644" s="27" t="s">
        <v>7</v>
      </c>
      <c r="EC644" s="27" t="s">
        <v>8</v>
      </c>
      <c r="ED644" s="27" t="s">
        <v>7</v>
      </c>
      <c r="EG644" s="27" t="s">
        <v>8</v>
      </c>
      <c r="EH644" s="27" t="s">
        <v>7</v>
      </c>
      <c r="EI644" s="27" t="s">
        <v>8</v>
      </c>
      <c r="EM644" s="27" t="s">
        <v>8</v>
      </c>
      <c r="EN644" s="27" t="s">
        <v>7</v>
      </c>
      <c r="EO644" s="27" t="s">
        <v>8</v>
      </c>
      <c r="GF644" s="27" t="s">
        <v>7</v>
      </c>
      <c r="GG644" s="27" t="s">
        <v>8</v>
      </c>
      <c r="GH644" s="27" t="s">
        <v>7</v>
      </c>
      <c r="GI644" s="27" t="s">
        <v>8</v>
      </c>
      <c r="GR644" s="27" t="s">
        <v>7</v>
      </c>
      <c r="GS644" s="27" t="s">
        <v>8</v>
      </c>
      <c r="GT644" s="27" t="s">
        <v>7</v>
      </c>
      <c r="GW644" s="27" t="s">
        <v>8</v>
      </c>
      <c r="GX644" s="27" t="s">
        <v>7</v>
      </c>
      <c r="GY644" s="27" t="s">
        <v>8</v>
      </c>
      <c r="GZ644" s="27" t="s">
        <v>7</v>
      </c>
      <c r="HA644" s="27" t="s">
        <v>8</v>
      </c>
      <c r="HB644" s="27" t="s">
        <v>7</v>
      </c>
      <c r="HC644" s="27" t="s">
        <v>8</v>
      </c>
      <c r="HD644" s="27" t="s">
        <v>7</v>
      </c>
      <c r="HE644" s="27" t="s">
        <v>8</v>
      </c>
      <c r="HF644" s="27" t="s">
        <v>7</v>
      </c>
      <c r="HG644" s="27" t="s">
        <v>8</v>
      </c>
      <c r="HH644" s="27" t="s">
        <v>7</v>
      </c>
      <c r="HI644" s="27" t="s">
        <v>8</v>
      </c>
      <c r="HJ644" s="27" t="s">
        <v>7</v>
      </c>
      <c r="HK644" s="27" t="s">
        <v>8</v>
      </c>
      <c r="HL644" s="27" t="s">
        <v>7</v>
      </c>
      <c r="HM644" s="27" t="s">
        <v>8</v>
      </c>
      <c r="HN644" s="27" t="s">
        <v>7</v>
      </c>
      <c r="HO644" s="27" t="s">
        <v>8</v>
      </c>
    </row>
    <row r="645" spans="1:223" x14ac:dyDescent="0.25">
      <c r="A645" s="7">
        <v>0.31709547002401678</v>
      </c>
      <c r="B645"/>
      <c r="C645"/>
      <c r="D645"/>
      <c r="E645"/>
      <c r="H645" s="27" t="s">
        <v>7</v>
      </c>
      <c r="I645" s="27" t="s">
        <v>8</v>
      </c>
      <c r="L645" s="27" t="s">
        <v>7</v>
      </c>
      <c r="M645" s="27" t="s">
        <v>8</v>
      </c>
      <c r="N645" s="27" t="s">
        <v>7</v>
      </c>
      <c r="O645" s="27" t="s">
        <v>8</v>
      </c>
      <c r="P645" s="27" t="s">
        <v>7</v>
      </c>
      <c r="Q645" s="27" t="s">
        <v>8</v>
      </c>
      <c r="R645" s="27" t="s">
        <v>7</v>
      </c>
      <c r="AU645" s="27" t="s">
        <v>8</v>
      </c>
      <c r="AV645" s="27" t="s">
        <v>7</v>
      </c>
      <c r="DY645" s="27" t="s">
        <v>8</v>
      </c>
      <c r="DZ645" s="27" t="s">
        <v>7</v>
      </c>
      <c r="EA645" s="27" t="s">
        <v>8</v>
      </c>
      <c r="EB645" s="27" t="s">
        <v>7</v>
      </c>
      <c r="EC645" s="27" t="s">
        <v>8</v>
      </c>
      <c r="ED645" s="27" t="s">
        <v>7</v>
      </c>
      <c r="EG645" s="27" t="s">
        <v>8</v>
      </c>
      <c r="EH645" s="27" t="s">
        <v>7</v>
      </c>
      <c r="EI645" s="27" t="s">
        <v>8</v>
      </c>
      <c r="EJ645" s="27" t="s">
        <v>7</v>
      </c>
      <c r="EM645" s="27" t="s">
        <v>8</v>
      </c>
      <c r="EN645" s="27" t="s">
        <v>7</v>
      </c>
      <c r="EO645" s="27" t="s">
        <v>8</v>
      </c>
      <c r="GF645" s="27" t="s">
        <v>7</v>
      </c>
      <c r="GG645" s="27" t="s">
        <v>8</v>
      </c>
      <c r="GH645" s="27" t="s">
        <v>7</v>
      </c>
      <c r="GR645" s="27" t="s">
        <v>7</v>
      </c>
      <c r="GT645" s="27" t="s">
        <v>7</v>
      </c>
      <c r="GW645" s="27" t="s">
        <v>8</v>
      </c>
      <c r="GX645" s="27" t="s">
        <v>7</v>
      </c>
      <c r="GY645" s="27" t="s">
        <v>8</v>
      </c>
      <c r="GZ645" s="27" t="s">
        <v>7</v>
      </c>
      <c r="HA645" s="27" t="s">
        <v>8</v>
      </c>
      <c r="HB645" s="27" t="s">
        <v>7</v>
      </c>
      <c r="HC645" s="27" t="s">
        <v>8</v>
      </c>
      <c r="HD645" s="27" t="s">
        <v>7</v>
      </c>
      <c r="HE645" s="27" t="s">
        <v>8</v>
      </c>
      <c r="HF645" s="27" t="s">
        <v>7</v>
      </c>
      <c r="HG645" s="27" t="s">
        <v>8</v>
      </c>
      <c r="HH645" s="27" t="s">
        <v>7</v>
      </c>
      <c r="HI645" s="27" t="s">
        <v>8</v>
      </c>
      <c r="HJ645" s="27" t="s">
        <v>7</v>
      </c>
      <c r="HK645" s="27" t="s">
        <v>8</v>
      </c>
      <c r="HL645" s="27" t="s">
        <v>7</v>
      </c>
      <c r="HM645" s="27" t="s">
        <v>8</v>
      </c>
      <c r="HN645" s="27" t="s">
        <v>7</v>
      </c>
    </row>
    <row r="646" spans="1:223" x14ac:dyDescent="0.25">
      <c r="A646" s="7">
        <v>0.31087791178825175</v>
      </c>
      <c r="B646"/>
      <c r="C646"/>
      <c r="D646"/>
      <c r="E646"/>
      <c r="H646" s="27" t="s">
        <v>7</v>
      </c>
      <c r="L646" s="27" t="s">
        <v>7</v>
      </c>
      <c r="M646" s="27" t="s">
        <v>8</v>
      </c>
      <c r="N646" s="27" t="s">
        <v>7</v>
      </c>
      <c r="P646" s="27" t="s">
        <v>7</v>
      </c>
      <c r="Q646" s="27" t="s">
        <v>8</v>
      </c>
      <c r="R646" s="27" t="s">
        <v>7</v>
      </c>
      <c r="AU646" s="27" t="s">
        <v>8</v>
      </c>
      <c r="AV646" s="27" t="s">
        <v>7</v>
      </c>
      <c r="DY646" s="27" t="s">
        <v>8</v>
      </c>
      <c r="DZ646" s="27" t="s">
        <v>7</v>
      </c>
      <c r="EA646" s="27" t="s">
        <v>8</v>
      </c>
      <c r="EB646" s="27" t="s">
        <v>7</v>
      </c>
      <c r="EC646" s="27" t="s">
        <v>8</v>
      </c>
      <c r="ED646" s="27" t="s">
        <v>7</v>
      </c>
      <c r="EG646" s="27" t="s">
        <v>8</v>
      </c>
      <c r="EH646" s="27" t="s">
        <v>7</v>
      </c>
      <c r="EI646" s="27" t="s">
        <v>8</v>
      </c>
      <c r="EJ646" s="27" t="s">
        <v>7</v>
      </c>
      <c r="EM646" s="27" t="s">
        <v>8</v>
      </c>
      <c r="EN646" s="27" t="s">
        <v>7</v>
      </c>
      <c r="EO646" s="27" t="s">
        <v>8</v>
      </c>
      <c r="GF646" s="27" t="s">
        <v>7</v>
      </c>
      <c r="GG646" s="27" t="s">
        <v>8</v>
      </c>
      <c r="GT646" s="27" t="s">
        <v>7</v>
      </c>
      <c r="GW646" s="27" t="s">
        <v>8</v>
      </c>
      <c r="GX646" s="27" t="s">
        <v>7</v>
      </c>
      <c r="GY646" s="27" t="s">
        <v>8</v>
      </c>
      <c r="GZ646" s="27" t="s">
        <v>7</v>
      </c>
      <c r="HA646" s="27" t="s">
        <v>8</v>
      </c>
      <c r="HB646" s="27" t="s">
        <v>7</v>
      </c>
      <c r="HD646" s="27" t="s">
        <v>7</v>
      </c>
      <c r="HE646" s="27" t="s">
        <v>8</v>
      </c>
      <c r="HF646" s="27" t="s">
        <v>7</v>
      </c>
      <c r="HH646" s="27" t="s">
        <v>7</v>
      </c>
      <c r="HJ646" s="27" t="s">
        <v>7</v>
      </c>
      <c r="HK646" s="27" t="s">
        <v>8</v>
      </c>
      <c r="HL646" s="27" t="s">
        <v>7</v>
      </c>
      <c r="HM646" s="27" t="s">
        <v>8</v>
      </c>
    </row>
    <row r="647" spans="1:223" x14ac:dyDescent="0.25">
      <c r="A647" s="7">
        <v>0.30478226645907036</v>
      </c>
      <c r="B647"/>
      <c r="C647"/>
      <c r="D647"/>
      <c r="E647"/>
      <c r="L647" s="27" t="s">
        <v>7</v>
      </c>
      <c r="M647" s="27" t="s">
        <v>8</v>
      </c>
      <c r="P647" s="27" t="s">
        <v>7</v>
      </c>
      <c r="R647" s="27" t="s">
        <v>7</v>
      </c>
      <c r="S647" s="27" t="s">
        <v>8</v>
      </c>
      <c r="U647" s="27" t="s">
        <v>8</v>
      </c>
      <c r="AU647" s="27" t="s">
        <v>8</v>
      </c>
      <c r="AV647" s="27" t="s">
        <v>7</v>
      </c>
      <c r="DY647" s="27" t="s">
        <v>8</v>
      </c>
      <c r="DZ647" s="27" t="s">
        <v>7</v>
      </c>
      <c r="EA647" s="27" t="s">
        <v>8</v>
      </c>
      <c r="EB647" s="27" t="s">
        <v>7</v>
      </c>
      <c r="EC647" s="27" t="s">
        <v>8</v>
      </c>
      <c r="ED647" s="27" t="s">
        <v>7</v>
      </c>
      <c r="EG647" s="27" t="s">
        <v>8</v>
      </c>
      <c r="EH647" s="27" t="s">
        <v>7</v>
      </c>
      <c r="EI647" s="27" t="s">
        <v>8</v>
      </c>
      <c r="EJ647" s="27" t="s">
        <v>7</v>
      </c>
      <c r="EK647" s="27" t="s">
        <v>8</v>
      </c>
      <c r="EM647" s="27" t="s">
        <v>8</v>
      </c>
      <c r="EN647" s="27" t="s">
        <v>7</v>
      </c>
      <c r="EO647" s="27" t="s">
        <v>8</v>
      </c>
      <c r="GF647" s="27" t="s">
        <v>7</v>
      </c>
      <c r="GG647" s="27" t="s">
        <v>8</v>
      </c>
      <c r="GT647" s="27" t="s">
        <v>7</v>
      </c>
      <c r="GW647" s="27" t="s">
        <v>8</v>
      </c>
      <c r="GX647" s="27" t="s">
        <v>7</v>
      </c>
      <c r="GY647" s="27" t="s">
        <v>8</v>
      </c>
      <c r="GZ647" s="27" t="s">
        <v>7</v>
      </c>
      <c r="HA647" s="27" t="s">
        <v>8</v>
      </c>
      <c r="HD647" s="27" t="s">
        <v>7</v>
      </c>
      <c r="HE647" s="27" t="s">
        <v>8</v>
      </c>
      <c r="HJ647" s="27" t="s">
        <v>7</v>
      </c>
      <c r="HK647" s="27" t="s">
        <v>8</v>
      </c>
      <c r="HL647" s="27" t="s">
        <v>7</v>
      </c>
      <c r="HM647" s="27" t="s">
        <v>8</v>
      </c>
    </row>
    <row r="648" spans="1:223" x14ac:dyDescent="0.25">
      <c r="A648" s="7">
        <v>0.29880614358732388</v>
      </c>
      <c r="B648"/>
      <c r="C648"/>
      <c r="D648"/>
      <c r="E648"/>
      <c r="L648" s="27" t="s">
        <v>7</v>
      </c>
      <c r="M648" s="27" t="s">
        <v>8</v>
      </c>
      <c r="R648" s="27" t="s">
        <v>7</v>
      </c>
      <c r="S648" s="27" t="s">
        <v>8</v>
      </c>
      <c r="T648" s="27" t="s">
        <v>7</v>
      </c>
      <c r="U648" s="27" t="s">
        <v>8</v>
      </c>
      <c r="V648" s="27" t="s">
        <v>7</v>
      </c>
      <c r="AU648" s="27" t="s">
        <v>8</v>
      </c>
      <c r="AV648" s="27" t="s">
        <v>7</v>
      </c>
      <c r="DY648" s="27" t="s">
        <v>8</v>
      </c>
      <c r="DZ648" s="27" t="s">
        <v>7</v>
      </c>
      <c r="EA648" s="27" t="s">
        <v>8</v>
      </c>
      <c r="EB648" s="27" t="s">
        <v>7</v>
      </c>
      <c r="EC648" s="27" t="s">
        <v>8</v>
      </c>
      <c r="ED648" s="27" t="s">
        <v>7</v>
      </c>
      <c r="EG648" s="27" t="s">
        <v>8</v>
      </c>
      <c r="EH648" s="27" t="s">
        <v>7</v>
      </c>
      <c r="EI648" s="27" t="s">
        <v>8</v>
      </c>
      <c r="EJ648" s="27" t="s">
        <v>7</v>
      </c>
      <c r="EK648" s="27" t="s">
        <v>8</v>
      </c>
      <c r="EL648" s="27" t="s">
        <v>7</v>
      </c>
      <c r="EM648" s="27" t="s">
        <v>8</v>
      </c>
      <c r="EN648" s="27" t="s">
        <v>7</v>
      </c>
      <c r="GF648" s="27" t="s">
        <v>7</v>
      </c>
      <c r="GG648" s="27" t="s">
        <v>8</v>
      </c>
      <c r="GT648" s="27" t="s">
        <v>7</v>
      </c>
      <c r="GW648" s="27" t="s">
        <v>8</v>
      </c>
      <c r="GX648" s="27" t="s">
        <v>7</v>
      </c>
      <c r="GY648" s="27" t="s">
        <v>8</v>
      </c>
      <c r="GZ648" s="27" t="s">
        <v>7</v>
      </c>
      <c r="HA648" s="27" t="s">
        <v>8</v>
      </c>
      <c r="HD648" s="27" t="s">
        <v>7</v>
      </c>
      <c r="HE648" s="27" t="s">
        <v>8</v>
      </c>
      <c r="HJ648" s="27" t="s">
        <v>7</v>
      </c>
      <c r="HK648" s="27" t="s">
        <v>8</v>
      </c>
      <c r="HL648" s="27" t="s">
        <v>7</v>
      </c>
      <c r="HM648" s="27" t="s">
        <v>8</v>
      </c>
    </row>
    <row r="649" spans="1:223" x14ac:dyDescent="0.25">
      <c r="A649" s="7">
        <v>0.2929471995954156</v>
      </c>
      <c r="B649"/>
      <c r="C649"/>
      <c r="D649"/>
      <c r="E649"/>
      <c r="L649" s="27" t="s">
        <v>7</v>
      </c>
      <c r="R649" s="27" t="s">
        <v>7</v>
      </c>
      <c r="S649" s="27" t="s">
        <v>8</v>
      </c>
      <c r="T649" s="27" t="s">
        <v>7</v>
      </c>
      <c r="U649" s="27" t="s">
        <v>8</v>
      </c>
      <c r="V649" s="27" t="s">
        <v>7</v>
      </c>
      <c r="AU649" s="27" t="s">
        <v>8</v>
      </c>
      <c r="AV649" s="27" t="s">
        <v>7</v>
      </c>
      <c r="DY649" s="27" t="s">
        <v>8</v>
      </c>
      <c r="DZ649" s="27" t="s">
        <v>7</v>
      </c>
      <c r="EA649" s="27" t="s">
        <v>8</v>
      </c>
      <c r="EB649" s="27" t="s">
        <v>7</v>
      </c>
      <c r="ED649" s="27" t="s">
        <v>7</v>
      </c>
      <c r="EE649" s="27" t="s">
        <v>8</v>
      </c>
      <c r="EG649" s="27" t="s">
        <v>8</v>
      </c>
      <c r="EH649" s="27" t="s">
        <v>7</v>
      </c>
      <c r="EI649" s="27" t="s">
        <v>8</v>
      </c>
      <c r="EJ649" s="27" t="s">
        <v>7</v>
      </c>
      <c r="EK649" s="27" t="s">
        <v>8</v>
      </c>
      <c r="EL649" s="27" t="s">
        <v>7</v>
      </c>
      <c r="EM649" s="27" t="s">
        <v>8</v>
      </c>
      <c r="GF649" s="27" t="s">
        <v>7</v>
      </c>
      <c r="GG649" s="27" t="s">
        <v>8</v>
      </c>
      <c r="GT649" s="27" t="s">
        <v>7</v>
      </c>
      <c r="GW649" s="27" t="s">
        <v>8</v>
      </c>
      <c r="GX649" s="27" t="s">
        <v>7</v>
      </c>
      <c r="GY649" s="27" t="s">
        <v>8</v>
      </c>
      <c r="GZ649" s="27" t="s">
        <v>7</v>
      </c>
      <c r="HD649" s="27" t="s">
        <v>7</v>
      </c>
      <c r="HE649" s="27" t="s">
        <v>8</v>
      </c>
      <c r="HJ649" s="27" t="s">
        <v>7</v>
      </c>
      <c r="HK649" s="27" t="s">
        <v>8</v>
      </c>
      <c r="HL649" s="27" t="s">
        <v>7</v>
      </c>
      <c r="HM649" s="27" t="s">
        <v>8</v>
      </c>
    </row>
    <row r="650" spans="1:223" x14ac:dyDescent="0.25">
      <c r="A650" s="7">
        <v>0.28720313685825055</v>
      </c>
      <c r="B650"/>
      <c r="C650"/>
      <c r="D650"/>
      <c r="E650"/>
      <c r="R650" s="27" t="s">
        <v>7</v>
      </c>
      <c r="T650" s="27" t="s">
        <v>7</v>
      </c>
      <c r="U650" s="27" t="s">
        <v>8</v>
      </c>
      <c r="V650" s="27" t="s">
        <v>7</v>
      </c>
      <c r="AS650" s="27" t="s">
        <v>8</v>
      </c>
      <c r="AU650" s="27" t="s">
        <v>8</v>
      </c>
      <c r="AV650" s="27" t="s">
        <v>7</v>
      </c>
      <c r="DY650" s="27" t="s">
        <v>8</v>
      </c>
      <c r="DZ650" s="27" t="s">
        <v>7</v>
      </c>
      <c r="EA650" s="27" t="s">
        <v>8</v>
      </c>
      <c r="ED650" s="27" t="s">
        <v>7</v>
      </c>
      <c r="EE650" s="27" t="s">
        <v>8</v>
      </c>
      <c r="EF650" s="27" t="s">
        <v>7</v>
      </c>
      <c r="EG650" s="27" t="s">
        <v>8</v>
      </c>
      <c r="EH650" s="27" t="s">
        <v>7</v>
      </c>
      <c r="EI650" s="27" t="s">
        <v>8</v>
      </c>
      <c r="EJ650" s="27" t="s">
        <v>7</v>
      </c>
      <c r="EK650" s="27" t="s">
        <v>8</v>
      </c>
      <c r="EL650" s="27" t="s">
        <v>7</v>
      </c>
      <c r="EM650" s="27" t="s">
        <v>8</v>
      </c>
      <c r="GF650" s="27" t="s">
        <v>7</v>
      </c>
      <c r="GG650" s="27" t="s">
        <v>8</v>
      </c>
      <c r="GT650" s="27" t="s">
        <v>7</v>
      </c>
      <c r="GW650" s="27" t="s">
        <v>8</v>
      </c>
      <c r="GX650" s="27" t="s">
        <v>7</v>
      </c>
      <c r="GY650" s="27" t="s">
        <v>8</v>
      </c>
      <c r="HD650" s="27" t="s">
        <v>7</v>
      </c>
      <c r="HJ650" s="27" t="s">
        <v>7</v>
      </c>
      <c r="HL650" s="27" t="s">
        <v>7</v>
      </c>
      <c r="HM650" s="27" t="s">
        <v>8</v>
      </c>
    </row>
    <row r="651" spans="1:223" x14ac:dyDescent="0.25">
      <c r="A651" s="7">
        <v>0.28157170280220645</v>
      </c>
      <c r="B651"/>
      <c r="C651"/>
      <c r="D651"/>
      <c r="E651"/>
      <c r="T651" s="27" t="s">
        <v>7</v>
      </c>
      <c r="U651" s="27" t="s">
        <v>8</v>
      </c>
      <c r="V651" s="27" t="s">
        <v>7</v>
      </c>
      <c r="AK651" s="27" t="s">
        <v>8</v>
      </c>
      <c r="AS651" s="27" t="s">
        <v>8</v>
      </c>
      <c r="AT651" s="27" t="s">
        <v>7</v>
      </c>
      <c r="AU651" s="27" t="s">
        <v>8</v>
      </c>
      <c r="AV651" s="27" t="s">
        <v>7</v>
      </c>
      <c r="DY651" s="27" t="s">
        <v>8</v>
      </c>
      <c r="DZ651" s="27" t="s">
        <v>7</v>
      </c>
      <c r="ED651" s="27" t="s">
        <v>7</v>
      </c>
      <c r="EE651" s="27" t="s">
        <v>8</v>
      </c>
      <c r="EF651" s="27" t="s">
        <v>7</v>
      </c>
      <c r="EG651" s="27" t="s">
        <v>8</v>
      </c>
      <c r="EH651" s="27" t="s">
        <v>7</v>
      </c>
      <c r="EI651" s="27" t="s">
        <v>8</v>
      </c>
      <c r="EJ651" s="27" t="s">
        <v>7</v>
      </c>
      <c r="EL651" s="27" t="s">
        <v>7</v>
      </c>
      <c r="EM651" s="27" t="s">
        <v>8</v>
      </c>
      <c r="GF651" s="27" t="s">
        <v>7</v>
      </c>
      <c r="GG651" s="27" t="s">
        <v>8</v>
      </c>
      <c r="GT651" s="27" t="s">
        <v>7</v>
      </c>
      <c r="GW651" s="27" t="s">
        <v>8</v>
      </c>
      <c r="GX651" s="27" t="s">
        <v>7</v>
      </c>
      <c r="GY651" s="27" t="s">
        <v>8</v>
      </c>
      <c r="HL651" s="27" t="s">
        <v>7</v>
      </c>
      <c r="HM651" s="27" t="s">
        <v>8</v>
      </c>
    </row>
    <row r="652" spans="1:223" x14ac:dyDescent="0.25">
      <c r="A652" s="7">
        <v>0.27605068902177105</v>
      </c>
      <c r="B652"/>
      <c r="C652"/>
      <c r="D652"/>
      <c r="E652"/>
      <c r="T652" s="27" t="s">
        <v>7</v>
      </c>
      <c r="U652" s="27" t="s">
        <v>8</v>
      </c>
      <c r="V652" s="27" t="s">
        <v>7</v>
      </c>
      <c r="AA652" s="27" t="s">
        <v>8</v>
      </c>
      <c r="AK652" s="27" t="s">
        <v>8</v>
      </c>
      <c r="AL652" s="27" t="s">
        <v>7</v>
      </c>
      <c r="AQ652" s="27" t="s">
        <v>8</v>
      </c>
      <c r="AS652" s="27" t="s">
        <v>8</v>
      </c>
      <c r="AT652" s="27" t="s">
        <v>7</v>
      </c>
      <c r="AU652" s="27" t="s">
        <v>8</v>
      </c>
      <c r="AV652" s="27" t="s">
        <v>7</v>
      </c>
      <c r="DY652" s="27" t="s">
        <v>8</v>
      </c>
      <c r="ED652" s="27" t="s">
        <v>7</v>
      </c>
      <c r="EE652" s="27" t="s">
        <v>8</v>
      </c>
      <c r="EF652" s="27" t="s">
        <v>7</v>
      </c>
      <c r="EG652" s="27" t="s">
        <v>8</v>
      </c>
      <c r="EH652" s="27" t="s">
        <v>7</v>
      </c>
      <c r="EL652" s="27" t="s">
        <v>7</v>
      </c>
      <c r="EM652" s="27" t="s">
        <v>8</v>
      </c>
      <c r="GF652" s="27" t="s">
        <v>7</v>
      </c>
      <c r="GT652" s="27" t="s">
        <v>7</v>
      </c>
      <c r="GW652" s="27" t="s">
        <v>8</v>
      </c>
      <c r="GX652" s="27" t="s">
        <v>7</v>
      </c>
      <c r="GY652" s="27" t="s">
        <v>8</v>
      </c>
      <c r="HL652" s="27" t="s">
        <v>7</v>
      </c>
      <c r="HM652" s="27" t="s">
        <v>8</v>
      </c>
    </row>
    <row r="653" spans="1:223" x14ac:dyDescent="0.25">
      <c r="A653" s="7">
        <v>0.27063793041350104</v>
      </c>
      <c r="B653"/>
      <c r="C653"/>
      <c r="D653"/>
      <c r="E653"/>
      <c r="T653" s="27" t="s">
        <v>7</v>
      </c>
      <c r="U653" s="27" t="s">
        <v>8</v>
      </c>
      <c r="V653" s="27" t="s">
        <v>7</v>
      </c>
      <c r="W653" s="27" t="s">
        <v>8</v>
      </c>
      <c r="AA653" s="27" t="s">
        <v>8</v>
      </c>
      <c r="AB653" s="27" t="s">
        <v>7</v>
      </c>
      <c r="AK653" s="27" t="s">
        <v>8</v>
      </c>
      <c r="AL653" s="27" t="s">
        <v>7</v>
      </c>
      <c r="AQ653" s="27" t="s">
        <v>8</v>
      </c>
      <c r="AR653" s="27" t="s">
        <v>7</v>
      </c>
      <c r="AS653" s="27" t="s">
        <v>8</v>
      </c>
      <c r="AT653" s="27" t="s">
        <v>7</v>
      </c>
      <c r="AU653" s="27" t="s">
        <v>8</v>
      </c>
      <c r="AV653" s="27" t="s">
        <v>7</v>
      </c>
      <c r="DY653" s="27" t="s">
        <v>8</v>
      </c>
      <c r="ED653" s="27" t="s">
        <v>7</v>
      </c>
      <c r="EE653" s="27" t="s">
        <v>8</v>
      </c>
      <c r="EF653" s="27" t="s">
        <v>7</v>
      </c>
      <c r="EG653" s="27" t="s">
        <v>8</v>
      </c>
      <c r="EL653" s="27" t="s">
        <v>7</v>
      </c>
      <c r="GT653" s="27" t="s">
        <v>7</v>
      </c>
      <c r="GW653" s="27" t="s">
        <v>8</v>
      </c>
      <c r="GX653" s="27" t="s">
        <v>7</v>
      </c>
      <c r="HL653" s="27" t="s">
        <v>7</v>
      </c>
      <c r="HM653" s="27" t="s">
        <v>8</v>
      </c>
    </row>
    <row r="654" spans="1:223" x14ac:dyDescent="0.25">
      <c r="A654" s="7">
        <v>0.26533130432696184</v>
      </c>
      <c r="B654"/>
      <c r="C654"/>
      <c r="D654"/>
      <c r="E654"/>
      <c r="T654" s="27" t="s">
        <v>7</v>
      </c>
      <c r="V654" s="27" t="s">
        <v>7</v>
      </c>
      <c r="W654" s="27" t="s">
        <v>8</v>
      </c>
      <c r="X654" s="27" t="s">
        <v>7</v>
      </c>
      <c r="Y654" s="27" t="s">
        <v>8</v>
      </c>
      <c r="AA654" s="27" t="s">
        <v>8</v>
      </c>
      <c r="AB654" s="27" t="s">
        <v>7</v>
      </c>
      <c r="AK654" s="27" t="s">
        <v>8</v>
      </c>
      <c r="AL654" s="27" t="s">
        <v>7</v>
      </c>
      <c r="AQ654" s="27" t="s">
        <v>8</v>
      </c>
      <c r="AR654" s="27" t="s">
        <v>7</v>
      </c>
      <c r="AS654" s="27" t="s">
        <v>8</v>
      </c>
      <c r="AT654" s="27" t="s">
        <v>7</v>
      </c>
      <c r="AU654" s="27" t="s">
        <v>8</v>
      </c>
      <c r="AV654" s="27" t="s">
        <v>7</v>
      </c>
      <c r="DY654" s="27" t="s">
        <v>8</v>
      </c>
      <c r="ED654" s="27" t="s">
        <v>7</v>
      </c>
      <c r="EE654" s="27" t="s">
        <v>8</v>
      </c>
      <c r="EF654" s="27" t="s">
        <v>7</v>
      </c>
      <c r="EG654" s="27" t="s">
        <v>8</v>
      </c>
      <c r="GT654" s="27" t="s">
        <v>7</v>
      </c>
      <c r="GU654" s="27" t="s">
        <v>8</v>
      </c>
      <c r="GW654" s="27" t="s">
        <v>8</v>
      </c>
      <c r="HL654" s="27" t="s">
        <v>7</v>
      </c>
      <c r="HM654" s="27" t="s">
        <v>8</v>
      </c>
    </row>
    <row r="655" spans="1:223" x14ac:dyDescent="0.25">
      <c r="A655" s="7">
        <v>0.26012872973231554</v>
      </c>
      <c r="B655"/>
      <c r="C655"/>
      <c r="D655"/>
      <c r="E655"/>
      <c r="V655" s="27" t="s">
        <v>7</v>
      </c>
      <c r="W655" s="27" t="s">
        <v>8</v>
      </c>
      <c r="X655" s="27" t="s">
        <v>7</v>
      </c>
      <c r="Y655" s="27" t="s">
        <v>8</v>
      </c>
      <c r="Z655" s="27" t="s">
        <v>7</v>
      </c>
      <c r="AA655" s="27" t="s">
        <v>8</v>
      </c>
      <c r="AB655" s="27" t="s">
        <v>7</v>
      </c>
      <c r="AK655" s="27" t="s">
        <v>8</v>
      </c>
      <c r="AL655" s="27" t="s">
        <v>7</v>
      </c>
      <c r="AQ655" s="27" t="s">
        <v>8</v>
      </c>
      <c r="AR655" s="27" t="s">
        <v>7</v>
      </c>
      <c r="AS655" s="27" t="s">
        <v>8</v>
      </c>
      <c r="AT655" s="27" t="s">
        <v>7</v>
      </c>
      <c r="AU655" s="27" t="s">
        <v>8</v>
      </c>
      <c r="AV655" s="27" t="s">
        <v>7</v>
      </c>
      <c r="DY655" s="27" t="s">
        <v>8</v>
      </c>
      <c r="ED655" s="27" t="s">
        <v>7</v>
      </c>
      <c r="EE655" s="27" t="s">
        <v>8</v>
      </c>
      <c r="EF655" s="27" t="s">
        <v>7</v>
      </c>
      <c r="EG655" s="27" t="s">
        <v>8</v>
      </c>
      <c r="GT655" s="27" t="s">
        <v>7</v>
      </c>
      <c r="GU655" s="27" t="s">
        <v>8</v>
      </c>
      <c r="GV655" s="27" t="s">
        <v>7</v>
      </c>
      <c r="GW655" s="27" t="s">
        <v>8</v>
      </c>
      <c r="HL655" s="27" t="s">
        <v>7</v>
      </c>
      <c r="HM655" s="27" t="s">
        <v>8</v>
      </c>
    </row>
    <row r="656" spans="1:223" x14ac:dyDescent="0.25">
      <c r="A656" s="7">
        <v>0.25502816640423093</v>
      </c>
      <c r="B656"/>
      <c r="C656"/>
      <c r="D656"/>
      <c r="E656"/>
      <c r="V656" s="27" t="s">
        <v>7</v>
      </c>
      <c r="W656" s="27" t="s">
        <v>8</v>
      </c>
      <c r="X656" s="27" t="s">
        <v>7</v>
      </c>
      <c r="Y656" s="27" t="s">
        <v>8</v>
      </c>
      <c r="Z656" s="27" t="s">
        <v>7</v>
      </c>
      <c r="AA656" s="27" t="s">
        <v>8</v>
      </c>
      <c r="AB656" s="27" t="s">
        <v>7</v>
      </c>
      <c r="AC656" s="27" t="s">
        <v>8</v>
      </c>
      <c r="AK656" s="27" t="s">
        <v>8</v>
      </c>
      <c r="AL656" s="27" t="s">
        <v>7</v>
      </c>
      <c r="AQ656" s="27" t="s">
        <v>8</v>
      </c>
      <c r="AR656" s="27" t="s">
        <v>7</v>
      </c>
      <c r="AS656" s="27" t="s">
        <v>8</v>
      </c>
      <c r="AT656" s="27" t="s">
        <v>7</v>
      </c>
      <c r="AU656" s="27" t="s">
        <v>8</v>
      </c>
      <c r="AV656" s="27" t="s">
        <v>7</v>
      </c>
      <c r="DY656" s="27" t="s">
        <v>8</v>
      </c>
      <c r="ED656" s="27" t="s">
        <v>7</v>
      </c>
      <c r="EE656" s="27" t="s">
        <v>8</v>
      </c>
      <c r="EF656" s="27" t="s">
        <v>7</v>
      </c>
      <c r="EG656" s="27" t="s">
        <v>8</v>
      </c>
      <c r="GT656" s="27" t="s">
        <v>7</v>
      </c>
      <c r="GU656" s="27" t="s">
        <v>8</v>
      </c>
      <c r="GV656" s="27" t="s">
        <v>7</v>
      </c>
      <c r="GW656" s="27" t="s">
        <v>8</v>
      </c>
      <c r="HL656" s="27" t="s">
        <v>7</v>
      </c>
    </row>
    <row r="657" spans="1:205" x14ac:dyDescent="0.25">
      <c r="A657" s="7">
        <v>0.25002761412179503</v>
      </c>
      <c r="B657"/>
      <c r="C657"/>
      <c r="D657"/>
      <c r="E657"/>
      <c r="V657" s="27" t="s">
        <v>7</v>
      </c>
      <c r="W657" s="27" t="s">
        <v>8</v>
      </c>
      <c r="X657" s="27" t="s">
        <v>7</v>
      </c>
      <c r="Y657" s="27" t="s">
        <v>8</v>
      </c>
      <c r="Z657" s="27" t="s">
        <v>7</v>
      </c>
      <c r="AA657" s="27" t="s">
        <v>8</v>
      </c>
      <c r="AB657" s="27" t="s">
        <v>7</v>
      </c>
      <c r="AC657" s="27" t="s">
        <v>8</v>
      </c>
      <c r="AD657" s="27" t="s">
        <v>7</v>
      </c>
      <c r="AK657" s="27" t="s">
        <v>8</v>
      </c>
      <c r="AL657" s="27" t="s">
        <v>7</v>
      </c>
      <c r="AQ657" s="27" t="s">
        <v>8</v>
      </c>
      <c r="AR657" s="27" t="s">
        <v>7</v>
      </c>
      <c r="AS657" s="27" t="s">
        <v>8</v>
      </c>
      <c r="AT657" s="27" t="s">
        <v>7</v>
      </c>
      <c r="AV657" s="27" t="s">
        <v>7</v>
      </c>
      <c r="AW657" s="27" t="s">
        <v>8</v>
      </c>
      <c r="DW657" s="27" t="s">
        <v>8</v>
      </c>
      <c r="DY657" s="27" t="s">
        <v>8</v>
      </c>
      <c r="ED657" s="27" t="s">
        <v>7</v>
      </c>
      <c r="EE657" s="27" t="s">
        <v>8</v>
      </c>
      <c r="EF657" s="27" t="s">
        <v>7</v>
      </c>
      <c r="EG657" s="27" t="s">
        <v>8</v>
      </c>
      <c r="GT657" s="27" t="s">
        <v>7</v>
      </c>
      <c r="GU657" s="27" t="s">
        <v>8</v>
      </c>
      <c r="GV657" s="27" t="s">
        <v>7</v>
      </c>
      <c r="GW657" s="27" t="s">
        <v>8</v>
      </c>
    </row>
    <row r="658" spans="1:205" x14ac:dyDescent="0.25">
      <c r="A658" s="7">
        <v>0.24512511188411276</v>
      </c>
      <c r="B658"/>
      <c r="C658"/>
      <c r="D658"/>
      <c r="E658"/>
      <c r="V658" s="27" t="s">
        <v>7</v>
      </c>
      <c r="W658" s="27" t="s">
        <v>8</v>
      </c>
      <c r="X658" s="27" t="s">
        <v>7</v>
      </c>
      <c r="Y658" s="27" t="s">
        <v>8</v>
      </c>
      <c r="Z658" s="27" t="s">
        <v>7</v>
      </c>
      <c r="AA658" s="27" t="s">
        <v>8</v>
      </c>
      <c r="AB658" s="27" t="s">
        <v>7</v>
      </c>
      <c r="AC658" s="27" t="s">
        <v>8</v>
      </c>
      <c r="AD658" s="27" t="s">
        <v>7</v>
      </c>
      <c r="AK658" s="27" t="s">
        <v>8</v>
      </c>
      <c r="AL658" s="27" t="s">
        <v>7</v>
      </c>
      <c r="AM658" s="27" t="s">
        <v>8</v>
      </c>
      <c r="AO658" s="27" t="s">
        <v>8</v>
      </c>
      <c r="AQ658" s="27" t="s">
        <v>8</v>
      </c>
      <c r="AR658" s="27" t="s">
        <v>7</v>
      </c>
      <c r="AS658" s="27" t="s">
        <v>8</v>
      </c>
      <c r="AV658" s="27" t="s">
        <v>7</v>
      </c>
      <c r="AW658" s="27" t="s">
        <v>8</v>
      </c>
      <c r="AX658" s="27" t="s">
        <v>7</v>
      </c>
      <c r="AY658" s="27" t="s">
        <v>8</v>
      </c>
      <c r="DW658" s="27" t="s">
        <v>8</v>
      </c>
      <c r="DX658" s="27" t="s">
        <v>7</v>
      </c>
      <c r="DY658" s="27" t="s">
        <v>8</v>
      </c>
      <c r="ED658" s="27" t="s">
        <v>7</v>
      </c>
      <c r="EE658" s="27" t="s">
        <v>8</v>
      </c>
      <c r="EF658" s="27" t="s">
        <v>7</v>
      </c>
      <c r="EG658" s="27" t="s">
        <v>8</v>
      </c>
      <c r="GT658" s="27" t="s">
        <v>7</v>
      </c>
      <c r="GU658" s="27" t="s">
        <v>8</v>
      </c>
      <c r="GV658" s="27" t="s">
        <v>7</v>
      </c>
      <c r="GW658" s="27" t="s">
        <v>8</v>
      </c>
    </row>
    <row r="659" spans="1:205" x14ac:dyDescent="0.25">
      <c r="A659" s="7">
        <v>0.24031873714128701</v>
      </c>
      <c r="B659"/>
      <c r="C659"/>
      <c r="D659"/>
      <c r="E659"/>
      <c r="V659" s="27" t="s">
        <v>7</v>
      </c>
      <c r="W659" s="27" t="s">
        <v>8</v>
      </c>
      <c r="X659" s="27" t="s">
        <v>7</v>
      </c>
      <c r="Y659" s="27" t="s">
        <v>8</v>
      </c>
      <c r="Z659" s="27" t="s">
        <v>7</v>
      </c>
      <c r="AA659" s="27" t="s">
        <v>8</v>
      </c>
      <c r="AB659" s="27" t="s">
        <v>7</v>
      </c>
      <c r="AD659" s="27" t="s">
        <v>7</v>
      </c>
      <c r="AK659" s="27" t="s">
        <v>8</v>
      </c>
      <c r="AL659" s="27" t="s">
        <v>7</v>
      </c>
      <c r="AM659" s="27" t="s">
        <v>8</v>
      </c>
      <c r="AN659" s="27" t="s">
        <v>7</v>
      </c>
      <c r="AO659" s="27" t="s">
        <v>8</v>
      </c>
      <c r="AP659" s="27" t="s">
        <v>7</v>
      </c>
      <c r="AQ659" s="27" t="s">
        <v>8</v>
      </c>
      <c r="AR659" s="27" t="s">
        <v>7</v>
      </c>
      <c r="AS659" s="27" t="s">
        <v>8</v>
      </c>
      <c r="AV659" s="27" t="s">
        <v>7</v>
      </c>
      <c r="AW659" s="27" t="s">
        <v>8</v>
      </c>
      <c r="AX659" s="27" t="s">
        <v>7</v>
      </c>
      <c r="AY659" s="27" t="s">
        <v>8</v>
      </c>
      <c r="AZ659" s="27" t="s">
        <v>7</v>
      </c>
      <c r="DW659" s="27" t="s">
        <v>8</v>
      </c>
      <c r="DX659" s="27" t="s">
        <v>7</v>
      </c>
      <c r="DY659" s="27" t="s">
        <v>8</v>
      </c>
      <c r="ED659" s="27" t="s">
        <v>7</v>
      </c>
      <c r="EE659" s="27" t="s">
        <v>8</v>
      </c>
      <c r="EF659" s="27" t="s">
        <v>7</v>
      </c>
      <c r="EG659" s="27" t="s">
        <v>8</v>
      </c>
      <c r="GT659" s="27" t="s">
        <v>7</v>
      </c>
      <c r="GU659" s="27" t="s">
        <v>8</v>
      </c>
      <c r="GV659" s="27" t="s">
        <v>7</v>
      </c>
      <c r="GW659" s="27" t="s">
        <v>8</v>
      </c>
    </row>
    <row r="660" spans="1:205" x14ac:dyDescent="0.25">
      <c r="A660" s="7">
        <v>0.23560660504047748</v>
      </c>
      <c r="B660"/>
      <c r="C660"/>
      <c r="D660"/>
      <c r="E660"/>
      <c r="V660" s="27" t="s">
        <v>7</v>
      </c>
      <c r="X660" s="27" t="s">
        <v>7</v>
      </c>
      <c r="Z660" s="27" t="s">
        <v>7</v>
      </c>
      <c r="AD660" s="27" t="s">
        <v>7</v>
      </c>
      <c r="AI660" s="27" t="s">
        <v>8</v>
      </c>
      <c r="AK660" s="27" t="s">
        <v>8</v>
      </c>
      <c r="AL660" s="27" t="s">
        <v>7</v>
      </c>
      <c r="AM660" s="27" t="s">
        <v>8</v>
      </c>
      <c r="AN660" s="27" t="s">
        <v>7</v>
      </c>
      <c r="AO660" s="27" t="s">
        <v>8</v>
      </c>
      <c r="AP660" s="27" t="s">
        <v>7</v>
      </c>
      <c r="AQ660" s="27" t="s">
        <v>8</v>
      </c>
      <c r="AR660" s="27" t="s">
        <v>7</v>
      </c>
      <c r="AS660" s="27" t="s">
        <v>8</v>
      </c>
      <c r="AV660" s="27" t="s">
        <v>7</v>
      </c>
      <c r="AX660" s="27" t="s">
        <v>7</v>
      </c>
      <c r="AY660" s="27" t="s">
        <v>8</v>
      </c>
      <c r="AZ660" s="27" t="s">
        <v>7</v>
      </c>
      <c r="DW660" s="27" t="s">
        <v>8</v>
      </c>
      <c r="DX660" s="27" t="s">
        <v>7</v>
      </c>
      <c r="DY660" s="27" t="s">
        <v>8</v>
      </c>
      <c r="ED660" s="27" t="s">
        <v>7</v>
      </c>
      <c r="EE660" s="27" t="s">
        <v>8</v>
      </c>
      <c r="EF660" s="27" t="s">
        <v>7</v>
      </c>
      <c r="EG660" s="27" t="s">
        <v>8</v>
      </c>
      <c r="GT660" s="27" t="s">
        <v>7</v>
      </c>
      <c r="GU660" s="27" t="s">
        <v>8</v>
      </c>
      <c r="GV660" s="27" t="s">
        <v>7</v>
      </c>
      <c r="GW660" s="27" t="s">
        <v>8</v>
      </c>
    </row>
    <row r="661" spans="1:205" x14ac:dyDescent="0.25">
      <c r="A661" s="7">
        <v>0.23098686768674265</v>
      </c>
      <c r="B661"/>
      <c r="C661"/>
      <c r="D661"/>
      <c r="E661"/>
      <c r="AD661" s="27" t="s">
        <v>7</v>
      </c>
      <c r="AI661" s="27" t="s">
        <v>8</v>
      </c>
      <c r="AJ661" s="27" t="s">
        <v>7</v>
      </c>
      <c r="AK661" s="27" t="s">
        <v>8</v>
      </c>
      <c r="AL661" s="27" t="s">
        <v>7</v>
      </c>
      <c r="AM661" s="27" t="s">
        <v>8</v>
      </c>
      <c r="AN661" s="27" t="s">
        <v>7</v>
      </c>
      <c r="AO661" s="27" t="s">
        <v>8</v>
      </c>
      <c r="AP661" s="27" t="s">
        <v>7</v>
      </c>
      <c r="AQ661" s="27" t="s">
        <v>8</v>
      </c>
      <c r="AR661" s="27" t="s">
        <v>7</v>
      </c>
      <c r="AX661" s="27" t="s">
        <v>7</v>
      </c>
      <c r="AY661" s="27" t="s">
        <v>8</v>
      </c>
      <c r="AZ661" s="27" t="s">
        <v>7</v>
      </c>
      <c r="DW661" s="27" t="s">
        <v>8</v>
      </c>
      <c r="DX661" s="27" t="s">
        <v>7</v>
      </c>
      <c r="DY661" s="27" t="s">
        <v>8</v>
      </c>
      <c r="ED661" s="27" t="s">
        <v>7</v>
      </c>
      <c r="EE661" s="27" t="s">
        <v>8</v>
      </c>
      <c r="EF661" s="27" t="s">
        <v>7</v>
      </c>
      <c r="EG661" s="27" t="s">
        <v>8</v>
      </c>
      <c r="GT661" s="27" t="s">
        <v>7</v>
      </c>
      <c r="GU661" s="27" t="s">
        <v>8</v>
      </c>
      <c r="GV661" s="27" t="s">
        <v>7</v>
      </c>
      <c r="GW661" s="27" t="s">
        <v>8</v>
      </c>
    </row>
    <row r="662" spans="1:205" x14ac:dyDescent="0.25">
      <c r="A662" s="7">
        <v>0.22645771341837515</v>
      </c>
      <c r="B662"/>
      <c r="C662"/>
      <c r="D662"/>
      <c r="E662"/>
      <c r="AD662" s="27" t="s">
        <v>7</v>
      </c>
      <c r="AE662" s="27" t="s">
        <v>8</v>
      </c>
      <c r="AG662" s="27" t="s">
        <v>8</v>
      </c>
      <c r="AI662" s="27" t="s">
        <v>8</v>
      </c>
      <c r="AJ662" s="27" t="s">
        <v>7</v>
      </c>
      <c r="AK662" s="27" t="s">
        <v>8</v>
      </c>
      <c r="AL662" s="27" t="s">
        <v>7</v>
      </c>
      <c r="AM662" s="27" t="s">
        <v>8</v>
      </c>
      <c r="AN662" s="27" t="s">
        <v>7</v>
      </c>
      <c r="AO662" s="27" t="s">
        <v>8</v>
      </c>
      <c r="AP662" s="27" t="s">
        <v>7</v>
      </c>
      <c r="AQ662" s="27" t="s">
        <v>8</v>
      </c>
      <c r="AX662" s="27" t="s">
        <v>7</v>
      </c>
      <c r="AY662" s="27" t="s">
        <v>8</v>
      </c>
      <c r="AZ662" s="27" t="s">
        <v>7</v>
      </c>
      <c r="DW662" s="27" t="s">
        <v>8</v>
      </c>
      <c r="DX662" s="27" t="s">
        <v>7</v>
      </c>
      <c r="DY662" s="27" t="s">
        <v>8</v>
      </c>
      <c r="ED662" s="27" t="s">
        <v>7</v>
      </c>
      <c r="EE662" s="27" t="s">
        <v>8</v>
      </c>
      <c r="EF662" s="27" t="s">
        <v>7</v>
      </c>
      <c r="EG662" s="27" t="s">
        <v>8</v>
      </c>
      <c r="GT662" s="27" t="s">
        <v>7</v>
      </c>
      <c r="GU662" s="27" t="s">
        <v>8</v>
      </c>
      <c r="GV662" s="27" t="s">
        <v>7</v>
      </c>
      <c r="GW662" s="27" t="s">
        <v>8</v>
      </c>
    </row>
    <row r="663" spans="1:205" x14ac:dyDescent="0.25">
      <c r="A663" s="7">
        <v>0.22201736609644623</v>
      </c>
      <c r="B663"/>
      <c r="C663"/>
      <c r="D663"/>
      <c r="E663"/>
      <c r="AD663" s="27" t="s">
        <v>7</v>
      </c>
      <c r="AE663" s="27" t="s">
        <v>8</v>
      </c>
      <c r="AF663" s="27" t="s">
        <v>7</v>
      </c>
      <c r="AG663" s="27" t="s">
        <v>8</v>
      </c>
      <c r="AH663" s="27" t="s">
        <v>7</v>
      </c>
      <c r="AI663" s="27" t="s">
        <v>8</v>
      </c>
      <c r="AJ663" s="27" t="s">
        <v>7</v>
      </c>
      <c r="AK663" s="27" t="s">
        <v>8</v>
      </c>
      <c r="AL663" s="27" t="s">
        <v>7</v>
      </c>
      <c r="AM663" s="27" t="s">
        <v>8</v>
      </c>
      <c r="AN663" s="27" t="s">
        <v>7</v>
      </c>
      <c r="AO663" s="27" t="s">
        <v>8</v>
      </c>
      <c r="AP663" s="27" t="s">
        <v>7</v>
      </c>
      <c r="AQ663" s="27" t="s">
        <v>8</v>
      </c>
      <c r="AX663" s="27" t="s">
        <v>7</v>
      </c>
      <c r="AZ663" s="27" t="s">
        <v>7</v>
      </c>
      <c r="DW663" s="27" t="s">
        <v>8</v>
      </c>
      <c r="DX663" s="27" t="s">
        <v>7</v>
      </c>
      <c r="DY663" s="27" t="s">
        <v>8</v>
      </c>
      <c r="ED663" s="27" t="s">
        <v>7</v>
      </c>
      <c r="EE663" s="27" t="s">
        <v>8</v>
      </c>
      <c r="EF663" s="27" t="s">
        <v>7</v>
      </c>
      <c r="EG663" s="27" t="s">
        <v>8</v>
      </c>
      <c r="GT663" s="27" t="s">
        <v>7</v>
      </c>
      <c r="GU663" s="27" t="s">
        <v>8</v>
      </c>
      <c r="GV663" s="27" t="s">
        <v>7</v>
      </c>
      <c r="GW663" s="27" t="s">
        <v>8</v>
      </c>
    </row>
    <row r="664" spans="1:205" x14ac:dyDescent="0.25">
      <c r="A664" s="7">
        <v>0.21766408440828061</v>
      </c>
      <c r="B664"/>
      <c r="C664"/>
      <c r="D664"/>
      <c r="E664"/>
      <c r="AD664" s="27" t="s">
        <v>7</v>
      </c>
      <c r="AE664" s="27" t="s">
        <v>8</v>
      </c>
      <c r="AF664" s="27" t="s">
        <v>7</v>
      </c>
      <c r="AG664" s="27" t="s">
        <v>8</v>
      </c>
      <c r="AH664" s="27" t="s">
        <v>7</v>
      </c>
      <c r="AI664" s="27" t="s">
        <v>8</v>
      </c>
      <c r="AJ664" s="27" t="s">
        <v>7</v>
      </c>
      <c r="AK664" s="27" t="s">
        <v>8</v>
      </c>
      <c r="AL664" s="27" t="s">
        <v>7</v>
      </c>
      <c r="AM664" s="27" t="s">
        <v>8</v>
      </c>
      <c r="AN664" s="27" t="s">
        <v>7</v>
      </c>
      <c r="AP664" s="27" t="s">
        <v>7</v>
      </c>
      <c r="AQ664" s="27" t="s">
        <v>8</v>
      </c>
      <c r="AZ664" s="27" t="s">
        <v>7</v>
      </c>
      <c r="DW664" s="27" t="s">
        <v>8</v>
      </c>
      <c r="DX664" s="27" t="s">
        <v>7</v>
      </c>
      <c r="DY664" s="27" t="s">
        <v>8</v>
      </c>
      <c r="ED664" s="27" t="s">
        <v>7</v>
      </c>
      <c r="EE664" s="27" t="s">
        <v>8</v>
      </c>
      <c r="EF664" s="27" t="s">
        <v>7</v>
      </c>
      <c r="GT664" s="27" t="s">
        <v>7</v>
      </c>
      <c r="GU664" s="27" t="s">
        <v>8</v>
      </c>
      <c r="GV664" s="27" t="s">
        <v>7</v>
      </c>
      <c r="GW664" s="27" t="s">
        <v>8</v>
      </c>
    </row>
    <row r="665" spans="1:205" x14ac:dyDescent="0.25">
      <c r="A665" s="7">
        <v>0.21339616118458882</v>
      </c>
      <c r="B665"/>
      <c r="C665"/>
      <c r="D665"/>
      <c r="E665"/>
      <c r="AD665" s="27" t="s">
        <v>7</v>
      </c>
      <c r="AE665" s="27" t="s">
        <v>8</v>
      </c>
      <c r="AF665" s="27" t="s">
        <v>7</v>
      </c>
      <c r="AG665" s="27" t="s">
        <v>8</v>
      </c>
      <c r="AH665" s="27" t="s">
        <v>7</v>
      </c>
      <c r="AJ665" s="27" t="s">
        <v>7</v>
      </c>
      <c r="AK665" s="27" t="s">
        <v>8</v>
      </c>
      <c r="AL665" s="27" t="s">
        <v>7</v>
      </c>
      <c r="AP665" s="27" t="s">
        <v>7</v>
      </c>
      <c r="AZ665" s="27" t="s">
        <v>7</v>
      </c>
      <c r="DW665" s="27" t="s">
        <v>8</v>
      </c>
      <c r="DX665" s="27" t="s">
        <v>7</v>
      </c>
      <c r="ED665" s="27" t="s">
        <v>7</v>
      </c>
      <c r="EE665" s="27" t="s">
        <v>8</v>
      </c>
      <c r="GT665" s="27" t="s">
        <v>7</v>
      </c>
      <c r="GU665" s="27" t="s">
        <v>8</v>
      </c>
      <c r="GV665" s="27" t="s">
        <v>7</v>
      </c>
      <c r="GW665" s="27" t="s">
        <v>8</v>
      </c>
    </row>
    <row r="666" spans="1:205" x14ac:dyDescent="0.25">
      <c r="A666" s="7">
        <v>0.20921192272998904</v>
      </c>
      <c r="B666"/>
      <c r="C666"/>
      <c r="D666"/>
      <c r="E666"/>
      <c r="AD666" s="27" t="s">
        <v>7</v>
      </c>
      <c r="AE666" s="27" t="s">
        <v>8</v>
      </c>
      <c r="AF666" s="27" t="s">
        <v>7</v>
      </c>
      <c r="AG666" s="27" t="s">
        <v>8</v>
      </c>
      <c r="AJ666" s="27" t="s">
        <v>7</v>
      </c>
      <c r="AZ666" s="27" t="s">
        <v>7</v>
      </c>
      <c r="DW666" s="27" t="s">
        <v>8</v>
      </c>
      <c r="ED666" s="27" t="s">
        <v>7</v>
      </c>
      <c r="EE666" s="27" t="s">
        <v>8</v>
      </c>
      <c r="GT666" s="27" t="s">
        <v>7</v>
      </c>
      <c r="GU666" s="27" t="s">
        <v>8</v>
      </c>
      <c r="GV666" s="27" t="s">
        <v>7</v>
      </c>
      <c r="GW666" s="27" t="s">
        <v>8</v>
      </c>
    </row>
    <row r="667" spans="1:205" x14ac:dyDescent="0.25">
      <c r="A667" s="7">
        <v>0.20510972816665593</v>
      </c>
      <c r="B667"/>
      <c r="C667"/>
      <c r="D667"/>
      <c r="E667"/>
      <c r="AD667" s="27" t="s">
        <v>7</v>
      </c>
      <c r="AE667" s="27" t="s">
        <v>8</v>
      </c>
      <c r="AF667" s="27" t="s">
        <v>7</v>
      </c>
      <c r="AZ667" s="27" t="s">
        <v>7</v>
      </c>
      <c r="DW667" s="27" t="s">
        <v>8</v>
      </c>
      <c r="ED667" s="27" t="s">
        <v>7</v>
      </c>
      <c r="EE667" s="27" t="s">
        <v>8</v>
      </c>
      <c r="GT667" s="27" t="s">
        <v>7</v>
      </c>
      <c r="GU667" s="27" t="s">
        <v>8</v>
      </c>
      <c r="GV667" s="27" t="s">
        <v>7</v>
      </c>
    </row>
    <row r="668" spans="1:205" x14ac:dyDescent="0.25">
      <c r="A668" s="7">
        <v>0.20108796879083912</v>
      </c>
      <c r="B668"/>
      <c r="C668"/>
      <c r="D668"/>
      <c r="E668"/>
      <c r="AD668" s="27" t="s">
        <v>7</v>
      </c>
      <c r="AZ668" s="27" t="s">
        <v>7</v>
      </c>
      <c r="BE668" s="27" t="s">
        <v>8</v>
      </c>
      <c r="DW668" s="27" t="s">
        <v>8</v>
      </c>
      <c r="ED668" s="27" t="s">
        <v>7</v>
      </c>
      <c r="EE668" s="27" t="s">
        <v>8</v>
      </c>
      <c r="GT668" s="27" t="s">
        <v>7</v>
      </c>
      <c r="GU668" s="27" t="s">
        <v>8</v>
      </c>
    </row>
    <row r="669" spans="1:205" x14ac:dyDescent="0.25">
      <c r="A669" s="7">
        <v>0.19714506744199917</v>
      </c>
      <c r="B669"/>
      <c r="C669"/>
      <c r="D669"/>
      <c r="E669"/>
      <c r="AZ669" s="27" t="s">
        <v>7</v>
      </c>
      <c r="BE669" s="27" t="s">
        <v>8</v>
      </c>
      <c r="BF669" s="27" t="s">
        <v>7</v>
      </c>
      <c r="DW669" s="27" t="s">
        <v>8</v>
      </c>
      <c r="ED669" s="27" t="s">
        <v>7</v>
      </c>
      <c r="EE669" s="27" t="s">
        <v>8</v>
      </c>
      <c r="GT669" s="27" t="s">
        <v>7</v>
      </c>
      <c r="GU669" s="27" t="s">
        <v>8</v>
      </c>
    </row>
    <row r="670" spans="1:205" x14ac:dyDescent="0.25">
      <c r="A670" s="7">
        <v>0.19327947788431293</v>
      </c>
      <c r="B670"/>
      <c r="C670"/>
      <c r="D670"/>
      <c r="E670"/>
      <c r="AZ670" s="27" t="s">
        <v>7</v>
      </c>
      <c r="BE670" s="27" t="s">
        <v>8</v>
      </c>
      <c r="BF670" s="27" t="s">
        <v>7</v>
      </c>
      <c r="DW670" s="27" t="s">
        <v>8</v>
      </c>
      <c r="ED670" s="27" t="s">
        <v>7</v>
      </c>
      <c r="EE670" s="27" t="s">
        <v>8</v>
      </c>
      <c r="GT670" s="27" t="s">
        <v>7</v>
      </c>
      <c r="GU670" s="27" t="s">
        <v>8</v>
      </c>
    </row>
    <row r="671" spans="1:205" x14ac:dyDescent="0.25">
      <c r="A671" s="7">
        <v>0.18948968420030682</v>
      </c>
      <c r="B671"/>
      <c r="C671"/>
      <c r="D671"/>
      <c r="E671"/>
      <c r="AZ671" s="27" t="s">
        <v>7</v>
      </c>
      <c r="BA671" s="27" t="s">
        <v>8</v>
      </c>
      <c r="BE671" s="27" t="s">
        <v>8</v>
      </c>
      <c r="BF671" s="27" t="s">
        <v>7</v>
      </c>
      <c r="DW671" s="27" t="s">
        <v>8</v>
      </c>
      <c r="ED671" s="27" t="s">
        <v>7</v>
      </c>
      <c r="EE671" s="27" t="s">
        <v>8</v>
      </c>
      <c r="GT671" s="27" t="s">
        <v>7</v>
      </c>
      <c r="GU671" s="27" t="s">
        <v>8</v>
      </c>
    </row>
    <row r="672" spans="1:205" x14ac:dyDescent="0.25">
      <c r="A672" s="7">
        <v>0.18577420019637925</v>
      </c>
      <c r="B672"/>
      <c r="C672"/>
      <c r="D672"/>
      <c r="E672"/>
      <c r="AZ672" s="27" t="s">
        <v>7</v>
      </c>
      <c r="BA672" s="27" t="s">
        <v>8</v>
      </c>
      <c r="BB672" s="27" t="s">
        <v>7</v>
      </c>
      <c r="BC672" s="27" t="s">
        <v>8</v>
      </c>
      <c r="BE672" s="27" t="s">
        <v>8</v>
      </c>
      <c r="BF672" s="27" t="s">
        <v>7</v>
      </c>
      <c r="DW672" s="27" t="s">
        <v>8</v>
      </c>
      <c r="ED672" s="27" t="s">
        <v>7</v>
      </c>
      <c r="EE672" s="27" t="s">
        <v>8</v>
      </c>
      <c r="GT672" s="27" t="s">
        <v>7</v>
      </c>
      <c r="GU672" s="27" t="s">
        <v>8</v>
      </c>
    </row>
    <row r="673" spans="1:203" x14ac:dyDescent="0.25">
      <c r="A673" s="7">
        <v>0.18213156881997963</v>
      </c>
      <c r="B673"/>
      <c r="C673"/>
      <c r="D673"/>
      <c r="E673"/>
      <c r="AZ673" s="27" t="s">
        <v>7</v>
      </c>
      <c r="BA673" s="27" t="s">
        <v>8</v>
      </c>
      <c r="BB673" s="27" t="s">
        <v>7</v>
      </c>
      <c r="BC673" s="27" t="s">
        <v>8</v>
      </c>
      <c r="BD673" s="27" t="s">
        <v>7</v>
      </c>
      <c r="BE673" s="27" t="s">
        <v>8</v>
      </c>
      <c r="BF673" s="27" t="s">
        <v>7</v>
      </c>
      <c r="BG673" s="27" t="s">
        <v>8</v>
      </c>
      <c r="DW673" s="27" t="s">
        <v>8</v>
      </c>
      <c r="ED673" s="27" t="s">
        <v>7</v>
      </c>
      <c r="EE673" s="27" t="s">
        <v>8</v>
      </c>
      <c r="GT673" s="27" t="s">
        <v>7</v>
      </c>
      <c r="GU673" s="27" t="s">
        <v>8</v>
      </c>
    </row>
    <row r="674" spans="1:203" x14ac:dyDescent="0.25">
      <c r="A674" s="7">
        <v>0.17856036158821534</v>
      </c>
      <c r="B674"/>
      <c r="C674"/>
      <c r="D674"/>
      <c r="E674"/>
      <c r="AZ674" s="27" t="s">
        <v>7</v>
      </c>
      <c r="BA674" s="27" t="s">
        <v>8</v>
      </c>
      <c r="BB674" s="27" t="s">
        <v>7</v>
      </c>
      <c r="BC674" s="27" t="s">
        <v>8</v>
      </c>
      <c r="BD674" s="27" t="s">
        <v>7</v>
      </c>
      <c r="BE674" s="27" t="s">
        <v>8</v>
      </c>
      <c r="BF674" s="27" t="s">
        <v>7</v>
      </c>
      <c r="BG674" s="27" t="s">
        <v>8</v>
      </c>
      <c r="BH674" s="27" t="s">
        <v>7</v>
      </c>
      <c r="BI674" s="27" t="s">
        <v>8</v>
      </c>
      <c r="DW674" s="27" t="s">
        <v>8</v>
      </c>
      <c r="ED674" s="27" t="s">
        <v>7</v>
      </c>
      <c r="EE674" s="27" t="s">
        <v>8</v>
      </c>
      <c r="GT674" s="27" t="s">
        <v>7</v>
      </c>
      <c r="GU674" s="27" t="s">
        <v>8</v>
      </c>
    </row>
    <row r="675" spans="1:203" x14ac:dyDescent="0.25">
      <c r="A675" s="7">
        <v>0.17505917802766208</v>
      </c>
      <c r="B675"/>
      <c r="C675"/>
      <c r="D675"/>
      <c r="E675"/>
      <c r="AZ675" s="27" t="s">
        <v>7</v>
      </c>
      <c r="BA675" s="27" t="s">
        <v>8</v>
      </c>
      <c r="BB675" s="27" t="s">
        <v>7</v>
      </c>
      <c r="BC675" s="27" t="s">
        <v>8</v>
      </c>
      <c r="BD675" s="27" t="s">
        <v>7</v>
      </c>
      <c r="BE675" s="27" t="s">
        <v>8</v>
      </c>
      <c r="BF675" s="27" t="s">
        <v>7</v>
      </c>
      <c r="BG675" s="27" t="s">
        <v>8</v>
      </c>
      <c r="BH675" s="27" t="s">
        <v>7</v>
      </c>
      <c r="BI675" s="27" t="s">
        <v>8</v>
      </c>
      <c r="BJ675" s="27" t="s">
        <v>7</v>
      </c>
      <c r="DU675" s="27" t="s">
        <v>8</v>
      </c>
      <c r="DW675" s="27" t="s">
        <v>8</v>
      </c>
      <c r="ED675" s="27" t="s">
        <v>7</v>
      </c>
      <c r="EE675" s="27" t="s">
        <v>8</v>
      </c>
      <c r="GT675" s="27" t="s">
        <v>7</v>
      </c>
      <c r="GU675" s="27" t="s">
        <v>8</v>
      </c>
    </row>
    <row r="676" spans="1:203" x14ac:dyDescent="0.25">
      <c r="A676" s="7">
        <v>0.17162664512515888</v>
      </c>
      <c r="B676"/>
      <c r="C676"/>
      <c r="D676"/>
      <c r="E676"/>
      <c r="AZ676" s="27" t="s">
        <v>7</v>
      </c>
      <c r="BB676" s="27" t="s">
        <v>7</v>
      </c>
      <c r="BC676" s="27" t="s">
        <v>8</v>
      </c>
      <c r="BD676" s="27" t="s">
        <v>7</v>
      </c>
      <c r="BE676" s="27" t="s">
        <v>8</v>
      </c>
      <c r="BF676" s="27" t="s">
        <v>7</v>
      </c>
      <c r="BG676" s="27" t="s">
        <v>8</v>
      </c>
      <c r="BH676" s="27" t="s">
        <v>7</v>
      </c>
      <c r="BI676" s="27" t="s">
        <v>8</v>
      </c>
      <c r="BJ676" s="27" t="s">
        <v>7</v>
      </c>
      <c r="DS676" s="27" t="s">
        <v>8</v>
      </c>
      <c r="DU676" s="27" t="s">
        <v>8</v>
      </c>
      <c r="DV676" s="27" t="s">
        <v>7</v>
      </c>
      <c r="DW676" s="27" t="s">
        <v>8</v>
      </c>
      <c r="ED676" s="27" t="s">
        <v>7</v>
      </c>
      <c r="GT676" s="27" t="s">
        <v>7</v>
      </c>
      <c r="GU676" s="27" t="s">
        <v>8</v>
      </c>
    </row>
    <row r="677" spans="1:203" x14ac:dyDescent="0.25">
      <c r="A677" s="7">
        <v>0.16826141678937145</v>
      </c>
      <c r="B677"/>
      <c r="C677"/>
      <c r="D677"/>
      <c r="E677"/>
      <c r="BB677" s="27" t="s">
        <v>7</v>
      </c>
      <c r="BC677" s="27" t="s">
        <v>8</v>
      </c>
      <c r="BD677" s="27" t="s">
        <v>7</v>
      </c>
      <c r="BF677" s="27" t="s">
        <v>7</v>
      </c>
      <c r="BG677" s="27" t="s">
        <v>8</v>
      </c>
      <c r="BH677" s="27" t="s">
        <v>7</v>
      </c>
      <c r="BI677" s="27" t="s">
        <v>8</v>
      </c>
      <c r="BJ677" s="27" t="s">
        <v>7</v>
      </c>
      <c r="BK677" s="27" t="s">
        <v>8</v>
      </c>
      <c r="BO677" s="27" t="s">
        <v>8</v>
      </c>
      <c r="DS677" s="27" t="s">
        <v>8</v>
      </c>
      <c r="DT677" s="27" t="s">
        <v>7</v>
      </c>
      <c r="DU677" s="27" t="s">
        <v>8</v>
      </c>
      <c r="DV677" s="27" t="s">
        <v>7</v>
      </c>
      <c r="DW677" s="27" t="s">
        <v>8</v>
      </c>
      <c r="GT677" s="27" t="s">
        <v>7</v>
      </c>
    </row>
    <row r="678" spans="1:203" x14ac:dyDescent="0.25">
      <c r="A678" s="7">
        <v>0.16496217332291319</v>
      </c>
      <c r="B678"/>
      <c r="C678"/>
      <c r="D678"/>
      <c r="E678"/>
      <c r="BB678" s="27" t="s">
        <v>7</v>
      </c>
      <c r="BC678" s="27" t="s">
        <v>8</v>
      </c>
      <c r="BF678" s="27" t="s">
        <v>7</v>
      </c>
      <c r="BH678" s="27" t="s">
        <v>7</v>
      </c>
      <c r="BI678" s="27" t="s">
        <v>8</v>
      </c>
      <c r="BJ678" s="27" t="s">
        <v>7</v>
      </c>
      <c r="BK678" s="27" t="s">
        <v>8</v>
      </c>
      <c r="BL678" s="27" t="s">
        <v>7</v>
      </c>
      <c r="BM678" s="27" t="s">
        <v>8</v>
      </c>
      <c r="BO678" s="27" t="s">
        <v>8</v>
      </c>
      <c r="BP678" s="27" t="s">
        <v>7</v>
      </c>
      <c r="BQ678" s="27" t="s">
        <v>8</v>
      </c>
      <c r="DO678" s="27" t="s">
        <v>8</v>
      </c>
      <c r="DS678" s="27" t="s">
        <v>8</v>
      </c>
      <c r="DT678" s="27" t="s">
        <v>7</v>
      </c>
      <c r="DU678" s="27" t="s">
        <v>8</v>
      </c>
      <c r="DV678" s="27" t="s">
        <v>7</v>
      </c>
      <c r="DW678" s="27" t="s">
        <v>8</v>
      </c>
    </row>
    <row r="679" spans="1:203" x14ac:dyDescent="0.25">
      <c r="A679" s="7">
        <v>0.16172762090481685</v>
      </c>
      <c r="B679"/>
      <c r="C679"/>
      <c r="D679"/>
      <c r="E679"/>
      <c r="BB679" s="27" t="s">
        <v>7</v>
      </c>
      <c r="BC679" s="27" t="s">
        <v>8</v>
      </c>
      <c r="BH679" s="27" t="s">
        <v>7</v>
      </c>
      <c r="BI679" s="27" t="s">
        <v>8</v>
      </c>
      <c r="BJ679" s="27" t="s">
        <v>7</v>
      </c>
      <c r="BK679" s="27" t="s">
        <v>8</v>
      </c>
      <c r="BL679" s="27" t="s">
        <v>7</v>
      </c>
      <c r="BM679" s="27" t="s">
        <v>8</v>
      </c>
      <c r="BN679" s="27" t="s">
        <v>7</v>
      </c>
      <c r="BO679" s="27" t="s">
        <v>8</v>
      </c>
      <c r="BP679" s="27" t="s">
        <v>7</v>
      </c>
      <c r="BQ679" s="27" t="s">
        <v>8</v>
      </c>
      <c r="BR679" s="27" t="s">
        <v>7</v>
      </c>
      <c r="BS679" s="27" t="s">
        <v>8</v>
      </c>
      <c r="DK679" s="27" t="s">
        <v>8</v>
      </c>
      <c r="DO679" s="27" t="s">
        <v>8</v>
      </c>
      <c r="DP679" s="27" t="s">
        <v>7</v>
      </c>
      <c r="DS679" s="27" t="s">
        <v>8</v>
      </c>
      <c r="DT679" s="27" t="s">
        <v>7</v>
      </c>
      <c r="DU679" s="27" t="s">
        <v>8</v>
      </c>
      <c r="DV679" s="27" t="s">
        <v>7</v>
      </c>
      <c r="DW679" s="27" t="s">
        <v>8</v>
      </c>
    </row>
    <row r="680" spans="1:203" x14ac:dyDescent="0.25">
      <c r="A680" s="7">
        <v>0.15855649108315376</v>
      </c>
      <c r="B680"/>
      <c r="C680"/>
      <c r="D680"/>
      <c r="E680"/>
      <c r="BB680" s="27" t="s">
        <v>7</v>
      </c>
      <c r="BH680" s="27" t="s">
        <v>7</v>
      </c>
      <c r="BI680" s="27" t="s">
        <v>8</v>
      </c>
      <c r="BJ680" s="27" t="s">
        <v>7</v>
      </c>
      <c r="BK680" s="27" t="s">
        <v>8</v>
      </c>
      <c r="BL680" s="27" t="s">
        <v>7</v>
      </c>
      <c r="BM680" s="27" t="s">
        <v>8</v>
      </c>
      <c r="BN680" s="27" t="s">
        <v>7</v>
      </c>
      <c r="BO680" s="27" t="s">
        <v>8</v>
      </c>
      <c r="BP680" s="27" t="s">
        <v>7</v>
      </c>
      <c r="BQ680" s="27" t="s">
        <v>8</v>
      </c>
      <c r="BR680" s="27" t="s">
        <v>7</v>
      </c>
      <c r="BS680" s="27" t="s">
        <v>8</v>
      </c>
      <c r="BT680" s="27" t="s">
        <v>7</v>
      </c>
      <c r="DK680" s="27" t="s">
        <v>8</v>
      </c>
      <c r="DL680" s="27" t="s">
        <v>7</v>
      </c>
      <c r="DO680" s="27" t="s">
        <v>8</v>
      </c>
      <c r="DP680" s="27" t="s">
        <v>7</v>
      </c>
      <c r="DS680" s="27" t="s">
        <v>8</v>
      </c>
      <c r="DT680" s="27" t="s">
        <v>7</v>
      </c>
      <c r="DU680" s="27" t="s">
        <v>8</v>
      </c>
      <c r="DV680" s="27" t="s">
        <v>7</v>
      </c>
      <c r="DW680" s="27" t="s">
        <v>8</v>
      </c>
    </row>
    <row r="681" spans="1:203" x14ac:dyDescent="0.25">
      <c r="A681" s="7">
        <v>0.15544754027760171</v>
      </c>
      <c r="B681"/>
      <c r="C681"/>
      <c r="D681"/>
      <c r="E681"/>
      <c r="BH681" s="27" t="s">
        <v>7</v>
      </c>
      <c r="BJ681" s="27" t="s">
        <v>7</v>
      </c>
      <c r="BK681" s="27" t="s">
        <v>8</v>
      </c>
      <c r="BL681" s="27" t="s">
        <v>7</v>
      </c>
      <c r="BM681" s="27" t="s">
        <v>8</v>
      </c>
      <c r="BN681" s="27" t="s">
        <v>7</v>
      </c>
      <c r="BO681" s="27" t="s">
        <v>8</v>
      </c>
      <c r="BP681" s="27" t="s">
        <v>7</v>
      </c>
      <c r="BQ681" s="27" t="s">
        <v>8</v>
      </c>
      <c r="BR681" s="27" t="s">
        <v>7</v>
      </c>
      <c r="BS681" s="27" t="s">
        <v>8</v>
      </c>
      <c r="BT681" s="27" t="s">
        <v>7</v>
      </c>
      <c r="CG681" s="27" t="s">
        <v>8</v>
      </c>
      <c r="DK681" s="27" t="s">
        <v>8</v>
      </c>
      <c r="DL681" s="27" t="s">
        <v>7</v>
      </c>
      <c r="DO681" s="27" t="s">
        <v>8</v>
      </c>
      <c r="DP681" s="27" t="s">
        <v>7</v>
      </c>
      <c r="DS681" s="27" t="s">
        <v>8</v>
      </c>
      <c r="DT681" s="27" t="s">
        <v>7</v>
      </c>
      <c r="DU681" s="27" t="s">
        <v>8</v>
      </c>
      <c r="DV681" s="27" t="s">
        <v>7</v>
      </c>
      <c r="DW681" s="27" t="s">
        <v>8</v>
      </c>
    </row>
    <row r="682" spans="1:203" x14ac:dyDescent="0.25">
      <c r="A682" s="7">
        <v>0.15239954929176638</v>
      </c>
      <c r="B682"/>
      <c r="C682"/>
      <c r="D682"/>
      <c r="E682"/>
      <c r="BJ682" s="27" t="s">
        <v>7</v>
      </c>
      <c r="BK682" s="27" t="s">
        <v>8</v>
      </c>
      <c r="BL682" s="27" t="s">
        <v>7</v>
      </c>
      <c r="BM682" s="27" t="s">
        <v>8</v>
      </c>
      <c r="BN682" s="27" t="s">
        <v>7</v>
      </c>
      <c r="BO682" s="27" t="s">
        <v>8</v>
      </c>
      <c r="BP682" s="27" t="s">
        <v>7</v>
      </c>
      <c r="BQ682" s="27" t="s">
        <v>8</v>
      </c>
      <c r="BR682" s="27" t="s">
        <v>7</v>
      </c>
      <c r="BT682" s="27" t="s">
        <v>7</v>
      </c>
      <c r="CG682" s="27" t="s">
        <v>8</v>
      </c>
      <c r="CH682" s="27" t="s">
        <v>7</v>
      </c>
      <c r="DI682" s="27" t="s">
        <v>8</v>
      </c>
      <c r="DK682" s="27" t="s">
        <v>8</v>
      </c>
      <c r="DL682" s="27" t="s">
        <v>7</v>
      </c>
      <c r="DO682" s="27" t="s">
        <v>8</v>
      </c>
      <c r="DP682" s="27" t="s">
        <v>7</v>
      </c>
      <c r="DS682" s="27" t="s">
        <v>8</v>
      </c>
      <c r="DT682" s="27" t="s">
        <v>7</v>
      </c>
      <c r="DU682" s="27" t="s">
        <v>8</v>
      </c>
      <c r="DV682" s="27" t="s">
        <v>7</v>
      </c>
    </row>
    <row r="683" spans="1:203" x14ac:dyDescent="0.25">
      <c r="A683" s="7">
        <v>0.14941132283506509</v>
      </c>
      <c r="B683"/>
      <c r="C683"/>
      <c r="D683"/>
      <c r="E683"/>
      <c r="BJ683" s="27" t="s">
        <v>7</v>
      </c>
      <c r="BK683" s="27" t="s">
        <v>8</v>
      </c>
      <c r="BL683" s="27" t="s">
        <v>7</v>
      </c>
      <c r="BM683" s="27" t="s">
        <v>8</v>
      </c>
      <c r="BN683" s="27" t="s">
        <v>7</v>
      </c>
      <c r="BP683" s="27" t="s">
        <v>7</v>
      </c>
      <c r="BQ683" s="27" t="s">
        <v>8</v>
      </c>
      <c r="BT683" s="27" t="s">
        <v>7</v>
      </c>
      <c r="CG683" s="27" t="s">
        <v>8</v>
      </c>
      <c r="CH683" s="27" t="s">
        <v>7</v>
      </c>
      <c r="CQ683" s="27" t="s">
        <v>8</v>
      </c>
      <c r="DI683" s="27" t="s">
        <v>8</v>
      </c>
      <c r="DJ683" s="27" t="s">
        <v>7</v>
      </c>
      <c r="DK683" s="27" t="s">
        <v>8</v>
      </c>
      <c r="DL683" s="27" t="s">
        <v>7</v>
      </c>
      <c r="DO683" s="27" t="s">
        <v>8</v>
      </c>
      <c r="DP683" s="27" t="s">
        <v>7</v>
      </c>
      <c r="DS683" s="27" t="s">
        <v>8</v>
      </c>
      <c r="DT683" s="27" t="s">
        <v>7</v>
      </c>
    </row>
    <row r="684" spans="1:203" x14ac:dyDescent="0.25">
      <c r="A684" s="7">
        <v>0.14648168905398537</v>
      </c>
      <c r="B684"/>
      <c r="C684"/>
      <c r="D684"/>
      <c r="E684"/>
      <c r="BJ684" s="27" t="s">
        <v>7</v>
      </c>
      <c r="BK684" s="27" t="s">
        <v>8</v>
      </c>
      <c r="BL684" s="27" t="s">
        <v>7</v>
      </c>
      <c r="BM684" s="27" t="s">
        <v>8</v>
      </c>
      <c r="BP684" s="27" t="s">
        <v>7</v>
      </c>
      <c r="BQ684" s="27" t="s">
        <v>8</v>
      </c>
      <c r="BT684" s="27" t="s">
        <v>7</v>
      </c>
      <c r="BU684" s="27" t="s">
        <v>8</v>
      </c>
      <c r="CG684" s="27" t="s">
        <v>8</v>
      </c>
      <c r="CH684" s="27" t="s">
        <v>7</v>
      </c>
      <c r="CI684" s="27" t="s">
        <v>8</v>
      </c>
      <c r="CQ684" s="27" t="s">
        <v>8</v>
      </c>
      <c r="CR684" s="27" t="s">
        <v>7</v>
      </c>
      <c r="DI684" s="27" t="s">
        <v>8</v>
      </c>
      <c r="DJ684" s="27" t="s">
        <v>7</v>
      </c>
      <c r="DK684" s="27" t="s">
        <v>8</v>
      </c>
      <c r="DL684" s="27" t="s">
        <v>7</v>
      </c>
      <c r="DM684" s="27" t="s">
        <v>8</v>
      </c>
      <c r="DO684" s="27" t="s">
        <v>8</v>
      </c>
      <c r="DP684" s="27" t="s">
        <v>7</v>
      </c>
      <c r="DQ684" s="27" t="s">
        <v>8</v>
      </c>
      <c r="DS684" s="27" t="s">
        <v>8</v>
      </c>
    </row>
    <row r="685" spans="1:203" x14ac:dyDescent="0.25">
      <c r="A685" s="7">
        <v>0.14360949907253467</v>
      </c>
      <c r="B685"/>
      <c r="C685"/>
      <c r="D685"/>
      <c r="E685"/>
      <c r="BJ685" s="27" t="s">
        <v>7</v>
      </c>
      <c r="BK685" s="27" t="s">
        <v>8</v>
      </c>
      <c r="BL685" s="27" t="s">
        <v>7</v>
      </c>
      <c r="BP685" s="27" t="s">
        <v>7</v>
      </c>
      <c r="BQ685" s="27" t="s">
        <v>8</v>
      </c>
      <c r="BT685" s="27" t="s">
        <v>7</v>
      </c>
      <c r="BU685" s="27" t="s">
        <v>8</v>
      </c>
      <c r="BV685" s="27" t="s">
        <v>7</v>
      </c>
      <c r="CA685" s="27" t="s">
        <v>8</v>
      </c>
      <c r="CG685" s="27" t="s">
        <v>8</v>
      </c>
      <c r="CH685" s="27" t="s">
        <v>7</v>
      </c>
      <c r="CI685" s="27" t="s">
        <v>8</v>
      </c>
      <c r="CJ685" s="27" t="s">
        <v>7</v>
      </c>
      <c r="CQ685" s="27" t="s">
        <v>8</v>
      </c>
      <c r="CR685" s="27" t="s">
        <v>7</v>
      </c>
      <c r="CU685" s="27" t="s">
        <v>8</v>
      </c>
      <c r="DE685" s="27" t="s">
        <v>8</v>
      </c>
      <c r="DI685" s="27" t="s">
        <v>8</v>
      </c>
      <c r="DJ685" s="27" t="s">
        <v>7</v>
      </c>
      <c r="DK685" s="27" t="s">
        <v>8</v>
      </c>
      <c r="DL685" s="27" t="s">
        <v>7</v>
      </c>
      <c r="DM685" s="27" t="s">
        <v>8</v>
      </c>
      <c r="DN685" s="27" t="s">
        <v>7</v>
      </c>
      <c r="DO685" s="27" t="s">
        <v>8</v>
      </c>
      <c r="DP685" s="27" t="s">
        <v>7</v>
      </c>
      <c r="DQ685" s="27" t="s">
        <v>8</v>
      </c>
      <c r="DR685" s="27" t="s">
        <v>7</v>
      </c>
      <c r="DS685" s="27" t="s">
        <v>8</v>
      </c>
    </row>
    <row r="686" spans="1:203" x14ac:dyDescent="0.25">
      <c r="A686" s="7">
        <v>0.14079362654170066</v>
      </c>
      <c r="B686"/>
      <c r="C686"/>
      <c r="D686"/>
      <c r="E686"/>
      <c r="BJ686" s="27" t="s">
        <v>7</v>
      </c>
      <c r="BP686" s="27" t="s">
        <v>7</v>
      </c>
      <c r="BQ686" s="27" t="s">
        <v>8</v>
      </c>
      <c r="BT686" s="27" t="s">
        <v>7</v>
      </c>
      <c r="BU686" s="27" t="s">
        <v>8</v>
      </c>
      <c r="BV686" s="27" t="s">
        <v>7</v>
      </c>
      <c r="CA686" s="27" t="s">
        <v>8</v>
      </c>
      <c r="CB686" s="27" t="s">
        <v>7</v>
      </c>
      <c r="CG686" s="27" t="s">
        <v>8</v>
      </c>
      <c r="CH686" s="27" t="s">
        <v>7</v>
      </c>
      <c r="CI686" s="27" t="s">
        <v>8</v>
      </c>
      <c r="CJ686" s="27" t="s">
        <v>7</v>
      </c>
      <c r="CK686" s="27" t="s">
        <v>8</v>
      </c>
      <c r="CQ686" s="27" t="s">
        <v>8</v>
      </c>
      <c r="CR686" s="27" t="s">
        <v>7</v>
      </c>
      <c r="CU686" s="27" t="s">
        <v>8</v>
      </c>
      <c r="CV686" s="27" t="s">
        <v>7</v>
      </c>
      <c r="DE686" s="27" t="s">
        <v>8</v>
      </c>
      <c r="DF686" s="27" t="s">
        <v>7</v>
      </c>
      <c r="DI686" s="27" t="s">
        <v>8</v>
      </c>
      <c r="DJ686" s="27" t="s">
        <v>7</v>
      </c>
      <c r="DK686" s="27" t="s">
        <v>8</v>
      </c>
      <c r="DL686" s="27" t="s">
        <v>7</v>
      </c>
      <c r="DM686" s="27" t="s">
        <v>8</v>
      </c>
      <c r="DN686" s="27" t="s">
        <v>7</v>
      </c>
      <c r="DO686" s="27" t="s">
        <v>8</v>
      </c>
      <c r="DP686" s="27" t="s">
        <v>7</v>
      </c>
      <c r="DQ686" s="27" t="s">
        <v>8</v>
      </c>
      <c r="DR686" s="27" t="s">
        <v>7</v>
      </c>
      <c r="DS686" s="27" t="s">
        <v>8</v>
      </c>
    </row>
    <row r="687" spans="1:203" x14ac:dyDescent="0.25">
      <c r="A687" s="7">
        <v>0.13803296719774574</v>
      </c>
      <c r="B687"/>
      <c r="C687"/>
      <c r="D687"/>
      <c r="E687"/>
      <c r="BP687" s="27" t="s">
        <v>7</v>
      </c>
      <c r="BQ687" s="27" t="s">
        <v>8</v>
      </c>
      <c r="BT687" s="27" t="s">
        <v>7</v>
      </c>
      <c r="BV687" s="27" t="s">
        <v>7</v>
      </c>
      <c r="CA687" s="27" t="s">
        <v>8</v>
      </c>
      <c r="CB687" s="27" t="s">
        <v>7</v>
      </c>
      <c r="CG687" s="27" t="s">
        <v>8</v>
      </c>
      <c r="CH687" s="27" t="s">
        <v>7</v>
      </c>
      <c r="CI687" s="27" t="s">
        <v>8</v>
      </c>
      <c r="CJ687" s="27" t="s">
        <v>7</v>
      </c>
      <c r="CK687" s="27" t="s">
        <v>8</v>
      </c>
      <c r="CL687" s="27" t="s">
        <v>7</v>
      </c>
      <c r="CM687" s="27" t="s">
        <v>8</v>
      </c>
      <c r="CQ687" s="27" t="s">
        <v>8</v>
      </c>
      <c r="CR687" s="27" t="s">
        <v>7</v>
      </c>
      <c r="CU687" s="27" t="s">
        <v>8</v>
      </c>
      <c r="CV687" s="27" t="s">
        <v>7</v>
      </c>
      <c r="DE687" s="27" t="s">
        <v>8</v>
      </c>
      <c r="DF687" s="27" t="s">
        <v>7</v>
      </c>
      <c r="DI687" s="27" t="s">
        <v>8</v>
      </c>
      <c r="DJ687" s="27" t="s">
        <v>7</v>
      </c>
      <c r="DK687" s="27" t="s">
        <v>8</v>
      </c>
      <c r="DL687" s="27" t="s">
        <v>7</v>
      </c>
      <c r="DM687" s="27" t="s">
        <v>8</v>
      </c>
      <c r="DN687" s="27" t="s">
        <v>7</v>
      </c>
      <c r="DP687" s="27" t="s">
        <v>7</v>
      </c>
      <c r="DQ687" s="27" t="s">
        <v>8</v>
      </c>
      <c r="DR687" s="27" t="s">
        <v>7</v>
      </c>
      <c r="DS687" s="27" t="s">
        <v>8</v>
      </c>
    </row>
    <row r="688" spans="1:203" x14ac:dyDescent="0.25">
      <c r="A688" s="7">
        <v>0.1353264384291625</v>
      </c>
      <c r="B688"/>
      <c r="C688"/>
      <c r="D688"/>
      <c r="E688"/>
      <c r="BP688" s="27" t="s">
        <v>7</v>
      </c>
      <c r="BQ688" s="27" t="s">
        <v>8</v>
      </c>
      <c r="BV688" s="27" t="s">
        <v>7</v>
      </c>
      <c r="CA688" s="27" t="s">
        <v>8</v>
      </c>
      <c r="CB688" s="27" t="s">
        <v>7</v>
      </c>
      <c r="CG688" s="27" t="s">
        <v>8</v>
      </c>
      <c r="CH688" s="27" t="s">
        <v>7</v>
      </c>
      <c r="CI688" s="27" t="s">
        <v>8</v>
      </c>
      <c r="CJ688" s="27" t="s">
        <v>7</v>
      </c>
      <c r="CK688" s="27" t="s">
        <v>8</v>
      </c>
      <c r="CL688" s="27" t="s">
        <v>7</v>
      </c>
      <c r="CM688" s="27" t="s">
        <v>8</v>
      </c>
      <c r="CN688" s="27" t="s">
        <v>7</v>
      </c>
      <c r="CQ688" s="27" t="s">
        <v>8</v>
      </c>
      <c r="CR688" s="27" t="s">
        <v>7</v>
      </c>
      <c r="CS688" s="27" t="s">
        <v>8</v>
      </c>
      <c r="CU688" s="27" t="s">
        <v>8</v>
      </c>
      <c r="CV688" s="27" t="s">
        <v>7</v>
      </c>
      <c r="DE688" s="27" t="s">
        <v>8</v>
      </c>
      <c r="DF688" s="27" t="s">
        <v>7</v>
      </c>
      <c r="DI688" s="27" t="s">
        <v>8</v>
      </c>
      <c r="DJ688" s="27" t="s">
        <v>7</v>
      </c>
      <c r="DK688" s="27" t="s">
        <v>8</v>
      </c>
      <c r="DL688" s="27" t="s">
        <v>7</v>
      </c>
      <c r="DM688" s="27" t="s">
        <v>8</v>
      </c>
      <c r="DP688" s="27" t="s">
        <v>7</v>
      </c>
      <c r="DQ688" s="27" t="s">
        <v>8</v>
      </c>
      <c r="DR688" s="27" t="s">
        <v>7</v>
      </c>
    </row>
    <row r="689" spans="1:121" x14ac:dyDescent="0.25">
      <c r="A689" s="7">
        <v>0.13267297885212009</v>
      </c>
      <c r="B689"/>
      <c r="C689"/>
      <c r="D689"/>
      <c r="E689"/>
      <c r="BP689" s="27" t="s">
        <v>7</v>
      </c>
      <c r="BV689" s="27" t="s">
        <v>7</v>
      </c>
      <c r="CA689" s="27" t="s">
        <v>8</v>
      </c>
      <c r="CB689" s="27" t="s">
        <v>7</v>
      </c>
      <c r="CC689" s="27" t="s">
        <v>8</v>
      </c>
      <c r="CE689" s="27" t="s">
        <v>8</v>
      </c>
      <c r="CG689" s="27" t="s">
        <v>8</v>
      </c>
      <c r="CH689" s="27" t="s">
        <v>7</v>
      </c>
      <c r="CI689" s="27" t="s">
        <v>8</v>
      </c>
      <c r="CJ689" s="27" t="s">
        <v>7</v>
      </c>
      <c r="CK689" s="27" t="s">
        <v>8</v>
      </c>
      <c r="CL689" s="27" t="s">
        <v>7</v>
      </c>
      <c r="CM689" s="27" t="s">
        <v>8</v>
      </c>
      <c r="CN689" s="27" t="s">
        <v>7</v>
      </c>
      <c r="CQ689" s="27" t="s">
        <v>8</v>
      </c>
      <c r="CR689" s="27" t="s">
        <v>7</v>
      </c>
      <c r="CS689" s="27" t="s">
        <v>8</v>
      </c>
      <c r="CT689" s="27" t="s">
        <v>7</v>
      </c>
      <c r="CU689" s="27" t="s">
        <v>8</v>
      </c>
      <c r="CV689" s="27" t="s">
        <v>7</v>
      </c>
      <c r="DC689" s="27" t="s">
        <v>8</v>
      </c>
      <c r="DE689" s="27" t="s">
        <v>8</v>
      </c>
      <c r="DF689" s="27" t="s">
        <v>7</v>
      </c>
      <c r="DI689" s="27" t="s">
        <v>8</v>
      </c>
      <c r="DJ689" s="27" t="s">
        <v>7</v>
      </c>
      <c r="DK689" s="27" t="s">
        <v>8</v>
      </c>
      <c r="DL689" s="27" t="s">
        <v>7</v>
      </c>
      <c r="DM689" s="27" t="s">
        <v>8</v>
      </c>
      <c r="DP689" s="27" t="s">
        <v>7</v>
      </c>
      <c r="DQ689" s="27" t="s">
        <v>8</v>
      </c>
    </row>
    <row r="690" spans="1:121" x14ac:dyDescent="0.25">
      <c r="A690" s="7">
        <v>0.13007154789423539</v>
      </c>
      <c r="B690"/>
      <c r="C690"/>
      <c r="D690"/>
      <c r="E690"/>
      <c r="BV690" s="27" t="s">
        <v>7</v>
      </c>
      <c r="CA690" s="27" t="s">
        <v>8</v>
      </c>
      <c r="CB690" s="27" t="s">
        <v>7</v>
      </c>
      <c r="CC690" s="27" t="s">
        <v>8</v>
      </c>
      <c r="CD690" s="27" t="s">
        <v>7</v>
      </c>
      <c r="CE690" s="27" t="s">
        <v>8</v>
      </c>
      <c r="CF690" s="27" t="s">
        <v>7</v>
      </c>
      <c r="CG690" s="27" t="s">
        <v>8</v>
      </c>
      <c r="CH690" s="27" t="s">
        <v>7</v>
      </c>
      <c r="CI690" s="27" t="s">
        <v>8</v>
      </c>
      <c r="CJ690" s="27" t="s">
        <v>7</v>
      </c>
      <c r="CK690" s="27" t="s">
        <v>8</v>
      </c>
      <c r="CL690" s="27" t="s">
        <v>7</v>
      </c>
      <c r="CM690" s="27" t="s">
        <v>8</v>
      </c>
      <c r="CN690" s="27" t="s">
        <v>7</v>
      </c>
      <c r="CQ690" s="27" t="s">
        <v>8</v>
      </c>
      <c r="CR690" s="27" t="s">
        <v>7</v>
      </c>
      <c r="CS690" s="27" t="s">
        <v>8</v>
      </c>
      <c r="CT690" s="27" t="s">
        <v>7</v>
      </c>
      <c r="CU690" s="27" t="s">
        <v>8</v>
      </c>
      <c r="CV690" s="27" t="s">
        <v>7</v>
      </c>
      <c r="CY690" s="27" t="s">
        <v>8</v>
      </c>
      <c r="DC690" s="27" t="s">
        <v>8</v>
      </c>
      <c r="DD690" s="27" t="s">
        <v>7</v>
      </c>
      <c r="DE690" s="27" t="s">
        <v>8</v>
      </c>
      <c r="DF690" s="27" t="s">
        <v>7</v>
      </c>
      <c r="DG690" s="27" t="s">
        <v>8</v>
      </c>
      <c r="DI690" s="27" t="s">
        <v>8</v>
      </c>
      <c r="DJ690" s="27" t="s">
        <v>7</v>
      </c>
      <c r="DK690" s="27" t="s">
        <v>8</v>
      </c>
      <c r="DL690" s="27" t="s">
        <v>7</v>
      </c>
      <c r="DM690" s="27" t="s">
        <v>8</v>
      </c>
      <c r="DP690" s="27" t="s">
        <v>7</v>
      </c>
      <c r="DQ690" s="27" t="s">
        <v>8</v>
      </c>
    </row>
    <row r="691" spans="1:121" x14ac:dyDescent="0.25">
      <c r="A691" s="7">
        <v>0.12752112538650529</v>
      </c>
      <c r="B691"/>
      <c r="C691"/>
      <c r="D691"/>
      <c r="E691"/>
      <c r="BV691" s="27" t="s">
        <v>7</v>
      </c>
      <c r="CA691" s="27" t="s">
        <v>8</v>
      </c>
      <c r="CB691" s="27" t="s">
        <v>7</v>
      </c>
      <c r="CC691" s="27" t="s">
        <v>8</v>
      </c>
      <c r="CD691" s="27" t="s">
        <v>7</v>
      </c>
      <c r="CE691" s="27" t="s">
        <v>8</v>
      </c>
      <c r="CF691" s="27" t="s">
        <v>7</v>
      </c>
      <c r="CG691" s="27" t="s">
        <v>8</v>
      </c>
      <c r="CH691" s="27" t="s">
        <v>7</v>
      </c>
      <c r="CI691" s="27" t="s">
        <v>8</v>
      </c>
      <c r="CJ691" s="27" t="s">
        <v>7</v>
      </c>
      <c r="CK691" s="27" t="s">
        <v>8</v>
      </c>
      <c r="CL691" s="27" t="s">
        <v>7</v>
      </c>
      <c r="CM691" s="27" t="s">
        <v>8</v>
      </c>
      <c r="CN691" s="27" t="s">
        <v>7</v>
      </c>
      <c r="CQ691" s="27" t="s">
        <v>8</v>
      </c>
      <c r="CR691" s="27" t="s">
        <v>7</v>
      </c>
      <c r="CS691" s="27" t="s">
        <v>8</v>
      </c>
      <c r="CT691" s="27" t="s">
        <v>7</v>
      </c>
      <c r="CU691" s="27" t="s">
        <v>8</v>
      </c>
      <c r="CV691" s="27" t="s">
        <v>7</v>
      </c>
      <c r="CY691" s="27" t="s">
        <v>8</v>
      </c>
      <c r="CZ691" s="27" t="s">
        <v>7</v>
      </c>
      <c r="DC691" s="27" t="s">
        <v>8</v>
      </c>
      <c r="DD691" s="27" t="s">
        <v>7</v>
      </c>
      <c r="DE691" s="27" t="s">
        <v>8</v>
      </c>
      <c r="DF691" s="27" t="s">
        <v>7</v>
      </c>
      <c r="DG691" s="27" t="s">
        <v>8</v>
      </c>
      <c r="DH691" s="27" t="s">
        <v>7</v>
      </c>
      <c r="DI691" s="27" t="s">
        <v>8</v>
      </c>
      <c r="DJ691" s="27" t="s">
        <v>7</v>
      </c>
      <c r="DL691" s="27" t="s">
        <v>7</v>
      </c>
      <c r="DP691" s="27" t="s">
        <v>7</v>
      </c>
      <c r="DQ691" s="27" t="s">
        <v>8</v>
      </c>
    </row>
    <row r="692" spans="1:121" x14ac:dyDescent="0.25">
      <c r="A692" s="7">
        <v>0.12502071116324048</v>
      </c>
      <c r="B692"/>
      <c r="C692"/>
      <c r="D692"/>
      <c r="E692"/>
      <c r="BV692" s="27" t="s">
        <v>7</v>
      </c>
      <c r="CA692" s="27" t="s">
        <v>8</v>
      </c>
      <c r="CB692" s="27" t="s">
        <v>7</v>
      </c>
      <c r="CC692" s="27" t="s">
        <v>8</v>
      </c>
      <c r="CD692" s="27" t="s">
        <v>7</v>
      </c>
      <c r="CE692" s="27" t="s">
        <v>8</v>
      </c>
      <c r="CF692" s="27" t="s">
        <v>7</v>
      </c>
      <c r="CG692" s="27" t="s">
        <v>8</v>
      </c>
      <c r="CH692" s="27" t="s">
        <v>7</v>
      </c>
      <c r="CI692" s="27" t="s">
        <v>8</v>
      </c>
      <c r="CJ692" s="27" t="s">
        <v>7</v>
      </c>
      <c r="CK692" s="27" t="s">
        <v>8</v>
      </c>
      <c r="CL692" s="27" t="s">
        <v>7</v>
      </c>
      <c r="CN692" s="27" t="s">
        <v>7</v>
      </c>
      <c r="CO692" s="27" t="s">
        <v>8</v>
      </c>
      <c r="CQ692" s="27" t="s">
        <v>8</v>
      </c>
      <c r="CR692" s="27" t="s">
        <v>7</v>
      </c>
      <c r="CS692" s="27" t="s">
        <v>8</v>
      </c>
      <c r="CT692" s="27" t="s">
        <v>7</v>
      </c>
      <c r="CV692" s="27" t="s">
        <v>7</v>
      </c>
      <c r="CY692" s="27" t="s">
        <v>8</v>
      </c>
      <c r="CZ692" s="27" t="s">
        <v>7</v>
      </c>
      <c r="DC692" s="27" t="s">
        <v>8</v>
      </c>
      <c r="DD692" s="27" t="s">
        <v>7</v>
      </c>
      <c r="DE692" s="27" t="s">
        <v>8</v>
      </c>
      <c r="DF692" s="27" t="s">
        <v>7</v>
      </c>
      <c r="DG692" s="27" t="s">
        <v>8</v>
      </c>
      <c r="DH692" s="27" t="s">
        <v>7</v>
      </c>
      <c r="DI692" s="27" t="s">
        <v>8</v>
      </c>
      <c r="DP692" s="27" t="s">
        <v>7</v>
      </c>
    </row>
    <row r="693" spans="1:121" x14ac:dyDescent="0.25">
      <c r="A693" s="7">
        <v>0.1225693246698436</v>
      </c>
      <c r="B693"/>
      <c r="C693"/>
      <c r="D693"/>
      <c r="E693"/>
      <c r="BV693" s="27" t="s">
        <v>7</v>
      </c>
      <c r="BY693" s="27" t="s">
        <v>8</v>
      </c>
      <c r="CA693" s="27" t="s">
        <v>8</v>
      </c>
      <c r="CB693" s="27" t="s">
        <v>7</v>
      </c>
      <c r="CC693" s="27" t="s">
        <v>8</v>
      </c>
      <c r="CD693" s="27" t="s">
        <v>7</v>
      </c>
      <c r="CE693" s="27" t="s">
        <v>8</v>
      </c>
      <c r="CF693" s="27" t="s">
        <v>7</v>
      </c>
      <c r="CH693" s="27" t="s">
        <v>7</v>
      </c>
      <c r="CI693" s="27" t="s">
        <v>8</v>
      </c>
      <c r="CJ693" s="27" t="s">
        <v>7</v>
      </c>
      <c r="CN693" s="27" t="s">
        <v>7</v>
      </c>
      <c r="CO693" s="27" t="s">
        <v>8</v>
      </c>
      <c r="CP693" s="27" t="s">
        <v>7</v>
      </c>
      <c r="CQ693" s="27" t="s">
        <v>8</v>
      </c>
      <c r="CR693" s="27" t="s">
        <v>7</v>
      </c>
      <c r="CS693" s="27" t="s">
        <v>8</v>
      </c>
      <c r="CV693" s="27" t="s">
        <v>7</v>
      </c>
      <c r="CY693" s="27" t="s">
        <v>8</v>
      </c>
      <c r="CZ693" s="27" t="s">
        <v>7</v>
      </c>
      <c r="DC693" s="27" t="s">
        <v>8</v>
      </c>
      <c r="DD693" s="27" t="s">
        <v>7</v>
      </c>
      <c r="DF693" s="27" t="s">
        <v>7</v>
      </c>
      <c r="DG693" s="27" t="s">
        <v>8</v>
      </c>
      <c r="DH693" s="27" t="s">
        <v>7</v>
      </c>
      <c r="DI693" s="27" t="s">
        <v>8</v>
      </c>
    </row>
    <row r="694" spans="1:121" x14ac:dyDescent="0.25">
      <c r="A694" s="7">
        <v>0.12016600457827803</v>
      </c>
      <c r="B694"/>
      <c r="C694"/>
      <c r="D694"/>
      <c r="E694"/>
      <c r="BV694" s="27" t="s">
        <v>7</v>
      </c>
      <c r="BW694" s="27" t="s">
        <v>8</v>
      </c>
      <c r="BY694" s="27" t="s">
        <v>8</v>
      </c>
      <c r="BZ694" s="27" t="s">
        <v>7</v>
      </c>
      <c r="CA694" s="27" t="s">
        <v>8</v>
      </c>
      <c r="CB694" s="27" t="s">
        <v>7</v>
      </c>
      <c r="CD694" s="27" t="s">
        <v>7</v>
      </c>
      <c r="CE694" s="27" t="s">
        <v>8</v>
      </c>
      <c r="CH694" s="27" t="s">
        <v>7</v>
      </c>
      <c r="CI694" s="27" t="s">
        <v>8</v>
      </c>
      <c r="CN694" s="27" t="s">
        <v>7</v>
      </c>
      <c r="CO694" s="27" t="s">
        <v>8</v>
      </c>
      <c r="CP694" s="27" t="s">
        <v>7</v>
      </c>
      <c r="CQ694" s="27" t="s">
        <v>8</v>
      </c>
      <c r="CR694" s="27" t="s">
        <v>7</v>
      </c>
      <c r="CV694" s="27" t="s">
        <v>7</v>
      </c>
      <c r="CY694" s="27" t="s">
        <v>8</v>
      </c>
      <c r="CZ694" s="27" t="s">
        <v>7</v>
      </c>
      <c r="DA694" s="27" t="s">
        <v>8</v>
      </c>
      <c r="DC694" s="27" t="s">
        <v>8</v>
      </c>
      <c r="DF694" s="27" t="s">
        <v>7</v>
      </c>
      <c r="DG694" s="27" t="s">
        <v>8</v>
      </c>
      <c r="DH694" s="27" t="s">
        <v>7</v>
      </c>
      <c r="DI694" s="27" t="s">
        <v>8</v>
      </c>
    </row>
    <row r="695" spans="1:121" x14ac:dyDescent="0.25">
      <c r="A695" s="7">
        <v>0.1178098084100765</v>
      </c>
      <c r="B695"/>
      <c r="C695"/>
      <c r="D695"/>
      <c r="E695"/>
      <c r="BV695" s="27" t="s">
        <v>7</v>
      </c>
      <c r="BW695" s="27" t="s">
        <v>8</v>
      </c>
      <c r="BX695" s="27" t="s">
        <v>7</v>
      </c>
      <c r="BY695" s="27" t="s">
        <v>8</v>
      </c>
      <c r="BZ695" s="27" t="s">
        <v>7</v>
      </c>
      <c r="CA695" s="27" t="s">
        <v>8</v>
      </c>
      <c r="CD695" s="27" t="s">
        <v>7</v>
      </c>
      <c r="CH695" s="27" t="s">
        <v>7</v>
      </c>
      <c r="CI695" s="27" t="s">
        <v>8</v>
      </c>
      <c r="CN695" s="27" t="s">
        <v>7</v>
      </c>
      <c r="CO695" s="27" t="s">
        <v>8</v>
      </c>
      <c r="CP695" s="27" t="s">
        <v>7</v>
      </c>
      <c r="CQ695" s="27" t="s">
        <v>8</v>
      </c>
      <c r="CV695" s="27" t="s">
        <v>7</v>
      </c>
      <c r="CW695" s="27" t="s">
        <v>8</v>
      </c>
      <c r="CY695" s="27" t="s">
        <v>8</v>
      </c>
      <c r="CZ695" s="27" t="s">
        <v>7</v>
      </c>
      <c r="DA695" s="27" t="s">
        <v>8</v>
      </c>
      <c r="DB695" s="27" t="s">
        <v>7</v>
      </c>
      <c r="DC695" s="27" t="s">
        <v>8</v>
      </c>
      <c r="DF695" s="27" t="s">
        <v>7</v>
      </c>
      <c r="DG695" s="27" t="s">
        <v>8</v>
      </c>
      <c r="DH695" s="27" t="s">
        <v>7</v>
      </c>
      <c r="DI695" s="27" t="s">
        <v>8</v>
      </c>
    </row>
    <row r="696" spans="1:121" x14ac:dyDescent="0.25">
      <c r="A696" s="7">
        <v>0.11549981216674166</v>
      </c>
      <c r="B696"/>
      <c r="C696"/>
      <c r="D696"/>
      <c r="E696"/>
      <c r="BV696" s="27" t="s">
        <v>7</v>
      </c>
      <c r="BW696" s="27" t="s">
        <v>8</v>
      </c>
      <c r="BX696" s="27" t="s">
        <v>7</v>
      </c>
      <c r="BY696" s="27" t="s">
        <v>8</v>
      </c>
      <c r="BZ696" s="27" t="s">
        <v>7</v>
      </c>
      <c r="CA696" s="27" t="s">
        <v>8</v>
      </c>
      <c r="CH696" s="27" t="s">
        <v>7</v>
      </c>
      <c r="CI696" s="27" t="s">
        <v>8</v>
      </c>
      <c r="CN696" s="27" t="s">
        <v>7</v>
      </c>
      <c r="CO696" s="27" t="s">
        <v>8</v>
      </c>
      <c r="CP696" s="27" t="s">
        <v>7</v>
      </c>
      <c r="CQ696" s="27" t="s">
        <v>8</v>
      </c>
      <c r="CV696" s="27" t="s">
        <v>7</v>
      </c>
      <c r="CW696" s="27" t="s">
        <v>8</v>
      </c>
      <c r="CX696" s="27" t="s">
        <v>7</v>
      </c>
      <c r="CY696" s="27" t="s">
        <v>8</v>
      </c>
      <c r="CZ696" s="27" t="s">
        <v>7</v>
      </c>
      <c r="DA696" s="27" t="s">
        <v>8</v>
      </c>
      <c r="DB696" s="27" t="s">
        <v>7</v>
      </c>
      <c r="DC696" s="27" t="s">
        <v>8</v>
      </c>
      <c r="DF696" s="27" t="s">
        <v>7</v>
      </c>
      <c r="DG696" s="27" t="s">
        <v>8</v>
      </c>
      <c r="DH696" s="27" t="s">
        <v>7</v>
      </c>
    </row>
    <row r="697" spans="1:121" x14ac:dyDescent="0.25">
      <c r="A697" s="7">
        <v>0.11323510996739378</v>
      </c>
      <c r="B697"/>
      <c r="C697"/>
      <c r="D697"/>
      <c r="E697"/>
      <c r="BV697" s="27" t="s">
        <v>7</v>
      </c>
      <c r="BX697" s="27" t="s">
        <v>7</v>
      </c>
      <c r="BY697" s="27" t="s">
        <v>8</v>
      </c>
      <c r="BZ697" s="27" t="s">
        <v>7</v>
      </c>
      <c r="CH697" s="27" t="s">
        <v>7</v>
      </c>
      <c r="CI697" s="27" t="s">
        <v>8</v>
      </c>
      <c r="CN697" s="27" t="s">
        <v>7</v>
      </c>
      <c r="CO697" s="27" t="s">
        <v>8</v>
      </c>
      <c r="CP697" s="27" t="s">
        <v>7</v>
      </c>
      <c r="CV697" s="27" t="s">
        <v>7</v>
      </c>
      <c r="CW697" s="27" t="s">
        <v>8</v>
      </c>
      <c r="CX697" s="27" t="s">
        <v>7</v>
      </c>
      <c r="CY697" s="27" t="s">
        <v>8</v>
      </c>
      <c r="CZ697" s="27" t="s">
        <v>7</v>
      </c>
      <c r="DA697" s="27" t="s">
        <v>8</v>
      </c>
      <c r="DB697" s="27" t="s">
        <v>7</v>
      </c>
      <c r="DC697" s="27" t="s">
        <v>8</v>
      </c>
      <c r="DF697" s="27" t="s">
        <v>7</v>
      </c>
      <c r="DG697" s="27" t="s">
        <v>8</v>
      </c>
    </row>
    <row r="698" spans="1:121" x14ac:dyDescent="0.25">
      <c r="A698" s="7">
        <v>0.11101481369352331</v>
      </c>
      <c r="B698"/>
      <c r="C698"/>
      <c r="D698"/>
      <c r="E698"/>
      <c r="BX698" s="27" t="s">
        <v>7</v>
      </c>
      <c r="BY698" s="27" t="s">
        <v>8</v>
      </c>
      <c r="CH698" s="27" t="s">
        <v>7</v>
      </c>
      <c r="CI698" s="27" t="s">
        <v>8</v>
      </c>
      <c r="CN698" s="27" t="s">
        <v>7</v>
      </c>
      <c r="CV698" s="27" t="s">
        <v>7</v>
      </c>
      <c r="CW698" s="27" t="s">
        <v>8</v>
      </c>
      <c r="CX698" s="27" t="s">
        <v>7</v>
      </c>
      <c r="CZ698" s="27" t="s">
        <v>7</v>
      </c>
      <c r="DB698" s="27" t="s">
        <v>7</v>
      </c>
      <c r="DC698" s="27" t="s">
        <v>8</v>
      </c>
      <c r="DF698" s="27" t="s">
        <v>7</v>
      </c>
    </row>
    <row r="699" spans="1:121" x14ac:dyDescent="0.25">
      <c r="A699" s="7">
        <v>0.10883805264070913</v>
      </c>
      <c r="B699"/>
      <c r="C699"/>
      <c r="D699"/>
      <c r="E699"/>
      <c r="BX699" s="27" t="s">
        <v>7</v>
      </c>
      <c r="CH699" s="27" t="s">
        <v>7</v>
      </c>
      <c r="CI699" s="27" t="s">
        <v>8</v>
      </c>
      <c r="CV699" s="27" t="s">
        <v>7</v>
      </c>
      <c r="CW699" s="27" t="s">
        <v>8</v>
      </c>
      <c r="DB699" s="27" t="s">
        <v>7</v>
      </c>
      <c r="DC699" s="27" t="s">
        <v>8</v>
      </c>
    </row>
    <row r="700" spans="1:121" x14ac:dyDescent="0.25">
      <c r="A700" s="7">
        <v>0.10670397317716582</v>
      </c>
      <c r="B700"/>
      <c r="C700"/>
      <c r="D700"/>
      <c r="E700"/>
      <c r="CH700" s="27" t="s">
        <v>7</v>
      </c>
      <c r="CI700" s="27" t="s">
        <v>8</v>
      </c>
      <c r="CV700" s="27" t="s">
        <v>7</v>
      </c>
      <c r="DB700" s="27" t="s">
        <v>7</v>
      </c>
      <c r="DC700" s="27" t="s">
        <v>8</v>
      </c>
    </row>
    <row r="701" spans="1:121" x14ac:dyDescent="0.25">
      <c r="A701" s="7">
        <v>0.1046117384089861</v>
      </c>
      <c r="B701"/>
      <c r="C701"/>
      <c r="D701"/>
      <c r="E701"/>
      <c r="CH701" s="27" t="s">
        <v>7</v>
      </c>
      <c r="CI701" s="27" t="s">
        <v>8</v>
      </c>
      <c r="DB701" s="27" t="s">
        <v>7</v>
      </c>
    </row>
    <row r="702" spans="1:121" x14ac:dyDescent="0.25">
      <c r="A702" s="7">
        <v>0.10256052785194716</v>
      </c>
      <c r="B702"/>
      <c r="C702"/>
      <c r="D702"/>
      <c r="E702"/>
      <c r="CH702" s="27" t="s">
        <v>7</v>
      </c>
    </row>
    <row r="703" spans="1:121" x14ac:dyDescent="0.25">
      <c r="A703" s="7">
        <v>0.10054953710975212</v>
      </c>
      <c r="B703"/>
      <c r="C703"/>
      <c r="D703"/>
      <c r="E703"/>
    </row>
    <row r="704" spans="1:121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046" operator="equal">
      <formula>$U$1</formula>
    </cfRule>
    <cfRule type="cellIs" dxfId="89" priority="1047" operator="equal">
      <formula>$S$1</formula>
    </cfRule>
  </conditionalFormatting>
  <conditionalFormatting sqref="D27">
    <cfRule type="cellIs" dxfId="88" priority="1044" operator="equal">
      <formula>$S$1</formula>
    </cfRule>
    <cfRule type="cellIs" dxfId="87" priority="1045" operator="equal">
      <formula>$U$1</formula>
    </cfRule>
  </conditionalFormatting>
  <conditionalFormatting sqref="C164">
    <cfRule type="cellIs" dxfId="86" priority="1042" operator="equal">
      <formula>$U$1</formula>
    </cfRule>
    <cfRule type="cellIs" dxfId="85" priority="1043" operator="equal">
      <formula>$S$1</formula>
    </cfRule>
  </conditionalFormatting>
  <conditionalFormatting sqref="D164">
    <cfRule type="cellIs" dxfId="84" priority="1040" operator="equal">
      <formula>$S$1</formula>
    </cfRule>
    <cfRule type="cellIs" dxfId="83" priority="1041" operator="equal">
      <formula>$U$1</formula>
    </cfRule>
  </conditionalFormatting>
  <conditionalFormatting sqref="C55">
    <cfRule type="cellIs" dxfId="82" priority="1038" operator="equal">
      <formula>$U$1</formula>
    </cfRule>
    <cfRule type="cellIs" dxfId="81" priority="1039" operator="equal">
      <formula>$S$1</formula>
    </cfRule>
  </conditionalFormatting>
  <conditionalFormatting sqref="D55">
    <cfRule type="cellIs" dxfId="80" priority="1036" operator="equal">
      <formula>$S$1</formula>
    </cfRule>
    <cfRule type="cellIs" dxfId="79" priority="1037" operator="equal">
      <formula>$U$1</formula>
    </cfRule>
  </conditionalFormatting>
  <conditionalFormatting sqref="C89">
    <cfRule type="cellIs" dxfId="78" priority="1034" operator="equal">
      <formula>$U$1</formula>
    </cfRule>
    <cfRule type="cellIs" dxfId="77" priority="1035" operator="equal">
      <formula>$S$1</formula>
    </cfRule>
  </conditionalFormatting>
  <conditionalFormatting sqref="D89">
    <cfRule type="cellIs" dxfId="76" priority="1032" operator="equal">
      <formula>$S$1</formula>
    </cfRule>
    <cfRule type="cellIs" dxfId="75" priority="1033" operator="equal">
      <formula>$U$1</formula>
    </cfRule>
  </conditionalFormatting>
  <conditionalFormatting sqref="C136">
    <cfRule type="cellIs" dxfId="74" priority="1030" operator="equal">
      <formula>$U$1</formula>
    </cfRule>
    <cfRule type="cellIs" dxfId="73" priority="1031" operator="equal">
      <formula>$S$1</formula>
    </cfRule>
  </conditionalFormatting>
  <conditionalFormatting sqref="D136">
    <cfRule type="cellIs" dxfId="72" priority="1028" operator="equal">
      <formula>$S$1</formula>
    </cfRule>
    <cfRule type="cellIs" dxfId="71" priority="1029" operator="equal">
      <formula>$U$1</formula>
    </cfRule>
  </conditionalFormatting>
  <conditionalFormatting sqref="C1">
    <cfRule type="cellIs" dxfId="70" priority="1027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EQ241" sqref="EQ241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$A$240</v>
      </c>
      <c r="D111" s="1" t="str">
        <f>ADDRESS(C121-1,D121,1,1)</f>
        <v>$EQ$240</v>
      </c>
      <c r="E111"/>
    </row>
    <row r="112" spans="1:5" x14ac:dyDescent="0.25">
      <c r="A112" s="30">
        <v>515.50191262726139</v>
      </c>
      <c r="C112" s="1" t="str">
        <f>ADDRESS(C121,1,1,1)</f>
        <v>$A$241</v>
      </c>
      <c r="D112" s="1" t="str">
        <f>ADDRESS(C121,D121-1,1,1)</f>
        <v>$EP$241</v>
      </c>
      <c r="E112"/>
    </row>
    <row r="113" spans="1:5" x14ac:dyDescent="0.25">
      <c r="A113" s="30">
        <v>490.95420250215363</v>
      </c>
      <c r="C113" s="1" t="str">
        <f>ADDRESS(C121+1,1,1,1)</f>
        <v>$A$242</v>
      </c>
      <c r="D113" s="1" t="str">
        <f>ADDRESS(C121-1,D121+1,1,1)</f>
        <v>$ER$240</v>
      </c>
    </row>
    <row r="114" spans="1:5" x14ac:dyDescent="0.25">
      <c r="A114" s="30">
        <v>467.57543095443202</v>
      </c>
      <c r="C114" s="1" t="str">
        <f>ADDRESS(C121,D121,1,1)</f>
        <v>$EQ$241</v>
      </c>
      <c r="D114" s="1" t="str">
        <f>ADDRESS(C121+1,D121+1,1,1)</f>
        <v>$ER$242</v>
      </c>
    </row>
    <row r="115" spans="1:5" x14ac:dyDescent="0.25">
      <c r="A115" s="30">
        <v>445.30993424231622</v>
      </c>
      <c r="C115" s="1" t="str">
        <f>ADDRESS(C121+1,D121,1,1)</f>
        <v>$EQ$242</v>
      </c>
    </row>
    <row r="116" spans="1:5" x14ac:dyDescent="0.25">
      <c r="A116" s="30">
        <v>424.10469927839637</v>
      </c>
      <c r="C116" s="1">
        <f>C117-1</f>
        <v>240</v>
      </c>
    </row>
    <row r="117" spans="1:5" x14ac:dyDescent="0.25">
      <c r="A117" s="30">
        <v>403.9092374079965</v>
      </c>
      <c r="C117" s="1">
        <f>C121</f>
        <v>241</v>
      </c>
      <c r="D117" s="1">
        <f>D121</f>
        <v>147</v>
      </c>
    </row>
    <row r="118" spans="1:5" x14ac:dyDescent="0.25">
      <c r="A118" s="30">
        <v>384.6754641980919</v>
      </c>
      <c r="C118" s="1">
        <f>C117+1</f>
        <v>242</v>
      </c>
      <c r="D118" s="1">
        <f>D117+1</f>
        <v>148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241</v>
      </c>
      <c r="D121" s="19">
        <v>147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R241</v>
      </c>
      <c r="D123" s="1" t="str">
        <f>"C"&amp;D121</f>
        <v>C147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0.952380952380952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134" x14ac:dyDescent="0.25">
      <c r="A209" s="30">
        <v>4.5380394939082018</v>
      </c>
      <c r="E209"/>
    </row>
    <row r="210" spans="1:134" x14ac:dyDescent="0.25">
      <c r="A210" s="30">
        <v>4.3219423751506678</v>
      </c>
      <c r="C210"/>
      <c r="E210"/>
    </row>
    <row r="211" spans="1:134" x14ac:dyDescent="0.25">
      <c r="A211" s="30">
        <v>4.1161355953815884</v>
      </c>
      <c r="E211"/>
    </row>
    <row r="212" spans="1:134" x14ac:dyDescent="0.25">
      <c r="A212" s="30">
        <v>3.9201291384586554</v>
      </c>
      <c r="E212"/>
    </row>
    <row r="213" spans="1:134" x14ac:dyDescent="0.25">
      <c r="A213" s="30">
        <v>3.7334563223415764</v>
      </c>
      <c r="E213"/>
    </row>
    <row r="214" spans="1:134" x14ac:dyDescent="0.25">
      <c r="A214" s="30">
        <v>3.5556726879443583</v>
      </c>
      <c r="E214"/>
    </row>
    <row r="215" spans="1:134" x14ac:dyDescent="0.25">
      <c r="A215" s="30">
        <v>3.3863549408993889</v>
      </c>
      <c r="E215"/>
      <c r="EA215" s="27" t="s">
        <v>8</v>
      </c>
    </row>
    <row r="216" spans="1:134" x14ac:dyDescent="0.25">
      <c r="A216" s="30">
        <v>3.2250999437137038</v>
      </c>
      <c r="E216"/>
      <c r="EA216" s="27" t="s">
        <v>8</v>
      </c>
      <c r="EB216" s="27" t="s">
        <v>7</v>
      </c>
    </row>
    <row r="217" spans="1:134" x14ac:dyDescent="0.25">
      <c r="A217" s="30">
        <v>3.0715237559178128</v>
      </c>
      <c r="E217"/>
      <c r="EA217" s="27" t="s">
        <v>8</v>
      </c>
      <c r="EB217" s="27" t="s">
        <v>7</v>
      </c>
    </row>
    <row r="218" spans="1:134" x14ac:dyDescent="0.25">
      <c r="A218" s="30">
        <v>2.9252607199217264</v>
      </c>
      <c r="E218"/>
      <c r="EA218" s="27" t="s">
        <v>8</v>
      </c>
      <c r="EB218" s="27" t="s">
        <v>7</v>
      </c>
      <c r="EC218" s="27" t="s">
        <v>8</v>
      </c>
    </row>
    <row r="219" spans="1:134" x14ac:dyDescent="0.25">
      <c r="A219" s="30">
        <v>2.7859625904016441</v>
      </c>
      <c r="E219"/>
      <c r="EA219" s="27" t="s">
        <v>8</v>
      </c>
      <c r="EB219" s="27" t="s">
        <v>7</v>
      </c>
      <c r="EC219" s="27" t="s">
        <v>8</v>
      </c>
      <c r="ED219" s="27" t="s">
        <v>7</v>
      </c>
    </row>
    <row r="220" spans="1:134" x14ac:dyDescent="0.25">
      <c r="A220" s="30">
        <v>2.6532977051444226</v>
      </c>
      <c r="E220"/>
      <c r="EA220" s="27" t="s">
        <v>8</v>
      </c>
      <c r="EB220" s="27" t="s">
        <v>7</v>
      </c>
      <c r="EC220" s="27" t="s">
        <v>8</v>
      </c>
      <c r="ED220" s="27" t="s">
        <v>7</v>
      </c>
    </row>
    <row r="221" spans="1:134" x14ac:dyDescent="0.25">
      <c r="A221" s="30">
        <v>2.5269501953756404</v>
      </c>
      <c r="E221"/>
      <c r="EA221" s="27" t="s">
        <v>8</v>
      </c>
      <c r="EB221" s="27" t="s">
        <v>7</v>
      </c>
      <c r="EC221" s="27" t="s">
        <v>8</v>
      </c>
      <c r="ED221" s="27" t="s">
        <v>7</v>
      </c>
    </row>
    <row r="222" spans="1:134" x14ac:dyDescent="0.25">
      <c r="A222" s="30">
        <v>2.4066192336910861</v>
      </c>
      <c r="E222"/>
      <c r="EA222" s="27" t="s">
        <v>8</v>
      </c>
      <c r="EB222" s="27" t="s">
        <v>7</v>
      </c>
      <c r="EC222" s="27" t="s">
        <v>8</v>
      </c>
      <c r="ED222" s="27" t="s">
        <v>7</v>
      </c>
    </row>
    <row r="223" spans="1:134" x14ac:dyDescent="0.25">
      <c r="A223" s="30">
        <v>2.2920183178010345</v>
      </c>
      <c r="E223"/>
      <c r="EA223" s="27" t="s">
        <v>8</v>
      </c>
      <c r="EB223" s="27" t="s">
        <v>7</v>
      </c>
      <c r="EC223" s="27" t="s">
        <v>8</v>
      </c>
      <c r="ED223" s="27" t="s">
        <v>7</v>
      </c>
    </row>
    <row r="224" spans="1:134" x14ac:dyDescent="0.25">
      <c r="A224" s="30">
        <v>2.1828745883819374</v>
      </c>
      <c r="E224"/>
      <c r="EA224" s="27" t="s">
        <v>8</v>
      </c>
      <c r="EB224" s="27" t="s">
        <v>7</v>
      </c>
      <c r="EC224" s="27" t="s">
        <v>8</v>
      </c>
      <c r="ED224" s="27" t="s">
        <v>7</v>
      </c>
    </row>
    <row r="225" spans="1:146" x14ac:dyDescent="0.25">
      <c r="A225" s="30">
        <v>2.0789281794113688</v>
      </c>
      <c r="E225"/>
      <c r="EA225" s="27" t="s">
        <v>8</v>
      </c>
      <c r="EB225" s="27" t="s">
        <v>7</v>
      </c>
      <c r="EC225" s="27" t="s">
        <v>8</v>
      </c>
      <c r="ED225" s="27" t="s">
        <v>7</v>
      </c>
    </row>
    <row r="226" spans="1:146" x14ac:dyDescent="0.25">
      <c r="A226" s="30">
        <v>1.9799315994393987</v>
      </c>
      <c r="E226"/>
      <c r="EA226" s="27" t="s">
        <v>8</v>
      </c>
      <c r="EB226" s="27" t="s">
        <v>7</v>
      </c>
      <c r="ED226" s="27" t="s">
        <v>7</v>
      </c>
      <c r="EE226" s="27" t="s">
        <v>8</v>
      </c>
    </row>
    <row r="227" spans="1:146" x14ac:dyDescent="0.25">
      <c r="A227" s="30">
        <v>1.8856491423232367</v>
      </c>
      <c r="E227"/>
      <c r="EA227" s="27" t="s">
        <v>8</v>
      </c>
      <c r="ED227" s="27" t="s">
        <v>7</v>
      </c>
      <c r="EE227" s="27" t="s">
        <v>8</v>
      </c>
      <c r="EF227" s="27" t="s">
        <v>7</v>
      </c>
      <c r="EG227" s="27" t="s">
        <v>8</v>
      </c>
      <c r="EI227" s="27" t="s">
        <v>8</v>
      </c>
      <c r="EM227" s="27" t="s">
        <v>8</v>
      </c>
    </row>
    <row r="228" spans="1:146" x14ac:dyDescent="0.25">
      <c r="A228" s="30">
        <v>1.7958563260221301</v>
      </c>
      <c r="C228" s="7"/>
      <c r="D228"/>
      <c r="E228"/>
      <c r="EA228" s="27" t="s">
        <v>8</v>
      </c>
      <c r="ED228" s="27" t="s">
        <v>7</v>
      </c>
      <c r="EE228" s="27" t="s">
        <v>8</v>
      </c>
      <c r="EF228" s="27" t="s">
        <v>7</v>
      </c>
      <c r="EG228" s="27" t="s">
        <v>8</v>
      </c>
      <c r="EH228" s="27" t="s">
        <v>7</v>
      </c>
      <c r="EI228" s="27" t="s">
        <v>8</v>
      </c>
      <c r="EJ228" s="27" t="s">
        <v>7</v>
      </c>
      <c r="EM228" s="27" t="s">
        <v>8</v>
      </c>
      <c r="EN228" s="27" t="s">
        <v>7</v>
      </c>
    </row>
    <row r="229" spans="1:146" x14ac:dyDescent="0.25">
      <c r="A229" s="30">
        <v>1.7103393581163142</v>
      </c>
      <c r="E229"/>
      <c r="EA229" s="27" t="s">
        <v>8</v>
      </c>
      <c r="ED229" s="27" t="s">
        <v>7</v>
      </c>
      <c r="EE229" s="27" t="s">
        <v>8</v>
      </c>
      <c r="EF229" s="27" t="s">
        <v>7</v>
      </c>
      <c r="EG229" s="27" t="s">
        <v>8</v>
      </c>
      <c r="EH229" s="27" t="s">
        <v>7</v>
      </c>
      <c r="EI229" s="27" t="s">
        <v>8</v>
      </c>
      <c r="EJ229" s="27" t="s">
        <v>7</v>
      </c>
      <c r="EM229" s="27" t="s">
        <v>8</v>
      </c>
      <c r="EN229" s="27" t="s">
        <v>7</v>
      </c>
      <c r="EO229" s="27" t="s">
        <v>8</v>
      </c>
    </row>
    <row r="230" spans="1:146" x14ac:dyDescent="0.25">
      <c r="A230" s="30">
        <v>1.628894626777442</v>
      </c>
      <c r="E230"/>
      <c r="EA230" s="27" t="s">
        <v>8</v>
      </c>
      <c r="ED230" s="27" t="s">
        <v>7</v>
      </c>
      <c r="EE230" s="27" t="s">
        <v>8</v>
      </c>
      <c r="EF230" s="27" t="s">
        <v>7</v>
      </c>
      <c r="EG230" s="27" t="s">
        <v>8</v>
      </c>
      <c r="EH230" s="27" t="s">
        <v>7</v>
      </c>
      <c r="EJ230" s="27" t="s">
        <v>7</v>
      </c>
      <c r="EM230" s="27" t="s">
        <v>8</v>
      </c>
      <c r="EN230" s="27" t="s">
        <v>7</v>
      </c>
      <c r="EO230" s="27" t="s">
        <v>8</v>
      </c>
      <c r="EP230" s="27" t="s">
        <v>7</v>
      </c>
    </row>
    <row r="231" spans="1:146" x14ac:dyDescent="0.25">
      <c r="A231" s="30">
        <v>1.5513282159785162</v>
      </c>
      <c r="C231"/>
      <c r="D231"/>
      <c r="E231"/>
      <c r="DQ231" s="27" t="s">
        <v>8</v>
      </c>
      <c r="EA231" s="27" t="s">
        <v>8</v>
      </c>
      <c r="ED231" s="27" t="s">
        <v>7</v>
      </c>
      <c r="EE231" s="27" t="s">
        <v>8</v>
      </c>
      <c r="EF231" s="27" t="s">
        <v>7</v>
      </c>
      <c r="EG231" s="27" t="s">
        <v>8</v>
      </c>
      <c r="EJ231" s="27" t="s">
        <v>7</v>
      </c>
      <c r="EK231" s="27" t="s">
        <v>8</v>
      </c>
      <c r="EM231" s="27" t="s">
        <v>8</v>
      </c>
      <c r="EN231" s="27" t="s">
        <v>7</v>
      </c>
      <c r="EO231" s="27" t="s">
        <v>8</v>
      </c>
      <c r="EP231" s="27" t="s">
        <v>7</v>
      </c>
    </row>
    <row r="232" spans="1:146" x14ac:dyDescent="0.25">
      <c r="A232" s="30">
        <v>1.477455443789063</v>
      </c>
      <c r="E232"/>
      <c r="DQ232" s="27" t="s">
        <v>8</v>
      </c>
      <c r="DR232" s="27" t="s">
        <v>7</v>
      </c>
      <c r="EA232" s="27" t="s">
        <v>8</v>
      </c>
      <c r="ED232" s="27" t="s">
        <v>7</v>
      </c>
      <c r="EE232" s="27" t="s">
        <v>8</v>
      </c>
      <c r="EF232" s="27" t="s">
        <v>7</v>
      </c>
      <c r="EG232" s="27" t="s">
        <v>8</v>
      </c>
      <c r="EJ232" s="27" t="s">
        <v>7</v>
      </c>
      <c r="EK232" s="27" t="s">
        <v>8</v>
      </c>
      <c r="EL232" s="27" t="s">
        <v>7</v>
      </c>
      <c r="EM232" s="27" t="s">
        <v>8</v>
      </c>
      <c r="EN232" s="27" t="s">
        <v>7</v>
      </c>
      <c r="EP232" s="27" t="s">
        <v>7</v>
      </c>
    </row>
    <row r="233" spans="1:146" x14ac:dyDescent="0.25">
      <c r="A233" s="30">
        <v>1.4071004226562505</v>
      </c>
      <c r="E233"/>
      <c r="DQ233" s="27" t="s">
        <v>8</v>
      </c>
      <c r="DR233" s="27" t="s">
        <v>7</v>
      </c>
      <c r="EA233" s="27" t="s">
        <v>8</v>
      </c>
      <c r="ED233" s="27" t="s">
        <v>7</v>
      </c>
      <c r="EF233" s="27" t="s">
        <v>7</v>
      </c>
      <c r="EJ233" s="27" t="s">
        <v>7</v>
      </c>
      <c r="EK233" s="27" t="s">
        <v>8</v>
      </c>
      <c r="EL233" s="27" t="s">
        <v>7</v>
      </c>
      <c r="EM233" s="27" t="s">
        <v>8</v>
      </c>
      <c r="EP233" s="27" t="s">
        <v>7</v>
      </c>
    </row>
    <row r="234" spans="1:146" x14ac:dyDescent="0.25">
      <c r="A234" s="30">
        <v>1.3400956406250004</v>
      </c>
      <c r="E234"/>
      <c r="DQ234" s="27" t="s">
        <v>8</v>
      </c>
      <c r="DR234" s="27" t="s">
        <v>7</v>
      </c>
      <c r="EA234" s="27" t="s">
        <v>8</v>
      </c>
      <c r="EJ234" s="27" t="s">
        <v>7</v>
      </c>
      <c r="EL234" s="27" t="s">
        <v>7</v>
      </c>
      <c r="EP234" s="27" t="s">
        <v>7</v>
      </c>
    </row>
    <row r="235" spans="1:146" x14ac:dyDescent="0.25">
      <c r="A235" s="30">
        <v>1.2762815625000004</v>
      </c>
      <c r="C235"/>
      <c r="E235"/>
      <c r="DQ235" s="27" t="s">
        <v>8</v>
      </c>
      <c r="DR235" s="27" t="s">
        <v>7</v>
      </c>
      <c r="DW235" s="27" t="s">
        <v>8</v>
      </c>
      <c r="DY235" s="27" t="s">
        <v>8</v>
      </c>
      <c r="EA235" s="27" t="s">
        <v>8</v>
      </c>
      <c r="EP235" s="27" t="s">
        <v>7</v>
      </c>
    </row>
    <row r="236" spans="1:146" x14ac:dyDescent="0.25">
      <c r="A236" s="30">
        <v>1.2155062500000002</v>
      </c>
      <c r="E236"/>
      <c r="DQ236" s="27" t="s">
        <v>8</v>
      </c>
      <c r="DR236" s="27" t="s">
        <v>7</v>
      </c>
      <c r="DW236" s="27" t="s">
        <v>8</v>
      </c>
      <c r="DX236" s="27" t="s">
        <v>7</v>
      </c>
      <c r="DY236" s="27" t="s">
        <v>8</v>
      </c>
      <c r="DZ236" s="27" t="s">
        <v>7</v>
      </c>
      <c r="EA236" s="27" t="s">
        <v>8</v>
      </c>
      <c r="EP236" s="27" t="s">
        <v>7</v>
      </c>
    </row>
    <row r="237" spans="1:146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DQ237" s="27" t="s">
        <v>8</v>
      </c>
      <c r="DR237" s="27" t="s">
        <v>7</v>
      </c>
      <c r="DU237" s="27" t="s">
        <v>8</v>
      </c>
      <c r="DW237" s="27" t="s">
        <v>8</v>
      </c>
      <c r="DX237" s="27" t="s">
        <v>7</v>
      </c>
      <c r="DY237" s="27" t="s">
        <v>8</v>
      </c>
      <c r="DZ237" s="27" t="s">
        <v>7</v>
      </c>
      <c r="EA237" s="27" t="s">
        <v>8</v>
      </c>
      <c r="EP237" s="27" t="s">
        <v>7</v>
      </c>
    </row>
    <row r="238" spans="1:146" x14ac:dyDescent="0.25">
      <c r="A238" s="30">
        <v>1.1025</v>
      </c>
      <c r="E238"/>
      <c r="DG238" s="27" t="s">
        <v>8</v>
      </c>
      <c r="DQ238" s="27" t="s">
        <v>8</v>
      </c>
      <c r="DR238" s="27" t="s">
        <v>7</v>
      </c>
      <c r="DU238" s="27" t="s">
        <v>8</v>
      </c>
      <c r="DV238" s="27" t="s">
        <v>7</v>
      </c>
      <c r="DW238" s="27" t="s">
        <v>8</v>
      </c>
      <c r="DX238" s="27" t="s">
        <v>7</v>
      </c>
      <c r="DY238" s="27" t="s">
        <v>8</v>
      </c>
      <c r="DZ238" s="27" t="s">
        <v>7</v>
      </c>
      <c r="EA238" s="27" t="s">
        <v>8</v>
      </c>
      <c r="EP238" s="27" t="s">
        <v>7</v>
      </c>
    </row>
    <row r="239" spans="1:146" x14ac:dyDescent="0.25">
      <c r="A239" s="30">
        <v>1.05</v>
      </c>
      <c r="E239"/>
      <c r="DG239" s="27" t="s">
        <v>8</v>
      </c>
      <c r="DH239" s="27" t="s">
        <v>7</v>
      </c>
      <c r="DQ239" s="27" t="s">
        <v>8</v>
      </c>
      <c r="DR239" s="27" t="s">
        <v>7</v>
      </c>
      <c r="DU239" s="27" t="s">
        <v>8</v>
      </c>
      <c r="DV239" s="27" t="s">
        <v>7</v>
      </c>
      <c r="DW239" s="27" t="s">
        <v>8</v>
      </c>
      <c r="DX239" s="27" t="s">
        <v>7</v>
      </c>
      <c r="DY239" s="27" t="s">
        <v>8</v>
      </c>
      <c r="DZ239" s="27" t="s">
        <v>7</v>
      </c>
      <c r="EA239" s="27" t="s">
        <v>8</v>
      </c>
      <c r="EP239" s="27" t="s">
        <v>7</v>
      </c>
    </row>
    <row r="240" spans="1:146" x14ac:dyDescent="0.25">
      <c r="A240" s="30">
        <v>1</v>
      </c>
      <c r="E240" s="29" t="s">
        <v>8</v>
      </c>
      <c r="BK240" s="27" t="s">
        <v>8</v>
      </c>
      <c r="DG240" s="27" t="s">
        <v>8</v>
      </c>
      <c r="DH240" s="27" t="s">
        <v>7</v>
      </c>
      <c r="DQ240" s="27" t="s">
        <v>8</v>
      </c>
      <c r="DR240" s="27" t="s">
        <v>7</v>
      </c>
      <c r="DU240" s="27" t="s">
        <v>8</v>
      </c>
      <c r="DV240" s="27" t="s">
        <v>7</v>
      </c>
      <c r="DW240" s="27" t="s">
        <v>8</v>
      </c>
      <c r="DX240" s="27" t="s">
        <v>7</v>
      </c>
      <c r="DY240" s="27" t="s">
        <v>8</v>
      </c>
      <c r="DZ240" s="27" t="s">
        <v>7</v>
      </c>
      <c r="EP240" s="27" t="s">
        <v>7</v>
      </c>
    </row>
    <row r="241" spans="1:147" x14ac:dyDescent="0.25">
      <c r="A241" s="30">
        <v>0.952380952380952</v>
      </c>
      <c r="B241"/>
      <c r="C241"/>
      <c r="D241"/>
      <c r="E241"/>
      <c r="F241" s="27" t="s">
        <v>7</v>
      </c>
      <c r="BK241" s="27" t="s">
        <v>8</v>
      </c>
      <c r="BL241" s="27" t="s">
        <v>7</v>
      </c>
      <c r="DG241" s="27" t="s">
        <v>8</v>
      </c>
      <c r="DH241" s="27" t="s">
        <v>7</v>
      </c>
      <c r="DQ241" s="27" t="s">
        <v>8</v>
      </c>
      <c r="DR241" s="27" t="s">
        <v>7</v>
      </c>
      <c r="DU241" s="27" t="s">
        <v>8</v>
      </c>
      <c r="DV241" s="27" t="s">
        <v>7</v>
      </c>
      <c r="DW241" s="27" t="s">
        <v>8</v>
      </c>
      <c r="DX241" s="27" t="s">
        <v>7</v>
      </c>
      <c r="DY241" s="27" t="s">
        <v>8</v>
      </c>
      <c r="EP241" s="27" t="s">
        <v>7</v>
      </c>
      <c r="EQ241" s="27" t="s">
        <v>8</v>
      </c>
    </row>
    <row r="242" spans="1:147" x14ac:dyDescent="0.25">
      <c r="A242" s="30">
        <v>0.90702947845804915</v>
      </c>
      <c r="B242"/>
      <c r="C242"/>
      <c r="D242"/>
      <c r="E242"/>
      <c r="F242" s="27" t="s">
        <v>7</v>
      </c>
      <c r="BK242" s="27" t="s">
        <v>8</v>
      </c>
      <c r="BL242" s="27" t="s">
        <v>7</v>
      </c>
      <c r="DG242" s="27" t="s">
        <v>8</v>
      </c>
      <c r="DH242" s="27" t="s">
        <v>7</v>
      </c>
      <c r="DK242" s="27" t="s">
        <v>8</v>
      </c>
      <c r="DQ242" s="27" t="s">
        <v>8</v>
      </c>
      <c r="DR242" s="27" t="s">
        <v>7</v>
      </c>
      <c r="DU242" s="27" t="s">
        <v>8</v>
      </c>
      <c r="DV242" s="27" t="s">
        <v>7</v>
      </c>
      <c r="DW242" s="27" t="s">
        <v>8</v>
      </c>
      <c r="DX242" s="27" t="s">
        <v>7</v>
      </c>
      <c r="EP242" s="27" t="s">
        <v>7</v>
      </c>
      <c r="EQ242" s="27" t="s">
        <v>8</v>
      </c>
    </row>
    <row r="243" spans="1:147" x14ac:dyDescent="0.25">
      <c r="A243" s="30">
        <v>0.86383759853147501</v>
      </c>
      <c r="B243"/>
      <c r="C243"/>
      <c r="D243"/>
      <c r="E243"/>
      <c r="F243" s="27" t="s">
        <v>7</v>
      </c>
      <c r="BK243" s="27" t="s">
        <v>8</v>
      </c>
      <c r="BL243" s="27" t="s">
        <v>7</v>
      </c>
      <c r="DG243" s="27" t="s">
        <v>8</v>
      </c>
      <c r="DH243" s="27" t="s">
        <v>7</v>
      </c>
      <c r="DI243" s="27" t="s">
        <v>8</v>
      </c>
      <c r="DK243" s="27" t="s">
        <v>8</v>
      </c>
      <c r="DL243" s="27" t="s">
        <v>7</v>
      </c>
      <c r="DQ243" s="27" t="s">
        <v>8</v>
      </c>
      <c r="DR243" s="27" t="s">
        <v>7</v>
      </c>
      <c r="DS243" s="27" t="s">
        <v>8</v>
      </c>
      <c r="DU243" s="27" t="s">
        <v>8</v>
      </c>
      <c r="DV243" s="27" t="s">
        <v>7</v>
      </c>
      <c r="DW243" s="27" t="s">
        <v>8</v>
      </c>
      <c r="EP243" s="27" t="s">
        <v>7</v>
      </c>
      <c r="EQ243" s="27" t="s">
        <v>8</v>
      </c>
    </row>
    <row r="244" spans="1:147" x14ac:dyDescent="0.25">
      <c r="A244" s="30">
        <v>0.82270247479188063</v>
      </c>
      <c r="B244"/>
      <c r="C244"/>
      <c r="D244"/>
      <c r="E244"/>
      <c r="F244" s="27" t="s">
        <v>7</v>
      </c>
      <c r="BK244" s="27" t="s">
        <v>8</v>
      </c>
      <c r="BL244" s="27" t="s">
        <v>7</v>
      </c>
      <c r="BM244" s="27" t="s">
        <v>8</v>
      </c>
      <c r="BU244" s="27" t="s">
        <v>8</v>
      </c>
      <c r="DG244" s="27" t="s">
        <v>8</v>
      </c>
      <c r="DH244" s="27" t="s">
        <v>7</v>
      </c>
      <c r="DI244" s="27" t="s">
        <v>8</v>
      </c>
      <c r="DJ244" s="27" t="s">
        <v>7</v>
      </c>
      <c r="DK244" s="27" t="s">
        <v>8</v>
      </c>
      <c r="DL244" s="27" t="s">
        <v>7</v>
      </c>
      <c r="DQ244" s="27" t="s">
        <v>8</v>
      </c>
      <c r="DR244" s="27" t="s">
        <v>7</v>
      </c>
      <c r="DS244" s="27" t="s">
        <v>8</v>
      </c>
      <c r="DT244" s="27" t="s">
        <v>7</v>
      </c>
      <c r="DU244" s="27" t="s">
        <v>8</v>
      </c>
      <c r="DV244" s="27" t="s">
        <v>7</v>
      </c>
      <c r="DW244" s="27" t="s">
        <v>8</v>
      </c>
      <c r="EP244" s="27" t="s">
        <v>7</v>
      </c>
      <c r="EQ244" s="27" t="s">
        <v>8</v>
      </c>
    </row>
    <row r="245" spans="1:147" x14ac:dyDescent="0.25">
      <c r="A245" s="30">
        <v>0.78352616646845741</v>
      </c>
      <c r="B245"/>
      <c r="C245"/>
      <c r="D245"/>
      <c r="E245"/>
      <c r="F245" s="27" t="s">
        <v>7</v>
      </c>
      <c r="BK245" s="27" t="s">
        <v>8</v>
      </c>
      <c r="BL245" s="27" t="s">
        <v>7</v>
      </c>
      <c r="BM245" s="27" t="s">
        <v>8</v>
      </c>
      <c r="BN245" s="27" t="s">
        <v>7</v>
      </c>
      <c r="BU245" s="27" t="s">
        <v>8</v>
      </c>
      <c r="BV245" s="27" t="s">
        <v>7</v>
      </c>
      <c r="DG245" s="27" t="s">
        <v>8</v>
      </c>
      <c r="DH245" s="27" t="s">
        <v>7</v>
      </c>
      <c r="DI245" s="27" t="s">
        <v>8</v>
      </c>
      <c r="DJ245" s="27" t="s">
        <v>7</v>
      </c>
      <c r="DK245" s="27" t="s">
        <v>8</v>
      </c>
      <c r="DL245" s="27" t="s">
        <v>7</v>
      </c>
      <c r="DQ245" s="27" t="s">
        <v>8</v>
      </c>
      <c r="DR245" s="27" t="s">
        <v>7</v>
      </c>
      <c r="DS245" s="27" t="s">
        <v>8</v>
      </c>
      <c r="DT245" s="27" t="s">
        <v>7</v>
      </c>
      <c r="DU245" s="27" t="s">
        <v>8</v>
      </c>
      <c r="DV245" s="27" t="s">
        <v>7</v>
      </c>
      <c r="EP245" s="27" t="s">
        <v>7</v>
      </c>
      <c r="EQ245" s="27" t="s">
        <v>8</v>
      </c>
    </row>
    <row r="246" spans="1:147" x14ac:dyDescent="0.25">
      <c r="A246" s="30">
        <v>0.74621539663662584</v>
      </c>
      <c r="B246"/>
      <c r="C246"/>
      <c r="D246"/>
      <c r="E246"/>
      <c r="F246" s="27" t="s">
        <v>7</v>
      </c>
      <c r="BI246" s="27" t="s">
        <v>8</v>
      </c>
      <c r="BK246" s="27" t="s">
        <v>8</v>
      </c>
      <c r="BL246" s="27" t="s">
        <v>7</v>
      </c>
      <c r="BM246" s="27" t="s">
        <v>8</v>
      </c>
      <c r="BN246" s="27" t="s">
        <v>7</v>
      </c>
      <c r="BO246" s="27" t="s">
        <v>8</v>
      </c>
      <c r="BU246" s="27" t="s">
        <v>8</v>
      </c>
      <c r="BV246" s="27" t="s">
        <v>7</v>
      </c>
      <c r="DG246" s="27" t="s">
        <v>8</v>
      </c>
      <c r="DH246" s="27" t="s">
        <v>7</v>
      </c>
      <c r="DI246" s="27" t="s">
        <v>8</v>
      </c>
      <c r="DJ246" s="27" t="s">
        <v>7</v>
      </c>
      <c r="DL246" s="27" t="s">
        <v>7</v>
      </c>
      <c r="DQ246" s="27" t="s">
        <v>8</v>
      </c>
      <c r="DR246" s="27" t="s">
        <v>7</v>
      </c>
      <c r="DT246" s="27" t="s">
        <v>7</v>
      </c>
      <c r="DU246" s="27" t="s">
        <v>8</v>
      </c>
      <c r="EP246" s="27" t="s">
        <v>7</v>
      </c>
      <c r="EQ246" s="27" t="s">
        <v>8</v>
      </c>
    </row>
    <row r="247" spans="1:147" x14ac:dyDescent="0.25">
      <c r="A247" s="30">
        <v>0.71068133013011958</v>
      </c>
      <c r="B247"/>
      <c r="C247"/>
      <c r="D247"/>
      <c r="E247"/>
      <c r="F247" s="27" t="s">
        <v>7</v>
      </c>
      <c r="BI247" s="27" t="s">
        <v>8</v>
      </c>
      <c r="BJ247" s="27" t="s">
        <v>7</v>
      </c>
      <c r="BK247" s="27" t="s">
        <v>8</v>
      </c>
      <c r="BL247" s="27" t="s">
        <v>7</v>
      </c>
      <c r="BM247" s="27" t="s">
        <v>8</v>
      </c>
      <c r="BN247" s="27" t="s">
        <v>7</v>
      </c>
      <c r="BO247" s="27" t="s">
        <v>8</v>
      </c>
      <c r="BP247" s="27" t="s">
        <v>7</v>
      </c>
      <c r="BU247" s="27" t="s">
        <v>8</v>
      </c>
      <c r="BV247" s="27" t="s">
        <v>7</v>
      </c>
      <c r="DG247" s="27" t="s">
        <v>8</v>
      </c>
      <c r="DH247" s="27" t="s">
        <v>7</v>
      </c>
      <c r="DL247" s="27" t="s">
        <v>7</v>
      </c>
      <c r="DQ247" s="27" t="s">
        <v>8</v>
      </c>
      <c r="DT247" s="27" t="s">
        <v>7</v>
      </c>
      <c r="EP247" s="27" t="s">
        <v>7</v>
      </c>
    </row>
    <row r="248" spans="1:147" x14ac:dyDescent="0.25">
      <c r="A248" s="30">
        <v>0.676839362028685</v>
      </c>
      <c r="B248"/>
      <c r="C248"/>
      <c r="D248"/>
      <c r="E248"/>
      <c r="F248" s="27" t="s">
        <v>7</v>
      </c>
      <c r="BI248" s="27" t="s">
        <v>8</v>
      </c>
      <c r="BJ248" s="27" t="s">
        <v>7</v>
      </c>
      <c r="BK248" s="27" t="s">
        <v>8</v>
      </c>
      <c r="BL248" s="27" t="s">
        <v>7</v>
      </c>
      <c r="BN248" s="27" t="s">
        <v>7</v>
      </c>
      <c r="BO248" s="27" t="s">
        <v>8</v>
      </c>
      <c r="BP248" s="27" t="s">
        <v>7</v>
      </c>
      <c r="BU248" s="27" t="s">
        <v>8</v>
      </c>
      <c r="BV248" s="27" t="s">
        <v>7</v>
      </c>
      <c r="DG248" s="27" t="s">
        <v>8</v>
      </c>
      <c r="DL248" s="27" t="s">
        <v>7</v>
      </c>
      <c r="DQ248" s="27" t="s">
        <v>8</v>
      </c>
    </row>
    <row r="249" spans="1:147" x14ac:dyDescent="0.25">
      <c r="A249" s="30">
        <v>0.64460891621779492</v>
      </c>
      <c r="B249"/>
      <c r="C249"/>
      <c r="D249"/>
      <c r="E249"/>
      <c r="F249" s="27" t="s">
        <v>7</v>
      </c>
      <c r="BI249" s="27" t="s">
        <v>8</v>
      </c>
      <c r="BJ249" s="27" t="s">
        <v>7</v>
      </c>
      <c r="BK249" s="27" t="s">
        <v>8</v>
      </c>
      <c r="BN249" s="27" t="s">
        <v>7</v>
      </c>
      <c r="BO249" s="27" t="s">
        <v>8</v>
      </c>
      <c r="BP249" s="27" t="s">
        <v>7</v>
      </c>
      <c r="BQ249" s="27" t="s">
        <v>8</v>
      </c>
      <c r="BU249" s="27" t="s">
        <v>8</v>
      </c>
      <c r="BV249" s="27" t="s">
        <v>7</v>
      </c>
      <c r="DG249" s="27" t="s">
        <v>8</v>
      </c>
      <c r="DL249" s="27" t="s">
        <v>7</v>
      </c>
      <c r="DM249" s="27" t="s">
        <v>8</v>
      </c>
      <c r="DO249" s="27" t="s">
        <v>8</v>
      </c>
      <c r="DQ249" s="27" t="s">
        <v>8</v>
      </c>
    </row>
    <row r="250" spans="1:147" x14ac:dyDescent="0.25">
      <c r="A250" s="30">
        <v>0.61391325354075688</v>
      </c>
      <c r="B250"/>
      <c r="C250"/>
      <c r="D250"/>
      <c r="E250"/>
      <c r="F250" s="27" t="s">
        <v>7</v>
      </c>
      <c r="BI250" s="27" t="s">
        <v>8</v>
      </c>
      <c r="BJ250" s="27" t="s">
        <v>7</v>
      </c>
      <c r="BK250" s="27" t="s">
        <v>8</v>
      </c>
      <c r="BN250" s="27" t="s">
        <v>7</v>
      </c>
      <c r="BO250" s="27" t="s">
        <v>8</v>
      </c>
      <c r="BP250" s="27" t="s">
        <v>7</v>
      </c>
      <c r="BQ250" s="27" t="s">
        <v>8</v>
      </c>
      <c r="BR250" s="27" t="s">
        <v>7</v>
      </c>
      <c r="BS250" s="27" t="s">
        <v>8</v>
      </c>
      <c r="BU250" s="27" t="s">
        <v>8</v>
      </c>
      <c r="BV250" s="27" t="s">
        <v>7</v>
      </c>
      <c r="BW250" s="27" t="s">
        <v>8</v>
      </c>
      <c r="CC250" s="27" t="s">
        <v>8</v>
      </c>
      <c r="DG250" s="27" t="s">
        <v>8</v>
      </c>
      <c r="DL250" s="27" t="s">
        <v>7</v>
      </c>
      <c r="DM250" s="27" t="s">
        <v>8</v>
      </c>
      <c r="DN250" s="27" t="s">
        <v>7</v>
      </c>
      <c r="DO250" s="27" t="s">
        <v>8</v>
      </c>
      <c r="DP250" s="27" t="s">
        <v>7</v>
      </c>
      <c r="DQ250" s="27" t="s">
        <v>8</v>
      </c>
    </row>
    <row r="251" spans="1:147" x14ac:dyDescent="0.25">
      <c r="A251" s="30">
        <v>0.58467928908643485</v>
      </c>
      <c r="B251"/>
      <c r="C251"/>
      <c r="D251"/>
      <c r="E251"/>
      <c r="F251" s="27" t="s">
        <v>7</v>
      </c>
      <c r="BI251" s="27" t="s">
        <v>8</v>
      </c>
      <c r="BJ251" s="27" t="s">
        <v>7</v>
      </c>
      <c r="BK251" s="27" t="s">
        <v>8</v>
      </c>
      <c r="BN251" s="27" t="s">
        <v>7</v>
      </c>
      <c r="BO251" s="27" t="s">
        <v>8</v>
      </c>
      <c r="BP251" s="27" t="s">
        <v>7</v>
      </c>
      <c r="BQ251" s="27" t="s">
        <v>8</v>
      </c>
      <c r="BR251" s="27" t="s">
        <v>7</v>
      </c>
      <c r="BS251" s="27" t="s">
        <v>8</v>
      </c>
      <c r="BT251" s="27" t="s">
        <v>7</v>
      </c>
      <c r="BU251" s="27" t="s">
        <v>8</v>
      </c>
      <c r="BV251" s="27" t="s">
        <v>7</v>
      </c>
      <c r="BW251" s="27" t="s">
        <v>8</v>
      </c>
      <c r="BX251" s="27" t="s">
        <v>7</v>
      </c>
      <c r="CC251" s="27" t="s">
        <v>8</v>
      </c>
      <c r="CD251" s="27" t="s">
        <v>7</v>
      </c>
      <c r="DE251" s="27" t="s">
        <v>8</v>
      </c>
      <c r="DG251" s="27" t="s">
        <v>8</v>
      </c>
      <c r="DL251" s="27" t="s">
        <v>7</v>
      </c>
      <c r="DM251" s="27" t="s">
        <v>8</v>
      </c>
      <c r="DN251" s="27" t="s">
        <v>7</v>
      </c>
      <c r="DO251" s="27" t="s">
        <v>8</v>
      </c>
      <c r="DP251" s="27" t="s">
        <v>7</v>
      </c>
      <c r="DQ251" s="27" t="s">
        <v>8</v>
      </c>
    </row>
    <row r="252" spans="1:147" x14ac:dyDescent="0.25">
      <c r="A252" s="30">
        <v>0.55683741817755672</v>
      </c>
      <c r="B252"/>
      <c r="C252"/>
      <c r="D252"/>
      <c r="E252"/>
      <c r="F252" s="27" t="s">
        <v>7</v>
      </c>
      <c r="BI252" s="27" t="s">
        <v>8</v>
      </c>
      <c r="BJ252" s="27" t="s">
        <v>7</v>
      </c>
      <c r="BK252" s="27" t="s">
        <v>8</v>
      </c>
      <c r="BN252" s="27" t="s">
        <v>7</v>
      </c>
      <c r="BO252" s="27" t="s">
        <v>8</v>
      </c>
      <c r="BP252" s="27" t="s">
        <v>7</v>
      </c>
      <c r="BQ252" s="27" t="s">
        <v>8</v>
      </c>
      <c r="BR252" s="27" t="s">
        <v>7</v>
      </c>
      <c r="BS252" s="27" t="s">
        <v>8</v>
      </c>
      <c r="BT252" s="27" t="s">
        <v>7</v>
      </c>
      <c r="BU252" s="27" t="s">
        <v>8</v>
      </c>
      <c r="BV252" s="27" t="s">
        <v>7</v>
      </c>
      <c r="BW252" s="27" t="s">
        <v>8</v>
      </c>
      <c r="BX252" s="27" t="s">
        <v>7</v>
      </c>
      <c r="CC252" s="27" t="s">
        <v>8</v>
      </c>
      <c r="CD252" s="27" t="s">
        <v>7</v>
      </c>
      <c r="DE252" s="27" t="s">
        <v>8</v>
      </c>
      <c r="DF252" s="27" t="s">
        <v>7</v>
      </c>
      <c r="DG252" s="27" t="s">
        <v>8</v>
      </c>
      <c r="DL252" s="27" t="s">
        <v>7</v>
      </c>
      <c r="DM252" s="27" t="s">
        <v>8</v>
      </c>
      <c r="DN252" s="27" t="s">
        <v>7</v>
      </c>
      <c r="DP252" s="27" t="s">
        <v>7</v>
      </c>
      <c r="DQ252" s="27" t="s">
        <v>8</v>
      </c>
    </row>
    <row r="253" spans="1:147" x14ac:dyDescent="0.25">
      <c r="A253" s="30">
        <v>0.53032135064529184</v>
      </c>
      <c r="B253"/>
      <c r="C253"/>
      <c r="D253"/>
      <c r="E253"/>
      <c r="F253" s="27" t="s">
        <v>7</v>
      </c>
      <c r="BI253" s="27" t="s">
        <v>8</v>
      </c>
      <c r="BJ253" s="27" t="s">
        <v>7</v>
      </c>
      <c r="BK253" s="27" t="s">
        <v>8</v>
      </c>
      <c r="BN253" s="27" t="s">
        <v>7</v>
      </c>
      <c r="BO253" s="27" t="s">
        <v>8</v>
      </c>
      <c r="BP253" s="27" t="s">
        <v>7</v>
      </c>
      <c r="BQ253" s="27" t="s">
        <v>8</v>
      </c>
      <c r="BR253" s="27" t="s">
        <v>7</v>
      </c>
      <c r="BS253" s="27" t="s">
        <v>8</v>
      </c>
      <c r="BT253" s="27" t="s">
        <v>7</v>
      </c>
      <c r="BU253" s="27" t="s">
        <v>8</v>
      </c>
      <c r="BV253" s="27" t="s">
        <v>7</v>
      </c>
      <c r="BX253" s="27" t="s">
        <v>7</v>
      </c>
      <c r="BY253" s="27" t="s">
        <v>8</v>
      </c>
      <c r="CC253" s="27" t="s">
        <v>8</v>
      </c>
      <c r="CD253" s="27" t="s">
        <v>7</v>
      </c>
      <c r="DA253" s="27" t="s">
        <v>8</v>
      </c>
      <c r="DE253" s="27" t="s">
        <v>8</v>
      </c>
      <c r="DF253" s="27" t="s">
        <v>7</v>
      </c>
      <c r="DG253" s="27" t="s">
        <v>8</v>
      </c>
      <c r="DL253" s="27" t="s">
        <v>7</v>
      </c>
      <c r="DP253" s="27" t="s">
        <v>7</v>
      </c>
      <c r="DQ253" s="27" t="s">
        <v>8</v>
      </c>
    </row>
    <row r="254" spans="1:147" x14ac:dyDescent="0.25">
      <c r="A254" s="30">
        <v>0.50506795299551588</v>
      </c>
      <c r="B254"/>
      <c r="C254"/>
      <c r="D254"/>
      <c r="E254"/>
      <c r="F254" s="27" t="s">
        <v>7</v>
      </c>
      <c r="BI254" s="27" t="s">
        <v>8</v>
      </c>
      <c r="BJ254" s="27" t="s">
        <v>7</v>
      </c>
      <c r="BK254" s="27" t="s">
        <v>8</v>
      </c>
      <c r="BN254" s="27" t="s">
        <v>7</v>
      </c>
      <c r="BP254" s="27" t="s">
        <v>7</v>
      </c>
      <c r="BQ254" s="27" t="s">
        <v>8</v>
      </c>
      <c r="BR254" s="27" t="s">
        <v>7</v>
      </c>
      <c r="BS254" s="27" t="s">
        <v>8</v>
      </c>
      <c r="BT254" s="27" t="s">
        <v>7</v>
      </c>
      <c r="BU254" s="27" t="s">
        <v>8</v>
      </c>
      <c r="BX254" s="27" t="s">
        <v>7</v>
      </c>
      <c r="BY254" s="27" t="s">
        <v>8</v>
      </c>
      <c r="BZ254" s="27" t="s">
        <v>7</v>
      </c>
      <c r="CC254" s="27" t="s">
        <v>8</v>
      </c>
      <c r="CD254" s="27" t="s">
        <v>7</v>
      </c>
      <c r="DA254" s="27" t="s">
        <v>8</v>
      </c>
      <c r="DB254" s="27" t="s">
        <v>7</v>
      </c>
      <c r="DC254" s="27" t="s">
        <v>8</v>
      </c>
      <c r="DE254" s="27" t="s">
        <v>8</v>
      </c>
      <c r="DF254" s="27" t="s">
        <v>7</v>
      </c>
      <c r="DG254" s="27" t="s">
        <v>8</v>
      </c>
      <c r="DP254" s="27" t="s">
        <v>7</v>
      </c>
    </row>
    <row r="255" spans="1:147" x14ac:dyDescent="0.25">
      <c r="A255" s="30">
        <v>0.48101709809096732</v>
      </c>
      <c r="E255"/>
      <c r="F255" s="27" t="s">
        <v>7</v>
      </c>
      <c r="G255" s="27" t="s">
        <v>8</v>
      </c>
      <c r="BI255" s="27" t="s">
        <v>8</v>
      </c>
      <c r="BJ255" s="27" t="s">
        <v>7</v>
      </c>
      <c r="BP255" s="27" t="s">
        <v>7</v>
      </c>
      <c r="BR255" s="27" t="s">
        <v>7</v>
      </c>
      <c r="BS255" s="27" t="s">
        <v>8</v>
      </c>
      <c r="BT255" s="27" t="s">
        <v>7</v>
      </c>
      <c r="BU255" s="27" t="s">
        <v>8</v>
      </c>
      <c r="BX255" s="27" t="s">
        <v>7</v>
      </c>
      <c r="BY255" s="27" t="s">
        <v>8</v>
      </c>
      <c r="BZ255" s="27" t="s">
        <v>7</v>
      </c>
      <c r="CA255" s="27" t="s">
        <v>8</v>
      </c>
      <c r="CC255" s="27" t="s">
        <v>8</v>
      </c>
      <c r="CD255" s="27" t="s">
        <v>7</v>
      </c>
      <c r="CE255" s="27" t="s">
        <v>8</v>
      </c>
      <c r="DA255" s="27" t="s">
        <v>8</v>
      </c>
      <c r="DB255" s="27" t="s">
        <v>7</v>
      </c>
      <c r="DC255" s="27" t="s">
        <v>8</v>
      </c>
      <c r="DD255" s="27" t="s">
        <v>7</v>
      </c>
      <c r="DE255" s="27" t="s">
        <v>8</v>
      </c>
      <c r="DF255" s="27" t="s">
        <v>7</v>
      </c>
    </row>
    <row r="256" spans="1:147" x14ac:dyDescent="0.25">
      <c r="A256" s="30">
        <v>0.45811152199139726</v>
      </c>
      <c r="E256"/>
      <c r="F256" s="27" t="s">
        <v>7</v>
      </c>
      <c r="G256" s="27" t="s">
        <v>8</v>
      </c>
      <c r="H256" s="27" t="s">
        <v>7</v>
      </c>
      <c r="I256" s="27" t="s">
        <v>8</v>
      </c>
      <c r="BG256" s="27" t="s">
        <v>8</v>
      </c>
      <c r="BI256" s="27" t="s">
        <v>8</v>
      </c>
      <c r="BR256" s="27" t="s">
        <v>7</v>
      </c>
      <c r="BT256" s="27" t="s">
        <v>7</v>
      </c>
      <c r="BU256" s="27" t="s">
        <v>8</v>
      </c>
      <c r="BX256" s="27" t="s">
        <v>7</v>
      </c>
      <c r="BY256" s="27" t="s">
        <v>8</v>
      </c>
      <c r="BZ256" s="27" t="s">
        <v>7</v>
      </c>
      <c r="CA256" s="27" t="s">
        <v>8</v>
      </c>
      <c r="CB256" s="27" t="s">
        <v>7</v>
      </c>
      <c r="CC256" s="27" t="s">
        <v>8</v>
      </c>
      <c r="CD256" s="27" t="s">
        <v>7</v>
      </c>
      <c r="CE256" s="27" t="s">
        <v>8</v>
      </c>
      <c r="CF256" s="27" t="s">
        <v>7</v>
      </c>
      <c r="DA256" s="27" t="s">
        <v>8</v>
      </c>
      <c r="DB256" s="27" t="s">
        <v>7</v>
      </c>
      <c r="DC256" s="27" t="s">
        <v>8</v>
      </c>
      <c r="DD256" s="27" t="s">
        <v>7</v>
      </c>
      <c r="DE256" s="27" t="s">
        <v>8</v>
      </c>
    </row>
    <row r="257" spans="1:108" x14ac:dyDescent="0.25">
      <c r="A257" s="30">
        <v>0.43629668761085438</v>
      </c>
      <c r="B257"/>
      <c r="C257"/>
      <c r="D257"/>
      <c r="E257"/>
      <c r="F257" s="27" t="s">
        <v>7</v>
      </c>
      <c r="G257" s="27" t="s">
        <v>8</v>
      </c>
      <c r="H257" s="27" t="s">
        <v>7</v>
      </c>
      <c r="I257" s="27" t="s">
        <v>8</v>
      </c>
      <c r="J257" s="27" t="s">
        <v>7</v>
      </c>
      <c r="BC257" s="27" t="s">
        <v>8</v>
      </c>
      <c r="BG257" s="27" t="s">
        <v>8</v>
      </c>
      <c r="BH257" s="27" t="s">
        <v>7</v>
      </c>
      <c r="BI257" s="27" t="s">
        <v>8</v>
      </c>
      <c r="BT257" s="27" t="s">
        <v>7</v>
      </c>
      <c r="BU257" s="27" t="s">
        <v>8</v>
      </c>
      <c r="BX257" s="27" t="s">
        <v>7</v>
      </c>
      <c r="BZ257" s="27" t="s">
        <v>7</v>
      </c>
      <c r="CA257" s="27" t="s">
        <v>8</v>
      </c>
      <c r="CB257" s="27" t="s">
        <v>7</v>
      </c>
      <c r="CC257" s="27" t="s">
        <v>8</v>
      </c>
      <c r="CD257" s="27" t="s">
        <v>7</v>
      </c>
      <c r="CE257" s="27" t="s">
        <v>8</v>
      </c>
      <c r="CF257" s="27" t="s">
        <v>7</v>
      </c>
      <c r="CW257" s="27" t="s">
        <v>8</v>
      </c>
      <c r="DA257" s="27" t="s">
        <v>8</v>
      </c>
      <c r="DB257" s="27" t="s">
        <v>7</v>
      </c>
      <c r="DC257" s="27" t="s">
        <v>8</v>
      </c>
      <c r="DD257" s="27" t="s">
        <v>7</v>
      </c>
    </row>
    <row r="258" spans="1:108" x14ac:dyDescent="0.25">
      <c r="A258" s="30">
        <v>0.41552065486748019</v>
      </c>
      <c r="B258"/>
      <c r="C258"/>
      <c r="D258"/>
      <c r="E258"/>
      <c r="F258" s="27" t="s">
        <v>7</v>
      </c>
      <c r="G258" s="27" t="s">
        <v>8</v>
      </c>
      <c r="H258" s="27" t="s">
        <v>7</v>
      </c>
      <c r="I258" s="27" t="s">
        <v>8</v>
      </c>
      <c r="J258" s="27" t="s">
        <v>7</v>
      </c>
      <c r="AW258" s="27" t="s">
        <v>8</v>
      </c>
      <c r="BC258" s="27" t="s">
        <v>8</v>
      </c>
      <c r="BD258" s="27" t="s">
        <v>7</v>
      </c>
      <c r="BE258" s="27" t="s">
        <v>8</v>
      </c>
      <c r="BG258" s="27" t="s">
        <v>8</v>
      </c>
      <c r="BH258" s="27" t="s">
        <v>7</v>
      </c>
      <c r="BI258" s="27" t="s">
        <v>8</v>
      </c>
      <c r="BT258" s="27" t="s">
        <v>7</v>
      </c>
      <c r="BU258" s="27" t="s">
        <v>8</v>
      </c>
      <c r="BZ258" s="27" t="s">
        <v>7</v>
      </c>
      <c r="CA258" s="27" t="s">
        <v>8</v>
      </c>
      <c r="CB258" s="27" t="s">
        <v>7</v>
      </c>
      <c r="CC258" s="27" t="s">
        <v>8</v>
      </c>
      <c r="CD258" s="27" t="s">
        <v>7</v>
      </c>
      <c r="CE258" s="27" t="s">
        <v>8</v>
      </c>
      <c r="CF258" s="27" t="s">
        <v>7</v>
      </c>
      <c r="CG258" s="27" t="s">
        <v>8</v>
      </c>
      <c r="CW258" s="27" t="s">
        <v>8</v>
      </c>
      <c r="CX258" s="27" t="s">
        <v>7</v>
      </c>
      <c r="DA258" s="27" t="s">
        <v>8</v>
      </c>
      <c r="DB258" s="27" t="s">
        <v>7</v>
      </c>
      <c r="DC258" s="27" t="s">
        <v>8</v>
      </c>
    </row>
    <row r="259" spans="1:108" x14ac:dyDescent="0.25">
      <c r="A259" s="30">
        <v>0.39573395701664765</v>
      </c>
      <c r="B259"/>
      <c r="C259"/>
      <c r="D259"/>
      <c r="E259"/>
      <c r="F259" s="27" t="s">
        <v>7</v>
      </c>
      <c r="H259" s="27" t="s">
        <v>7</v>
      </c>
      <c r="I259" s="27" t="s">
        <v>8</v>
      </c>
      <c r="J259" s="27" t="s">
        <v>7</v>
      </c>
      <c r="AW259" s="27" t="s">
        <v>8</v>
      </c>
      <c r="AX259" s="27" t="s">
        <v>7</v>
      </c>
      <c r="BC259" s="27" t="s">
        <v>8</v>
      </c>
      <c r="BD259" s="27" t="s">
        <v>7</v>
      </c>
      <c r="BE259" s="27" t="s">
        <v>8</v>
      </c>
      <c r="BF259" s="27" t="s">
        <v>7</v>
      </c>
      <c r="BG259" s="27" t="s">
        <v>8</v>
      </c>
      <c r="BH259" s="27" t="s">
        <v>7</v>
      </c>
      <c r="BI259" s="27" t="s">
        <v>8</v>
      </c>
      <c r="BT259" s="27" t="s">
        <v>7</v>
      </c>
      <c r="BU259" s="27" t="s">
        <v>8</v>
      </c>
      <c r="BZ259" s="27" t="s">
        <v>7</v>
      </c>
      <c r="CA259" s="27" t="s">
        <v>8</v>
      </c>
      <c r="CB259" s="27" t="s">
        <v>7</v>
      </c>
      <c r="CC259" s="27" t="s">
        <v>8</v>
      </c>
      <c r="CD259" s="27" t="s">
        <v>7</v>
      </c>
      <c r="CF259" s="27" t="s">
        <v>7</v>
      </c>
      <c r="CG259" s="27" t="s">
        <v>8</v>
      </c>
      <c r="CH259" s="27" t="s">
        <v>7</v>
      </c>
      <c r="CW259" s="27" t="s">
        <v>8</v>
      </c>
      <c r="CX259" s="27" t="s">
        <v>7</v>
      </c>
      <c r="DA259" s="27" t="s">
        <v>8</v>
      </c>
      <c r="DB259" s="27" t="s">
        <v>7</v>
      </c>
    </row>
    <row r="260" spans="1:108" x14ac:dyDescent="0.25">
      <c r="A260" s="30">
        <v>0.37688948287299762</v>
      </c>
      <c r="B260"/>
      <c r="C260"/>
      <c r="D260"/>
      <c r="E260"/>
      <c r="H260" s="27" t="s">
        <v>7</v>
      </c>
      <c r="I260" s="27" t="s">
        <v>8</v>
      </c>
      <c r="J260" s="27" t="s">
        <v>7</v>
      </c>
      <c r="AW260" s="27" t="s">
        <v>8</v>
      </c>
      <c r="AX260" s="27" t="s">
        <v>7</v>
      </c>
      <c r="BC260" s="27" t="s">
        <v>8</v>
      </c>
      <c r="BD260" s="27" t="s">
        <v>7</v>
      </c>
      <c r="BE260" s="27" t="s">
        <v>8</v>
      </c>
      <c r="BF260" s="27" t="s">
        <v>7</v>
      </c>
      <c r="BG260" s="27" t="s">
        <v>8</v>
      </c>
      <c r="BH260" s="27" t="s">
        <v>7</v>
      </c>
      <c r="BT260" s="27" t="s">
        <v>7</v>
      </c>
      <c r="BZ260" s="27" t="s">
        <v>7</v>
      </c>
      <c r="CA260" s="27" t="s">
        <v>8</v>
      </c>
      <c r="CB260" s="27" t="s">
        <v>7</v>
      </c>
      <c r="CC260" s="27" t="s">
        <v>8</v>
      </c>
      <c r="CF260" s="27" t="s">
        <v>7</v>
      </c>
      <c r="CG260" s="27" t="s">
        <v>8</v>
      </c>
      <c r="CH260" s="27" t="s">
        <v>7</v>
      </c>
      <c r="CI260" s="27" t="s">
        <v>8</v>
      </c>
      <c r="CS260" s="27" t="s">
        <v>8</v>
      </c>
      <c r="CW260" s="27" t="s">
        <v>8</v>
      </c>
      <c r="CX260" s="27" t="s">
        <v>7</v>
      </c>
      <c r="DA260" s="27" t="s">
        <v>8</v>
      </c>
    </row>
    <row r="261" spans="1:108" x14ac:dyDescent="0.25">
      <c r="A261" s="30">
        <v>0.35894236464094997</v>
      </c>
      <c r="B261"/>
      <c r="C261"/>
      <c r="D261"/>
      <c r="E261"/>
      <c r="H261" s="27" t="s">
        <v>7</v>
      </c>
      <c r="I261" s="27" t="s">
        <v>8</v>
      </c>
      <c r="J261" s="27" t="s">
        <v>7</v>
      </c>
      <c r="K261" s="27" t="s">
        <v>8</v>
      </c>
      <c r="M261" s="27" t="s">
        <v>8</v>
      </c>
      <c r="AW261" s="27" t="s">
        <v>8</v>
      </c>
      <c r="AX261" s="27" t="s">
        <v>7</v>
      </c>
      <c r="BC261" s="27" t="s">
        <v>8</v>
      </c>
      <c r="BD261" s="27" t="s">
        <v>7</v>
      </c>
      <c r="BE261" s="27" t="s">
        <v>8</v>
      </c>
      <c r="BF261" s="27" t="s">
        <v>7</v>
      </c>
      <c r="BG261" s="27" t="s">
        <v>8</v>
      </c>
      <c r="BZ261" s="27" t="s">
        <v>7</v>
      </c>
      <c r="CA261" s="27" t="s">
        <v>8</v>
      </c>
      <c r="CB261" s="27" t="s">
        <v>7</v>
      </c>
      <c r="CC261" s="27" t="s">
        <v>8</v>
      </c>
      <c r="CF261" s="27" t="s">
        <v>7</v>
      </c>
      <c r="CG261" s="27" t="s">
        <v>8</v>
      </c>
      <c r="CH261" s="27" t="s">
        <v>7</v>
      </c>
      <c r="CI261" s="27" t="s">
        <v>8</v>
      </c>
      <c r="CJ261" s="27" t="s">
        <v>7</v>
      </c>
      <c r="CS261" s="27" t="s">
        <v>8</v>
      </c>
      <c r="CT261" s="27" t="s">
        <v>7</v>
      </c>
      <c r="CU261" s="27" t="s">
        <v>8</v>
      </c>
      <c r="CW261" s="27" t="s">
        <v>8</v>
      </c>
      <c r="CX261" s="27" t="s">
        <v>7</v>
      </c>
      <c r="CY261" s="27" t="s">
        <v>8</v>
      </c>
      <c r="DA261" s="27" t="s">
        <v>8</v>
      </c>
    </row>
    <row r="262" spans="1:108" x14ac:dyDescent="0.25">
      <c r="A262" s="30">
        <v>0.34184987108661891</v>
      </c>
      <c r="B262"/>
      <c r="C262"/>
      <c r="D262"/>
      <c r="E262"/>
      <c r="H262" s="27" t="s">
        <v>7</v>
      </c>
      <c r="I262" s="27" t="s">
        <v>8</v>
      </c>
      <c r="J262" s="27" t="s">
        <v>7</v>
      </c>
      <c r="K262" s="27" t="s">
        <v>8</v>
      </c>
      <c r="L262" s="27" t="s">
        <v>7</v>
      </c>
      <c r="M262" s="27" t="s">
        <v>8</v>
      </c>
      <c r="N262" s="27" t="s">
        <v>7</v>
      </c>
      <c r="S262" s="27" t="s">
        <v>8</v>
      </c>
      <c r="AW262" s="27" t="s">
        <v>8</v>
      </c>
      <c r="AX262" s="27" t="s">
        <v>7</v>
      </c>
      <c r="BC262" s="27" t="s">
        <v>8</v>
      </c>
      <c r="BD262" s="27" t="s">
        <v>7</v>
      </c>
      <c r="BE262" s="27" t="s">
        <v>8</v>
      </c>
      <c r="BF262" s="27" t="s">
        <v>7</v>
      </c>
      <c r="BZ262" s="27" t="s">
        <v>7</v>
      </c>
      <c r="CA262" s="27" t="s">
        <v>8</v>
      </c>
      <c r="CB262" s="27" t="s">
        <v>7</v>
      </c>
      <c r="CC262" s="27" t="s">
        <v>8</v>
      </c>
      <c r="CF262" s="27" t="s">
        <v>7</v>
      </c>
      <c r="CH262" s="27" t="s">
        <v>7</v>
      </c>
      <c r="CI262" s="27" t="s">
        <v>8</v>
      </c>
      <c r="CJ262" s="27" t="s">
        <v>7</v>
      </c>
      <c r="CQ262" s="27" t="s">
        <v>8</v>
      </c>
      <c r="CS262" s="27" t="s">
        <v>8</v>
      </c>
      <c r="CT262" s="27" t="s">
        <v>7</v>
      </c>
      <c r="CU262" s="27" t="s">
        <v>8</v>
      </c>
      <c r="CV262" s="27" t="s">
        <v>7</v>
      </c>
      <c r="CW262" s="27" t="s">
        <v>8</v>
      </c>
      <c r="CX262" s="27" t="s">
        <v>7</v>
      </c>
      <c r="CY262" s="27" t="s">
        <v>8</v>
      </c>
      <c r="CZ262" s="27" t="s">
        <v>7</v>
      </c>
      <c r="DA262" s="27" t="s">
        <v>8</v>
      </c>
    </row>
    <row r="263" spans="1:108" x14ac:dyDescent="0.25">
      <c r="A263" s="30">
        <v>0.32557130579677979</v>
      </c>
      <c r="B263"/>
      <c r="C263"/>
      <c r="D263"/>
      <c r="E263"/>
      <c r="H263" s="27" t="s">
        <v>7</v>
      </c>
      <c r="I263" s="27" t="s">
        <v>8</v>
      </c>
      <c r="J263" s="27" t="s">
        <v>7</v>
      </c>
      <c r="K263" s="27" t="s">
        <v>8</v>
      </c>
      <c r="L263" s="27" t="s">
        <v>7</v>
      </c>
      <c r="M263" s="27" t="s">
        <v>8</v>
      </c>
      <c r="N263" s="27" t="s">
        <v>7</v>
      </c>
      <c r="S263" s="27" t="s">
        <v>8</v>
      </c>
      <c r="T263" s="27" t="s">
        <v>7</v>
      </c>
      <c r="AW263" s="27" t="s">
        <v>8</v>
      </c>
      <c r="AX263" s="27" t="s">
        <v>7</v>
      </c>
      <c r="AY263" s="27" t="s">
        <v>8</v>
      </c>
      <c r="BC263" s="27" t="s">
        <v>8</v>
      </c>
      <c r="BD263" s="27" t="s">
        <v>7</v>
      </c>
      <c r="BE263" s="27" t="s">
        <v>8</v>
      </c>
      <c r="BZ263" s="27" t="s">
        <v>7</v>
      </c>
      <c r="CA263" s="27" t="s">
        <v>8</v>
      </c>
      <c r="CB263" s="27" t="s">
        <v>7</v>
      </c>
      <c r="CH263" s="27" t="s">
        <v>7</v>
      </c>
      <c r="CJ263" s="27" t="s">
        <v>7</v>
      </c>
      <c r="CO263" s="27" t="s">
        <v>8</v>
      </c>
      <c r="CQ263" s="27" t="s">
        <v>8</v>
      </c>
      <c r="CR263" s="27" t="s">
        <v>7</v>
      </c>
      <c r="CS263" s="27" t="s">
        <v>8</v>
      </c>
      <c r="CT263" s="27" t="s">
        <v>7</v>
      </c>
      <c r="CU263" s="27" t="s">
        <v>8</v>
      </c>
      <c r="CV263" s="27" t="s">
        <v>7</v>
      </c>
      <c r="CW263" s="27" t="s">
        <v>8</v>
      </c>
      <c r="CX263" s="27" t="s">
        <v>7</v>
      </c>
      <c r="CY263" s="27" t="s">
        <v>8</v>
      </c>
      <c r="CZ263" s="27" t="s">
        <v>7</v>
      </c>
      <c r="DA263" s="27" t="s">
        <v>8</v>
      </c>
    </row>
    <row r="264" spans="1:108" x14ac:dyDescent="0.25">
      <c r="A264" s="30">
        <v>0.3100679102826473</v>
      </c>
      <c r="B264"/>
      <c r="C264"/>
      <c r="D264"/>
      <c r="E264"/>
      <c r="H264" s="27" t="s">
        <v>7</v>
      </c>
      <c r="J264" s="27" t="s">
        <v>7</v>
      </c>
      <c r="K264" s="27" t="s">
        <v>8</v>
      </c>
      <c r="L264" s="27" t="s">
        <v>7</v>
      </c>
      <c r="N264" s="27" t="s">
        <v>7</v>
      </c>
      <c r="S264" s="27" t="s">
        <v>8</v>
      </c>
      <c r="T264" s="27" t="s">
        <v>7</v>
      </c>
      <c r="AW264" s="27" t="s">
        <v>8</v>
      </c>
      <c r="AX264" s="27" t="s">
        <v>7</v>
      </c>
      <c r="AY264" s="27" t="s">
        <v>8</v>
      </c>
      <c r="AZ264" s="27" t="s">
        <v>7</v>
      </c>
      <c r="BC264" s="27" t="s">
        <v>8</v>
      </c>
      <c r="BD264" s="27" t="s">
        <v>7</v>
      </c>
      <c r="BE264" s="27" t="s">
        <v>8</v>
      </c>
      <c r="BZ264" s="27" t="s">
        <v>7</v>
      </c>
      <c r="CA264" s="27" t="s">
        <v>8</v>
      </c>
      <c r="CJ264" s="27" t="s">
        <v>7</v>
      </c>
      <c r="CO264" s="27" t="s">
        <v>8</v>
      </c>
      <c r="CP264" s="27" t="s">
        <v>7</v>
      </c>
      <c r="CQ264" s="27" t="s">
        <v>8</v>
      </c>
      <c r="CR264" s="27" t="s">
        <v>7</v>
      </c>
      <c r="CS264" s="27" t="s">
        <v>8</v>
      </c>
      <c r="CT264" s="27" t="s">
        <v>7</v>
      </c>
      <c r="CV264" s="27" t="s">
        <v>7</v>
      </c>
      <c r="CW264" s="27" t="s">
        <v>8</v>
      </c>
      <c r="CX264" s="27" t="s">
        <v>7</v>
      </c>
      <c r="CZ264" s="27" t="s">
        <v>7</v>
      </c>
      <c r="DA264" s="27" t="s">
        <v>8</v>
      </c>
    </row>
    <row r="265" spans="1:108" x14ac:dyDescent="0.25">
      <c r="A265" s="30">
        <v>0.2953027716977592</v>
      </c>
      <c r="B265"/>
      <c r="C265"/>
      <c r="D265"/>
      <c r="E265"/>
      <c r="J265" s="27" t="s">
        <v>7</v>
      </c>
      <c r="N265" s="27" t="s">
        <v>7</v>
      </c>
      <c r="S265" s="27" t="s">
        <v>8</v>
      </c>
      <c r="T265" s="27" t="s">
        <v>7</v>
      </c>
      <c r="AW265" s="27" t="s">
        <v>8</v>
      </c>
      <c r="AX265" s="27" t="s">
        <v>7</v>
      </c>
      <c r="AY265" s="27" t="s">
        <v>8</v>
      </c>
      <c r="AZ265" s="27" t="s">
        <v>7</v>
      </c>
      <c r="BA265" s="27" t="s">
        <v>8</v>
      </c>
      <c r="BC265" s="27" t="s">
        <v>8</v>
      </c>
      <c r="BD265" s="27" t="s">
        <v>7</v>
      </c>
      <c r="BE265" s="27" t="s">
        <v>8</v>
      </c>
      <c r="BZ265" s="27" t="s">
        <v>7</v>
      </c>
      <c r="CA265" s="27" t="s">
        <v>8</v>
      </c>
      <c r="CJ265" s="27" t="s">
        <v>7</v>
      </c>
      <c r="CO265" s="27" t="s">
        <v>8</v>
      </c>
      <c r="CP265" s="27" t="s">
        <v>7</v>
      </c>
      <c r="CQ265" s="27" t="s">
        <v>8</v>
      </c>
      <c r="CR265" s="27" t="s">
        <v>7</v>
      </c>
      <c r="CV265" s="27" t="s">
        <v>7</v>
      </c>
      <c r="CZ265" s="27" t="s">
        <v>7</v>
      </c>
      <c r="DA265" s="27" t="s">
        <v>8</v>
      </c>
    </row>
    <row r="266" spans="1:108" x14ac:dyDescent="0.25">
      <c r="A266" s="30">
        <v>0.28124073495024676</v>
      </c>
      <c r="B266"/>
      <c r="C266"/>
      <c r="D266"/>
      <c r="E266"/>
      <c r="N266" s="27" t="s">
        <v>7</v>
      </c>
      <c r="O266" s="27" t="s">
        <v>8</v>
      </c>
      <c r="S266" s="27" t="s">
        <v>8</v>
      </c>
      <c r="T266" s="27" t="s">
        <v>7</v>
      </c>
      <c r="AW266" s="27" t="s">
        <v>8</v>
      </c>
      <c r="AX266" s="27" t="s">
        <v>7</v>
      </c>
      <c r="AZ266" s="27" t="s">
        <v>7</v>
      </c>
      <c r="BA266" s="27" t="s">
        <v>8</v>
      </c>
      <c r="BB266" s="27" t="s">
        <v>7</v>
      </c>
      <c r="BC266" s="27" t="s">
        <v>8</v>
      </c>
      <c r="BD266" s="27" t="s">
        <v>7</v>
      </c>
      <c r="BZ266" s="27" t="s">
        <v>7</v>
      </c>
      <c r="CJ266" s="27" t="s">
        <v>7</v>
      </c>
      <c r="CO266" s="27" t="s">
        <v>8</v>
      </c>
      <c r="CP266" s="27" t="s">
        <v>7</v>
      </c>
      <c r="CZ266" s="18" t="s">
        <v>7</v>
      </c>
      <c r="DA266" s="27" t="s">
        <v>8</v>
      </c>
    </row>
    <row r="267" spans="1:108" x14ac:dyDescent="0.25">
      <c r="A267" s="30">
        <v>0.26784831900023492</v>
      </c>
      <c r="B267"/>
      <c r="C267"/>
      <c r="D267"/>
      <c r="E267"/>
      <c r="N267" s="27" t="s">
        <v>7</v>
      </c>
      <c r="O267" s="27" t="s">
        <v>8</v>
      </c>
      <c r="P267" s="27" t="s">
        <v>7</v>
      </c>
      <c r="Q267" s="27" t="s">
        <v>8</v>
      </c>
      <c r="S267" s="27" t="s">
        <v>8</v>
      </c>
      <c r="T267" s="27" t="s">
        <v>7</v>
      </c>
      <c r="AW267" s="27" t="s">
        <v>8</v>
      </c>
      <c r="AZ267" s="27" t="s">
        <v>7</v>
      </c>
      <c r="BA267" s="27" t="s">
        <v>8</v>
      </c>
      <c r="BB267" s="27" t="s">
        <v>7</v>
      </c>
      <c r="BC267" s="27" t="s">
        <v>8</v>
      </c>
      <c r="CJ267" s="27" t="s">
        <v>7</v>
      </c>
      <c r="CO267" s="27" t="s">
        <v>8</v>
      </c>
      <c r="CZ267" s="27" t="s">
        <v>7</v>
      </c>
      <c r="DA267" s="27" t="s">
        <v>8</v>
      </c>
    </row>
    <row r="268" spans="1:108" x14ac:dyDescent="0.25">
      <c r="A268" s="30">
        <v>0.25509363714308075</v>
      </c>
      <c r="B268"/>
      <c r="C268"/>
      <c r="D268"/>
      <c r="E268"/>
      <c r="N268" s="27" t="s">
        <v>7</v>
      </c>
      <c r="O268" s="27" t="s">
        <v>8</v>
      </c>
      <c r="P268" s="27" t="s">
        <v>7</v>
      </c>
      <c r="Q268" s="27" t="s">
        <v>8</v>
      </c>
      <c r="R268" s="27" t="s">
        <v>7</v>
      </c>
      <c r="S268" s="27" t="s">
        <v>8</v>
      </c>
      <c r="T268" s="27" t="s">
        <v>7</v>
      </c>
      <c r="AW268" s="27" t="s">
        <v>8</v>
      </c>
      <c r="AZ268" s="27" t="s">
        <v>7</v>
      </c>
      <c r="BA268" s="27" t="s">
        <v>8</v>
      </c>
      <c r="BB268" s="27" t="s">
        <v>7</v>
      </c>
      <c r="BC268" s="27" t="s">
        <v>8</v>
      </c>
      <c r="CJ268" s="27" t="s">
        <v>7</v>
      </c>
      <c r="CK268" s="27" t="s">
        <v>8</v>
      </c>
      <c r="CM268" s="27" t="s">
        <v>8</v>
      </c>
      <c r="CO268" s="27" t="s">
        <v>8</v>
      </c>
      <c r="CZ268" s="27" t="s">
        <v>7</v>
      </c>
    </row>
    <row r="269" spans="1:108" x14ac:dyDescent="0.25">
      <c r="A269" s="30">
        <v>0.24294632108864825</v>
      </c>
      <c r="B269"/>
      <c r="C269"/>
      <c r="D269"/>
      <c r="E269"/>
      <c r="N269" s="27" t="s">
        <v>7</v>
      </c>
      <c r="O269" s="27" t="s">
        <v>8</v>
      </c>
      <c r="P269" s="27" t="s">
        <v>7</v>
      </c>
      <c r="Q269" s="27" t="s">
        <v>8</v>
      </c>
      <c r="R269" s="27" t="s">
        <v>7</v>
      </c>
      <c r="S269" s="27" t="s">
        <v>8</v>
      </c>
      <c r="T269" s="27" t="s">
        <v>7</v>
      </c>
      <c r="AW269" s="27" t="s">
        <v>8</v>
      </c>
      <c r="AZ269" s="27" t="s">
        <v>7</v>
      </c>
      <c r="BA269" s="27" t="s">
        <v>8</v>
      </c>
      <c r="BB269" s="27" t="s">
        <v>7</v>
      </c>
      <c r="BC269" s="27" t="s">
        <v>8</v>
      </c>
      <c r="CJ269" s="27" t="s">
        <v>7</v>
      </c>
      <c r="CK269" s="27" t="s">
        <v>8</v>
      </c>
      <c r="CL269" s="27" t="s">
        <v>7</v>
      </c>
      <c r="CM269" s="27" t="s">
        <v>8</v>
      </c>
      <c r="CN269" s="27" t="s">
        <v>7</v>
      </c>
      <c r="CO269" s="27" t="s">
        <v>8</v>
      </c>
    </row>
    <row r="270" spans="1:108" x14ac:dyDescent="0.25">
      <c r="A270" s="30">
        <v>0.23137744865585538</v>
      </c>
      <c r="B270"/>
      <c r="C270"/>
      <c r="D270"/>
      <c r="E270"/>
      <c r="N270" s="27" t="s">
        <v>7</v>
      </c>
      <c r="O270" s="27" t="s">
        <v>8</v>
      </c>
      <c r="P270" s="27" t="s">
        <v>7</v>
      </c>
      <c r="Q270" s="27" t="s">
        <v>8</v>
      </c>
      <c r="R270" s="27" t="s">
        <v>7</v>
      </c>
      <c r="T270" s="27" t="s">
        <v>7</v>
      </c>
      <c r="AW270" s="27" t="s">
        <v>8</v>
      </c>
      <c r="AZ270" s="27" t="s">
        <v>7</v>
      </c>
      <c r="BA270" s="27" t="s">
        <v>8</v>
      </c>
      <c r="BB270" s="27" t="s">
        <v>7</v>
      </c>
      <c r="BC270" s="27" t="s">
        <v>8</v>
      </c>
      <c r="CJ270" s="27" t="s">
        <v>7</v>
      </c>
      <c r="CK270" s="27" t="s">
        <v>8</v>
      </c>
      <c r="CL270" s="27" t="s">
        <v>7</v>
      </c>
      <c r="CM270" s="27" t="s">
        <v>8</v>
      </c>
      <c r="CN270" s="27" t="s">
        <v>7</v>
      </c>
      <c r="CO270" s="27" t="s">
        <v>8</v>
      </c>
    </row>
    <row r="271" spans="1:108" x14ac:dyDescent="0.25">
      <c r="A271" s="30">
        <v>0.22035947491033836</v>
      </c>
      <c r="B271"/>
      <c r="C271"/>
      <c r="D271"/>
      <c r="E271"/>
      <c r="N271" s="27" t="s">
        <v>7</v>
      </c>
      <c r="O271" s="27" t="s">
        <v>8</v>
      </c>
      <c r="P271" s="27" t="s">
        <v>7</v>
      </c>
      <c r="Q271" s="27" t="s">
        <v>8</v>
      </c>
      <c r="T271" s="27" t="s">
        <v>7</v>
      </c>
      <c r="AW271" s="27" t="s">
        <v>8</v>
      </c>
      <c r="AZ271" s="27" t="s">
        <v>7</v>
      </c>
      <c r="BA271" s="27" t="s">
        <v>8</v>
      </c>
      <c r="BB271" s="27" t="s">
        <v>7</v>
      </c>
      <c r="CJ271" s="27" t="s">
        <v>7</v>
      </c>
      <c r="CK271" s="27" t="s">
        <v>8</v>
      </c>
      <c r="CL271" s="27" t="s">
        <v>7</v>
      </c>
      <c r="CN271" s="27" t="s">
        <v>7</v>
      </c>
      <c r="CO271" s="27" t="s">
        <v>8</v>
      </c>
    </row>
    <row r="272" spans="1:108" x14ac:dyDescent="0.25">
      <c r="A272" s="30">
        <v>0.20986616658127455</v>
      </c>
      <c r="B272"/>
      <c r="C272"/>
      <c r="D272"/>
      <c r="E272"/>
      <c r="N272" s="27" t="s">
        <v>7</v>
      </c>
      <c r="O272" s="27" t="s">
        <v>8</v>
      </c>
      <c r="P272" s="27" t="s">
        <v>7</v>
      </c>
      <c r="T272" s="27" t="s">
        <v>7</v>
      </c>
      <c r="AW272" s="27" t="s">
        <v>8</v>
      </c>
      <c r="AZ272" s="27" t="s">
        <v>7</v>
      </c>
      <c r="BA272" s="27" t="s">
        <v>8</v>
      </c>
      <c r="CJ272" s="27" t="s">
        <v>7</v>
      </c>
      <c r="CK272" s="27" t="s">
        <v>8</v>
      </c>
      <c r="CN272" s="27" t="s">
        <v>7</v>
      </c>
    </row>
    <row r="273" spans="1:89" x14ac:dyDescent="0.25">
      <c r="A273" s="30">
        <v>0.19987253960121379</v>
      </c>
      <c r="B273"/>
      <c r="C273"/>
      <c r="D273"/>
      <c r="E273"/>
      <c r="N273" s="27" t="s">
        <v>7</v>
      </c>
      <c r="T273" s="27" t="s">
        <v>7</v>
      </c>
      <c r="U273" s="27" t="s">
        <v>8</v>
      </c>
      <c r="AW273" s="27" t="s">
        <v>8</v>
      </c>
      <c r="AZ273" s="27" t="s">
        <v>7</v>
      </c>
      <c r="BA273" s="27" t="s">
        <v>8</v>
      </c>
      <c r="CJ273" s="27" t="s">
        <v>7</v>
      </c>
      <c r="CK273" s="27" t="s">
        <v>8</v>
      </c>
    </row>
    <row r="274" spans="1:89" x14ac:dyDescent="0.25">
      <c r="A274" s="30">
        <v>0.19035479962020352</v>
      </c>
      <c r="B274"/>
      <c r="C274"/>
      <c r="D274"/>
      <c r="E274"/>
      <c r="T274" s="27" t="s">
        <v>7</v>
      </c>
      <c r="U274" s="27" t="s">
        <v>8</v>
      </c>
      <c r="V274" s="27" t="s">
        <v>7</v>
      </c>
      <c r="AW274" s="27" t="s">
        <v>8</v>
      </c>
      <c r="AZ274" s="27" t="s">
        <v>7</v>
      </c>
      <c r="BA274" s="27" t="s">
        <v>8</v>
      </c>
      <c r="CJ274" s="27" t="s">
        <v>7</v>
      </c>
      <c r="CK274" s="27" t="s">
        <v>8</v>
      </c>
    </row>
    <row r="275" spans="1:89" x14ac:dyDescent="0.25">
      <c r="A275" s="30">
        <v>0.18129028535257471</v>
      </c>
      <c r="B275"/>
      <c r="C275"/>
      <c r="D275"/>
      <c r="E275"/>
      <c r="T275" s="27" t="s">
        <v>7</v>
      </c>
      <c r="U275" s="27" t="s">
        <v>8</v>
      </c>
      <c r="V275" s="27" t="s">
        <v>7</v>
      </c>
      <c r="AW275" s="27" t="s">
        <v>8</v>
      </c>
      <c r="AZ275" s="27" t="s">
        <v>7</v>
      </c>
      <c r="BA275" s="27" t="s">
        <v>8</v>
      </c>
      <c r="CJ275" s="27" t="s">
        <v>7</v>
      </c>
      <c r="CK275" s="27" t="s">
        <v>8</v>
      </c>
    </row>
    <row r="276" spans="1:89" x14ac:dyDescent="0.25">
      <c r="A276" s="30">
        <v>0.17265741462149967</v>
      </c>
      <c r="B276"/>
      <c r="C276"/>
      <c r="D276"/>
      <c r="E276"/>
      <c r="T276" s="27" t="s">
        <v>7</v>
      </c>
      <c r="U276" s="27" t="s">
        <v>8</v>
      </c>
      <c r="V276" s="27" t="s">
        <v>7</v>
      </c>
      <c r="AU276" s="27" t="s">
        <v>8</v>
      </c>
      <c r="AW276" s="27" t="s">
        <v>8</v>
      </c>
      <c r="AZ276" s="27" t="s">
        <v>7</v>
      </c>
      <c r="CJ276" s="27" t="s">
        <v>7</v>
      </c>
    </row>
    <row r="277" spans="1:89" x14ac:dyDescent="0.25">
      <c r="A277" s="30">
        <v>0.16443563297285677</v>
      </c>
      <c r="B277"/>
      <c r="C277"/>
      <c r="D277"/>
      <c r="E277"/>
      <c r="T277" s="27" t="s">
        <v>7</v>
      </c>
      <c r="V277" s="27" t="s">
        <v>7</v>
      </c>
      <c r="W277" s="27" t="s">
        <v>8</v>
      </c>
      <c r="Y277" s="27" t="s">
        <v>8</v>
      </c>
      <c r="AS277" s="27" t="s">
        <v>8</v>
      </c>
      <c r="AU277" s="27" t="s">
        <v>8</v>
      </c>
      <c r="AV277" s="27" t="s">
        <v>7</v>
      </c>
      <c r="AW277" s="27" t="s">
        <v>8</v>
      </c>
    </row>
    <row r="278" spans="1:89" x14ac:dyDescent="0.25">
      <c r="A278" s="30">
        <v>0.15660536473605399</v>
      </c>
      <c r="B278"/>
      <c r="C278"/>
      <c r="D278"/>
      <c r="E278"/>
      <c r="V278" s="27" t="s">
        <v>7</v>
      </c>
      <c r="W278" s="27" t="s">
        <v>8</v>
      </c>
      <c r="X278" s="27" t="s">
        <v>7</v>
      </c>
      <c r="Y278" s="27" t="s">
        <v>8</v>
      </c>
      <c r="Z278" s="27" t="s">
        <v>7</v>
      </c>
      <c r="AC278" s="27" t="s">
        <v>8</v>
      </c>
      <c r="AQ278" s="27" t="s">
        <v>8</v>
      </c>
      <c r="AS278" s="27" t="s">
        <v>8</v>
      </c>
      <c r="AT278" s="27" t="s">
        <v>7</v>
      </c>
      <c r="AU278" s="27" t="s">
        <v>8</v>
      </c>
      <c r="AV278" s="27" t="s">
        <v>7</v>
      </c>
      <c r="AW278" s="27" t="s">
        <v>8</v>
      </c>
    </row>
    <row r="279" spans="1:89" x14ac:dyDescent="0.25">
      <c r="A279" s="30">
        <v>0.14914796641528946</v>
      </c>
      <c r="B279"/>
      <c r="C279"/>
      <c r="D279"/>
      <c r="E279"/>
      <c r="V279" s="27" t="s">
        <v>7</v>
      </c>
      <c r="W279" s="27" t="s">
        <v>8</v>
      </c>
      <c r="X279" s="27" t="s">
        <v>7</v>
      </c>
      <c r="Y279" s="27" t="s">
        <v>8</v>
      </c>
      <c r="Z279" s="27" t="s">
        <v>7</v>
      </c>
      <c r="AC279" s="27" t="s">
        <v>8</v>
      </c>
      <c r="AD279" s="27" t="s">
        <v>7</v>
      </c>
      <c r="AG279" s="27" t="s">
        <v>8</v>
      </c>
      <c r="AO279" s="27" t="s">
        <v>8</v>
      </c>
      <c r="AQ279" s="27" t="s">
        <v>8</v>
      </c>
      <c r="AR279" s="27" t="s">
        <v>7</v>
      </c>
      <c r="AS279" s="27" t="s">
        <v>8</v>
      </c>
      <c r="AT279" s="27" t="s">
        <v>7</v>
      </c>
      <c r="AU279" s="27" t="s">
        <v>8</v>
      </c>
      <c r="AV279" s="27" t="s">
        <v>7</v>
      </c>
    </row>
    <row r="280" spans="1:89" x14ac:dyDescent="0.25">
      <c r="A280" s="30">
        <v>0.14204568230027562</v>
      </c>
      <c r="B280"/>
      <c r="C280"/>
      <c r="D280"/>
      <c r="E280"/>
      <c r="V280" s="27" t="s">
        <v>7</v>
      </c>
      <c r="X280" s="27" t="s">
        <v>7</v>
      </c>
      <c r="Y280" s="27" t="s">
        <v>8</v>
      </c>
      <c r="Z280" s="27" t="s">
        <v>7</v>
      </c>
      <c r="AA280" s="27" t="s">
        <v>8</v>
      </c>
      <c r="AC280" s="27" t="s">
        <v>8</v>
      </c>
      <c r="AD280" s="27" t="s">
        <v>7</v>
      </c>
      <c r="AE280" s="27" t="s">
        <v>8</v>
      </c>
      <c r="AG280" s="27" t="s">
        <v>8</v>
      </c>
      <c r="AH280" s="27" t="s">
        <v>7</v>
      </c>
      <c r="AI280" s="27" t="s">
        <v>8</v>
      </c>
      <c r="AM280" s="27" t="s">
        <v>8</v>
      </c>
      <c r="AO280" s="27" t="s">
        <v>8</v>
      </c>
      <c r="AP280" s="27" t="s">
        <v>7</v>
      </c>
      <c r="AQ280" s="27" t="s">
        <v>8</v>
      </c>
      <c r="AR280" s="27" t="s">
        <v>7</v>
      </c>
      <c r="AS280" s="27" t="s">
        <v>8</v>
      </c>
      <c r="AT280" s="27" t="s">
        <v>7</v>
      </c>
      <c r="AU280" s="27" t="s">
        <v>8</v>
      </c>
    </row>
    <row r="281" spans="1:89" x14ac:dyDescent="0.25">
      <c r="A281" s="30">
        <v>0.13528160219073862</v>
      </c>
      <c r="B281"/>
      <c r="C281"/>
      <c r="D281"/>
      <c r="E281"/>
      <c r="X281" s="27" t="s">
        <v>7</v>
      </c>
      <c r="Z281" s="27" t="s">
        <v>7</v>
      </c>
      <c r="AA281" s="27" t="s">
        <v>8</v>
      </c>
      <c r="AB281" s="27" t="s">
        <v>7</v>
      </c>
      <c r="AC281" s="27" t="s">
        <v>8</v>
      </c>
      <c r="AD281" s="27" t="s">
        <v>7</v>
      </c>
      <c r="AE281" s="27" t="s">
        <v>8</v>
      </c>
      <c r="AF281" s="27" t="s">
        <v>7</v>
      </c>
      <c r="AG281" s="27" t="s">
        <v>8</v>
      </c>
      <c r="AH281" s="27" t="s">
        <v>7</v>
      </c>
      <c r="AI281" s="27" t="s">
        <v>8</v>
      </c>
      <c r="AJ281" s="27" t="s">
        <v>7</v>
      </c>
      <c r="AM281" s="27" t="s">
        <v>8</v>
      </c>
      <c r="AN281" s="27" t="s">
        <v>7</v>
      </c>
      <c r="AO281" s="27" t="s">
        <v>8</v>
      </c>
      <c r="AP281" s="27" t="s">
        <v>7</v>
      </c>
      <c r="AQ281" s="27" t="s">
        <v>8</v>
      </c>
      <c r="AR281" s="27" t="s">
        <v>7</v>
      </c>
      <c r="AS281" s="27" t="s">
        <v>8</v>
      </c>
      <c r="AT281" s="27" t="s">
        <v>7</v>
      </c>
      <c r="AU281" s="27" t="s">
        <v>8</v>
      </c>
    </row>
    <row r="282" spans="1:89" x14ac:dyDescent="0.25">
      <c r="A282" s="30">
        <v>0.12883962113403674</v>
      </c>
      <c r="B282"/>
      <c r="C282"/>
      <c r="D282"/>
      <c r="E282"/>
      <c r="Z282" s="27" t="s">
        <v>7</v>
      </c>
      <c r="AA282" s="27" t="s">
        <v>8</v>
      </c>
      <c r="AB282" s="27" t="s">
        <v>7</v>
      </c>
      <c r="AC282" s="27" t="s">
        <v>8</v>
      </c>
      <c r="AD282" s="27" t="s">
        <v>7</v>
      </c>
      <c r="AE282" s="27" t="s">
        <v>8</v>
      </c>
      <c r="AF282" s="27" t="s">
        <v>7</v>
      </c>
      <c r="AG282" s="27" t="s">
        <v>8</v>
      </c>
      <c r="AH282" s="27" t="s">
        <v>7</v>
      </c>
      <c r="AI282" s="27" t="s">
        <v>8</v>
      </c>
      <c r="AJ282" s="27" t="s">
        <v>7</v>
      </c>
      <c r="AK282" s="27" t="s">
        <v>8</v>
      </c>
      <c r="AM282" s="27" t="s">
        <v>8</v>
      </c>
      <c r="AN282" s="27" t="s">
        <v>7</v>
      </c>
      <c r="AO282" s="27" t="s">
        <v>8</v>
      </c>
      <c r="AP282" s="27" t="s">
        <v>7</v>
      </c>
      <c r="AR282" s="27" t="s">
        <v>7</v>
      </c>
      <c r="AT282" s="27" t="s">
        <v>7</v>
      </c>
    </row>
    <row r="283" spans="1:89" x14ac:dyDescent="0.25">
      <c r="A283" s="30">
        <v>0.12270440108003494</v>
      </c>
      <c r="B283"/>
      <c r="C283"/>
      <c r="D283"/>
      <c r="E283"/>
      <c r="Z283" s="27" t="s">
        <v>7</v>
      </c>
      <c r="AA283" s="27" t="s">
        <v>8</v>
      </c>
      <c r="AB283" s="27" t="s">
        <v>7</v>
      </c>
      <c r="AC283" s="27" t="s">
        <v>8</v>
      </c>
      <c r="AD283" s="27" t="s">
        <v>7</v>
      </c>
      <c r="AE283" s="27" t="s">
        <v>8</v>
      </c>
      <c r="AF283" s="27" t="s">
        <v>7</v>
      </c>
      <c r="AG283" s="27" t="s">
        <v>8</v>
      </c>
      <c r="AH283" s="27" t="s">
        <v>7</v>
      </c>
      <c r="AJ283" s="27" t="s">
        <v>7</v>
      </c>
      <c r="AK283" s="27" t="s">
        <v>8</v>
      </c>
      <c r="AL283" s="27" t="s">
        <v>7</v>
      </c>
      <c r="AM283" s="27" t="s">
        <v>8</v>
      </c>
      <c r="AN283" s="27" t="s">
        <v>7</v>
      </c>
      <c r="AO283" s="27" t="s">
        <v>8</v>
      </c>
    </row>
    <row r="284" spans="1:89" x14ac:dyDescent="0.25">
      <c r="A284" s="30">
        <v>0.11686133436193799</v>
      </c>
      <c r="B284"/>
      <c r="C284"/>
      <c r="D284"/>
      <c r="E284"/>
      <c r="Z284" s="27" t="s">
        <v>7</v>
      </c>
      <c r="AA284" s="27" t="s">
        <v>8</v>
      </c>
      <c r="AB284" s="27" t="s">
        <v>7</v>
      </c>
      <c r="AD284" s="27" t="s">
        <v>7</v>
      </c>
      <c r="AE284" s="27" t="s">
        <v>8</v>
      </c>
      <c r="AF284" s="27" t="s">
        <v>7</v>
      </c>
      <c r="AG284" s="27" t="s">
        <v>8</v>
      </c>
      <c r="AJ284" s="27" t="s">
        <v>7</v>
      </c>
      <c r="AK284" s="27" t="s">
        <v>8</v>
      </c>
      <c r="AL284" s="27" t="s">
        <v>7</v>
      </c>
      <c r="AM284" s="27" t="s">
        <v>8</v>
      </c>
      <c r="AN284" s="27" t="s">
        <v>7</v>
      </c>
      <c r="AO284" s="27" t="s">
        <v>8</v>
      </c>
    </row>
    <row r="285" spans="1:89" x14ac:dyDescent="0.25">
      <c r="A285" s="30">
        <v>0.11129650891613138</v>
      </c>
      <c r="B285"/>
      <c r="C285"/>
      <c r="D285"/>
      <c r="E285"/>
      <c r="Z285" s="27" t="s">
        <v>7</v>
      </c>
      <c r="AD285" s="27" t="s">
        <v>7</v>
      </c>
      <c r="AE285" s="27" t="s">
        <v>8</v>
      </c>
      <c r="AF285" s="27" t="s">
        <v>7</v>
      </c>
      <c r="AJ285" s="27" t="s">
        <v>7</v>
      </c>
      <c r="AK285" s="27" t="s">
        <v>8</v>
      </c>
      <c r="AL285" s="27" t="s">
        <v>7</v>
      </c>
      <c r="AM285" s="27" t="s">
        <v>8</v>
      </c>
      <c r="AN285" s="27" t="s">
        <v>7</v>
      </c>
    </row>
    <row r="286" spans="1:89" x14ac:dyDescent="0.25">
      <c r="A286" s="30">
        <v>0.10599667515822032</v>
      </c>
      <c r="B286"/>
      <c r="C286"/>
      <c r="D286"/>
      <c r="E286"/>
      <c r="AD286" s="27" t="s">
        <v>7</v>
      </c>
      <c r="AJ286" s="27" t="s">
        <v>7</v>
      </c>
      <c r="AL286" s="27" t="s">
        <v>7</v>
      </c>
    </row>
    <row r="287" spans="1:89" x14ac:dyDescent="0.25">
      <c r="A287" s="30">
        <v>0.10094921443640027</v>
      </c>
      <c r="B287"/>
      <c r="C287"/>
      <c r="D287"/>
      <c r="E287"/>
    </row>
    <row r="288" spans="1:89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061" operator="equal">
      <formula>$U$1</formula>
    </cfRule>
    <cfRule type="cellIs" dxfId="67" priority="1062" operator="equal">
      <formula>$S$1</formula>
    </cfRule>
  </conditionalFormatting>
  <conditionalFormatting sqref="D136">
    <cfRule type="cellIs" dxfId="66" priority="1059" operator="equal">
      <formula>$S$1</formula>
    </cfRule>
    <cfRule type="cellIs" dxfId="65" priority="1060" operator="equal">
      <formula>$U$1</formula>
    </cfRule>
  </conditionalFormatting>
  <conditionalFormatting sqref="C162">
    <cfRule type="cellIs" dxfId="64" priority="1057" operator="equal">
      <formula>$U$1</formula>
    </cfRule>
    <cfRule type="cellIs" dxfId="63" priority="1058" operator="equal">
      <formula>$S$1</formula>
    </cfRule>
  </conditionalFormatting>
  <conditionalFormatting sqref="D162">
    <cfRule type="cellIs" dxfId="62" priority="1055" operator="equal">
      <formula>$S$1</formula>
    </cfRule>
    <cfRule type="cellIs" dxfId="61" priority="1056" operator="equal">
      <formula>$U$1</formula>
    </cfRule>
  </conditionalFormatting>
  <conditionalFormatting sqref="C187">
    <cfRule type="cellIs" dxfId="60" priority="1053" operator="equal">
      <formula>$U$1</formula>
    </cfRule>
    <cfRule type="cellIs" dxfId="59" priority="1054" operator="equal">
      <formula>$S$1</formula>
    </cfRule>
  </conditionalFormatting>
  <conditionalFormatting sqref="D187">
    <cfRule type="cellIs" dxfId="58" priority="1051" operator="equal">
      <formula>$S$1</formula>
    </cfRule>
    <cfRule type="cellIs" dxfId="57" priority="1052" operator="equal">
      <formula>$U$1</formula>
    </cfRule>
  </conditionalFormatting>
  <conditionalFormatting sqref="C212">
    <cfRule type="cellIs" dxfId="56" priority="1049" operator="equal">
      <formula>$U$1</formula>
    </cfRule>
    <cfRule type="cellIs" dxfId="55" priority="1050" operator="equal">
      <formula>$S$1</formula>
    </cfRule>
  </conditionalFormatting>
  <conditionalFormatting sqref="D212">
    <cfRule type="cellIs" dxfId="54" priority="1047" operator="equal">
      <formula>$S$1</formula>
    </cfRule>
    <cfRule type="cellIs" dxfId="53" priority="1048" operator="equal">
      <formula>$U$1</formula>
    </cfRule>
  </conditionalFormatting>
  <conditionalFormatting sqref="C237">
    <cfRule type="cellIs" dxfId="52" priority="1045" operator="equal">
      <formula>$U$1</formula>
    </cfRule>
    <cfRule type="cellIs" dxfId="51" priority="1046" operator="equal">
      <formula>$S$1</formula>
    </cfRule>
  </conditionalFormatting>
  <conditionalFormatting sqref="D237">
    <cfRule type="cellIs" dxfId="50" priority="1043" operator="equal">
      <formula>$S$1</formula>
    </cfRule>
    <cfRule type="cellIs" dxfId="49" priority="1044" operator="equal">
      <formula>$U$1</formula>
    </cfRule>
  </conditionalFormatting>
  <conditionalFormatting sqref="C106">
    <cfRule type="cellIs" dxfId="48" priority="1041" operator="equal">
      <formula>$U$1</formula>
    </cfRule>
    <cfRule type="cellIs" dxfId="47" priority="1042" operator="equal">
      <formula>$S$1</formula>
    </cfRule>
  </conditionalFormatting>
  <conditionalFormatting sqref="D106">
    <cfRule type="cellIs" dxfId="46" priority="1039" operator="equal">
      <formula>$S$1</formula>
    </cfRule>
    <cfRule type="cellIs" dxfId="45" priority="1040" operator="equal">
      <formula>$U$1</formula>
    </cfRule>
  </conditionalFormatting>
  <conditionalFormatting sqref="C81">
    <cfRule type="cellIs" dxfId="44" priority="1037" operator="equal">
      <formula>$U$1</formula>
    </cfRule>
    <cfRule type="cellIs" dxfId="43" priority="1038" operator="equal">
      <formula>$S$1</formula>
    </cfRule>
  </conditionalFormatting>
  <conditionalFormatting sqref="D81">
    <cfRule type="cellIs" dxfId="42" priority="1035" operator="equal">
      <formula>$S$1</formula>
    </cfRule>
    <cfRule type="cellIs" dxfId="41" priority="1036" operator="equal">
      <formula>$U$1</formula>
    </cfRule>
  </conditionalFormatting>
  <conditionalFormatting sqref="C56">
    <cfRule type="cellIs" dxfId="40" priority="1033" operator="equal">
      <formula>$U$1</formula>
    </cfRule>
    <cfRule type="cellIs" dxfId="39" priority="1034" operator="equal">
      <formula>$S$1</formula>
    </cfRule>
  </conditionalFormatting>
  <conditionalFormatting sqref="D56">
    <cfRule type="cellIs" dxfId="38" priority="1031" operator="equal">
      <formula>$S$1</formula>
    </cfRule>
    <cfRule type="cellIs" dxfId="37" priority="1032" operator="equal">
      <formula>$U$1</formula>
    </cfRule>
  </conditionalFormatting>
  <conditionalFormatting sqref="C31">
    <cfRule type="cellIs" dxfId="36" priority="1029" operator="equal">
      <formula>$U$1</formula>
    </cfRule>
    <cfRule type="cellIs" dxfId="35" priority="1030" operator="equal">
      <formula>$S$1</formula>
    </cfRule>
  </conditionalFormatting>
  <conditionalFormatting sqref="D31">
    <cfRule type="cellIs" dxfId="34" priority="1027" operator="equal">
      <formula>$S$1</formula>
    </cfRule>
    <cfRule type="cellIs" dxfId="33" priority="1028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BD124" sqref="BD124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2" x14ac:dyDescent="0.25">
      <c r="A97" s="30">
        <v>9.849732675807628</v>
      </c>
      <c r="E97"/>
    </row>
    <row r="98" spans="1:52" x14ac:dyDescent="0.25">
      <c r="A98" s="30">
        <v>8.9543024325523888</v>
      </c>
      <c r="C98" s="1" t="s">
        <v>13</v>
      </c>
      <c r="E98"/>
    </row>
    <row r="99" spans="1:52" x14ac:dyDescent="0.25">
      <c r="A99" s="30">
        <v>8.140274938683989</v>
      </c>
      <c r="C99" s="1">
        <f>C88</f>
        <v>0</v>
      </c>
      <c r="E99"/>
    </row>
    <row r="100" spans="1:52" x14ac:dyDescent="0.25">
      <c r="A100" s="30">
        <v>7.4002499442581717</v>
      </c>
      <c r="C100"/>
      <c r="D100"/>
      <c r="E100"/>
    </row>
    <row r="101" spans="1:52" x14ac:dyDescent="0.25">
      <c r="A101" s="30">
        <v>6.72749994932561</v>
      </c>
      <c r="C101" s="1" t="s">
        <v>14</v>
      </c>
      <c r="E101"/>
    </row>
    <row r="102" spans="1:52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2" x14ac:dyDescent="0.25">
      <c r="A103" s="30">
        <v>5.5599173134922388</v>
      </c>
      <c r="E103"/>
    </row>
    <row r="104" spans="1:52" x14ac:dyDescent="0.25">
      <c r="A104" s="30">
        <v>5.0544702849929442</v>
      </c>
      <c r="E104"/>
    </row>
    <row r="105" spans="1:52" x14ac:dyDescent="0.25">
      <c r="A105" s="30">
        <v>4.594972986357222</v>
      </c>
      <c r="E105"/>
    </row>
    <row r="106" spans="1:52" x14ac:dyDescent="0.25">
      <c r="A106" s="30">
        <v>4.1772481694156562</v>
      </c>
      <c r="E106"/>
    </row>
    <row r="107" spans="1:52" x14ac:dyDescent="0.25">
      <c r="A107" s="30">
        <v>3.7974983358324148</v>
      </c>
      <c r="E107"/>
    </row>
    <row r="108" spans="1:52" x14ac:dyDescent="0.25">
      <c r="A108" s="30">
        <v>3.4522712143931042</v>
      </c>
      <c r="E108"/>
    </row>
    <row r="109" spans="1:52" x14ac:dyDescent="0.25">
      <c r="A109" s="30">
        <v>3.1384283767210035</v>
      </c>
      <c r="E109"/>
      <c r="AW109" s="27" t="s">
        <v>8</v>
      </c>
    </row>
    <row r="110" spans="1:52" x14ac:dyDescent="0.25">
      <c r="A110" s="30">
        <v>2.8531167061100029</v>
      </c>
      <c r="E110"/>
      <c r="AW110" s="27" t="s">
        <v>8</v>
      </c>
      <c r="AX110" s="27" t="s">
        <v>7</v>
      </c>
      <c r="AY110" s="27" t="s">
        <v>8</v>
      </c>
    </row>
    <row r="111" spans="1:52" x14ac:dyDescent="0.25">
      <c r="A111" s="30">
        <v>2.5937424601000023</v>
      </c>
      <c r="C111" s="1" t="str">
        <f>ADDRESS(C121-1,1,1,1)</f>
        <v>$A$123</v>
      </c>
      <c r="D111" s="1" t="str">
        <f>ADDRESS(C121-1,D121,1,1)</f>
        <v>$BD$123</v>
      </c>
      <c r="E111"/>
      <c r="AW111" s="27" t="s">
        <v>8</v>
      </c>
      <c r="AX111" s="27" t="s">
        <v>7</v>
      </c>
      <c r="AY111" s="27" t="s">
        <v>8</v>
      </c>
      <c r="AZ111" s="27" t="s">
        <v>7</v>
      </c>
    </row>
    <row r="112" spans="1:52" x14ac:dyDescent="0.25">
      <c r="A112" s="30">
        <v>2.3579476910000019</v>
      </c>
      <c r="C112" s="1" t="str">
        <f>ADDRESS(C121,1,1,1)</f>
        <v>$A$124</v>
      </c>
      <c r="D112" s="1" t="str">
        <f>ADDRESS(C121,D121-1,1,1)</f>
        <v>$BC$124</v>
      </c>
      <c r="E112"/>
      <c r="AW112" s="27" t="s">
        <v>8</v>
      </c>
      <c r="AX112" s="27" t="s">
        <v>7</v>
      </c>
      <c r="AY112" s="27" t="s">
        <v>8</v>
      </c>
      <c r="AZ112" s="27" t="s">
        <v>7</v>
      </c>
    </row>
    <row r="113" spans="1:56" x14ac:dyDescent="0.25">
      <c r="A113" s="30">
        <v>2.1435888100000016</v>
      </c>
      <c r="C113" s="1" t="str">
        <f>ADDRESS(C121+1,1,1,1)</f>
        <v>$A$125</v>
      </c>
      <c r="D113" s="1" t="str">
        <f>ADDRESS(C121-1,D121+1,1,1)</f>
        <v>$BE$123</v>
      </c>
      <c r="AW113" s="27" t="s">
        <v>8</v>
      </c>
      <c r="AX113" s="27" t="s">
        <v>7</v>
      </c>
      <c r="AZ113" s="27" t="s">
        <v>7</v>
      </c>
    </row>
    <row r="114" spans="1:56" x14ac:dyDescent="0.25">
      <c r="A114" s="30">
        <v>1.9487171000000014</v>
      </c>
      <c r="C114" s="1" t="str">
        <f>ADDRESS(C121,D121,1,1)</f>
        <v>$BD$124</v>
      </c>
      <c r="D114" s="1" t="str">
        <f>ADDRESS(C121+1,D121+1,1,1)</f>
        <v>$BE$125</v>
      </c>
      <c r="AW114" s="27" t="s">
        <v>8</v>
      </c>
      <c r="AZ114" s="27" t="s">
        <v>7</v>
      </c>
      <c r="BA114" s="27" t="s">
        <v>8</v>
      </c>
    </row>
    <row r="115" spans="1:56" x14ac:dyDescent="0.25">
      <c r="A115" s="30">
        <v>1.7715610000000011</v>
      </c>
      <c r="C115" s="1" t="str">
        <f>ADDRESS(C121+1,D121,1,1)</f>
        <v>$BD$125</v>
      </c>
      <c r="AW115" s="27" t="s">
        <v>8</v>
      </c>
      <c r="AZ115" s="27" t="s">
        <v>7</v>
      </c>
      <c r="BA115" s="27" t="s">
        <v>8</v>
      </c>
      <c r="BB115" s="27" t="s">
        <v>7</v>
      </c>
      <c r="BC115" s="27" t="s">
        <v>8</v>
      </c>
    </row>
    <row r="116" spans="1:56" x14ac:dyDescent="0.25">
      <c r="A116" s="30">
        <v>1.6105100000000008</v>
      </c>
      <c r="C116" s="1">
        <f>C117-1</f>
        <v>123</v>
      </c>
      <c r="AW116" s="27" t="s">
        <v>8</v>
      </c>
      <c r="AZ116" s="27" t="s">
        <v>7</v>
      </c>
      <c r="BA116" s="27" t="s">
        <v>8</v>
      </c>
      <c r="BB116" s="27" t="s">
        <v>7</v>
      </c>
      <c r="BC116" s="27" t="s">
        <v>8</v>
      </c>
      <c r="BD116" s="27" t="s">
        <v>7</v>
      </c>
    </row>
    <row r="117" spans="1:56" x14ac:dyDescent="0.25">
      <c r="A117" s="30">
        <v>1.4641000000000006</v>
      </c>
      <c r="C117" s="1">
        <f>C121</f>
        <v>124</v>
      </c>
      <c r="D117" s="1">
        <f>D121</f>
        <v>56</v>
      </c>
      <c r="AQ117" s="27" t="s">
        <v>8</v>
      </c>
      <c r="AW117" s="27" t="s">
        <v>8</v>
      </c>
      <c r="AZ117" s="27" t="s">
        <v>7</v>
      </c>
      <c r="BB117" s="27" t="s">
        <v>7</v>
      </c>
      <c r="BC117" s="27" t="s">
        <v>8</v>
      </c>
      <c r="BD117" s="27" t="s">
        <v>7</v>
      </c>
    </row>
    <row r="118" spans="1:56" x14ac:dyDescent="0.25">
      <c r="A118" s="30">
        <v>1.3310000000000004</v>
      </c>
      <c r="C118" s="1">
        <f>C117+1</f>
        <v>125</v>
      </c>
      <c r="D118" s="1">
        <f>D117+1</f>
        <v>57</v>
      </c>
      <c r="AQ118" s="27" t="s">
        <v>8</v>
      </c>
      <c r="AR118" s="27" t="s">
        <v>7</v>
      </c>
      <c r="AW118" s="27" t="s">
        <v>8</v>
      </c>
      <c r="BB118" s="27" t="s">
        <v>7</v>
      </c>
      <c r="BD118" s="27" t="s">
        <v>7</v>
      </c>
    </row>
    <row r="119" spans="1:56" x14ac:dyDescent="0.25">
      <c r="A119" s="30">
        <v>1.2100000000000002</v>
      </c>
      <c r="AQ119" s="27" t="s">
        <v>8</v>
      </c>
      <c r="AR119" s="27" t="s">
        <v>7</v>
      </c>
      <c r="AU119" s="27" t="s">
        <v>8</v>
      </c>
      <c r="AW119" s="27" t="s">
        <v>8</v>
      </c>
      <c r="BD119" s="27" t="s">
        <v>7</v>
      </c>
    </row>
    <row r="120" spans="1:56" x14ac:dyDescent="0.25">
      <c r="A120" s="30">
        <v>1.1000000000000001</v>
      </c>
      <c r="C120" s="1" t="s">
        <v>9</v>
      </c>
      <c r="AO120" s="27" t="s">
        <v>8</v>
      </c>
      <c r="AQ120" s="27" t="s">
        <v>8</v>
      </c>
      <c r="AR120" s="27" t="s">
        <v>7</v>
      </c>
      <c r="AS120" s="27" t="s">
        <v>8</v>
      </c>
      <c r="AU120" s="27" t="s">
        <v>8</v>
      </c>
      <c r="AV120" s="27" t="s">
        <v>7</v>
      </c>
      <c r="AW120" s="27" t="s">
        <v>8</v>
      </c>
      <c r="BD120" s="27" t="s">
        <v>7</v>
      </c>
    </row>
    <row r="121" spans="1:56" x14ac:dyDescent="0.25">
      <c r="A121" s="30">
        <v>1</v>
      </c>
      <c r="C121" s="18">
        <v>124</v>
      </c>
      <c r="D121" s="19">
        <v>56</v>
      </c>
      <c r="E121" s="18" t="s">
        <v>8</v>
      </c>
      <c r="W121" s="27" t="s">
        <v>8</v>
      </c>
      <c r="AO121" s="27" t="s">
        <v>8</v>
      </c>
      <c r="AP121" s="27" t="s">
        <v>7</v>
      </c>
      <c r="AQ121" s="27" t="s">
        <v>8</v>
      </c>
      <c r="AR121" s="27" t="s">
        <v>7</v>
      </c>
      <c r="AS121" s="27" t="s">
        <v>8</v>
      </c>
      <c r="AT121" s="27" t="s">
        <v>7</v>
      </c>
      <c r="AU121" s="27" t="s">
        <v>8</v>
      </c>
      <c r="AV121" s="27" t="s">
        <v>7</v>
      </c>
      <c r="AW121" s="27" t="s">
        <v>8</v>
      </c>
      <c r="BD121" s="27" t="s">
        <v>7</v>
      </c>
    </row>
    <row r="122" spans="1:56" x14ac:dyDescent="0.25">
      <c r="A122" s="30">
        <v>0.90909090909090895</v>
      </c>
      <c r="C122" s="1" t="str">
        <f>INDEX(1:1048576,C117,D117)</f>
        <v>O</v>
      </c>
      <c r="F122" s="27" t="s">
        <v>7</v>
      </c>
      <c r="W122" s="27" t="s">
        <v>8</v>
      </c>
      <c r="X122" s="27" t="s">
        <v>7</v>
      </c>
      <c r="AO122" s="27" t="s">
        <v>8</v>
      </c>
      <c r="AP122" s="27" t="s">
        <v>7</v>
      </c>
      <c r="AQ122" s="27" t="s">
        <v>8</v>
      </c>
      <c r="AR122" s="27" t="s">
        <v>7</v>
      </c>
      <c r="AS122" s="27" t="s">
        <v>8</v>
      </c>
      <c r="AT122" s="27" t="s">
        <v>7</v>
      </c>
      <c r="AU122" s="27" t="s">
        <v>8</v>
      </c>
      <c r="AV122" s="27" t="s">
        <v>7</v>
      </c>
      <c r="BD122" s="27" t="s">
        <v>7</v>
      </c>
    </row>
    <row r="123" spans="1:56" x14ac:dyDescent="0.25">
      <c r="A123" s="30">
        <v>0.82644628099173523</v>
      </c>
      <c r="C123" s="1" t="str">
        <f>"R"&amp;C121</f>
        <v>R124</v>
      </c>
      <c r="D123" s="1" t="str">
        <f>"C"&amp;D121</f>
        <v>C56</v>
      </c>
      <c r="F123" s="27" t="s">
        <v>7</v>
      </c>
      <c r="W123" s="27" t="s">
        <v>8</v>
      </c>
      <c r="X123" s="27" t="s">
        <v>7</v>
      </c>
      <c r="AE123" s="27" t="s">
        <v>8</v>
      </c>
      <c r="AO123" s="27" t="s">
        <v>8</v>
      </c>
      <c r="AP123" s="27" t="s">
        <v>7</v>
      </c>
      <c r="AQ123" s="27" t="s">
        <v>8</v>
      </c>
      <c r="AR123" s="27" t="s">
        <v>7</v>
      </c>
      <c r="AS123" s="27" t="s">
        <v>8</v>
      </c>
      <c r="AT123" s="27" t="s">
        <v>7</v>
      </c>
      <c r="BD123" s="27" t="s">
        <v>7</v>
      </c>
    </row>
    <row r="124" spans="1:5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U124" s="27" t="s">
        <v>8</v>
      </c>
      <c r="W124" s="27" t="s">
        <v>8</v>
      </c>
      <c r="X124" s="27" t="s">
        <v>7</v>
      </c>
      <c r="Y124" s="27" t="s">
        <v>8</v>
      </c>
      <c r="AE124" s="27" t="s">
        <v>8</v>
      </c>
      <c r="AF124" s="27" t="s">
        <v>7</v>
      </c>
      <c r="AO124" s="27" t="s">
        <v>8</v>
      </c>
      <c r="AP124" s="27" t="s">
        <v>7</v>
      </c>
      <c r="AQ124" s="27" t="s">
        <v>8</v>
      </c>
      <c r="AR124" s="27" t="s">
        <v>7</v>
      </c>
      <c r="BD124" s="27" t="s">
        <v>7</v>
      </c>
    </row>
    <row r="125" spans="1:56" x14ac:dyDescent="0.25">
      <c r="A125" s="30">
        <v>0.68301345536507019</v>
      </c>
      <c r="F125" s="27" t="s">
        <v>7</v>
      </c>
      <c r="U125" s="27" t="s">
        <v>8</v>
      </c>
      <c r="V125" s="27" t="s">
        <v>7</v>
      </c>
      <c r="W125" s="27" t="s">
        <v>8</v>
      </c>
      <c r="X125" s="27" t="s">
        <v>7</v>
      </c>
      <c r="Y125" s="27" t="s">
        <v>8</v>
      </c>
      <c r="Z125" s="27" t="s">
        <v>7</v>
      </c>
      <c r="AE125" s="27" t="s">
        <v>8</v>
      </c>
      <c r="AF125" s="27" t="s">
        <v>7</v>
      </c>
      <c r="AO125" s="27" t="s">
        <v>8</v>
      </c>
      <c r="AP125" s="27" t="s">
        <v>7</v>
      </c>
      <c r="AQ125" s="27" t="s">
        <v>8</v>
      </c>
    </row>
    <row r="126" spans="1:56" x14ac:dyDescent="0.25">
      <c r="A126" s="30">
        <v>0.6209213230591546</v>
      </c>
      <c r="C126" s="1" t="s">
        <v>10</v>
      </c>
      <c r="F126" s="27" t="s">
        <v>7</v>
      </c>
      <c r="U126" s="27" t="s">
        <v>8</v>
      </c>
      <c r="V126" s="27" t="s">
        <v>7</v>
      </c>
      <c r="W126" s="27" t="s">
        <v>8</v>
      </c>
      <c r="X126" s="27" t="s">
        <v>7</v>
      </c>
      <c r="Y126" s="27" t="s">
        <v>8</v>
      </c>
      <c r="Z126" s="27" t="s">
        <v>7</v>
      </c>
      <c r="AA126" s="27" t="s">
        <v>8</v>
      </c>
      <c r="AC126" s="27" t="s">
        <v>8</v>
      </c>
      <c r="AE126" s="27" t="s">
        <v>8</v>
      </c>
      <c r="AF126" s="27" t="s">
        <v>7</v>
      </c>
      <c r="AI126" s="27" t="s">
        <v>8</v>
      </c>
      <c r="AO126" s="27" t="s">
        <v>8</v>
      </c>
      <c r="AP126" s="27" t="s">
        <v>7</v>
      </c>
      <c r="AQ126" s="27" t="s">
        <v>8</v>
      </c>
    </row>
    <row r="127" spans="1:56" x14ac:dyDescent="0.25">
      <c r="A127" s="30">
        <v>0.56447393005377677</v>
      </c>
      <c r="C127" s="30">
        <v>0.75131480090157732</v>
      </c>
      <c r="D127"/>
      <c r="F127" s="27" t="s">
        <v>7</v>
      </c>
      <c r="U127" s="27" t="s">
        <v>8</v>
      </c>
      <c r="V127" s="27" t="s">
        <v>7</v>
      </c>
      <c r="W127" s="27" t="s">
        <v>8</v>
      </c>
      <c r="X127" s="27" t="s">
        <v>7</v>
      </c>
      <c r="Y127" s="27" t="s">
        <v>8</v>
      </c>
      <c r="Z127" s="27" t="s">
        <v>7</v>
      </c>
      <c r="AA127" s="27" t="s">
        <v>8</v>
      </c>
      <c r="AB127" s="27" t="s">
        <v>7</v>
      </c>
      <c r="AC127" s="27" t="s">
        <v>8</v>
      </c>
      <c r="AD127" s="27" t="s">
        <v>7</v>
      </c>
      <c r="AE127" s="27" t="s">
        <v>8</v>
      </c>
      <c r="AF127" s="27" t="s">
        <v>7</v>
      </c>
      <c r="AG127" s="27" t="s">
        <v>8</v>
      </c>
      <c r="AI127" s="27" t="s">
        <v>8</v>
      </c>
      <c r="AJ127" s="27" t="s">
        <v>7</v>
      </c>
      <c r="AO127" s="27" t="s">
        <v>8</v>
      </c>
      <c r="AP127" s="27" t="s">
        <v>7</v>
      </c>
      <c r="AQ127" s="27" t="s">
        <v>8</v>
      </c>
    </row>
    <row r="128" spans="1:56" x14ac:dyDescent="0.25">
      <c r="A128" s="30">
        <v>0.51315811823070612</v>
      </c>
      <c r="F128" s="27" t="s">
        <v>7</v>
      </c>
      <c r="U128" s="27" t="s">
        <v>8</v>
      </c>
      <c r="V128" s="27" t="s">
        <v>7</v>
      </c>
      <c r="W128" s="27" t="s">
        <v>8</v>
      </c>
      <c r="X128" s="27" t="s">
        <v>7</v>
      </c>
      <c r="Z128" s="27" t="s">
        <v>7</v>
      </c>
      <c r="AA128" s="27" t="s">
        <v>8</v>
      </c>
      <c r="AB128" s="27" t="s">
        <v>7</v>
      </c>
      <c r="AC128" s="27" t="s">
        <v>8</v>
      </c>
      <c r="AD128" s="27" t="s">
        <v>7</v>
      </c>
      <c r="AE128" s="27" t="s">
        <v>8</v>
      </c>
      <c r="AF128" s="27" t="s">
        <v>7</v>
      </c>
      <c r="AG128" s="27" t="s">
        <v>8</v>
      </c>
      <c r="AH128" s="27" t="s">
        <v>7</v>
      </c>
      <c r="AI128" s="27" t="s">
        <v>8</v>
      </c>
      <c r="AJ128" s="27" t="s">
        <v>7</v>
      </c>
      <c r="AM128" s="27" t="s">
        <v>8</v>
      </c>
      <c r="AO128" s="27" t="s">
        <v>8</v>
      </c>
      <c r="AP128" s="27" t="s">
        <v>7</v>
      </c>
    </row>
    <row r="129" spans="1:41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G129" s="27" t="s">
        <v>8</v>
      </c>
      <c r="U129" s="27" t="s">
        <v>8</v>
      </c>
      <c r="V129" s="27" t="s">
        <v>7</v>
      </c>
      <c r="Z129" s="27" t="s">
        <v>7</v>
      </c>
      <c r="AB129" s="27" t="s">
        <v>7</v>
      </c>
      <c r="AD129" s="27" t="s">
        <v>7</v>
      </c>
      <c r="AE129" s="27" t="s">
        <v>8</v>
      </c>
      <c r="AF129" s="27" t="s">
        <v>7</v>
      </c>
      <c r="AG129" s="27" t="s">
        <v>8</v>
      </c>
      <c r="AH129" s="27" t="s">
        <v>7</v>
      </c>
      <c r="AI129" s="27" t="s">
        <v>8</v>
      </c>
      <c r="AJ129" s="27" t="s">
        <v>7</v>
      </c>
      <c r="AM129" s="27" t="s">
        <v>8</v>
      </c>
      <c r="AN129" s="27" t="s">
        <v>7</v>
      </c>
      <c r="AO129" s="27" t="s">
        <v>8</v>
      </c>
    </row>
    <row r="130" spans="1:41" x14ac:dyDescent="0.25">
      <c r="A130" s="30">
        <v>0.42409761837248428</v>
      </c>
      <c r="C130" s="6"/>
      <c r="D130" s="6"/>
      <c r="E130"/>
      <c r="F130" s="27" t="s">
        <v>7</v>
      </c>
      <c r="G130" s="27" t="s">
        <v>8</v>
      </c>
      <c r="H130" s="27" t="s">
        <v>7</v>
      </c>
      <c r="O130" s="27" t="s">
        <v>8</v>
      </c>
      <c r="S130" s="27" t="s">
        <v>8</v>
      </c>
      <c r="U130" s="27" t="s">
        <v>8</v>
      </c>
      <c r="AD130" s="27" t="s">
        <v>7</v>
      </c>
      <c r="AE130" s="27" t="s">
        <v>8</v>
      </c>
      <c r="AF130" s="27" t="s">
        <v>7</v>
      </c>
      <c r="AG130" s="27" t="s">
        <v>8</v>
      </c>
      <c r="AH130" s="27" t="s">
        <v>7</v>
      </c>
      <c r="AI130" s="27" t="s">
        <v>8</v>
      </c>
      <c r="AJ130" s="27" t="s">
        <v>7</v>
      </c>
      <c r="AK130" s="27" t="s">
        <v>8</v>
      </c>
      <c r="AM130" s="27" t="s">
        <v>8</v>
      </c>
      <c r="AN130" s="27" t="s">
        <v>7</v>
      </c>
      <c r="AO130" s="27" t="s">
        <v>8</v>
      </c>
    </row>
    <row r="131" spans="1:41" x14ac:dyDescent="0.25">
      <c r="A131" s="30">
        <v>0.38554328942953109</v>
      </c>
      <c r="E131"/>
      <c r="F131" s="27" t="s">
        <v>7</v>
      </c>
      <c r="G131" s="27" t="s">
        <v>8</v>
      </c>
      <c r="H131" s="27" t="s">
        <v>7</v>
      </c>
      <c r="O131" s="27" t="s">
        <v>8</v>
      </c>
      <c r="P131" s="27" t="s">
        <v>7</v>
      </c>
      <c r="S131" s="27" t="s">
        <v>8</v>
      </c>
      <c r="T131" s="27" t="s">
        <v>7</v>
      </c>
      <c r="U131" s="27" t="s">
        <v>8</v>
      </c>
      <c r="AD131" s="27" t="s">
        <v>7</v>
      </c>
      <c r="AF131" s="27" t="s">
        <v>7</v>
      </c>
      <c r="AG131" s="27" t="s">
        <v>8</v>
      </c>
      <c r="AH131" s="27" t="s">
        <v>7</v>
      </c>
      <c r="AJ131" s="27" t="s">
        <v>7</v>
      </c>
      <c r="AK131" s="27" t="s">
        <v>8</v>
      </c>
      <c r="AL131" s="27" t="s">
        <v>7</v>
      </c>
      <c r="AM131" s="27" t="s">
        <v>8</v>
      </c>
      <c r="AN131" s="27" t="s">
        <v>7</v>
      </c>
    </row>
    <row r="132" spans="1:41" x14ac:dyDescent="0.25">
      <c r="A132" s="30">
        <v>0.35049389948139187</v>
      </c>
      <c r="C132" s="1" t="s">
        <v>13</v>
      </c>
      <c r="E132"/>
      <c r="F132" s="27" t="s">
        <v>7</v>
      </c>
      <c r="G132" s="27" t="s">
        <v>8</v>
      </c>
      <c r="H132" s="27" t="s">
        <v>7</v>
      </c>
      <c r="O132" s="27" t="s">
        <v>8</v>
      </c>
      <c r="P132" s="27" t="s">
        <v>7</v>
      </c>
      <c r="S132" s="27" t="s">
        <v>8</v>
      </c>
      <c r="T132" s="27" t="s">
        <v>7</v>
      </c>
      <c r="U132" s="27" t="s">
        <v>8</v>
      </c>
      <c r="AF132" s="27" t="s">
        <v>7</v>
      </c>
      <c r="AG132" s="27" t="s">
        <v>8</v>
      </c>
      <c r="AJ132" s="27" t="s">
        <v>7</v>
      </c>
      <c r="AK132" s="27" t="s">
        <v>8</v>
      </c>
      <c r="AL132" s="27" t="s">
        <v>7</v>
      </c>
      <c r="AM132" s="27" t="s">
        <v>8</v>
      </c>
    </row>
    <row r="133" spans="1:41" x14ac:dyDescent="0.25">
      <c r="A133" s="30">
        <v>0.31863081771035617</v>
      </c>
      <c r="C133" s="1" t="str">
        <f>C122</f>
        <v>O</v>
      </c>
      <c r="E133"/>
      <c r="F133" s="27" t="s">
        <v>7</v>
      </c>
      <c r="H133" s="27" t="s">
        <v>7</v>
      </c>
      <c r="I133" s="27" t="s">
        <v>8</v>
      </c>
      <c r="O133" s="27" t="s">
        <v>8</v>
      </c>
      <c r="P133" s="27" t="s">
        <v>7</v>
      </c>
      <c r="S133" s="27" t="s">
        <v>8</v>
      </c>
      <c r="T133" s="27" t="s">
        <v>7</v>
      </c>
      <c r="U133" s="27" t="s">
        <v>8</v>
      </c>
      <c r="AF133" s="27" t="s">
        <v>7</v>
      </c>
      <c r="AG133" s="27" t="s">
        <v>8</v>
      </c>
      <c r="AJ133" s="27" t="s">
        <v>7</v>
      </c>
      <c r="AK133" s="27" t="s">
        <v>8</v>
      </c>
      <c r="AL133" s="27" t="s">
        <v>7</v>
      </c>
      <c r="AM133" s="27" t="s">
        <v>8</v>
      </c>
    </row>
    <row r="134" spans="1:41" x14ac:dyDescent="0.25">
      <c r="A134" s="30">
        <v>0.28966437973668741</v>
      </c>
      <c r="C134"/>
      <c r="D134"/>
      <c r="E134"/>
      <c r="H134" s="27" t="s">
        <v>7</v>
      </c>
      <c r="I134" s="27" t="s">
        <v>8</v>
      </c>
      <c r="J134" s="27" t="s">
        <v>7</v>
      </c>
      <c r="O134" s="27" t="s">
        <v>8</v>
      </c>
      <c r="P134" s="27" t="s">
        <v>7</v>
      </c>
      <c r="Q134" s="27" t="s">
        <v>8</v>
      </c>
      <c r="S134" s="27" t="s">
        <v>8</v>
      </c>
      <c r="T134" s="27" t="s">
        <v>7</v>
      </c>
      <c r="AF134" s="27" t="s">
        <v>7</v>
      </c>
      <c r="AJ134" s="27" t="s">
        <v>7</v>
      </c>
      <c r="AK134" s="27" t="s">
        <v>8</v>
      </c>
      <c r="AL134" s="18" t="s">
        <v>7</v>
      </c>
      <c r="AM134" s="27" t="s">
        <v>8</v>
      </c>
    </row>
    <row r="135" spans="1:41" x14ac:dyDescent="0.25">
      <c r="A135" s="30">
        <v>0.2633312543060794</v>
      </c>
      <c r="C135" s="1" t="s">
        <v>14</v>
      </c>
      <c r="E135"/>
      <c r="H135" s="27" t="s">
        <v>7</v>
      </c>
      <c r="I135" s="27" t="s">
        <v>8</v>
      </c>
      <c r="J135" s="27" t="s">
        <v>7</v>
      </c>
      <c r="O135" s="27" t="s">
        <v>8</v>
      </c>
      <c r="P135" s="27" t="s">
        <v>7</v>
      </c>
      <c r="Q135" s="27" t="s">
        <v>8</v>
      </c>
      <c r="R135" s="27" t="s">
        <v>7</v>
      </c>
      <c r="S135" s="27" t="s">
        <v>8</v>
      </c>
      <c r="AJ135" s="27" t="s">
        <v>7</v>
      </c>
      <c r="AK135" s="27" t="s">
        <v>8</v>
      </c>
      <c r="AL135" s="27" t="s">
        <v>7</v>
      </c>
    </row>
    <row r="136" spans="1:41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H136" s="27" t="s">
        <v>7</v>
      </c>
      <c r="I136" s="27" t="s">
        <v>8</v>
      </c>
      <c r="J136" s="27" t="s">
        <v>7</v>
      </c>
      <c r="O136" s="27" t="s">
        <v>8</v>
      </c>
      <c r="P136" s="27" t="s">
        <v>7</v>
      </c>
      <c r="Q136" s="27" t="s">
        <v>8</v>
      </c>
      <c r="R136" s="27" t="s">
        <v>7</v>
      </c>
      <c r="S136" s="27" t="s">
        <v>8</v>
      </c>
      <c r="AJ136" s="27" t="s">
        <v>7</v>
      </c>
      <c r="AK136" s="27" t="s">
        <v>8</v>
      </c>
    </row>
    <row r="137" spans="1:41" x14ac:dyDescent="0.25">
      <c r="A137" s="30">
        <v>0.2176291357901482</v>
      </c>
      <c r="E137"/>
      <c r="H137" s="27" t="s">
        <v>7</v>
      </c>
      <c r="J137" s="27" t="s">
        <v>7</v>
      </c>
      <c r="O137" s="27" t="s">
        <v>8</v>
      </c>
      <c r="P137" s="27" t="s">
        <v>7</v>
      </c>
      <c r="Q137" s="27" t="s">
        <v>8</v>
      </c>
      <c r="R137" s="27" t="s">
        <v>7</v>
      </c>
      <c r="AJ137" s="27" t="s">
        <v>7</v>
      </c>
      <c r="AK137" s="27" t="s">
        <v>8</v>
      </c>
    </row>
    <row r="138" spans="1:41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J138" s="27" t="s">
        <v>7</v>
      </c>
      <c r="O138" s="27" t="s">
        <v>8</v>
      </c>
      <c r="P138" s="27" t="s">
        <v>7</v>
      </c>
      <c r="Q138" s="27" t="s">
        <v>8</v>
      </c>
      <c r="AJ138" s="27" t="s">
        <v>7</v>
      </c>
      <c r="AK138" s="27" t="s">
        <v>8</v>
      </c>
    </row>
    <row r="139" spans="1:41" x14ac:dyDescent="0.25">
      <c r="A139" s="30">
        <v>0.17985878990921333</v>
      </c>
      <c r="E139"/>
      <c r="J139" s="27" t="s">
        <v>7</v>
      </c>
      <c r="O139" s="27" t="s">
        <v>8</v>
      </c>
      <c r="P139" s="27" t="s">
        <v>7</v>
      </c>
      <c r="AJ139" s="27" t="s">
        <v>7</v>
      </c>
    </row>
    <row r="140" spans="1:41" x14ac:dyDescent="0.25">
      <c r="A140" s="30">
        <v>0.16350799082655756</v>
      </c>
      <c r="C140" s="1">
        <v>0</v>
      </c>
      <c r="E140"/>
      <c r="J140" s="27" t="s">
        <v>7</v>
      </c>
      <c r="O140" s="27" t="s">
        <v>8</v>
      </c>
    </row>
    <row r="141" spans="1:41" x14ac:dyDescent="0.25">
      <c r="A141" s="30">
        <v>0.14864362802414322</v>
      </c>
      <c r="C141" s="1">
        <v>1</v>
      </c>
      <c r="E141"/>
      <c r="J141" s="27" t="s">
        <v>7</v>
      </c>
      <c r="K141" s="27" t="s">
        <v>8</v>
      </c>
      <c r="M141" s="27" t="s">
        <v>8</v>
      </c>
      <c r="O141" s="27" t="s">
        <v>8</v>
      </c>
    </row>
    <row r="142" spans="1:41" x14ac:dyDescent="0.25">
      <c r="A142" s="30">
        <v>0.13513057093103928</v>
      </c>
      <c r="C142" s="1">
        <v>2</v>
      </c>
      <c r="E142"/>
      <c r="J142" s="27" t="s">
        <v>7</v>
      </c>
      <c r="K142" s="27" t="s">
        <v>8</v>
      </c>
      <c r="L142" s="27" t="s">
        <v>7</v>
      </c>
      <c r="M142" s="27" t="s">
        <v>8</v>
      </c>
      <c r="N142" s="27" t="s">
        <v>7</v>
      </c>
      <c r="O142" s="27" t="s">
        <v>8</v>
      </c>
    </row>
    <row r="143" spans="1:41" x14ac:dyDescent="0.25">
      <c r="A143" s="30">
        <v>0.12284597357367205</v>
      </c>
      <c r="C143" s="1">
        <v>3</v>
      </c>
      <c r="E143"/>
      <c r="J143" s="27" t="s">
        <v>7</v>
      </c>
      <c r="K143" s="27" t="s">
        <v>8</v>
      </c>
      <c r="L143" s="27" t="s">
        <v>7</v>
      </c>
      <c r="M143" s="27" t="s">
        <v>8</v>
      </c>
      <c r="N143" s="27" t="s">
        <v>7</v>
      </c>
      <c r="O143" s="27" t="s">
        <v>8</v>
      </c>
    </row>
    <row r="144" spans="1:41" x14ac:dyDescent="0.25">
      <c r="A144" s="30">
        <v>0.11167815779424731</v>
      </c>
      <c r="C144" s="1">
        <v>4</v>
      </c>
      <c r="E144"/>
      <c r="J144" s="27" t="s">
        <v>7</v>
      </c>
      <c r="L144" s="27" t="s">
        <v>7</v>
      </c>
      <c r="M144" s="27" t="s">
        <v>8</v>
      </c>
      <c r="N144" s="27" t="s">
        <v>7</v>
      </c>
    </row>
    <row r="145" spans="1:12" x14ac:dyDescent="0.25">
      <c r="A145" s="30">
        <v>0.10152559799477026</v>
      </c>
      <c r="B145"/>
      <c r="C145"/>
      <c r="D145"/>
      <c r="E145"/>
      <c r="L145" s="27" t="s">
        <v>7</v>
      </c>
    </row>
    <row r="146" spans="1:12" x14ac:dyDescent="0.25">
      <c r="A146" s="30">
        <v>9.2295998177063854E-2</v>
      </c>
      <c r="B146"/>
      <c r="C146"/>
      <c r="D146"/>
      <c r="E146"/>
    </row>
    <row r="147" spans="1:12" x14ac:dyDescent="0.25">
      <c r="A147" s="30">
        <v>8.3905452888239848E-2</v>
      </c>
      <c r="B147"/>
      <c r="C147"/>
      <c r="D147"/>
      <c r="E147"/>
    </row>
    <row r="148" spans="1:12" x14ac:dyDescent="0.25">
      <c r="A148" s="30">
        <v>7.6277684443854396E-2</v>
      </c>
      <c r="B148"/>
      <c r="C148"/>
      <c r="D148"/>
      <c r="E148"/>
    </row>
    <row r="149" spans="1:12" x14ac:dyDescent="0.25">
      <c r="A149" s="30">
        <v>6.9343349494413078E-2</v>
      </c>
      <c r="B149"/>
      <c r="C149"/>
      <c r="D149"/>
      <c r="E149"/>
    </row>
    <row r="150" spans="1:12" x14ac:dyDescent="0.25">
      <c r="A150" s="30">
        <v>6.3039408631284613E-2</v>
      </c>
      <c r="B150"/>
      <c r="C150"/>
      <c r="D150"/>
      <c r="E150"/>
    </row>
    <row r="151" spans="1:12" x14ac:dyDescent="0.25">
      <c r="A151" s="30">
        <v>5.7308553301167818E-2</v>
      </c>
      <c r="B151"/>
      <c r="C151"/>
      <c r="D151"/>
      <c r="E151"/>
    </row>
    <row r="152" spans="1:12" x14ac:dyDescent="0.25">
      <c r="A152" s="30">
        <v>5.2098684819243464E-2</v>
      </c>
      <c r="B152"/>
      <c r="C152"/>
      <c r="D152"/>
      <c r="E152"/>
    </row>
    <row r="153" spans="1:12" x14ac:dyDescent="0.25">
      <c r="A153" s="30">
        <v>4.7362440744766775E-2</v>
      </c>
      <c r="B153"/>
      <c r="C153"/>
      <c r="D153"/>
      <c r="E153"/>
    </row>
    <row r="154" spans="1:12" x14ac:dyDescent="0.25">
      <c r="A154" s="30">
        <v>4.3056764313424332E-2</v>
      </c>
      <c r="B154"/>
      <c r="C154"/>
      <c r="D154"/>
      <c r="E154"/>
    </row>
    <row r="155" spans="1:12" x14ac:dyDescent="0.25">
      <c r="A155" s="30">
        <v>3.9142513012203929E-2</v>
      </c>
      <c r="B155"/>
      <c r="C155"/>
      <c r="D155"/>
      <c r="E155"/>
    </row>
    <row r="156" spans="1:12" x14ac:dyDescent="0.25">
      <c r="A156" s="30">
        <v>3.55841027383672E-2</v>
      </c>
      <c r="B156"/>
      <c r="C156"/>
      <c r="D156"/>
      <c r="E156"/>
    </row>
    <row r="157" spans="1:12" x14ac:dyDescent="0.25">
      <c r="A157" s="30">
        <v>3.2349184307606541E-2</v>
      </c>
      <c r="B157"/>
      <c r="C157"/>
      <c r="D157"/>
      <c r="E157"/>
    </row>
    <row r="158" spans="1:12" x14ac:dyDescent="0.25">
      <c r="A158" s="30">
        <v>2.9408349370551395E-2</v>
      </c>
      <c r="B158"/>
      <c r="C158"/>
      <c r="D158"/>
      <c r="E158"/>
    </row>
    <row r="159" spans="1:12" x14ac:dyDescent="0.25">
      <c r="A159" s="30">
        <v>2.6734863064137627E-2</v>
      </c>
      <c r="B159"/>
      <c r="C159"/>
      <c r="D159"/>
      <c r="E159"/>
    </row>
    <row r="160" spans="1:12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045" operator="equal">
      <formula>$U$1</formula>
    </cfRule>
    <cfRule type="cellIs" dxfId="30" priority="1046" operator="equal">
      <formula>$S$1</formula>
    </cfRule>
  </conditionalFormatting>
  <conditionalFormatting sqref="D136">
    <cfRule type="cellIs" dxfId="29" priority="1043" operator="equal">
      <formula>$S$1</formula>
    </cfRule>
    <cfRule type="cellIs" dxfId="28" priority="1044" operator="equal">
      <formula>$U$1</formula>
    </cfRule>
  </conditionalFormatting>
  <conditionalFormatting sqref="C102">
    <cfRule type="cellIs" dxfId="27" priority="1041" operator="equal">
      <formula>$U$1</formula>
    </cfRule>
    <cfRule type="cellIs" dxfId="26" priority="1042" operator="equal">
      <formula>$S$1</formula>
    </cfRule>
  </conditionalFormatting>
  <conditionalFormatting sqref="D102">
    <cfRule type="cellIs" dxfId="25" priority="1039" operator="equal">
      <formula>$S$1</formula>
    </cfRule>
    <cfRule type="cellIs" dxfId="24" priority="1040" operator="equal">
      <formula>$U$1</formula>
    </cfRule>
  </conditionalFormatting>
  <conditionalFormatting sqref="C77">
    <cfRule type="cellIs" dxfId="23" priority="1037" operator="equal">
      <formula>$U$1</formula>
    </cfRule>
    <cfRule type="cellIs" dxfId="22" priority="1038" operator="equal">
      <formula>$S$1</formula>
    </cfRule>
  </conditionalFormatting>
  <conditionalFormatting sqref="D77">
    <cfRule type="cellIs" dxfId="21" priority="1035" operator="equal">
      <formula>$S$1</formula>
    </cfRule>
    <cfRule type="cellIs" dxfId="20" priority="1036" operator="equal">
      <formula>$U$1</formula>
    </cfRule>
  </conditionalFormatting>
  <conditionalFormatting sqref="C52">
    <cfRule type="cellIs" dxfId="19" priority="1033" operator="equal">
      <formula>$U$1</formula>
    </cfRule>
    <cfRule type="cellIs" dxfId="18" priority="1034" operator="equal">
      <formula>$S$1</formula>
    </cfRule>
  </conditionalFormatting>
  <conditionalFormatting sqref="D52">
    <cfRule type="cellIs" dxfId="17" priority="1031" operator="equal">
      <formula>$S$1</formula>
    </cfRule>
    <cfRule type="cellIs" dxfId="16" priority="1032" operator="equal">
      <formula>$U$1</formula>
    </cfRule>
  </conditionalFormatting>
  <conditionalFormatting sqref="C26">
    <cfRule type="cellIs" dxfId="15" priority="1029" operator="equal">
      <formula>$U$1</formula>
    </cfRule>
    <cfRule type="cellIs" dxfId="14" priority="1030" operator="equal">
      <formula>$S$1</formula>
    </cfRule>
  </conditionalFormatting>
  <conditionalFormatting sqref="D26">
    <cfRule type="cellIs" dxfId="13" priority="1027" operator="equal">
      <formula>$S$1</formula>
    </cfRule>
    <cfRule type="cellIs" dxfId="12" priority="1028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2022-01-28T01:17:24Z</dcterms:modified>
</cp:coreProperties>
</file>