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0E21D4E-8182-4DA3-9BB2-D448A89076B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16" i="5"/>
  <c r="C122" i="5"/>
  <c r="C133" i="5" s="1"/>
  <c r="D136" i="5" s="1"/>
  <c r="C118" i="4"/>
  <c r="C116" i="4"/>
  <c r="C118" i="3"/>
  <c r="R765" i="1"/>
  <c r="S765" i="1" s="1"/>
  <c r="T765" i="1" s="1"/>
  <c r="C122" i="3"/>
  <c r="C133" i="3" s="1"/>
  <c r="C136" i="3" s="1"/>
  <c r="D118" i="3"/>
  <c r="R764" i="1" l="1"/>
  <c r="C136" i="4"/>
  <c r="C138" i="4" s="1"/>
  <c r="C136" i="5"/>
  <c r="C138" i="5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<sst xmlns="http://schemas.openxmlformats.org/spreadsheetml/2006/main" count="6177" uniqueCount="34">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</sst>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0.44190000000000002</c:v>
                </c:pt>
                <c:pt idx="1">
                  <c:v>0.4491</c:v>
                </c:pt>
                <c:pt idx="2">
                  <c:v>0.45519999999999999</c:v>
                </c:pt>
                <c:pt idx="3">
                  <c:v>0.44950000000000001</c:v>
                </c:pt>
                <c:pt idx="4">
                  <c:v>0.47310000000000002</c:v>
                </c:pt>
                <c:pt idx="5">
                  <c:v>0.44929999999999998</c:v>
                </c:pt>
                <c:pt idx="6">
                  <c:v>0.54090000000000005</c:v>
                </c:pt>
                <c:pt idx="7">
                  <c:v>0.67520000000000002</c:v>
                </c:pt>
                <c:pt idx="8">
                  <c:v>0.69599999999999995</c:v>
                </c:pt>
                <c:pt idx="9">
                  <c:v>0.71950000000000003</c:v>
                </c:pt>
                <c:pt idx="10">
                  <c:v>0.71819999999999995</c:v>
                </c:pt>
                <c:pt idx="11">
                  <c:v>0.74429999999999996</c:v>
                </c:pt>
                <c:pt idx="12">
                  <c:v>0.752</c:v>
                </c:pt>
                <c:pt idx="13">
                  <c:v>0.71860000000000002</c:v>
                </c:pt>
                <c:pt idx="14">
                  <c:v>0.71440000000000003</c:v>
                </c:pt>
                <c:pt idx="15">
                  <c:v>0.76200000000000001</c:v>
                </c:pt>
                <c:pt idx="16">
                  <c:v>0.74590000000000001</c:v>
                </c:pt>
                <c:pt idx="17">
                  <c:v>0.71879999999999999</c:v>
                </c:pt>
                <c:pt idx="18">
                  <c:v>0.74070000000000003</c:v>
                </c:pt>
                <c:pt idx="19">
                  <c:v>0.73709999999999998</c:v>
                </c:pt>
                <c:pt idx="20">
                  <c:v>0.72519999999999996</c:v>
                </c:pt>
                <c:pt idx="21">
                  <c:v>0.8155</c:v>
                </c:pt>
                <c:pt idx="22">
                  <c:v>0.81269999999999998</c:v>
                </c:pt>
                <c:pt idx="23">
                  <c:v>0.94599999999999995</c:v>
                </c:pt>
                <c:pt idx="24">
                  <c:v>0.85119999999999996</c:v>
                </c:pt>
                <c:pt idx="25">
                  <c:v>0.84630000000000005</c:v>
                </c:pt>
                <c:pt idx="26">
                  <c:v>0.83279999999999998</c:v>
                </c:pt>
                <c:pt idx="27">
                  <c:v>0.79500000000000004</c:v>
                </c:pt>
                <c:pt idx="28">
                  <c:v>0.79759999999999998</c:v>
                </c:pt>
                <c:pt idx="29">
                  <c:v>0.78879999999999995</c:v>
                </c:pt>
                <c:pt idx="30">
                  <c:v>0.80220000000000002</c:v>
                </c:pt>
                <c:pt idx="31">
                  <c:v>0.88009999999999999</c:v>
                </c:pt>
                <c:pt idx="32">
                  <c:v>0.87009999999999998</c:v>
                </c:pt>
                <c:pt idx="33">
                  <c:v>0.86980000000000002</c:v>
                </c:pt>
                <c:pt idx="34">
                  <c:v>0.89790000000000003</c:v>
                </c:pt>
                <c:pt idx="35">
                  <c:v>0.85619999999999996</c:v>
                </c:pt>
                <c:pt idx="36">
                  <c:v>0.79669999999999996</c:v>
                </c:pt>
                <c:pt idx="37">
                  <c:v>0.76180000000000003</c:v>
                </c:pt>
                <c:pt idx="38">
                  <c:v>0.72699999999999998</c:v>
                </c:pt>
                <c:pt idx="39">
                  <c:v>0.74080000000000001</c:v>
                </c:pt>
                <c:pt idx="40">
                  <c:v>0.74439999999999995</c:v>
                </c:pt>
                <c:pt idx="41">
                  <c:v>0.73740000000000006</c:v>
                </c:pt>
                <c:pt idx="42">
                  <c:v>0.74819999999999998</c:v>
                </c:pt>
                <c:pt idx="43">
                  <c:v>0.79200000000000004</c:v>
                </c:pt>
                <c:pt idx="44">
                  <c:v>0.753</c:v>
                </c:pt>
                <c:pt idx="45">
                  <c:v>0.73350000000000004</c:v>
                </c:pt>
                <c:pt idx="46">
                  <c:v>0.83750000000000002</c:v>
                </c:pt>
                <c:pt idx="47">
                  <c:v>0.81110000000000004</c:v>
                </c:pt>
                <c:pt idx="48">
                  <c:v>0.80079999999999996</c:v>
                </c:pt>
                <c:pt idx="49">
                  <c:v>0.83199999999999996</c:v>
                </c:pt>
                <c:pt idx="50">
                  <c:v>0.88129999999999997</c:v>
                </c:pt>
                <c:pt idx="51">
                  <c:v>0.90690000000000004</c:v>
                </c:pt>
                <c:pt idx="52">
                  <c:v>0.95469999999999999</c:v>
                </c:pt>
                <c:pt idx="53">
                  <c:v>0.91300000000000003</c:v>
                </c:pt>
                <c:pt idx="54">
                  <c:v>0.80200000000000005</c:v>
                </c:pt>
                <c:pt idx="55">
                  <c:v>0.91010000000000002</c:v>
                </c:pt>
                <c:pt idx="56">
                  <c:v>0.89019999999999999</c:v>
                </c:pt>
                <c:pt idx="57">
                  <c:v>0.85860000000000003</c:v>
                </c:pt>
                <c:pt idx="58">
                  <c:v>0.87480000000000002</c:v>
                </c:pt>
                <c:pt idx="59">
                  <c:v>0.8901</c:v>
                </c:pt>
                <c:pt idx="60">
                  <c:v>0.86470000000000002</c:v>
                </c:pt>
                <c:pt idx="61">
                  <c:v>0.87609999999999999</c:v>
                </c:pt>
                <c:pt idx="62">
                  <c:v>0.8518</c:v>
                </c:pt>
                <c:pt idx="63">
                  <c:v>0.93959999999999999</c:v>
                </c:pt>
                <c:pt idx="64">
                  <c:v>0.92069999999999996</c:v>
                </c:pt>
                <c:pt idx="65">
                  <c:v>0.9516</c:v>
                </c:pt>
                <c:pt idx="66">
                  <c:v>0.94310000000000005</c:v>
                </c:pt>
                <c:pt idx="67">
                  <c:v>0.96020000000000005</c:v>
                </c:pt>
                <c:pt idx="68">
                  <c:v>1.0228999999999999</c:v>
                </c:pt>
                <c:pt idx="69">
                  <c:v>0.94920000000000004</c:v>
                </c:pt>
                <c:pt idx="70">
                  <c:v>0.88429999999999997</c:v>
                </c:pt>
                <c:pt idx="71">
                  <c:v>0.92869999999999997</c:v>
                </c:pt>
                <c:pt idx="72">
                  <c:v>0.9083</c:v>
                </c:pt>
                <c:pt idx="73">
                  <c:v>1.0175000000000001</c:v>
                </c:pt>
                <c:pt idx="74">
                  <c:v>1.0567</c:v>
                </c:pt>
                <c:pt idx="75">
                  <c:v>1.0005999999999999</c:v>
                </c:pt>
                <c:pt idx="76">
                  <c:v>0.99119999999999997</c:v>
                </c:pt>
                <c:pt idx="77">
                  <c:v>0.97719999999999996</c:v>
                </c:pt>
                <c:pt idx="78">
                  <c:v>0.94310000000000005</c:v>
                </c:pt>
                <c:pt idx="79">
                  <c:v>1.0302</c:v>
                </c:pt>
                <c:pt idx="80">
                  <c:v>1.0128999999999999</c:v>
                </c:pt>
                <c:pt idx="81">
                  <c:v>1.0089999999999999</c:v>
                </c:pt>
                <c:pt idx="82">
                  <c:v>0.9758</c:v>
                </c:pt>
                <c:pt idx="83">
                  <c:v>0.97319999999999995</c:v>
                </c:pt>
                <c:pt idx="84">
                  <c:v>0.99109999999999998</c:v>
                </c:pt>
                <c:pt idx="85">
                  <c:v>1.0186999999999999</c:v>
                </c:pt>
                <c:pt idx="86">
                  <c:v>1.0494000000000001</c:v>
                </c:pt>
                <c:pt idx="87">
                  <c:v>0.97140000000000004</c:v>
                </c:pt>
                <c:pt idx="88">
                  <c:v>0.98199999999999998</c:v>
                </c:pt>
                <c:pt idx="89">
                  <c:v>0.9728</c:v>
                </c:pt>
                <c:pt idx="90">
                  <c:v>0.95950000000000002</c:v>
                </c:pt>
                <c:pt idx="91">
                  <c:v>0.92100000000000004</c:v>
                </c:pt>
                <c:pt idx="92">
                  <c:v>0.90759999999999996</c:v>
                </c:pt>
                <c:pt idx="93">
                  <c:v>1.0309999999999999</c:v>
                </c:pt>
                <c:pt idx="94">
                  <c:v>1.0647</c:v>
                </c:pt>
                <c:pt idx="95">
                  <c:v>1.0586</c:v>
                </c:pt>
                <c:pt idx="96">
                  <c:v>1.081</c:v>
                </c:pt>
                <c:pt idx="97">
                  <c:v>1.0831</c:v>
                </c:pt>
                <c:pt idx="98">
                  <c:v>1.0590999999999999</c:v>
                </c:pt>
                <c:pt idx="99">
                  <c:v>1.1091</c:v>
                </c:pt>
                <c:pt idx="100">
                  <c:v>1.1288</c:v>
                </c:pt>
                <c:pt idx="101">
                  <c:v>1.0306</c:v>
                </c:pt>
                <c:pt idx="102">
                  <c:v>1.0273000000000001</c:v>
                </c:pt>
                <c:pt idx="103">
                  <c:v>1.0004999999999999</c:v>
                </c:pt>
                <c:pt idx="104">
                  <c:v>1.02</c:v>
                </c:pt>
                <c:pt idx="105">
                  <c:v>1.0159</c:v>
                </c:pt>
                <c:pt idx="106">
                  <c:v>1.0601</c:v>
                </c:pt>
                <c:pt idx="107">
                  <c:v>0.97929999999999995</c:v>
                </c:pt>
                <c:pt idx="108">
                  <c:v>1.0479000000000001</c:v>
                </c:pt>
                <c:pt idx="109">
                  <c:v>1.3090999999999999</c:v>
                </c:pt>
                <c:pt idx="110">
                  <c:v>0.86709999999999998</c:v>
                </c:pt>
                <c:pt idx="111">
                  <c:v>0.84609999999999996</c:v>
                </c:pt>
                <c:pt idx="112">
                  <c:v>0.83089999999999997</c:v>
                </c:pt>
                <c:pt idx="113">
                  <c:v>0.85650000000000004</c:v>
                </c:pt>
                <c:pt idx="114">
                  <c:v>0.86799999999999999</c:v>
                </c:pt>
                <c:pt idx="115">
                  <c:v>0.85289999999999999</c:v>
                </c:pt>
                <c:pt idx="116">
                  <c:v>0.89100000000000001</c:v>
                </c:pt>
                <c:pt idx="117">
                  <c:v>0.8891</c:v>
                </c:pt>
                <c:pt idx="118">
                  <c:v>0.91579999999999995</c:v>
                </c:pt>
                <c:pt idx="119">
                  <c:v>0.89910000000000001</c:v>
                </c:pt>
                <c:pt idx="120">
                  <c:v>0.90769999999999995</c:v>
                </c:pt>
                <c:pt idx="121">
                  <c:v>0.73899999999999999</c:v>
                </c:pt>
                <c:pt idx="122">
                  <c:v>0.77900000000000003</c:v>
                </c:pt>
                <c:pt idx="123">
                  <c:v>0.77059999999999995</c:v>
                </c:pt>
                <c:pt idx="124">
                  <c:v>0.749</c:v>
                </c:pt>
                <c:pt idx="125">
                  <c:v>0.76319999999999999</c:v>
                </c:pt>
                <c:pt idx="126">
                  <c:v>0.8468</c:v>
                </c:pt>
                <c:pt idx="127">
                  <c:v>0.83140000000000003</c:v>
                </c:pt>
                <c:pt idx="128">
                  <c:v>0.68810000000000004</c:v>
                </c:pt>
                <c:pt idx="129">
                  <c:v>0.83779999999999999</c:v>
                </c:pt>
                <c:pt idx="130">
                  <c:v>0.91839999999999999</c:v>
                </c:pt>
                <c:pt idx="131">
                  <c:v>0.95109999999999995</c:v>
                </c:pt>
                <c:pt idx="132">
                  <c:v>0.97550000000000003</c:v>
                </c:pt>
                <c:pt idx="133">
                  <c:v>0.92490000000000006</c:v>
                </c:pt>
                <c:pt idx="134">
                  <c:v>0.98199999999999998</c:v>
                </c:pt>
                <c:pt idx="135">
                  <c:v>1.0145</c:v>
                </c:pt>
                <c:pt idx="136">
                  <c:v>0.91959999999999997</c:v>
                </c:pt>
                <c:pt idx="137">
                  <c:v>1.0451999999999999</c:v>
                </c:pt>
                <c:pt idx="138">
                  <c:v>1.0235000000000001</c:v>
                </c:pt>
                <c:pt idx="139">
                  <c:v>0.8145</c:v>
                </c:pt>
                <c:pt idx="140">
                  <c:v>0.92900000000000005</c:v>
                </c:pt>
                <c:pt idx="141">
                  <c:v>1.0580000000000001</c:v>
                </c:pt>
                <c:pt idx="142">
                  <c:v>1.1436999999999999</c:v>
                </c:pt>
                <c:pt idx="143">
                  <c:v>0.80579999999999996</c:v>
                </c:pt>
                <c:pt idx="144">
                  <c:v>0.63719999999999999</c:v>
                </c:pt>
                <c:pt idx="145">
                  <c:v>0.57240000000000002</c:v>
                </c:pt>
                <c:pt idx="146">
                  <c:v>0.56059999999999999</c:v>
                </c:pt>
                <c:pt idx="147">
                  <c:v>0.54920000000000002</c:v>
                </c:pt>
                <c:pt idx="148">
                  <c:v>0.55700000000000005</c:v>
                </c:pt>
                <c:pt idx="149">
                  <c:v>0.52980000000000005</c:v>
                </c:pt>
                <c:pt idx="150">
                  <c:v>0.53310000000000002</c:v>
                </c:pt>
                <c:pt idx="151">
                  <c:v>0.55979999999999996</c:v>
                </c:pt>
                <c:pt idx="152">
                  <c:v>0.55149999999999999</c:v>
                </c:pt>
                <c:pt idx="153">
                  <c:v>0.54139999999999999</c:v>
                </c:pt>
                <c:pt idx="154">
                  <c:v>0.52</c:v>
                </c:pt>
                <c:pt idx="155">
                  <c:v>0.55740000000000001</c:v>
                </c:pt>
                <c:pt idx="156">
                  <c:v>0.54890000000000005</c:v>
                </c:pt>
                <c:pt idx="157">
                  <c:v>0.60929999999999995</c:v>
                </c:pt>
                <c:pt idx="158">
                  <c:v>0.60429999999999995</c:v>
                </c:pt>
                <c:pt idx="159">
                  <c:v>0.60650000000000004</c:v>
                </c:pt>
                <c:pt idx="160">
                  <c:v>0.59930000000000005</c:v>
                </c:pt>
                <c:pt idx="161">
                  <c:v>0.54659999999999997</c:v>
                </c:pt>
                <c:pt idx="162">
                  <c:v>0.51800000000000002</c:v>
                </c:pt>
                <c:pt idx="163">
                  <c:v>0.51980000000000004</c:v>
                </c:pt>
                <c:pt idx="164">
                  <c:v>0.52569999999999995</c:v>
                </c:pt>
                <c:pt idx="165">
                  <c:v>0.55069999999999997</c:v>
                </c:pt>
                <c:pt idx="166">
                  <c:v>0.55300000000000005</c:v>
                </c:pt>
                <c:pt idx="167">
                  <c:v>0.58709999999999996</c:v>
                </c:pt>
                <c:pt idx="168">
                  <c:v>0.48309999999999997</c:v>
                </c:pt>
                <c:pt idx="169">
                  <c:v>0.5101</c:v>
                </c:pt>
                <c:pt idx="170">
                  <c:v>0.50290000000000001</c:v>
                </c:pt>
                <c:pt idx="171">
                  <c:v>0.49590000000000001</c:v>
                </c:pt>
                <c:pt idx="172">
                  <c:v>0.47020000000000001</c:v>
                </c:pt>
                <c:pt idx="173">
                  <c:v>0.49669999999999997</c:v>
                </c:pt>
                <c:pt idx="174">
                  <c:v>0.49569999999999997</c:v>
                </c:pt>
                <c:pt idx="175">
                  <c:v>0.46550000000000002</c:v>
                </c:pt>
                <c:pt idx="176">
                  <c:v>0.4168</c:v>
                </c:pt>
                <c:pt idx="177">
                  <c:v>0.38919999999999999</c:v>
                </c:pt>
                <c:pt idx="178">
                  <c:v>0.39929999999999999</c:v>
                </c:pt>
                <c:pt idx="179">
                  <c:v>0.39479999999999998</c:v>
                </c:pt>
                <c:pt idx="180">
                  <c:v>0.4168</c:v>
                </c:pt>
                <c:pt idx="181">
                  <c:v>0.40720000000000001</c:v>
                </c:pt>
                <c:pt idx="182">
                  <c:v>0.40260000000000001</c:v>
                </c:pt>
                <c:pt idx="183">
                  <c:v>0.38719999999999999</c:v>
                </c:pt>
                <c:pt idx="184">
                  <c:v>0.39079999999999998</c:v>
                </c:pt>
                <c:pt idx="185">
                  <c:v>0.37780000000000002</c:v>
                </c:pt>
                <c:pt idx="186">
                  <c:v>0.38150000000000001</c:v>
                </c:pt>
                <c:pt idx="187">
                  <c:v>0.37469999999999998</c:v>
                </c:pt>
                <c:pt idx="188">
                  <c:v>0.3569</c:v>
                </c:pt>
                <c:pt idx="189">
                  <c:v>0.34689999999999999</c:v>
                </c:pt>
                <c:pt idx="190">
                  <c:v>0.33650000000000002</c:v>
                </c:pt>
                <c:pt idx="191">
                  <c:v>0.29509999999999997</c:v>
                </c:pt>
                <c:pt idx="192">
                  <c:v>0.31369999999999998</c:v>
                </c:pt>
                <c:pt idx="193">
                  <c:v>0.3372</c:v>
                </c:pt>
                <c:pt idx="194">
                  <c:v>0.33979999999999999</c:v>
                </c:pt>
                <c:pt idx="195">
                  <c:v>0.33510000000000001</c:v>
                </c:pt>
                <c:pt idx="196">
                  <c:v>0.39800000000000002</c:v>
                </c:pt>
                <c:pt idx="197">
                  <c:v>0.35899999999999999</c:v>
                </c:pt>
                <c:pt idx="198">
                  <c:v>0.34989999999999999</c:v>
                </c:pt>
                <c:pt idx="199">
                  <c:v>0.35749999999999998</c:v>
                </c:pt>
                <c:pt idx="200">
                  <c:v>0.38150000000000001</c:v>
                </c:pt>
                <c:pt idx="201">
                  <c:v>0.34970000000000001</c:v>
                </c:pt>
                <c:pt idx="202">
                  <c:v>0.36499999999999999</c:v>
                </c:pt>
                <c:pt idx="203">
                  <c:v>0.3553</c:v>
                </c:pt>
                <c:pt idx="204">
                  <c:v>0.38500000000000001</c:v>
                </c:pt>
                <c:pt idx="205">
                  <c:v>0.37469999999999998</c:v>
                </c:pt>
                <c:pt idx="206">
                  <c:v>0.35360000000000003</c:v>
                </c:pt>
                <c:pt idx="207">
                  <c:v>0.37419999999999998</c:v>
                </c:pt>
                <c:pt idx="208">
                  <c:v>0.36820000000000003</c:v>
                </c:pt>
                <c:pt idx="209">
                  <c:v>0.35210000000000002</c:v>
                </c:pt>
                <c:pt idx="210">
                  <c:v>0.3533</c:v>
                </c:pt>
                <c:pt idx="211">
                  <c:v>0.36430000000000001</c:v>
                </c:pt>
                <c:pt idx="212">
                  <c:v>0.3846</c:v>
                </c:pt>
                <c:pt idx="213">
                  <c:v>0.3715</c:v>
                </c:pt>
                <c:pt idx="214">
                  <c:v>0.35749999999999998</c:v>
                </c:pt>
                <c:pt idx="215">
                  <c:v>0.33310000000000001</c:v>
                </c:pt>
                <c:pt idx="216">
                  <c:v>0.3473</c:v>
                </c:pt>
                <c:pt idx="217">
                  <c:v>0.39789999999999998</c:v>
                </c:pt>
                <c:pt idx="218">
                  <c:v>0.38300000000000001</c:v>
                </c:pt>
                <c:pt idx="219">
                  <c:v>0.34799999999999998</c:v>
                </c:pt>
                <c:pt idx="220">
                  <c:v>0.34839999999999999</c:v>
                </c:pt>
                <c:pt idx="221">
                  <c:v>0.46329999999999999</c:v>
                </c:pt>
                <c:pt idx="222">
                  <c:v>0.46139999999999998</c:v>
                </c:pt>
                <c:pt idx="223">
                  <c:v>0.46550000000000002</c:v>
                </c:pt>
                <c:pt idx="224">
                  <c:v>0.50749999999999995</c:v>
                </c:pt>
                <c:pt idx="225">
                  <c:v>0.50019999999999998</c:v>
                </c:pt>
                <c:pt idx="226">
                  <c:v>0.49309999999999998</c:v>
                </c:pt>
                <c:pt idx="227">
                  <c:v>0.52210000000000001</c:v>
                </c:pt>
                <c:pt idx="228">
                  <c:v>0.50619999999999998</c:v>
                </c:pt>
                <c:pt idx="229">
                  <c:v>0.43440000000000001</c:v>
                </c:pt>
                <c:pt idx="230">
                  <c:v>0.47699999999999998</c:v>
                </c:pt>
                <c:pt idx="231">
                  <c:v>0.50090000000000001</c:v>
                </c:pt>
                <c:pt idx="232">
                  <c:v>0.48180000000000001</c:v>
                </c:pt>
                <c:pt idx="233">
                  <c:v>0.4415</c:v>
                </c:pt>
                <c:pt idx="234">
                  <c:v>0.41599999999999998</c:v>
                </c:pt>
                <c:pt idx="235">
                  <c:v>0.48209999999999997</c:v>
                </c:pt>
                <c:pt idx="236">
                  <c:v>0.44979999999999998</c:v>
                </c:pt>
                <c:pt idx="237">
                  <c:v>0.46760000000000002</c:v>
                </c:pt>
                <c:pt idx="238">
                  <c:v>0.54790000000000005</c:v>
                </c:pt>
                <c:pt idx="239">
                  <c:v>0.50139999999999996</c:v>
                </c:pt>
                <c:pt idx="240">
                  <c:v>0.50209999999999999</c:v>
                </c:pt>
                <c:pt idx="241">
                  <c:v>0.52229999999999999</c:v>
                </c:pt>
                <c:pt idx="242">
                  <c:v>0.4773</c:v>
                </c:pt>
                <c:pt idx="243">
                  <c:v>0.43240000000000001</c:v>
                </c:pt>
                <c:pt idx="244">
                  <c:v>0.48520000000000002</c:v>
                </c:pt>
                <c:pt idx="245">
                  <c:v>0.58030000000000004</c:v>
                </c:pt>
                <c:pt idx="246">
                  <c:v>0.63490000000000002</c:v>
                </c:pt>
                <c:pt idx="247">
                  <c:v>0.48020000000000002</c:v>
                </c:pt>
                <c:pt idx="248">
                  <c:v>0.46870000000000001</c:v>
                </c:pt>
                <c:pt idx="249">
                  <c:v>0.38529999999999998</c:v>
                </c:pt>
                <c:pt idx="250">
                  <c:v>0.44569999999999999</c:v>
                </c:pt>
                <c:pt idx="251">
                  <c:v>0.51380000000000003</c:v>
                </c:pt>
                <c:pt idx="252">
                  <c:v>0.73160000000000003</c:v>
                </c:pt>
                <c:pt idx="253">
                  <c:v>0.60880000000000001</c:v>
                </c:pt>
                <c:pt idx="254">
                  <c:v>0.90300000000000002</c:v>
                </c:pt>
                <c:pt idx="255">
                  <c:v>0.88500000000000001</c:v>
                </c:pt>
                <c:pt idx="256">
                  <c:v>0.99360000000000004</c:v>
                </c:pt>
                <c:pt idx="257">
                  <c:v>1.0279</c:v>
                </c:pt>
                <c:pt idx="258">
                  <c:v>1.2282</c:v>
                </c:pt>
                <c:pt idx="259">
                  <c:v>1.0734999999999999</c:v>
                </c:pt>
                <c:pt idx="260">
                  <c:v>1.1192</c:v>
                </c:pt>
                <c:pt idx="261">
                  <c:v>1.4134</c:v>
                </c:pt>
                <c:pt idx="262">
                  <c:v>1.4450000000000001</c:v>
                </c:pt>
                <c:pt idx="263">
                  <c:v>1.3048999999999999</c:v>
                </c:pt>
                <c:pt idx="264">
                  <c:v>1.2355</c:v>
                </c:pt>
                <c:pt idx="265">
                  <c:v>1.2424999999999999</c:v>
                </c:pt>
                <c:pt idx="266">
                  <c:v>1.1910000000000001</c:v>
                </c:pt>
                <c:pt idx="267">
                  <c:v>1.2676000000000001</c:v>
                </c:pt>
                <c:pt idx="268">
                  <c:v>1.1042000000000001</c:v>
                </c:pt>
                <c:pt idx="269">
                  <c:v>1.0893999999999999</c:v>
                </c:pt>
                <c:pt idx="270">
                  <c:v>1.0622</c:v>
                </c:pt>
                <c:pt idx="271">
                  <c:v>0.99709999999999999</c:v>
                </c:pt>
                <c:pt idx="272">
                  <c:v>1.0596000000000001</c:v>
                </c:pt>
                <c:pt idx="273">
                  <c:v>0.97850000000000004</c:v>
                </c:pt>
                <c:pt idx="274">
                  <c:v>0.87370000000000003</c:v>
                </c:pt>
                <c:pt idx="275">
                  <c:v>0.91849999999999998</c:v>
                </c:pt>
                <c:pt idx="276">
                  <c:v>0.8165</c:v>
                </c:pt>
                <c:pt idx="277">
                  <c:v>0.68500000000000005</c:v>
                </c:pt>
                <c:pt idx="278">
                  <c:v>0.69289999999999996</c:v>
                </c:pt>
                <c:pt idx="279">
                  <c:v>0.75680000000000003</c:v>
                </c:pt>
                <c:pt idx="280">
                  <c:v>0.78</c:v>
                </c:pt>
                <c:pt idx="281">
                  <c:v>0.93320000000000003</c:v>
                </c:pt>
                <c:pt idx="282">
                  <c:v>1.05</c:v>
                </c:pt>
                <c:pt idx="283">
                  <c:v>0.80859999999999999</c:v>
                </c:pt>
                <c:pt idx="284">
                  <c:v>0.92500000000000004</c:v>
                </c:pt>
                <c:pt idx="285">
                  <c:v>1.1003000000000001</c:v>
                </c:pt>
                <c:pt idx="286">
                  <c:v>1.1226</c:v>
                </c:pt>
                <c:pt idx="287">
                  <c:v>1.2448999999999999</c:v>
                </c:pt>
                <c:pt idx="288">
                  <c:v>1.1537999999999999</c:v>
                </c:pt>
                <c:pt idx="289">
                  <c:v>1.2426999999999999</c:v>
                </c:pt>
                <c:pt idx="290">
                  <c:v>1.3714</c:v>
                </c:pt>
                <c:pt idx="291">
                  <c:v>1.2685999999999999</c:v>
                </c:pt>
                <c:pt idx="292">
                  <c:v>1.2632000000000001</c:v>
                </c:pt>
                <c:pt idx="293">
                  <c:v>1.2758</c:v>
                </c:pt>
                <c:pt idx="294">
                  <c:v>1.3653999999999999</c:v>
                </c:pt>
                <c:pt idx="295">
                  <c:v>1.2670999999999999</c:v>
                </c:pt>
                <c:pt idx="296">
                  <c:v>1.4972000000000001</c:v>
                </c:pt>
                <c:pt idx="297">
                  <c:v>1.3811</c:v>
                </c:pt>
                <c:pt idx="298">
                  <c:v>1.4408000000000001</c:v>
                </c:pt>
                <c:pt idx="299">
                  <c:v>1.2801</c:v>
                </c:pt>
                <c:pt idx="300">
                  <c:v>1.3752</c:v>
                </c:pt>
                <c:pt idx="301">
                  <c:v>1.4944</c:v>
                </c:pt>
                <c:pt idx="302">
                  <c:v>1.47</c:v>
                </c:pt>
                <c:pt idx="303">
                  <c:v>1.5450999999999999</c:v>
                </c:pt>
                <c:pt idx="304">
                  <c:v>1.3409</c:v>
                </c:pt>
                <c:pt idx="305">
                  <c:v>1.1498999999999999</c:v>
                </c:pt>
                <c:pt idx="306">
                  <c:v>1.0729</c:v>
                </c:pt>
                <c:pt idx="307">
                  <c:v>1.1264000000000001</c:v>
                </c:pt>
                <c:pt idx="308">
                  <c:v>0.96250000000000002</c:v>
                </c:pt>
                <c:pt idx="309">
                  <c:v>1.0169999999999999</c:v>
                </c:pt>
                <c:pt idx="310">
                  <c:v>1.2531000000000001</c:v>
                </c:pt>
                <c:pt idx="311">
                  <c:v>1.1247</c:v>
                </c:pt>
                <c:pt idx="312">
                  <c:v>1.286</c:v>
                </c:pt>
                <c:pt idx="313">
                  <c:v>1.0394000000000001</c:v>
                </c:pt>
                <c:pt idx="314">
                  <c:v>1.0496000000000001</c:v>
                </c:pt>
                <c:pt idx="315">
                  <c:v>1.0711999999999999</c:v>
                </c:pt>
                <c:pt idx="316">
                  <c:v>1.1477999999999999</c:v>
                </c:pt>
                <c:pt idx="317">
                  <c:v>1.1993</c:v>
                </c:pt>
                <c:pt idx="318">
                  <c:v>1.1317999999999999</c:v>
                </c:pt>
                <c:pt idx="319">
                  <c:v>0.99550000000000005</c:v>
                </c:pt>
                <c:pt idx="320">
                  <c:v>0.90590000000000004</c:v>
                </c:pt>
                <c:pt idx="321">
                  <c:v>0.89429999999999998</c:v>
                </c:pt>
                <c:pt idx="322">
                  <c:v>1.002</c:v>
                </c:pt>
                <c:pt idx="323">
                  <c:v>1.0024</c:v>
                </c:pt>
                <c:pt idx="324">
                  <c:v>0.95220000000000005</c:v>
                </c:pt>
                <c:pt idx="325">
                  <c:v>0.77929999999999999</c:v>
                </c:pt>
                <c:pt idx="326">
                  <c:v>0.75</c:v>
                </c:pt>
                <c:pt idx="327">
                  <c:v>0.71550000000000002</c:v>
                </c:pt>
                <c:pt idx="328">
                  <c:v>0.57150000000000001</c:v>
                </c:pt>
                <c:pt idx="329">
                  <c:v>0.57799999999999996</c:v>
                </c:pt>
                <c:pt idx="330">
                  <c:v>0.54649999999999999</c:v>
                </c:pt>
                <c:pt idx="331">
                  <c:v>0.5373</c:v>
                </c:pt>
                <c:pt idx="332">
                  <c:v>0.55379999999999996</c:v>
                </c:pt>
                <c:pt idx="333">
                  <c:v>0.5202</c:v>
                </c:pt>
                <c:pt idx="334">
                  <c:v>0.53200000000000003</c:v>
                </c:pt>
                <c:pt idx="335">
                  <c:v>0.5232</c:v>
                </c:pt>
                <c:pt idx="336">
                  <c:v>0.55759999999999998</c:v>
                </c:pt>
                <c:pt idx="337">
                  <c:v>0.62929999999999997</c:v>
                </c:pt>
                <c:pt idx="338">
                  <c:v>0.57620000000000005</c:v>
                </c:pt>
                <c:pt idx="339">
                  <c:v>0.72209999999999996</c:v>
                </c:pt>
                <c:pt idx="340">
                  <c:v>0.78820000000000001</c:v>
                </c:pt>
                <c:pt idx="341">
                  <c:v>0.77380000000000004</c:v>
                </c:pt>
                <c:pt idx="342">
                  <c:v>0.89049999999999996</c:v>
                </c:pt>
                <c:pt idx="343">
                  <c:v>0.76570000000000005</c:v>
                </c:pt>
                <c:pt idx="344">
                  <c:v>0.80600000000000005</c:v>
                </c:pt>
                <c:pt idx="345">
                  <c:v>0.7177</c:v>
                </c:pt>
                <c:pt idx="346">
                  <c:v>0.72870000000000001</c:v>
                </c:pt>
                <c:pt idx="347">
                  <c:v>0.80920000000000003</c:v>
                </c:pt>
                <c:pt idx="348">
                  <c:v>0.63219999999999998</c:v>
                </c:pt>
                <c:pt idx="349">
                  <c:v>0.60250000000000004</c:v>
                </c:pt>
                <c:pt idx="350">
                  <c:v>0.51590000000000003</c:v>
                </c:pt>
                <c:pt idx="351">
                  <c:v>0.46829999999999999</c:v>
                </c:pt>
                <c:pt idx="352">
                  <c:v>0.59199999999999997</c:v>
                </c:pt>
                <c:pt idx="353">
                  <c:v>0.54269999999999996</c:v>
                </c:pt>
                <c:pt idx="354">
                  <c:v>0.54049999999999998</c:v>
                </c:pt>
                <c:pt idx="355">
                  <c:v>0.56379999999999997</c:v>
                </c:pt>
                <c:pt idx="356">
                  <c:v>0.63700000000000001</c:v>
                </c:pt>
                <c:pt idx="357">
                  <c:v>0.53500000000000003</c:v>
                </c:pt>
                <c:pt idx="358">
                  <c:v>0.56759999999999999</c:v>
                </c:pt>
                <c:pt idx="359">
                  <c:v>0.55200000000000005</c:v>
                </c:pt>
                <c:pt idx="360">
                  <c:v>0.56530000000000002</c:v>
                </c:pt>
                <c:pt idx="361">
                  <c:v>0.55169999999999997</c:v>
                </c:pt>
                <c:pt idx="362">
                  <c:v>0.56830000000000003</c:v>
                </c:pt>
                <c:pt idx="363">
                  <c:v>0.58430000000000004</c:v>
                </c:pt>
                <c:pt idx="364">
                  <c:v>0.60629999999999995</c:v>
                </c:pt>
                <c:pt idx="365">
                  <c:v>0.59289999999999998</c:v>
                </c:pt>
                <c:pt idx="366">
                  <c:v>0.61270000000000002</c:v>
                </c:pt>
                <c:pt idx="367">
                  <c:v>0.52669999999999995</c:v>
                </c:pt>
                <c:pt idx="368">
                  <c:v>0.55510000000000004</c:v>
                </c:pt>
                <c:pt idx="369">
                  <c:v>0.56000000000000005</c:v>
                </c:pt>
                <c:pt idx="370">
                  <c:v>0.56130000000000002</c:v>
                </c:pt>
                <c:pt idx="371">
                  <c:v>0.5524</c:v>
                </c:pt>
                <c:pt idx="372">
                  <c:v>0.62490000000000001</c:v>
                </c:pt>
                <c:pt idx="373">
                  <c:v>0.61429999999999996</c:v>
                </c:pt>
                <c:pt idx="374">
                  <c:v>0.64800000000000002</c:v>
                </c:pt>
                <c:pt idx="375">
                  <c:v>0.62119999999999997</c:v>
                </c:pt>
                <c:pt idx="376">
                  <c:v>0.5857</c:v>
                </c:pt>
                <c:pt idx="377">
                  <c:v>0.58950000000000002</c:v>
                </c:pt>
                <c:pt idx="378">
                  <c:v>0.61699999999999999</c:v>
                </c:pt>
                <c:pt idx="379">
                  <c:v>0.64029999999999998</c:v>
                </c:pt>
                <c:pt idx="380">
                  <c:v>0.58579999999999999</c:v>
                </c:pt>
                <c:pt idx="381">
                  <c:v>0.64029999999999998</c:v>
                </c:pt>
                <c:pt idx="382">
                  <c:v>0.6472</c:v>
                </c:pt>
                <c:pt idx="383">
                  <c:v>0.65529999999999999</c:v>
                </c:pt>
                <c:pt idx="384">
                  <c:v>0.56710000000000005</c:v>
                </c:pt>
                <c:pt idx="385">
                  <c:v>0.56640000000000001</c:v>
                </c:pt>
                <c:pt idx="386">
                  <c:v>0.62580000000000002</c:v>
                </c:pt>
                <c:pt idx="387">
                  <c:v>0.64710000000000001</c:v>
                </c:pt>
                <c:pt idx="388">
                  <c:v>0.62</c:v>
                </c:pt>
                <c:pt idx="389">
                  <c:v>0.58430000000000004</c:v>
                </c:pt>
                <c:pt idx="390">
                  <c:v>0.55269999999999997</c:v>
                </c:pt>
                <c:pt idx="391">
                  <c:v>0.6</c:v>
                </c:pt>
                <c:pt idx="392">
                  <c:v>0.56689999999999996</c:v>
                </c:pt>
                <c:pt idx="393">
                  <c:v>0.53720000000000001</c:v>
                </c:pt>
                <c:pt idx="394">
                  <c:v>0.55769999999999997</c:v>
                </c:pt>
                <c:pt idx="395">
                  <c:v>0.56200000000000006</c:v>
                </c:pt>
                <c:pt idx="396">
                  <c:v>0.49769999999999998</c:v>
                </c:pt>
                <c:pt idx="397">
                  <c:v>0.40770000000000001</c:v>
                </c:pt>
                <c:pt idx="398">
                  <c:v>0.4259</c:v>
                </c:pt>
                <c:pt idx="399">
                  <c:v>0.41110000000000002</c:v>
                </c:pt>
                <c:pt idx="400">
                  <c:v>0.42409999999999998</c:v>
                </c:pt>
                <c:pt idx="401">
                  <c:v>0.47760000000000002</c:v>
                </c:pt>
                <c:pt idx="402">
                  <c:v>0.40050000000000002</c:v>
                </c:pt>
                <c:pt idx="403">
                  <c:v>0.50390000000000001</c:v>
                </c:pt>
                <c:pt idx="404">
                  <c:v>0.61240000000000006</c:v>
                </c:pt>
                <c:pt idx="405">
                  <c:v>0.76429999999999998</c:v>
                </c:pt>
                <c:pt idx="406">
                  <c:v>0.73170000000000002</c:v>
                </c:pt>
                <c:pt idx="407">
                  <c:v>0.90990000000000004</c:v>
                </c:pt>
                <c:pt idx="408">
                  <c:v>0.71109999999999995</c:v>
                </c:pt>
                <c:pt idx="409">
                  <c:v>0.69779999999999998</c:v>
                </c:pt>
                <c:pt idx="410">
                  <c:v>0.73119999999999996</c:v>
                </c:pt>
                <c:pt idx="411">
                  <c:v>0.73980000000000001</c:v>
                </c:pt>
                <c:pt idx="412">
                  <c:v>0.62339999999999995</c:v>
                </c:pt>
                <c:pt idx="413">
                  <c:v>0.66500000000000004</c:v>
                </c:pt>
                <c:pt idx="414">
                  <c:v>0.70669999999999999</c:v>
                </c:pt>
                <c:pt idx="415">
                  <c:v>0.62839999999999996</c:v>
                </c:pt>
                <c:pt idx="416">
                  <c:v>0.71160000000000001</c:v>
                </c:pt>
                <c:pt idx="417">
                  <c:v>0.74080000000000001</c:v>
                </c:pt>
                <c:pt idx="418">
                  <c:v>0.75860000000000005</c:v>
                </c:pt>
                <c:pt idx="419">
                  <c:v>0.58089999999999997</c:v>
                </c:pt>
                <c:pt idx="420">
                  <c:v>0.65290000000000004</c:v>
                </c:pt>
                <c:pt idx="421">
                  <c:v>0.58189999999999997</c:v>
                </c:pt>
                <c:pt idx="422">
                  <c:v>0.54600000000000004</c:v>
                </c:pt>
                <c:pt idx="423">
                  <c:v>0.51800000000000002</c:v>
                </c:pt>
                <c:pt idx="424">
                  <c:v>0.47</c:v>
                </c:pt>
                <c:pt idx="425">
                  <c:v>0.4924</c:v>
                </c:pt>
                <c:pt idx="426">
                  <c:v>0.48709999999999998</c:v>
                </c:pt>
                <c:pt idx="427">
                  <c:v>0.47170000000000001</c:v>
                </c:pt>
                <c:pt idx="428">
                  <c:v>0.53449999999999998</c:v>
                </c:pt>
                <c:pt idx="429">
                  <c:v>0.5323</c:v>
                </c:pt>
                <c:pt idx="430">
                  <c:v>0.56830000000000003</c:v>
                </c:pt>
                <c:pt idx="431">
                  <c:v>0.56740000000000002</c:v>
                </c:pt>
                <c:pt idx="432">
                  <c:v>0.55959999999999999</c:v>
                </c:pt>
                <c:pt idx="433">
                  <c:v>0.59209999999999996</c:v>
                </c:pt>
                <c:pt idx="434">
                  <c:v>0.60409999999999997</c:v>
                </c:pt>
                <c:pt idx="435">
                  <c:v>0.58899999999999997</c:v>
                </c:pt>
                <c:pt idx="436">
                  <c:v>0.57769999999999999</c:v>
                </c:pt>
                <c:pt idx="437">
                  <c:v>0.50619999999999998</c:v>
                </c:pt>
                <c:pt idx="438">
                  <c:v>0.47170000000000001</c:v>
                </c:pt>
                <c:pt idx="439">
                  <c:v>0.52529999999999999</c:v>
                </c:pt>
                <c:pt idx="440">
                  <c:v>0.51300000000000001</c:v>
                </c:pt>
                <c:pt idx="441">
                  <c:v>0.39489999999999997</c:v>
                </c:pt>
                <c:pt idx="442">
                  <c:v>0.41220000000000001</c:v>
                </c:pt>
                <c:pt idx="443">
                  <c:v>0.36659999999999998</c:v>
                </c:pt>
                <c:pt idx="444">
                  <c:v>0.36</c:v>
                </c:pt>
                <c:pt idx="445">
                  <c:v>0.34499999999999997</c:v>
                </c:pt>
                <c:pt idx="446">
                  <c:v>0.33090000000000003</c:v>
                </c:pt>
                <c:pt idx="447">
                  <c:v>0.3468</c:v>
                </c:pt>
                <c:pt idx="448">
                  <c:v>0.32429999999999998</c:v>
                </c:pt>
                <c:pt idx="449">
                  <c:v>0.32440000000000002</c:v>
                </c:pt>
                <c:pt idx="450">
                  <c:v>0.32850000000000001</c:v>
                </c:pt>
                <c:pt idx="451">
                  <c:v>0.34449999999999997</c:v>
                </c:pt>
                <c:pt idx="452">
                  <c:v>0.35339999999999999</c:v>
                </c:pt>
                <c:pt idx="453">
                  <c:v>0.3362</c:v>
                </c:pt>
                <c:pt idx="454">
                  <c:v>0.37419999999999998</c:v>
                </c:pt>
                <c:pt idx="455">
                  <c:v>0.33779999999999999</c:v>
                </c:pt>
                <c:pt idx="456">
                  <c:v>0.33639999999999998</c:v>
                </c:pt>
                <c:pt idx="457">
                  <c:v>0.36049999999999999</c:v>
                </c:pt>
                <c:pt idx="458">
                  <c:v>0.32219999999999999</c:v>
                </c:pt>
                <c:pt idx="459">
                  <c:v>0.33789999999999998</c:v>
                </c:pt>
                <c:pt idx="460">
                  <c:v>0.36020000000000002</c:v>
                </c:pt>
                <c:pt idx="461">
                  <c:v>0.35</c:v>
                </c:pt>
                <c:pt idx="462">
                  <c:v>0.36299999999999999</c:v>
                </c:pt>
                <c:pt idx="463">
                  <c:v>0.34</c:v>
                </c:pt>
                <c:pt idx="464">
                  <c:v>0.36749999999999999</c:v>
                </c:pt>
                <c:pt idx="465">
                  <c:v>0.44950000000000001</c:v>
                </c:pt>
                <c:pt idx="466">
                  <c:v>0.4128</c:v>
                </c:pt>
                <c:pt idx="467">
                  <c:v>0.4199</c:v>
                </c:pt>
                <c:pt idx="468">
                  <c:v>0.4204</c:v>
                </c:pt>
                <c:pt idx="469">
                  <c:v>0.4284</c:v>
                </c:pt>
                <c:pt idx="470">
                  <c:v>0.45550000000000002</c:v>
                </c:pt>
                <c:pt idx="471">
                  <c:v>0.43309999999999998</c:v>
                </c:pt>
                <c:pt idx="472">
                  <c:v>0.46460000000000001</c:v>
                </c:pt>
                <c:pt idx="473">
                  <c:v>0.46410000000000001</c:v>
                </c:pt>
                <c:pt idx="474">
                  <c:v>0.43319999999999997</c:v>
                </c:pt>
                <c:pt idx="475">
                  <c:v>0.50480000000000003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9-4C3C-8F93-A47B11F5DA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-4.8541298579832572</c:v>
                </c:pt>
                <c:pt idx="1">
                  <c:v>-4.8523848103000891</c:v>
                </c:pt>
                <c:pt idx="2">
                  <c:v>-4.8180761009220401</c:v>
                </c:pt>
                <c:pt idx="3">
                  <c:v>-4.818246689759687</c:v>
                </c:pt>
                <c:pt idx="4">
                  <c:v>-4.8336929443469447</c:v>
                </c:pt>
                <c:pt idx="5">
                  <c:v>-4.8204140657975074</c:v>
                </c:pt>
                <c:pt idx="6">
                  <c:v>-4.7933807347210013</c:v>
                </c:pt>
                <c:pt idx="7">
                  <c:v>-4.7536238424330017</c:v>
                </c:pt>
                <c:pt idx="8">
                  <c:v>-4.7378200336778988</c:v>
                </c:pt>
                <c:pt idx="9">
                  <c:v>-4.7307093604938801</c:v>
                </c:pt>
                <c:pt idx="10">
                  <c:v>-4.7389533742201371</c:v>
                </c:pt>
                <c:pt idx="11">
                  <c:v>-4.7293818043739826</c:v>
                </c:pt>
                <c:pt idx="12">
                  <c:v>-4.7258666770530278</c:v>
                </c:pt>
                <c:pt idx="13">
                  <c:v>-4.739830553306926</c:v>
                </c:pt>
                <c:pt idx="14">
                  <c:v>-4.7472286529716987</c:v>
                </c:pt>
                <c:pt idx="15">
                  <c:v>-4.7313473253364986</c:v>
                </c:pt>
                <c:pt idx="16">
                  <c:v>-4.7494544299030013</c:v>
                </c:pt>
                <c:pt idx="17">
                  <c:v>-4.7752140613616474</c:v>
                </c:pt>
                <c:pt idx="18">
                  <c:v>-4.7719565056383191</c:v>
                </c:pt>
                <c:pt idx="19">
                  <c:v>-4.7585842407327066</c:v>
                </c:pt>
                <c:pt idx="20">
                  <c:v>-4.7362298893751023</c:v>
                </c:pt>
                <c:pt idx="21">
                  <c:v>-4.7039411696982416</c:v>
                </c:pt>
                <c:pt idx="22">
                  <c:v>-4.7161943082561057</c:v>
                </c:pt>
                <c:pt idx="23">
                  <c:v>-4.6544898425795376</c:v>
                </c:pt>
                <c:pt idx="24">
                  <c:v>-4.7269523798549002</c:v>
                </c:pt>
                <c:pt idx="25">
                  <c:v>-4.7216121587670337</c:v>
                </c:pt>
                <c:pt idx="26">
                  <c:v>-4.7066399806030343</c:v>
                </c:pt>
                <c:pt idx="27">
                  <c:v>-4.7094480300142498</c:v>
                </c:pt>
                <c:pt idx="28">
                  <c:v>-4.7001894836222666</c:v>
                </c:pt>
                <c:pt idx="29">
                  <c:v>-4.6951464118848936</c:v>
                </c:pt>
                <c:pt idx="30">
                  <c:v>-4.6791931206279758</c:v>
                </c:pt>
                <c:pt idx="31">
                  <c:v>-4.6501666090473606</c:v>
                </c:pt>
                <c:pt idx="32">
                  <c:v>-4.6270128841498197</c:v>
                </c:pt>
                <c:pt idx="33">
                  <c:v>-4.632339562291234</c:v>
                </c:pt>
                <c:pt idx="34">
                  <c:v>-4.5930457353057275</c:v>
                </c:pt>
                <c:pt idx="35">
                  <c:v>-4.6316586408187703</c:v>
                </c:pt>
                <c:pt idx="36">
                  <c:v>-4.6864866227464805</c:v>
                </c:pt>
                <c:pt idx="37">
                  <c:v>-4.6896923904920849</c:v>
                </c:pt>
                <c:pt idx="38">
                  <c:v>-4.6203726542294588</c:v>
                </c:pt>
                <c:pt idx="39">
                  <c:v>-4.6319238284869444</c:v>
                </c:pt>
                <c:pt idx="40">
                  <c:v>-4.6232494470773062</c:v>
                </c:pt>
                <c:pt idx="41">
                  <c:v>-4.622969030882337</c:v>
                </c:pt>
                <c:pt idx="42">
                  <c:v>-4.6133541794528288</c:v>
                </c:pt>
                <c:pt idx="43">
                  <c:v>-4.5843996715919451</c:v>
                </c:pt>
                <c:pt idx="44">
                  <c:v>-4.6096242673091163</c:v>
                </c:pt>
                <c:pt idx="45">
                  <c:v>-4.6273235650750122</c:v>
                </c:pt>
                <c:pt idx="46">
                  <c:v>-4.5959058434385742</c:v>
                </c:pt>
                <c:pt idx="47">
                  <c:v>-4.5841157544879012</c:v>
                </c:pt>
                <c:pt idx="48">
                  <c:v>-4.5856007882325169</c:v>
                </c:pt>
                <c:pt idx="49">
                  <c:v>-4.5450786626875432</c:v>
                </c:pt>
                <c:pt idx="50">
                  <c:v>-4.5082889156070296</c:v>
                </c:pt>
                <c:pt idx="51">
                  <c:v>-4.544836252860498</c:v>
                </c:pt>
                <c:pt idx="52">
                  <c:v>-4.4350904008708314</c:v>
                </c:pt>
                <c:pt idx="53">
                  <c:v>-3.8083709979881353</c:v>
                </c:pt>
                <c:pt idx="54">
                  <c:v>-3.7885986438603205</c:v>
                </c:pt>
                <c:pt idx="55">
                  <c:v>-3.801485398014719</c:v>
                </c:pt>
                <c:pt idx="56">
                  <c:v>-3.8116040603027561</c:v>
                </c:pt>
                <c:pt idx="57">
                  <c:v>-3.8078114593533887</c:v>
                </c:pt>
                <c:pt idx="58">
                  <c:v>-3.7986566284037031</c:v>
                </c:pt>
                <c:pt idx="59">
                  <c:v>-3.7939799418027182</c:v>
                </c:pt>
                <c:pt idx="60">
                  <c:v>-3.7769522906328494</c:v>
                </c:pt>
                <c:pt idx="61">
                  <c:v>-3.7978598219656834</c:v>
                </c:pt>
                <c:pt idx="62">
                  <c:v>-3.807522686626267</c:v>
                </c:pt>
                <c:pt idx="63">
                  <c:v>-3.7824513098353796</c:v>
                </c:pt>
                <c:pt idx="64">
                  <c:v>-3.8049442612667526</c:v>
                </c:pt>
                <c:pt idx="65">
                  <c:v>-3.7970708026057798</c:v>
                </c:pt>
                <c:pt idx="66">
                  <c:v>-3.8029048572391129</c:v>
                </c:pt>
                <c:pt idx="67">
                  <c:v>-3.7710287262152629</c:v>
                </c:pt>
                <c:pt idx="68">
                  <c:v>-3.6944677222152631</c:v>
                </c:pt>
                <c:pt idx="69">
                  <c:v>-3.7439027351994358</c:v>
                </c:pt>
                <c:pt idx="70">
                  <c:v>-3.7707233954668062</c:v>
                </c:pt>
                <c:pt idx="71">
                  <c:v>-3.7570559048675967</c:v>
                </c:pt>
                <c:pt idx="72">
                  <c:v>-3.7622647411825572</c:v>
                </c:pt>
                <c:pt idx="73">
                  <c:v>-3.7198873465272673</c:v>
                </c:pt>
                <c:pt idx="74">
                  <c:v>-3.6904962760788371</c:v>
                </c:pt>
                <c:pt idx="75">
                  <c:v>-3.6646518648237141</c:v>
                </c:pt>
                <c:pt idx="76">
                  <c:v>-3.6640146224692169</c:v>
                </c:pt>
                <c:pt idx="77">
                  <c:v>-3.659458884438231</c:v>
                </c:pt>
                <c:pt idx="78">
                  <c:v>-3.6659132076796612</c:v>
                </c:pt>
                <c:pt idx="79">
                  <c:v>-3.6207750876084028</c:v>
                </c:pt>
                <c:pt idx="80">
                  <c:v>-3.611273886323537</c:v>
                </c:pt>
                <c:pt idx="81">
                  <c:v>-3.6058713236663937</c:v>
                </c:pt>
                <c:pt idx="82">
                  <c:v>-3.5999375904418254</c:v>
                </c:pt>
                <c:pt idx="83">
                  <c:v>-3.6054579575414611</c:v>
                </c:pt>
                <c:pt idx="84">
                  <c:v>-3.5902364119532257</c:v>
                </c:pt>
                <c:pt idx="85">
                  <c:v>-3.5586257234756133</c:v>
                </c:pt>
                <c:pt idx="86">
                  <c:v>-3.3960444287802436</c:v>
                </c:pt>
                <c:pt idx="87">
                  <c:v>-3.4345758518474434</c:v>
                </c:pt>
                <c:pt idx="88">
                  <c:v>-3.4344981183271006</c:v>
                </c:pt>
                <c:pt idx="89">
                  <c:v>-3.4145839395127959</c:v>
                </c:pt>
                <c:pt idx="90">
                  <c:v>-3.3882136904204883</c:v>
                </c:pt>
                <c:pt idx="91">
                  <c:v>-3.3723174249011083</c:v>
                </c:pt>
                <c:pt idx="92">
                  <c:v>-3.3735822855607354</c:v>
                </c:pt>
                <c:pt idx="93">
                  <c:v>-3.3193153235889041</c:v>
                </c:pt>
                <c:pt idx="94">
                  <c:v>-3.2821472938504419</c:v>
                </c:pt>
                <c:pt idx="95">
                  <c:v>-3.272159187038727</c:v>
                </c:pt>
                <c:pt idx="96">
                  <c:v>-3.267496850211566</c:v>
                </c:pt>
                <c:pt idx="97">
                  <c:v>-3.2582506875563935</c:v>
                </c:pt>
                <c:pt idx="98">
                  <c:v>-3.2477692035838746</c:v>
                </c:pt>
                <c:pt idx="99">
                  <c:v>-3.2156261577172076</c:v>
                </c:pt>
                <c:pt idx="100">
                  <c:v>-3.1688482293364424</c:v>
                </c:pt>
                <c:pt idx="101">
                  <c:v>-3.25174280663422</c:v>
                </c:pt>
                <c:pt idx="102">
                  <c:v>-3.2344810355078817</c:v>
                </c:pt>
                <c:pt idx="103">
                  <c:v>-3.0516973679784707</c:v>
                </c:pt>
                <c:pt idx="104">
                  <c:v>-3.0029566472859139</c:v>
                </c:pt>
                <c:pt idx="105">
                  <c:v>-3.0225594980403439</c:v>
                </c:pt>
                <c:pt idx="106">
                  <c:v>-2.9485662056440569</c:v>
                </c:pt>
                <c:pt idx="107">
                  <c:v>-2.9096209478874222</c:v>
                </c:pt>
                <c:pt idx="108">
                  <c:v>-2.8904079466768957</c:v>
                </c:pt>
                <c:pt idx="109">
                  <c:v>-2.6870462647080462</c:v>
                </c:pt>
                <c:pt idx="110">
                  <c:v>-3.4868340771368209</c:v>
                </c:pt>
                <c:pt idx="111">
                  <c:v>-3.4803289029679894</c:v>
                </c:pt>
                <c:pt idx="112">
                  <c:v>-3.38632942992162</c:v>
                </c:pt>
                <c:pt idx="113">
                  <c:v>-3.3804986257054037</c:v>
                </c:pt>
                <c:pt idx="114">
                  <c:v>-3.3997145169246634</c:v>
                </c:pt>
                <c:pt idx="115">
                  <c:v>-3.4100976950992661</c:v>
                </c:pt>
                <c:pt idx="116">
                  <c:v>-3.3900020492461991</c:v>
                </c:pt>
                <c:pt idx="117">
                  <c:v>-3.3724142102461991</c:v>
                </c:pt>
                <c:pt idx="118">
                  <c:v>-3.315457680291769</c:v>
                </c:pt>
                <c:pt idx="119">
                  <c:v>-3.3492857425106966</c:v>
                </c:pt>
                <c:pt idx="120">
                  <c:v>-3.2304524517466104</c:v>
                </c:pt>
                <c:pt idx="121">
                  <c:v>-3.3555608909898895</c:v>
                </c:pt>
                <c:pt idx="122">
                  <c:v>-3.3273055164328862</c:v>
                </c:pt>
                <c:pt idx="123">
                  <c:v>-3.2385746870305194</c:v>
                </c:pt>
                <c:pt idx="124">
                  <c:v>-3.2199730283749104</c:v>
                </c:pt>
                <c:pt idx="125">
                  <c:v>-3.1942553910075633</c:v>
                </c:pt>
                <c:pt idx="126">
                  <c:v>-3.1814935420619679</c:v>
                </c:pt>
                <c:pt idx="127">
                  <c:v>-3.1756135762603153</c:v>
                </c:pt>
                <c:pt idx="128">
                  <c:v>-3.1967020601884992</c:v>
                </c:pt>
                <c:pt idx="129">
                  <c:v>-3.1563758750082269</c:v>
                </c:pt>
                <c:pt idx="130">
                  <c:v>-3.138636401529185</c:v>
                </c:pt>
                <c:pt idx="131">
                  <c:v>-3.1110560157706715</c:v>
                </c:pt>
                <c:pt idx="132">
                  <c:v>-2.8691433713232906</c:v>
                </c:pt>
                <c:pt idx="133">
                  <c:v>-2.8946571554941238</c:v>
                </c:pt>
                <c:pt idx="134">
                  <c:v>-2.8684061588567942</c:v>
                </c:pt>
                <c:pt idx="135">
                  <c:v>-2.847964548129204</c:v>
                </c:pt>
                <c:pt idx="136">
                  <c:v>-2.8163164255798869</c:v>
                </c:pt>
                <c:pt idx="137">
                  <c:v>-2.7161619257951597</c:v>
                </c:pt>
                <c:pt idx="138">
                  <c:v>-2.4243582288448891</c:v>
                </c:pt>
                <c:pt idx="139">
                  <c:v>-2.4802314253186015</c:v>
                </c:pt>
                <c:pt idx="140">
                  <c:v>-2.4320535435732107</c:v>
                </c:pt>
                <c:pt idx="141">
                  <c:v>-2.3530288649689557</c:v>
                </c:pt>
                <c:pt idx="142">
                  <c:v>-0.74503006550028583</c:v>
                </c:pt>
                <c:pt idx="143">
                  <c:v>-0.67401566240381661</c:v>
                </c:pt>
                <c:pt idx="144">
                  <c:v>-0.57799159193664384</c:v>
                </c:pt>
                <c:pt idx="145">
                  <c:v>-0.55084412759809376</c:v>
                </c:pt>
                <c:pt idx="146">
                  <c:v>-0.54950271475019741</c:v>
                </c:pt>
                <c:pt idx="147">
                  <c:v>-0.54584435853925994</c:v>
                </c:pt>
                <c:pt idx="148">
                  <c:v>-0.53139254943273062</c:v>
                </c:pt>
                <c:pt idx="149">
                  <c:v>-0.54185500858166691</c:v>
                </c:pt>
                <c:pt idx="150">
                  <c:v>-0.53303302858166679</c:v>
                </c:pt>
                <c:pt idx="151">
                  <c:v>-0.52146910245601252</c:v>
                </c:pt>
                <c:pt idx="152">
                  <c:v>-0.51575613549114752</c:v>
                </c:pt>
                <c:pt idx="153">
                  <c:v>-0.51386013054883983</c:v>
                </c:pt>
                <c:pt idx="154">
                  <c:v>-0.52608171544808513</c:v>
                </c:pt>
                <c:pt idx="155">
                  <c:v>-0.51835491976735115</c:v>
                </c:pt>
                <c:pt idx="156">
                  <c:v>-0.53075762072647525</c:v>
                </c:pt>
                <c:pt idx="157">
                  <c:v>-0.51523163576451869</c:v>
                </c:pt>
                <c:pt idx="158">
                  <c:v>-0.51179468848742615</c:v>
                </c:pt>
                <c:pt idx="159">
                  <c:v>-0.50890709796802314</c:v>
                </c:pt>
                <c:pt idx="160">
                  <c:v>-0.51649473427871495</c:v>
                </c:pt>
                <c:pt idx="161">
                  <c:v>-0.53777287989954248</c:v>
                </c:pt>
                <c:pt idx="162">
                  <c:v>-0.54289862677454248</c:v>
                </c:pt>
                <c:pt idx="163">
                  <c:v>-0.54229873390555694</c:v>
                </c:pt>
                <c:pt idx="164">
                  <c:v>-0.52338578205256558</c:v>
                </c:pt>
                <c:pt idx="165">
                  <c:v>-0.49886143355291035</c:v>
                </c:pt>
                <c:pt idx="166">
                  <c:v>-0.50944991697458131</c:v>
                </c:pt>
                <c:pt idx="167">
                  <c:v>-0.48138720421108933</c:v>
                </c:pt>
                <c:pt idx="168">
                  <c:v>-0.5311391506710893</c:v>
                </c:pt>
                <c:pt idx="169">
                  <c:v>-0.5129017279646565</c:v>
                </c:pt>
                <c:pt idx="170">
                  <c:v>-0.49222197635309461</c:v>
                </c:pt>
                <c:pt idx="171">
                  <c:v>-0.49146132394125663</c:v>
                </c:pt>
                <c:pt idx="172">
                  <c:v>-0.49863049939735421</c:v>
                </c:pt>
                <c:pt idx="173">
                  <c:v>-0.48441132563382144</c:v>
                </c:pt>
                <c:pt idx="174">
                  <c:v>-0.47689214364874338</c:v>
                </c:pt>
                <c:pt idx="175">
                  <c:v>-0.48893768060080872</c:v>
                </c:pt>
                <c:pt idx="176">
                  <c:v>-0.51238502340453396</c:v>
                </c:pt>
                <c:pt idx="177">
                  <c:v>-0.51937931967453399</c:v>
                </c:pt>
                <c:pt idx="178">
                  <c:v>-0.51502868355320075</c:v>
                </c:pt>
                <c:pt idx="179">
                  <c:v>-0.51457400882157678</c:v>
                </c:pt>
                <c:pt idx="180">
                  <c:v>-0.5028466105672238</c:v>
                </c:pt>
                <c:pt idx="181">
                  <c:v>-0.50923964699145285</c:v>
                </c:pt>
                <c:pt idx="182">
                  <c:v>-0.51335818563945279</c:v>
                </c:pt>
                <c:pt idx="183">
                  <c:v>-0.5169656657883539</c:v>
                </c:pt>
                <c:pt idx="184">
                  <c:v>-0.51837749871835404</c:v>
                </c:pt>
                <c:pt idx="185">
                  <c:v>-0.52788670191734377</c:v>
                </c:pt>
                <c:pt idx="186">
                  <c:v>-0.51726393828165917</c:v>
                </c:pt>
                <c:pt idx="187">
                  <c:v>-0.52896950252482466</c:v>
                </c:pt>
                <c:pt idx="188">
                  <c:v>-0.53277716367517924</c:v>
                </c:pt>
                <c:pt idx="189">
                  <c:v>-0.54321291919517933</c:v>
                </c:pt>
                <c:pt idx="190">
                  <c:v>-0.55596894629353988</c:v>
                </c:pt>
                <c:pt idx="191">
                  <c:v>-0.5230365310863615</c:v>
                </c:pt>
                <c:pt idx="192">
                  <c:v>-0.52438682423808569</c:v>
                </c:pt>
                <c:pt idx="193">
                  <c:v>-0.52212843959675548</c:v>
                </c:pt>
                <c:pt idx="194">
                  <c:v>-0.51464993612140131</c:v>
                </c:pt>
                <c:pt idx="195">
                  <c:v>-0.50951086513864274</c:v>
                </c:pt>
                <c:pt idx="196">
                  <c:v>-0.47272271227875834</c:v>
                </c:pt>
                <c:pt idx="197">
                  <c:v>-0.44485782675412788</c:v>
                </c:pt>
                <c:pt idx="198">
                  <c:v>-0.45261662757612331</c:v>
                </c:pt>
                <c:pt idx="199">
                  <c:v>-0.4490557955761233</c:v>
                </c:pt>
                <c:pt idx="200">
                  <c:v>-0.44391832367348538</c:v>
                </c:pt>
                <c:pt idx="201">
                  <c:v>-0.45697092182540844</c:v>
                </c:pt>
                <c:pt idx="202">
                  <c:v>-0.45218071878589894</c:v>
                </c:pt>
                <c:pt idx="203">
                  <c:v>-0.45874431663759185</c:v>
                </c:pt>
                <c:pt idx="204">
                  <c:v>-0.42690519183759179</c:v>
                </c:pt>
                <c:pt idx="205">
                  <c:v>-0.41912552073294068</c:v>
                </c:pt>
                <c:pt idx="206">
                  <c:v>-0.4280818768554126</c:v>
                </c:pt>
                <c:pt idx="207">
                  <c:v>-0.42029070061497137</c:v>
                </c:pt>
                <c:pt idx="208">
                  <c:v>-0.40212706050509056</c:v>
                </c:pt>
                <c:pt idx="209">
                  <c:v>-0.40522503112047525</c:v>
                </c:pt>
                <c:pt idx="210">
                  <c:v>-0.40823929595495806</c:v>
                </c:pt>
                <c:pt idx="211">
                  <c:v>-0.40726541715428244</c:v>
                </c:pt>
                <c:pt idx="212">
                  <c:v>-0.40467283829969414</c:v>
                </c:pt>
                <c:pt idx="213">
                  <c:v>-0.39308821196826554</c:v>
                </c:pt>
                <c:pt idx="214">
                  <c:v>-0.40113466086620364</c:v>
                </c:pt>
                <c:pt idx="215">
                  <c:v>-0.40917451596710458</c:v>
                </c:pt>
                <c:pt idx="216">
                  <c:v>-0.41162199340896499</c:v>
                </c:pt>
                <c:pt idx="217">
                  <c:v>-0.39878432047475765</c:v>
                </c:pt>
                <c:pt idx="218">
                  <c:v>-0.40370088927797049</c:v>
                </c:pt>
                <c:pt idx="219">
                  <c:v>-0.38877176486045284</c:v>
                </c:pt>
                <c:pt idx="220">
                  <c:v>-0.38787410847445125</c:v>
                </c:pt>
                <c:pt idx="221">
                  <c:v>-0.36577404597445123</c:v>
                </c:pt>
                <c:pt idx="222">
                  <c:v>-0.37464958715180163</c:v>
                </c:pt>
                <c:pt idx="223">
                  <c:v>-0.37356193027268075</c:v>
                </c:pt>
                <c:pt idx="224">
                  <c:v>-0.35363981920705578</c:v>
                </c:pt>
                <c:pt idx="225">
                  <c:v>-0.34322395839964354</c:v>
                </c:pt>
                <c:pt idx="226">
                  <c:v>-0.33508994011534188</c:v>
                </c:pt>
                <c:pt idx="227">
                  <c:v>-0.32421051230996289</c:v>
                </c:pt>
                <c:pt idx="228">
                  <c:v>-0.31761924498872185</c:v>
                </c:pt>
                <c:pt idx="229">
                  <c:v>-0.33045249944233007</c:v>
                </c:pt>
                <c:pt idx="230">
                  <c:v>-0.31584907388875871</c:v>
                </c:pt>
                <c:pt idx="231">
                  <c:v>-0.25459741554438675</c:v>
                </c:pt>
                <c:pt idx="232">
                  <c:v>-0.21363738520638673</c:v>
                </c:pt>
                <c:pt idx="233">
                  <c:v>-0.24211350444452009</c:v>
                </c:pt>
                <c:pt idx="234">
                  <c:v>-0.24634424885432102</c:v>
                </c:pt>
                <c:pt idx="235">
                  <c:v>-0.21403653755805352</c:v>
                </c:pt>
                <c:pt idx="236">
                  <c:v>-0.20073676460148163</c:v>
                </c:pt>
                <c:pt idx="237">
                  <c:v>-0.19322102158213597</c:v>
                </c:pt>
                <c:pt idx="238">
                  <c:v>-0.18782925039534354</c:v>
                </c:pt>
                <c:pt idx="239">
                  <c:v>-0.19483343483068963</c:v>
                </c:pt>
                <c:pt idx="240">
                  <c:v>-0.19291191618783252</c:v>
                </c:pt>
                <c:pt idx="241">
                  <c:v>-0.18971903132949916</c:v>
                </c:pt>
                <c:pt idx="242">
                  <c:v>-0.20011781481127255</c:v>
                </c:pt>
                <c:pt idx="243">
                  <c:v>-0.20547386790815406</c:v>
                </c:pt>
                <c:pt idx="244">
                  <c:v>-0.19083309310581489</c:v>
                </c:pt>
                <c:pt idx="245">
                  <c:v>-0.17932702705019649</c:v>
                </c:pt>
                <c:pt idx="246">
                  <c:v>-0.16830142685621438</c:v>
                </c:pt>
                <c:pt idx="247">
                  <c:v>-0.20704274501200076</c:v>
                </c:pt>
                <c:pt idx="248">
                  <c:v>-0.20021739333224509</c:v>
                </c:pt>
                <c:pt idx="249">
                  <c:v>-0.21535842634546248</c:v>
                </c:pt>
                <c:pt idx="250">
                  <c:v>-0.20340982666532328</c:v>
                </c:pt>
                <c:pt idx="251">
                  <c:v>-0.15844980051968177</c:v>
                </c:pt>
                <c:pt idx="252">
                  <c:v>-0.12657770631342186</c:v>
                </c:pt>
                <c:pt idx="253">
                  <c:v>-0.14867803212418854</c:v>
                </c:pt>
                <c:pt idx="254">
                  <c:v>-0.13014187151454951</c:v>
                </c:pt>
                <c:pt idx="255">
                  <c:v>-0.12678233010654952</c:v>
                </c:pt>
                <c:pt idx="256">
                  <c:v>-0.11457432995453182</c:v>
                </c:pt>
                <c:pt idx="257">
                  <c:v>-0.10938363129510864</c:v>
                </c:pt>
                <c:pt idx="258">
                  <c:v>-9.5632116212135437E-2</c:v>
                </c:pt>
                <c:pt idx="259">
                  <c:v>-0.10240923315031723</c:v>
                </c:pt>
                <c:pt idx="260">
                  <c:v>-8.2302409754602943E-2</c:v>
                </c:pt>
                <c:pt idx="261">
                  <c:v>-6.1344325635609792E-2</c:v>
                </c:pt>
                <c:pt idx="262">
                  <c:v>-6.7234818245731229E-2</c:v>
                </c:pt>
                <c:pt idx="263">
                  <c:v>4.7434461306128098E-3</c:v>
                </c:pt>
                <c:pt idx="264">
                  <c:v>-6.6540856916288606E-3</c:v>
                </c:pt>
                <c:pt idx="265">
                  <c:v>5.5532163920075034E-3</c:v>
                </c:pt>
                <c:pt idx="266">
                  <c:v>-4.7110918247633617E-4</c:v>
                </c:pt>
                <c:pt idx="267">
                  <c:v>1.009079876963311E-2</c:v>
                </c:pt>
                <c:pt idx="268">
                  <c:v>3.3487201380400732E-3</c:v>
                </c:pt>
                <c:pt idx="269">
                  <c:v>-8.8671972490299428E-3</c:v>
                </c:pt>
                <c:pt idx="270">
                  <c:v>-4.309540805804089E-3</c:v>
                </c:pt>
                <c:pt idx="271">
                  <c:v>-1.1131537005967583E-2</c:v>
                </c:pt>
                <c:pt idx="272">
                  <c:v>3.4580409566880186E-3</c:v>
                </c:pt>
                <c:pt idx="273">
                  <c:v>1.9485257616107701E-3</c:v>
                </c:pt>
                <c:pt idx="274">
                  <c:v>-1.9476215657722579E-2</c:v>
                </c:pt>
                <c:pt idx="275">
                  <c:v>-1.83815970256744E-2</c:v>
                </c:pt>
                <c:pt idx="276">
                  <c:v>-2.1707344671683781E-2</c:v>
                </c:pt>
                <c:pt idx="277">
                  <c:v>-2.9413197110417962E-2</c:v>
                </c:pt>
                <c:pt idx="278">
                  <c:v>-2.5993404226143154E-2</c:v>
                </c:pt>
                <c:pt idx="279">
                  <c:v>-1.9754423242108618E-2</c:v>
                </c:pt>
                <c:pt idx="280">
                  <c:v>-3.3448284423358628E-2</c:v>
                </c:pt>
                <c:pt idx="281">
                  <c:v>-1.6664797037253369E-2</c:v>
                </c:pt>
                <c:pt idx="282">
                  <c:v>-8.7714722239394202E-4</c:v>
                </c:pt>
                <c:pt idx="283">
                  <c:v>-1.8874231805574387E-2</c:v>
                </c:pt>
                <c:pt idx="284">
                  <c:v>-1.0575988631520332E-2</c:v>
                </c:pt>
                <c:pt idx="285">
                  <c:v>-6.7332699502223054E-3</c:v>
                </c:pt>
                <c:pt idx="286">
                  <c:v>5.9152441713675669E-3</c:v>
                </c:pt>
                <c:pt idx="287">
                  <c:v>1.8925328930794912E-2</c:v>
                </c:pt>
                <c:pt idx="288">
                  <c:v>1.6922254359518333E-2</c:v>
                </c:pt>
                <c:pt idx="289">
                  <c:v>2.7906389191635132E-2</c:v>
                </c:pt>
                <c:pt idx="290">
                  <c:v>4.0632195322499974E-2</c:v>
                </c:pt>
                <c:pt idx="291">
                  <c:v>2.8372925800534948E-2</c:v>
                </c:pt>
                <c:pt idx="292">
                  <c:v>2.2265009869039561E-2</c:v>
                </c:pt>
                <c:pt idx="293">
                  <c:v>3.0907948289752518E-2</c:v>
                </c:pt>
                <c:pt idx="294">
                  <c:v>3.608664281460025E-2</c:v>
                </c:pt>
                <c:pt idx="295">
                  <c:v>2.9204081823103419E-2</c:v>
                </c:pt>
                <c:pt idx="296">
                  <c:v>3.9609043206992177E-2</c:v>
                </c:pt>
                <c:pt idx="297">
                  <c:v>3.5374601584052291E-2</c:v>
                </c:pt>
                <c:pt idx="298">
                  <c:v>3.9449673415489717E-2</c:v>
                </c:pt>
                <c:pt idx="299">
                  <c:v>3.0201110022625946E-2</c:v>
                </c:pt>
                <c:pt idx="300">
                  <c:v>3.8713935804645223E-2</c:v>
                </c:pt>
                <c:pt idx="301">
                  <c:v>5.2684511655822143E-2</c:v>
                </c:pt>
                <c:pt idx="302">
                  <c:v>4.5605968829687746E-2</c:v>
                </c:pt>
                <c:pt idx="303">
                  <c:v>5.7884558078822326E-2</c:v>
                </c:pt>
                <c:pt idx="304">
                  <c:v>4.6088612578978595E-2</c:v>
                </c:pt>
                <c:pt idx="305">
                  <c:v>3.0960128373287536E-2</c:v>
                </c:pt>
                <c:pt idx="306">
                  <c:v>2.9110704050818021E-2</c:v>
                </c:pt>
                <c:pt idx="307">
                  <c:v>3.8077033988443323E-2</c:v>
                </c:pt>
                <c:pt idx="308">
                  <c:v>2.7190552486903358E-2</c:v>
                </c:pt>
                <c:pt idx="309">
                  <c:v>4.3473135963305216E-2</c:v>
                </c:pt>
                <c:pt idx="310">
                  <c:v>6.4390381879584305E-2</c:v>
                </c:pt>
                <c:pt idx="311">
                  <c:v>4.9017216407528409E-2</c:v>
                </c:pt>
                <c:pt idx="312">
                  <c:v>6.835459445782939E-2</c:v>
                </c:pt>
                <c:pt idx="313">
                  <c:v>4.3163396950460953E-2</c:v>
                </c:pt>
                <c:pt idx="314">
                  <c:v>4.6724168030036282E-2</c:v>
                </c:pt>
                <c:pt idx="315">
                  <c:v>5.7474985562012103E-2</c:v>
                </c:pt>
                <c:pt idx="316">
                  <c:v>7.02350268045175E-2</c:v>
                </c:pt>
                <c:pt idx="317">
                  <c:v>6.252537127997046E-2</c:v>
                </c:pt>
                <c:pt idx="318">
                  <c:v>7.2080656969553791E-2</c:v>
                </c:pt>
                <c:pt idx="319">
                  <c:v>5.0377131052873191E-2</c:v>
                </c:pt>
                <c:pt idx="320">
                  <c:v>4.6542774226356706E-2</c:v>
                </c:pt>
                <c:pt idx="321">
                  <c:v>4.6765729860469479E-2</c:v>
                </c:pt>
                <c:pt idx="322">
                  <c:v>7.4515219607053373E-2</c:v>
                </c:pt>
                <c:pt idx="323">
                  <c:v>9.7831862717944418E-2</c:v>
                </c:pt>
                <c:pt idx="324">
                  <c:v>5.8906326201563046E-2</c:v>
                </c:pt>
                <c:pt idx="325">
                  <c:v>3.5640359684879296E-2</c:v>
                </c:pt>
                <c:pt idx="326">
                  <c:v>2.8053204020917041E-2</c:v>
                </c:pt>
                <c:pt idx="327">
                  <c:v>1.62838422927119E-2</c:v>
                </c:pt>
                <c:pt idx="328">
                  <c:v>-8.7331883010575793E-3</c:v>
                </c:pt>
                <c:pt idx="329">
                  <c:v>-1.8730834688936375E-2</c:v>
                </c:pt>
                <c:pt idx="330">
                  <c:v>-2.1040016052355472E-2</c:v>
                </c:pt>
                <c:pt idx="331">
                  <c:v>-2.3127455524105917E-2</c:v>
                </c:pt>
                <c:pt idx="332">
                  <c:v>-1.9521946174320515E-2</c:v>
                </c:pt>
                <c:pt idx="333">
                  <c:v>-2.1005028360942583E-2</c:v>
                </c:pt>
                <c:pt idx="334">
                  <c:v>-2.5274855625875125E-2</c:v>
                </c:pt>
                <c:pt idx="335">
                  <c:v>-1.7834214670905811E-2</c:v>
                </c:pt>
                <c:pt idx="336">
                  <c:v>-1.0849847552893385E-2</c:v>
                </c:pt>
                <c:pt idx="337">
                  <c:v>4.628889021905563E-3</c:v>
                </c:pt>
                <c:pt idx="338">
                  <c:v>-1.1223014188304613E-2</c:v>
                </c:pt>
                <c:pt idx="339">
                  <c:v>-4.4577144190359403E-3</c:v>
                </c:pt>
                <c:pt idx="340">
                  <c:v>-1.1139170707835178E-2</c:v>
                </c:pt>
                <c:pt idx="341">
                  <c:v>-5.5492407916675202E-3</c:v>
                </c:pt>
                <c:pt idx="342">
                  <c:v>1.0382908232824447E-2</c:v>
                </c:pt>
                <c:pt idx="343">
                  <c:v>-1.0084613359416095E-2</c:v>
                </c:pt>
                <c:pt idx="344">
                  <c:v>5.5727230297730858E-3</c:v>
                </c:pt>
                <c:pt idx="345">
                  <c:v>-1.2250105733721886E-2</c:v>
                </c:pt>
                <c:pt idx="346">
                  <c:v>1.9920651145971216E-3</c:v>
                </c:pt>
                <c:pt idx="347">
                  <c:v>1.9853368269641923E-2</c:v>
                </c:pt>
                <c:pt idx="348">
                  <c:v>-2.813146602558881E-2</c:v>
                </c:pt>
                <c:pt idx="349">
                  <c:v>-7.3154812440526101E-2</c:v>
                </c:pt>
                <c:pt idx="350">
                  <c:v>-0.11205427195550323</c:v>
                </c:pt>
                <c:pt idx="351">
                  <c:v>-0.15245922969470321</c:v>
                </c:pt>
                <c:pt idx="352">
                  <c:v>-0.10955665757889339</c:v>
                </c:pt>
                <c:pt idx="353">
                  <c:v>-0.1144320561066446</c:v>
                </c:pt>
                <c:pt idx="354">
                  <c:v>-0.10898321484378744</c:v>
                </c:pt>
                <c:pt idx="355">
                  <c:v>-0.10240701900304668</c:v>
                </c:pt>
                <c:pt idx="356">
                  <c:v>-9.4039065571742311E-2</c:v>
                </c:pt>
                <c:pt idx="357">
                  <c:v>-0.10827981321068036</c:v>
                </c:pt>
                <c:pt idx="358">
                  <c:v>-9.1790091390279022E-2</c:v>
                </c:pt>
                <c:pt idx="359">
                  <c:v>-6.7515665227039445E-2</c:v>
                </c:pt>
                <c:pt idx="360">
                  <c:v>-5.8855002756769179E-2</c:v>
                </c:pt>
                <c:pt idx="361">
                  <c:v>-5.9128500902695121E-2</c:v>
                </c:pt>
                <c:pt idx="362">
                  <c:v>-5.9605512819225395E-2</c:v>
                </c:pt>
                <c:pt idx="363">
                  <c:v>-5.7753733644898643E-2</c:v>
                </c:pt>
                <c:pt idx="364">
                  <c:v>-5.0790239215913136E-2</c:v>
                </c:pt>
                <c:pt idx="365">
                  <c:v>-5.0708001744308187E-2</c:v>
                </c:pt>
                <c:pt idx="366">
                  <c:v>-5.1229333456708173E-2</c:v>
                </c:pt>
                <c:pt idx="367">
                  <c:v>-5.7474178273256217E-2</c:v>
                </c:pt>
                <c:pt idx="368">
                  <c:v>-5.4072159579922875E-2</c:v>
                </c:pt>
                <c:pt idx="369">
                  <c:v>-5.2459147514876146E-2</c:v>
                </c:pt>
                <c:pt idx="370">
                  <c:v>-5.3581228956009606E-2</c:v>
                </c:pt>
                <c:pt idx="371">
                  <c:v>-5.674621001148035E-2</c:v>
                </c:pt>
                <c:pt idx="372">
                  <c:v>-5.0537435702616949E-2</c:v>
                </c:pt>
                <c:pt idx="373">
                  <c:v>-5.6188834850344219E-2</c:v>
                </c:pt>
                <c:pt idx="374">
                  <c:v>-4.9079317354156521E-2</c:v>
                </c:pt>
                <c:pt idx="375">
                  <c:v>-5.3056259522995065E-2</c:v>
                </c:pt>
                <c:pt idx="376">
                  <c:v>-5.6240422467346521E-2</c:v>
                </c:pt>
                <c:pt idx="377">
                  <c:v>-5.0184422008457637E-2</c:v>
                </c:pt>
                <c:pt idx="378">
                  <c:v>-4.9472769205751888E-2</c:v>
                </c:pt>
                <c:pt idx="379">
                  <c:v>-4.7280166476685218E-2</c:v>
                </c:pt>
                <c:pt idx="380">
                  <c:v>-5.1898019041611433E-2</c:v>
                </c:pt>
                <c:pt idx="381">
                  <c:v>-5.0127912320732305E-2</c:v>
                </c:pt>
                <c:pt idx="382">
                  <c:v>-6.489221891520236E-2</c:v>
                </c:pt>
                <c:pt idx="383">
                  <c:v>-5.9253315024796457E-2</c:v>
                </c:pt>
                <c:pt idx="384">
                  <c:v>-7.0308597591513089E-2</c:v>
                </c:pt>
                <c:pt idx="385">
                  <c:v>-7.1112938160978301E-2</c:v>
                </c:pt>
                <c:pt idx="386">
                  <c:v>-6.7063988360311147E-2</c:v>
                </c:pt>
                <c:pt idx="387">
                  <c:v>-6.1183186808882566E-2</c:v>
                </c:pt>
                <c:pt idx="388">
                  <c:v>-6.2610553592731946E-2</c:v>
                </c:pt>
                <c:pt idx="389">
                  <c:v>-6.5063614356434318E-2</c:v>
                </c:pt>
                <c:pt idx="390">
                  <c:v>-6.5708030205537768E-2</c:v>
                </c:pt>
                <c:pt idx="391">
                  <c:v>-5.998372712963413E-2</c:v>
                </c:pt>
                <c:pt idx="392">
                  <c:v>-5.9488572892232215E-2</c:v>
                </c:pt>
                <c:pt idx="393">
                  <c:v>-6.198620595161463E-2</c:v>
                </c:pt>
                <c:pt idx="394">
                  <c:v>-6.2051189220574066E-2</c:v>
                </c:pt>
                <c:pt idx="395">
                  <c:v>-6.1270859639248276E-2</c:v>
                </c:pt>
                <c:pt idx="396">
                  <c:v>-6.2693035872377137E-2</c:v>
                </c:pt>
                <c:pt idx="397">
                  <c:v>-6.7091436765043796E-2</c:v>
                </c:pt>
                <c:pt idx="398">
                  <c:v>-6.4003887614542121E-2</c:v>
                </c:pt>
                <c:pt idx="399">
                  <c:v>-6.3694296817106241E-2</c:v>
                </c:pt>
                <c:pt idx="400">
                  <c:v>-6.5190982474545675E-2</c:v>
                </c:pt>
                <c:pt idx="401">
                  <c:v>-6.2280962818142938E-2</c:v>
                </c:pt>
                <c:pt idx="402">
                  <c:v>-7.1888554759530224E-2</c:v>
                </c:pt>
                <c:pt idx="403">
                  <c:v>-5.4916843960072376E-2</c:v>
                </c:pt>
                <c:pt idx="404">
                  <c:v>-4.3017456127730364E-2</c:v>
                </c:pt>
                <c:pt idx="405">
                  <c:v>-2.1749631860350709E-2</c:v>
                </c:pt>
                <c:pt idx="406">
                  <c:v>-1.7716562015461346E-2</c:v>
                </c:pt>
                <c:pt idx="407">
                  <c:v>-1.1001233116678675E-2</c:v>
                </c:pt>
                <c:pt idx="408">
                  <c:v>-1.4555329947066523E-2</c:v>
                </c:pt>
                <c:pt idx="409">
                  <c:v>-1.3877449791510964E-2</c:v>
                </c:pt>
                <c:pt idx="410">
                  <c:v>-1.2578703562182342E-2</c:v>
                </c:pt>
                <c:pt idx="411">
                  <c:v>-1.1772872018545979E-2</c:v>
                </c:pt>
                <c:pt idx="412">
                  <c:v>-1.2558781724215269E-2</c:v>
                </c:pt>
                <c:pt idx="413">
                  <c:v>-1.2513517313540418E-2</c:v>
                </c:pt>
                <c:pt idx="414">
                  <c:v>-1.1415289710133262E-2</c:v>
                </c:pt>
                <c:pt idx="415">
                  <c:v>-1.2773476203819849E-2</c:v>
                </c:pt>
                <c:pt idx="416">
                  <c:v>-1.0539901979117649E-2</c:v>
                </c:pt>
                <c:pt idx="417">
                  <c:v>-9.7160361380427933E-3</c:v>
                </c:pt>
                <c:pt idx="418">
                  <c:v>-1.0007318579760584E-2</c:v>
                </c:pt>
                <c:pt idx="419">
                  <c:v>-1.2877538863965553E-2</c:v>
                </c:pt>
                <c:pt idx="420">
                  <c:v>-1.0075245439144124E-2</c:v>
                </c:pt>
                <c:pt idx="421">
                  <c:v>-1.1736151487144126E-2</c:v>
                </c:pt>
                <c:pt idx="422">
                  <c:v>-1.2387647734261919E-2</c:v>
                </c:pt>
                <c:pt idx="423">
                  <c:v>-1.2598046931404776E-2</c:v>
                </c:pt>
                <c:pt idx="424">
                  <c:v>-1.4467549494879163E-2</c:v>
                </c:pt>
                <c:pt idx="425">
                  <c:v>-1.3443987767606434E-2</c:v>
                </c:pt>
                <c:pt idx="426">
                  <c:v>-1.33878467949898E-2</c:v>
                </c:pt>
                <c:pt idx="427">
                  <c:v>-1.3763342929265414E-2</c:v>
                </c:pt>
                <c:pt idx="428">
                  <c:v>-1.3172210809265415E-2</c:v>
                </c:pt>
                <c:pt idx="429">
                  <c:v>-1.3023694466892532E-2</c:v>
                </c:pt>
                <c:pt idx="430">
                  <c:v>-1.2190746999308052E-2</c:v>
                </c:pt>
                <c:pt idx="431">
                  <c:v>-1.2808190230062947E-2</c:v>
                </c:pt>
                <c:pt idx="432">
                  <c:v>-1.3879263027110917E-2</c:v>
                </c:pt>
                <c:pt idx="433">
                  <c:v>-1.3094490797783463E-2</c:v>
                </c:pt>
                <c:pt idx="434">
                  <c:v>-1.2807334793118739E-2</c:v>
                </c:pt>
                <c:pt idx="435">
                  <c:v>-1.2946845027257712E-2</c:v>
                </c:pt>
                <c:pt idx="436">
                  <c:v>-1.2835540797283109E-2</c:v>
                </c:pt>
                <c:pt idx="437">
                  <c:v>-1.4707653848147663E-2</c:v>
                </c:pt>
                <c:pt idx="438">
                  <c:v>-1.436977235561035E-2</c:v>
                </c:pt>
                <c:pt idx="439">
                  <c:v>-1.3594210105610348E-2</c:v>
                </c:pt>
                <c:pt idx="440">
                  <c:v>-1.4153271651610346E-2</c:v>
                </c:pt>
                <c:pt idx="441">
                  <c:v>-1.5993091950842097E-2</c:v>
                </c:pt>
                <c:pt idx="442">
                  <c:v>-1.5428961573606324E-2</c:v>
                </c:pt>
                <c:pt idx="443">
                  <c:v>-1.5960761159430081E-2</c:v>
                </c:pt>
                <c:pt idx="444">
                  <c:v>-1.4380437320686622E-2</c:v>
                </c:pt>
                <c:pt idx="445">
                  <c:v>-1.4587754252870528E-2</c:v>
                </c:pt>
                <c:pt idx="446">
                  <c:v>-1.4631307214064554E-2</c:v>
                </c:pt>
                <c:pt idx="447">
                  <c:v>-1.351678755082926E-2</c:v>
                </c:pt>
                <c:pt idx="448">
                  <c:v>-1.3983416196619816E-2</c:v>
                </c:pt>
                <c:pt idx="449">
                  <c:v>-1.3816844754164571E-2</c:v>
                </c:pt>
                <c:pt idx="450">
                  <c:v>-1.3792867156851138E-2</c:v>
                </c:pt>
                <c:pt idx="451">
                  <c:v>-1.3570029480487501E-2</c:v>
                </c:pt>
                <c:pt idx="452">
                  <c:v>-1.3186802083154167E-2</c:v>
                </c:pt>
                <c:pt idx="453">
                  <c:v>-1.3239952141005405E-2</c:v>
                </c:pt>
                <c:pt idx="454">
                  <c:v>-1.2636952048642637E-2</c:v>
                </c:pt>
                <c:pt idx="455">
                  <c:v>-1.3707524317336042E-2</c:v>
                </c:pt>
                <c:pt idx="456">
                  <c:v>-1.354596723733604E-2</c:v>
                </c:pt>
                <c:pt idx="457">
                  <c:v>-1.28382280591701E-2</c:v>
                </c:pt>
                <c:pt idx="458">
                  <c:v>-1.3195313983170099E-2</c:v>
                </c:pt>
                <c:pt idx="459">
                  <c:v>-1.3509303853276861E-2</c:v>
                </c:pt>
                <c:pt idx="460">
                  <c:v>-1.3030669486188255E-2</c:v>
                </c:pt>
                <c:pt idx="461">
                  <c:v>-1.3008768793776328E-2</c:v>
                </c:pt>
                <c:pt idx="462">
                  <c:v>-1.2652888607455573E-2</c:v>
                </c:pt>
                <c:pt idx="463">
                  <c:v>-1.2656930722215722E-2</c:v>
                </c:pt>
                <c:pt idx="464">
                  <c:v>-1.1065404917542824E-2</c:v>
                </c:pt>
                <c:pt idx="465">
                  <c:v>-1.0576880217542824E-2</c:v>
                </c:pt>
                <c:pt idx="466">
                  <c:v>-1.0577959308834957E-2</c:v>
                </c:pt>
                <c:pt idx="467">
                  <c:v>-1.0420294811750412E-2</c:v>
                </c:pt>
                <c:pt idx="468">
                  <c:v>-1.0856277987962881E-2</c:v>
                </c:pt>
                <c:pt idx="469">
                  <c:v>-1.1121182013437139E-2</c:v>
                </c:pt>
                <c:pt idx="470">
                  <c:v>-1.1164228840103802E-2</c:v>
                </c:pt>
                <c:pt idx="471">
                  <c:v>-1.0837979899314332E-2</c:v>
                </c:pt>
                <c:pt idx="472">
                  <c:v>-1.0699185277519462E-2</c:v>
                </c:pt>
                <c:pt idx="473">
                  <c:v>-1.0338373521875582E-2</c:v>
                </c:pt>
                <c:pt idx="474">
                  <c:v>-1.0747326607589869E-2</c:v>
                </c:pt>
                <c:pt idx="475">
                  <c:v>-7.8629776511845145E-3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E9-4C3C-8F93-A47B11F5D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10879"/>
        <c:axId val="141407551"/>
      </c:lineChart>
      <c:dateAx>
        <c:axId val="1414108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07551"/>
        <c:crosses val="autoZero"/>
        <c:auto val="1"/>
        <c:lblOffset val="100"/>
        <c:baseTimeUnit val="days"/>
      </c:dateAx>
      <c:valAx>
        <c:axId val="14140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1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2F2838-D95E-4274-9CEF-7721E021E147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DC51E8-7188-4807-9A74-49E960F72A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1.8674999999999999</v>
      </c>
      <c r="D2" s="4">
        <f>MIN(D3:D1912)</f>
        <v>0.27110000000000001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0.4486</v>
      </c>
      <c r="C5">
        <v>0.4602</v>
      </c>
      <c r="D5">
        <v>0.44</v>
      </c>
      <c r="E5">
        <v>0.44190000000000002</v>
      </c>
      <c r="F5">
        <v>214938.8</v>
      </c>
      <c r="G5">
        <v>0.44190000000000002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-0.8118811881188106</v>
      </c>
      <c r="Q5">
        <f t="shared" ref="Q5" si="1">F5*P5</f>
        <v>-174504.76831683141</v>
      </c>
      <c r="R5">
        <f t="shared" ref="R5" si="2">R6+Q5</f>
        <v>-485412985.79832572</v>
      </c>
      <c r="S5">
        <f t="shared" ref="S5" si="3">R5/100000</f>
        <v>-4854.1298579832574</v>
      </c>
      <c r="T5">
        <f t="shared" ref="T5" si="4">S5/1000</f>
        <v>-4.8541298579832572</v>
      </c>
    </row>
    <row r="6" spans="1:20" x14ac:dyDescent="0.25">
      <c r="A6" s="5">
        <v>44587</v>
      </c>
      <c r="B6">
        <v>0.45490000000000003</v>
      </c>
      <c r="C6">
        <v>0.50549999999999995</v>
      </c>
      <c r="D6">
        <v>0.43990000000000001</v>
      </c>
      <c r="E6">
        <v>0.4491</v>
      </c>
      <c r="F6">
        <v>4768329.0999999996</v>
      </c>
      <c r="G6">
        <v>0.4491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-0.71951219512195141</v>
      </c>
      <c r="Q6">
        <f t="shared" ref="Q6" si="6">F6*P6</f>
        <v>-3430870.9378048787</v>
      </c>
      <c r="R6">
        <f t="shared" ref="R6" si="7">R7+Q6</f>
        <v>-485238481.03000891</v>
      </c>
      <c r="S6">
        <f t="shared" ref="S6" si="8">R6/100000</f>
        <v>-4852.3848103000892</v>
      </c>
      <c r="T6">
        <f t="shared" ref="T6" si="9">S6/1000</f>
        <v>-4.8523848103000891</v>
      </c>
    </row>
    <row r="7" spans="1:20" x14ac:dyDescent="0.25">
      <c r="A7" s="5">
        <v>44586</v>
      </c>
      <c r="B7">
        <v>0.45029999999999998</v>
      </c>
      <c r="C7">
        <v>0.4763</v>
      </c>
      <c r="D7">
        <v>0.43380000000000002</v>
      </c>
      <c r="E7">
        <v>0.45519999999999999</v>
      </c>
      <c r="F7">
        <v>2416675.2000000002</v>
      </c>
      <c r="G7">
        <v>0.45519999999999999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7.0588235294109904E-3</v>
      </c>
      <c r="Q7">
        <f t="shared" ref="Q7" si="11">F7*P7</f>
        <v>17058.883764704013</v>
      </c>
      <c r="R7">
        <f t="shared" ref="R7" si="12">R8+Q7</f>
        <v>-481807610.09220403</v>
      </c>
      <c r="S7">
        <f t="shared" ref="S7" si="13">R7/100000</f>
        <v>-4818.0761009220405</v>
      </c>
      <c r="T7">
        <f t="shared" ref="T7" si="14">S7/1000</f>
        <v>-4.8180761009220401</v>
      </c>
    </row>
    <row r="8" spans="1:20" x14ac:dyDescent="0.25">
      <c r="A8" s="5">
        <v>44585</v>
      </c>
      <c r="B8">
        <v>0.4738</v>
      </c>
      <c r="C8">
        <v>0.4738</v>
      </c>
      <c r="D8">
        <v>0.40160000000000001</v>
      </c>
      <c r="E8">
        <v>0.44950000000000001</v>
      </c>
      <c r="F8">
        <v>4725506.7</v>
      </c>
      <c r="G8">
        <v>0.44950000000000001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0.32686980609418304</v>
      </c>
      <c r="Q8">
        <f t="shared" ref="Q8" si="16">F8*P8</f>
        <v>1544625.4587257628</v>
      </c>
      <c r="R8">
        <f t="shared" ref="R8" si="17">R9+Q8</f>
        <v>-481824668.97596872</v>
      </c>
      <c r="S8">
        <f t="shared" ref="S8" si="18">R8/100000</f>
        <v>-4818.2466897596869</v>
      </c>
      <c r="T8">
        <f t="shared" ref="T8" si="19">S8/1000</f>
        <v>-4.818246689759687</v>
      </c>
    </row>
    <row r="9" spans="1:20" x14ac:dyDescent="0.25">
      <c r="A9" s="5">
        <v>44584</v>
      </c>
      <c r="B9">
        <v>0.44979999999999998</v>
      </c>
      <c r="C9">
        <v>0.5252</v>
      </c>
      <c r="D9">
        <v>0.44529999999999997</v>
      </c>
      <c r="E9">
        <v>0.47310000000000002</v>
      </c>
      <c r="F9">
        <v>4366182.7</v>
      </c>
      <c r="G9">
        <v>0.47310000000000002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-0.30413016270337828</v>
      </c>
      <c r="Q9">
        <f t="shared" ref="Q9" si="21">F9*P9</f>
        <v>-1327887.8549436755</v>
      </c>
      <c r="R9">
        <f t="shared" ref="R9" si="22">R10+Q9</f>
        <v>-483369294.43469447</v>
      </c>
      <c r="S9">
        <f t="shared" ref="S9" si="23">R9/100000</f>
        <v>-4833.6929443469444</v>
      </c>
      <c r="T9">
        <f t="shared" ref="T9" si="24">S9/1000</f>
        <v>-4.8336929443469447</v>
      </c>
    </row>
    <row r="10" spans="1:20" x14ac:dyDescent="0.25">
      <c r="A10" s="5">
        <v>44583</v>
      </c>
      <c r="B10">
        <v>0.54090000000000005</v>
      </c>
      <c r="C10">
        <v>0.55189999999999995</v>
      </c>
      <c r="D10">
        <v>0.4042</v>
      </c>
      <c r="E10">
        <v>0.44929999999999998</v>
      </c>
      <c r="F10">
        <v>6944040</v>
      </c>
      <c r="G10">
        <v>0.44929999999999998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-0.3893026404874747</v>
      </c>
      <c r="Q10">
        <f t="shared" ref="Q10" si="26">F10*P10</f>
        <v>-2703333.1076506437</v>
      </c>
      <c r="R10">
        <f t="shared" ref="R10" si="27">R11+Q10</f>
        <v>-482041406.57975078</v>
      </c>
      <c r="S10">
        <f t="shared" ref="S10" si="28">R10/100000</f>
        <v>-4820.4140657975076</v>
      </c>
      <c r="T10">
        <f t="shared" ref="T10" si="29">S10/1000</f>
        <v>-4.8204140657975074</v>
      </c>
    </row>
    <row r="11" spans="1:20" x14ac:dyDescent="0.25">
      <c r="A11" s="5">
        <v>44582</v>
      </c>
      <c r="B11">
        <v>0.67500000000000004</v>
      </c>
      <c r="C11">
        <v>0.67930000000000001</v>
      </c>
      <c r="D11">
        <v>0.52929999999999999</v>
      </c>
      <c r="E11">
        <v>0.54090000000000005</v>
      </c>
      <c r="F11">
        <v>4703102.4000000004</v>
      </c>
      <c r="G11">
        <v>0.54090000000000005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-0.8453333333333326</v>
      </c>
      <c r="Q11">
        <f t="shared" ref="Q11" si="31">F11*P11</f>
        <v>-3975689.2287999969</v>
      </c>
      <c r="R11">
        <f t="shared" ref="R11" si="32">R12+Q11</f>
        <v>-479338073.47210014</v>
      </c>
      <c r="S11">
        <f t="shared" ref="S11" si="33">R11/100000</f>
        <v>-4793.3807347210013</v>
      </c>
      <c r="T11">
        <f t="shared" ref="T11" si="34">S11/1000</f>
        <v>-4.7933807347210013</v>
      </c>
    </row>
    <row r="12" spans="1:20" x14ac:dyDescent="0.25">
      <c r="A12" s="5">
        <v>44581</v>
      </c>
      <c r="B12">
        <v>0.69499999999999995</v>
      </c>
      <c r="C12">
        <v>0.72750000000000004</v>
      </c>
      <c r="D12">
        <v>0.66869999999999996</v>
      </c>
      <c r="E12">
        <v>0.67520000000000002</v>
      </c>
      <c r="F12">
        <v>2028960.6</v>
      </c>
      <c r="G12">
        <v>0.67520000000000002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-0.77891156462584854</v>
      </c>
      <c r="Q12">
        <f t="shared" ref="Q12" si="36">F12*P12</f>
        <v>-1580380.8755102004</v>
      </c>
      <c r="R12">
        <f t="shared" ref="R12" si="37">R13+Q12</f>
        <v>-475362384.24330014</v>
      </c>
      <c r="S12">
        <f t="shared" ref="S12" si="38">R12/100000</f>
        <v>-4753.6238424330013</v>
      </c>
      <c r="T12">
        <f t="shared" ref="T12" si="39">S12/1000</f>
        <v>-4.7536238424330017</v>
      </c>
    </row>
    <row r="13" spans="1:20" x14ac:dyDescent="0.25">
      <c r="A13" s="5">
        <v>44580</v>
      </c>
      <c r="B13">
        <v>0.71850000000000003</v>
      </c>
      <c r="C13">
        <v>0.72689999999999999</v>
      </c>
      <c r="D13">
        <v>0.68559999999999999</v>
      </c>
      <c r="E13">
        <v>0.69599999999999995</v>
      </c>
      <c r="F13">
        <v>1432540.5</v>
      </c>
      <c r="G13">
        <v>0.69599999999999995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-0.49636803874092184</v>
      </c>
      <c r="Q13">
        <f t="shared" ref="Q13" si="41">F13*P13</f>
        <v>-711067.31840193958</v>
      </c>
      <c r="R13">
        <f t="shared" ref="R13" si="42">R14+Q13</f>
        <v>-473782003.36778992</v>
      </c>
      <c r="S13">
        <f t="shared" ref="S13" si="43">R13/100000</f>
        <v>-4737.8200336778991</v>
      </c>
      <c r="T13">
        <f t="shared" ref="T13" si="44">S13/1000</f>
        <v>-4.7378200336778988</v>
      </c>
    </row>
    <row r="14" spans="1:20" x14ac:dyDescent="0.25">
      <c r="A14" s="5">
        <v>44579</v>
      </c>
      <c r="B14">
        <v>0.71879999999999999</v>
      </c>
      <c r="C14">
        <v>0.72750000000000004</v>
      </c>
      <c r="D14">
        <v>0.69169999999999998</v>
      </c>
      <c r="E14">
        <v>0.71950000000000003</v>
      </c>
      <c r="F14">
        <v>1490584.3</v>
      </c>
      <c r="G14">
        <v>0.71950000000000003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0.55307262569832427</v>
      </c>
      <c r="Q14">
        <f t="shared" ref="Q14" si="46">F14*P14</f>
        <v>824401.37262569868</v>
      </c>
      <c r="R14">
        <f t="shared" ref="R14" si="47">R15+Q14</f>
        <v>-473070936.04938799</v>
      </c>
      <c r="S14">
        <f t="shared" ref="S14" si="48">R14/100000</f>
        <v>-4730.70936049388</v>
      </c>
      <c r="T14">
        <f t="shared" ref="T14" si="49">S14/1000</f>
        <v>-4.7307093604938801</v>
      </c>
    </row>
    <row r="15" spans="1:20" x14ac:dyDescent="0.25">
      <c r="A15" s="5">
        <v>44578</v>
      </c>
      <c r="B15">
        <v>0.74529999999999996</v>
      </c>
      <c r="C15">
        <v>0.75119999999999998</v>
      </c>
      <c r="D15">
        <v>0.70569999999999999</v>
      </c>
      <c r="E15">
        <v>0.71819999999999995</v>
      </c>
      <c r="F15">
        <v>2124421.6</v>
      </c>
      <c r="G15">
        <v>0.71819999999999995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-0.45054945054945233</v>
      </c>
      <c r="Q15">
        <f t="shared" ref="Q15" si="51">F15*P15</f>
        <v>-957156.98461538844</v>
      </c>
      <c r="R15">
        <f t="shared" ref="R15" si="52">R16+Q15</f>
        <v>-473895337.4220137</v>
      </c>
      <c r="S15">
        <f t="shared" ref="S15" si="53">R15/100000</f>
        <v>-4738.9533742201374</v>
      </c>
      <c r="T15">
        <f t="shared" ref="T15" si="54">S15/1000</f>
        <v>-4.7389533742201371</v>
      </c>
    </row>
    <row r="16" spans="1:20" x14ac:dyDescent="0.25">
      <c r="A16" s="5">
        <v>44577</v>
      </c>
      <c r="B16">
        <v>0.752</v>
      </c>
      <c r="C16">
        <v>0.76590000000000003</v>
      </c>
      <c r="D16">
        <v>0.72819999999999996</v>
      </c>
      <c r="E16">
        <v>0.74429999999999996</v>
      </c>
      <c r="F16">
        <v>2409460</v>
      </c>
      <c r="G16">
        <v>0.74429999999999996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-0.14588859416445757</v>
      </c>
      <c r="Q16">
        <f t="shared" ref="Q16" si="56">F16*P16</f>
        <v>-351512.73209549394</v>
      </c>
      <c r="R16">
        <f t="shared" ref="R16" si="57">R17+Q16</f>
        <v>-472938180.43739831</v>
      </c>
      <c r="S16">
        <f t="shared" ref="S16" si="58">R16/100000</f>
        <v>-4729.381804373983</v>
      </c>
      <c r="T16">
        <f t="shared" ref="T16" si="59">S16/1000</f>
        <v>-4.7293818043739826</v>
      </c>
    </row>
    <row r="17" spans="1:20" x14ac:dyDescent="0.25">
      <c r="A17" s="5">
        <v>44576</v>
      </c>
      <c r="B17">
        <v>0.72109999999999996</v>
      </c>
      <c r="C17">
        <v>0.76</v>
      </c>
      <c r="D17">
        <v>0.71509999999999996</v>
      </c>
      <c r="E17">
        <v>0.752</v>
      </c>
      <c r="F17">
        <v>2169474.2000000002</v>
      </c>
      <c r="G17">
        <v>0.752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0.64365256124721615</v>
      </c>
      <c r="Q17">
        <f t="shared" ref="Q17" si="61">F17*P17</f>
        <v>1396387.6253897555</v>
      </c>
      <c r="R17">
        <f t="shared" ref="R17" si="62">R18+Q17</f>
        <v>-472586667.70530283</v>
      </c>
      <c r="S17">
        <f t="shared" ref="S17" si="63">R17/100000</f>
        <v>-4725.8666770530281</v>
      </c>
      <c r="T17">
        <f t="shared" ref="T17" si="64">S17/1000</f>
        <v>-4.7258666770530278</v>
      </c>
    </row>
    <row r="18" spans="1:20" x14ac:dyDescent="0.25">
      <c r="A18" s="5">
        <v>44575</v>
      </c>
      <c r="B18">
        <v>0.71489999999999998</v>
      </c>
      <c r="C18">
        <v>0.72989999999999999</v>
      </c>
      <c r="D18">
        <v>0.69469999999999998</v>
      </c>
      <c r="E18">
        <v>0.71860000000000002</v>
      </c>
      <c r="F18">
        <v>2066770.7</v>
      </c>
      <c r="G18">
        <v>0.71860000000000002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0.35795454545454697</v>
      </c>
      <c r="Q18">
        <f t="shared" ref="Q18" si="66">F18*P18</f>
        <v>739809.96647727583</v>
      </c>
      <c r="R18">
        <f t="shared" ref="R18" si="67">R19+Q18</f>
        <v>-473983055.33069259</v>
      </c>
      <c r="S18">
        <f t="shared" ref="S18" si="68">R18/100000</f>
        <v>-4739.830553306926</v>
      </c>
      <c r="T18">
        <f t="shared" ref="T18" si="69">S18/1000</f>
        <v>-4.739830553306926</v>
      </c>
    </row>
    <row r="19" spans="1:20" x14ac:dyDescent="0.25">
      <c r="A19" s="5">
        <v>44574</v>
      </c>
      <c r="B19">
        <v>0.76229999999999998</v>
      </c>
      <c r="C19">
        <v>0.76829999999999998</v>
      </c>
      <c r="D19">
        <v>0.70579999999999998</v>
      </c>
      <c r="E19">
        <v>0.71440000000000003</v>
      </c>
      <c r="F19">
        <v>2191132.4</v>
      </c>
      <c r="G19">
        <v>0.71440000000000003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-0.72479999999999833</v>
      </c>
      <c r="Q19">
        <f t="shared" ref="Q19" si="71">F19*P19</f>
        <v>-1588132.7635199963</v>
      </c>
      <c r="R19">
        <f t="shared" ref="R19" si="72">R20+Q19</f>
        <v>-474722865.29716986</v>
      </c>
      <c r="S19">
        <f t="shared" ref="S19" si="73">R19/100000</f>
        <v>-4747.2286529716985</v>
      </c>
      <c r="T19">
        <f t="shared" ref="T19" si="74">S19/1000</f>
        <v>-4.7472286529716987</v>
      </c>
    </row>
    <row r="20" spans="1:20" x14ac:dyDescent="0.25">
      <c r="A20" s="5">
        <v>44573</v>
      </c>
      <c r="B20">
        <v>0.74519999999999997</v>
      </c>
      <c r="C20">
        <v>0.76700000000000002</v>
      </c>
      <c r="D20">
        <v>0.72640000000000005</v>
      </c>
      <c r="E20">
        <v>0.76200000000000001</v>
      </c>
      <c r="F20">
        <v>2402445.9</v>
      </c>
      <c r="G20">
        <v>0.76200000000000001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0.75369458128078781</v>
      </c>
      <c r="Q20">
        <f t="shared" ref="Q20" si="76">F20*P20</f>
        <v>1810710.4566502455</v>
      </c>
      <c r="R20">
        <f t="shared" ref="R20" si="77">R21+Q20</f>
        <v>-473134732.53364986</v>
      </c>
      <c r="S20">
        <f t="shared" ref="S20" si="78">R20/100000</f>
        <v>-4731.3473253364982</v>
      </c>
      <c r="T20">
        <f t="shared" ref="T20" si="79">S20/1000</f>
        <v>-4.7313473253364986</v>
      </c>
    </row>
    <row r="21" spans="1:20" x14ac:dyDescent="0.25">
      <c r="A21" s="5">
        <v>44572</v>
      </c>
      <c r="B21">
        <v>0.71889999999999998</v>
      </c>
      <c r="C21">
        <v>0.75029999999999997</v>
      </c>
      <c r="D21">
        <v>0.69710000000000005</v>
      </c>
      <c r="E21">
        <v>0.74590000000000001</v>
      </c>
      <c r="F21">
        <v>3086514.4</v>
      </c>
      <c r="G21">
        <v>0.74590000000000001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0.83458646616541476</v>
      </c>
      <c r="Q21">
        <f t="shared" ref="Q21" si="81">F21*P21</f>
        <v>2575963.1458646655</v>
      </c>
      <c r="R21">
        <f t="shared" ref="R21" si="82">R22+Q21</f>
        <v>-474945442.99030012</v>
      </c>
      <c r="S21">
        <f t="shared" ref="S21" si="83">R21/100000</f>
        <v>-4749.4544299030013</v>
      </c>
      <c r="T21">
        <f t="shared" ref="T21" si="84">S21/1000</f>
        <v>-4.7494544299030013</v>
      </c>
    </row>
    <row r="22" spans="1:20" x14ac:dyDescent="0.25">
      <c r="A22" s="5">
        <v>44571</v>
      </c>
      <c r="B22">
        <v>0.73929999999999996</v>
      </c>
      <c r="C22">
        <v>0.76649999999999996</v>
      </c>
      <c r="D22">
        <v>0.68120000000000003</v>
      </c>
      <c r="E22">
        <v>0.71879999999999999</v>
      </c>
      <c r="F22">
        <v>2751183.2</v>
      </c>
      <c r="G22">
        <v>0.71879999999999999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-0.11840562719812434</v>
      </c>
      <c r="Q22">
        <f t="shared" ref="Q22" si="86">F22*P22</f>
        <v>-325755.57233294274</v>
      </c>
      <c r="R22">
        <f t="shared" ref="R22" si="87">R23+Q22</f>
        <v>-477521406.13616478</v>
      </c>
      <c r="S22">
        <f t="shared" ref="S22" si="88">R22/100000</f>
        <v>-4775.2140613616475</v>
      </c>
      <c r="T22">
        <f t="shared" ref="T22" si="89">S22/1000</f>
        <v>-4.7752140613616474</v>
      </c>
    </row>
    <row r="23" spans="1:20" x14ac:dyDescent="0.25">
      <c r="A23" s="5">
        <v>44570</v>
      </c>
      <c r="B23">
        <v>0.73709999999999998</v>
      </c>
      <c r="C23">
        <v>0.8</v>
      </c>
      <c r="D23">
        <v>0.72160000000000002</v>
      </c>
      <c r="E23">
        <v>0.74070000000000003</v>
      </c>
      <c r="F23">
        <v>2607924.2999999998</v>
      </c>
      <c r="G23">
        <v>0.74070000000000003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-0.51275510204081631</v>
      </c>
      <c r="Q23">
        <f t="shared" ref="Q23" si="91">F23*P23</f>
        <v>-1337226.4905612243</v>
      </c>
      <c r="R23">
        <f t="shared" ref="R23" si="92">R24+Q23</f>
        <v>-477195650.56383187</v>
      </c>
      <c r="S23">
        <f t="shared" ref="S23" si="93">R23/100000</f>
        <v>-4771.956505638319</v>
      </c>
      <c r="T23">
        <f t="shared" ref="T23" si="94">S23/1000</f>
        <v>-4.7719565056383191</v>
      </c>
    </row>
    <row r="24" spans="1:20" x14ac:dyDescent="0.25">
      <c r="A24" s="5">
        <v>44569</v>
      </c>
      <c r="B24">
        <v>0.72619999999999996</v>
      </c>
      <c r="C24">
        <v>0.81699999999999995</v>
      </c>
      <c r="D24">
        <v>0.70850000000000002</v>
      </c>
      <c r="E24">
        <v>0.73709999999999998</v>
      </c>
      <c r="F24">
        <v>4727967.0999999996</v>
      </c>
      <c r="G24">
        <v>0.73709999999999998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-0.47281105990783451</v>
      </c>
      <c r="Q24">
        <f t="shared" ref="Q24" si="96">F24*P24</f>
        <v>-2235435.1357603702</v>
      </c>
      <c r="R24">
        <f t="shared" ref="R24" si="97">R25+Q24</f>
        <v>-475858424.07327062</v>
      </c>
      <c r="S24">
        <f t="shared" ref="S24" si="98">R24/100000</f>
        <v>-4758.5842407327063</v>
      </c>
      <c r="T24">
        <f t="shared" ref="T24" si="99">S24/1000</f>
        <v>-4.7585842407327066</v>
      </c>
    </row>
    <row r="25" spans="1:20" x14ac:dyDescent="0.25">
      <c r="A25" s="5">
        <v>44568</v>
      </c>
      <c r="B25">
        <v>0.8155</v>
      </c>
      <c r="C25">
        <v>0.81589999999999996</v>
      </c>
      <c r="D25">
        <v>0.71779999999999999</v>
      </c>
      <c r="E25">
        <v>0.72519999999999996</v>
      </c>
      <c r="F25">
        <v>3802549.1</v>
      </c>
      <c r="G25">
        <v>0.72519999999999996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-0.84913353720693241</v>
      </c>
      <c r="Q25">
        <f t="shared" ref="Q25" si="101">F25*P25</f>
        <v>-3228871.9676860375</v>
      </c>
      <c r="R25">
        <f t="shared" ref="R25" si="102">R26+Q25</f>
        <v>-473622988.93751025</v>
      </c>
      <c r="S25">
        <f t="shared" ref="S25" si="103">R25/100000</f>
        <v>-4736.2298893751022</v>
      </c>
      <c r="T25">
        <f t="shared" ref="T25" si="104">S25/1000</f>
        <v>-4.7362298893751023</v>
      </c>
    </row>
    <row r="26" spans="1:20" x14ac:dyDescent="0.25">
      <c r="A26" s="5">
        <v>44567</v>
      </c>
      <c r="B26">
        <v>0.81269999999999998</v>
      </c>
      <c r="C26">
        <v>0.83740000000000003</v>
      </c>
      <c r="D26">
        <v>0.77</v>
      </c>
      <c r="E26">
        <v>0.8155</v>
      </c>
      <c r="F26">
        <v>3499413.3</v>
      </c>
      <c r="G26">
        <v>0.8155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0.35014836795252152</v>
      </c>
      <c r="Q26">
        <f t="shared" ref="Q26" si="106">F26*P26</f>
        <v>1225313.8557863475</v>
      </c>
      <c r="R26">
        <f t="shared" ref="R26" si="107">R27+Q26</f>
        <v>-470394116.96982419</v>
      </c>
      <c r="S26">
        <f t="shared" ref="S26" si="108">R26/100000</f>
        <v>-4703.9411696982415</v>
      </c>
      <c r="T26">
        <f t="shared" ref="T26" si="109">S26/1000</f>
        <v>-4.7039411696982416</v>
      </c>
    </row>
    <row r="27" spans="1:20" x14ac:dyDescent="0.25">
      <c r="A27" s="5">
        <v>44566</v>
      </c>
      <c r="B27">
        <v>0.94650000000000001</v>
      </c>
      <c r="C27">
        <v>0.96860000000000002</v>
      </c>
      <c r="D27">
        <v>0.78680000000000005</v>
      </c>
      <c r="E27">
        <v>0.81269999999999998</v>
      </c>
      <c r="F27">
        <v>8629132.1999999993</v>
      </c>
      <c r="G27">
        <v>0.81269999999999998</v>
      </c>
      <c r="L27" t="s">
        <v>8</v>
      </c>
      <c r="M27" t="s">
        <v>8</v>
      </c>
      <c r="N27" t="s">
        <v>7</v>
      </c>
      <c r="P27">
        <f t="shared" ref="P27" si="110">IF(C27=D27,0,((E27-D27)-(C27-E27))/(C27-D27))</f>
        <v>-0.71507150715071588</v>
      </c>
      <c r="Q27">
        <f t="shared" ref="Q27" si="111">F27*P27</f>
        <v>-6170446.5676567722</v>
      </c>
      <c r="R27">
        <f t="shared" ref="R27" si="112">R28+Q27</f>
        <v>-471619430.82561052</v>
      </c>
      <c r="S27">
        <f t="shared" ref="S27" si="113">R27/100000</f>
        <v>-4716.1943082561056</v>
      </c>
      <c r="T27">
        <f t="shared" ref="T27" si="114">S27/1000</f>
        <v>-4.7161943082561057</v>
      </c>
    </row>
    <row r="28" spans="1:20" x14ac:dyDescent="0.25">
      <c r="A28" s="5">
        <v>44565</v>
      </c>
      <c r="B28">
        <v>0.85160000000000002</v>
      </c>
      <c r="C28">
        <v>0.95</v>
      </c>
      <c r="D28">
        <v>0.83960000000000001</v>
      </c>
      <c r="E28">
        <v>0.94599999999999995</v>
      </c>
      <c r="F28">
        <v>7812367.2999999998</v>
      </c>
      <c r="G28">
        <v>0.94599999999999995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0.92753623188405787</v>
      </c>
      <c r="Q28">
        <f t="shared" ref="Q28" si="116">F28*P28</f>
        <v>7246253.7275362313</v>
      </c>
      <c r="R28">
        <f t="shared" ref="R28" si="117">R29+Q28</f>
        <v>-465448984.25795376</v>
      </c>
      <c r="S28">
        <f t="shared" ref="S28" si="118">R28/100000</f>
        <v>-4654.4898425795373</v>
      </c>
      <c r="T28">
        <f t="shared" ref="T28" si="119">S28/1000</f>
        <v>-4.6544898425795376</v>
      </c>
    </row>
    <row r="29" spans="1:20" x14ac:dyDescent="0.25">
      <c r="A29" s="5">
        <v>44564</v>
      </c>
      <c r="B29">
        <v>0.84550000000000003</v>
      </c>
      <c r="C29">
        <v>0.88980000000000004</v>
      </c>
      <c r="D29">
        <v>0.81810000000000005</v>
      </c>
      <c r="E29">
        <v>0.85119999999999996</v>
      </c>
      <c r="F29">
        <v>6961706.4000000004</v>
      </c>
      <c r="G29">
        <v>0.85119999999999996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-7.6708507670853174E-2</v>
      </c>
      <c r="Q29">
        <f t="shared" ref="Q29" si="121">F29*P29</f>
        <v>-534022.10878662765</v>
      </c>
      <c r="R29">
        <f t="shared" ref="R29" si="122">R30+Q29</f>
        <v>-472695237.98549002</v>
      </c>
      <c r="S29">
        <f t="shared" ref="S29" si="123">R29/100000</f>
        <v>-4726.9523798548998</v>
      </c>
      <c r="T29">
        <f t="shared" ref="T29" si="124">S29/1000</f>
        <v>-4.7269523798549002</v>
      </c>
    </row>
    <row r="30" spans="1:20" x14ac:dyDescent="0.25">
      <c r="A30" s="5">
        <v>44563</v>
      </c>
      <c r="B30">
        <v>0.83109999999999995</v>
      </c>
      <c r="C30">
        <v>0.91</v>
      </c>
      <c r="D30">
        <v>0.81</v>
      </c>
      <c r="E30">
        <v>0.84630000000000005</v>
      </c>
      <c r="F30">
        <v>5464298.5999999996</v>
      </c>
      <c r="G30">
        <v>0.84630000000000005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-0.27399999999999985</v>
      </c>
      <c r="Q30">
        <f t="shared" ref="Q30" si="126">F30*P30</f>
        <v>-1497217.8163999992</v>
      </c>
      <c r="R30">
        <f t="shared" ref="R30" si="127">R31+Q30</f>
        <v>-472161215.87670338</v>
      </c>
      <c r="S30">
        <f t="shared" ref="S30" si="128">R30/100000</f>
        <v>-4721.6121587670341</v>
      </c>
      <c r="T30">
        <f t="shared" ref="T30" si="129">S30/1000</f>
        <v>-4.7216121587670337</v>
      </c>
    </row>
    <row r="31" spans="1:20" x14ac:dyDescent="0.25">
      <c r="A31" s="5">
        <v>44562</v>
      </c>
      <c r="B31">
        <v>0.79579999999999995</v>
      </c>
      <c r="C31">
        <v>0.86</v>
      </c>
      <c r="D31">
        <v>0.79579999999999995</v>
      </c>
      <c r="E31">
        <v>0.83279999999999998</v>
      </c>
      <c r="F31">
        <v>1839558.9</v>
      </c>
      <c r="G31">
        <v>0.83279999999999998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0.15264797507788203</v>
      </c>
      <c r="Q31">
        <f t="shared" ref="Q31" si="131">F31*P31</f>
        <v>280804.94112149609</v>
      </c>
      <c r="R31">
        <f t="shared" ref="R31" si="132">R32+Q31</f>
        <v>-470663998.06030339</v>
      </c>
      <c r="S31">
        <f t="shared" ref="S31" si="133">R31/100000</f>
        <v>-4706.639980603034</v>
      </c>
      <c r="T31">
        <f t="shared" ref="T31" si="134">S31/1000</f>
        <v>-4.7066399806030343</v>
      </c>
    </row>
    <row r="32" spans="1:20" x14ac:dyDescent="0.25">
      <c r="A32" s="5">
        <v>44561</v>
      </c>
      <c r="B32">
        <v>0.79579999999999995</v>
      </c>
      <c r="C32">
        <v>0.82789999999999997</v>
      </c>
      <c r="D32">
        <v>0.78300000000000003</v>
      </c>
      <c r="E32">
        <v>0.79500000000000004</v>
      </c>
      <c r="F32">
        <v>1989037</v>
      </c>
      <c r="G32">
        <v>0.79500000000000004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-0.46547884187082289</v>
      </c>
      <c r="Q32">
        <f t="shared" ref="Q32" si="136">F32*P32</f>
        <v>-925854.63919821591</v>
      </c>
      <c r="R32">
        <f t="shared" ref="R32" si="137">R33+Q32</f>
        <v>-470944803.00142491</v>
      </c>
      <c r="S32">
        <f t="shared" ref="S32" si="138">R32/100000</f>
        <v>-4709.4480300142495</v>
      </c>
      <c r="T32">
        <f t="shared" ref="T32" si="139">S32/1000</f>
        <v>-4.7094480300142498</v>
      </c>
    </row>
    <row r="33" spans="1:20" x14ac:dyDescent="0.25">
      <c r="A33" s="5">
        <v>44560</v>
      </c>
      <c r="B33">
        <v>0.78949999999999998</v>
      </c>
      <c r="C33">
        <v>0.83299999999999996</v>
      </c>
      <c r="D33">
        <v>0.77359999999999995</v>
      </c>
      <c r="E33">
        <v>0.79759999999999998</v>
      </c>
      <c r="F33">
        <v>2627705.7999999998</v>
      </c>
      <c r="G33">
        <v>0.79759999999999998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-0.19191919191919132</v>
      </c>
      <c r="Q33">
        <f t="shared" ref="Q33" si="141">F33*P33</f>
        <v>-504307.17373737216</v>
      </c>
      <c r="R33">
        <f t="shared" ref="R33" si="142">R34+Q33</f>
        <v>-470018948.36222667</v>
      </c>
      <c r="S33">
        <f t="shared" ref="S33" si="143">R33/100000</f>
        <v>-4700.1894836222664</v>
      </c>
      <c r="T33">
        <f t="shared" ref="T33" si="144">S33/1000</f>
        <v>-4.7001894836222666</v>
      </c>
    </row>
    <row r="34" spans="1:20" x14ac:dyDescent="0.25">
      <c r="A34" s="5">
        <v>44559</v>
      </c>
      <c r="B34">
        <v>0.80379999999999996</v>
      </c>
      <c r="C34">
        <v>0.84589999999999999</v>
      </c>
      <c r="D34">
        <v>0.77</v>
      </c>
      <c r="E34">
        <v>0.78879999999999995</v>
      </c>
      <c r="F34">
        <v>3161500.8</v>
      </c>
      <c r="G34">
        <v>0.78879999999999995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-0.5046113306982889</v>
      </c>
      <c r="Q34">
        <f t="shared" ref="Q34" si="146">F34*P34</f>
        <v>-1595329.1256917049</v>
      </c>
      <c r="R34">
        <f t="shared" ref="R34" si="147">R35+Q34</f>
        <v>-469514641.18848932</v>
      </c>
      <c r="S34">
        <f t="shared" ref="S34" si="148">R34/100000</f>
        <v>-4695.1464118848935</v>
      </c>
      <c r="T34">
        <f t="shared" ref="T34" si="149">S34/1000</f>
        <v>-4.6951464118848936</v>
      </c>
    </row>
    <row r="35" spans="1:20" x14ac:dyDescent="0.25">
      <c r="A35" s="5">
        <v>44558</v>
      </c>
      <c r="B35">
        <v>0.88070000000000004</v>
      </c>
      <c r="C35">
        <v>0.88500000000000001</v>
      </c>
      <c r="D35">
        <v>0.77769999999999995</v>
      </c>
      <c r="E35">
        <v>0.80220000000000002</v>
      </c>
      <c r="F35">
        <v>5342272.2</v>
      </c>
      <c r="G35">
        <v>0.80220000000000002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-0.54333643988816283</v>
      </c>
      <c r="Q35">
        <f t="shared" ref="Q35" si="151">F35*P35</f>
        <v>-2902651.1580615034</v>
      </c>
      <c r="R35">
        <f t="shared" ref="R35" si="152">R36+Q35</f>
        <v>-467919312.06279761</v>
      </c>
      <c r="S35">
        <f t="shared" ref="S35" si="153">R35/100000</f>
        <v>-4679.193120627976</v>
      </c>
      <c r="T35">
        <f t="shared" ref="T35" si="154">S35/1000</f>
        <v>-4.6791931206279758</v>
      </c>
    </row>
    <row r="36" spans="1:20" x14ac:dyDescent="0.25">
      <c r="A36" s="5">
        <v>44557</v>
      </c>
      <c r="B36">
        <v>0.87009999999999998</v>
      </c>
      <c r="C36">
        <v>0.91700000000000004</v>
      </c>
      <c r="D36">
        <v>0.86819999999999997</v>
      </c>
      <c r="E36">
        <v>0.88009999999999999</v>
      </c>
      <c r="F36">
        <v>4519607.0999999996</v>
      </c>
      <c r="G36">
        <v>0.88009999999999999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-0.51229508196721285</v>
      </c>
      <c r="Q36">
        <f t="shared" ref="Q36" si="156">F36*P36</f>
        <v>-2315372.4897540971</v>
      </c>
      <c r="R36">
        <f t="shared" ref="R36" si="157">R37+Q36</f>
        <v>-465016660.9047361</v>
      </c>
      <c r="S36">
        <f t="shared" ref="S36" si="158">R36/100000</f>
        <v>-4650.1666090473609</v>
      </c>
      <c r="T36">
        <f t="shared" ref="T36" si="159">S36/1000</f>
        <v>-4.6501666090473606</v>
      </c>
    </row>
    <row r="37" spans="1:20" x14ac:dyDescent="0.25">
      <c r="A37" s="5">
        <v>44556</v>
      </c>
      <c r="B37">
        <v>0.86980000000000002</v>
      </c>
      <c r="C37">
        <v>0.89500000000000002</v>
      </c>
      <c r="D37">
        <v>0.83560000000000001</v>
      </c>
      <c r="E37">
        <v>0.87009999999999998</v>
      </c>
      <c r="F37">
        <v>3295882.1</v>
      </c>
      <c r="G37">
        <v>0.87009999999999998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0.1616161616161606</v>
      </c>
      <c r="Q37">
        <f t="shared" ref="Q37" si="161">F37*P37</f>
        <v>532667.81414141087</v>
      </c>
      <c r="R37">
        <f t="shared" ref="R37" si="162">R38+Q37</f>
        <v>-462701288.41498202</v>
      </c>
      <c r="S37">
        <f t="shared" ref="S37" si="163">R37/100000</f>
        <v>-4627.0128841498199</v>
      </c>
      <c r="T37">
        <f t="shared" ref="T37" si="164">S37/1000</f>
        <v>-4.6270128841498197</v>
      </c>
    </row>
    <row r="38" spans="1:20" x14ac:dyDescent="0.25">
      <c r="A38" s="5">
        <v>44555</v>
      </c>
      <c r="B38">
        <v>0.89790000000000003</v>
      </c>
      <c r="C38">
        <v>0.92369999999999997</v>
      </c>
      <c r="D38">
        <v>0.86160000000000003</v>
      </c>
      <c r="E38">
        <v>0.86980000000000002</v>
      </c>
      <c r="F38">
        <v>5339489.4000000004</v>
      </c>
      <c r="G38">
        <v>0.86980000000000002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-0.73590982286634476</v>
      </c>
      <c r="Q38">
        <f t="shared" ref="Q38" si="166">F38*P38</f>
        <v>-3929382.6985507258</v>
      </c>
      <c r="R38">
        <f t="shared" ref="R38" si="167">R39+Q38</f>
        <v>-463233956.22912341</v>
      </c>
      <c r="S38">
        <f t="shared" ref="S38" si="168">R38/100000</f>
        <v>-4632.339562291234</v>
      </c>
      <c r="T38">
        <f t="shared" ref="T38" si="169">S38/1000</f>
        <v>-4.632339562291234</v>
      </c>
    </row>
    <row r="39" spans="1:20" x14ac:dyDescent="0.25">
      <c r="A39" s="5">
        <v>44554</v>
      </c>
      <c r="B39">
        <v>0.8579</v>
      </c>
      <c r="C39">
        <v>0.93</v>
      </c>
      <c r="D39">
        <v>0.81499999999999995</v>
      </c>
      <c r="E39">
        <v>0.89790000000000003</v>
      </c>
      <c r="F39">
        <v>8741110.5</v>
      </c>
      <c r="G39">
        <v>0.89790000000000003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0.4417391304347828</v>
      </c>
      <c r="Q39">
        <f t="shared" ref="Q39" si="171">F39*P39</f>
        <v>3861290.5513043497</v>
      </c>
      <c r="R39">
        <f t="shared" ref="R39" si="172">R40+Q39</f>
        <v>-459304573.53057271</v>
      </c>
      <c r="S39">
        <f t="shared" ref="S39" si="173">R39/100000</f>
        <v>-4593.0457353057272</v>
      </c>
      <c r="T39">
        <f t="shared" ref="T39" si="174">S39/1000</f>
        <v>-4.5930457353057275</v>
      </c>
    </row>
    <row r="40" spans="1:20" x14ac:dyDescent="0.25">
      <c r="A40" s="5">
        <v>44553</v>
      </c>
      <c r="B40">
        <v>0.79769999999999996</v>
      </c>
      <c r="C40">
        <v>0.86899999999999999</v>
      </c>
      <c r="D40">
        <v>0.76939999999999997</v>
      </c>
      <c r="E40">
        <v>0.85619999999999996</v>
      </c>
      <c r="F40">
        <v>7379550</v>
      </c>
      <c r="G40">
        <v>0.85619999999999996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0.74297188755020016</v>
      </c>
      <c r="Q40">
        <f t="shared" ref="Q40" si="176">F40*P40</f>
        <v>5482798.19277108</v>
      </c>
      <c r="R40">
        <f t="shared" ref="R40" si="177">R41+Q40</f>
        <v>-463165864.08187705</v>
      </c>
      <c r="S40">
        <f t="shared" ref="S40" si="178">R40/100000</f>
        <v>-4631.6586408187704</v>
      </c>
      <c r="T40">
        <f t="shared" ref="T40" si="179">S40/1000</f>
        <v>-4.6316586408187703</v>
      </c>
    </row>
    <row r="41" spans="1:20" x14ac:dyDescent="0.25">
      <c r="A41" s="5">
        <v>44552</v>
      </c>
      <c r="B41">
        <v>0.76100000000000001</v>
      </c>
      <c r="C41">
        <v>0.83679999999999999</v>
      </c>
      <c r="D41">
        <v>0.75149999999999995</v>
      </c>
      <c r="E41">
        <v>0.79669999999999996</v>
      </c>
      <c r="F41">
        <v>5361803.7</v>
      </c>
      <c r="G41">
        <v>0.79669999999999996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5.9788980070339871E-2</v>
      </c>
      <c r="Q41">
        <f t="shared" ref="Q41" si="181">F41*P41</f>
        <v>320576.77456037462</v>
      </c>
      <c r="R41">
        <f t="shared" ref="R41" si="182">R42+Q41</f>
        <v>-468648662.27464813</v>
      </c>
      <c r="S41">
        <f t="shared" ref="S41" si="183">R41/100000</f>
        <v>-4686.4866227464809</v>
      </c>
      <c r="T41">
        <f t="shared" ref="T41" si="184">S41/1000</f>
        <v>-4.6864866227464805</v>
      </c>
    </row>
    <row r="42" spans="1:20" x14ac:dyDescent="0.25">
      <c r="A42" s="5">
        <v>44551</v>
      </c>
      <c r="B42">
        <v>0.72819999999999996</v>
      </c>
      <c r="C42">
        <v>0.879</v>
      </c>
      <c r="D42">
        <v>0.72060000000000002</v>
      </c>
      <c r="E42">
        <v>0.76180000000000003</v>
      </c>
      <c r="F42">
        <v>14447692.4</v>
      </c>
      <c r="G42">
        <v>0.76180000000000003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-0.47979797979797956</v>
      </c>
      <c r="Q42">
        <f t="shared" ref="Q42" si="186">F42*P42</f>
        <v>-6931973.6262626229</v>
      </c>
      <c r="R42">
        <f t="shared" ref="R42" si="187">R43+Q42</f>
        <v>-468969239.04920852</v>
      </c>
      <c r="S42">
        <f t="shared" ref="S42" si="188">R42/100000</f>
        <v>-4689.692390492085</v>
      </c>
      <c r="T42">
        <f t="shared" ref="T42" si="189">S42/1000</f>
        <v>-4.6896923904920849</v>
      </c>
    </row>
    <row r="43" spans="1:20" x14ac:dyDescent="0.25">
      <c r="A43" s="5">
        <v>44550</v>
      </c>
      <c r="B43">
        <v>0.74150000000000005</v>
      </c>
      <c r="C43">
        <v>0.74209999999999998</v>
      </c>
      <c r="D43">
        <v>0.69199999999999995</v>
      </c>
      <c r="E43">
        <v>0.72699999999999998</v>
      </c>
      <c r="F43">
        <v>2908109.7</v>
      </c>
      <c r="G43">
        <v>0.72699999999999998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0.39720558882235563</v>
      </c>
      <c r="Q43">
        <f t="shared" ref="Q43" si="191">F43*P43</f>
        <v>1155117.425748504</v>
      </c>
      <c r="R43">
        <f t="shared" ref="R43" si="192">R44+Q43</f>
        <v>-462037265.42294592</v>
      </c>
      <c r="S43">
        <f t="shared" ref="S43" si="193">R43/100000</f>
        <v>-4620.3726542294589</v>
      </c>
      <c r="T43">
        <f t="shared" ref="T43" si="194">S43/1000</f>
        <v>-4.6203726542294588</v>
      </c>
    </row>
    <row r="44" spans="1:20" x14ac:dyDescent="0.25">
      <c r="A44" s="5">
        <v>44549</v>
      </c>
      <c r="B44">
        <v>0.74329999999999996</v>
      </c>
      <c r="C44">
        <v>0.76280000000000003</v>
      </c>
      <c r="D44">
        <v>0.72960000000000003</v>
      </c>
      <c r="E44">
        <v>0.74080000000000001</v>
      </c>
      <c r="F44">
        <v>2666569.1</v>
      </c>
      <c r="G44">
        <v>0.74080000000000001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-0.32530120481927799</v>
      </c>
      <c r="Q44">
        <f t="shared" ref="Q44" si="196">F44*P44</f>
        <v>-867438.14096385776</v>
      </c>
      <c r="R44">
        <f t="shared" ref="R44" si="197">R45+Q44</f>
        <v>-463192382.84869444</v>
      </c>
      <c r="S44">
        <f t="shared" ref="S44" si="198">R44/100000</f>
        <v>-4631.9238284869443</v>
      </c>
      <c r="T44">
        <f t="shared" ref="T44" si="199">S44/1000</f>
        <v>-4.6319238284869444</v>
      </c>
    </row>
    <row r="45" spans="1:20" x14ac:dyDescent="0.25">
      <c r="A45" s="5">
        <v>44548</v>
      </c>
      <c r="B45">
        <v>0.73599999999999999</v>
      </c>
      <c r="C45">
        <v>0.78439999999999999</v>
      </c>
      <c r="D45">
        <v>0.70489999999999997</v>
      </c>
      <c r="E45">
        <v>0.74439999999999995</v>
      </c>
      <c r="F45">
        <v>4458617.5</v>
      </c>
      <c r="G45">
        <v>0.74439999999999995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-6.2893081761013318E-3</v>
      </c>
      <c r="Q45">
        <f t="shared" ref="Q45" si="201">F45*P45</f>
        <v>-28041.619496858479</v>
      </c>
      <c r="R45">
        <f t="shared" ref="R45" si="202">R46+Q45</f>
        <v>-462324944.70773059</v>
      </c>
      <c r="S45">
        <f t="shared" ref="S45" si="203">R45/100000</f>
        <v>-4623.2494470773063</v>
      </c>
      <c r="T45">
        <f t="shared" ref="T45" si="204">S45/1000</f>
        <v>-4.6232494470773062</v>
      </c>
    </row>
    <row r="46" spans="1:20" x14ac:dyDescent="0.25">
      <c r="A46" s="5">
        <v>44547</v>
      </c>
      <c r="B46">
        <v>0.74860000000000004</v>
      </c>
      <c r="C46">
        <v>0.79149999999999998</v>
      </c>
      <c r="D46">
        <v>0.7</v>
      </c>
      <c r="E46">
        <v>0.73740000000000006</v>
      </c>
      <c r="F46">
        <v>5268017.4000000004</v>
      </c>
      <c r="G46">
        <v>0.73740000000000006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-0.18251366120218385</v>
      </c>
      <c r="Q46">
        <f t="shared" ref="Q46" si="206">F46*P46</f>
        <v>-961485.14295080944</v>
      </c>
      <c r="R46">
        <f t="shared" ref="R46" si="207">R47+Q46</f>
        <v>-462296903.08823371</v>
      </c>
      <c r="S46">
        <f t="shared" ref="S46" si="208">R46/100000</f>
        <v>-4622.9690308823374</v>
      </c>
      <c r="T46">
        <f t="shared" ref="T46" si="209">S46/1000</f>
        <v>-4.622969030882337</v>
      </c>
    </row>
    <row r="47" spans="1:20" x14ac:dyDescent="0.25">
      <c r="A47" s="5">
        <v>44546</v>
      </c>
      <c r="B47">
        <v>0.7923</v>
      </c>
      <c r="C47">
        <v>0.80769999999999997</v>
      </c>
      <c r="D47">
        <v>0.74660000000000004</v>
      </c>
      <c r="E47">
        <v>0.74819999999999998</v>
      </c>
      <c r="F47">
        <v>3055475.7</v>
      </c>
      <c r="G47">
        <v>0.74819999999999998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-0.94762684124386465</v>
      </c>
      <c r="Q47">
        <f t="shared" ref="Q47" si="211">F47*P47</f>
        <v>-2895450.7860883866</v>
      </c>
      <c r="R47">
        <f t="shared" ref="R47" si="212">R48+Q47</f>
        <v>-461335417.94528288</v>
      </c>
      <c r="S47">
        <f t="shared" ref="S47" si="213">R47/100000</f>
        <v>-4613.3541794528292</v>
      </c>
      <c r="T47">
        <f t="shared" ref="T47" si="214">S47/1000</f>
        <v>-4.6133541794528288</v>
      </c>
    </row>
    <row r="48" spans="1:20" x14ac:dyDescent="0.25">
      <c r="A48" s="5">
        <v>44545</v>
      </c>
      <c r="B48">
        <v>0.75190000000000001</v>
      </c>
      <c r="C48">
        <v>0.82</v>
      </c>
      <c r="D48">
        <v>0.72099999999999997</v>
      </c>
      <c r="E48">
        <v>0.79200000000000004</v>
      </c>
      <c r="F48">
        <v>5807523.2000000002</v>
      </c>
      <c r="G48">
        <v>0.79200000000000004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0.43434343434343597</v>
      </c>
      <c r="Q48">
        <f t="shared" ref="Q48" si="216">F48*P48</f>
        <v>2522459.5717171812</v>
      </c>
      <c r="R48">
        <f t="shared" ref="R48" si="217">R49+Q48</f>
        <v>-458439967.15919447</v>
      </c>
      <c r="S48">
        <f t="shared" ref="S48" si="218">R48/100000</f>
        <v>-4584.3996715919448</v>
      </c>
      <c r="T48">
        <f t="shared" ref="T48" si="219">S48/1000</f>
        <v>-4.5843996715919451</v>
      </c>
    </row>
    <row r="49" spans="1:20" x14ac:dyDescent="0.25">
      <c r="A49" s="5">
        <v>44544</v>
      </c>
      <c r="B49">
        <v>0.73319999999999996</v>
      </c>
      <c r="C49">
        <v>0.77170000000000005</v>
      </c>
      <c r="D49">
        <v>0.70250000000000001</v>
      </c>
      <c r="E49">
        <v>0.753</v>
      </c>
      <c r="F49">
        <v>3851545.3</v>
      </c>
      <c r="G49">
        <v>0.753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0.45953757225433411</v>
      </c>
      <c r="Q49">
        <f t="shared" ref="Q49" si="221">F49*P49</f>
        <v>1769929.7765895908</v>
      </c>
      <c r="R49">
        <f t="shared" ref="R49" si="222">R50+Q49</f>
        <v>-460962426.73091167</v>
      </c>
      <c r="S49">
        <f t="shared" ref="S49" si="223">R49/100000</f>
        <v>-4609.6242673091165</v>
      </c>
      <c r="T49">
        <f t="shared" ref="T49" si="224">S49/1000</f>
        <v>-4.6096242673091163</v>
      </c>
    </row>
    <row r="50" spans="1:20" x14ac:dyDescent="0.25">
      <c r="A50" s="5">
        <v>44543</v>
      </c>
      <c r="B50">
        <v>0.83760000000000001</v>
      </c>
      <c r="C50">
        <v>0.84140000000000004</v>
      </c>
      <c r="D50">
        <v>0.72009999999999996</v>
      </c>
      <c r="E50">
        <v>0.73350000000000004</v>
      </c>
      <c r="F50">
        <v>4032772.1</v>
      </c>
      <c r="G50">
        <v>0.73350000000000004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-0.77906018136850663</v>
      </c>
      <c r="Q50">
        <f t="shared" ref="Q50" si="226">F50*P50</f>
        <v>-3141772.1636438533</v>
      </c>
      <c r="R50">
        <f t="shared" ref="R50" si="227">R51+Q50</f>
        <v>-462732356.50750124</v>
      </c>
      <c r="S50">
        <f t="shared" ref="S50" si="228">R50/100000</f>
        <v>-4627.3235650750121</v>
      </c>
      <c r="T50">
        <f t="shared" ref="T50" si="229">S50/1000</f>
        <v>-4.6273235650750122</v>
      </c>
    </row>
    <row r="51" spans="1:20" x14ac:dyDescent="0.25">
      <c r="A51" s="5">
        <v>44542</v>
      </c>
      <c r="B51">
        <v>0.85309999999999997</v>
      </c>
      <c r="C51">
        <v>0.86770000000000003</v>
      </c>
      <c r="D51">
        <v>0.82310000000000005</v>
      </c>
      <c r="E51">
        <v>0.83750000000000002</v>
      </c>
      <c r="F51">
        <v>3328088.4</v>
      </c>
      <c r="G51">
        <v>0.83750000000000002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-0.35426008968609968</v>
      </c>
      <c r="Q51">
        <f t="shared" ref="Q51" si="231">F51*P51</f>
        <v>-1179008.8950672681</v>
      </c>
      <c r="R51">
        <f t="shared" ref="R51" si="232">R52+Q51</f>
        <v>-459590584.34385741</v>
      </c>
      <c r="S51">
        <f t="shared" ref="S51" si="233">R51/100000</f>
        <v>-4595.9058434385743</v>
      </c>
      <c r="T51">
        <f t="shared" ref="T51" si="234">S51/1000</f>
        <v>-4.5959058434385742</v>
      </c>
    </row>
    <row r="52" spans="1:20" x14ac:dyDescent="0.25">
      <c r="A52" s="5">
        <v>44541</v>
      </c>
      <c r="B52">
        <v>0.80030000000000001</v>
      </c>
      <c r="C52">
        <v>0.81569999999999998</v>
      </c>
      <c r="D52">
        <v>0.78320000000000001</v>
      </c>
      <c r="E52">
        <v>0.81110000000000004</v>
      </c>
      <c r="F52">
        <v>207139.9</v>
      </c>
      <c r="G52">
        <v>0.81110000000000004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0.71692307692308055</v>
      </c>
      <c r="Q52">
        <f t="shared" ref="Q52" si="236">F52*P52</f>
        <v>148503.37446153921</v>
      </c>
      <c r="R52">
        <f t="shared" ref="R52" si="237">R53+Q52</f>
        <v>-458411575.44879013</v>
      </c>
      <c r="S52">
        <f t="shared" ref="S52" si="238">R52/100000</f>
        <v>-4584.1157544879015</v>
      </c>
      <c r="T52">
        <f t="shared" ref="T52" si="239">S52/1000</f>
        <v>-4.5841157544879012</v>
      </c>
    </row>
    <row r="53" spans="1:20" x14ac:dyDescent="0.25">
      <c r="A53" s="5">
        <v>44540</v>
      </c>
      <c r="B53">
        <v>0.83150000000000002</v>
      </c>
      <c r="C53">
        <v>0.86899999999999999</v>
      </c>
      <c r="D53">
        <v>0.79339999999999999</v>
      </c>
      <c r="E53">
        <v>0.80079999999999996</v>
      </c>
      <c r="F53">
        <v>5038606.4000000004</v>
      </c>
      <c r="G53">
        <v>0.80079999999999996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-0.80423280423280519</v>
      </c>
      <c r="Q53">
        <f t="shared" ref="Q53" si="241">F53*P53</f>
        <v>-4052212.5544973598</v>
      </c>
      <c r="R53">
        <f t="shared" ref="R53" si="242">R54+Q53</f>
        <v>-458560078.82325166</v>
      </c>
      <c r="S53">
        <f t="shared" ref="S53" si="243">R53/100000</f>
        <v>-4585.6007882325166</v>
      </c>
      <c r="T53">
        <f t="shared" ref="T53" si="244">S53/1000</f>
        <v>-4.5856007882325169</v>
      </c>
    </row>
    <row r="54" spans="1:20" x14ac:dyDescent="0.25">
      <c r="A54" s="5">
        <v>44539</v>
      </c>
      <c r="B54">
        <v>0.88070000000000004</v>
      </c>
      <c r="C54">
        <v>0.89700000000000002</v>
      </c>
      <c r="D54">
        <v>0.81130000000000002</v>
      </c>
      <c r="E54">
        <v>0.83199999999999996</v>
      </c>
      <c r="F54">
        <v>7117113.5999999996</v>
      </c>
      <c r="G54">
        <v>0.83199999999999996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-0.51691948658109821</v>
      </c>
      <c r="Q54">
        <f t="shared" ref="Q54" si="246">F54*P54</f>
        <v>-3678974.7080513514</v>
      </c>
      <c r="R54">
        <f t="shared" ref="R54" si="247">R55+Q54</f>
        <v>-454507866.2687543</v>
      </c>
      <c r="S54">
        <f t="shared" ref="S54" si="248">R54/100000</f>
        <v>-4545.0786626875433</v>
      </c>
      <c r="T54">
        <f t="shared" ref="T54" si="249">S54/1000</f>
        <v>-4.5450786626875432</v>
      </c>
    </row>
    <row r="55" spans="1:20" x14ac:dyDescent="0.25">
      <c r="A55" s="5">
        <v>44538</v>
      </c>
      <c r="B55">
        <v>0.90590000000000004</v>
      </c>
      <c r="C55">
        <v>0.90590000000000004</v>
      </c>
      <c r="D55">
        <v>0.8266</v>
      </c>
      <c r="E55">
        <v>0.88129999999999997</v>
      </c>
      <c r="F55">
        <v>9628584.1999999993</v>
      </c>
      <c r="G55">
        <v>0.88129999999999997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0.37957124842370604</v>
      </c>
      <c r="Q55">
        <f t="shared" ref="Q55" si="251">F55*P55</f>
        <v>3654733.7253467706</v>
      </c>
      <c r="R55">
        <f t="shared" ref="R55" si="252">R56+Q55</f>
        <v>-450828891.56070298</v>
      </c>
      <c r="S55">
        <f t="shared" ref="S55" si="253">R55/100000</f>
        <v>-4508.2889156070296</v>
      </c>
      <c r="T55">
        <f t="shared" ref="T55" si="254">S55/1000</f>
        <v>-4.5082889156070296</v>
      </c>
    </row>
    <row r="56" spans="1:20" x14ac:dyDescent="0.25">
      <c r="A56" s="5">
        <v>44537</v>
      </c>
      <c r="B56">
        <v>0.95399999999999996</v>
      </c>
      <c r="C56">
        <v>1.0496000000000001</v>
      </c>
      <c r="D56">
        <v>0.8851</v>
      </c>
      <c r="E56">
        <v>0.90690000000000004</v>
      </c>
      <c r="F56">
        <v>14932334.699999999</v>
      </c>
      <c r="G56">
        <v>0.90690000000000004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-0.73495440729483241</v>
      </c>
      <c r="Q56">
        <f t="shared" ref="Q56" si="256">F56*P56</f>
        <v>-10974585.198966559</v>
      </c>
      <c r="R56">
        <f t="shared" ref="R56" si="257">R57+Q56</f>
        <v>-454483625.28604972</v>
      </c>
      <c r="S56">
        <f t="shared" ref="S56" si="258">R56/100000</f>
        <v>-4544.8362528604976</v>
      </c>
      <c r="T56">
        <f t="shared" ref="T56" si="259">S56/1000</f>
        <v>-4.544836252860498</v>
      </c>
    </row>
    <row r="57" spans="1:20" x14ac:dyDescent="0.25">
      <c r="A57" s="5">
        <v>44536</v>
      </c>
      <c r="B57">
        <v>0.91320000000000001</v>
      </c>
      <c r="C57">
        <v>1.3</v>
      </c>
      <c r="D57">
        <v>0.8891</v>
      </c>
      <c r="E57">
        <v>0.95469999999999999</v>
      </c>
      <c r="F57">
        <v>92069718.5</v>
      </c>
      <c r="G57">
        <v>0.95469999999999999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-0.68070090046239973</v>
      </c>
      <c r="Q57">
        <f t="shared" ref="Q57" si="261">F57*P57</f>
        <v>-62671940.288269661</v>
      </c>
      <c r="R57">
        <f t="shared" ref="R57" si="262">R58+Q57</f>
        <v>-443509040.08708316</v>
      </c>
      <c r="S57">
        <f t="shared" ref="S57" si="263">R57/100000</f>
        <v>-4435.0904008708312</v>
      </c>
      <c r="T57">
        <f t="shared" ref="T57" si="264">S57/1000</f>
        <v>-4.4350904008708314</v>
      </c>
    </row>
    <row r="58" spans="1:20" x14ac:dyDescent="0.25">
      <c r="A58" s="5">
        <v>44535</v>
      </c>
      <c r="B58">
        <v>0.8024</v>
      </c>
      <c r="C58">
        <v>1.085</v>
      </c>
      <c r="D58">
        <v>0.75639999999999996</v>
      </c>
      <c r="E58">
        <v>0.91300000000000003</v>
      </c>
      <c r="F58">
        <v>42189581.600000001</v>
      </c>
      <c r="G58">
        <v>0.91300000000000003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-4.6865489957394577E-2</v>
      </c>
      <c r="Q58">
        <f t="shared" ref="Q58" si="266">F58*P58</f>
        <v>-1977235.4127814791</v>
      </c>
      <c r="R58">
        <f t="shared" ref="R58" si="267">R59+Q58</f>
        <v>-380837099.79881352</v>
      </c>
      <c r="S58">
        <f t="shared" ref="S58" si="268">R58/100000</f>
        <v>-3808.3709979881351</v>
      </c>
      <c r="T58">
        <f t="shared" ref="T58" si="269">S58/1000</f>
        <v>-3.8083709979881353</v>
      </c>
    </row>
    <row r="59" spans="1:20" x14ac:dyDescent="0.25">
      <c r="A59" s="5">
        <v>44534</v>
      </c>
      <c r="B59">
        <v>0.90849999999999997</v>
      </c>
      <c r="C59">
        <v>0.95469999999999999</v>
      </c>
      <c r="D59">
        <v>0.62050000000000005</v>
      </c>
      <c r="E59">
        <v>0.80200000000000005</v>
      </c>
      <c r="F59">
        <v>14954004.300000001</v>
      </c>
      <c r="G59">
        <v>0.80200000000000005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8.617594254937179E-2</v>
      </c>
      <c r="Q59">
        <f t="shared" ref="Q59" si="271">F59*P59</f>
        <v>1288675.4154398588</v>
      </c>
      <c r="R59">
        <f t="shared" ref="R59" si="272">R60+Q59</f>
        <v>-378859864.38603204</v>
      </c>
      <c r="S59">
        <f t="shared" ref="S59" si="273">R59/100000</f>
        <v>-3788.5986438603204</v>
      </c>
      <c r="T59">
        <f t="shared" ref="T59" si="274">S59/1000</f>
        <v>-3.7885986438603205</v>
      </c>
    </row>
    <row r="60" spans="1:20" x14ac:dyDescent="0.25">
      <c r="A60" s="5">
        <v>44533</v>
      </c>
      <c r="B60">
        <v>0.89029999999999998</v>
      </c>
      <c r="C60">
        <v>0.94840000000000002</v>
      </c>
      <c r="D60">
        <v>0.86229999999999996</v>
      </c>
      <c r="E60">
        <v>0.91010000000000002</v>
      </c>
      <c r="F60">
        <v>9170703.4000000004</v>
      </c>
      <c r="G60">
        <v>0.91010000000000002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0.11033681765389149</v>
      </c>
      <c r="Q60">
        <f t="shared" ref="Q60" si="276">F60*P60</f>
        <v>1011866.2288037228</v>
      </c>
      <c r="R60">
        <f t="shared" ref="R60" si="277">R61+Q60</f>
        <v>-380148539.80147189</v>
      </c>
      <c r="S60">
        <f t="shared" ref="S60" si="278">R60/100000</f>
        <v>-3801.4853980147191</v>
      </c>
      <c r="T60">
        <f t="shared" ref="T60" si="279">S60/1000</f>
        <v>-3.801485398014719</v>
      </c>
    </row>
    <row r="61" spans="1:20" x14ac:dyDescent="0.25">
      <c r="A61" s="5">
        <v>44532</v>
      </c>
      <c r="B61">
        <v>0.85829999999999995</v>
      </c>
      <c r="C61">
        <v>0.95640000000000003</v>
      </c>
      <c r="D61">
        <v>0.83</v>
      </c>
      <c r="E61">
        <v>0.89019999999999999</v>
      </c>
      <c r="F61">
        <v>7989746</v>
      </c>
      <c r="G61">
        <v>0.89019999999999999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-4.7468354430379764E-2</v>
      </c>
      <c r="Q61">
        <f t="shared" ref="Q61" si="281">F61*P61</f>
        <v>-379260.09493670898</v>
      </c>
      <c r="R61">
        <f t="shared" ref="R61" si="282">R62+Q61</f>
        <v>-381160406.03027558</v>
      </c>
      <c r="S61">
        <f t="shared" ref="S61" si="283">R61/100000</f>
        <v>-3811.6040603027559</v>
      </c>
      <c r="T61">
        <f t="shared" ref="T61" si="284">S61/1000</f>
        <v>-3.8116040603027561</v>
      </c>
    </row>
    <row r="62" spans="1:20" x14ac:dyDescent="0.25">
      <c r="A62" s="5">
        <v>44531</v>
      </c>
      <c r="B62">
        <v>0.87529999999999997</v>
      </c>
      <c r="C62">
        <v>0.88859999999999995</v>
      </c>
      <c r="D62">
        <v>0.84089999999999998</v>
      </c>
      <c r="E62">
        <v>0.85860000000000003</v>
      </c>
      <c r="F62">
        <v>3550288.1</v>
      </c>
      <c r="G62">
        <v>0.85860000000000003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-0.25786163522012318</v>
      </c>
      <c r="Q62">
        <f t="shared" ref="Q62" si="286">F62*P62</f>
        <v>-915483.0949685442</v>
      </c>
      <c r="R62">
        <f t="shared" ref="R62" si="287">R63+Q62</f>
        <v>-380781145.93533885</v>
      </c>
      <c r="S62">
        <f t="shared" ref="S62" si="288">R62/100000</f>
        <v>-3807.8114593533887</v>
      </c>
      <c r="T62">
        <f t="shared" ref="T62" si="289">S62/1000</f>
        <v>-3.8078114593533887</v>
      </c>
    </row>
    <row r="63" spans="1:20" x14ac:dyDescent="0.25">
      <c r="A63" s="5">
        <v>44530</v>
      </c>
      <c r="B63">
        <v>0.8901</v>
      </c>
      <c r="C63">
        <v>0.89770000000000005</v>
      </c>
      <c r="D63">
        <v>0.85709999999999997</v>
      </c>
      <c r="E63">
        <v>0.87480000000000002</v>
      </c>
      <c r="F63">
        <v>3651413</v>
      </c>
      <c r="G63">
        <v>0.87480000000000002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-0.12807881773398946</v>
      </c>
      <c r="Q63">
        <f t="shared" ref="Q63" si="291">F63*P63</f>
        <v>-467668.66009851964</v>
      </c>
      <c r="R63">
        <f t="shared" ref="R63" si="292">R64+Q63</f>
        <v>-379865662.8403703</v>
      </c>
      <c r="S63">
        <f t="shared" ref="S63" si="293">R63/100000</f>
        <v>-3798.6566284037031</v>
      </c>
      <c r="T63">
        <f t="shared" ref="T63" si="294">S63/1000</f>
        <v>-3.7986566284037031</v>
      </c>
    </row>
    <row r="64" spans="1:20" x14ac:dyDescent="0.25">
      <c r="A64" s="5">
        <v>44529</v>
      </c>
      <c r="B64">
        <v>0.86699999999999999</v>
      </c>
      <c r="C64">
        <v>0.95</v>
      </c>
      <c r="D64">
        <v>0.85109999999999997</v>
      </c>
      <c r="E64">
        <v>0.8901</v>
      </c>
      <c r="F64">
        <v>8057582.2999999998</v>
      </c>
      <c r="G64">
        <v>0.8901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-0.21132457027300225</v>
      </c>
      <c r="Q64">
        <f t="shared" ref="Q64" si="296">F64*P64</f>
        <v>-1702765.1169868491</v>
      </c>
      <c r="R64">
        <f t="shared" ref="R64" si="297">R65+Q64</f>
        <v>-379397994.1802718</v>
      </c>
      <c r="S64">
        <f t="shared" ref="S64" si="298">R64/100000</f>
        <v>-3793.9799418027183</v>
      </c>
      <c r="T64">
        <f t="shared" ref="T64" si="299">S64/1000</f>
        <v>-3.7939799418027182</v>
      </c>
    </row>
    <row r="65" spans="1:20" x14ac:dyDescent="0.25">
      <c r="A65" s="5">
        <v>44528</v>
      </c>
      <c r="B65">
        <v>0.876</v>
      </c>
      <c r="C65">
        <v>0.87670000000000003</v>
      </c>
      <c r="D65">
        <v>0.81</v>
      </c>
      <c r="E65">
        <v>0.86470000000000002</v>
      </c>
      <c r="F65">
        <v>3265883.7</v>
      </c>
      <c r="G65">
        <v>0.86470000000000002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0.6401799100449771</v>
      </c>
      <c r="Q65">
        <f t="shared" ref="Q65" si="301">F65*P65</f>
        <v>2090753.1332833571</v>
      </c>
      <c r="R65">
        <f t="shared" ref="R65" si="302">R66+Q65</f>
        <v>-377695229.06328493</v>
      </c>
      <c r="S65">
        <f t="shared" ref="S65" si="303">R65/100000</f>
        <v>-3776.9522906328493</v>
      </c>
      <c r="T65">
        <f t="shared" ref="T65" si="304">S65/1000</f>
        <v>-3.7769522906328494</v>
      </c>
    </row>
    <row r="66" spans="1:20" x14ac:dyDescent="0.25">
      <c r="A66" s="5">
        <v>44527</v>
      </c>
      <c r="B66">
        <v>0.85289999999999999</v>
      </c>
      <c r="C66">
        <v>0.91959999999999997</v>
      </c>
      <c r="D66">
        <v>0.81</v>
      </c>
      <c r="E66">
        <v>0.87609999999999999</v>
      </c>
      <c r="F66">
        <v>4686061.8</v>
      </c>
      <c r="G66">
        <v>0.87609999999999999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0.20620437956204352</v>
      </c>
      <c r="Q66">
        <f t="shared" ref="Q66" si="306">F66*P66</f>
        <v>966286.46605839278</v>
      </c>
      <c r="R66">
        <f t="shared" ref="R66" si="307">R67+Q66</f>
        <v>-379785982.19656831</v>
      </c>
      <c r="S66">
        <f t="shared" ref="S66" si="308">R66/100000</f>
        <v>-3797.8598219656833</v>
      </c>
      <c r="T66">
        <f t="shared" ref="T66" si="309">S66/1000</f>
        <v>-3.7978598219656834</v>
      </c>
    </row>
    <row r="67" spans="1:20" x14ac:dyDescent="0.25">
      <c r="A67" s="5">
        <v>44526</v>
      </c>
      <c r="B67">
        <v>0.93920000000000003</v>
      </c>
      <c r="C67">
        <v>0.94389999999999996</v>
      </c>
      <c r="D67">
        <v>0.82099999999999995</v>
      </c>
      <c r="E67">
        <v>0.8518</v>
      </c>
      <c r="F67">
        <v>5026545.2</v>
      </c>
      <c r="G67">
        <v>0.8518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-0.49877949552481615</v>
      </c>
      <c r="Q67">
        <f t="shared" ref="Q67" si="311">F67*P67</f>
        <v>-2507137.6790886861</v>
      </c>
      <c r="R67">
        <f t="shared" ref="R67" si="312">R68+Q67</f>
        <v>-380752268.66262668</v>
      </c>
      <c r="S67">
        <f t="shared" ref="S67" si="313">R67/100000</f>
        <v>-3807.5226866262669</v>
      </c>
      <c r="T67">
        <f t="shared" ref="T67" si="314">S67/1000</f>
        <v>-3.807522686626267</v>
      </c>
    </row>
    <row r="68" spans="1:20" x14ac:dyDescent="0.25">
      <c r="A68" s="5">
        <v>44525</v>
      </c>
      <c r="B68">
        <v>0.90590000000000004</v>
      </c>
      <c r="C68">
        <v>0.9496</v>
      </c>
      <c r="D68">
        <v>0.89859999999999995</v>
      </c>
      <c r="E68">
        <v>0.93959999999999999</v>
      </c>
      <c r="F68">
        <v>3700453.3</v>
      </c>
      <c r="G68">
        <v>0.93959999999999999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0.60784313725490191</v>
      </c>
      <c r="Q68">
        <f t="shared" ref="Q68" si="316">F68*P68</f>
        <v>2249295.1431372548</v>
      </c>
      <c r="R68">
        <f t="shared" ref="R68" si="317">R69+Q68</f>
        <v>-378245130.98353797</v>
      </c>
      <c r="S68">
        <f t="shared" ref="S68" si="318">R68/100000</f>
        <v>-3782.4513098353796</v>
      </c>
      <c r="T68">
        <f t="shared" ref="T68" si="319">S68/1000</f>
        <v>-3.7824513098353796</v>
      </c>
    </row>
    <row r="69" spans="1:20" x14ac:dyDescent="0.25">
      <c r="A69" s="5">
        <v>44524</v>
      </c>
      <c r="B69">
        <v>0.95009999999999994</v>
      </c>
      <c r="C69">
        <v>0.97889999999999999</v>
      </c>
      <c r="D69">
        <v>0.90280000000000005</v>
      </c>
      <c r="E69">
        <v>0.92069999999999996</v>
      </c>
      <c r="F69">
        <v>1486774.7</v>
      </c>
      <c r="G69">
        <v>0.92069999999999996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-0.5295663600525643</v>
      </c>
      <c r="Q69">
        <f t="shared" ref="Q69" si="321">F69*P69</f>
        <v>-787345.86609724327</v>
      </c>
      <c r="R69">
        <f t="shared" ref="R69" si="322">R70+Q69</f>
        <v>-380494426.12667525</v>
      </c>
      <c r="S69">
        <f t="shared" ref="S69" si="323">R69/100000</f>
        <v>-3804.9442612667526</v>
      </c>
      <c r="T69">
        <f t="shared" ref="T69" si="324">S69/1000</f>
        <v>-3.8049442612667526</v>
      </c>
    </row>
    <row r="70" spans="1:20" x14ac:dyDescent="0.25">
      <c r="A70" s="5">
        <v>44523</v>
      </c>
      <c r="B70">
        <v>0.94310000000000005</v>
      </c>
      <c r="C70">
        <v>0.97470000000000001</v>
      </c>
      <c r="D70">
        <v>0.92069999999999996</v>
      </c>
      <c r="E70">
        <v>0.9516</v>
      </c>
      <c r="F70">
        <v>4038960.9</v>
      </c>
      <c r="G70">
        <v>0.9516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0.14444444444444485</v>
      </c>
      <c r="Q70">
        <f t="shared" ref="Q70" si="326">F70*P70</f>
        <v>583405.46333333489</v>
      </c>
      <c r="R70">
        <f t="shared" ref="R70" si="327">R71+Q70</f>
        <v>-379707080.26057798</v>
      </c>
      <c r="S70">
        <f t="shared" ref="S70" si="328">R70/100000</f>
        <v>-3797.0708026057796</v>
      </c>
      <c r="T70">
        <f t="shared" ref="T70" si="329">S70/1000</f>
        <v>-3.7970708026057798</v>
      </c>
    </row>
    <row r="71" spans="1:20" x14ac:dyDescent="0.25">
      <c r="A71" s="5">
        <v>44522</v>
      </c>
      <c r="B71">
        <v>0.96130000000000004</v>
      </c>
      <c r="C71">
        <v>0.99099999999999999</v>
      </c>
      <c r="D71">
        <v>0.93230000000000002</v>
      </c>
      <c r="E71">
        <v>0.94310000000000005</v>
      </c>
      <c r="F71">
        <v>5043474.0999999996</v>
      </c>
      <c r="G71">
        <v>0.94310000000000005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-0.63202725724020314</v>
      </c>
      <c r="Q71">
        <f t="shared" ref="Q71" si="331">F71*P71</f>
        <v>-3187613.1023850017</v>
      </c>
      <c r="R71">
        <f t="shared" ref="R71" si="332">R72+Q71</f>
        <v>-380290485.72391129</v>
      </c>
      <c r="S71">
        <f t="shared" ref="S71" si="333">R71/100000</f>
        <v>-3802.904857239113</v>
      </c>
      <c r="T71">
        <f t="shared" ref="T71" si="334">S71/1000</f>
        <v>-3.8029048572391129</v>
      </c>
    </row>
    <row r="72" spans="1:20" x14ac:dyDescent="0.25">
      <c r="A72" s="5">
        <v>44521</v>
      </c>
      <c r="B72">
        <v>1.0246</v>
      </c>
      <c r="C72">
        <v>1.0927</v>
      </c>
      <c r="D72">
        <v>0.9577</v>
      </c>
      <c r="E72">
        <v>0.96020000000000005</v>
      </c>
      <c r="F72">
        <v>7950565.7999999998</v>
      </c>
      <c r="G72">
        <v>0.96020000000000005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-0.96296296296296213</v>
      </c>
      <c r="Q72">
        <f t="shared" ref="Q72" si="336">F72*P72</f>
        <v>-7656100.3999999929</v>
      </c>
      <c r="R72">
        <f t="shared" ref="R72" si="337">R73+Q72</f>
        <v>-377102872.6215263</v>
      </c>
      <c r="S72">
        <f t="shared" ref="S72" si="338">R72/100000</f>
        <v>-3771.0287262152629</v>
      </c>
      <c r="T72">
        <f t="shared" ref="T72" si="339">S72/1000</f>
        <v>-3.7710287262152629</v>
      </c>
    </row>
    <row r="73" spans="1:20" x14ac:dyDescent="0.25">
      <c r="A73" s="5">
        <v>44520</v>
      </c>
      <c r="B73">
        <v>0.94989999999999997</v>
      </c>
      <c r="C73">
        <v>1.052</v>
      </c>
      <c r="D73">
        <v>0.91300000000000003</v>
      </c>
      <c r="E73">
        <v>1.0228999999999999</v>
      </c>
      <c r="F73">
        <v>8504290.5999999996</v>
      </c>
      <c r="G73">
        <v>1.0228999999999999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0.58129496402877523</v>
      </c>
      <c r="Q73">
        <f t="shared" ref="Q73" si="341">F73*P73</f>
        <v>4943501.2984172516</v>
      </c>
      <c r="R73">
        <f t="shared" ref="R73" si="342">R74+Q73</f>
        <v>-369446772.22152632</v>
      </c>
      <c r="S73">
        <f t="shared" ref="S73" si="343">R73/100000</f>
        <v>-3694.4677222152632</v>
      </c>
      <c r="T73">
        <f t="shared" ref="T73" si="344">S73/1000</f>
        <v>-3.6944677222152631</v>
      </c>
    </row>
    <row r="74" spans="1:20" x14ac:dyDescent="0.25">
      <c r="A74" s="5">
        <v>44519</v>
      </c>
      <c r="B74">
        <v>0.88439999999999996</v>
      </c>
      <c r="C74">
        <v>0.98</v>
      </c>
      <c r="D74">
        <v>0.86629999999999996</v>
      </c>
      <c r="E74">
        <v>0.94920000000000004</v>
      </c>
      <c r="F74">
        <v>5853184.4000000004</v>
      </c>
      <c r="G74">
        <v>0.94920000000000004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0.45822339489885783</v>
      </c>
      <c r="Q74">
        <f t="shared" ref="Q74" si="346">F74*P74</f>
        <v>2682066.0267370343</v>
      </c>
      <c r="R74">
        <f t="shared" ref="R74" si="347">R75+Q74</f>
        <v>-374390273.51994359</v>
      </c>
      <c r="S74">
        <f t="shared" ref="S74" si="348">R74/100000</f>
        <v>-3743.9027351994359</v>
      </c>
      <c r="T74">
        <f t="shared" ref="T74" si="349">S74/1000</f>
        <v>-3.7439027351994358</v>
      </c>
    </row>
    <row r="75" spans="1:20" x14ac:dyDescent="0.25">
      <c r="A75" s="5">
        <v>44518</v>
      </c>
      <c r="B75">
        <v>0.92900000000000005</v>
      </c>
      <c r="C75">
        <v>0.96799999999999997</v>
      </c>
      <c r="D75">
        <v>0.84150000000000003</v>
      </c>
      <c r="E75">
        <v>0.88429999999999997</v>
      </c>
      <c r="F75">
        <v>4227231.2</v>
      </c>
      <c r="G75">
        <v>0.88429999999999997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-0.32332015810276732</v>
      </c>
      <c r="Q75">
        <f t="shared" ref="Q75" si="351">F75*P75</f>
        <v>-1366749.0599209508</v>
      </c>
      <c r="R75">
        <f t="shared" ref="R75" si="352">R76+Q75</f>
        <v>-377072339.54668063</v>
      </c>
      <c r="S75">
        <f t="shared" ref="S75" si="353">R75/100000</f>
        <v>-3770.7233954668063</v>
      </c>
      <c r="T75">
        <f t="shared" ref="T75" si="354">S75/1000</f>
        <v>-3.7707233954668062</v>
      </c>
    </row>
    <row r="76" spans="1:20" x14ac:dyDescent="0.25">
      <c r="A76" s="5">
        <v>44517</v>
      </c>
      <c r="B76">
        <v>0.90749999999999997</v>
      </c>
      <c r="C76">
        <v>0.98</v>
      </c>
      <c r="D76">
        <v>0.86570000000000003</v>
      </c>
      <c r="E76">
        <v>0.92869999999999997</v>
      </c>
      <c r="F76">
        <v>5088632.4000000004</v>
      </c>
      <c r="G76">
        <v>0.92869999999999997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0.10236220472440889</v>
      </c>
      <c r="Q76">
        <f t="shared" ref="Q76" si="356">F76*P76</f>
        <v>520883.63149606017</v>
      </c>
      <c r="R76">
        <f t="shared" ref="R76" si="357">R77+Q76</f>
        <v>-375705590.48675966</v>
      </c>
      <c r="S76">
        <f t="shared" ref="S76" si="358">R76/100000</f>
        <v>-3757.0559048675968</v>
      </c>
      <c r="T76">
        <f t="shared" ref="T76" si="359">S76/1000</f>
        <v>-3.7570559048675967</v>
      </c>
    </row>
    <row r="77" spans="1:20" x14ac:dyDescent="0.25">
      <c r="A77" s="5">
        <v>44516</v>
      </c>
      <c r="B77">
        <v>1.0152000000000001</v>
      </c>
      <c r="C77">
        <v>1.0152000000000001</v>
      </c>
      <c r="D77">
        <v>0.89800000000000002</v>
      </c>
      <c r="E77">
        <v>0.9083</v>
      </c>
      <c r="F77">
        <v>5141439.5999999996</v>
      </c>
      <c r="G77">
        <v>0.9083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-0.82423208191126329</v>
      </c>
      <c r="Q77">
        <f t="shared" ref="Q77" si="361">F77*P77</f>
        <v>-4237739.4655290125</v>
      </c>
      <c r="R77">
        <f t="shared" ref="R77" si="362">R78+Q77</f>
        <v>-376226474.11825573</v>
      </c>
      <c r="S77">
        <f t="shared" ref="S77" si="363">R77/100000</f>
        <v>-3762.2647411825574</v>
      </c>
      <c r="T77">
        <f t="shared" ref="T77" si="364">S77/1000</f>
        <v>-3.7622647411825572</v>
      </c>
    </row>
    <row r="78" spans="1:20" x14ac:dyDescent="0.25">
      <c r="A78" s="5">
        <v>44515</v>
      </c>
      <c r="B78">
        <v>1.0569</v>
      </c>
      <c r="C78">
        <v>1.0717000000000001</v>
      </c>
      <c r="D78">
        <v>1.0047999999999999</v>
      </c>
      <c r="E78">
        <v>1.0175000000000001</v>
      </c>
      <c r="F78">
        <v>4737982.2</v>
      </c>
      <c r="G78">
        <v>1.0175000000000001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-0.62032884902839702</v>
      </c>
      <c r="Q78">
        <f t="shared" ref="Q78" si="366">F78*P78</f>
        <v>-2939107.0448430325</v>
      </c>
      <c r="R78">
        <f t="shared" ref="R78" si="367">R79+Q78</f>
        <v>-371988734.65272671</v>
      </c>
      <c r="S78">
        <f t="shared" ref="S78" si="368">R78/100000</f>
        <v>-3719.8873465272673</v>
      </c>
      <c r="T78">
        <f t="shared" ref="T78" si="369">S78/1000</f>
        <v>-3.7198873465272673</v>
      </c>
    </row>
    <row r="79" spans="1:20" x14ac:dyDescent="0.25">
      <c r="A79" s="5">
        <v>44514</v>
      </c>
      <c r="B79">
        <v>1.0002</v>
      </c>
      <c r="C79">
        <v>1.147</v>
      </c>
      <c r="D79">
        <v>0.99570000000000003</v>
      </c>
      <c r="E79">
        <v>1.0567</v>
      </c>
      <c r="F79">
        <v>13345595.300000001</v>
      </c>
      <c r="G79">
        <v>1.0567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-0.19365499008592271</v>
      </c>
      <c r="Q79">
        <f t="shared" ref="Q79" si="371">F79*P79</f>
        <v>-2584441.1255122367</v>
      </c>
      <c r="R79">
        <f t="shared" ref="R79" si="372">R80+Q79</f>
        <v>-369049627.60788369</v>
      </c>
      <c r="S79">
        <f t="shared" ref="S79" si="373">R79/100000</f>
        <v>-3690.4962760788371</v>
      </c>
      <c r="T79">
        <f t="shared" ref="T79" si="374">S79/1000</f>
        <v>-3.6904962760788371</v>
      </c>
    </row>
    <row r="80" spans="1:20" x14ac:dyDescent="0.25">
      <c r="A80" s="5">
        <v>44513</v>
      </c>
      <c r="B80">
        <v>0.99139999999999995</v>
      </c>
      <c r="C80">
        <v>1.02</v>
      </c>
      <c r="D80">
        <v>0.98219999999999996</v>
      </c>
      <c r="E80">
        <v>1.0005999999999999</v>
      </c>
      <c r="F80">
        <v>2408776.1</v>
      </c>
      <c r="G80">
        <v>1.0005999999999999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-2.6455026455029378E-2</v>
      </c>
      <c r="Q80">
        <f t="shared" ref="Q80" si="376">F80*P80</f>
        <v>-63724.235449742497</v>
      </c>
      <c r="R80">
        <f t="shared" ref="R80" si="377">R81+Q80</f>
        <v>-366465186.48237145</v>
      </c>
      <c r="S80">
        <f t="shared" ref="S80" si="378">R80/100000</f>
        <v>-3664.6518648237143</v>
      </c>
      <c r="T80">
        <f t="shared" ref="T80" si="379">S80/1000</f>
        <v>-3.6646518648237141</v>
      </c>
    </row>
    <row r="81" spans="1:20" x14ac:dyDescent="0.25">
      <c r="A81" s="5">
        <v>44512</v>
      </c>
      <c r="B81">
        <v>0.97709999999999997</v>
      </c>
      <c r="C81">
        <v>1.03</v>
      </c>
      <c r="D81">
        <v>0.95899999999999996</v>
      </c>
      <c r="E81">
        <v>0.99119999999999997</v>
      </c>
      <c r="F81">
        <v>4900869.7</v>
      </c>
      <c r="G81">
        <v>0.99119999999999997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-9.2957746478873865E-2</v>
      </c>
      <c r="Q81">
        <f t="shared" ref="Q81" si="381">F81*P81</f>
        <v>-455573.80309859465</v>
      </c>
      <c r="R81">
        <f t="shared" ref="R81" si="382">R82+Q81</f>
        <v>-366401462.24692172</v>
      </c>
      <c r="S81">
        <f t="shared" ref="S81" si="383">R81/100000</f>
        <v>-3664.0146224692171</v>
      </c>
      <c r="T81">
        <f t="shared" ref="T81" si="384">S81/1000</f>
        <v>-3.6640146224692169</v>
      </c>
    </row>
    <row r="82" spans="1:20" x14ac:dyDescent="0.25">
      <c r="A82" s="5">
        <v>44511</v>
      </c>
      <c r="B82">
        <v>0.94130000000000003</v>
      </c>
      <c r="C82">
        <v>1.0031000000000001</v>
      </c>
      <c r="D82">
        <v>0.93600000000000005</v>
      </c>
      <c r="E82">
        <v>0.97719999999999996</v>
      </c>
      <c r="F82">
        <v>2830621.5</v>
      </c>
      <c r="G82">
        <v>0.97719999999999996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0.2280178837555849</v>
      </c>
      <c r="Q82">
        <f t="shared" ref="Q82" si="386">F82*P82</f>
        <v>645432.32414305932</v>
      </c>
      <c r="R82">
        <f t="shared" ref="R82" si="387">R83+Q82</f>
        <v>-365945888.4438231</v>
      </c>
      <c r="S82">
        <f t="shared" ref="S82" si="388">R82/100000</f>
        <v>-3659.4588844382311</v>
      </c>
      <c r="T82">
        <f t="shared" ref="T82" si="389">S82/1000</f>
        <v>-3.659458884438231</v>
      </c>
    </row>
    <row r="83" spans="1:20" x14ac:dyDescent="0.25">
      <c r="A83" s="5">
        <v>44510</v>
      </c>
      <c r="B83">
        <v>1.0311999999999999</v>
      </c>
      <c r="C83">
        <v>1.0580000000000001</v>
      </c>
      <c r="D83">
        <v>0.93169999999999997</v>
      </c>
      <c r="E83">
        <v>0.94310000000000005</v>
      </c>
      <c r="F83">
        <v>5508159</v>
      </c>
      <c r="G83">
        <v>0.94310000000000005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-0.81947743467933376</v>
      </c>
      <c r="Q83">
        <f t="shared" ref="Q83" si="391">F83*P83</f>
        <v>-4513812.0071258843</v>
      </c>
      <c r="R83">
        <f t="shared" ref="R83" si="392">R84+Q83</f>
        <v>-366591320.76796615</v>
      </c>
      <c r="S83">
        <f t="shared" ref="S83" si="393">R83/100000</f>
        <v>-3665.9132076796614</v>
      </c>
      <c r="T83">
        <f t="shared" ref="T83" si="394">S83/1000</f>
        <v>-3.6659132076796612</v>
      </c>
    </row>
    <row r="84" spans="1:20" x14ac:dyDescent="0.25">
      <c r="A84" s="5">
        <v>44509</v>
      </c>
      <c r="B84">
        <v>1.0132000000000001</v>
      </c>
      <c r="C84">
        <v>1.0696000000000001</v>
      </c>
      <c r="D84">
        <v>1.0022</v>
      </c>
      <c r="E84">
        <v>1.0302</v>
      </c>
      <c r="F84">
        <v>5617376.9000000004</v>
      </c>
      <c r="G84">
        <v>1.0302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-0.16913946587537174</v>
      </c>
      <c r="Q84">
        <f t="shared" ref="Q84" si="396">F84*P84</f>
        <v>-950120.12848665158</v>
      </c>
      <c r="R84">
        <f t="shared" ref="R84" si="397">R85+Q84</f>
        <v>-362077508.7608403</v>
      </c>
      <c r="S84">
        <f t="shared" ref="S84" si="398">R84/100000</f>
        <v>-3620.7750876084028</v>
      </c>
      <c r="T84">
        <f t="shared" ref="T84" si="399">S84/1000</f>
        <v>-3.6207750876084028</v>
      </c>
    </row>
    <row r="85" spans="1:20" x14ac:dyDescent="0.25">
      <c r="A85" s="5">
        <v>44508</v>
      </c>
      <c r="B85">
        <v>1.0086999999999999</v>
      </c>
      <c r="C85">
        <v>1.0525</v>
      </c>
      <c r="D85">
        <v>0.98250000000000004</v>
      </c>
      <c r="E85">
        <v>1.0128999999999999</v>
      </c>
      <c r="F85">
        <v>4110645.5</v>
      </c>
      <c r="G85">
        <v>1.0128999999999999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-0.1314285714285745</v>
      </c>
      <c r="Q85">
        <f t="shared" ref="Q85" si="401">F85*P85</f>
        <v>-540256.26571429835</v>
      </c>
      <c r="R85">
        <f t="shared" ref="R85" si="402">R86+Q85</f>
        <v>-361127388.63235366</v>
      </c>
      <c r="S85">
        <f t="shared" ref="S85" si="403">R85/100000</f>
        <v>-3611.2738863235368</v>
      </c>
      <c r="T85">
        <f t="shared" ref="T85" si="404">S85/1000</f>
        <v>-3.611273886323537</v>
      </c>
    </row>
    <row r="86" spans="1:20" x14ac:dyDescent="0.25">
      <c r="A86" s="5">
        <v>44507</v>
      </c>
      <c r="B86">
        <v>0.9768</v>
      </c>
      <c r="C86">
        <v>1.0649999999999999</v>
      </c>
      <c r="D86">
        <v>0.96079999999999999</v>
      </c>
      <c r="E86">
        <v>1.0089999999999999</v>
      </c>
      <c r="F86">
        <v>7926859</v>
      </c>
      <c r="G86">
        <v>1.0089999999999999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-7.4856046065260487E-2</v>
      </c>
      <c r="Q86">
        <f t="shared" ref="Q86" si="406">F86*P86</f>
        <v>-593373.32245682471</v>
      </c>
      <c r="R86">
        <f t="shared" ref="R86" si="407">R87+Q86</f>
        <v>-360587132.36663938</v>
      </c>
      <c r="S86">
        <f t="shared" ref="S86" si="408">R86/100000</f>
        <v>-3605.8713236663939</v>
      </c>
      <c r="T86">
        <f t="shared" ref="T86" si="409">S86/1000</f>
        <v>-3.6058713236663937</v>
      </c>
    </row>
    <row r="87" spans="1:20" x14ac:dyDescent="0.25">
      <c r="A87" s="5">
        <v>44506</v>
      </c>
      <c r="B87">
        <v>0.97170000000000001</v>
      </c>
      <c r="C87">
        <v>1.0118</v>
      </c>
      <c r="D87">
        <v>0.92949999999999999</v>
      </c>
      <c r="E87">
        <v>0.9758</v>
      </c>
      <c r="F87">
        <v>4410934.0999999996</v>
      </c>
      <c r="G87">
        <v>0.9758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0.1251518833535841</v>
      </c>
      <c r="Q87">
        <f t="shared" ref="Q87" si="411">F87*P87</f>
        <v>552036.70996354637</v>
      </c>
      <c r="R87">
        <f t="shared" ref="R87" si="412">R88+Q87</f>
        <v>-359993759.04418254</v>
      </c>
      <c r="S87">
        <f t="shared" ref="S87" si="413">R87/100000</f>
        <v>-3599.9375904418253</v>
      </c>
      <c r="T87">
        <f t="shared" ref="T87" si="414">S87/1000</f>
        <v>-3.5999375904418254</v>
      </c>
    </row>
    <row r="88" spans="1:20" x14ac:dyDescent="0.25">
      <c r="A88" s="5">
        <v>44505</v>
      </c>
      <c r="B88">
        <v>0.99109999999999998</v>
      </c>
      <c r="C88">
        <v>1.0245</v>
      </c>
      <c r="D88">
        <v>0.94799999999999995</v>
      </c>
      <c r="E88">
        <v>0.97319999999999995</v>
      </c>
      <c r="F88">
        <v>4461487.5</v>
      </c>
      <c r="G88">
        <v>0.97319999999999995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-0.34117647058823541</v>
      </c>
      <c r="Q88">
        <f t="shared" ref="Q88" si="416">F88*P88</f>
        <v>-1522154.5588235299</v>
      </c>
      <c r="R88">
        <f t="shared" ref="R88" si="417">R89+Q88</f>
        <v>-360545795.7541461</v>
      </c>
      <c r="S88">
        <f t="shared" ref="S88" si="418">R88/100000</f>
        <v>-3605.4579575414609</v>
      </c>
      <c r="T88">
        <f t="shared" ref="T88" si="419">S88/1000</f>
        <v>-3.6054579575414611</v>
      </c>
    </row>
    <row r="89" spans="1:20" x14ac:dyDescent="0.25">
      <c r="A89" s="5">
        <v>44504</v>
      </c>
      <c r="B89">
        <v>1.0190999999999999</v>
      </c>
      <c r="C89">
        <v>1.0505</v>
      </c>
      <c r="D89">
        <v>0.97009999999999996</v>
      </c>
      <c r="E89">
        <v>0.99109999999999998</v>
      </c>
      <c r="F89">
        <v>6618487.9000000004</v>
      </c>
      <c r="G89">
        <v>0.99109999999999998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-0.47761194029850718</v>
      </c>
      <c r="Q89">
        <f t="shared" ref="Q89" si="421">F89*P89</f>
        <v>-3161068.8477611924</v>
      </c>
      <c r="R89">
        <f t="shared" ref="R89" si="422">R90+Q89</f>
        <v>-359023641.19532257</v>
      </c>
      <c r="S89">
        <f t="shared" ref="S89" si="423">R89/100000</f>
        <v>-3590.2364119532258</v>
      </c>
      <c r="T89">
        <f t="shared" ref="T89" si="424">S89/1000</f>
        <v>-3.5902364119532257</v>
      </c>
    </row>
    <row r="90" spans="1:20" x14ac:dyDescent="0.25">
      <c r="A90" s="5">
        <v>44503</v>
      </c>
      <c r="B90">
        <v>1.0486</v>
      </c>
      <c r="C90">
        <v>1.2456</v>
      </c>
      <c r="D90">
        <v>1.0145</v>
      </c>
      <c r="E90">
        <v>1.0186999999999999</v>
      </c>
      <c r="F90">
        <v>16871368.300000001</v>
      </c>
      <c r="G90">
        <v>1.0186999999999999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-0.96365209865858947</v>
      </c>
      <c r="Q90">
        <f t="shared" ref="Q90" si="426">F90*P90</f>
        <v>-16258129.469536999</v>
      </c>
      <c r="R90">
        <f t="shared" ref="R90" si="427">R91+Q90</f>
        <v>-355862572.34756136</v>
      </c>
      <c r="S90">
        <f t="shared" ref="S90" si="428">R90/100000</f>
        <v>-3558.6257234756135</v>
      </c>
      <c r="T90">
        <f t="shared" ref="T90" si="429">S90/1000</f>
        <v>-3.5586257234756133</v>
      </c>
    </row>
    <row r="91" spans="1:20" x14ac:dyDescent="0.25">
      <c r="A91" s="5">
        <v>44502</v>
      </c>
      <c r="B91">
        <v>0.97099999999999997</v>
      </c>
      <c r="C91">
        <v>1.0775999999999999</v>
      </c>
      <c r="D91">
        <v>0.9526</v>
      </c>
      <c r="E91">
        <v>1.0494000000000001</v>
      </c>
      <c r="F91">
        <v>7021031.9000000004</v>
      </c>
      <c r="G91">
        <v>1.0494000000000001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0.54880000000000306</v>
      </c>
      <c r="Q91">
        <f t="shared" ref="Q91" si="431">F91*P91</f>
        <v>3853142.3067200216</v>
      </c>
      <c r="R91">
        <f t="shared" ref="R91" si="432">R92+Q91</f>
        <v>-339604442.87802434</v>
      </c>
      <c r="S91">
        <f t="shared" ref="S91" si="433">R91/100000</f>
        <v>-3396.0444287802434</v>
      </c>
      <c r="T91">
        <f t="shared" ref="T91" si="434">S91/1000</f>
        <v>-3.3960444287802436</v>
      </c>
    </row>
    <row r="92" spans="1:20" x14ac:dyDescent="0.25">
      <c r="A92" s="5">
        <v>44501</v>
      </c>
      <c r="B92">
        <v>0.98040000000000005</v>
      </c>
      <c r="C92">
        <v>0.99480000000000002</v>
      </c>
      <c r="D92">
        <v>0.94810000000000005</v>
      </c>
      <c r="E92">
        <v>0.97140000000000004</v>
      </c>
      <c r="F92">
        <v>3630155.4</v>
      </c>
      <c r="G92">
        <v>0.97140000000000004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-2.1413276231261043E-3</v>
      </c>
      <c r="Q92">
        <f t="shared" ref="Q92" si="436">F92*P92</f>
        <v>-7773.3520342603924</v>
      </c>
      <c r="R92">
        <f t="shared" ref="R92" si="437">R93+Q92</f>
        <v>-343457585.18474436</v>
      </c>
      <c r="S92">
        <f t="shared" ref="S92" si="438">R92/100000</f>
        <v>-3434.5758518474436</v>
      </c>
      <c r="T92">
        <f t="shared" ref="T92" si="439">S92/1000</f>
        <v>-3.4345758518474434</v>
      </c>
    </row>
    <row r="93" spans="1:20" x14ac:dyDescent="0.25">
      <c r="A93" s="5">
        <v>44500</v>
      </c>
      <c r="B93">
        <v>0.97260000000000002</v>
      </c>
      <c r="C93">
        <v>1.0285</v>
      </c>
      <c r="D93">
        <v>0.95579999999999998</v>
      </c>
      <c r="E93">
        <v>0.98199999999999998</v>
      </c>
      <c r="F93">
        <v>7131826.5999999996</v>
      </c>
      <c r="G93">
        <v>0.98199999999999998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-0.27922971114167799</v>
      </c>
      <c r="Q93">
        <f t="shared" ref="Q93" si="441">F93*P93</f>
        <v>-1991417.8814305353</v>
      </c>
      <c r="R93">
        <f t="shared" ref="R93" si="442">R94+Q93</f>
        <v>-343449811.83271009</v>
      </c>
      <c r="S93">
        <f t="shared" ref="S93" si="443">R93/100000</f>
        <v>-3434.4981183271007</v>
      </c>
      <c r="T93">
        <f t="shared" ref="T93" si="444">S93/1000</f>
        <v>-3.4344981183271006</v>
      </c>
    </row>
    <row r="94" spans="1:20" x14ac:dyDescent="0.25">
      <c r="A94" s="5">
        <v>44499</v>
      </c>
      <c r="B94">
        <v>0.95989999999999998</v>
      </c>
      <c r="C94">
        <v>1.03</v>
      </c>
      <c r="D94">
        <v>0.94550000000000001</v>
      </c>
      <c r="E94">
        <v>0.9728</v>
      </c>
      <c r="F94">
        <v>7452461.7000000002</v>
      </c>
      <c r="G94">
        <v>0.9728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-0.3538461538461542</v>
      </c>
      <c r="Q94">
        <f t="shared" ref="Q94" si="446">F94*P94</f>
        <v>-2637024.9092307719</v>
      </c>
      <c r="R94">
        <f t="shared" ref="R94" si="447">R95+Q94</f>
        <v>-341458393.95127958</v>
      </c>
      <c r="S94">
        <f t="shared" ref="S94" si="448">R94/100000</f>
        <v>-3414.583939512796</v>
      </c>
      <c r="T94">
        <f t="shared" ref="T94" si="449">S94/1000</f>
        <v>-3.4145839395127959</v>
      </c>
    </row>
    <row r="95" spans="1:20" x14ac:dyDescent="0.25">
      <c r="A95" s="5">
        <v>44498</v>
      </c>
      <c r="B95">
        <v>0.92220000000000002</v>
      </c>
      <c r="C95">
        <v>1.03</v>
      </c>
      <c r="D95">
        <v>0.91390000000000005</v>
      </c>
      <c r="E95">
        <v>0.95950000000000002</v>
      </c>
      <c r="F95">
        <v>7411873.2000000002</v>
      </c>
      <c r="G95">
        <v>0.95950000000000002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-0.21447028423772643</v>
      </c>
      <c r="Q95">
        <f t="shared" ref="Q95" si="451">F95*P95</f>
        <v>-1589626.5519379871</v>
      </c>
      <c r="R95">
        <f t="shared" ref="R95" si="452">R96+Q95</f>
        <v>-338821369.04204881</v>
      </c>
      <c r="S95">
        <f t="shared" ref="S95" si="453">R95/100000</f>
        <v>-3388.2136904204881</v>
      </c>
      <c r="T95">
        <f t="shared" ref="T95" si="454">S95/1000</f>
        <v>-3.3882136904204883</v>
      </c>
    </row>
    <row r="96" spans="1:20" x14ac:dyDescent="0.25">
      <c r="A96" s="5">
        <v>44497</v>
      </c>
      <c r="B96">
        <v>0.90739999999999998</v>
      </c>
      <c r="C96">
        <v>0.96030000000000004</v>
      </c>
      <c r="D96">
        <v>0.87980000000000003</v>
      </c>
      <c r="E96">
        <v>0.92100000000000004</v>
      </c>
      <c r="F96">
        <v>5359014.9000000004</v>
      </c>
      <c r="G96">
        <v>0.92100000000000004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2.3602484472049844E-2</v>
      </c>
      <c r="Q96">
        <f t="shared" ref="Q96" si="456">F96*P96</f>
        <v>126486.06596273376</v>
      </c>
      <c r="R96">
        <f t="shared" ref="R96" si="457">R97+Q96</f>
        <v>-337231742.49011081</v>
      </c>
      <c r="S96">
        <f t="shared" ref="S96" si="458">R96/100000</f>
        <v>-3372.3174249011081</v>
      </c>
      <c r="T96">
        <f t="shared" ref="T96" si="459">S96/1000</f>
        <v>-3.3723174249011083</v>
      </c>
    </row>
    <row r="97" spans="1:20" x14ac:dyDescent="0.25">
      <c r="A97" s="5">
        <v>44496</v>
      </c>
      <c r="B97">
        <v>1.0309999999999999</v>
      </c>
      <c r="C97">
        <v>1.0468999999999999</v>
      </c>
      <c r="D97">
        <v>0.89780000000000004</v>
      </c>
      <c r="E97">
        <v>0.90759999999999996</v>
      </c>
      <c r="F97">
        <v>6248034</v>
      </c>
      <c r="G97">
        <v>0.90759999999999996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-0.86854460093896813</v>
      </c>
      <c r="Q97">
        <f t="shared" ref="Q97" si="461">F97*P97</f>
        <v>-5426696.1971831052</v>
      </c>
      <c r="R97">
        <f t="shared" ref="R97" si="462">R98+Q97</f>
        <v>-337358228.55607355</v>
      </c>
      <c r="S97">
        <f t="shared" ref="S97" si="463">R97/100000</f>
        <v>-3373.5822855607353</v>
      </c>
      <c r="T97">
        <f t="shared" ref="T97" si="464">S97/1000</f>
        <v>-3.3735822855607354</v>
      </c>
    </row>
    <row r="98" spans="1:20" x14ac:dyDescent="0.25">
      <c r="A98" s="5">
        <v>44495</v>
      </c>
      <c r="B98">
        <v>1.0641</v>
      </c>
      <c r="C98">
        <v>1.085</v>
      </c>
      <c r="D98">
        <v>1.02</v>
      </c>
      <c r="E98">
        <v>1.0309999999999999</v>
      </c>
      <c r="F98">
        <v>5618423.0999999996</v>
      </c>
      <c r="G98">
        <v>1.0309999999999999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-0.66153846153846441</v>
      </c>
      <c r="Q98">
        <f t="shared" ref="Q98" si="466">F98*P98</f>
        <v>-3716802.9738461697</v>
      </c>
      <c r="R98">
        <f t="shared" ref="R98" si="467">R99+Q98</f>
        <v>-331931532.35889041</v>
      </c>
      <c r="S98">
        <f t="shared" ref="S98" si="468">R98/100000</f>
        <v>-3319.315323588904</v>
      </c>
      <c r="T98">
        <f t="shared" ref="T98" si="469">S98/1000</f>
        <v>-3.3193153235889041</v>
      </c>
    </row>
    <row r="99" spans="1:20" x14ac:dyDescent="0.25">
      <c r="A99" s="5">
        <v>44494</v>
      </c>
      <c r="B99">
        <v>1.0584</v>
      </c>
      <c r="C99">
        <v>1.097</v>
      </c>
      <c r="D99">
        <v>1.0491999999999999</v>
      </c>
      <c r="E99">
        <v>1.0647</v>
      </c>
      <c r="F99">
        <v>2841854.2</v>
      </c>
      <c r="G99">
        <v>1.0647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-0.35146443514644149</v>
      </c>
      <c r="Q99">
        <f t="shared" ref="Q99" si="471">F99*P99</f>
        <v>-998810.68117154238</v>
      </c>
      <c r="R99">
        <f t="shared" ref="R99" si="472">R100+Q99</f>
        <v>-328214729.38504422</v>
      </c>
      <c r="S99">
        <f t="shared" ref="S99" si="473">R99/100000</f>
        <v>-3282.1472938504421</v>
      </c>
      <c r="T99">
        <f t="shared" ref="T99" si="474">S99/1000</f>
        <v>-3.2821472938504419</v>
      </c>
    </row>
    <row r="100" spans="1:20" x14ac:dyDescent="0.25">
      <c r="A100" s="5">
        <v>44493</v>
      </c>
      <c r="B100">
        <v>1.0814999999999999</v>
      </c>
      <c r="C100">
        <v>1.1000000000000001</v>
      </c>
      <c r="D100">
        <v>1.0270999999999999</v>
      </c>
      <c r="E100">
        <v>1.0586</v>
      </c>
      <c r="F100">
        <v>3433175.3</v>
      </c>
      <c r="G100">
        <v>1.0586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-0.13580246913580241</v>
      </c>
      <c r="Q100">
        <f t="shared" ref="Q100" si="476">F100*P100</f>
        <v>-466233.68271604914</v>
      </c>
      <c r="R100">
        <f t="shared" ref="R100" si="477">R101+Q100</f>
        <v>-327215918.70387268</v>
      </c>
      <c r="S100">
        <f t="shared" ref="S100" si="478">R100/100000</f>
        <v>-3272.1591870387269</v>
      </c>
      <c r="T100">
        <f t="shared" ref="T100" si="479">S100/1000</f>
        <v>-3.272159187038727</v>
      </c>
    </row>
    <row r="101" spans="1:20" x14ac:dyDescent="0.25">
      <c r="A101" s="5">
        <v>44492</v>
      </c>
      <c r="B101">
        <v>1.0832999999999999</v>
      </c>
      <c r="C101">
        <v>1.111</v>
      </c>
      <c r="D101">
        <v>1.0674999999999999</v>
      </c>
      <c r="E101">
        <v>1.081</v>
      </c>
      <c r="F101">
        <v>2437624.7000000002</v>
      </c>
      <c r="G101">
        <v>1.081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-0.37931034482758447</v>
      </c>
      <c r="Q101">
        <f t="shared" ref="Q101" si="481">F101*P101</f>
        <v>-924616.26551723725</v>
      </c>
      <c r="R101">
        <f t="shared" ref="R101" si="482">R102+Q101</f>
        <v>-326749685.02115661</v>
      </c>
      <c r="S101">
        <f t="shared" ref="S101" si="483">R101/100000</f>
        <v>-3267.4968502115662</v>
      </c>
      <c r="T101">
        <f t="shared" ref="T101" si="484">S101/1000</f>
        <v>-3.267496850211566</v>
      </c>
    </row>
    <row r="102" spans="1:20" x14ac:dyDescent="0.25">
      <c r="A102" s="5">
        <v>44491</v>
      </c>
      <c r="B102">
        <v>1.0603</v>
      </c>
      <c r="C102">
        <v>1.125</v>
      </c>
      <c r="D102">
        <v>1.0595000000000001</v>
      </c>
      <c r="E102">
        <v>1.0831</v>
      </c>
      <c r="F102">
        <v>3751569.4</v>
      </c>
      <c r="G102">
        <v>1.0831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-0.27938931297710284</v>
      </c>
      <c r="Q102">
        <f t="shared" ref="Q102" si="486">F102*P102</f>
        <v>-1048148.3972519219</v>
      </c>
      <c r="R102">
        <f t="shared" ref="R102" si="487">R103+Q102</f>
        <v>-325825068.75563937</v>
      </c>
      <c r="S102">
        <f t="shared" ref="S102" si="488">R102/100000</f>
        <v>-3258.2506875563936</v>
      </c>
      <c r="T102">
        <f t="shared" ref="T102" si="489">S102/1000</f>
        <v>-3.2582506875563935</v>
      </c>
    </row>
    <row r="103" spans="1:20" x14ac:dyDescent="0.25">
      <c r="A103" s="5">
        <v>44490</v>
      </c>
      <c r="B103">
        <v>1.1079000000000001</v>
      </c>
      <c r="C103">
        <v>1.1279999999999999</v>
      </c>
      <c r="D103">
        <v>1.05</v>
      </c>
      <c r="E103">
        <v>1.0590999999999999</v>
      </c>
      <c r="F103">
        <v>4192571.2</v>
      </c>
      <c r="G103">
        <v>1.0590999999999999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-0.76666666666666916</v>
      </c>
      <c r="Q103">
        <f t="shared" ref="Q103" si="491">F103*P103</f>
        <v>-3214304.5866666771</v>
      </c>
      <c r="R103">
        <f t="shared" ref="R103" si="492">R104+Q103</f>
        <v>-324776920.35838747</v>
      </c>
      <c r="S103">
        <f t="shared" ref="S103" si="493">R103/100000</f>
        <v>-3247.7692035838745</v>
      </c>
      <c r="T103">
        <f t="shared" ref="T103" si="494">S103/1000</f>
        <v>-3.2477692035838746</v>
      </c>
    </row>
    <row r="104" spans="1:20" x14ac:dyDescent="0.25">
      <c r="A104" s="5">
        <v>44489</v>
      </c>
      <c r="B104">
        <v>1.1315999999999999</v>
      </c>
      <c r="C104">
        <v>1.1898</v>
      </c>
      <c r="D104">
        <v>1.0879000000000001</v>
      </c>
      <c r="E104">
        <v>1.1091</v>
      </c>
      <c r="F104">
        <v>8011211.5999999996</v>
      </c>
      <c r="G104">
        <v>1.1091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-0.58390578999018816</v>
      </c>
      <c r="Q104">
        <f t="shared" ref="Q104" si="496">F104*P104</f>
        <v>-4677792.8380765589</v>
      </c>
      <c r="R104">
        <f t="shared" ref="R104" si="497">R105+Q104</f>
        <v>-321562615.77172077</v>
      </c>
      <c r="S104">
        <f t="shared" ref="S104" si="498">R104/100000</f>
        <v>-3215.6261577172077</v>
      </c>
      <c r="T104">
        <f t="shared" ref="T104" si="499">S104/1000</f>
        <v>-3.2156261577172076</v>
      </c>
    </row>
    <row r="105" spans="1:20" x14ac:dyDescent="0.25">
      <c r="A105" s="5">
        <v>44488</v>
      </c>
      <c r="B105">
        <v>1.0305</v>
      </c>
      <c r="C105">
        <v>1.155</v>
      </c>
      <c r="D105">
        <v>1.02</v>
      </c>
      <c r="E105">
        <v>1.1288</v>
      </c>
      <c r="F105">
        <v>13548145.199999999</v>
      </c>
      <c r="G105">
        <v>1.1288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0.61185185185185187</v>
      </c>
      <c r="Q105">
        <f t="shared" ref="Q105" si="501">F105*P105</f>
        <v>8289457.7297777776</v>
      </c>
      <c r="R105">
        <f t="shared" ref="R105" si="502">R106+Q105</f>
        <v>-316884822.93364424</v>
      </c>
      <c r="S105">
        <f t="shared" ref="S105" si="503">R105/100000</f>
        <v>-3168.8482293364423</v>
      </c>
      <c r="T105">
        <f t="shared" ref="T105" si="504">S105/1000</f>
        <v>-3.1688482293364424</v>
      </c>
    </row>
    <row r="106" spans="1:20" x14ac:dyDescent="0.25">
      <c r="A106" s="5">
        <v>44487</v>
      </c>
      <c r="B106">
        <v>1.0273000000000001</v>
      </c>
      <c r="C106">
        <v>1.0944</v>
      </c>
      <c r="D106">
        <v>1.0009999999999999</v>
      </c>
      <c r="E106">
        <v>1.0306</v>
      </c>
      <c r="F106">
        <v>4714179.5999999996</v>
      </c>
      <c r="G106">
        <v>1.0306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-0.36616702355460334</v>
      </c>
      <c r="Q106">
        <f t="shared" ref="Q106" si="506">F106*P106</f>
        <v>-1726177.1126338304</v>
      </c>
      <c r="R106">
        <f t="shared" ref="R106" si="507">R107+Q106</f>
        <v>-325174280.66342199</v>
      </c>
      <c r="S106">
        <f t="shared" ref="S106" si="508">R106/100000</f>
        <v>-3251.74280663422</v>
      </c>
      <c r="T106">
        <f t="shared" ref="T106" si="509">S106/1000</f>
        <v>-3.25174280663422</v>
      </c>
    </row>
    <row r="107" spans="1:20" x14ac:dyDescent="0.25">
      <c r="A107" s="5">
        <v>44486</v>
      </c>
      <c r="B107">
        <v>1.0018</v>
      </c>
      <c r="C107">
        <v>1.2673000000000001</v>
      </c>
      <c r="D107">
        <v>0.99529999999999996</v>
      </c>
      <c r="E107">
        <v>1.0273000000000001</v>
      </c>
      <c r="F107">
        <v>23902479.600000001</v>
      </c>
      <c r="G107">
        <v>1.0273000000000001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-0.76470588235294024</v>
      </c>
      <c r="Q107">
        <f t="shared" ref="Q107" si="511">F107*P107</f>
        <v>-18278366.752941154</v>
      </c>
      <c r="R107">
        <f t="shared" ref="R107" si="512">R108+Q107</f>
        <v>-323448103.55078816</v>
      </c>
      <c r="S107">
        <f t="shared" ref="S107" si="513">R107/100000</f>
        <v>-3234.4810355078816</v>
      </c>
      <c r="T107">
        <f t="shared" ref="T107" si="514">S107/1000</f>
        <v>-3.2344810355078817</v>
      </c>
    </row>
    <row r="108" spans="1:20" x14ac:dyDescent="0.25">
      <c r="A108" s="5">
        <v>44485</v>
      </c>
      <c r="B108">
        <v>1.0187999999999999</v>
      </c>
      <c r="C108">
        <v>1.06</v>
      </c>
      <c r="D108">
        <v>0.99819999999999998</v>
      </c>
      <c r="E108">
        <v>1.0004999999999999</v>
      </c>
      <c r="F108">
        <v>5266042.9000000004</v>
      </c>
      <c r="G108">
        <v>1.0004999999999999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-0.9255663430420723</v>
      </c>
      <c r="Q108">
        <f t="shared" ref="Q108" si="516">F108*P108</f>
        <v>-4874072.0692556696</v>
      </c>
      <c r="R108">
        <f t="shared" ref="R108" si="517">R109+Q108</f>
        <v>-305169736.79784703</v>
      </c>
      <c r="S108">
        <f t="shared" ref="S108" si="518">R108/100000</f>
        <v>-3051.6973679784705</v>
      </c>
      <c r="T108">
        <f t="shared" ref="T108" si="519">S108/1000</f>
        <v>-3.0516973679784707</v>
      </c>
    </row>
    <row r="109" spans="1:20" x14ac:dyDescent="0.25">
      <c r="A109" s="5">
        <v>44484</v>
      </c>
      <c r="B109">
        <v>1.0148999999999999</v>
      </c>
      <c r="C109">
        <v>1.0483</v>
      </c>
      <c r="D109">
        <v>0.96930000000000005</v>
      </c>
      <c r="E109">
        <v>1.02</v>
      </c>
      <c r="F109">
        <v>6913505.4000000004</v>
      </c>
      <c r="G109">
        <v>1.02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0.2835443037974682</v>
      </c>
      <c r="Q109">
        <f t="shared" ref="Q109" si="521">F109*P109</f>
        <v>1960285.0754430371</v>
      </c>
      <c r="R109">
        <f t="shared" ref="R109" si="522">R110+Q109</f>
        <v>-300295664.72859138</v>
      </c>
      <c r="S109">
        <f t="shared" ref="S109" si="523">R109/100000</f>
        <v>-3002.9566472859137</v>
      </c>
      <c r="T109">
        <f t="shared" ref="T109" si="524">S109/1000</f>
        <v>-3.0029566472859139</v>
      </c>
    </row>
    <row r="110" spans="1:20" x14ac:dyDescent="0.25">
      <c r="A110" s="5">
        <v>44483</v>
      </c>
      <c r="B110">
        <v>1.0612999999999999</v>
      </c>
      <c r="C110">
        <v>1.1357999999999999</v>
      </c>
      <c r="D110">
        <v>1.0119</v>
      </c>
      <c r="E110">
        <v>1.0159</v>
      </c>
      <c r="F110">
        <v>7910068.0999999996</v>
      </c>
      <c r="G110">
        <v>1.0159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-0.93543179983857938</v>
      </c>
      <c r="Q110">
        <f t="shared" ref="Q110" si="526">F110*P110</f>
        <v>-7399329.2396287313</v>
      </c>
      <c r="R110">
        <f t="shared" ref="R110" si="527">R111+Q110</f>
        <v>-302255949.80403441</v>
      </c>
      <c r="S110">
        <f t="shared" ref="S110" si="528">R110/100000</f>
        <v>-3022.5594980403439</v>
      </c>
      <c r="T110">
        <f t="shared" ref="T110" si="529">S110/1000</f>
        <v>-3.0225594980403439</v>
      </c>
    </row>
    <row r="111" spans="1:20" x14ac:dyDescent="0.25">
      <c r="A111" s="5">
        <v>44482</v>
      </c>
      <c r="B111">
        <v>0.97919999999999996</v>
      </c>
      <c r="C111">
        <v>1.1777</v>
      </c>
      <c r="D111">
        <v>0.97799999999999998</v>
      </c>
      <c r="E111">
        <v>1.0601</v>
      </c>
      <c r="F111">
        <v>21908078.800000001</v>
      </c>
      <c r="G111">
        <v>1.0601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-0.17776664997496178</v>
      </c>
      <c r="Q111">
        <f t="shared" ref="Q111" si="531">F111*P111</f>
        <v>-3894525.7756634806</v>
      </c>
      <c r="R111">
        <f t="shared" ref="R111" si="532">R112+Q111</f>
        <v>-294856620.56440568</v>
      </c>
      <c r="S111">
        <f t="shared" ref="S111" si="533">R111/100000</f>
        <v>-2948.5662056440569</v>
      </c>
      <c r="T111">
        <f t="shared" ref="T111" si="534">S111/1000</f>
        <v>-2.9485662056440569</v>
      </c>
    </row>
    <row r="112" spans="1:20" x14ac:dyDescent="0.25">
      <c r="A112" s="5">
        <v>44481</v>
      </c>
      <c r="B112">
        <v>1.0466</v>
      </c>
      <c r="C112">
        <v>1.0573999999999999</v>
      </c>
      <c r="D112">
        <v>0.92249999999999999</v>
      </c>
      <c r="E112">
        <v>0.97929999999999995</v>
      </c>
      <c r="F112">
        <v>12168234.1</v>
      </c>
      <c r="G112">
        <v>0.97929999999999995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-0.15789473684210525</v>
      </c>
      <c r="Q112">
        <f t="shared" ref="Q112" si="536">F112*P112</f>
        <v>-1921300.1210526314</v>
      </c>
      <c r="R112">
        <f t="shared" ref="R112" si="537">R113+Q112</f>
        <v>-290962094.78874218</v>
      </c>
      <c r="S112">
        <f t="shared" ref="S112" si="538">R112/100000</f>
        <v>-2909.6209478874221</v>
      </c>
      <c r="T112">
        <f t="shared" ref="T112" si="539">S112/1000</f>
        <v>-2.9096209478874222</v>
      </c>
    </row>
    <row r="113" spans="1:20" x14ac:dyDescent="0.25">
      <c r="A113" s="5">
        <v>44480</v>
      </c>
      <c r="B113">
        <v>1.3090999999999999</v>
      </c>
      <c r="C113">
        <v>1.3090999999999999</v>
      </c>
      <c r="D113">
        <v>0.99450000000000005</v>
      </c>
      <c r="E113">
        <v>1.0479000000000001</v>
      </c>
      <c r="F113">
        <v>30788058.300000001</v>
      </c>
      <c r="G113">
        <v>1.0479000000000001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-0.66052129688493311</v>
      </c>
      <c r="Q113">
        <f t="shared" ref="Q113" si="541">F113*P113</f>
        <v>-20336168.19688493</v>
      </c>
      <c r="R113">
        <f t="shared" ref="R113" si="542">R114+Q113</f>
        <v>-289040794.66768956</v>
      </c>
      <c r="S113">
        <f t="shared" ref="S113" si="543">R113/100000</f>
        <v>-2890.4079466768958</v>
      </c>
      <c r="T113">
        <f t="shared" ref="T113" si="544">S113/1000</f>
        <v>-2.8904079466768957</v>
      </c>
    </row>
    <row r="114" spans="1:20" x14ac:dyDescent="0.25">
      <c r="A114" s="5">
        <v>44479</v>
      </c>
      <c r="B114">
        <v>0.86709999999999998</v>
      </c>
      <c r="C114">
        <v>1.42</v>
      </c>
      <c r="D114">
        <v>0.85629999999999995</v>
      </c>
      <c r="E114">
        <v>1.3090999999999999</v>
      </c>
      <c r="F114">
        <v>131863231.90000001</v>
      </c>
      <c r="G114">
        <v>1.3090999999999999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0.60652829519247831</v>
      </c>
      <c r="Q114">
        <f t="shared" ref="Q114" si="546">F114*P114</f>
        <v>79978781.242877424</v>
      </c>
      <c r="R114">
        <f t="shared" ref="R114" si="547">R115+Q114</f>
        <v>-268704626.47080463</v>
      </c>
      <c r="S114">
        <f t="shared" ref="S114" si="548">R114/100000</f>
        <v>-2687.0462647080462</v>
      </c>
      <c r="T114">
        <f t="shared" ref="T114" si="549">S114/1000</f>
        <v>-2.6870462647080462</v>
      </c>
    </row>
    <row r="115" spans="1:20" x14ac:dyDescent="0.25">
      <c r="A115" s="5">
        <v>44478</v>
      </c>
      <c r="B115">
        <v>0.84609999999999996</v>
      </c>
      <c r="C115">
        <v>0.89810000000000001</v>
      </c>
      <c r="D115">
        <v>0.84419999999999995</v>
      </c>
      <c r="E115">
        <v>0.86709999999999998</v>
      </c>
      <c r="F115">
        <v>4328751.7</v>
      </c>
      <c r="G115">
        <v>0.86709999999999998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-0.15027829313543575</v>
      </c>
      <c r="Q115">
        <f t="shared" ref="Q115" si="551">F115*P115</f>
        <v>-650517.41688311589</v>
      </c>
      <c r="R115">
        <f t="shared" ref="R115" si="552">R116+Q115</f>
        <v>-348683407.71368206</v>
      </c>
      <c r="S115">
        <f t="shared" ref="S115" si="553">R115/100000</f>
        <v>-3486.8340771368207</v>
      </c>
      <c r="T115">
        <f t="shared" ref="T115" si="554">S115/1000</f>
        <v>-3.4868340771368209</v>
      </c>
    </row>
    <row r="116" spans="1:20" x14ac:dyDescent="0.25">
      <c r="A116" s="5">
        <v>44477</v>
      </c>
      <c r="B116">
        <v>0.83009999999999995</v>
      </c>
      <c r="C116">
        <v>0.99</v>
      </c>
      <c r="D116">
        <v>0.82609999999999995</v>
      </c>
      <c r="E116">
        <v>0.84609999999999996</v>
      </c>
      <c r="F116">
        <v>12434635.699999999</v>
      </c>
      <c r="G116">
        <v>0.84609999999999996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-0.75594874923733968</v>
      </c>
      <c r="Q116">
        <f t="shared" ref="Q116" si="556">F116*P116</f>
        <v>-9399947.304636972</v>
      </c>
      <c r="R116">
        <f t="shared" ref="R116" si="557">R117+Q116</f>
        <v>-348032890.29679894</v>
      </c>
      <c r="S116">
        <f t="shared" ref="S116" si="558">R116/100000</f>
        <v>-3480.3289029679895</v>
      </c>
      <c r="T116">
        <f t="shared" ref="T116" si="559">S116/1000</f>
        <v>-3.4803289029679894</v>
      </c>
    </row>
    <row r="117" spans="1:20" x14ac:dyDescent="0.25">
      <c r="A117" s="5">
        <v>44476</v>
      </c>
      <c r="B117">
        <v>0.85609999999999997</v>
      </c>
      <c r="C117">
        <v>0.8569</v>
      </c>
      <c r="D117">
        <v>0.8125</v>
      </c>
      <c r="E117">
        <v>0.83089999999999997</v>
      </c>
      <c r="F117">
        <v>3406417.2</v>
      </c>
      <c r="G117">
        <v>0.83089999999999997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-0.17117117117117234</v>
      </c>
      <c r="Q117">
        <f t="shared" ref="Q117" si="561">F117*P117</f>
        <v>-583080.42162162566</v>
      </c>
      <c r="R117">
        <f t="shared" ref="R117" si="562">R118+Q117</f>
        <v>-338632942.99216199</v>
      </c>
      <c r="S117">
        <f t="shared" ref="S117" si="563">R117/100000</f>
        <v>-3386.32942992162</v>
      </c>
      <c r="T117">
        <f t="shared" ref="T117" si="564">S117/1000</f>
        <v>-3.38632942992162</v>
      </c>
    </row>
    <row r="118" spans="1:20" x14ac:dyDescent="0.25">
      <c r="A118" s="5">
        <v>44475</v>
      </c>
      <c r="B118">
        <v>0.86799999999999999</v>
      </c>
      <c r="C118">
        <v>0.87460000000000004</v>
      </c>
      <c r="D118">
        <v>0.80710000000000004</v>
      </c>
      <c r="E118">
        <v>0.85650000000000004</v>
      </c>
      <c r="F118">
        <v>4144002.1</v>
      </c>
      <c r="G118">
        <v>0.85650000000000004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0.46370370370370362</v>
      </c>
      <c r="Q118">
        <f t="shared" ref="Q118" si="566">F118*P118</f>
        <v>1921589.1219259256</v>
      </c>
      <c r="R118">
        <f t="shared" ref="R118" si="567">R119+Q118</f>
        <v>-338049862.57054037</v>
      </c>
      <c r="S118">
        <f t="shared" ref="S118" si="568">R118/100000</f>
        <v>-3380.4986257054038</v>
      </c>
      <c r="T118">
        <f t="shared" ref="T118" si="569">S118/1000</f>
        <v>-3.3804986257054037</v>
      </c>
    </row>
    <row r="119" spans="1:20" x14ac:dyDescent="0.25">
      <c r="A119" s="5">
        <v>44474</v>
      </c>
      <c r="B119">
        <v>0.85680000000000001</v>
      </c>
      <c r="C119">
        <v>0.89849999999999997</v>
      </c>
      <c r="D119">
        <v>0.82289999999999996</v>
      </c>
      <c r="E119">
        <v>0.86799999999999999</v>
      </c>
      <c r="F119">
        <v>5376495</v>
      </c>
      <c r="G119">
        <v>0.86799999999999999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0.19312169312169389</v>
      </c>
      <c r="Q119">
        <f t="shared" ref="Q119" si="571">F119*P119</f>
        <v>1038317.8174603216</v>
      </c>
      <c r="R119">
        <f t="shared" ref="R119" si="572">R120+Q119</f>
        <v>-339971451.69246632</v>
      </c>
      <c r="S119">
        <f t="shared" ref="S119" si="573">R119/100000</f>
        <v>-3399.7145169246633</v>
      </c>
      <c r="T119">
        <f t="shared" ref="T119" si="574">S119/1000</f>
        <v>-3.3997145169246634</v>
      </c>
    </row>
    <row r="120" spans="1:20" x14ac:dyDescent="0.25">
      <c r="A120" s="5">
        <v>44473</v>
      </c>
      <c r="B120">
        <v>0.88900000000000001</v>
      </c>
      <c r="C120">
        <v>0.90329999999999999</v>
      </c>
      <c r="D120">
        <v>0.83320000000000005</v>
      </c>
      <c r="E120">
        <v>0.85289999999999999</v>
      </c>
      <c r="F120">
        <v>4588614.9000000004</v>
      </c>
      <c r="G120">
        <v>0.85289999999999999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-0.43794579172610681</v>
      </c>
      <c r="Q120">
        <f t="shared" ref="Q120" si="576">F120*P120</f>
        <v>-2009564.5853067106</v>
      </c>
      <c r="R120">
        <f t="shared" ref="R120" si="577">R121+Q120</f>
        <v>-341009769.50992662</v>
      </c>
      <c r="S120">
        <f t="shared" ref="S120" si="578">R120/100000</f>
        <v>-3410.0976950992663</v>
      </c>
      <c r="T120">
        <f t="shared" ref="T120" si="579">S120/1000</f>
        <v>-3.4100976950992661</v>
      </c>
    </row>
    <row r="121" spans="1:20" x14ac:dyDescent="0.25">
      <c r="A121" s="5">
        <v>44472</v>
      </c>
      <c r="B121">
        <v>0.8891</v>
      </c>
      <c r="C121">
        <v>0.94499999999999995</v>
      </c>
      <c r="D121">
        <v>0.86399999999999999</v>
      </c>
      <c r="E121">
        <v>0.89100000000000001</v>
      </c>
      <c r="F121">
        <v>5276351.7</v>
      </c>
      <c r="G121">
        <v>0.89100000000000001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-0.33333333333333243</v>
      </c>
      <c r="Q121">
        <f t="shared" ref="Q121" si="581">F121*P121</f>
        <v>-1758783.8999999953</v>
      </c>
      <c r="R121">
        <f t="shared" ref="R121" si="582">R122+Q121</f>
        <v>-339000204.92461991</v>
      </c>
      <c r="S121">
        <f t="shared" ref="S121" si="583">R121/100000</f>
        <v>-3390.002049246199</v>
      </c>
      <c r="T121">
        <f t="shared" ref="T121" si="584">S121/1000</f>
        <v>-3.3900020492461991</v>
      </c>
    </row>
    <row r="122" spans="1:20" x14ac:dyDescent="0.25">
      <c r="A122" s="5">
        <v>44471</v>
      </c>
      <c r="B122">
        <v>0.91579999999999995</v>
      </c>
      <c r="C122">
        <v>0.96</v>
      </c>
      <c r="D122">
        <v>0.88100000000000001</v>
      </c>
      <c r="E122">
        <v>0.8891</v>
      </c>
      <c r="F122">
        <v>7164913.7999999998</v>
      </c>
      <c r="G122">
        <v>0.8891</v>
      </c>
      <c r="L122" t="s">
        <v>8</v>
      </c>
      <c r="M122" t="s">
        <v>7</v>
      </c>
      <c r="N122" t="s">
        <v>8</v>
      </c>
      <c r="P122">
        <f t="shared" ref="P122" si="585">IF(C122=D122,0,((E122-D122)-(C122-E122))/(C122-D122))</f>
        <v>-0.79493670886075951</v>
      </c>
      <c r="Q122">
        <f t="shared" ref="Q122" si="586">F122*P122</f>
        <v>-5695652.9954430377</v>
      </c>
      <c r="R122">
        <f t="shared" ref="R122" si="587">R123+Q122</f>
        <v>-337241421.02461994</v>
      </c>
      <c r="S122">
        <f t="shared" ref="S122" si="588">R122/100000</f>
        <v>-3372.4142102461992</v>
      </c>
      <c r="T122">
        <f t="shared" ref="T122" si="589">S122/1000</f>
        <v>-3.3724142102461991</v>
      </c>
    </row>
    <row r="123" spans="1:20" x14ac:dyDescent="0.25">
      <c r="A123" s="5">
        <v>44470</v>
      </c>
      <c r="B123">
        <v>0.89759999999999995</v>
      </c>
      <c r="C123">
        <v>0.94220000000000004</v>
      </c>
      <c r="D123">
        <v>0.85450000000000004</v>
      </c>
      <c r="E123">
        <v>0.91579999999999995</v>
      </c>
      <c r="F123">
        <v>8500633.4000000004</v>
      </c>
      <c r="G123">
        <v>0.91579999999999995</v>
      </c>
      <c r="L123" t="s">
        <v>7</v>
      </c>
      <c r="M123" t="s">
        <v>7</v>
      </c>
      <c r="N123" t="s">
        <v>8</v>
      </c>
      <c r="P123">
        <f t="shared" ref="P123" si="590">IF(C123=D123,0,((E123-D123)-(C123-E123))/(C123-D123))</f>
        <v>0.39794754846065927</v>
      </c>
      <c r="Q123">
        <f t="shared" ref="Q123" si="591">F123*P123</f>
        <v>3382806.2218927988</v>
      </c>
      <c r="R123">
        <f t="shared" ref="R123" si="592">R124+Q123</f>
        <v>-331545768.02917689</v>
      </c>
      <c r="S123">
        <f t="shared" ref="S123" si="593">R123/100000</f>
        <v>-3315.4576802917691</v>
      </c>
      <c r="T123">
        <f t="shared" ref="T123" si="594">S123/1000</f>
        <v>-3.315457680291769</v>
      </c>
    </row>
    <row r="124" spans="1:20" x14ac:dyDescent="0.25">
      <c r="A124" s="5">
        <v>44469</v>
      </c>
      <c r="B124">
        <v>0.90800000000000003</v>
      </c>
      <c r="C124">
        <v>1.04</v>
      </c>
      <c r="D124">
        <v>0.85009999999999997</v>
      </c>
      <c r="E124">
        <v>0.89910000000000001</v>
      </c>
      <c r="F124">
        <v>24555431.899999999</v>
      </c>
      <c r="G124">
        <v>0.89910000000000001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-0.48393891521853583</v>
      </c>
      <c r="Q124">
        <f t="shared" ref="Q124" si="596">F124*P124</f>
        <v>-11883329.07640863</v>
      </c>
      <c r="R124">
        <f t="shared" ref="R124" si="597">R125+Q124</f>
        <v>-334928574.25106966</v>
      </c>
      <c r="S124">
        <f t="shared" ref="S124" si="598">R124/100000</f>
        <v>-3349.2857425106968</v>
      </c>
      <c r="T124">
        <f t="shared" ref="T124" si="599">S124/1000</f>
        <v>-3.3492857425106966</v>
      </c>
    </row>
    <row r="125" spans="1:20" x14ac:dyDescent="0.25">
      <c r="A125" s="5">
        <v>44468</v>
      </c>
      <c r="B125">
        <v>0.7389</v>
      </c>
      <c r="C125">
        <v>0.96199999999999997</v>
      </c>
      <c r="D125">
        <v>0.73509999999999998</v>
      </c>
      <c r="E125">
        <v>0.90769999999999995</v>
      </c>
      <c r="F125">
        <v>23995862.100000001</v>
      </c>
      <c r="G125">
        <v>0.90769999999999995</v>
      </c>
      <c r="L125" t="s">
        <v>8</v>
      </c>
      <c r="M125" t="s">
        <v>8</v>
      </c>
      <c r="N125" t="s">
        <v>8</v>
      </c>
      <c r="P125">
        <f t="shared" ref="P125" si="600">IF(C125=D125,0,((E125-D125)-(C125-E125))/(C125-D125))</f>
        <v>0.52137505509034798</v>
      </c>
      <c r="Q125">
        <f t="shared" ref="Q125" si="601">F125*P125</f>
        <v>12510843.924327893</v>
      </c>
      <c r="R125">
        <f t="shared" ref="R125" si="602">R126+Q125</f>
        <v>-323045245.17466104</v>
      </c>
      <c r="S125">
        <f t="shared" ref="S125" si="603">R125/100000</f>
        <v>-3230.4524517466102</v>
      </c>
      <c r="T125">
        <f t="shared" ref="T125" si="604">S125/1000</f>
        <v>-3.2304524517466104</v>
      </c>
    </row>
    <row r="126" spans="1:20" x14ac:dyDescent="0.25">
      <c r="A126" s="5">
        <v>44467</v>
      </c>
      <c r="B126">
        <v>0.77829999999999999</v>
      </c>
      <c r="C126">
        <v>0.82420000000000004</v>
      </c>
      <c r="D126">
        <v>0.73209999999999997</v>
      </c>
      <c r="E126">
        <v>0.73899999999999999</v>
      </c>
      <c r="F126">
        <v>3323524.9</v>
      </c>
      <c r="G126">
        <v>0.73899999999999999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-0.85016286644951111</v>
      </c>
      <c r="Q126">
        <f t="shared" ref="Q126" si="606">F126*P126</f>
        <v>-2825537.4557003248</v>
      </c>
      <c r="R126">
        <f t="shared" ref="R126" si="607">R127+Q126</f>
        <v>-335556089.09898895</v>
      </c>
      <c r="S126">
        <f t="shared" ref="S126" si="608">R126/100000</f>
        <v>-3355.5608909898897</v>
      </c>
      <c r="T126">
        <f t="shared" ref="T126" si="609">S126/1000</f>
        <v>-3.3555608909898895</v>
      </c>
    </row>
    <row r="127" spans="1:20" x14ac:dyDescent="0.25">
      <c r="A127" s="5">
        <v>44466</v>
      </c>
      <c r="B127">
        <v>0.76939999999999997</v>
      </c>
      <c r="C127">
        <v>0.88870000000000005</v>
      </c>
      <c r="D127">
        <v>0.75349999999999995</v>
      </c>
      <c r="E127">
        <v>0.77900000000000003</v>
      </c>
      <c r="F127">
        <v>14247515.6</v>
      </c>
      <c r="G127">
        <v>0.77900000000000003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-0.62278106508875652</v>
      </c>
      <c r="Q127">
        <f t="shared" ref="Q127" si="611">F127*P127</f>
        <v>-8873082.9402366746</v>
      </c>
      <c r="R127">
        <f t="shared" ref="R127" si="612">R128+Q127</f>
        <v>-332730551.64328861</v>
      </c>
      <c r="S127">
        <f t="shared" ref="S127" si="613">R127/100000</f>
        <v>-3327.3055164328862</v>
      </c>
      <c r="T127">
        <f t="shared" ref="T127" si="614">S127/1000</f>
        <v>-3.3273055164328862</v>
      </c>
    </row>
    <row r="128" spans="1:20" x14ac:dyDescent="0.25">
      <c r="A128" s="5">
        <v>44465</v>
      </c>
      <c r="B128">
        <v>0.749</v>
      </c>
      <c r="C128">
        <v>0.90439999999999998</v>
      </c>
      <c r="D128">
        <v>0.67530000000000001</v>
      </c>
      <c r="E128">
        <v>0.77059999999999995</v>
      </c>
      <c r="F128">
        <v>11069194.800000001</v>
      </c>
      <c r="G128">
        <v>0.77059999999999995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-0.168048886948931</v>
      </c>
      <c r="Q128">
        <f t="shared" ref="Q128" si="616">F128*P128</f>
        <v>-1860165.8655608951</v>
      </c>
      <c r="R128">
        <f t="shared" ref="R128" si="617">R129+Q128</f>
        <v>-323857468.70305192</v>
      </c>
      <c r="S128">
        <f t="shared" ref="S128" si="618">R128/100000</f>
        <v>-3238.5746870305193</v>
      </c>
      <c r="T128">
        <f t="shared" ref="T128" si="619">S128/1000</f>
        <v>-3.2385746870305194</v>
      </c>
    </row>
    <row r="129" spans="1:20" x14ac:dyDescent="0.25">
      <c r="A129" s="5">
        <v>44464</v>
      </c>
      <c r="B129">
        <v>0.76649999999999996</v>
      </c>
      <c r="C129">
        <v>0.81920000000000004</v>
      </c>
      <c r="D129">
        <v>0.73099999999999998</v>
      </c>
      <c r="E129">
        <v>0.749</v>
      </c>
      <c r="F129">
        <v>4345393.9000000004</v>
      </c>
      <c r="G129">
        <v>0.749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-0.59183673469387743</v>
      </c>
      <c r="Q129">
        <f t="shared" ref="Q129" si="621">F129*P129</f>
        <v>-2571763.7367346934</v>
      </c>
      <c r="R129">
        <f t="shared" ref="R129" si="622">R130+Q129</f>
        <v>-321997302.83749104</v>
      </c>
      <c r="S129">
        <f t="shared" ref="S129" si="623">R129/100000</f>
        <v>-3219.9730283749104</v>
      </c>
      <c r="T129">
        <f t="shared" ref="T129" si="624">S129/1000</f>
        <v>-3.2199730283749104</v>
      </c>
    </row>
    <row r="130" spans="1:20" x14ac:dyDescent="0.25">
      <c r="A130" s="5">
        <v>44463</v>
      </c>
      <c r="B130">
        <v>0.8468</v>
      </c>
      <c r="C130">
        <v>0.85670000000000002</v>
      </c>
      <c r="D130">
        <v>0.70230000000000004</v>
      </c>
      <c r="E130">
        <v>0.76319999999999999</v>
      </c>
      <c r="F130">
        <v>6044262.2000000002</v>
      </c>
      <c r="G130">
        <v>0.76319999999999999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-0.2111398963730575</v>
      </c>
      <c r="Q130">
        <f t="shared" ref="Q130" si="626">F130*P130</f>
        <v>-1276184.8945595885</v>
      </c>
      <c r="R130">
        <f t="shared" ref="R130" si="627">R131+Q130</f>
        <v>-319425539.10075635</v>
      </c>
      <c r="S130">
        <f t="shared" ref="S130" si="628">R130/100000</f>
        <v>-3194.2553910075635</v>
      </c>
      <c r="T130">
        <f t="shared" ref="T130" si="629">S130/1000</f>
        <v>-3.1942553910075633</v>
      </c>
    </row>
    <row r="131" spans="1:20" x14ac:dyDescent="0.25">
      <c r="A131" s="5">
        <v>44462</v>
      </c>
      <c r="B131">
        <v>0.8306</v>
      </c>
      <c r="C131">
        <v>0.89900000000000002</v>
      </c>
      <c r="D131">
        <v>0.80220000000000002</v>
      </c>
      <c r="E131">
        <v>0.8468</v>
      </c>
      <c r="F131">
        <v>7489219.5999999996</v>
      </c>
      <c r="G131">
        <v>0.8468</v>
      </c>
      <c r="L131" t="s">
        <v>7</v>
      </c>
      <c r="M131" t="s">
        <v>8</v>
      </c>
      <c r="N131" t="s">
        <v>8</v>
      </c>
      <c r="P131">
        <f t="shared" ref="P131" si="630">IF(C131=D131,0,((E131-D131)-(C131-E131))/(C131-D131))</f>
        <v>-7.8512396694215406E-2</v>
      </c>
      <c r="Q131">
        <f t="shared" ref="Q131" si="631">F131*P131</f>
        <v>-587996.58016529318</v>
      </c>
      <c r="R131">
        <f t="shared" ref="R131" si="632">R132+Q131</f>
        <v>-318149354.20619678</v>
      </c>
      <c r="S131">
        <f t="shared" ref="S131" si="633">R131/100000</f>
        <v>-3181.4935420619677</v>
      </c>
      <c r="T131">
        <f t="shared" ref="T131" si="634">S131/1000</f>
        <v>-3.1814935420619679</v>
      </c>
    </row>
    <row r="132" spans="1:20" x14ac:dyDescent="0.25">
      <c r="A132" s="5">
        <v>44461</v>
      </c>
      <c r="B132">
        <v>0.68559999999999999</v>
      </c>
      <c r="C132">
        <v>0.92</v>
      </c>
      <c r="D132">
        <v>0.68049999999999999</v>
      </c>
      <c r="E132">
        <v>0.83140000000000003</v>
      </c>
      <c r="F132">
        <v>8107049.5999999996</v>
      </c>
      <c r="G132">
        <v>0.83140000000000003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0.26012526096033406</v>
      </c>
      <c r="Q132">
        <f t="shared" ref="Q132" si="636">F132*P132</f>
        <v>2108848.3928183718</v>
      </c>
      <c r="R132">
        <f t="shared" ref="R132" si="637">R133+Q132</f>
        <v>-317561357.62603152</v>
      </c>
      <c r="S132">
        <f t="shared" ref="S132" si="638">R132/100000</f>
        <v>-3175.6135762603153</v>
      </c>
      <c r="T132">
        <f t="shared" ref="T132" si="639">S132/1000</f>
        <v>-3.1756135762603153</v>
      </c>
    </row>
    <row r="133" spans="1:20" x14ac:dyDescent="0.25">
      <c r="A133" s="5">
        <v>44460</v>
      </c>
      <c r="B133">
        <v>0.78159999999999996</v>
      </c>
      <c r="C133">
        <v>0.84360000000000002</v>
      </c>
      <c r="D133">
        <v>0.66720000000000002</v>
      </c>
      <c r="E133">
        <v>0.68810000000000004</v>
      </c>
      <c r="F133">
        <v>5284947.3</v>
      </c>
      <c r="G133">
        <v>0.68810000000000004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-0.76303854875283417</v>
      </c>
      <c r="Q133">
        <f t="shared" ref="Q133" si="641">F133*P133</f>
        <v>-4032618.5180272092</v>
      </c>
      <c r="R133">
        <f t="shared" ref="R133" si="642">R134+Q133</f>
        <v>-319670206.01884991</v>
      </c>
      <c r="S133">
        <f t="shared" ref="S133" si="643">R133/100000</f>
        <v>-3196.7020601884992</v>
      </c>
      <c r="T133">
        <f t="shared" ref="T133" si="644">S133/1000</f>
        <v>-3.1967020601884992</v>
      </c>
    </row>
    <row r="134" spans="1:20" x14ac:dyDescent="0.25">
      <c r="A134" s="5">
        <v>44459</v>
      </c>
      <c r="B134">
        <v>0.91949999999999998</v>
      </c>
      <c r="C134">
        <v>0.91979999999999995</v>
      </c>
      <c r="D134">
        <v>0.8196</v>
      </c>
      <c r="E134">
        <v>0.83779999999999999</v>
      </c>
      <c r="F134">
        <v>2786042.7</v>
      </c>
      <c r="G134">
        <v>0.83779999999999999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-0.63672654690618757</v>
      </c>
      <c r="Q134">
        <f t="shared" ref="Q134" si="646">F134*P134</f>
        <v>-1773947.3479041916</v>
      </c>
      <c r="R134">
        <f t="shared" ref="R134" si="647">R135+Q134</f>
        <v>-315637587.50082272</v>
      </c>
      <c r="S134">
        <f t="shared" ref="S134" si="648">R134/100000</f>
        <v>-3156.375875008227</v>
      </c>
      <c r="T134">
        <f t="shared" ref="T134" si="649">S134/1000</f>
        <v>-3.1563758750082269</v>
      </c>
    </row>
    <row r="135" spans="1:20" x14ac:dyDescent="0.25">
      <c r="A135" s="5">
        <v>44458</v>
      </c>
      <c r="B135">
        <v>0.94840000000000002</v>
      </c>
      <c r="C135">
        <v>0.97030000000000005</v>
      </c>
      <c r="D135">
        <v>0.90569999999999995</v>
      </c>
      <c r="E135">
        <v>0.91839999999999999</v>
      </c>
      <c r="F135">
        <v>4545135</v>
      </c>
      <c r="G135">
        <v>0.91839999999999999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-0.60681114551083515</v>
      </c>
      <c r="Q135">
        <f t="shared" ref="Q135" si="651">F135*P135</f>
        <v>-2758038.5758513897</v>
      </c>
      <c r="R135">
        <f t="shared" ref="R135" si="652">R136+Q135</f>
        <v>-313863640.15291852</v>
      </c>
      <c r="S135">
        <f t="shared" ref="S135" si="653">R135/100000</f>
        <v>-3138.6364015291852</v>
      </c>
      <c r="T135">
        <f t="shared" ref="T135" si="654">S135/1000</f>
        <v>-3.138636401529185</v>
      </c>
    </row>
    <row r="136" spans="1:20" x14ac:dyDescent="0.25">
      <c r="A136" s="5">
        <v>44457</v>
      </c>
      <c r="B136">
        <v>0.97619999999999996</v>
      </c>
      <c r="C136">
        <v>1.149</v>
      </c>
      <c r="D136">
        <v>0.93710000000000004</v>
      </c>
      <c r="E136">
        <v>0.95109999999999995</v>
      </c>
      <c r="F136">
        <v>27874545.600000001</v>
      </c>
      <c r="G136">
        <v>0.95109999999999995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-0.86786219915054363</v>
      </c>
      <c r="Q136">
        <f t="shared" ref="Q136" si="656">F136*P136</f>
        <v>-24191264.444738112</v>
      </c>
      <c r="R136">
        <f t="shared" ref="R136" si="657">R137+Q136</f>
        <v>-311105601.57706714</v>
      </c>
      <c r="S136">
        <f t="shared" ref="S136" si="658">R136/100000</f>
        <v>-3111.0560157706714</v>
      </c>
      <c r="T136">
        <f t="shared" ref="T136" si="659">S136/1000</f>
        <v>-3.1110560157706715</v>
      </c>
    </row>
    <row r="137" spans="1:20" x14ac:dyDescent="0.25">
      <c r="A137" s="5">
        <v>44456</v>
      </c>
      <c r="B137">
        <v>0.92379999999999995</v>
      </c>
      <c r="C137">
        <v>1.08</v>
      </c>
      <c r="D137">
        <v>0.84</v>
      </c>
      <c r="E137">
        <v>0.97550000000000003</v>
      </c>
      <c r="F137">
        <v>19752607.100000001</v>
      </c>
      <c r="G137">
        <v>0.97550000000000003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0.12916666666666674</v>
      </c>
      <c r="Q137">
        <f t="shared" ref="Q137" si="661">F137*P137</f>
        <v>2551378.4170833351</v>
      </c>
      <c r="R137">
        <f t="shared" ref="R137" si="662">R138+Q137</f>
        <v>-286914337.13232905</v>
      </c>
      <c r="S137">
        <f t="shared" ref="S137" si="663">R137/100000</f>
        <v>-2869.1433713232905</v>
      </c>
      <c r="T137">
        <f t="shared" ref="T137" si="664">S137/1000</f>
        <v>-2.8691433713232906</v>
      </c>
    </row>
    <row r="138" spans="1:20" x14ac:dyDescent="0.25">
      <c r="A138" s="5">
        <v>44455</v>
      </c>
      <c r="B138">
        <v>0.98370000000000002</v>
      </c>
      <c r="C138">
        <v>1.0149999999999999</v>
      </c>
      <c r="D138">
        <v>0.88319999999999999</v>
      </c>
      <c r="E138">
        <v>0.92490000000000006</v>
      </c>
      <c r="F138">
        <v>7148515.2000000002</v>
      </c>
      <c r="G138">
        <v>0.92490000000000006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-0.3672230652503779</v>
      </c>
      <c r="Q138">
        <f t="shared" ref="Q138" si="666">F138*P138</f>
        <v>-2625099.6637329184</v>
      </c>
      <c r="R138">
        <f t="shared" ref="R138" si="667">R139+Q138</f>
        <v>-289465715.54941237</v>
      </c>
      <c r="S138">
        <f t="shared" ref="S138" si="668">R138/100000</f>
        <v>-2894.6571554941238</v>
      </c>
      <c r="T138">
        <f t="shared" ref="T138" si="669">S138/1000</f>
        <v>-2.8946571554941238</v>
      </c>
    </row>
    <row r="139" spans="1:20" x14ac:dyDescent="0.25">
      <c r="A139" s="5">
        <v>44454</v>
      </c>
      <c r="B139">
        <v>1.0145</v>
      </c>
      <c r="C139">
        <v>1.0346</v>
      </c>
      <c r="D139">
        <v>0.94869999999999999</v>
      </c>
      <c r="E139">
        <v>0.98199999999999998</v>
      </c>
      <c r="F139">
        <v>9098105.5</v>
      </c>
      <c r="G139">
        <v>0.98199999999999998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-0.22467986030267739</v>
      </c>
      <c r="Q139">
        <f t="shared" ref="Q139" si="671">F139*P139</f>
        <v>-2044161.0727590208</v>
      </c>
      <c r="R139">
        <f t="shared" ref="R139" si="672">R140+Q139</f>
        <v>-286840615.88567942</v>
      </c>
      <c r="S139">
        <f t="shared" ref="S139" si="673">R139/100000</f>
        <v>-2868.4061588567943</v>
      </c>
      <c r="T139">
        <f t="shared" ref="T139" si="674">S139/1000</f>
        <v>-2.8684061588567942</v>
      </c>
    </row>
    <row r="140" spans="1:20" x14ac:dyDescent="0.25">
      <c r="A140" s="5">
        <v>44453</v>
      </c>
      <c r="B140">
        <v>0.91959999999999997</v>
      </c>
      <c r="C140">
        <v>1.1742999999999999</v>
      </c>
      <c r="D140">
        <v>0.91069999999999995</v>
      </c>
      <c r="E140">
        <v>1.0145</v>
      </c>
      <c r="F140">
        <v>14897223.4</v>
      </c>
      <c r="G140">
        <v>1.0145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-0.21244309559939284</v>
      </c>
      <c r="Q140">
        <f t="shared" ref="Q140" si="676">F140*P140</f>
        <v>-3164812.2549317121</v>
      </c>
      <c r="R140">
        <f t="shared" ref="R140" si="677">R141+Q140</f>
        <v>-284796454.81292039</v>
      </c>
      <c r="S140">
        <f t="shared" ref="S140" si="678">R140/100000</f>
        <v>-2847.9645481292041</v>
      </c>
      <c r="T140">
        <f t="shared" ref="T140" si="679">S140/1000</f>
        <v>-2.847964548129204</v>
      </c>
    </row>
    <row r="141" spans="1:20" x14ac:dyDescent="0.25">
      <c r="A141" s="5">
        <v>44452</v>
      </c>
      <c r="B141">
        <v>1.0448</v>
      </c>
      <c r="C141">
        <v>1.06</v>
      </c>
      <c r="D141">
        <v>0.90810000000000002</v>
      </c>
      <c r="E141">
        <v>0.91959999999999997</v>
      </c>
      <c r="F141">
        <v>11802535.699999999</v>
      </c>
      <c r="G141">
        <v>0.91959999999999997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-0.84858459512837459</v>
      </c>
      <c r="Q141">
        <f t="shared" ref="Q141" si="681">F141*P141</f>
        <v>-10015449.978472687</v>
      </c>
      <c r="R141">
        <f t="shared" ref="R141" si="682">R142+Q141</f>
        <v>-281631642.5579887</v>
      </c>
      <c r="S141">
        <f t="shared" ref="S141" si="683">R141/100000</f>
        <v>-2816.316425579887</v>
      </c>
      <c r="T141">
        <f t="shared" ref="T141" si="684">S141/1000</f>
        <v>-2.8163164255798869</v>
      </c>
    </row>
    <row r="142" spans="1:20" x14ac:dyDescent="0.25">
      <c r="A142" s="5">
        <v>44451</v>
      </c>
      <c r="B142">
        <v>1.0277000000000001</v>
      </c>
      <c r="C142">
        <v>1.3599000000000001</v>
      </c>
      <c r="D142">
        <v>0.9899</v>
      </c>
      <c r="E142">
        <v>1.0451999999999999</v>
      </c>
      <c r="F142">
        <v>41621961.399999999</v>
      </c>
      <c r="G142">
        <v>1.0451999999999999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-0.70108108108108169</v>
      </c>
      <c r="Q142">
        <f t="shared" ref="Q142" si="686">F142*P142</f>
        <v>-29180369.69502705</v>
      </c>
      <c r="R142">
        <f t="shared" ref="R142" si="687">R143+Q142</f>
        <v>-271616192.57951599</v>
      </c>
      <c r="S142">
        <f t="shared" ref="S142" si="688">R142/100000</f>
        <v>-2716.1619257951597</v>
      </c>
      <c r="T142">
        <f t="shared" ref="T142" si="689">S142/1000</f>
        <v>-2.7161619257951597</v>
      </c>
    </row>
    <row r="143" spans="1:20" x14ac:dyDescent="0.25">
      <c r="A143" s="5">
        <v>44450</v>
      </c>
      <c r="B143">
        <v>0.81459999999999999</v>
      </c>
      <c r="C143">
        <v>1.1766000000000001</v>
      </c>
      <c r="D143">
        <v>0.8</v>
      </c>
      <c r="E143">
        <v>1.0235000000000001</v>
      </c>
      <c r="F143">
        <v>29888985.5</v>
      </c>
      <c r="G143">
        <v>1.0235000000000001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0.18693574083908659</v>
      </c>
      <c r="Q143">
        <f t="shared" ref="Q143" si="691">F143*P143</f>
        <v>5587319.6473712167</v>
      </c>
      <c r="R143">
        <f t="shared" ref="R143" si="692">R144+Q143</f>
        <v>-242435822.88448894</v>
      </c>
      <c r="S143">
        <f t="shared" ref="S143" si="693">R143/100000</f>
        <v>-2424.3582288448893</v>
      </c>
      <c r="T143">
        <f t="shared" ref="T143" si="694">S143/1000</f>
        <v>-2.4243582288448891</v>
      </c>
    </row>
    <row r="144" spans="1:20" x14ac:dyDescent="0.25">
      <c r="A144" s="5">
        <v>44449</v>
      </c>
      <c r="B144">
        <v>0.92900000000000005</v>
      </c>
      <c r="C144">
        <v>1</v>
      </c>
      <c r="D144">
        <v>0.7722</v>
      </c>
      <c r="E144">
        <v>0.8145</v>
      </c>
      <c r="F144">
        <v>7664051.2999999998</v>
      </c>
      <c r="G144">
        <v>0.8145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-0.62862159789288852</v>
      </c>
      <c r="Q144">
        <f t="shared" ref="Q144" si="696">F144*P144</f>
        <v>-4817788.1745390696</v>
      </c>
      <c r="R144">
        <f t="shared" ref="R144" si="697">R145+Q144</f>
        <v>-248023142.53186014</v>
      </c>
      <c r="S144">
        <f t="shared" ref="S144" si="698">R144/100000</f>
        <v>-2480.2314253186014</v>
      </c>
      <c r="T144">
        <f t="shared" ref="T144" si="699">S144/1000</f>
        <v>-2.4802314253186015</v>
      </c>
    </row>
    <row r="145" spans="1:20" x14ac:dyDescent="0.25">
      <c r="A145" s="5">
        <v>44448</v>
      </c>
      <c r="B145">
        <v>1.0710999999999999</v>
      </c>
      <c r="C145">
        <v>1.37</v>
      </c>
      <c r="D145">
        <v>0.9</v>
      </c>
      <c r="E145">
        <v>0.92900000000000005</v>
      </c>
      <c r="F145">
        <v>9014951.1999999993</v>
      </c>
      <c r="G145">
        <v>0.92900000000000005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-0.876595744680851</v>
      </c>
      <c r="Q145">
        <f t="shared" ref="Q145" si="701">F145*P145</f>
        <v>-7902467.8604255309</v>
      </c>
      <c r="R145">
        <f t="shared" ref="R145" si="702">R146+Q145</f>
        <v>-243205354.35732108</v>
      </c>
      <c r="S145">
        <f t="shared" ref="S145" si="703">R145/100000</f>
        <v>-2432.0535435732108</v>
      </c>
      <c r="T145">
        <f t="shared" ref="T145" si="704">S145/1000</f>
        <v>-2.4320535435732107</v>
      </c>
    </row>
    <row r="146" spans="1:20" x14ac:dyDescent="0.25">
      <c r="A146" s="5">
        <v>44447</v>
      </c>
      <c r="B146">
        <v>1.1438999999999999</v>
      </c>
      <c r="C146">
        <v>1.8674999999999999</v>
      </c>
      <c r="D146">
        <v>1.052</v>
      </c>
      <c r="E146">
        <v>1.0580000000000001</v>
      </c>
      <c r="F146">
        <v>163201371.62</v>
      </c>
      <c r="G146">
        <v>1.0580000000000001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-0.98528510116492951</v>
      </c>
      <c r="Q146">
        <f t="shared" ref="Q146" si="706">F146*P146</f>
        <v>-160799879.94686696</v>
      </c>
      <c r="R146">
        <f t="shared" ref="R146" si="707">R147+Q146</f>
        <v>-235302886.49689555</v>
      </c>
      <c r="S146">
        <f t="shared" ref="S146" si="708">R146/100000</f>
        <v>-2353.0288649689555</v>
      </c>
      <c r="T146">
        <f t="shared" ref="T146" si="709">S146/1000</f>
        <v>-2.3530288649689557</v>
      </c>
    </row>
    <row r="147" spans="1:20" x14ac:dyDescent="0.25">
      <c r="A147" s="5">
        <v>44446</v>
      </c>
      <c r="B147">
        <v>0.80569999999999997</v>
      </c>
      <c r="C147">
        <v>1.6220000000000001</v>
      </c>
      <c r="D147">
        <v>0.69879999999999998</v>
      </c>
      <c r="E147">
        <v>1.1436999999999999</v>
      </c>
      <c r="F147">
        <v>196288912.99000001</v>
      </c>
      <c r="G147">
        <v>1.1436999999999999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-3.6178509532062614E-2</v>
      </c>
      <c r="Q147">
        <f t="shared" ref="Q147" si="711">F147*P147</f>
        <v>-7101440.309646924</v>
      </c>
      <c r="R147">
        <f t="shared" ref="R147" si="712">R148+Q147</f>
        <v>-74503006.550028577</v>
      </c>
      <c r="S147">
        <f t="shared" ref="S147" si="713">R147/100000</f>
        <v>-745.03006550028579</v>
      </c>
      <c r="T147">
        <f t="shared" ref="T147" si="714">S147/1000</f>
        <v>-0.74503006550028583</v>
      </c>
    </row>
    <row r="148" spans="1:20" x14ac:dyDescent="0.25">
      <c r="A148" s="5">
        <v>44445</v>
      </c>
      <c r="B148">
        <v>0.63800000000000001</v>
      </c>
      <c r="C148">
        <v>1.0862000000000001</v>
      </c>
      <c r="D148">
        <v>0.59209999999999996</v>
      </c>
      <c r="E148">
        <v>0.80579999999999996</v>
      </c>
      <c r="F148">
        <v>71132673.489999995</v>
      </c>
      <c r="G148">
        <v>0.80579999999999996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-0.13499291641368161</v>
      </c>
      <c r="Q148">
        <f t="shared" ref="Q148" si="716">F148*P148</f>
        <v>-9602407.0467172749</v>
      </c>
      <c r="R148">
        <f t="shared" ref="R148" si="717">R149+Q148</f>
        <v>-67401566.240381658</v>
      </c>
      <c r="S148">
        <f t="shared" ref="S148" si="718">R148/100000</f>
        <v>-674.01566240381658</v>
      </c>
      <c r="T148">
        <f t="shared" ref="T148" si="719">S148/1000</f>
        <v>-0.67401566240381661</v>
      </c>
    </row>
    <row r="149" spans="1:20" x14ac:dyDescent="0.25">
      <c r="A149" s="5">
        <v>44444</v>
      </c>
      <c r="B149">
        <v>0.57340000000000002</v>
      </c>
      <c r="C149">
        <v>0.73429999999999995</v>
      </c>
      <c r="D149">
        <v>0.5605</v>
      </c>
      <c r="E149">
        <v>0.63719999999999999</v>
      </c>
      <c r="F149">
        <v>23128575.010000002</v>
      </c>
      <c r="G149">
        <v>0.63719999999999999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-0.11737629459148434</v>
      </c>
      <c r="Q149">
        <f t="shared" ref="Q149" si="721">F149*P149</f>
        <v>-2714746.4338550032</v>
      </c>
      <c r="R149">
        <f t="shared" ref="R149" si="722">R150+Q149</f>
        <v>-57799159.193664387</v>
      </c>
      <c r="S149">
        <f t="shared" ref="S149" si="723">R149/100000</f>
        <v>-577.99159193664389</v>
      </c>
      <c r="T149">
        <f t="shared" ref="T149" si="724">S149/1000</f>
        <v>-0.57799159193664384</v>
      </c>
    </row>
    <row r="150" spans="1:20" x14ac:dyDescent="0.25">
      <c r="A150" s="5">
        <v>44443</v>
      </c>
      <c r="B150">
        <v>0.56069999999999998</v>
      </c>
      <c r="C150">
        <v>0.58899999999999997</v>
      </c>
      <c r="D150">
        <v>0.55810000000000004</v>
      </c>
      <c r="E150">
        <v>0.57240000000000002</v>
      </c>
      <c r="F150">
        <v>1802159</v>
      </c>
      <c r="G150">
        <v>0.57240000000000002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-7.443365695792796E-2</v>
      </c>
      <c r="Q150">
        <f t="shared" ref="Q150" si="726">F150*P150</f>
        <v>-134141.28478964249</v>
      </c>
      <c r="R150">
        <f t="shared" ref="R150" si="727">R151+Q150</f>
        <v>-55084412.759809382</v>
      </c>
      <c r="S150">
        <f t="shared" ref="S150" si="728">R150/100000</f>
        <v>-550.84412759809379</v>
      </c>
      <c r="T150">
        <f t="shared" ref="T150" si="729">S150/1000</f>
        <v>-0.55084412759809376</v>
      </c>
    </row>
    <row r="151" spans="1:20" x14ac:dyDescent="0.25">
      <c r="A151" s="5">
        <v>44442</v>
      </c>
      <c r="B151">
        <v>0.55120000000000002</v>
      </c>
      <c r="C151">
        <v>0.58989999999999998</v>
      </c>
      <c r="D151">
        <v>0.53869999999999996</v>
      </c>
      <c r="E151">
        <v>0.56059999999999999</v>
      </c>
      <c r="F151">
        <v>2531187</v>
      </c>
      <c r="G151">
        <v>0.56059999999999999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-0.1445312499999992</v>
      </c>
      <c r="Q151">
        <f t="shared" ref="Q151" si="731">F151*P151</f>
        <v>-365835.62109374796</v>
      </c>
      <c r="R151">
        <f t="shared" ref="R151" si="732">R152+Q151</f>
        <v>-54950271.475019738</v>
      </c>
      <c r="S151">
        <f t="shared" ref="S151" si="733">R151/100000</f>
        <v>-549.50271475019736</v>
      </c>
      <c r="T151">
        <f t="shared" ref="T151" si="734">S151/1000</f>
        <v>-0.54950271475019741</v>
      </c>
    </row>
    <row r="152" spans="1:20" x14ac:dyDescent="0.25">
      <c r="A152" s="5">
        <v>44441</v>
      </c>
      <c r="B152">
        <v>0.55640000000000001</v>
      </c>
      <c r="C152">
        <v>0.57599999999999996</v>
      </c>
      <c r="D152">
        <v>0.54690000000000005</v>
      </c>
      <c r="E152">
        <v>0.54920000000000002</v>
      </c>
      <c r="F152">
        <v>1716521</v>
      </c>
      <c r="G152">
        <v>0.54920000000000002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-0.84192439862543123</v>
      </c>
      <c r="Q152">
        <f t="shared" ref="Q152" si="736">F152*P152</f>
        <v>-1445180.9106529239</v>
      </c>
      <c r="R152">
        <f t="shared" ref="R152" si="737">R153+Q152</f>
        <v>-54584435.853925988</v>
      </c>
      <c r="S152">
        <f t="shared" ref="S152" si="738">R152/100000</f>
        <v>-545.84435853925993</v>
      </c>
      <c r="T152">
        <f t="shared" ref="T152" si="739">S152/1000</f>
        <v>-0.54584435853925994</v>
      </c>
    </row>
    <row r="153" spans="1:20" x14ac:dyDescent="0.25">
      <c r="A153" s="5">
        <v>44440</v>
      </c>
      <c r="B153">
        <v>0.52990000000000004</v>
      </c>
      <c r="C153">
        <v>0.56720000000000004</v>
      </c>
      <c r="D153">
        <v>0.5202</v>
      </c>
      <c r="E153">
        <v>0.55700000000000005</v>
      </c>
      <c r="F153">
        <v>1848630</v>
      </c>
      <c r="G153">
        <v>0.55700000000000005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0.56595744680851157</v>
      </c>
      <c r="Q153">
        <f t="shared" ref="Q153" si="741">F153*P153</f>
        <v>1046245.9148936188</v>
      </c>
      <c r="R153">
        <f t="shared" ref="R153" si="742">R154+Q153</f>
        <v>-53139254.943273067</v>
      </c>
      <c r="S153">
        <f t="shared" ref="S153" si="743">R153/100000</f>
        <v>-531.39254943273068</v>
      </c>
      <c r="T153">
        <f t="shared" ref="T153" si="744">S153/1000</f>
        <v>-0.53139254943273062</v>
      </c>
    </row>
    <row r="154" spans="1:20" x14ac:dyDescent="0.25">
      <c r="A154" s="5">
        <v>44439</v>
      </c>
      <c r="B154">
        <v>0.53310000000000002</v>
      </c>
      <c r="C154">
        <v>0.56000000000000005</v>
      </c>
      <c r="D154">
        <v>0.52</v>
      </c>
      <c r="E154">
        <v>0.52980000000000005</v>
      </c>
      <c r="F154">
        <v>1729800</v>
      </c>
      <c r="G154">
        <v>0.52980000000000005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-0.5099999999999989</v>
      </c>
      <c r="Q154">
        <f t="shared" ref="Q154" si="746">F154*P154</f>
        <v>-882197.99999999814</v>
      </c>
      <c r="R154">
        <f t="shared" ref="R154" si="747">R155+Q154</f>
        <v>-54185500.858166687</v>
      </c>
      <c r="S154">
        <f t="shared" ref="S154" si="748">R154/100000</f>
        <v>-541.85500858166688</v>
      </c>
      <c r="T154">
        <f t="shared" ref="T154" si="749">S154/1000</f>
        <v>-0.54185500858166691</v>
      </c>
    </row>
    <row r="155" spans="1:20" x14ac:dyDescent="0.25">
      <c r="A155" s="5">
        <v>44438</v>
      </c>
      <c r="B155">
        <v>0.55930000000000002</v>
      </c>
      <c r="C155">
        <v>0.57479999999999998</v>
      </c>
      <c r="D155">
        <v>0.51749999999999996</v>
      </c>
      <c r="E155">
        <v>0.53310000000000002</v>
      </c>
      <c r="F155">
        <v>2538747</v>
      </c>
      <c r="G155">
        <v>0.53310000000000002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-0.45549738219895103</v>
      </c>
      <c r="Q155">
        <f t="shared" ref="Q155" si="751">F155*P155</f>
        <v>-1156392.6125654404</v>
      </c>
      <c r="R155">
        <f t="shared" ref="R155" si="752">R156+Q155</f>
        <v>-53303302.858166687</v>
      </c>
      <c r="S155">
        <f t="shared" ref="S155" si="753">R155/100000</f>
        <v>-533.03302858166683</v>
      </c>
      <c r="T155">
        <f t="shared" ref="T155" si="754">S155/1000</f>
        <v>-0.53303302858166679</v>
      </c>
    </row>
    <row r="156" spans="1:20" x14ac:dyDescent="0.25">
      <c r="A156" s="5">
        <v>44437</v>
      </c>
      <c r="B156">
        <v>0.5514</v>
      </c>
      <c r="C156">
        <v>0.59499999999999997</v>
      </c>
      <c r="D156">
        <v>0.53580000000000005</v>
      </c>
      <c r="E156">
        <v>0.55979999999999996</v>
      </c>
      <c r="F156">
        <v>3019711.11</v>
      </c>
      <c r="G156">
        <v>0.55979999999999996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-0.18918918918919111</v>
      </c>
      <c r="Q156">
        <f t="shared" ref="Q156" si="756">F156*P156</f>
        <v>-571296.69648649229</v>
      </c>
      <c r="R156">
        <f t="shared" ref="R156" si="757">R157+Q156</f>
        <v>-52146910.245601244</v>
      </c>
      <c r="S156">
        <f t="shared" ref="S156" si="758">R156/100000</f>
        <v>-521.46910245601248</v>
      </c>
      <c r="T156">
        <f t="shared" ref="T156" si="759">S156/1000</f>
        <v>-0.52146910245601252</v>
      </c>
    </row>
    <row r="157" spans="1:20" x14ac:dyDescent="0.25">
      <c r="A157" s="5">
        <v>44436</v>
      </c>
      <c r="B157">
        <v>0.53969999999999996</v>
      </c>
      <c r="C157">
        <v>0.57999999999999996</v>
      </c>
      <c r="D157">
        <v>0.52800000000000002</v>
      </c>
      <c r="E157">
        <v>0.55149999999999999</v>
      </c>
      <c r="F157">
        <v>1971845.14</v>
      </c>
      <c r="G157">
        <v>0.55149999999999999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-9.6153846153846353E-2</v>
      </c>
      <c r="Q157">
        <f t="shared" ref="Q157" si="761">F157*P157</f>
        <v>-189600.4942307696</v>
      </c>
      <c r="R157">
        <f t="shared" ref="R157" si="762">R158+Q157</f>
        <v>-51575613.549114749</v>
      </c>
      <c r="S157">
        <f t="shared" ref="S157" si="763">R157/100000</f>
        <v>-515.75613549114746</v>
      </c>
      <c r="T157">
        <f t="shared" ref="T157" si="764">S157/1000</f>
        <v>-0.51575613549114752</v>
      </c>
    </row>
    <row r="158" spans="1:20" x14ac:dyDescent="0.25">
      <c r="A158" s="5">
        <v>44435</v>
      </c>
      <c r="B158">
        <v>0.51880000000000004</v>
      </c>
      <c r="C158">
        <v>0.54400000000000004</v>
      </c>
      <c r="D158">
        <v>0.49099999999999999</v>
      </c>
      <c r="E158">
        <v>0.54139999999999999</v>
      </c>
      <c r="F158">
        <v>1355112.97</v>
      </c>
      <c r="G158">
        <v>0.54139999999999999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0.90188679245282855</v>
      </c>
      <c r="Q158">
        <f t="shared" ref="Q158" si="766">F158*P158</f>
        <v>1222158.4899245261</v>
      </c>
      <c r="R158">
        <f t="shared" ref="R158" si="767">R159+Q158</f>
        <v>-51386013.054883979</v>
      </c>
      <c r="S158">
        <f t="shared" ref="S158" si="768">R158/100000</f>
        <v>-513.86013054883983</v>
      </c>
      <c r="T158">
        <f t="shared" ref="T158" si="769">S158/1000</f>
        <v>-0.51386013054883983</v>
      </c>
    </row>
    <row r="159" spans="1:20" x14ac:dyDescent="0.25">
      <c r="A159" s="5">
        <v>44434</v>
      </c>
      <c r="B159">
        <v>0.55710000000000004</v>
      </c>
      <c r="C159">
        <v>0.5625</v>
      </c>
      <c r="D159">
        <v>0.50800000000000001</v>
      </c>
      <c r="E159">
        <v>0.52</v>
      </c>
      <c r="F159">
        <v>1380689.72</v>
      </c>
      <c r="G159">
        <v>0.52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-0.55963302752293531</v>
      </c>
      <c r="Q159">
        <f t="shared" ref="Q159" si="771">F159*P159</f>
        <v>-772679.56807339378</v>
      </c>
      <c r="R159">
        <f t="shared" ref="R159" si="772">R160+Q159</f>
        <v>-52608171.544808507</v>
      </c>
      <c r="S159">
        <f t="shared" ref="S159" si="773">R159/100000</f>
        <v>-526.08171544808511</v>
      </c>
      <c r="T159">
        <f t="shared" ref="T159" si="774">S159/1000</f>
        <v>-0.52608171544808513</v>
      </c>
    </row>
    <row r="160" spans="1:20" x14ac:dyDescent="0.25">
      <c r="A160" s="5">
        <v>44433</v>
      </c>
      <c r="B160">
        <v>0.5524</v>
      </c>
      <c r="C160">
        <v>0.57020000000000004</v>
      </c>
      <c r="D160">
        <v>0.51539999999999997</v>
      </c>
      <c r="E160">
        <v>0.55740000000000001</v>
      </c>
      <c r="F160">
        <v>2327630.1800000002</v>
      </c>
      <c r="G160">
        <v>0.55740000000000001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0.5328467153284665</v>
      </c>
      <c r="Q160">
        <f t="shared" ref="Q160" si="776">F160*P160</f>
        <v>1240270.0959124074</v>
      </c>
      <c r="R160">
        <f t="shared" ref="R160" si="777">R161+Q160</f>
        <v>-51835491.976735115</v>
      </c>
      <c r="S160">
        <f t="shared" ref="S160" si="778">R160/100000</f>
        <v>-518.35491976735113</v>
      </c>
      <c r="T160">
        <f t="shared" ref="T160" si="779">S160/1000</f>
        <v>-0.51835491976735115</v>
      </c>
    </row>
    <row r="161" spans="1:20" x14ac:dyDescent="0.25">
      <c r="A161" s="5">
        <v>44432</v>
      </c>
      <c r="B161">
        <v>0.6089</v>
      </c>
      <c r="C161">
        <v>0.61060000000000003</v>
      </c>
      <c r="D161">
        <v>0.53700000000000003</v>
      </c>
      <c r="E161">
        <v>0.54890000000000005</v>
      </c>
      <c r="F161">
        <v>2294603.4</v>
      </c>
      <c r="G161">
        <v>0.54890000000000005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-0.67663043478260809</v>
      </c>
      <c r="Q161">
        <f t="shared" ref="Q161" si="781">F161*P161</f>
        <v>-1552598.4961956507</v>
      </c>
      <c r="R161">
        <f t="shared" ref="R161" si="782">R162+Q161</f>
        <v>-53075762.072647519</v>
      </c>
      <c r="S161">
        <f t="shared" ref="S161" si="783">R161/100000</f>
        <v>-530.75762072647524</v>
      </c>
      <c r="T161">
        <f t="shared" ref="T161" si="784">S161/1000</f>
        <v>-0.53075762072647525</v>
      </c>
    </row>
    <row r="162" spans="1:20" x14ac:dyDescent="0.25">
      <c r="A162" s="5">
        <v>44431</v>
      </c>
      <c r="B162">
        <v>0.60829999999999995</v>
      </c>
      <c r="C162">
        <v>0.64770000000000005</v>
      </c>
      <c r="D162">
        <v>0.5796</v>
      </c>
      <c r="E162">
        <v>0.60929999999999995</v>
      </c>
      <c r="F162">
        <v>2690300.11</v>
      </c>
      <c r="G162">
        <v>0.60929999999999995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-0.12775330396475984</v>
      </c>
      <c r="Q162">
        <f t="shared" ref="Q162" si="786">F162*P162</f>
        <v>-343694.72770925681</v>
      </c>
      <c r="R162">
        <f t="shared" ref="R162" si="787">R163+Q162</f>
        <v>-51523163.576451868</v>
      </c>
      <c r="S162">
        <f t="shared" ref="S162" si="788">R162/100000</f>
        <v>-515.23163576451873</v>
      </c>
      <c r="T162">
        <f t="shared" ref="T162" si="789">S162/1000</f>
        <v>-0.51523163576451869</v>
      </c>
    </row>
    <row r="163" spans="1:20" x14ac:dyDescent="0.25">
      <c r="A163" s="5">
        <v>44430</v>
      </c>
      <c r="B163">
        <v>0.60640000000000005</v>
      </c>
      <c r="C163">
        <v>0.62380000000000002</v>
      </c>
      <c r="D163">
        <v>0.60370000000000001</v>
      </c>
      <c r="E163">
        <v>0.60429999999999995</v>
      </c>
      <c r="F163">
        <v>307092.96000000002</v>
      </c>
      <c r="G163">
        <v>0.60429999999999995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-0.94029850746269317</v>
      </c>
      <c r="Q163">
        <f t="shared" ref="Q163" si="791">F163*P163</f>
        <v>-288759.05194030056</v>
      </c>
      <c r="R163">
        <f t="shared" ref="R163" si="792">R164+Q163</f>
        <v>-51179468.848742612</v>
      </c>
      <c r="S163">
        <f t="shared" ref="S163" si="793">R163/100000</f>
        <v>-511.79468848742613</v>
      </c>
      <c r="T163">
        <f t="shared" ref="T163" si="794">S163/1000</f>
        <v>-0.51179468848742615</v>
      </c>
    </row>
    <row r="164" spans="1:20" x14ac:dyDescent="0.25">
      <c r="A164" s="5">
        <v>44429</v>
      </c>
      <c r="B164">
        <v>0.59940000000000004</v>
      </c>
      <c r="C164">
        <v>0.63160000000000005</v>
      </c>
      <c r="D164">
        <v>0.56799999999999995</v>
      </c>
      <c r="E164">
        <v>0.60650000000000004</v>
      </c>
      <c r="F164">
        <v>3601296.04</v>
      </c>
      <c r="G164">
        <v>0.60650000000000004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0.21069182389937197</v>
      </c>
      <c r="Q164">
        <f t="shared" ref="Q164" si="796">F164*P164</f>
        <v>758763.63106918568</v>
      </c>
      <c r="R164">
        <f t="shared" ref="R164" si="797">R165+Q164</f>
        <v>-50890709.796802312</v>
      </c>
      <c r="S164">
        <f t="shared" ref="S164" si="798">R164/100000</f>
        <v>-508.90709796802309</v>
      </c>
      <c r="T164">
        <f t="shared" ref="T164" si="799">S164/1000</f>
        <v>-0.50890709796802314</v>
      </c>
    </row>
    <row r="165" spans="1:20" x14ac:dyDescent="0.25">
      <c r="A165" s="5">
        <v>44428</v>
      </c>
      <c r="B165">
        <v>0.5494</v>
      </c>
      <c r="C165">
        <v>0.6149</v>
      </c>
      <c r="D165">
        <v>0.54479999999999995</v>
      </c>
      <c r="E165">
        <v>0.59930000000000005</v>
      </c>
      <c r="F165">
        <v>3834442.18</v>
      </c>
      <c r="G165">
        <v>0.59930000000000005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0.55492154065620725</v>
      </c>
      <c r="Q165">
        <f t="shared" ref="Q165" si="801">F165*P165</f>
        <v>2127814.5620827461</v>
      </c>
      <c r="R165">
        <f t="shared" ref="R165" si="802">R166+Q165</f>
        <v>-51649473.427871495</v>
      </c>
      <c r="S165">
        <f t="shared" ref="S165" si="803">R165/100000</f>
        <v>-516.49473427871499</v>
      </c>
      <c r="T165">
        <f t="shared" ref="T165" si="804">S165/1000</f>
        <v>-0.51649473427871495</v>
      </c>
    </row>
    <row r="166" spans="1:20" x14ac:dyDescent="0.25">
      <c r="A166" s="5">
        <v>44427</v>
      </c>
      <c r="B166">
        <v>0.51800000000000002</v>
      </c>
      <c r="C166">
        <v>0.57499999999999996</v>
      </c>
      <c r="D166">
        <v>0.49819999999999998</v>
      </c>
      <c r="E166">
        <v>0.54659999999999997</v>
      </c>
      <c r="F166">
        <v>1968286.8</v>
      </c>
      <c r="G166">
        <v>0.54659999999999997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0.26041666666666696</v>
      </c>
      <c r="Q166">
        <f t="shared" ref="Q166" si="806">F166*P166</f>
        <v>512574.68750000058</v>
      </c>
      <c r="R166">
        <f t="shared" ref="R166" si="807">R167+Q166</f>
        <v>-53777287.989954241</v>
      </c>
      <c r="S166">
        <f t="shared" ref="S166" si="808">R166/100000</f>
        <v>-537.77287989954243</v>
      </c>
      <c r="T166">
        <f t="shared" ref="T166" si="809">S166/1000</f>
        <v>-0.53777287989954248</v>
      </c>
    </row>
    <row r="167" spans="1:20" x14ac:dyDescent="0.25">
      <c r="A167" s="5">
        <v>44426</v>
      </c>
      <c r="B167">
        <v>0.51990000000000003</v>
      </c>
      <c r="C167">
        <v>0.53580000000000005</v>
      </c>
      <c r="D167">
        <v>0.50129999999999997</v>
      </c>
      <c r="E167">
        <v>0.51800000000000002</v>
      </c>
      <c r="F167">
        <v>1881482.18</v>
      </c>
      <c r="G167">
        <v>0.51800000000000002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-3.1884057971014117E-2</v>
      </c>
      <c r="Q167">
        <f t="shared" ref="Q167" si="811">F167*P167</f>
        <v>-59989.286898550017</v>
      </c>
      <c r="R167">
        <f t="shared" ref="R167" si="812">R168+Q167</f>
        <v>-54289862.677454241</v>
      </c>
      <c r="S167">
        <f t="shared" ref="S167" si="813">R167/100000</f>
        <v>-542.89862677454244</v>
      </c>
      <c r="T167">
        <f t="shared" ref="T167" si="814">S167/1000</f>
        <v>-0.54289862677454248</v>
      </c>
    </row>
    <row r="168" spans="1:20" x14ac:dyDescent="0.25">
      <c r="A168" s="5">
        <v>44425</v>
      </c>
      <c r="B168">
        <v>0.52380000000000004</v>
      </c>
      <c r="C168">
        <v>0.56379999999999997</v>
      </c>
      <c r="D168">
        <v>0.50529999999999997</v>
      </c>
      <c r="E168">
        <v>0.51980000000000004</v>
      </c>
      <c r="F168">
        <v>3750534.52</v>
      </c>
      <c r="G168">
        <v>0.51980000000000004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-0.50427350427350193</v>
      </c>
      <c r="Q168">
        <f t="shared" ref="Q168" si="816">F168*P168</f>
        <v>-1891295.1852991364</v>
      </c>
      <c r="R168">
        <f t="shared" ref="R168" si="817">R169+Q168</f>
        <v>-54229873.390555687</v>
      </c>
      <c r="S168">
        <f t="shared" ref="S168" si="818">R168/100000</f>
        <v>-542.2987339055569</v>
      </c>
      <c r="T168">
        <f t="shared" ref="T168" si="819">S168/1000</f>
        <v>-0.54229873390555694</v>
      </c>
    </row>
    <row r="169" spans="1:20" x14ac:dyDescent="0.25">
      <c r="A169" s="5">
        <v>44424</v>
      </c>
      <c r="B169">
        <v>0.55079999999999996</v>
      </c>
      <c r="C169">
        <v>0.57999999999999996</v>
      </c>
      <c r="D169">
        <v>0.52200000000000002</v>
      </c>
      <c r="E169">
        <v>0.52569999999999995</v>
      </c>
      <c r="F169">
        <v>2811091.33</v>
      </c>
      <c r="G169">
        <v>0.52569999999999995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-0.87241379310345069</v>
      </c>
      <c r="Q169">
        <f t="shared" ref="Q169" si="821">F169*P169</f>
        <v>-2452434.8499655239</v>
      </c>
      <c r="R169">
        <f t="shared" ref="R169" si="822">R170+Q169</f>
        <v>-52338578.205256552</v>
      </c>
      <c r="S169">
        <f t="shared" ref="S169" si="823">R169/100000</f>
        <v>-523.38578205256556</v>
      </c>
      <c r="T169">
        <f t="shared" ref="T169" si="824">S169/1000</f>
        <v>-0.52338578205256558</v>
      </c>
    </row>
    <row r="170" spans="1:20" x14ac:dyDescent="0.25">
      <c r="A170" s="5">
        <v>44423</v>
      </c>
      <c r="B170">
        <v>0.55300000000000005</v>
      </c>
      <c r="C170">
        <v>0.55959999999999999</v>
      </c>
      <c r="D170">
        <v>0.52129999999999999</v>
      </c>
      <c r="E170">
        <v>0.55069999999999997</v>
      </c>
      <c r="F170">
        <v>1978238.61</v>
      </c>
      <c r="G170">
        <v>0.55069999999999997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0.53524804177545593</v>
      </c>
      <c r="Q170">
        <f t="shared" ref="Q170" si="826">F170*P170</f>
        <v>1058848.3421670999</v>
      </c>
      <c r="R170">
        <f t="shared" ref="R170" si="827">R171+Q170</f>
        <v>-49886143.355291031</v>
      </c>
      <c r="S170">
        <f t="shared" ref="S170" si="828">R170/100000</f>
        <v>-498.86143355291034</v>
      </c>
      <c r="T170">
        <f t="shared" ref="T170" si="829">S170/1000</f>
        <v>-0.49886143355291035</v>
      </c>
    </row>
    <row r="171" spans="1:20" x14ac:dyDescent="0.25">
      <c r="A171" s="5">
        <v>44422</v>
      </c>
      <c r="B171">
        <v>0.58709999999999996</v>
      </c>
      <c r="C171">
        <v>0.62250000000000005</v>
      </c>
      <c r="D171">
        <v>0.52800000000000002</v>
      </c>
      <c r="E171">
        <v>0.55300000000000005</v>
      </c>
      <c r="F171">
        <v>5959385.0700000003</v>
      </c>
      <c r="G171">
        <v>0.55300000000000005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-0.4708994708994706</v>
      </c>
      <c r="Q171">
        <f t="shared" ref="Q171" si="831">F171*P171</f>
        <v>-2806271.2763492046</v>
      </c>
      <c r="R171">
        <f t="shared" ref="R171" si="832">R172+Q171</f>
        <v>-50944991.697458133</v>
      </c>
      <c r="S171">
        <f t="shared" ref="S171" si="833">R171/100000</f>
        <v>-509.44991697458136</v>
      </c>
      <c r="T171">
        <f t="shared" ref="T171" si="834">S171/1000</f>
        <v>-0.50944991697458131</v>
      </c>
    </row>
    <row r="172" spans="1:20" x14ac:dyDescent="0.25">
      <c r="A172" s="5">
        <v>44421</v>
      </c>
      <c r="B172">
        <v>0.48270000000000002</v>
      </c>
      <c r="C172">
        <v>0.621</v>
      </c>
      <c r="D172">
        <v>0.48149999999999998</v>
      </c>
      <c r="E172">
        <v>0.58709999999999996</v>
      </c>
      <c r="F172">
        <v>9679772.0099999998</v>
      </c>
      <c r="G172">
        <v>0.58709999999999996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0.51397849462365541</v>
      </c>
      <c r="Q172">
        <f t="shared" ref="Q172" si="836">F172*P172</f>
        <v>4975194.6459999951</v>
      </c>
      <c r="R172">
        <f t="shared" ref="R172" si="837">R173+Q172</f>
        <v>-48138720.421108931</v>
      </c>
      <c r="S172">
        <f t="shared" ref="S172" si="838">R172/100000</f>
        <v>-481.38720421108934</v>
      </c>
      <c r="T172">
        <f t="shared" ref="T172" si="839">S172/1000</f>
        <v>-0.48138720421108933</v>
      </c>
    </row>
    <row r="173" spans="1:20" x14ac:dyDescent="0.25">
      <c r="A173" s="5">
        <v>44420</v>
      </c>
      <c r="B173">
        <v>0.5101</v>
      </c>
      <c r="C173">
        <v>0.54900000000000004</v>
      </c>
      <c r="D173">
        <v>0.46350000000000002</v>
      </c>
      <c r="E173">
        <v>0.48309999999999997</v>
      </c>
      <c r="F173">
        <v>3367817.8</v>
      </c>
      <c r="G173">
        <v>0.48309999999999997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-0.54152046783625862</v>
      </c>
      <c r="Q173">
        <f t="shared" ref="Q173" si="841">F173*P173</f>
        <v>-1823742.2706432792</v>
      </c>
      <c r="R173">
        <f t="shared" ref="R173" si="842">R174+Q173</f>
        <v>-53113915.067108929</v>
      </c>
      <c r="S173">
        <f t="shared" ref="S173" si="843">R173/100000</f>
        <v>-531.13915067108928</v>
      </c>
      <c r="T173">
        <f t="shared" ref="T173" si="844">S173/1000</f>
        <v>-0.5311391506710893</v>
      </c>
    </row>
    <row r="174" spans="1:20" x14ac:dyDescent="0.25">
      <c r="A174" s="5">
        <v>44419</v>
      </c>
      <c r="B174">
        <v>0.50170000000000003</v>
      </c>
      <c r="C174">
        <v>0.55000000000000004</v>
      </c>
      <c r="D174">
        <v>0.50070000000000003</v>
      </c>
      <c r="E174">
        <v>0.5101</v>
      </c>
      <c r="F174">
        <v>3342661.49</v>
      </c>
      <c r="G174">
        <v>0.5101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-0.61866125760649238</v>
      </c>
      <c r="Q174">
        <f t="shared" ref="Q174" si="846">F174*P174</f>
        <v>-2067975.1611561917</v>
      </c>
      <c r="R174">
        <f t="shared" ref="R174" si="847">R175+Q174</f>
        <v>-51290172.79646565</v>
      </c>
      <c r="S174">
        <f t="shared" ref="S174" si="848">R174/100000</f>
        <v>-512.90172796465652</v>
      </c>
      <c r="T174">
        <f t="shared" ref="T174" si="849">S174/1000</f>
        <v>-0.5129017279646565</v>
      </c>
    </row>
    <row r="175" spans="1:20" x14ac:dyDescent="0.25">
      <c r="A175" s="5">
        <v>44418</v>
      </c>
      <c r="B175">
        <v>0.49590000000000001</v>
      </c>
      <c r="C175">
        <v>0.51959999999999995</v>
      </c>
      <c r="D175">
        <v>0.48749999999999999</v>
      </c>
      <c r="E175">
        <v>0.50290000000000001</v>
      </c>
      <c r="F175">
        <v>1878226.34</v>
      </c>
      <c r="G175">
        <v>0.50290000000000001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-4.0498442367598565E-2</v>
      </c>
      <c r="Q175">
        <f t="shared" ref="Q175" si="851">F175*P175</f>
        <v>-76065.241183795588</v>
      </c>
      <c r="R175">
        <f t="shared" ref="R175" si="852">R176+Q175</f>
        <v>-49222197.635309458</v>
      </c>
      <c r="S175">
        <f t="shared" ref="S175" si="853">R175/100000</f>
        <v>-492.22197635309459</v>
      </c>
      <c r="T175">
        <f t="shared" ref="T175" si="854">S175/1000</f>
        <v>-0.49222197635309461</v>
      </c>
    </row>
    <row r="176" spans="1:20" x14ac:dyDescent="0.25">
      <c r="A176" s="5">
        <v>44417</v>
      </c>
      <c r="B176">
        <v>0.47160000000000002</v>
      </c>
      <c r="C176">
        <v>0.51119999999999999</v>
      </c>
      <c r="D176">
        <v>0.45789999999999997</v>
      </c>
      <c r="E176">
        <v>0.49590000000000001</v>
      </c>
      <c r="F176">
        <v>1683335.03</v>
      </c>
      <c r="G176">
        <v>0.49590000000000001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0.42589118198874387</v>
      </c>
      <c r="Q176">
        <f t="shared" ref="Q176" si="856">F176*P176</f>
        <v>716917.54560975765</v>
      </c>
      <c r="R176">
        <f t="shared" ref="R176" si="857">R177+Q176</f>
        <v>-49146132.394125663</v>
      </c>
      <c r="S176">
        <f t="shared" ref="S176" si="858">R176/100000</f>
        <v>-491.46132394125664</v>
      </c>
      <c r="T176">
        <f t="shared" ref="T176" si="859">S176/1000</f>
        <v>-0.49146132394125663</v>
      </c>
    </row>
    <row r="177" spans="1:20" x14ac:dyDescent="0.25">
      <c r="A177" s="5">
        <v>44416</v>
      </c>
      <c r="B177">
        <v>0.49669999999999997</v>
      </c>
      <c r="C177">
        <v>0.50519999999999998</v>
      </c>
      <c r="D177">
        <v>0.47010000000000002</v>
      </c>
      <c r="E177">
        <v>0.47020000000000001</v>
      </c>
      <c r="F177">
        <v>1430065.9</v>
      </c>
      <c r="G177">
        <v>0.47020000000000001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-0.99430199430199495</v>
      </c>
      <c r="Q177">
        <f t="shared" ref="Q177" si="861">F177*P177</f>
        <v>-1421917.3763532771</v>
      </c>
      <c r="R177">
        <f t="shared" ref="R177" si="862">R178+Q177</f>
        <v>-49863049.93973542</v>
      </c>
      <c r="S177">
        <f t="shared" ref="S177" si="863">R177/100000</f>
        <v>-498.63049939735419</v>
      </c>
      <c r="T177">
        <f t="shared" ref="T177" si="864">S177/1000</f>
        <v>-0.49863049939735421</v>
      </c>
    </row>
    <row r="178" spans="1:20" x14ac:dyDescent="0.25">
      <c r="A178" s="5">
        <v>44415</v>
      </c>
      <c r="B178">
        <v>0.49680000000000002</v>
      </c>
      <c r="C178">
        <v>0.52580000000000005</v>
      </c>
      <c r="D178">
        <v>0.48089999999999999</v>
      </c>
      <c r="E178">
        <v>0.49669999999999997</v>
      </c>
      <c r="F178">
        <v>2538430.61</v>
      </c>
      <c r="G178">
        <v>0.49669999999999997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-0.29621380846325335</v>
      </c>
      <c r="Q178">
        <f t="shared" ref="Q178" si="866">F178*P178</f>
        <v>-751918.1985077993</v>
      </c>
      <c r="R178">
        <f t="shared" ref="R178" si="867">R179+Q178</f>
        <v>-48441132.563382141</v>
      </c>
      <c r="S178">
        <f t="shared" ref="S178" si="868">R178/100000</f>
        <v>-484.41132563382143</v>
      </c>
      <c r="T178">
        <f t="shared" ref="T178" si="869">S178/1000</f>
        <v>-0.48441132563382144</v>
      </c>
    </row>
    <row r="179" spans="1:20" x14ac:dyDescent="0.25">
      <c r="A179" s="5">
        <v>44414</v>
      </c>
      <c r="B179">
        <v>0.46560000000000001</v>
      </c>
      <c r="C179">
        <v>0.53939999999999999</v>
      </c>
      <c r="D179">
        <v>0.43530000000000002</v>
      </c>
      <c r="E179">
        <v>0.49569999999999997</v>
      </c>
      <c r="F179">
        <v>7508625.1299999999</v>
      </c>
      <c r="G179">
        <v>0.49569999999999997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0.16042267050912529</v>
      </c>
      <c r="Q179">
        <f t="shared" ref="Q179" si="871">F179*P179</f>
        <v>1204553.6952065281</v>
      </c>
      <c r="R179">
        <f t="shared" ref="R179" si="872">R180+Q179</f>
        <v>-47689214.364874341</v>
      </c>
      <c r="S179">
        <f t="shared" ref="S179" si="873">R179/100000</f>
        <v>-476.8921436487434</v>
      </c>
      <c r="T179">
        <f t="shared" ref="T179" si="874">S179/1000</f>
        <v>-0.47689214364874338</v>
      </c>
    </row>
    <row r="180" spans="1:20" x14ac:dyDescent="0.25">
      <c r="A180" s="5">
        <v>44413</v>
      </c>
      <c r="B180">
        <v>0.4168</v>
      </c>
      <c r="C180">
        <v>0.4909</v>
      </c>
      <c r="D180">
        <v>0.40500000000000003</v>
      </c>
      <c r="E180">
        <v>0.46550000000000002</v>
      </c>
      <c r="F180">
        <v>5738252.8399999999</v>
      </c>
      <c r="G180">
        <v>0.46550000000000002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0.4086146682188595</v>
      </c>
      <c r="Q180">
        <f t="shared" ref="Q180" si="876">F180*P180</f>
        <v>2344734.2803725284</v>
      </c>
      <c r="R180">
        <f t="shared" ref="R180" si="877">R181+Q180</f>
        <v>-48893768.060080871</v>
      </c>
      <c r="S180">
        <f t="shared" ref="S180" si="878">R180/100000</f>
        <v>-488.93768060080873</v>
      </c>
      <c r="T180">
        <f t="shared" ref="T180" si="879">S180/1000</f>
        <v>-0.48893768060080872</v>
      </c>
    </row>
    <row r="181" spans="1:20" x14ac:dyDescent="0.25">
      <c r="A181" s="5">
        <v>44412</v>
      </c>
      <c r="B181">
        <v>0.3891</v>
      </c>
      <c r="C181">
        <v>0.42599999999999999</v>
      </c>
      <c r="D181">
        <v>0.38600000000000001</v>
      </c>
      <c r="E181">
        <v>0.4168</v>
      </c>
      <c r="F181">
        <v>1295240.05</v>
      </c>
      <c r="G181">
        <v>0.4168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0.54000000000000048</v>
      </c>
      <c r="Q181">
        <f t="shared" ref="Q181" si="881">F181*P181</f>
        <v>699429.62700000068</v>
      </c>
      <c r="R181">
        <f t="shared" ref="R181" si="882">R182+Q181</f>
        <v>-51238502.340453401</v>
      </c>
      <c r="S181">
        <f t="shared" ref="S181" si="883">R181/100000</f>
        <v>-512.38502340453397</v>
      </c>
      <c r="T181">
        <f t="shared" ref="T181" si="884">S181/1000</f>
        <v>-0.51238502340453396</v>
      </c>
    </row>
    <row r="182" spans="1:20" x14ac:dyDescent="0.25">
      <c r="A182" s="5">
        <v>44411</v>
      </c>
      <c r="B182">
        <v>0.39929999999999999</v>
      </c>
      <c r="C182">
        <v>0.40460000000000002</v>
      </c>
      <c r="D182">
        <v>0.3821</v>
      </c>
      <c r="E182">
        <v>0.38919999999999999</v>
      </c>
      <c r="F182">
        <v>1179389.31</v>
      </c>
      <c r="G182">
        <v>0.38919999999999999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-0.36888888888888988</v>
      </c>
      <c r="Q182">
        <f t="shared" ref="Q182" si="886">F182*P182</f>
        <v>-435063.61213333451</v>
      </c>
      <c r="R182">
        <f t="shared" ref="R182" si="887">R183+Q182</f>
        <v>-51937931.967453405</v>
      </c>
      <c r="S182">
        <f t="shared" ref="S182" si="888">R182/100000</f>
        <v>-519.37931967453403</v>
      </c>
      <c r="T182">
        <f t="shared" ref="T182" si="889">S182/1000</f>
        <v>-0.51937931967453399</v>
      </c>
    </row>
    <row r="183" spans="1:20" x14ac:dyDescent="0.25">
      <c r="A183" s="5">
        <v>44410</v>
      </c>
      <c r="B183">
        <v>0.39479999999999998</v>
      </c>
      <c r="C183">
        <v>0.41139999999999999</v>
      </c>
      <c r="D183">
        <v>0.38800000000000001</v>
      </c>
      <c r="E183">
        <v>0.39929999999999999</v>
      </c>
      <c r="F183">
        <v>1329923.5900000001</v>
      </c>
      <c r="G183">
        <v>0.39929999999999999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-3.4188034188035205E-2</v>
      </c>
      <c r="Q183">
        <f t="shared" ref="Q183" si="891">F183*P183</f>
        <v>-45467.473162394519</v>
      </c>
      <c r="R183">
        <f t="shared" ref="R183" si="892">R184+Q183</f>
        <v>-51502868.355320074</v>
      </c>
      <c r="S183">
        <f t="shared" ref="S183" si="893">R183/100000</f>
        <v>-515.02868355320072</v>
      </c>
      <c r="T183">
        <f t="shared" ref="T183" si="894">S183/1000</f>
        <v>-0.51502868355320075</v>
      </c>
    </row>
    <row r="184" spans="1:20" x14ac:dyDescent="0.25">
      <c r="A184" s="5">
        <v>44409</v>
      </c>
      <c r="B184">
        <v>0.4168</v>
      </c>
      <c r="C184">
        <v>0.43459999999999999</v>
      </c>
      <c r="D184">
        <v>0.3921</v>
      </c>
      <c r="E184">
        <v>0.39479999999999998</v>
      </c>
      <c r="F184">
        <v>1343435.11</v>
      </c>
      <c r="G184">
        <v>0.39479999999999998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-0.87294117647058911</v>
      </c>
      <c r="Q184">
        <f t="shared" ref="Q184" si="896">F184*P184</f>
        <v>-1172739.8254352955</v>
      </c>
      <c r="R184">
        <f t="shared" ref="R184" si="897">R185+Q184</f>
        <v>-51457400.882157676</v>
      </c>
      <c r="S184">
        <f t="shared" ref="S184" si="898">R184/100000</f>
        <v>-514.57400882157674</v>
      </c>
      <c r="T184">
        <f t="shared" ref="T184" si="899">S184/1000</f>
        <v>-0.51457400882157678</v>
      </c>
    </row>
    <row r="185" spans="1:20" x14ac:dyDescent="0.25">
      <c r="A185" s="5">
        <v>44408</v>
      </c>
      <c r="B185">
        <v>0.41039999999999999</v>
      </c>
      <c r="C185">
        <v>0.42280000000000001</v>
      </c>
      <c r="D185">
        <v>0.40010000000000001</v>
      </c>
      <c r="E185">
        <v>0.4168</v>
      </c>
      <c r="F185">
        <v>1356279.69</v>
      </c>
      <c r="G185">
        <v>0.4168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0.47136563876651932</v>
      </c>
      <c r="Q185">
        <f t="shared" ref="Q185" si="901">F185*P185</f>
        <v>639303.64242290682</v>
      </c>
      <c r="R185">
        <f t="shared" ref="R185" si="902">R186+Q185</f>
        <v>-50284661.05672238</v>
      </c>
      <c r="S185">
        <f t="shared" ref="S185" si="903">R185/100000</f>
        <v>-502.84661056722382</v>
      </c>
      <c r="T185">
        <f t="shared" ref="T185" si="904">S185/1000</f>
        <v>-0.5028466105672238</v>
      </c>
    </row>
    <row r="186" spans="1:20" x14ac:dyDescent="0.25">
      <c r="A186" s="5">
        <v>44407</v>
      </c>
      <c r="B186">
        <v>0.40200000000000002</v>
      </c>
      <c r="C186">
        <v>0.4168</v>
      </c>
      <c r="D186">
        <v>0.38429999999999997</v>
      </c>
      <c r="E186">
        <v>0.40720000000000001</v>
      </c>
      <c r="F186">
        <v>1006409.82</v>
      </c>
      <c r="G186">
        <v>0.40720000000000001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0.4092307692307699</v>
      </c>
      <c r="Q186">
        <f t="shared" ref="Q186" si="906">F186*P186</f>
        <v>411853.86480000062</v>
      </c>
      <c r="R186">
        <f t="shared" ref="R186" si="907">R187+Q186</f>
        <v>-50923964.699145287</v>
      </c>
      <c r="S186">
        <f t="shared" ref="S186" si="908">R186/100000</f>
        <v>-509.2396469914529</v>
      </c>
      <c r="T186">
        <f t="shared" ref="T186" si="909">S186/1000</f>
        <v>-0.50923964699145285</v>
      </c>
    </row>
    <row r="187" spans="1:20" x14ac:dyDescent="0.25">
      <c r="A187" s="5">
        <v>44406</v>
      </c>
      <c r="B187">
        <v>0.38700000000000001</v>
      </c>
      <c r="C187">
        <v>0.41549999999999998</v>
      </c>
      <c r="D187">
        <v>0.37909999999999999</v>
      </c>
      <c r="E187">
        <v>0.40260000000000001</v>
      </c>
      <c r="F187">
        <v>1238795.07</v>
      </c>
      <c r="G187">
        <v>0.40260000000000001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0.29120879120879278</v>
      </c>
      <c r="Q187">
        <f t="shared" ref="Q187" si="911">F187*P187</f>
        <v>360748.01489011187</v>
      </c>
      <c r="R187">
        <f t="shared" ref="R187" si="912">R188+Q187</f>
        <v>-51335818.563945286</v>
      </c>
      <c r="S187">
        <f t="shared" ref="S187" si="913">R187/100000</f>
        <v>-513.35818563945281</v>
      </c>
      <c r="T187">
        <f t="shared" ref="T187" si="914">S187/1000</f>
        <v>-0.51335818563945279</v>
      </c>
    </row>
    <row r="188" spans="1:20" x14ac:dyDescent="0.25">
      <c r="A188" s="5">
        <v>44405</v>
      </c>
      <c r="B188">
        <v>0.39079999999999998</v>
      </c>
      <c r="C188">
        <v>0.39800000000000002</v>
      </c>
      <c r="D188">
        <v>0.374</v>
      </c>
      <c r="E188">
        <v>0.38719999999999999</v>
      </c>
      <c r="F188">
        <v>1411832.93</v>
      </c>
      <c r="G188">
        <v>0.38719999999999999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9.9999999999998146E-2</v>
      </c>
      <c r="Q188">
        <f t="shared" ref="Q188" si="916">F188*P188</f>
        <v>141183.29299999739</v>
      </c>
      <c r="R188">
        <f t="shared" ref="R188" si="917">R189+Q188</f>
        <v>-51696566.578835398</v>
      </c>
      <c r="S188">
        <f t="shared" ref="S188" si="918">R188/100000</f>
        <v>-516.96566578835393</v>
      </c>
      <c r="T188">
        <f t="shared" ref="T188" si="919">S188/1000</f>
        <v>-0.5169656657883539</v>
      </c>
    </row>
    <row r="189" spans="1:20" x14ac:dyDescent="0.25">
      <c r="A189" s="5">
        <v>44404</v>
      </c>
      <c r="B189">
        <v>0.37780000000000002</v>
      </c>
      <c r="C189">
        <v>0.4</v>
      </c>
      <c r="D189">
        <v>0.3604</v>
      </c>
      <c r="E189">
        <v>0.39079999999999998</v>
      </c>
      <c r="F189">
        <v>1776247.39</v>
      </c>
      <c r="G189">
        <v>0.39079999999999998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0.53535353535353358</v>
      </c>
      <c r="Q189">
        <f t="shared" ref="Q189" si="921">F189*P189</f>
        <v>950920.31989898672</v>
      </c>
      <c r="R189">
        <f t="shared" ref="R189" si="922">R190+Q189</f>
        <v>-51837749.871835396</v>
      </c>
      <c r="S189">
        <f t="shared" ref="S189" si="923">R189/100000</f>
        <v>-518.37749871835399</v>
      </c>
      <c r="T189">
        <f t="shared" ref="T189" si="924">S189/1000</f>
        <v>-0.51837749871835404</v>
      </c>
    </row>
    <row r="190" spans="1:20" x14ac:dyDescent="0.25">
      <c r="A190" s="5">
        <v>44403</v>
      </c>
      <c r="B190">
        <v>0.38019999999999998</v>
      </c>
      <c r="C190">
        <v>0.41170000000000001</v>
      </c>
      <c r="D190">
        <v>0.36349999999999999</v>
      </c>
      <c r="E190">
        <v>0.37780000000000002</v>
      </c>
      <c r="F190">
        <v>2612332.69</v>
      </c>
      <c r="G190">
        <v>0.37780000000000002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-0.40663900414937643</v>
      </c>
      <c r="Q190">
        <f t="shared" ref="Q190" si="926">F190*P190</f>
        <v>-1062276.3635684617</v>
      </c>
      <c r="R190">
        <f t="shared" ref="R190" si="927">R191+Q190</f>
        <v>-52788670.191734381</v>
      </c>
      <c r="S190">
        <f t="shared" ref="S190" si="928">R190/100000</f>
        <v>-527.88670191734377</v>
      </c>
      <c r="T190">
        <f t="shared" ref="T190" si="929">S190/1000</f>
        <v>-0.52788670191734377</v>
      </c>
    </row>
    <row r="191" spans="1:20" x14ac:dyDescent="0.25">
      <c r="A191" s="5">
        <v>44402</v>
      </c>
      <c r="B191">
        <v>0.37509999999999999</v>
      </c>
      <c r="C191">
        <v>0.3856</v>
      </c>
      <c r="D191">
        <v>0.35780000000000001</v>
      </c>
      <c r="E191">
        <v>0.38150000000000001</v>
      </c>
      <c r="F191">
        <v>1660279.01</v>
      </c>
      <c r="G191">
        <v>0.38150000000000001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0.70503597122302197</v>
      </c>
      <c r="Q191">
        <f t="shared" ref="Q191" si="931">F191*P191</f>
        <v>1170556.4243165473</v>
      </c>
      <c r="R191">
        <f t="shared" ref="R191" si="932">R192+Q191</f>
        <v>-51726393.828165919</v>
      </c>
      <c r="S191">
        <f t="shared" ref="S191" si="933">R191/100000</f>
        <v>-517.26393828165919</v>
      </c>
      <c r="T191">
        <f t="shared" ref="T191:T197" si="934">S191/1000</f>
        <v>-0.51726393828165917</v>
      </c>
    </row>
    <row r="192" spans="1:20" x14ac:dyDescent="0.25">
      <c r="A192" s="5">
        <v>44401</v>
      </c>
      <c r="B192">
        <v>0.3569</v>
      </c>
      <c r="C192">
        <v>0.39300000000000002</v>
      </c>
      <c r="D192">
        <v>0.35070000000000001</v>
      </c>
      <c r="E192">
        <v>0.37469999999999998</v>
      </c>
      <c r="F192">
        <v>2825685.38</v>
      </c>
      <c r="G192">
        <v>0.37469999999999998</v>
      </c>
      <c r="L192" t="s">
        <v>8</v>
      </c>
      <c r="M192" t="s">
        <v>7</v>
      </c>
      <c r="N192" t="s">
        <v>8</v>
      </c>
      <c r="P192">
        <f t="shared" ref="P192" si="935">IF(C192=D192,0,((E192-D192)-(C192-E192))/(C192-D192))</f>
        <v>0.13475177304964367</v>
      </c>
      <c r="Q192">
        <f t="shared" ref="Q192" si="936">F192*P192</f>
        <v>380766.11503545614</v>
      </c>
      <c r="R192">
        <f t="shared" ref="R192" si="937">R193+Q192</f>
        <v>-52896950.252482466</v>
      </c>
      <c r="S192">
        <f t="shared" ref="S192" si="938">R192/100000</f>
        <v>-528.96950252482463</v>
      </c>
      <c r="T192">
        <f t="shared" si="934"/>
        <v>-0.52896950252482466</v>
      </c>
    </row>
    <row r="193" spans="1:20" x14ac:dyDescent="0.25">
      <c r="A193" s="5">
        <v>44400</v>
      </c>
      <c r="B193">
        <v>0.3473</v>
      </c>
      <c r="C193">
        <v>0.36599999999999999</v>
      </c>
      <c r="D193">
        <v>0.33</v>
      </c>
      <c r="E193">
        <v>0.3569</v>
      </c>
      <c r="F193">
        <v>2110602.2400000002</v>
      </c>
      <c r="G193">
        <v>0.3569</v>
      </c>
      <c r="L193" t="s">
        <v>8</v>
      </c>
      <c r="M193" t="s">
        <v>7</v>
      </c>
      <c r="N193" t="s">
        <v>8</v>
      </c>
      <c r="P193">
        <f t="shared" ref="P193" si="939">IF(C193=D193,0,((E193-D193)-(C193-E193))/(C193-D193))</f>
        <v>0.4944444444444443</v>
      </c>
      <c r="Q193">
        <f t="shared" ref="Q193" si="940">F193*P193</f>
        <v>1043575.5519999998</v>
      </c>
      <c r="R193">
        <f t="shared" ref="R193" si="941">R194+Q193</f>
        <v>-53277716.367517926</v>
      </c>
      <c r="S193">
        <f t="shared" ref="S193" si="942">R193/100000</f>
        <v>-532.77716367517928</v>
      </c>
      <c r="T193">
        <f t="shared" si="934"/>
        <v>-0.53277716367517924</v>
      </c>
    </row>
    <row r="194" spans="1:20" x14ac:dyDescent="0.25">
      <c r="A194" s="5">
        <v>44399</v>
      </c>
      <c r="B194">
        <v>0.33579999999999999</v>
      </c>
      <c r="C194">
        <v>0.35010000000000002</v>
      </c>
      <c r="D194">
        <v>0.32569999999999999</v>
      </c>
      <c r="E194">
        <v>0.34689999999999999</v>
      </c>
      <c r="F194">
        <v>1729150.34</v>
      </c>
      <c r="G194">
        <v>0.34689999999999999</v>
      </c>
      <c r="L194" t="s">
        <v>7</v>
      </c>
      <c r="M194" t="s">
        <v>7</v>
      </c>
      <c r="N194" t="s">
        <v>8</v>
      </c>
      <c r="P194">
        <f t="shared" ref="P194" si="943">IF(C194=D194,0,((E194-D194)-(C194-E194))/(C194-D194))</f>
        <v>0.73770491803278426</v>
      </c>
      <c r="Q194">
        <f t="shared" ref="Q194" si="944">F194*P194</f>
        <v>1275602.7098360611</v>
      </c>
      <c r="R194">
        <f t="shared" ref="R194" si="945">R195+Q194</f>
        <v>-54321291.919517927</v>
      </c>
      <c r="S194">
        <f t="shared" ref="S194" si="946">R194/100000</f>
        <v>-543.21291919517932</v>
      </c>
      <c r="T194">
        <f t="shared" si="934"/>
        <v>-0.54321291919517933</v>
      </c>
    </row>
    <row r="195" spans="1:20" x14ac:dyDescent="0.25">
      <c r="A195" s="5">
        <v>44398</v>
      </c>
      <c r="B195">
        <v>0.2949</v>
      </c>
      <c r="C195">
        <v>0.43</v>
      </c>
      <c r="D195">
        <v>0.2893</v>
      </c>
      <c r="E195">
        <v>0.33650000000000002</v>
      </c>
      <c r="F195">
        <v>10007755.550000001</v>
      </c>
      <c r="G195">
        <v>0.33650000000000002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-0.32906894100923922</v>
      </c>
      <c r="Q195">
        <f t="shared" ref="Q195" si="948">F195*P195</f>
        <v>-3293241.5207178369</v>
      </c>
      <c r="R195">
        <f t="shared" ref="R195" si="949">R196+Q195</f>
        <v>-55596894.629353985</v>
      </c>
      <c r="S195">
        <f t="shared" ref="S195" si="950">R195/100000</f>
        <v>-555.96894629353983</v>
      </c>
      <c r="T195">
        <f t="shared" si="934"/>
        <v>-0.55596894629353988</v>
      </c>
    </row>
    <row r="196" spans="1:20" x14ac:dyDescent="0.25">
      <c r="A196" s="5">
        <v>44397</v>
      </c>
      <c r="B196">
        <v>0.31240000000000001</v>
      </c>
      <c r="C196">
        <v>0.31459999999999999</v>
      </c>
      <c r="D196">
        <v>0.27110000000000001</v>
      </c>
      <c r="E196">
        <v>0.29509999999999997</v>
      </c>
      <c r="F196">
        <v>1305283.3799999999</v>
      </c>
      <c r="G196">
        <v>0.29509999999999997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0.10344827586206783</v>
      </c>
      <c r="Q196">
        <f t="shared" ref="Q196" si="952">F196*P196</f>
        <v>135029.31517241229</v>
      </c>
      <c r="R196">
        <f t="shared" ref="R196" si="953">R197+Q196</f>
        <v>-52303653.108636148</v>
      </c>
      <c r="S196">
        <f t="shared" ref="S196" si="954">R196/100000</f>
        <v>-523.03653108636149</v>
      </c>
      <c r="T196">
        <f t="shared" si="934"/>
        <v>-0.5230365310863615</v>
      </c>
    </row>
    <row r="197" spans="1:20" x14ac:dyDescent="0.25">
      <c r="A197" s="5">
        <v>44396</v>
      </c>
      <c r="B197">
        <v>0.33729999999999999</v>
      </c>
      <c r="C197">
        <v>0.33800000000000002</v>
      </c>
      <c r="D197">
        <v>0.2959</v>
      </c>
      <c r="E197">
        <v>0.31369999999999998</v>
      </c>
      <c r="F197">
        <v>1462738.36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-0.15439429928741227</v>
      </c>
      <c r="Q197">
        <f t="shared" ref="Q197" si="956">F197*P197</f>
        <v>-225838.4641330186</v>
      </c>
      <c r="R197">
        <f t="shared" ref="R197" si="957">R198+Q197</f>
        <v>-52438682.42380856</v>
      </c>
      <c r="S197">
        <f t="shared" ref="S197" si="958">R197/100000</f>
        <v>-524.38682423808564</v>
      </c>
      <c r="T197">
        <f t="shared" si="934"/>
        <v>-0.52438682423808569</v>
      </c>
    </row>
    <row r="198" spans="1:20" x14ac:dyDescent="0.25">
      <c r="A198" s="5">
        <v>44395</v>
      </c>
      <c r="B198">
        <v>0.33979999999999999</v>
      </c>
      <c r="C198">
        <v>0.36880000000000002</v>
      </c>
      <c r="D198">
        <v>0.33350000000000002</v>
      </c>
      <c r="E198">
        <v>0.3372</v>
      </c>
      <c r="F198">
        <v>946204.92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-0.79036827195467529</v>
      </c>
      <c r="Q198">
        <f t="shared" ref="Q198:Q261" si="960">F198*P198</f>
        <v>-747850.34753541183</v>
      </c>
      <c r="R198">
        <f t="shared" ref="R198:R261" si="961">R199+Q198</f>
        <v>-52212843.959675543</v>
      </c>
      <c r="S198">
        <f t="shared" ref="S198:S261" si="962">R198/100000</f>
        <v>-522.12843959675547</v>
      </c>
      <c r="T198">
        <f t="shared" ref="T198:T261" si="963">S198/1000</f>
        <v>-0.52212843959675548</v>
      </c>
    </row>
    <row r="199" spans="1:20" x14ac:dyDescent="0.25">
      <c r="A199" s="5">
        <v>44394</v>
      </c>
      <c r="B199">
        <v>0.33579999999999999</v>
      </c>
      <c r="C199">
        <v>0.36</v>
      </c>
      <c r="D199">
        <v>0.3281</v>
      </c>
      <c r="E199">
        <v>0.33979999999999999</v>
      </c>
      <c r="F199">
        <v>1928663.11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-0.26645768025078409</v>
      </c>
      <c r="Q199">
        <f t="shared" si="960"/>
        <v>-513907.09827586287</v>
      </c>
      <c r="R199">
        <f t="shared" si="961"/>
        <v>-51464993.612140134</v>
      </c>
      <c r="S199">
        <f t="shared" si="962"/>
        <v>-514.64993612140131</v>
      </c>
      <c r="T199">
        <f t="shared" si="963"/>
        <v>-0.51464993612140131</v>
      </c>
    </row>
    <row r="200" spans="1:20" x14ac:dyDescent="0.25">
      <c r="A200" s="5">
        <v>44393</v>
      </c>
      <c r="B200">
        <v>0.39789999999999998</v>
      </c>
      <c r="C200">
        <v>0.42070000000000002</v>
      </c>
      <c r="D200">
        <v>0.3342</v>
      </c>
      <c r="E200">
        <v>0.33510000000000001</v>
      </c>
      <c r="F200">
        <v>3756995.54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-0.97919075144508638</v>
      </c>
      <c r="Q200">
        <f t="shared" si="960"/>
        <v>-3678815.2859884379</v>
      </c>
      <c r="R200">
        <f t="shared" si="961"/>
        <v>-50951086.513864271</v>
      </c>
      <c r="S200">
        <f t="shared" si="962"/>
        <v>-509.51086513864271</v>
      </c>
      <c r="T200">
        <f t="shared" si="963"/>
        <v>-0.50951086513864274</v>
      </c>
    </row>
    <row r="201" spans="1:20" x14ac:dyDescent="0.25">
      <c r="A201" s="5">
        <v>44392</v>
      </c>
      <c r="B201">
        <v>0.35920000000000002</v>
      </c>
      <c r="C201">
        <v>0.46</v>
      </c>
      <c r="D201">
        <v>0.35849999999999999</v>
      </c>
      <c r="E201">
        <v>0.39800000000000002</v>
      </c>
      <c r="F201">
        <v>12570159.470000001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-0.2216748768472902</v>
      </c>
      <c r="Q201">
        <f t="shared" si="960"/>
        <v>-2786488.5524630491</v>
      </c>
      <c r="R201">
        <f t="shared" si="961"/>
        <v>-47272271.227875836</v>
      </c>
      <c r="S201">
        <f t="shared" si="962"/>
        <v>-472.72271227875837</v>
      </c>
      <c r="T201">
        <f t="shared" si="963"/>
        <v>-0.47272271227875834</v>
      </c>
    </row>
    <row r="202" spans="1:20" x14ac:dyDescent="0.25">
      <c r="A202" s="5">
        <v>44391</v>
      </c>
      <c r="B202">
        <v>0.34989999999999999</v>
      </c>
      <c r="C202">
        <v>0.36990000000000001</v>
      </c>
      <c r="D202">
        <v>0.32579999999999998</v>
      </c>
      <c r="E202">
        <v>0.35899999999999999</v>
      </c>
      <c r="F202">
        <v>1534363.75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0.50566893424036219</v>
      </c>
      <c r="Q202">
        <f t="shared" si="960"/>
        <v>775880.08219954558</v>
      </c>
      <c r="R202">
        <f t="shared" si="961"/>
        <v>-44485782.675412789</v>
      </c>
      <c r="S202">
        <f t="shared" si="962"/>
        <v>-444.85782675412787</v>
      </c>
      <c r="T202">
        <f t="shared" si="963"/>
        <v>-0.44485782675412788</v>
      </c>
    </row>
    <row r="203" spans="1:20" x14ac:dyDescent="0.25">
      <c r="A203" s="5">
        <v>44390</v>
      </c>
      <c r="B203">
        <v>0.35670000000000002</v>
      </c>
      <c r="C203">
        <v>0.36870000000000003</v>
      </c>
      <c r="D203">
        <v>0.34010000000000001</v>
      </c>
      <c r="E203">
        <v>0.34989999999999999</v>
      </c>
      <c r="F203">
        <v>1131553.28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-0.31468531468531674</v>
      </c>
      <c r="Q203">
        <f t="shared" si="960"/>
        <v>-356083.20000000234</v>
      </c>
      <c r="R203">
        <f t="shared" si="961"/>
        <v>-45261662.757612333</v>
      </c>
      <c r="S203">
        <f t="shared" si="962"/>
        <v>-452.61662757612334</v>
      </c>
      <c r="T203">
        <f t="shared" si="963"/>
        <v>-0.45261662757612331</v>
      </c>
    </row>
    <row r="204" spans="1:20" x14ac:dyDescent="0.25">
      <c r="A204" s="5">
        <v>44389</v>
      </c>
      <c r="B204">
        <v>0.38090000000000002</v>
      </c>
      <c r="C204">
        <v>0.38879999999999998</v>
      </c>
      <c r="D204">
        <v>0.34710000000000002</v>
      </c>
      <c r="E204">
        <v>0.35749999999999998</v>
      </c>
      <c r="F204">
        <v>1025036.26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-0.5011990407673873</v>
      </c>
      <c r="Q204">
        <f t="shared" si="960"/>
        <v>-513747.19026379019</v>
      </c>
      <c r="R204">
        <f t="shared" si="961"/>
        <v>-44905579.55761233</v>
      </c>
      <c r="S204">
        <f t="shared" si="962"/>
        <v>-449.05579557612327</v>
      </c>
      <c r="T204">
        <f t="shared" si="963"/>
        <v>-0.4490557955761233</v>
      </c>
    </row>
    <row r="205" spans="1:20" x14ac:dyDescent="0.25">
      <c r="A205" s="5">
        <v>44388</v>
      </c>
      <c r="B205">
        <v>0.34899999999999998</v>
      </c>
      <c r="C205">
        <v>0.38500000000000001</v>
      </c>
      <c r="D205">
        <v>0.34339999999999998</v>
      </c>
      <c r="E205">
        <v>0.38150000000000001</v>
      </c>
      <c r="F205">
        <v>1569329.72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0.83173076923076916</v>
      </c>
      <c r="Q205">
        <f t="shared" si="960"/>
        <v>1305259.8151923076</v>
      </c>
      <c r="R205">
        <f t="shared" si="961"/>
        <v>-44391832.367348537</v>
      </c>
      <c r="S205">
        <f t="shared" si="962"/>
        <v>-443.91832367348536</v>
      </c>
      <c r="T205">
        <f t="shared" si="963"/>
        <v>-0.44391832367348538</v>
      </c>
    </row>
    <row r="206" spans="1:20" x14ac:dyDescent="0.25">
      <c r="A206" s="5">
        <v>44387</v>
      </c>
      <c r="B206">
        <v>0.36259999999999998</v>
      </c>
      <c r="C206">
        <v>0.375</v>
      </c>
      <c r="D206">
        <v>0.33829999999999999</v>
      </c>
      <c r="E206">
        <v>0.34970000000000001</v>
      </c>
      <c r="F206">
        <v>1264751.45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-0.37874659400544863</v>
      </c>
      <c r="Q206">
        <f t="shared" si="960"/>
        <v>-479020.30395095242</v>
      </c>
      <c r="R206">
        <f t="shared" si="961"/>
        <v>-45697092.182540841</v>
      </c>
      <c r="S206">
        <f t="shared" si="962"/>
        <v>-456.97092182540842</v>
      </c>
      <c r="T206">
        <f t="shared" si="963"/>
        <v>-0.45697092182540844</v>
      </c>
    </row>
    <row r="207" spans="1:20" x14ac:dyDescent="0.25">
      <c r="A207" s="5">
        <v>44386</v>
      </c>
      <c r="B207">
        <v>0.35420000000000001</v>
      </c>
      <c r="C207">
        <v>0.37480000000000002</v>
      </c>
      <c r="D207">
        <v>0.33050000000000002</v>
      </c>
      <c r="E207">
        <v>0.36499999999999999</v>
      </c>
      <c r="F207">
        <v>1177195.8899999999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0.55756207674943437</v>
      </c>
      <c r="Q207">
        <f t="shared" si="960"/>
        <v>656359.78516929864</v>
      </c>
      <c r="R207">
        <f t="shared" si="961"/>
        <v>-45218071.878589891</v>
      </c>
      <c r="S207">
        <f t="shared" si="962"/>
        <v>-452.18071878589893</v>
      </c>
      <c r="T207">
        <f t="shared" si="963"/>
        <v>-0.45218071878589894</v>
      </c>
    </row>
    <row r="208" spans="1:20" x14ac:dyDescent="0.25">
      <c r="A208" s="5">
        <v>44385</v>
      </c>
      <c r="B208">
        <v>0.38890000000000002</v>
      </c>
      <c r="C208">
        <v>0.4168</v>
      </c>
      <c r="D208">
        <v>0.34300000000000003</v>
      </c>
      <c r="E208">
        <v>0.3553</v>
      </c>
      <c r="F208">
        <v>4775868.72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-0.66666666666666718</v>
      </c>
      <c r="Q208">
        <f t="shared" si="960"/>
        <v>-3183912.4800000023</v>
      </c>
      <c r="R208">
        <f t="shared" si="961"/>
        <v>-45874431.663759187</v>
      </c>
      <c r="S208">
        <f t="shared" si="962"/>
        <v>-458.74431663759185</v>
      </c>
      <c r="T208">
        <f t="shared" si="963"/>
        <v>-0.45874431663759185</v>
      </c>
    </row>
    <row r="209" spans="1:20" x14ac:dyDescent="0.25">
      <c r="A209" s="5">
        <v>44384</v>
      </c>
      <c r="B209">
        <v>0.37419999999999998</v>
      </c>
      <c r="C209">
        <v>0.41439999999999999</v>
      </c>
      <c r="D209">
        <v>0.36709999999999998</v>
      </c>
      <c r="E209">
        <v>0.38500000000000001</v>
      </c>
      <c r="F209">
        <v>3199812.55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-0.24312896405919562</v>
      </c>
      <c r="Q209">
        <f t="shared" si="960"/>
        <v>-777967.11046511307</v>
      </c>
      <c r="R209">
        <f t="shared" si="961"/>
        <v>-42690519.183759183</v>
      </c>
      <c r="S209">
        <f t="shared" si="962"/>
        <v>-426.90519183759181</v>
      </c>
      <c r="T209">
        <f t="shared" si="963"/>
        <v>-0.42690519183759179</v>
      </c>
    </row>
    <row r="210" spans="1:20" x14ac:dyDescent="0.25">
      <c r="A210" s="5">
        <v>44383</v>
      </c>
      <c r="B210">
        <v>0.35539999999999999</v>
      </c>
      <c r="C210">
        <v>0.37790000000000001</v>
      </c>
      <c r="D210">
        <v>0.35120000000000001</v>
      </c>
      <c r="E210">
        <v>0.37469999999999998</v>
      </c>
      <c r="F210">
        <v>1178003.49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0.7602996254681621</v>
      </c>
      <c r="Q210">
        <f t="shared" si="960"/>
        <v>895635.61224718788</v>
      </c>
      <c r="R210">
        <f t="shared" si="961"/>
        <v>-41912552.073294066</v>
      </c>
      <c r="S210">
        <f t="shared" si="962"/>
        <v>-419.12552073294069</v>
      </c>
      <c r="T210">
        <f t="shared" si="963"/>
        <v>-0.41912552073294068</v>
      </c>
    </row>
    <row r="211" spans="1:20" x14ac:dyDescent="0.25">
      <c r="A211" s="5">
        <v>44382</v>
      </c>
      <c r="B211">
        <v>0.37430000000000002</v>
      </c>
      <c r="C211">
        <v>0.37630000000000002</v>
      </c>
      <c r="D211">
        <v>0.34910000000000002</v>
      </c>
      <c r="E211">
        <v>0.35360000000000003</v>
      </c>
      <c r="F211">
        <v>1164395.57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-0.66911764705882326</v>
      </c>
      <c r="Q211">
        <f t="shared" si="960"/>
        <v>-779117.6240441174</v>
      </c>
      <c r="R211">
        <f t="shared" si="961"/>
        <v>-42808187.685541257</v>
      </c>
      <c r="S211">
        <f t="shared" si="962"/>
        <v>-428.08187685541259</v>
      </c>
      <c r="T211">
        <f t="shared" si="963"/>
        <v>-0.4280818768554126</v>
      </c>
    </row>
    <row r="212" spans="1:20" x14ac:dyDescent="0.25">
      <c r="A212" s="5">
        <v>44381</v>
      </c>
      <c r="B212">
        <v>0.36820000000000003</v>
      </c>
      <c r="C212">
        <v>0.41789999999999999</v>
      </c>
      <c r="D212">
        <v>0.35920000000000002</v>
      </c>
      <c r="E212">
        <v>0.37419999999999998</v>
      </c>
      <c r="F212">
        <v>3715002.35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-0.48892674616695181</v>
      </c>
      <c r="Q212">
        <f t="shared" si="960"/>
        <v>-1816364.0109880795</v>
      </c>
      <c r="R212">
        <f t="shared" si="961"/>
        <v>-42029070.061497137</v>
      </c>
      <c r="S212">
        <f t="shared" si="962"/>
        <v>-420.29070061497134</v>
      </c>
      <c r="T212">
        <f t="shared" si="963"/>
        <v>-0.42029070061497137</v>
      </c>
    </row>
    <row r="213" spans="1:20" x14ac:dyDescent="0.25">
      <c r="A213" s="5">
        <v>44380</v>
      </c>
      <c r="B213">
        <v>0.3523</v>
      </c>
      <c r="C213">
        <v>0.3745</v>
      </c>
      <c r="D213">
        <v>0.34720000000000001</v>
      </c>
      <c r="E213">
        <v>0.36820000000000003</v>
      </c>
      <c r="F213">
        <v>575337.4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0.53846153846154032</v>
      </c>
      <c r="Q213">
        <f t="shared" si="960"/>
        <v>309797.06153846264</v>
      </c>
      <c r="R213">
        <f t="shared" si="961"/>
        <v>-40212706.050509058</v>
      </c>
      <c r="S213">
        <f t="shared" si="962"/>
        <v>-402.12706050509058</v>
      </c>
      <c r="T213">
        <f t="shared" si="963"/>
        <v>-0.40212706050509056</v>
      </c>
    </row>
    <row r="214" spans="1:20" x14ac:dyDescent="0.25">
      <c r="A214" s="5">
        <v>44379</v>
      </c>
      <c r="B214">
        <v>0.35410000000000003</v>
      </c>
      <c r="C214">
        <v>0.35709999999999997</v>
      </c>
      <c r="D214">
        <v>0.33389999999999997</v>
      </c>
      <c r="E214">
        <v>0.35210000000000002</v>
      </c>
      <c r="F214">
        <v>529779.88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0.56896551724138367</v>
      </c>
      <c r="Q214">
        <f t="shared" si="960"/>
        <v>301426.48344827816</v>
      </c>
      <c r="R214">
        <f t="shared" si="961"/>
        <v>-40522503.112047523</v>
      </c>
      <c r="S214">
        <f t="shared" si="962"/>
        <v>-405.22503112047525</v>
      </c>
      <c r="T214">
        <f t="shared" si="963"/>
        <v>-0.40522503112047525</v>
      </c>
    </row>
    <row r="215" spans="1:20" x14ac:dyDescent="0.25">
      <c r="A215" s="5">
        <v>44378</v>
      </c>
      <c r="B215">
        <v>0.36220000000000002</v>
      </c>
      <c r="C215">
        <v>0.36959999999999998</v>
      </c>
      <c r="D215">
        <v>0.34</v>
      </c>
      <c r="E215">
        <v>0.3533</v>
      </c>
      <c r="F215">
        <v>960893.75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-0.10135135135135158</v>
      </c>
      <c r="Q215">
        <f t="shared" si="960"/>
        <v>-97387.880067567792</v>
      </c>
      <c r="R215">
        <f t="shared" si="961"/>
        <v>-40823929.595495805</v>
      </c>
      <c r="S215">
        <f t="shared" si="962"/>
        <v>-408.23929595495804</v>
      </c>
      <c r="T215">
        <f t="shared" si="963"/>
        <v>-0.40823929595495806</v>
      </c>
    </row>
    <row r="216" spans="1:20" x14ac:dyDescent="0.25">
      <c r="A216" s="5">
        <v>44377</v>
      </c>
      <c r="B216">
        <v>0.38319999999999999</v>
      </c>
      <c r="C216">
        <v>0.3896</v>
      </c>
      <c r="D216">
        <v>0.34710000000000002</v>
      </c>
      <c r="E216">
        <v>0.36430000000000001</v>
      </c>
      <c r="F216">
        <v>1360303.72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-0.19058823529411764</v>
      </c>
      <c r="Q216">
        <f t="shared" si="960"/>
        <v>-259257.88545882353</v>
      </c>
      <c r="R216">
        <f t="shared" si="961"/>
        <v>-40726541.715428241</v>
      </c>
      <c r="S216">
        <f t="shared" si="962"/>
        <v>-407.26541715428243</v>
      </c>
      <c r="T216">
        <f t="shared" si="963"/>
        <v>-0.40726541715428244</v>
      </c>
    </row>
    <row r="217" spans="1:20" x14ac:dyDescent="0.25">
      <c r="A217" s="5">
        <v>44376</v>
      </c>
      <c r="B217">
        <v>0.36849999999999999</v>
      </c>
      <c r="C217">
        <v>0.44500000000000001</v>
      </c>
      <c r="D217">
        <v>0.36099999999999999</v>
      </c>
      <c r="E217">
        <v>0.3846</v>
      </c>
      <c r="F217">
        <v>2644316.88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-0.43809523809523798</v>
      </c>
      <c r="Q217">
        <f t="shared" si="960"/>
        <v>-1158462.6331428569</v>
      </c>
      <c r="R217">
        <f t="shared" si="961"/>
        <v>-40467283.829969414</v>
      </c>
      <c r="S217">
        <f t="shared" si="962"/>
        <v>-404.67283829969415</v>
      </c>
      <c r="T217">
        <f t="shared" si="963"/>
        <v>-0.40467283829969414</v>
      </c>
    </row>
    <row r="218" spans="1:20" x14ac:dyDescent="0.25">
      <c r="A218" s="5">
        <v>44375</v>
      </c>
      <c r="B218">
        <v>0.35510000000000003</v>
      </c>
      <c r="C218">
        <v>0.37959999999999999</v>
      </c>
      <c r="D218">
        <v>0.34079999999999999</v>
      </c>
      <c r="E218">
        <v>0.3715</v>
      </c>
      <c r="F218">
        <v>1381425.74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0.58247422680412397</v>
      </c>
      <c r="Q218">
        <f t="shared" si="960"/>
        <v>804644.88979381474</v>
      </c>
      <c r="R218">
        <f t="shared" si="961"/>
        <v>-39308821.196826555</v>
      </c>
      <c r="S218">
        <f t="shared" si="962"/>
        <v>-393.08821196826557</v>
      </c>
      <c r="T218">
        <f t="shared" si="963"/>
        <v>-0.39308821196826554</v>
      </c>
    </row>
    <row r="219" spans="1:20" x14ac:dyDescent="0.25">
      <c r="A219" s="5">
        <v>44374</v>
      </c>
      <c r="B219">
        <v>0.33329999999999999</v>
      </c>
      <c r="C219">
        <v>0.36</v>
      </c>
      <c r="D219">
        <v>0.32669999999999999</v>
      </c>
      <c r="E219">
        <v>0.35749999999999998</v>
      </c>
      <c r="F219">
        <v>946032.42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0.84984984984984968</v>
      </c>
      <c r="Q219">
        <f t="shared" si="960"/>
        <v>803985.51009008999</v>
      </c>
      <c r="R219">
        <f t="shared" si="961"/>
        <v>-40113466.086620368</v>
      </c>
      <c r="S219">
        <f t="shared" si="962"/>
        <v>-401.13466086620366</v>
      </c>
      <c r="T219">
        <f t="shared" si="963"/>
        <v>-0.40113466086620364</v>
      </c>
    </row>
    <row r="220" spans="1:20" x14ac:dyDescent="0.25">
      <c r="A220" s="5">
        <v>44373</v>
      </c>
      <c r="B220">
        <v>0.3473</v>
      </c>
      <c r="C220">
        <v>0.35589999999999999</v>
      </c>
      <c r="D220">
        <v>0.30430000000000001</v>
      </c>
      <c r="E220">
        <v>0.33310000000000001</v>
      </c>
      <c r="F220">
        <v>2104830.6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0.11627906976744201</v>
      </c>
      <c r="Q220">
        <f t="shared" si="960"/>
        <v>244747.74418604685</v>
      </c>
      <c r="R220">
        <f t="shared" si="961"/>
        <v>-40917451.596710458</v>
      </c>
      <c r="S220">
        <f t="shared" si="962"/>
        <v>-409.17451596710458</v>
      </c>
      <c r="T220">
        <f t="shared" si="963"/>
        <v>-0.40917451596710458</v>
      </c>
    </row>
    <row r="221" spans="1:20" x14ac:dyDescent="0.25">
      <c r="A221" s="5">
        <v>44372</v>
      </c>
      <c r="B221">
        <v>0.39960000000000001</v>
      </c>
      <c r="C221">
        <v>0.4199</v>
      </c>
      <c r="D221">
        <v>0.33600000000000002</v>
      </c>
      <c r="E221">
        <v>0.3473</v>
      </c>
      <c r="F221">
        <v>1757064.86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-0.73063170441001235</v>
      </c>
      <c r="Q221">
        <f t="shared" si="960"/>
        <v>-1283767.2934207397</v>
      </c>
      <c r="R221">
        <f t="shared" si="961"/>
        <v>-41162199.340896502</v>
      </c>
      <c r="S221">
        <f t="shared" si="962"/>
        <v>-411.62199340896501</v>
      </c>
      <c r="T221">
        <f t="shared" si="963"/>
        <v>-0.41162199340896499</v>
      </c>
    </row>
    <row r="222" spans="1:20" x14ac:dyDescent="0.25">
      <c r="A222" s="5">
        <v>44371</v>
      </c>
      <c r="B222">
        <v>0.38290000000000002</v>
      </c>
      <c r="C222">
        <v>0.4148</v>
      </c>
      <c r="D222">
        <v>0.36499999999999999</v>
      </c>
      <c r="E222">
        <v>0.39789999999999998</v>
      </c>
      <c r="F222">
        <v>1530282.04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0.32128514056224811</v>
      </c>
      <c r="Q222">
        <f t="shared" si="960"/>
        <v>491656.88032128377</v>
      </c>
      <c r="R222">
        <f t="shared" si="961"/>
        <v>-39878432.047475763</v>
      </c>
      <c r="S222">
        <f t="shared" si="962"/>
        <v>-398.78432047475764</v>
      </c>
      <c r="T222">
        <f t="shared" si="963"/>
        <v>-0.39878432047475765</v>
      </c>
    </row>
    <row r="223" spans="1:20" x14ac:dyDescent="0.25">
      <c r="A223" s="5">
        <v>44370</v>
      </c>
      <c r="B223">
        <v>0.35049999999999998</v>
      </c>
      <c r="C223">
        <v>0.47</v>
      </c>
      <c r="D223">
        <v>0.3427</v>
      </c>
      <c r="E223">
        <v>0.38300000000000001</v>
      </c>
      <c r="F223">
        <v>4069545.05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-0.3668499607227021</v>
      </c>
      <c r="Q223">
        <f t="shared" si="960"/>
        <v>-1492912.4417517667</v>
      </c>
      <c r="R223">
        <f t="shared" si="961"/>
        <v>-40370088.927797049</v>
      </c>
      <c r="S223">
        <f t="shared" si="962"/>
        <v>-403.70088927797048</v>
      </c>
      <c r="T223">
        <f t="shared" si="963"/>
        <v>-0.40370088927797049</v>
      </c>
    </row>
    <row r="224" spans="1:20" x14ac:dyDescent="0.25">
      <c r="A224" s="5">
        <v>44369</v>
      </c>
      <c r="B224">
        <v>0.34810000000000002</v>
      </c>
      <c r="C224">
        <v>0.41210000000000002</v>
      </c>
      <c r="D224">
        <v>0.2878</v>
      </c>
      <c r="E224">
        <v>0.34799999999999998</v>
      </c>
      <c r="F224">
        <v>2860992.02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-3.1375703942076179E-2</v>
      </c>
      <c r="Q224">
        <f t="shared" si="960"/>
        <v>-89765.638600162492</v>
      </c>
      <c r="R224">
        <f t="shared" si="961"/>
        <v>-38877176.486045286</v>
      </c>
      <c r="S224">
        <f t="shared" si="962"/>
        <v>-388.77176486045283</v>
      </c>
      <c r="T224">
        <f t="shared" si="963"/>
        <v>-0.38877176486045284</v>
      </c>
    </row>
    <row r="225" spans="1:20" x14ac:dyDescent="0.25">
      <c r="A225" s="5">
        <v>44368</v>
      </c>
      <c r="B225">
        <v>0.46360000000000001</v>
      </c>
      <c r="C225">
        <v>0.4637</v>
      </c>
      <c r="D225">
        <v>0.34839999999999999</v>
      </c>
      <c r="E225">
        <v>0.34839999999999999</v>
      </c>
      <c r="F225">
        <v>2210006.25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-1</v>
      </c>
      <c r="Q225">
        <f t="shared" si="960"/>
        <v>-2210006.25</v>
      </c>
      <c r="R225">
        <f t="shared" si="961"/>
        <v>-38787410.847445123</v>
      </c>
      <c r="S225">
        <f t="shared" si="962"/>
        <v>-387.87410847445125</v>
      </c>
      <c r="T225">
        <f t="shared" si="963"/>
        <v>-0.38787410847445125</v>
      </c>
    </row>
    <row r="226" spans="1:20" x14ac:dyDescent="0.25">
      <c r="A226" s="5">
        <v>44367</v>
      </c>
      <c r="B226">
        <v>0.46260000000000001</v>
      </c>
      <c r="C226">
        <v>0.47120000000000001</v>
      </c>
      <c r="D226">
        <v>0.4244</v>
      </c>
      <c r="E226">
        <v>0.46329999999999999</v>
      </c>
      <c r="F226">
        <v>1339920.4099999999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0.66239316239316171</v>
      </c>
      <c r="Q226">
        <f t="shared" si="960"/>
        <v>887554.11773504177</v>
      </c>
      <c r="R226">
        <f t="shared" si="961"/>
        <v>-36577404.597445123</v>
      </c>
      <c r="S226">
        <f t="shared" si="962"/>
        <v>-365.77404597445121</v>
      </c>
      <c r="T226">
        <f t="shared" si="963"/>
        <v>-0.36577404597445123</v>
      </c>
    </row>
    <row r="227" spans="1:20" x14ac:dyDescent="0.25">
      <c r="A227" s="5">
        <v>44366</v>
      </c>
      <c r="B227">
        <v>0.46739999999999998</v>
      </c>
      <c r="C227">
        <v>0.48060000000000003</v>
      </c>
      <c r="D227">
        <v>0.44419999999999998</v>
      </c>
      <c r="E227">
        <v>0.46139999999999998</v>
      </c>
      <c r="F227">
        <v>1979535.52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-5.494505494505645E-2</v>
      </c>
      <c r="Q227">
        <f t="shared" si="960"/>
        <v>-108765.68791209089</v>
      </c>
      <c r="R227">
        <f t="shared" si="961"/>
        <v>-37464958.715180166</v>
      </c>
      <c r="S227">
        <f t="shared" si="962"/>
        <v>-374.64958715180165</v>
      </c>
      <c r="T227">
        <f t="shared" si="963"/>
        <v>-0.37464958715180163</v>
      </c>
    </row>
    <row r="228" spans="1:20" x14ac:dyDescent="0.25">
      <c r="A228" s="5">
        <v>44365</v>
      </c>
      <c r="B228">
        <v>0.51049999999999995</v>
      </c>
      <c r="C228">
        <v>0.53</v>
      </c>
      <c r="D228">
        <v>0.45960000000000001</v>
      </c>
      <c r="E228">
        <v>0.46550000000000002</v>
      </c>
      <c r="F228">
        <v>2393373.0699999998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-0.8323863636363632</v>
      </c>
      <c r="Q228">
        <f t="shared" si="960"/>
        <v>-1992211.1065624987</v>
      </c>
      <c r="R228">
        <f t="shared" si="961"/>
        <v>-37356193.027268074</v>
      </c>
      <c r="S228">
        <f t="shared" si="962"/>
        <v>-373.56193027268074</v>
      </c>
      <c r="T228">
        <f t="shared" si="963"/>
        <v>-0.37356193027268075</v>
      </c>
    </row>
    <row r="229" spans="1:20" x14ac:dyDescent="0.25">
      <c r="A229" s="5">
        <v>44364</v>
      </c>
      <c r="B229">
        <v>0.50049999999999994</v>
      </c>
      <c r="C229">
        <v>0.55449999999999999</v>
      </c>
      <c r="D229">
        <v>0.47760000000000002</v>
      </c>
      <c r="E229">
        <v>0.50749999999999995</v>
      </c>
      <c r="F229">
        <v>4684091.79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-0.22236671001300548</v>
      </c>
      <c r="Q229">
        <f t="shared" si="960"/>
        <v>-1041586.0807412298</v>
      </c>
      <c r="R229">
        <f t="shared" si="961"/>
        <v>-35363981.920705579</v>
      </c>
      <c r="S229">
        <f t="shared" si="962"/>
        <v>-353.63981920705578</v>
      </c>
      <c r="T229">
        <f t="shared" si="963"/>
        <v>-0.35363981920705578</v>
      </c>
    </row>
    <row r="230" spans="1:20" x14ac:dyDescent="0.25">
      <c r="A230" s="5">
        <v>44363</v>
      </c>
      <c r="B230">
        <v>0.49309999999999998</v>
      </c>
      <c r="C230">
        <v>0.55000000000000004</v>
      </c>
      <c r="D230">
        <v>0.46910000000000002</v>
      </c>
      <c r="E230">
        <v>0.50019999999999998</v>
      </c>
      <c r="F230">
        <v>3518941.6</v>
      </c>
      <c r="G230">
        <v>0</v>
      </c>
      <c r="L230" t="s">
        <v>8</v>
      </c>
      <c r="M230" t="s">
        <v>7</v>
      </c>
      <c r="N230" t="s">
        <v>8</v>
      </c>
      <c r="P230">
        <f t="shared" si="959"/>
        <v>-0.23114956736712114</v>
      </c>
      <c r="Q230">
        <f t="shared" si="960"/>
        <v>-813401.82843016507</v>
      </c>
      <c r="R230">
        <f t="shared" si="961"/>
        <v>-34322395.839964353</v>
      </c>
      <c r="S230">
        <f t="shared" si="962"/>
        <v>-343.22395839964355</v>
      </c>
      <c r="T230">
        <f t="shared" si="963"/>
        <v>-0.34322395839964354</v>
      </c>
    </row>
    <row r="231" spans="1:20" x14ac:dyDescent="0.25">
      <c r="A231" s="5">
        <v>44362</v>
      </c>
      <c r="B231">
        <v>0.52210000000000001</v>
      </c>
      <c r="C231">
        <v>0.55210000000000004</v>
      </c>
      <c r="D231">
        <v>0.4703</v>
      </c>
      <c r="E231">
        <v>0.49309999999999998</v>
      </c>
      <c r="F231">
        <v>2458390.04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-0.44254278728606417</v>
      </c>
      <c r="Q231">
        <f t="shared" si="960"/>
        <v>-1087942.7805378989</v>
      </c>
      <c r="R231">
        <f t="shared" si="961"/>
        <v>-33508994.011534188</v>
      </c>
      <c r="S231">
        <f t="shared" si="962"/>
        <v>-335.0899401153419</v>
      </c>
      <c r="T231">
        <f t="shared" si="963"/>
        <v>-0.33508994011534188</v>
      </c>
    </row>
    <row r="232" spans="1:20" x14ac:dyDescent="0.25">
      <c r="A232" s="5">
        <v>44361</v>
      </c>
      <c r="B232">
        <v>0.50790000000000002</v>
      </c>
      <c r="C232">
        <v>0.57020000000000004</v>
      </c>
      <c r="D232">
        <v>0.4864</v>
      </c>
      <c r="E232">
        <v>0.52210000000000001</v>
      </c>
      <c r="F232">
        <v>4454420.9800000004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-0.14797136038186176</v>
      </c>
      <c r="Q232">
        <f t="shared" si="960"/>
        <v>-659126.73212410591</v>
      </c>
      <c r="R232">
        <f t="shared" si="961"/>
        <v>-32421051.230996288</v>
      </c>
      <c r="S232">
        <f t="shared" si="962"/>
        <v>-324.21051230996289</v>
      </c>
      <c r="T232">
        <f t="shared" si="963"/>
        <v>-0.32421051230996289</v>
      </c>
    </row>
    <row r="233" spans="1:20" x14ac:dyDescent="0.25">
      <c r="A233" s="5">
        <v>44360</v>
      </c>
      <c r="B233">
        <v>0.43569999999999998</v>
      </c>
      <c r="C233">
        <v>0.52090000000000003</v>
      </c>
      <c r="D233">
        <v>0.43359999999999999</v>
      </c>
      <c r="E233">
        <v>0.50619999999999998</v>
      </c>
      <c r="F233">
        <v>1934962.2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0.66323024054982727</v>
      </c>
      <c r="Q233">
        <f t="shared" si="960"/>
        <v>1283325.4453608228</v>
      </c>
      <c r="R233">
        <f t="shared" si="961"/>
        <v>-31761924.498872183</v>
      </c>
      <c r="S233">
        <f t="shared" si="962"/>
        <v>-317.61924498872185</v>
      </c>
      <c r="T233">
        <f t="shared" si="963"/>
        <v>-0.31761924498872185</v>
      </c>
    </row>
    <row r="234" spans="1:20" x14ac:dyDescent="0.25">
      <c r="A234" s="5">
        <v>44359</v>
      </c>
      <c r="B234">
        <v>0.48020000000000002</v>
      </c>
      <c r="C234">
        <v>0.48170000000000002</v>
      </c>
      <c r="D234">
        <v>0.42009999999999997</v>
      </c>
      <c r="E234">
        <v>0.43440000000000001</v>
      </c>
      <c r="F234">
        <v>2725972.77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-0.53571428571428492</v>
      </c>
      <c r="Q234">
        <f t="shared" si="960"/>
        <v>-1460342.5553571407</v>
      </c>
      <c r="R234">
        <f t="shared" si="961"/>
        <v>-33045249.944233008</v>
      </c>
      <c r="S234">
        <f t="shared" si="962"/>
        <v>-330.45249944233007</v>
      </c>
      <c r="T234">
        <f t="shared" si="963"/>
        <v>-0.33045249944233007</v>
      </c>
    </row>
    <row r="235" spans="1:20" x14ac:dyDescent="0.25">
      <c r="A235" s="5">
        <v>44358</v>
      </c>
      <c r="B235">
        <v>0.50219999999999998</v>
      </c>
      <c r="C235">
        <v>0.59399999999999997</v>
      </c>
      <c r="D235">
        <v>0.47139999999999999</v>
      </c>
      <c r="E235">
        <v>0.47699999999999998</v>
      </c>
      <c r="F235">
        <v>6740981.4299999997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-0.90864600326264278</v>
      </c>
      <c r="Q235">
        <f t="shared" si="960"/>
        <v>-6125165.8344371943</v>
      </c>
      <c r="R235">
        <f t="shared" si="961"/>
        <v>-31584907.388875868</v>
      </c>
      <c r="S235">
        <f t="shared" si="962"/>
        <v>-315.84907388875871</v>
      </c>
      <c r="T235">
        <f t="shared" si="963"/>
        <v>-0.31584907388875871</v>
      </c>
    </row>
    <row r="236" spans="1:20" x14ac:dyDescent="0.25">
      <c r="A236" s="5">
        <v>44357</v>
      </c>
      <c r="B236">
        <v>0.48549999999999999</v>
      </c>
      <c r="C236">
        <v>0.59499999999999997</v>
      </c>
      <c r="D236">
        <v>0.46500000000000002</v>
      </c>
      <c r="E236">
        <v>0.50090000000000001</v>
      </c>
      <c r="F236">
        <v>9149147.6699999999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-0.44769230769230767</v>
      </c>
      <c r="Q236">
        <f t="shared" si="960"/>
        <v>-4096003.0337999999</v>
      </c>
      <c r="R236">
        <f t="shared" si="961"/>
        <v>-25459741.554438673</v>
      </c>
      <c r="S236">
        <f t="shared" si="962"/>
        <v>-254.59741554438673</v>
      </c>
      <c r="T236">
        <f t="shared" si="963"/>
        <v>-0.25459741554438675</v>
      </c>
    </row>
    <row r="237" spans="1:20" x14ac:dyDescent="0.25">
      <c r="A237" s="5">
        <v>44356</v>
      </c>
      <c r="B237">
        <v>0.44140000000000001</v>
      </c>
      <c r="C237">
        <v>0.49</v>
      </c>
      <c r="D237">
        <v>0.41499999999999998</v>
      </c>
      <c r="E237">
        <v>0.48180000000000001</v>
      </c>
      <c r="F237">
        <v>3644554.51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0.78133333333333377</v>
      </c>
      <c r="Q237">
        <f t="shared" si="960"/>
        <v>2847611.9238133347</v>
      </c>
      <c r="R237">
        <f t="shared" si="961"/>
        <v>-21363738.520638674</v>
      </c>
      <c r="S237">
        <f t="shared" si="962"/>
        <v>-213.63738520638674</v>
      </c>
      <c r="T237">
        <f t="shared" si="963"/>
        <v>-0.21363738520638673</v>
      </c>
    </row>
    <row r="238" spans="1:20" x14ac:dyDescent="0.25">
      <c r="A238" s="5">
        <v>44355</v>
      </c>
      <c r="B238">
        <v>0.41599999999999998</v>
      </c>
      <c r="C238">
        <v>0.5</v>
      </c>
      <c r="D238">
        <v>0.36940000000000001</v>
      </c>
      <c r="E238">
        <v>0.4415</v>
      </c>
      <c r="F238">
        <v>4062758.97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0.10413476263399694</v>
      </c>
      <c r="Q238">
        <f t="shared" si="960"/>
        <v>423074.44098009192</v>
      </c>
      <c r="R238">
        <f t="shared" si="961"/>
        <v>-24211350.44445201</v>
      </c>
      <c r="S238">
        <f t="shared" si="962"/>
        <v>-242.11350444452009</v>
      </c>
      <c r="T238">
        <f t="shared" si="963"/>
        <v>-0.24211350444452009</v>
      </c>
    </row>
    <row r="239" spans="1:20" x14ac:dyDescent="0.25">
      <c r="A239" s="5">
        <v>44354</v>
      </c>
      <c r="B239">
        <v>0.4844</v>
      </c>
      <c r="C239">
        <v>0.54300000000000004</v>
      </c>
      <c r="D239">
        <v>0.41439999999999999</v>
      </c>
      <c r="E239">
        <v>0.41599999999999998</v>
      </c>
      <c r="F239">
        <v>3313215.05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-0.97511664074650095</v>
      </c>
      <c r="Q239">
        <f t="shared" si="960"/>
        <v>-3230771.12962675</v>
      </c>
      <c r="R239">
        <f t="shared" si="961"/>
        <v>-24634424.885432102</v>
      </c>
      <c r="S239">
        <f t="shared" si="962"/>
        <v>-246.34424885432102</v>
      </c>
      <c r="T239">
        <f t="shared" si="963"/>
        <v>-0.24634424885432102</v>
      </c>
    </row>
    <row r="240" spans="1:20" x14ac:dyDescent="0.25">
      <c r="A240" s="5">
        <v>44353</v>
      </c>
      <c r="B240">
        <v>0.4531</v>
      </c>
      <c r="C240">
        <v>0.57999999999999996</v>
      </c>
      <c r="D240">
        <v>0.44990000000000002</v>
      </c>
      <c r="E240">
        <v>0.48209999999999997</v>
      </c>
      <c r="F240">
        <v>2633638.4500000002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-0.50499615680246013</v>
      </c>
      <c r="Q240">
        <f t="shared" si="960"/>
        <v>-1329977.2956571882</v>
      </c>
      <c r="R240">
        <f t="shared" si="961"/>
        <v>-21403653.755805351</v>
      </c>
      <c r="S240">
        <f t="shared" si="962"/>
        <v>-214.03653755805351</v>
      </c>
      <c r="T240">
        <f t="shared" si="963"/>
        <v>-0.21403653755805352</v>
      </c>
    </row>
    <row r="241" spans="1:20" x14ac:dyDescent="0.25">
      <c r="A241" s="5">
        <v>44352</v>
      </c>
      <c r="B241">
        <v>0.47</v>
      </c>
      <c r="C241">
        <v>0.51</v>
      </c>
      <c r="D241">
        <v>0.43969999999999998</v>
      </c>
      <c r="E241">
        <v>0.44979999999999998</v>
      </c>
      <c r="F241">
        <v>1054604.26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-0.71266002844950227</v>
      </c>
      <c r="Q241">
        <f t="shared" si="960"/>
        <v>-751574.30193456635</v>
      </c>
      <c r="R241">
        <f t="shared" si="961"/>
        <v>-20073676.460148163</v>
      </c>
      <c r="S241">
        <f t="shared" si="962"/>
        <v>-200.73676460148164</v>
      </c>
      <c r="T241">
        <f t="shared" si="963"/>
        <v>-0.20073676460148163</v>
      </c>
    </row>
    <row r="242" spans="1:20" x14ac:dyDescent="0.25">
      <c r="A242" s="5">
        <v>44351</v>
      </c>
      <c r="B242">
        <v>0.55089999999999995</v>
      </c>
      <c r="C242">
        <v>0.55100000000000005</v>
      </c>
      <c r="D242">
        <v>0.42380000000000001</v>
      </c>
      <c r="E242">
        <v>0.46760000000000002</v>
      </c>
      <c r="F242">
        <v>1731902.26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-0.31132075471698123</v>
      </c>
      <c r="Q242">
        <f t="shared" si="960"/>
        <v>-539177.11867924547</v>
      </c>
      <c r="R242">
        <f t="shared" si="961"/>
        <v>-19322102.158213597</v>
      </c>
      <c r="S242">
        <f t="shared" si="962"/>
        <v>-193.22102158213596</v>
      </c>
      <c r="T242">
        <f t="shared" si="963"/>
        <v>-0.19322102158213597</v>
      </c>
    </row>
    <row r="243" spans="1:20" x14ac:dyDescent="0.25">
      <c r="A243" s="5">
        <v>44350</v>
      </c>
      <c r="B243">
        <v>0.50149999999999995</v>
      </c>
      <c r="C243">
        <v>0.56089999999999995</v>
      </c>
      <c r="D243">
        <v>0.49299999999999999</v>
      </c>
      <c r="E243">
        <v>0.54790000000000005</v>
      </c>
      <c r="F243">
        <v>1135045.6399999999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0.61708394698085689</v>
      </c>
      <c r="Q243">
        <f t="shared" si="960"/>
        <v>700418.44353461266</v>
      </c>
      <c r="R243">
        <f t="shared" si="961"/>
        <v>-18782925.039534353</v>
      </c>
      <c r="S243">
        <f t="shared" si="962"/>
        <v>-187.82925039534354</v>
      </c>
      <c r="T243">
        <f t="shared" si="963"/>
        <v>-0.18782925039534354</v>
      </c>
    </row>
    <row r="244" spans="1:20" x14ac:dyDescent="0.25">
      <c r="A244" s="5">
        <v>44349</v>
      </c>
      <c r="B244">
        <v>0.505</v>
      </c>
      <c r="C244">
        <v>0.52969999999999995</v>
      </c>
      <c r="D244">
        <v>0.48209999999999997</v>
      </c>
      <c r="E244">
        <v>0.50139999999999996</v>
      </c>
      <c r="F244">
        <v>1016269.86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-0.18907563025210111</v>
      </c>
      <c r="Q244">
        <f t="shared" si="960"/>
        <v>-192151.86428571455</v>
      </c>
      <c r="R244">
        <f t="shared" si="961"/>
        <v>-19483343.483068965</v>
      </c>
      <c r="S244">
        <f t="shared" si="962"/>
        <v>-194.83343483068964</v>
      </c>
      <c r="T244">
        <f t="shared" si="963"/>
        <v>-0.19483343483068963</v>
      </c>
    </row>
    <row r="245" spans="1:20" x14ac:dyDescent="0.25">
      <c r="A245" s="5">
        <v>44348</v>
      </c>
      <c r="B245">
        <v>0.51949999999999996</v>
      </c>
      <c r="C245">
        <v>0.53</v>
      </c>
      <c r="D245">
        <v>0.48680000000000001</v>
      </c>
      <c r="E245">
        <v>0.50209999999999999</v>
      </c>
      <c r="F245">
        <v>1094703.3799999999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-0.29166666666666785</v>
      </c>
      <c r="Q245">
        <f t="shared" si="960"/>
        <v>-319288.48583333462</v>
      </c>
      <c r="R245">
        <f t="shared" si="961"/>
        <v>-19291191.61878325</v>
      </c>
      <c r="S245">
        <f t="shared" si="962"/>
        <v>-192.9119161878325</v>
      </c>
      <c r="T245">
        <f t="shared" si="963"/>
        <v>-0.19291191618783252</v>
      </c>
    </row>
    <row r="246" spans="1:20" x14ac:dyDescent="0.25">
      <c r="A246" s="5">
        <v>44347</v>
      </c>
      <c r="B246">
        <v>0.47720000000000001</v>
      </c>
      <c r="C246">
        <v>0.52749999999999997</v>
      </c>
      <c r="D246">
        <v>0.44629999999999997</v>
      </c>
      <c r="E246">
        <v>0.52229999999999999</v>
      </c>
      <c r="F246">
        <v>1192628.8400000001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0.87192118226601023</v>
      </c>
      <c r="Q246">
        <f t="shared" si="960"/>
        <v>1039878.3481773405</v>
      </c>
      <c r="R246">
        <f t="shared" si="961"/>
        <v>-18971903.132949915</v>
      </c>
      <c r="S246">
        <f t="shared" si="962"/>
        <v>-189.71903132949916</v>
      </c>
      <c r="T246">
        <f t="shared" si="963"/>
        <v>-0.18971903132949916</v>
      </c>
    </row>
    <row r="247" spans="1:20" x14ac:dyDescent="0.25">
      <c r="A247" s="5">
        <v>44346</v>
      </c>
      <c r="B247">
        <v>0.43559999999999999</v>
      </c>
      <c r="C247">
        <v>0.5081</v>
      </c>
      <c r="D247">
        <v>0.41189999999999999</v>
      </c>
      <c r="E247">
        <v>0.4773</v>
      </c>
      <c r="F247">
        <v>1489168.52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0.35966735966735985</v>
      </c>
      <c r="Q247">
        <f t="shared" si="960"/>
        <v>535605.30968814995</v>
      </c>
      <c r="R247">
        <f t="shared" si="961"/>
        <v>-20011781.481127255</v>
      </c>
      <c r="S247">
        <f t="shared" si="962"/>
        <v>-200.11781481127255</v>
      </c>
      <c r="T247">
        <f t="shared" si="963"/>
        <v>-0.20011781481127255</v>
      </c>
    </row>
    <row r="248" spans="1:20" x14ac:dyDescent="0.25">
      <c r="A248" s="5">
        <v>44345</v>
      </c>
      <c r="B248">
        <v>0.4849</v>
      </c>
      <c r="C248">
        <v>0.51049999999999995</v>
      </c>
      <c r="D248">
        <v>0.40789999999999998</v>
      </c>
      <c r="E248">
        <v>0.43240000000000001</v>
      </c>
      <c r="F248">
        <v>2802506.52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-0.52241715399610078</v>
      </c>
      <c r="Q248">
        <f t="shared" si="960"/>
        <v>-1464077.4802339165</v>
      </c>
      <c r="R248">
        <f t="shared" si="961"/>
        <v>-20547386.790815406</v>
      </c>
      <c r="S248">
        <f t="shared" si="962"/>
        <v>-205.47386790815406</v>
      </c>
      <c r="T248">
        <f t="shared" si="963"/>
        <v>-0.20547386790815406</v>
      </c>
    </row>
    <row r="249" spans="1:20" x14ac:dyDescent="0.25">
      <c r="A249" s="5">
        <v>44344</v>
      </c>
      <c r="B249">
        <v>0.57230000000000003</v>
      </c>
      <c r="C249">
        <v>0.57999999999999996</v>
      </c>
      <c r="D249">
        <v>0.45629999999999998</v>
      </c>
      <c r="E249">
        <v>0.48520000000000002</v>
      </c>
      <c r="F249">
        <v>2159788.12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-0.53274050121261052</v>
      </c>
      <c r="Q249">
        <f t="shared" si="960"/>
        <v>-1150606.6055618417</v>
      </c>
      <c r="R249">
        <f t="shared" si="961"/>
        <v>-19083309.31058149</v>
      </c>
      <c r="S249">
        <f t="shared" si="962"/>
        <v>-190.8330931058149</v>
      </c>
      <c r="T249">
        <f t="shared" si="963"/>
        <v>-0.19083309310581489</v>
      </c>
    </row>
    <row r="250" spans="1:20" x14ac:dyDescent="0.25">
      <c r="A250" s="5">
        <v>44343</v>
      </c>
      <c r="B250">
        <v>0.6351</v>
      </c>
      <c r="C250">
        <v>0.6351</v>
      </c>
      <c r="D250">
        <v>0.55700000000000005</v>
      </c>
      <c r="E250">
        <v>0.58030000000000004</v>
      </c>
      <c r="F250">
        <v>2733648.81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-0.40332906530089618</v>
      </c>
      <c r="Q250">
        <f t="shared" si="960"/>
        <v>-1102560.0193982071</v>
      </c>
      <c r="R250">
        <f t="shared" si="961"/>
        <v>-17932702.705019649</v>
      </c>
      <c r="S250">
        <f t="shared" si="962"/>
        <v>-179.32702705019648</v>
      </c>
      <c r="T250">
        <f t="shared" si="963"/>
        <v>-0.17932702705019649</v>
      </c>
    </row>
    <row r="251" spans="1:20" x14ac:dyDescent="0.25">
      <c r="A251" s="5">
        <v>44342</v>
      </c>
      <c r="B251">
        <v>0.48380000000000001</v>
      </c>
      <c r="C251">
        <v>0.67249999999999999</v>
      </c>
      <c r="D251">
        <v>0.4703</v>
      </c>
      <c r="E251">
        <v>0.63490000000000002</v>
      </c>
      <c r="F251">
        <v>6168105.9299999997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0.62809099901088061</v>
      </c>
      <c r="Q251">
        <f t="shared" si="960"/>
        <v>3874131.8155786367</v>
      </c>
      <c r="R251">
        <f t="shared" si="961"/>
        <v>-16830142.68562144</v>
      </c>
      <c r="S251">
        <f t="shared" si="962"/>
        <v>-168.30142685621439</v>
      </c>
      <c r="T251">
        <f t="shared" si="963"/>
        <v>-0.16830142685621438</v>
      </c>
    </row>
    <row r="252" spans="1:20" x14ac:dyDescent="0.25">
      <c r="A252" s="5">
        <v>44341</v>
      </c>
      <c r="B252">
        <v>0.46879999999999999</v>
      </c>
      <c r="C252">
        <v>0.55000000000000004</v>
      </c>
      <c r="D252">
        <v>0.43540000000000001</v>
      </c>
      <c r="E252">
        <v>0.48020000000000002</v>
      </c>
      <c r="F252">
        <v>3128741.21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-0.21815008726003504</v>
      </c>
      <c r="Q252">
        <f t="shared" si="960"/>
        <v>-682535.16797556763</v>
      </c>
      <c r="R252">
        <f t="shared" si="961"/>
        <v>-20704274.501200076</v>
      </c>
      <c r="S252">
        <f t="shared" si="962"/>
        <v>-207.04274501200075</v>
      </c>
      <c r="T252">
        <f t="shared" si="963"/>
        <v>-0.20704274501200076</v>
      </c>
    </row>
    <row r="253" spans="1:20" x14ac:dyDescent="0.25">
      <c r="A253" s="5">
        <v>44340</v>
      </c>
      <c r="B253">
        <v>0.38290000000000002</v>
      </c>
      <c r="C253">
        <v>0.4919</v>
      </c>
      <c r="D253">
        <v>0.37690000000000001</v>
      </c>
      <c r="E253">
        <v>0.46870000000000001</v>
      </c>
      <c r="F253">
        <v>2538219.8199999998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0.59652173913043482</v>
      </c>
      <c r="Q253">
        <f t="shared" si="960"/>
        <v>1514103.3013217391</v>
      </c>
      <c r="R253">
        <f t="shared" si="961"/>
        <v>-20021739.333224509</v>
      </c>
      <c r="S253">
        <f t="shared" si="962"/>
        <v>-200.21739333224508</v>
      </c>
      <c r="T253">
        <f t="shared" si="963"/>
        <v>-0.20021739333224509</v>
      </c>
    </row>
    <row r="254" spans="1:20" x14ac:dyDescent="0.25">
      <c r="A254" s="5">
        <v>44339</v>
      </c>
      <c r="B254">
        <v>0.44529999999999997</v>
      </c>
      <c r="C254">
        <v>0.48499999999999999</v>
      </c>
      <c r="D254">
        <v>0.32690000000000002</v>
      </c>
      <c r="E254">
        <v>0.38529999999999998</v>
      </c>
      <c r="F254">
        <v>4574028.1100000003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-0.26122707147375124</v>
      </c>
      <c r="Q254">
        <f t="shared" si="960"/>
        <v>-1194859.9680139173</v>
      </c>
      <c r="R254">
        <f t="shared" si="961"/>
        <v>-21535842.634546246</v>
      </c>
      <c r="S254">
        <f t="shared" si="962"/>
        <v>-215.35842634546248</v>
      </c>
      <c r="T254">
        <f t="shared" si="963"/>
        <v>-0.21535842634546248</v>
      </c>
    </row>
    <row r="255" spans="1:20" x14ac:dyDescent="0.25">
      <c r="A255" s="5">
        <v>44338</v>
      </c>
      <c r="B255">
        <v>0.51419999999999999</v>
      </c>
      <c r="C255">
        <v>0.54079999999999995</v>
      </c>
      <c r="D255">
        <v>0.43869999999999998</v>
      </c>
      <c r="E255">
        <v>0.44569999999999999</v>
      </c>
      <c r="F255">
        <v>5210463.87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-0.86287952987267369</v>
      </c>
      <c r="Q255">
        <f t="shared" si="960"/>
        <v>-4496002.6145641524</v>
      </c>
      <c r="R255">
        <f t="shared" si="961"/>
        <v>-20340982.66653233</v>
      </c>
      <c r="S255">
        <f t="shared" si="962"/>
        <v>-203.40982666532329</v>
      </c>
      <c r="T255">
        <f t="shared" si="963"/>
        <v>-0.20340982666532328</v>
      </c>
    </row>
    <row r="256" spans="1:20" x14ac:dyDescent="0.25">
      <c r="A256" s="5">
        <v>44337</v>
      </c>
      <c r="B256">
        <v>0.73180000000000001</v>
      </c>
      <c r="C256">
        <v>0.77400000000000002</v>
      </c>
      <c r="D256">
        <v>0.45929999999999999</v>
      </c>
      <c r="E256">
        <v>0.51380000000000003</v>
      </c>
      <c r="F256">
        <v>4876105.03</v>
      </c>
      <c r="G256">
        <v>0</v>
      </c>
      <c r="L256" t="s">
        <v>8</v>
      </c>
      <c r="M256" t="s">
        <v>7</v>
      </c>
      <c r="N256" t="s">
        <v>7</v>
      </c>
      <c r="P256">
        <f t="shared" si="959"/>
        <v>-0.65363838576421962</v>
      </c>
      <c r="Q256">
        <f t="shared" si="960"/>
        <v>-3187209.4206259917</v>
      </c>
      <c r="R256">
        <f t="shared" si="961"/>
        <v>-15844980.051968176</v>
      </c>
      <c r="S256">
        <f t="shared" si="962"/>
        <v>-158.44980051968176</v>
      </c>
      <c r="T256">
        <f t="shared" si="963"/>
        <v>-0.15844980051968177</v>
      </c>
    </row>
    <row r="257" spans="1:20" x14ac:dyDescent="0.25">
      <c r="A257" s="5">
        <v>44336</v>
      </c>
      <c r="B257">
        <v>0.60919999999999996</v>
      </c>
      <c r="C257">
        <v>0.76519999999999999</v>
      </c>
      <c r="D257">
        <v>0.52</v>
      </c>
      <c r="E257">
        <v>0.73160000000000003</v>
      </c>
      <c r="F257">
        <v>3044381.96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0.72593800978792844</v>
      </c>
      <c r="Q257">
        <f t="shared" si="960"/>
        <v>2210032.5810766728</v>
      </c>
      <c r="R257">
        <f t="shared" si="961"/>
        <v>-12657770.631342184</v>
      </c>
      <c r="S257">
        <f t="shared" si="962"/>
        <v>-126.57770631342184</v>
      </c>
      <c r="T257">
        <f t="shared" si="963"/>
        <v>-0.12657770631342186</v>
      </c>
    </row>
    <row r="258" spans="1:20" x14ac:dyDescent="0.25">
      <c r="A258" s="5">
        <v>44335</v>
      </c>
      <c r="B258">
        <v>0.90669999999999995</v>
      </c>
      <c r="C258">
        <v>0.92630000000000001</v>
      </c>
      <c r="D258">
        <v>0.43869999999999998</v>
      </c>
      <c r="E258">
        <v>0.60880000000000001</v>
      </c>
      <c r="F258">
        <v>6131771.9900000002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-0.30229696472518452</v>
      </c>
      <c r="Q258">
        <f t="shared" si="960"/>
        <v>-1853616.0609639045</v>
      </c>
      <c r="R258">
        <f t="shared" si="961"/>
        <v>-14867803.212418856</v>
      </c>
      <c r="S258">
        <f t="shared" si="962"/>
        <v>-148.67803212418855</v>
      </c>
      <c r="T258">
        <f t="shared" si="963"/>
        <v>-0.14867803212418854</v>
      </c>
    </row>
    <row r="259" spans="1:20" x14ac:dyDescent="0.25">
      <c r="A259" s="5">
        <v>44334</v>
      </c>
      <c r="B259">
        <v>0.88500000000000001</v>
      </c>
      <c r="C259">
        <v>0.96499999999999997</v>
      </c>
      <c r="D259">
        <v>0.86499999999999999</v>
      </c>
      <c r="E259">
        <v>0.90300000000000002</v>
      </c>
      <c r="F259">
        <v>1399808.92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-0.23999999999999916</v>
      </c>
      <c r="Q259">
        <f t="shared" si="960"/>
        <v>-335954.14079999883</v>
      </c>
      <c r="R259">
        <f t="shared" si="961"/>
        <v>-13014187.151454952</v>
      </c>
      <c r="S259">
        <f t="shared" si="962"/>
        <v>-130.14187151454951</v>
      </c>
      <c r="T259">
        <f t="shared" si="963"/>
        <v>-0.13014187151454951</v>
      </c>
    </row>
    <row r="260" spans="1:20" x14ac:dyDescent="0.25">
      <c r="A260" s="5">
        <v>44333</v>
      </c>
      <c r="B260">
        <v>0.99880000000000002</v>
      </c>
      <c r="C260">
        <v>1.0316000000000001</v>
      </c>
      <c r="D260">
        <v>0.85070000000000001</v>
      </c>
      <c r="E260">
        <v>0.88500000000000001</v>
      </c>
      <c r="F260">
        <v>1966542.5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-0.62078496406854633</v>
      </c>
      <c r="Q260">
        <f t="shared" si="960"/>
        <v>-1220800.0152017693</v>
      </c>
      <c r="R260">
        <f t="shared" si="961"/>
        <v>-12678233.010654952</v>
      </c>
      <c r="S260">
        <f t="shared" si="962"/>
        <v>-126.78233010654952</v>
      </c>
      <c r="T260">
        <f t="shared" si="963"/>
        <v>-0.12678233010654952</v>
      </c>
    </row>
    <row r="261" spans="1:20" x14ac:dyDescent="0.25">
      <c r="A261" s="5">
        <v>44332</v>
      </c>
      <c r="B261">
        <v>1.0279</v>
      </c>
      <c r="C261">
        <v>1.1242000000000001</v>
      </c>
      <c r="D261">
        <v>0.92310000000000003</v>
      </c>
      <c r="E261">
        <v>0.99360000000000004</v>
      </c>
      <c r="F261">
        <v>1736854.41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-0.29885629040278483</v>
      </c>
      <c r="Q261">
        <f t="shared" si="960"/>
        <v>-519069.86594231747</v>
      </c>
      <c r="R261">
        <f t="shared" si="961"/>
        <v>-11457432.995453183</v>
      </c>
      <c r="S261">
        <f t="shared" si="962"/>
        <v>-114.57432995453182</v>
      </c>
      <c r="T261">
        <f t="shared" si="963"/>
        <v>-0.11457432995453182</v>
      </c>
    </row>
    <row r="262" spans="1:20" x14ac:dyDescent="0.25">
      <c r="A262" s="5">
        <v>44331</v>
      </c>
      <c r="B262">
        <v>1.2282</v>
      </c>
      <c r="C262">
        <v>1.2353000000000001</v>
      </c>
      <c r="D262">
        <v>1.0039</v>
      </c>
      <c r="E262">
        <v>1.0279</v>
      </c>
      <c r="F262">
        <v>1735060.3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-0.79256698357821942</v>
      </c>
      <c r="Q262">
        <f t="shared" ref="Q262:Q325" si="965">F262*P262</f>
        <v>-1375151.5082973205</v>
      </c>
      <c r="R262">
        <f t="shared" ref="R262:R325" si="966">R263+Q262</f>
        <v>-10938363.129510865</v>
      </c>
      <c r="S262">
        <f t="shared" ref="S262:S325" si="967">R262/100000</f>
        <v>-109.38363129510864</v>
      </c>
      <c r="T262">
        <f t="shared" ref="T262:T325" si="968">S262/1000</f>
        <v>-0.10938363129510864</v>
      </c>
    </row>
    <row r="263" spans="1:20" x14ac:dyDescent="0.25">
      <c r="A263" s="5">
        <v>44330</v>
      </c>
      <c r="B263">
        <v>1.0727</v>
      </c>
      <c r="C263">
        <v>1.32</v>
      </c>
      <c r="D263">
        <v>1.0669999999999999</v>
      </c>
      <c r="E263">
        <v>1.2282</v>
      </c>
      <c r="F263">
        <v>2470620.44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0.27430830039525644</v>
      </c>
      <c r="Q263">
        <f t="shared" si="965"/>
        <v>677711.69381818059</v>
      </c>
      <c r="R263">
        <f t="shared" si="966"/>
        <v>-9563211.6212135442</v>
      </c>
      <c r="S263">
        <f t="shared" si="967"/>
        <v>-95.632116212135443</v>
      </c>
      <c r="T263">
        <f t="shared" si="968"/>
        <v>-9.5632116212135437E-2</v>
      </c>
    </row>
    <row r="264" spans="1:20" x14ac:dyDescent="0.25">
      <c r="A264" s="5">
        <v>44329</v>
      </c>
      <c r="B264">
        <v>1.1180000000000001</v>
      </c>
      <c r="C264">
        <v>1.39</v>
      </c>
      <c r="D264">
        <v>0.97</v>
      </c>
      <c r="E264">
        <v>1.0734999999999999</v>
      </c>
      <c r="F264">
        <v>3964725.74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-0.50714285714285745</v>
      </c>
      <c r="Q264">
        <f t="shared" si="965"/>
        <v>-2010682.3395714299</v>
      </c>
      <c r="R264">
        <f t="shared" si="966"/>
        <v>-10240923.315031724</v>
      </c>
      <c r="S264">
        <f t="shared" si="967"/>
        <v>-102.40923315031723</v>
      </c>
      <c r="T264">
        <f t="shared" si="968"/>
        <v>-0.10240923315031723</v>
      </c>
    </row>
    <row r="265" spans="1:20" x14ac:dyDescent="0.25">
      <c r="A265" s="5">
        <v>44328</v>
      </c>
      <c r="B265">
        <v>1.4134</v>
      </c>
      <c r="C265">
        <v>1.5113000000000001</v>
      </c>
      <c r="D265">
        <v>1.1180000000000001</v>
      </c>
      <c r="E265">
        <v>1.1192</v>
      </c>
      <c r="F265">
        <v>2108676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-0.99389778794813188</v>
      </c>
      <c r="Q265">
        <f t="shared" si="965"/>
        <v>-2095808.411899315</v>
      </c>
      <c r="R265">
        <f t="shared" si="966"/>
        <v>-8230240.9754602946</v>
      </c>
      <c r="S265">
        <f t="shared" si="967"/>
        <v>-82.302409754602948</v>
      </c>
      <c r="T265">
        <f t="shared" si="968"/>
        <v>-8.2302409754602943E-2</v>
      </c>
    </row>
    <row r="266" spans="1:20" x14ac:dyDescent="0.25">
      <c r="A266" s="5">
        <v>44327</v>
      </c>
      <c r="B266">
        <v>1.4450000000000001</v>
      </c>
      <c r="C266">
        <v>1.5</v>
      </c>
      <c r="D266">
        <v>1.2777000000000001</v>
      </c>
      <c r="E266">
        <v>1.4134</v>
      </c>
      <c r="F266">
        <v>2666917.5299999998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0.22087269455690478</v>
      </c>
      <c r="Q266">
        <f t="shared" si="965"/>
        <v>589049.26101214485</v>
      </c>
      <c r="R266">
        <f t="shared" si="966"/>
        <v>-6134432.5635609794</v>
      </c>
      <c r="S266">
        <f t="shared" si="967"/>
        <v>-61.344325635609792</v>
      </c>
      <c r="T266">
        <f t="shared" si="968"/>
        <v>-6.1344325635609792E-2</v>
      </c>
    </row>
    <row r="267" spans="1:20" x14ac:dyDescent="0.25">
      <c r="A267" s="5">
        <v>44326</v>
      </c>
      <c r="B267">
        <v>1.3048999999999999</v>
      </c>
      <c r="C267">
        <v>1.851</v>
      </c>
      <c r="D267">
        <v>1.3023</v>
      </c>
      <c r="E267">
        <v>1.4450000000000001</v>
      </c>
      <c r="F267">
        <v>14999800.1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-0.4798614907964277</v>
      </c>
      <c r="Q267">
        <f t="shared" si="965"/>
        <v>-7197826.4376344047</v>
      </c>
      <c r="R267">
        <f t="shared" si="966"/>
        <v>-6723481.8245731238</v>
      </c>
      <c r="S267">
        <f t="shared" si="967"/>
        <v>-67.234818245731233</v>
      </c>
      <c r="T267">
        <f t="shared" si="968"/>
        <v>-6.7234818245731229E-2</v>
      </c>
    </row>
    <row r="268" spans="1:20" x14ac:dyDescent="0.25">
      <c r="A268" s="5">
        <v>44325</v>
      </c>
      <c r="B268">
        <v>1.2355</v>
      </c>
      <c r="C268">
        <v>1.3163</v>
      </c>
      <c r="D268">
        <v>1.145</v>
      </c>
      <c r="E268">
        <v>1.3048999999999999</v>
      </c>
      <c r="F268">
        <v>1314745.5900000001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0.86690017513134765</v>
      </c>
      <c r="Q268">
        <f t="shared" si="965"/>
        <v>1139753.182224167</v>
      </c>
      <c r="R268">
        <f t="shared" si="966"/>
        <v>474344.61306128104</v>
      </c>
      <c r="S268">
        <f t="shared" si="967"/>
        <v>4.74344613061281</v>
      </c>
      <c r="T268">
        <f t="shared" si="968"/>
        <v>4.7434461306128098E-3</v>
      </c>
    </row>
    <row r="269" spans="1:20" x14ac:dyDescent="0.25">
      <c r="A269" s="5">
        <v>44324</v>
      </c>
      <c r="B269">
        <v>1.2482</v>
      </c>
      <c r="C269">
        <v>1.466</v>
      </c>
      <c r="D269">
        <v>1.1910000000000001</v>
      </c>
      <c r="E269">
        <v>1.2355</v>
      </c>
      <c r="F269">
        <v>1804843.05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-0.67636363636363639</v>
      </c>
      <c r="Q269">
        <f t="shared" si="965"/>
        <v>-1220730.2083636364</v>
      </c>
      <c r="R269">
        <f t="shared" si="966"/>
        <v>-665408.56916288601</v>
      </c>
      <c r="S269">
        <f t="shared" si="967"/>
        <v>-6.6540856916288602</v>
      </c>
      <c r="T269">
        <f t="shared" si="968"/>
        <v>-6.6540856916288606E-3</v>
      </c>
    </row>
    <row r="270" spans="1:20" x14ac:dyDescent="0.25">
      <c r="A270" s="5">
        <v>44323</v>
      </c>
      <c r="B270">
        <v>1.1902999999999999</v>
      </c>
      <c r="C270">
        <v>1.3</v>
      </c>
      <c r="D270">
        <v>1.1111</v>
      </c>
      <c r="E270">
        <v>1.2424999999999999</v>
      </c>
      <c r="F270">
        <v>1539912.18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0.39121228163049143</v>
      </c>
      <c r="Q270">
        <f t="shared" si="965"/>
        <v>602432.557448384</v>
      </c>
      <c r="R270">
        <f t="shared" si="966"/>
        <v>555321.63920075039</v>
      </c>
      <c r="S270">
        <f t="shared" si="967"/>
        <v>5.5532163920075037</v>
      </c>
      <c r="T270">
        <f t="shared" si="968"/>
        <v>5.5532163920075034E-3</v>
      </c>
    </row>
    <row r="271" spans="1:20" x14ac:dyDescent="0.25">
      <c r="A271" s="5">
        <v>44322</v>
      </c>
      <c r="B271">
        <v>1.2676000000000001</v>
      </c>
      <c r="C271">
        <v>1.3207</v>
      </c>
      <c r="D271">
        <v>1.1453</v>
      </c>
      <c r="E271">
        <v>1.1910000000000001</v>
      </c>
      <c r="F271">
        <v>2205426.9700000002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-0.47890535917901855</v>
      </c>
      <c r="Q271">
        <f t="shared" si="965"/>
        <v>-1056190.7952109447</v>
      </c>
      <c r="R271">
        <f t="shared" si="966"/>
        <v>-47110.918247633614</v>
      </c>
      <c r="S271">
        <f t="shared" si="967"/>
        <v>-0.47110918247633615</v>
      </c>
      <c r="T271">
        <f t="shared" si="968"/>
        <v>-4.7110918247633617E-4</v>
      </c>
    </row>
    <row r="272" spans="1:20" x14ac:dyDescent="0.25">
      <c r="A272" s="5">
        <v>44321</v>
      </c>
      <c r="B272">
        <v>1.1000000000000001</v>
      </c>
      <c r="C272">
        <v>1.3988</v>
      </c>
      <c r="D272">
        <v>1.1000000000000001</v>
      </c>
      <c r="E272">
        <v>1.2676000000000001</v>
      </c>
      <c r="F272">
        <v>5534431.5800000001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0.12182061579651939</v>
      </c>
      <c r="Q272">
        <f t="shared" si="965"/>
        <v>674207.86315930379</v>
      </c>
      <c r="R272">
        <f t="shared" si="966"/>
        <v>1009079.8769633111</v>
      </c>
      <c r="S272">
        <f t="shared" si="967"/>
        <v>10.090798769633111</v>
      </c>
      <c r="T272">
        <f t="shared" si="968"/>
        <v>1.009079876963311E-2</v>
      </c>
    </row>
    <row r="273" spans="1:20" x14ac:dyDescent="0.25">
      <c r="A273" s="5">
        <v>44320</v>
      </c>
      <c r="B273">
        <v>1.0894999999999999</v>
      </c>
      <c r="C273">
        <v>1.1641999999999999</v>
      </c>
      <c r="D273">
        <v>0.9113</v>
      </c>
      <c r="E273">
        <v>1.1042000000000001</v>
      </c>
      <c r="F273">
        <v>2324609.11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0.52550415183867261</v>
      </c>
      <c r="Q273">
        <f t="shared" si="965"/>
        <v>1221591.7387070016</v>
      </c>
      <c r="R273">
        <f t="shared" si="966"/>
        <v>334872.01380400732</v>
      </c>
      <c r="S273">
        <f t="shared" si="967"/>
        <v>3.3487201380400733</v>
      </c>
      <c r="T273">
        <f t="shared" si="968"/>
        <v>3.3487201380400732E-3</v>
      </c>
    </row>
    <row r="274" spans="1:20" x14ac:dyDescent="0.25">
      <c r="A274" s="5">
        <v>44319</v>
      </c>
      <c r="B274">
        <v>1.0622</v>
      </c>
      <c r="C274">
        <v>1.147</v>
      </c>
      <c r="D274">
        <v>1.054</v>
      </c>
      <c r="E274">
        <v>1.0893999999999999</v>
      </c>
      <c r="F274">
        <v>1909288.51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-0.23870967741935728</v>
      </c>
      <c r="Q274">
        <f t="shared" si="965"/>
        <v>-455765.64432258531</v>
      </c>
      <c r="R274">
        <f t="shared" si="966"/>
        <v>-886719.72490299423</v>
      </c>
      <c r="S274">
        <f t="shared" si="967"/>
        <v>-8.8671972490299424</v>
      </c>
      <c r="T274">
        <f t="shared" si="968"/>
        <v>-8.8671972490299428E-3</v>
      </c>
    </row>
    <row r="275" spans="1:20" x14ac:dyDescent="0.25">
      <c r="A275" s="5">
        <v>44318</v>
      </c>
      <c r="B275">
        <v>1.0007999999999999</v>
      </c>
      <c r="C275">
        <v>1.123</v>
      </c>
      <c r="D275">
        <v>0.9395</v>
      </c>
      <c r="E275">
        <v>1.0622</v>
      </c>
      <c r="F275">
        <v>2022352.67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0.33732970027247994</v>
      </c>
      <c r="Q275">
        <f t="shared" si="965"/>
        <v>682199.62001634948</v>
      </c>
      <c r="R275">
        <f t="shared" si="966"/>
        <v>-430954.08058040892</v>
      </c>
      <c r="S275">
        <f t="shared" si="967"/>
        <v>-4.3095408058040894</v>
      </c>
      <c r="T275">
        <f t="shared" si="968"/>
        <v>-4.309540805804089E-3</v>
      </c>
    </row>
    <row r="276" spans="1:20" x14ac:dyDescent="0.25">
      <c r="A276" s="5">
        <v>44317</v>
      </c>
      <c r="B276">
        <v>1.0609999999999999</v>
      </c>
      <c r="C276">
        <v>1.1105</v>
      </c>
      <c r="D276">
        <v>0.99</v>
      </c>
      <c r="E276">
        <v>0.99709999999999999</v>
      </c>
      <c r="F276">
        <v>1653851.5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-0.8821576763485478</v>
      </c>
      <c r="Q276">
        <f t="shared" si="965"/>
        <v>-1458957.7962655602</v>
      </c>
      <c r="R276">
        <f t="shared" si="966"/>
        <v>-1113153.7005967584</v>
      </c>
      <c r="S276">
        <f t="shared" si="967"/>
        <v>-11.131537005967584</v>
      </c>
      <c r="T276">
        <f t="shared" si="968"/>
        <v>-1.1131537005967583E-2</v>
      </c>
    </row>
    <row r="277" spans="1:20" x14ac:dyDescent="0.25">
      <c r="A277" s="5">
        <v>44316</v>
      </c>
      <c r="B277">
        <v>0.97609999999999997</v>
      </c>
      <c r="C277">
        <v>1.1589</v>
      </c>
      <c r="D277">
        <v>0.95169999999999999</v>
      </c>
      <c r="E277">
        <v>1.0596000000000001</v>
      </c>
      <c r="F277">
        <v>3636878.47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4.1505791505792283E-2</v>
      </c>
      <c r="Q277">
        <f t="shared" si="965"/>
        <v>150951.51950772485</v>
      </c>
      <c r="R277">
        <f t="shared" si="966"/>
        <v>345804.09566880186</v>
      </c>
      <c r="S277">
        <f t="shared" si="967"/>
        <v>3.4580409566880186</v>
      </c>
      <c r="T277">
        <f t="shared" si="968"/>
        <v>3.4580409566880186E-3</v>
      </c>
    </row>
    <row r="278" spans="1:20" x14ac:dyDescent="0.25">
      <c r="A278" s="5">
        <v>44315</v>
      </c>
      <c r="B278">
        <v>0.87070000000000003</v>
      </c>
      <c r="C278">
        <v>0.99</v>
      </c>
      <c r="D278">
        <v>0.84</v>
      </c>
      <c r="E278">
        <v>0.97850000000000004</v>
      </c>
      <c r="F278">
        <v>2530481.27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0.84666666666666734</v>
      </c>
      <c r="Q278">
        <f t="shared" si="965"/>
        <v>2142474.141933335</v>
      </c>
      <c r="R278">
        <f t="shared" si="966"/>
        <v>194852.57616107701</v>
      </c>
      <c r="S278">
        <f t="shared" si="967"/>
        <v>1.9485257616107701</v>
      </c>
      <c r="T278">
        <f t="shared" si="968"/>
        <v>1.9485257616107701E-3</v>
      </c>
    </row>
    <row r="279" spans="1:20" x14ac:dyDescent="0.25">
      <c r="A279" s="5">
        <v>44314</v>
      </c>
      <c r="B279">
        <v>0.9194</v>
      </c>
      <c r="C279">
        <v>0.94140000000000001</v>
      </c>
      <c r="D279">
        <v>0.81689999999999996</v>
      </c>
      <c r="E279">
        <v>0.87370000000000003</v>
      </c>
      <c r="F279">
        <v>1250275.4099999999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-8.7550200803212089E-2</v>
      </c>
      <c r="Q279">
        <f t="shared" si="965"/>
        <v>-109461.86320481832</v>
      </c>
      <c r="R279">
        <f t="shared" si="966"/>
        <v>-1947621.565772258</v>
      </c>
      <c r="S279">
        <f t="shared" si="967"/>
        <v>-19.47621565772258</v>
      </c>
      <c r="T279">
        <f t="shared" si="968"/>
        <v>-1.9476215657722579E-2</v>
      </c>
    </row>
    <row r="280" spans="1:20" x14ac:dyDescent="0.25">
      <c r="A280" s="5">
        <v>44313</v>
      </c>
      <c r="B280">
        <v>0.81599999999999995</v>
      </c>
      <c r="C280">
        <v>1</v>
      </c>
      <c r="D280">
        <v>0.80830000000000002</v>
      </c>
      <c r="E280">
        <v>0.91849999999999998</v>
      </c>
      <c r="F280">
        <v>2221414.02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0.14971309337506494</v>
      </c>
      <c r="Q280">
        <f t="shared" si="965"/>
        <v>332574.76460093836</v>
      </c>
      <c r="R280">
        <f t="shared" si="966"/>
        <v>-1838159.7025674398</v>
      </c>
      <c r="S280">
        <f t="shared" si="967"/>
        <v>-18.381597025674399</v>
      </c>
      <c r="T280">
        <f t="shared" si="968"/>
        <v>-1.83815970256744E-2</v>
      </c>
    </row>
    <row r="281" spans="1:20" x14ac:dyDescent="0.25">
      <c r="A281" s="5">
        <v>44312</v>
      </c>
      <c r="B281">
        <v>0.6845</v>
      </c>
      <c r="C281">
        <v>0.87</v>
      </c>
      <c r="D281">
        <v>0.67249999999999999</v>
      </c>
      <c r="E281">
        <v>0.8165</v>
      </c>
      <c r="F281">
        <v>1681663.93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0.45822784810126593</v>
      </c>
      <c r="Q281">
        <f t="shared" si="965"/>
        <v>770585.24387341784</v>
      </c>
      <c r="R281">
        <f t="shared" si="966"/>
        <v>-2170734.4671683782</v>
      </c>
      <c r="S281">
        <f t="shared" si="967"/>
        <v>-21.707344671683781</v>
      </c>
      <c r="T281">
        <f t="shared" si="968"/>
        <v>-2.1707344671683781E-2</v>
      </c>
    </row>
    <row r="282" spans="1:20" x14ac:dyDescent="0.25">
      <c r="A282" s="5">
        <v>44311</v>
      </c>
      <c r="B282">
        <v>0.69279999999999997</v>
      </c>
      <c r="C282">
        <v>0.77290000000000003</v>
      </c>
      <c r="D282">
        <v>0.64190000000000003</v>
      </c>
      <c r="E282">
        <v>0.68500000000000005</v>
      </c>
      <c r="F282">
        <v>999984.08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-0.3419847328244271</v>
      </c>
      <c r="Q282">
        <f t="shared" si="965"/>
        <v>-341979.2884274805</v>
      </c>
      <c r="R282">
        <f t="shared" si="966"/>
        <v>-2941319.711041796</v>
      </c>
      <c r="S282">
        <f t="shared" si="967"/>
        <v>-29.413197110417961</v>
      </c>
      <c r="T282">
        <f t="shared" si="968"/>
        <v>-2.9413197110417962E-2</v>
      </c>
    </row>
    <row r="283" spans="1:20" x14ac:dyDescent="0.25">
      <c r="A283" s="5">
        <v>44310</v>
      </c>
      <c r="B283">
        <v>0.75309999999999999</v>
      </c>
      <c r="C283">
        <v>0.77080000000000004</v>
      </c>
      <c r="D283">
        <v>0.67810000000000004</v>
      </c>
      <c r="E283">
        <v>0.69289999999999996</v>
      </c>
      <c r="F283">
        <v>916566.62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-0.68069039913700269</v>
      </c>
      <c r="Q283">
        <f t="shared" si="965"/>
        <v>-623898.09840345348</v>
      </c>
      <c r="R283">
        <f t="shared" si="966"/>
        <v>-2599340.4226143155</v>
      </c>
      <c r="S283">
        <f t="shared" si="967"/>
        <v>-25.993404226143156</v>
      </c>
      <c r="T283">
        <f t="shared" si="968"/>
        <v>-2.5993404226143154E-2</v>
      </c>
    </row>
    <row r="284" spans="1:20" x14ac:dyDescent="0.25">
      <c r="A284" s="5">
        <v>44309</v>
      </c>
      <c r="B284">
        <v>0.78129999999999999</v>
      </c>
      <c r="C284">
        <v>0.79220000000000002</v>
      </c>
      <c r="D284">
        <v>0.63859999999999995</v>
      </c>
      <c r="E284">
        <v>0.75680000000000003</v>
      </c>
      <c r="F284">
        <v>2540310.48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0.53906250000000033</v>
      </c>
      <c r="Q284">
        <f t="shared" si="965"/>
        <v>1369386.1181250007</v>
      </c>
      <c r="R284">
        <f t="shared" si="966"/>
        <v>-1975442.3242108619</v>
      </c>
      <c r="S284">
        <f t="shared" si="967"/>
        <v>-19.754423242108619</v>
      </c>
      <c r="T284">
        <f t="shared" si="968"/>
        <v>-1.9754423242108618E-2</v>
      </c>
    </row>
    <row r="285" spans="1:20" x14ac:dyDescent="0.25">
      <c r="A285" s="5">
        <v>44308</v>
      </c>
      <c r="B285">
        <v>0.93320000000000003</v>
      </c>
      <c r="C285">
        <v>0.98450000000000004</v>
      </c>
      <c r="D285">
        <v>0.747</v>
      </c>
      <c r="E285">
        <v>0.78</v>
      </c>
      <c r="F285">
        <v>2324243.88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-0.72210526315789458</v>
      </c>
      <c r="Q285">
        <f t="shared" si="965"/>
        <v>-1678348.7386105258</v>
      </c>
      <c r="R285">
        <f t="shared" si="966"/>
        <v>-3344828.4423358627</v>
      </c>
      <c r="S285">
        <f t="shared" si="967"/>
        <v>-33.448284423358629</v>
      </c>
      <c r="T285">
        <f t="shared" si="968"/>
        <v>-3.3448284423358628E-2</v>
      </c>
    </row>
    <row r="286" spans="1:20" x14ac:dyDescent="0.25">
      <c r="A286" s="5">
        <v>44307</v>
      </c>
      <c r="B286">
        <v>1.05</v>
      </c>
      <c r="C286">
        <v>1.0879000000000001</v>
      </c>
      <c r="D286">
        <v>0.91359999999999997</v>
      </c>
      <c r="E286">
        <v>0.93320000000000003</v>
      </c>
      <c r="F286">
        <v>2036852.23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-0.77510040160642513</v>
      </c>
      <c r="Q286">
        <f t="shared" si="965"/>
        <v>-1578764.9814859426</v>
      </c>
      <c r="R286">
        <f t="shared" si="966"/>
        <v>-1666479.7037253368</v>
      </c>
      <c r="S286">
        <f t="shared" si="967"/>
        <v>-16.664797037253368</v>
      </c>
      <c r="T286">
        <f t="shared" si="968"/>
        <v>-1.6664797037253369E-2</v>
      </c>
    </row>
    <row r="287" spans="1:20" x14ac:dyDescent="0.25">
      <c r="A287" s="5">
        <v>44306</v>
      </c>
      <c r="B287">
        <v>0.81540000000000001</v>
      </c>
      <c r="C287">
        <v>1.1677999999999999</v>
      </c>
      <c r="D287">
        <v>0.71</v>
      </c>
      <c r="E287">
        <v>1.05</v>
      </c>
      <c r="F287">
        <v>3707950.19</v>
      </c>
      <c r="G287">
        <v>0</v>
      </c>
      <c r="L287" t="s">
        <v>7</v>
      </c>
      <c r="M287" t="s">
        <v>8</v>
      </c>
      <c r="N287" t="s">
        <v>7</v>
      </c>
      <c r="P287">
        <f t="shared" si="964"/>
        <v>0.48536478811708211</v>
      </c>
      <c r="Q287">
        <f t="shared" si="965"/>
        <v>1799708.4583180444</v>
      </c>
      <c r="R287">
        <f t="shared" si="966"/>
        <v>-87714.722239394207</v>
      </c>
      <c r="S287">
        <f t="shared" si="967"/>
        <v>-0.87714722239394205</v>
      </c>
      <c r="T287">
        <f t="shared" si="968"/>
        <v>-8.7714722239394202E-4</v>
      </c>
    </row>
    <row r="288" spans="1:20" x14ac:dyDescent="0.25">
      <c r="A288" s="5">
        <v>44305</v>
      </c>
      <c r="B288">
        <v>0.92949999999999999</v>
      </c>
      <c r="C288">
        <v>0.97599999999999998</v>
      </c>
      <c r="D288">
        <v>0.754</v>
      </c>
      <c r="E288">
        <v>0.80859999999999999</v>
      </c>
      <c r="F288">
        <v>1633164.88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-0.50810810810810825</v>
      </c>
      <c r="Q288">
        <f t="shared" si="965"/>
        <v>-829824.31740540557</v>
      </c>
      <c r="R288">
        <f t="shared" si="966"/>
        <v>-1887423.1805574386</v>
      </c>
      <c r="S288">
        <f t="shared" si="967"/>
        <v>-18.874231805574386</v>
      </c>
      <c r="T288">
        <f t="shared" si="968"/>
        <v>-1.8874231805574387E-2</v>
      </c>
    </row>
    <row r="289" spans="1:20" x14ac:dyDescent="0.25">
      <c r="A289" s="5">
        <v>44304</v>
      </c>
      <c r="B289">
        <v>1.1004</v>
      </c>
      <c r="C289">
        <v>1.1213</v>
      </c>
      <c r="D289">
        <v>0.77</v>
      </c>
      <c r="E289">
        <v>0.92500000000000004</v>
      </c>
      <c r="F289">
        <v>3268636.98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-0.11756333617990293</v>
      </c>
      <c r="Q289">
        <f t="shared" si="965"/>
        <v>-384271.86812980263</v>
      </c>
      <c r="R289">
        <f t="shared" si="966"/>
        <v>-1057598.8631520332</v>
      </c>
      <c r="S289">
        <f t="shared" si="967"/>
        <v>-10.575988631520332</v>
      </c>
      <c r="T289">
        <f t="shared" si="968"/>
        <v>-1.0575988631520332E-2</v>
      </c>
    </row>
    <row r="290" spans="1:20" x14ac:dyDescent="0.25">
      <c r="A290" s="5">
        <v>44303</v>
      </c>
      <c r="B290">
        <v>1.123</v>
      </c>
      <c r="C290">
        <v>1.2013</v>
      </c>
      <c r="D290">
        <v>1.0906</v>
      </c>
      <c r="E290">
        <v>1.1003000000000001</v>
      </c>
      <c r="F290">
        <v>1533615.02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-0.82475158084914113</v>
      </c>
      <c r="Q290">
        <f t="shared" si="965"/>
        <v>-1264851.4121589873</v>
      </c>
      <c r="R290">
        <f t="shared" si="966"/>
        <v>-673326.99502223055</v>
      </c>
      <c r="S290">
        <f t="shared" si="967"/>
        <v>-6.7332699502223052</v>
      </c>
      <c r="T290">
        <f t="shared" si="968"/>
        <v>-6.7332699502223054E-3</v>
      </c>
    </row>
    <row r="291" spans="1:20" x14ac:dyDescent="0.25">
      <c r="A291" s="5">
        <v>44302</v>
      </c>
      <c r="B291">
        <v>1.2488999999999999</v>
      </c>
      <c r="C291">
        <v>1.2889999999999999</v>
      </c>
      <c r="D291">
        <v>1.1039000000000001</v>
      </c>
      <c r="E291">
        <v>1.1226</v>
      </c>
      <c r="F291">
        <v>1630444.61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-0.79794705564559743</v>
      </c>
      <c r="Q291">
        <f t="shared" si="965"/>
        <v>-1301008.4759427344</v>
      </c>
      <c r="R291">
        <f t="shared" si="966"/>
        <v>591524.4171367567</v>
      </c>
      <c r="S291">
        <f t="shared" si="967"/>
        <v>5.9152441713675668</v>
      </c>
      <c r="T291">
        <f t="shared" si="968"/>
        <v>5.9152441713675669E-3</v>
      </c>
    </row>
    <row r="292" spans="1:20" x14ac:dyDescent="0.25">
      <c r="A292" s="5">
        <v>44301</v>
      </c>
      <c r="B292">
        <v>1.159</v>
      </c>
      <c r="C292">
        <v>1.3142</v>
      </c>
      <c r="D292">
        <v>1.145</v>
      </c>
      <c r="E292">
        <v>1.2448999999999999</v>
      </c>
      <c r="F292">
        <v>1107582.4099999999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0.18085106382978566</v>
      </c>
      <c r="Q292">
        <f t="shared" si="965"/>
        <v>200307.45712765781</v>
      </c>
      <c r="R292">
        <f t="shared" si="966"/>
        <v>1892532.8930794911</v>
      </c>
      <c r="S292">
        <f t="shared" si="967"/>
        <v>18.925328930794912</v>
      </c>
      <c r="T292">
        <f t="shared" si="968"/>
        <v>1.8925328930794912E-2</v>
      </c>
    </row>
    <row r="293" spans="1:20" x14ac:dyDescent="0.25">
      <c r="A293" s="5">
        <v>44300</v>
      </c>
      <c r="B293">
        <v>1.2374000000000001</v>
      </c>
      <c r="C293">
        <v>1.2803</v>
      </c>
      <c r="D293">
        <v>1.1433</v>
      </c>
      <c r="E293">
        <v>1.1537999999999999</v>
      </c>
      <c r="F293">
        <v>1297264.2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-0.84671532846715392</v>
      </c>
      <c r="Q293">
        <f t="shared" si="965"/>
        <v>-1098413.4832116796</v>
      </c>
      <c r="R293">
        <f t="shared" si="966"/>
        <v>1692225.4359518334</v>
      </c>
      <c r="S293">
        <f t="shared" si="967"/>
        <v>16.922254359518334</v>
      </c>
      <c r="T293">
        <f t="shared" si="968"/>
        <v>1.6922254359518333E-2</v>
      </c>
    </row>
    <row r="294" spans="1:20" x14ac:dyDescent="0.25">
      <c r="A294" s="5">
        <v>44299</v>
      </c>
      <c r="B294">
        <v>1.3684000000000001</v>
      </c>
      <c r="C294">
        <v>1.4234</v>
      </c>
      <c r="D294">
        <v>1.2302999999999999</v>
      </c>
      <c r="E294">
        <v>1.2426999999999999</v>
      </c>
      <c r="F294">
        <v>1460102.89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-0.87156913516312828</v>
      </c>
      <c r="Q294">
        <f t="shared" si="965"/>
        <v>-1272580.6130864841</v>
      </c>
      <c r="R294">
        <f t="shared" si="966"/>
        <v>2790638.919163513</v>
      </c>
      <c r="S294">
        <f t="shared" si="967"/>
        <v>27.906389191635132</v>
      </c>
      <c r="T294">
        <f t="shared" si="968"/>
        <v>2.7906389191635132E-2</v>
      </c>
    </row>
    <row r="295" spans="1:20" x14ac:dyDescent="0.25">
      <c r="A295" s="5">
        <v>44298</v>
      </c>
      <c r="B295">
        <v>1.2713000000000001</v>
      </c>
      <c r="C295">
        <v>1.4148000000000001</v>
      </c>
      <c r="D295">
        <v>1.2031000000000001</v>
      </c>
      <c r="E295">
        <v>1.3714</v>
      </c>
      <c r="F295">
        <v>2077892.2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0.58998582900330554</v>
      </c>
      <c r="Q295">
        <f t="shared" si="965"/>
        <v>1225926.9521965024</v>
      </c>
      <c r="R295">
        <f t="shared" si="966"/>
        <v>4063219.5322499974</v>
      </c>
      <c r="S295">
        <f t="shared" si="967"/>
        <v>40.632195322499975</v>
      </c>
      <c r="T295">
        <f t="shared" si="968"/>
        <v>4.0632195322499974E-2</v>
      </c>
    </row>
    <row r="296" spans="1:20" x14ac:dyDescent="0.25">
      <c r="A296" s="5">
        <v>44297</v>
      </c>
      <c r="B296">
        <v>1.2638</v>
      </c>
      <c r="C296">
        <v>1.2997000000000001</v>
      </c>
      <c r="D296">
        <v>1.18</v>
      </c>
      <c r="E296">
        <v>1.2685999999999999</v>
      </c>
      <c r="F296">
        <v>1271508.76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0.480367585630742</v>
      </c>
      <c r="Q296">
        <f t="shared" si="965"/>
        <v>610791.59314953862</v>
      </c>
      <c r="R296">
        <f t="shared" si="966"/>
        <v>2837292.5800534948</v>
      </c>
      <c r="S296">
        <f t="shared" si="967"/>
        <v>28.372925800534947</v>
      </c>
      <c r="T296">
        <f t="shared" si="968"/>
        <v>2.8372925800534948E-2</v>
      </c>
    </row>
    <row r="297" spans="1:20" x14ac:dyDescent="0.25">
      <c r="A297" s="5">
        <v>44296</v>
      </c>
      <c r="B297">
        <v>1.2738</v>
      </c>
      <c r="C297">
        <v>1.3877999999999999</v>
      </c>
      <c r="D297">
        <v>1.2251000000000001</v>
      </c>
      <c r="E297">
        <v>1.2632000000000001</v>
      </c>
      <c r="F297">
        <v>1625671.77</v>
      </c>
      <c r="G297">
        <v>0</v>
      </c>
      <c r="L297" t="s">
        <v>8</v>
      </c>
      <c r="M297" t="s">
        <v>7</v>
      </c>
      <c r="N297" t="s">
        <v>7</v>
      </c>
      <c r="P297">
        <f t="shared" si="964"/>
        <v>-0.5316533497234166</v>
      </c>
      <c r="Q297">
        <f t="shared" si="965"/>
        <v>-864293.84207129572</v>
      </c>
      <c r="R297">
        <f t="shared" si="966"/>
        <v>2226500.9869039562</v>
      </c>
      <c r="S297">
        <f t="shared" si="967"/>
        <v>22.265009869039563</v>
      </c>
      <c r="T297">
        <f t="shared" si="968"/>
        <v>2.2265009869039561E-2</v>
      </c>
    </row>
    <row r="298" spans="1:20" x14ac:dyDescent="0.25">
      <c r="A298" s="5">
        <v>44295</v>
      </c>
      <c r="B298">
        <v>1.3657999999999999</v>
      </c>
      <c r="C298">
        <v>1.39</v>
      </c>
      <c r="D298">
        <v>1.2258</v>
      </c>
      <c r="E298">
        <v>1.2758</v>
      </c>
      <c r="F298">
        <v>1324519.69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-0.39098660170523664</v>
      </c>
      <c r="Q298">
        <f t="shared" si="965"/>
        <v>-517869.45248477347</v>
      </c>
      <c r="R298">
        <f t="shared" si="966"/>
        <v>3090794.8289752519</v>
      </c>
      <c r="S298">
        <f t="shared" si="967"/>
        <v>30.907948289752518</v>
      </c>
      <c r="T298">
        <f t="shared" si="968"/>
        <v>3.0907948289752518E-2</v>
      </c>
    </row>
    <row r="299" spans="1:20" x14ac:dyDescent="0.25">
      <c r="A299" s="5">
        <v>44294</v>
      </c>
      <c r="B299">
        <v>1.2609999999999999</v>
      </c>
      <c r="C299">
        <v>1.3935999999999999</v>
      </c>
      <c r="D299">
        <v>1.2513000000000001</v>
      </c>
      <c r="E299">
        <v>1.3653999999999999</v>
      </c>
      <c r="F299">
        <v>1140149.51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0.60365425158116615</v>
      </c>
      <c r="Q299">
        <f t="shared" si="965"/>
        <v>688256.09914968326</v>
      </c>
      <c r="R299">
        <f t="shared" si="966"/>
        <v>3608664.2814600253</v>
      </c>
      <c r="S299">
        <f t="shared" si="967"/>
        <v>36.086642814600253</v>
      </c>
      <c r="T299">
        <f t="shared" si="968"/>
        <v>3.608664281460025E-2</v>
      </c>
    </row>
    <row r="300" spans="1:20" x14ac:dyDescent="0.25">
      <c r="A300" s="5">
        <v>44293</v>
      </c>
      <c r="B300">
        <v>1.5019</v>
      </c>
      <c r="C300">
        <v>1.57</v>
      </c>
      <c r="D300">
        <v>1.1889000000000001</v>
      </c>
      <c r="E300">
        <v>1.2670999999999999</v>
      </c>
      <c r="F300">
        <v>1764722.2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-0.58960902650223135</v>
      </c>
      <c r="Q300">
        <f t="shared" si="965"/>
        <v>-1040496.138388876</v>
      </c>
      <c r="R300">
        <f t="shared" si="966"/>
        <v>2920408.1823103419</v>
      </c>
      <c r="S300">
        <f t="shared" si="967"/>
        <v>29.204081823103419</v>
      </c>
      <c r="T300">
        <f t="shared" si="968"/>
        <v>2.9204081823103419E-2</v>
      </c>
    </row>
    <row r="301" spans="1:20" x14ac:dyDescent="0.25">
      <c r="A301" s="5">
        <v>44292</v>
      </c>
      <c r="B301">
        <v>1.3811</v>
      </c>
      <c r="C301">
        <v>1.6293</v>
      </c>
      <c r="D301">
        <v>1.3149999999999999</v>
      </c>
      <c r="E301">
        <v>1.4972000000000001</v>
      </c>
      <c r="F301">
        <v>2656457.09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0.15940184537066576</v>
      </c>
      <c r="Q301">
        <f t="shared" si="965"/>
        <v>423444.16229398875</v>
      </c>
      <c r="R301">
        <f t="shared" si="966"/>
        <v>3960904.3206992177</v>
      </c>
      <c r="S301">
        <f t="shared" si="967"/>
        <v>39.609043206992176</v>
      </c>
      <c r="T301">
        <f t="shared" si="968"/>
        <v>3.9609043206992177E-2</v>
      </c>
    </row>
    <row r="302" spans="1:20" x14ac:dyDescent="0.25">
      <c r="A302" s="5">
        <v>44291</v>
      </c>
      <c r="B302">
        <v>1.4437</v>
      </c>
      <c r="C302">
        <v>1.5</v>
      </c>
      <c r="D302">
        <v>1.3066</v>
      </c>
      <c r="E302">
        <v>1.3811</v>
      </c>
      <c r="F302">
        <v>1775042.55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-0.22957600827300925</v>
      </c>
      <c r="Q302">
        <f t="shared" si="965"/>
        <v>-407507.18314374343</v>
      </c>
      <c r="R302">
        <f t="shared" si="966"/>
        <v>3537460.158405229</v>
      </c>
      <c r="S302">
        <f t="shared" si="967"/>
        <v>35.374601584052293</v>
      </c>
      <c r="T302">
        <f t="shared" si="968"/>
        <v>3.5374601584052291E-2</v>
      </c>
    </row>
    <row r="303" spans="1:20" x14ac:dyDescent="0.25">
      <c r="A303" s="5">
        <v>44290</v>
      </c>
      <c r="B303">
        <v>1.2801</v>
      </c>
      <c r="C303">
        <v>1.47</v>
      </c>
      <c r="D303">
        <v>1.2542</v>
      </c>
      <c r="E303">
        <v>1.4408000000000001</v>
      </c>
      <c r="F303">
        <v>1268005.07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0.72937905468026043</v>
      </c>
      <c r="Q303">
        <f t="shared" si="965"/>
        <v>924856.33928637754</v>
      </c>
      <c r="R303">
        <f t="shared" si="966"/>
        <v>3944967.3415489723</v>
      </c>
      <c r="S303">
        <f t="shared" si="967"/>
        <v>39.44967341548972</v>
      </c>
      <c r="T303">
        <f t="shared" si="968"/>
        <v>3.9449673415489717E-2</v>
      </c>
    </row>
    <row r="304" spans="1:20" x14ac:dyDescent="0.25">
      <c r="A304" s="5">
        <v>44289</v>
      </c>
      <c r="B304">
        <v>1.3818999999999999</v>
      </c>
      <c r="C304">
        <v>1.4309000000000001</v>
      </c>
      <c r="D304">
        <v>1.2545999999999999</v>
      </c>
      <c r="E304">
        <v>1.2801</v>
      </c>
      <c r="F304">
        <v>1197774.29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-0.71072036301758301</v>
      </c>
      <c r="Q304">
        <f t="shared" si="965"/>
        <v>-851282.57820192783</v>
      </c>
      <c r="R304">
        <f t="shared" si="966"/>
        <v>3020111.0022625946</v>
      </c>
      <c r="S304">
        <f t="shared" si="967"/>
        <v>30.201110022625947</v>
      </c>
      <c r="T304">
        <f t="shared" si="968"/>
        <v>3.0201110022625946E-2</v>
      </c>
    </row>
    <row r="305" spans="1:20" x14ac:dyDescent="0.25">
      <c r="A305" s="5">
        <v>44288</v>
      </c>
      <c r="B305">
        <v>1.4944</v>
      </c>
      <c r="C305">
        <v>1.6158999999999999</v>
      </c>
      <c r="D305">
        <v>1.3525</v>
      </c>
      <c r="E305">
        <v>1.3752</v>
      </c>
      <c r="F305">
        <v>1688004.44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-0.8276385725132881</v>
      </c>
      <c r="Q305">
        <f t="shared" si="965"/>
        <v>-1397057.5851176921</v>
      </c>
      <c r="R305">
        <f t="shared" si="966"/>
        <v>3871393.5804645224</v>
      </c>
      <c r="S305">
        <f t="shared" si="967"/>
        <v>38.713935804645224</v>
      </c>
      <c r="T305">
        <f t="shared" si="968"/>
        <v>3.8713935804645223E-2</v>
      </c>
    </row>
    <row r="306" spans="1:20" x14ac:dyDescent="0.25">
      <c r="A306" s="5">
        <v>44287</v>
      </c>
      <c r="B306">
        <v>1.4701</v>
      </c>
      <c r="C306">
        <v>1.5419</v>
      </c>
      <c r="D306">
        <v>1.3677999999999999</v>
      </c>
      <c r="E306">
        <v>1.4944</v>
      </c>
      <c r="F306">
        <v>1557995.33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0.45433658816771905</v>
      </c>
      <c r="Q306">
        <f t="shared" si="965"/>
        <v>707854.2826134396</v>
      </c>
      <c r="R306">
        <f t="shared" si="966"/>
        <v>5268451.1655822145</v>
      </c>
      <c r="S306">
        <f t="shared" si="967"/>
        <v>52.684511655822142</v>
      </c>
      <c r="T306">
        <f t="shared" si="968"/>
        <v>5.2684511655822143E-2</v>
      </c>
    </row>
    <row r="307" spans="1:20" x14ac:dyDescent="0.25">
      <c r="A307" s="5">
        <v>44286</v>
      </c>
      <c r="B307">
        <v>1.5449999999999999</v>
      </c>
      <c r="C307">
        <v>1.6831</v>
      </c>
      <c r="D307">
        <v>1.4</v>
      </c>
      <c r="E307">
        <v>1.47</v>
      </c>
      <c r="F307">
        <v>2429118.5299999998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-0.50547509713882</v>
      </c>
      <c r="Q307">
        <f t="shared" si="965"/>
        <v>-1227858.9249134576</v>
      </c>
      <c r="R307">
        <f t="shared" si="966"/>
        <v>4560596.882968775</v>
      </c>
      <c r="S307">
        <f t="shared" si="967"/>
        <v>45.605968829687747</v>
      </c>
      <c r="T307">
        <f t="shared" si="968"/>
        <v>4.5605968829687746E-2</v>
      </c>
    </row>
    <row r="308" spans="1:20" x14ac:dyDescent="0.25">
      <c r="A308" s="5">
        <v>44285</v>
      </c>
      <c r="B308">
        <v>1.3392999999999999</v>
      </c>
      <c r="C308">
        <v>1.6754</v>
      </c>
      <c r="D308">
        <v>1.2914000000000001</v>
      </c>
      <c r="E308">
        <v>1.5450999999999999</v>
      </c>
      <c r="F308">
        <v>3670699.41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0.32135416666666605</v>
      </c>
      <c r="Q308">
        <f t="shared" si="965"/>
        <v>1179594.5499843727</v>
      </c>
      <c r="R308">
        <f t="shared" si="966"/>
        <v>5788455.8078822326</v>
      </c>
      <c r="S308">
        <f t="shared" si="967"/>
        <v>57.884558078822323</v>
      </c>
      <c r="T308">
        <f t="shared" si="968"/>
        <v>5.7884558078822326E-2</v>
      </c>
    </row>
    <row r="309" spans="1:20" x14ac:dyDescent="0.25">
      <c r="A309" s="5">
        <v>44284</v>
      </c>
      <c r="B309">
        <v>1.1491</v>
      </c>
      <c r="C309">
        <v>1.3976999999999999</v>
      </c>
      <c r="D309">
        <v>1.1148</v>
      </c>
      <c r="E309">
        <v>1.3409</v>
      </c>
      <c r="F309">
        <v>2527967.0299999998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0.59844468009897511</v>
      </c>
      <c r="Q309">
        <f t="shared" si="965"/>
        <v>1512848.420569106</v>
      </c>
      <c r="R309">
        <f t="shared" si="966"/>
        <v>4608861.2578978594</v>
      </c>
      <c r="S309">
        <f t="shared" si="967"/>
        <v>46.088612578978598</v>
      </c>
      <c r="T309">
        <f t="shared" si="968"/>
        <v>4.6088612578978595E-2</v>
      </c>
    </row>
    <row r="310" spans="1:20" x14ac:dyDescent="0.25">
      <c r="A310" s="5">
        <v>44283</v>
      </c>
      <c r="B310">
        <v>1.0684</v>
      </c>
      <c r="C310">
        <v>1.2343</v>
      </c>
      <c r="D310">
        <v>1.0456000000000001</v>
      </c>
      <c r="E310">
        <v>1.1498999999999999</v>
      </c>
      <c r="F310">
        <v>1753700.35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0.10545839957604568</v>
      </c>
      <c r="Q310">
        <f t="shared" si="965"/>
        <v>184942.43224695115</v>
      </c>
      <c r="R310">
        <f t="shared" si="966"/>
        <v>3096012.8373287534</v>
      </c>
      <c r="S310">
        <f t="shared" si="967"/>
        <v>30.960128373287535</v>
      </c>
      <c r="T310">
        <f t="shared" si="968"/>
        <v>3.0960128373287536E-2</v>
      </c>
    </row>
    <row r="311" spans="1:20" x14ac:dyDescent="0.25">
      <c r="A311" s="5">
        <v>44282</v>
      </c>
      <c r="B311">
        <v>1.1264000000000001</v>
      </c>
      <c r="C311">
        <v>1.1877</v>
      </c>
      <c r="D311">
        <v>1.0580000000000001</v>
      </c>
      <c r="E311">
        <v>1.0729</v>
      </c>
      <c r="F311">
        <v>1164097.0900000001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-0.77023901310717158</v>
      </c>
      <c r="Q311">
        <f t="shared" si="965"/>
        <v>-896632.99376253039</v>
      </c>
      <c r="R311">
        <f t="shared" si="966"/>
        <v>2911070.405081802</v>
      </c>
      <c r="S311">
        <f t="shared" si="967"/>
        <v>29.110704050818022</v>
      </c>
      <c r="T311">
        <f t="shared" si="968"/>
        <v>2.9110704050818021E-2</v>
      </c>
    </row>
    <row r="312" spans="1:20" x14ac:dyDescent="0.25">
      <c r="A312" s="5">
        <v>44281</v>
      </c>
      <c r="B312">
        <v>0.96220000000000006</v>
      </c>
      <c r="C312">
        <v>1.1681999999999999</v>
      </c>
      <c r="D312">
        <v>0.96040000000000003</v>
      </c>
      <c r="E312">
        <v>1.1264000000000001</v>
      </c>
      <c r="F312">
        <v>1821425.81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0.59769008662175305</v>
      </c>
      <c r="Q312">
        <f t="shared" si="965"/>
        <v>1088648.1501539967</v>
      </c>
      <c r="R312">
        <f t="shared" si="966"/>
        <v>3807703.3988443324</v>
      </c>
      <c r="S312">
        <f t="shared" si="967"/>
        <v>38.077033988443326</v>
      </c>
      <c r="T312">
        <f t="shared" si="968"/>
        <v>3.8077033988443323E-2</v>
      </c>
    </row>
    <row r="313" spans="1:20" x14ac:dyDescent="0.25">
      <c r="A313" s="5">
        <v>44280</v>
      </c>
      <c r="B313">
        <v>1.0150999999999999</v>
      </c>
      <c r="C313">
        <v>1.1039000000000001</v>
      </c>
      <c r="D313">
        <v>0.93269999999999997</v>
      </c>
      <c r="E313">
        <v>0.96250000000000002</v>
      </c>
      <c r="F313">
        <v>2497830.0099999998</v>
      </c>
      <c r="G313">
        <v>0</v>
      </c>
      <c r="L313" t="s">
        <v>8</v>
      </c>
      <c r="M313" t="s">
        <v>8</v>
      </c>
      <c r="N313" t="s">
        <v>7</v>
      </c>
      <c r="P313">
        <f t="shared" si="964"/>
        <v>-0.65186915887850438</v>
      </c>
      <c r="Q313">
        <f t="shared" si="965"/>
        <v>-1628258.3476401861</v>
      </c>
      <c r="R313">
        <f t="shared" si="966"/>
        <v>2719055.2486903355</v>
      </c>
      <c r="S313">
        <f t="shared" si="967"/>
        <v>27.190552486903357</v>
      </c>
      <c r="T313">
        <f t="shared" si="968"/>
        <v>2.7190552486903358E-2</v>
      </c>
    </row>
    <row r="314" spans="1:20" x14ac:dyDescent="0.25">
      <c r="A314" s="5">
        <v>44279</v>
      </c>
      <c r="B314">
        <v>1.2531000000000001</v>
      </c>
      <c r="C314">
        <v>1.36</v>
      </c>
      <c r="D314">
        <v>0.93</v>
      </c>
      <c r="E314">
        <v>1.0169999999999999</v>
      </c>
      <c r="F314">
        <v>3513443.65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-0.59534883720930309</v>
      </c>
      <c r="Q314">
        <f t="shared" si="965"/>
        <v>-2091724.5916279096</v>
      </c>
      <c r="R314">
        <f t="shared" si="966"/>
        <v>4347313.5963305216</v>
      </c>
      <c r="S314">
        <f t="shared" si="967"/>
        <v>43.473135963305218</v>
      </c>
      <c r="T314">
        <f t="shared" si="968"/>
        <v>4.3473135963305216E-2</v>
      </c>
    </row>
    <row r="315" spans="1:20" x14ac:dyDescent="0.25">
      <c r="A315" s="5">
        <v>44278</v>
      </c>
      <c r="B315">
        <v>1.1305000000000001</v>
      </c>
      <c r="C315">
        <v>1.27</v>
      </c>
      <c r="D315">
        <v>1.0696000000000001</v>
      </c>
      <c r="E315">
        <v>1.2531000000000001</v>
      </c>
      <c r="F315">
        <v>1849209.1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0.83133732534930216</v>
      </c>
      <c r="Q315">
        <f t="shared" si="965"/>
        <v>1537316.5472055904</v>
      </c>
      <c r="R315">
        <f t="shared" si="966"/>
        <v>6439038.1879584314</v>
      </c>
      <c r="S315">
        <f t="shared" si="967"/>
        <v>64.390381879584311</v>
      </c>
      <c r="T315">
        <f t="shared" si="968"/>
        <v>6.4390381879584305E-2</v>
      </c>
    </row>
    <row r="316" spans="1:20" x14ac:dyDescent="0.25">
      <c r="A316" s="5">
        <v>44277</v>
      </c>
      <c r="B316">
        <v>1.2802</v>
      </c>
      <c r="C316">
        <v>1.4</v>
      </c>
      <c r="D316">
        <v>1.101</v>
      </c>
      <c r="E316">
        <v>1.1247</v>
      </c>
      <c r="F316">
        <v>2298042.94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-0.84147157190635413</v>
      </c>
      <c r="Q316">
        <f t="shared" si="965"/>
        <v>-1933737.8050300993</v>
      </c>
      <c r="R316">
        <f t="shared" si="966"/>
        <v>4901721.6407528408</v>
      </c>
      <c r="S316">
        <f t="shared" si="967"/>
        <v>49.017216407528409</v>
      </c>
      <c r="T316">
        <f t="shared" si="968"/>
        <v>4.9017216407528409E-2</v>
      </c>
    </row>
    <row r="317" spans="1:20" x14ac:dyDescent="0.25">
      <c r="A317" s="5">
        <v>44276</v>
      </c>
      <c r="B317">
        <v>1.0395000000000001</v>
      </c>
      <c r="C317">
        <v>1.38</v>
      </c>
      <c r="D317">
        <v>1</v>
      </c>
      <c r="E317">
        <v>1.286</v>
      </c>
      <c r="F317">
        <v>4985757.84</v>
      </c>
      <c r="G317">
        <v>0</v>
      </c>
      <c r="L317" t="s">
        <v>8</v>
      </c>
      <c r="M317" t="s">
        <v>8</v>
      </c>
      <c r="N317" t="s">
        <v>7</v>
      </c>
      <c r="P317">
        <f t="shared" si="964"/>
        <v>0.50526315789473741</v>
      </c>
      <c r="Q317">
        <f t="shared" si="965"/>
        <v>2519119.7507368447</v>
      </c>
      <c r="R317">
        <f t="shared" si="966"/>
        <v>6835459.4457829399</v>
      </c>
      <c r="S317">
        <f t="shared" si="967"/>
        <v>68.354594457829393</v>
      </c>
      <c r="T317">
        <f t="shared" si="968"/>
        <v>6.835459445782939E-2</v>
      </c>
    </row>
    <row r="318" spans="1:20" x14ac:dyDescent="0.25">
      <c r="A318" s="5">
        <v>44275</v>
      </c>
      <c r="B318">
        <v>1.0498000000000001</v>
      </c>
      <c r="C318">
        <v>1.1000000000000001</v>
      </c>
      <c r="D318">
        <v>1.0011000000000001</v>
      </c>
      <c r="E318">
        <v>1.0394000000000001</v>
      </c>
      <c r="F318">
        <v>1579193.99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-0.22548028311425672</v>
      </c>
      <c r="Q318">
        <f t="shared" si="965"/>
        <v>-356077.10795753269</v>
      </c>
      <c r="R318">
        <f t="shared" si="966"/>
        <v>4316339.6950460952</v>
      </c>
      <c r="S318">
        <f t="shared" si="967"/>
        <v>43.16339695046095</v>
      </c>
      <c r="T318">
        <f t="shared" si="968"/>
        <v>4.3163396950460953E-2</v>
      </c>
    </row>
    <row r="319" spans="1:20" x14ac:dyDescent="0.25">
      <c r="A319" s="5">
        <v>44274</v>
      </c>
      <c r="B319">
        <v>1.0721000000000001</v>
      </c>
      <c r="C319">
        <v>1.1597999999999999</v>
      </c>
      <c r="D319">
        <v>1.0271999999999999</v>
      </c>
      <c r="E319">
        <v>1.0496000000000001</v>
      </c>
      <c r="F319">
        <v>1623642.83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-0.66214177978883582</v>
      </c>
      <c r="Q319">
        <f t="shared" si="965"/>
        <v>-1075081.7531975822</v>
      </c>
      <c r="R319">
        <f t="shared" si="966"/>
        <v>4672416.8030036278</v>
      </c>
      <c r="S319">
        <f t="shared" si="967"/>
        <v>46.724168030036282</v>
      </c>
      <c r="T319">
        <f t="shared" si="968"/>
        <v>4.6724168030036282E-2</v>
      </c>
    </row>
    <row r="320" spans="1:20" x14ac:dyDescent="0.25">
      <c r="A320" s="5">
        <v>44273</v>
      </c>
      <c r="B320">
        <v>1.1417999999999999</v>
      </c>
      <c r="C320">
        <v>1.25</v>
      </c>
      <c r="D320">
        <v>1.0185</v>
      </c>
      <c r="E320">
        <v>1.0711999999999999</v>
      </c>
      <c r="F320">
        <v>2342545.2400000002</v>
      </c>
      <c r="G320">
        <v>0</v>
      </c>
      <c r="L320" t="s">
        <v>7</v>
      </c>
      <c r="M320" t="s">
        <v>8</v>
      </c>
      <c r="N320" t="s">
        <v>7</v>
      </c>
      <c r="P320">
        <f t="shared" si="964"/>
        <v>-0.54470842332613423</v>
      </c>
      <c r="Q320">
        <f t="shared" si="965"/>
        <v>-1276004.1242505407</v>
      </c>
      <c r="R320">
        <f t="shared" si="966"/>
        <v>5747498.5562012102</v>
      </c>
      <c r="S320">
        <f t="shared" si="967"/>
        <v>57.474985562012101</v>
      </c>
      <c r="T320">
        <f t="shared" si="968"/>
        <v>5.7474985562012103E-2</v>
      </c>
    </row>
    <row r="321" spans="1:20" x14ac:dyDescent="0.25">
      <c r="A321" s="5">
        <v>44272</v>
      </c>
      <c r="B321">
        <v>1.1993</v>
      </c>
      <c r="C321">
        <v>1.2060999999999999</v>
      </c>
      <c r="D321">
        <v>1.0349999999999999</v>
      </c>
      <c r="E321">
        <v>1.1477999999999999</v>
      </c>
      <c r="F321">
        <v>2420407.4500000002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0.3185271770894213</v>
      </c>
      <c r="Q321">
        <f t="shared" si="965"/>
        <v>770965.55245470465</v>
      </c>
      <c r="R321">
        <f t="shared" si="966"/>
        <v>7023502.6804517508</v>
      </c>
      <c r="S321">
        <f t="shared" si="967"/>
        <v>70.235026804517503</v>
      </c>
      <c r="T321">
        <f t="shared" si="968"/>
        <v>7.02350268045175E-2</v>
      </c>
    </row>
    <row r="322" spans="1:20" x14ac:dyDescent="0.25">
      <c r="A322" s="5">
        <v>44271</v>
      </c>
      <c r="B322">
        <v>1.1294999999999999</v>
      </c>
      <c r="C322">
        <v>1.48</v>
      </c>
      <c r="D322">
        <v>1</v>
      </c>
      <c r="E322">
        <v>1.1993</v>
      </c>
      <c r="F322">
        <v>5634566.5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-0.16958333333333317</v>
      </c>
      <c r="Q322">
        <f t="shared" si="965"/>
        <v>-955528.56895833241</v>
      </c>
      <c r="R322">
        <f t="shared" si="966"/>
        <v>6252537.1279970463</v>
      </c>
      <c r="S322">
        <f t="shared" si="967"/>
        <v>62.525371279970464</v>
      </c>
      <c r="T322">
        <f t="shared" si="968"/>
        <v>6.252537127997046E-2</v>
      </c>
    </row>
    <row r="323" spans="1:20" x14ac:dyDescent="0.25">
      <c r="A323" s="5">
        <v>44270</v>
      </c>
      <c r="B323">
        <v>0.995</v>
      </c>
      <c r="C323">
        <v>1.1485000000000001</v>
      </c>
      <c r="D323">
        <v>0.90990000000000004</v>
      </c>
      <c r="E323">
        <v>1.1317999999999999</v>
      </c>
      <c r="F323">
        <v>2523616.61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0.86001676445934483</v>
      </c>
      <c r="Q323">
        <f t="shared" si="965"/>
        <v>2170352.59166806</v>
      </c>
      <c r="R323">
        <f t="shared" si="966"/>
        <v>7208065.6969553791</v>
      </c>
      <c r="S323">
        <f t="shared" si="967"/>
        <v>72.080656969553786</v>
      </c>
      <c r="T323">
        <f t="shared" si="968"/>
        <v>7.2080656969553791E-2</v>
      </c>
    </row>
    <row r="324" spans="1:20" x14ac:dyDescent="0.25">
      <c r="A324" s="5">
        <v>44269</v>
      </c>
      <c r="B324">
        <v>0.90290000000000004</v>
      </c>
      <c r="C324">
        <v>1.0914999999999999</v>
      </c>
      <c r="D324">
        <v>0.86070000000000002</v>
      </c>
      <c r="E324">
        <v>0.99550000000000005</v>
      </c>
      <c r="F324">
        <v>2280849.37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0.16811091854419491</v>
      </c>
      <c r="Q324">
        <f t="shared" si="965"/>
        <v>383435.6826516483</v>
      </c>
      <c r="R324">
        <f t="shared" si="966"/>
        <v>5037713.105287319</v>
      </c>
      <c r="S324">
        <f t="shared" si="967"/>
        <v>50.377131052873189</v>
      </c>
      <c r="T324">
        <f t="shared" si="968"/>
        <v>5.0377131052873191E-2</v>
      </c>
    </row>
    <row r="325" spans="1:20" x14ac:dyDescent="0.25">
      <c r="A325" s="5">
        <v>44268</v>
      </c>
      <c r="B325">
        <v>0.89429999999999998</v>
      </c>
      <c r="C325">
        <v>0.97919999999999996</v>
      </c>
      <c r="D325">
        <v>0.83379999999999999</v>
      </c>
      <c r="E325">
        <v>0.90590000000000004</v>
      </c>
      <c r="F325">
        <v>2701479.1</v>
      </c>
      <c r="G325">
        <v>0</v>
      </c>
      <c r="L325" t="s">
        <v>8</v>
      </c>
      <c r="M325" t="s">
        <v>7</v>
      </c>
      <c r="N325" t="s">
        <v>7</v>
      </c>
      <c r="P325">
        <f t="shared" si="964"/>
        <v>-8.2530949105905638E-3</v>
      </c>
      <c r="Q325">
        <f t="shared" si="965"/>
        <v>-22295.563411276777</v>
      </c>
      <c r="R325">
        <f t="shared" si="966"/>
        <v>4654277.4226356708</v>
      </c>
      <c r="S325">
        <f t="shared" si="967"/>
        <v>46.542774226356705</v>
      </c>
      <c r="T325">
        <f t="shared" si="968"/>
        <v>4.6542774226356706E-2</v>
      </c>
    </row>
    <row r="326" spans="1:20" x14ac:dyDescent="0.25">
      <c r="A326" s="5">
        <v>44267</v>
      </c>
      <c r="B326">
        <v>1.0019</v>
      </c>
      <c r="C326">
        <v>1.1000000000000001</v>
      </c>
      <c r="D326">
        <v>0.82630000000000003</v>
      </c>
      <c r="E326">
        <v>0.89429999999999998</v>
      </c>
      <c r="F326">
        <v>5515639.3200000003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-0.50310559006211231</v>
      </c>
      <c r="Q326">
        <f t="shared" ref="Q326:Q389" si="970">F326*P326</f>
        <v>-2774948.9746583882</v>
      </c>
      <c r="R326">
        <f t="shared" ref="R326:R389" si="971">R327+Q326</f>
        <v>4676572.9860469475</v>
      </c>
      <c r="S326">
        <f t="shared" ref="S326:S389" si="972">R326/100000</f>
        <v>46.765729860469477</v>
      </c>
      <c r="T326">
        <f t="shared" ref="T326:T389" si="973">S326/1000</f>
        <v>4.6765729860469479E-2</v>
      </c>
    </row>
    <row r="327" spans="1:20" x14ac:dyDescent="0.25">
      <c r="A327" s="5">
        <v>44266</v>
      </c>
      <c r="B327">
        <v>1.0085</v>
      </c>
      <c r="C327">
        <v>1.1519999999999999</v>
      </c>
      <c r="D327">
        <v>0.95</v>
      </c>
      <c r="E327">
        <v>1.002</v>
      </c>
      <c r="F327">
        <v>4806083.58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-0.48514851485148458</v>
      </c>
      <c r="Q327">
        <f t="shared" si="970"/>
        <v>-2331664.3110891064</v>
      </c>
      <c r="R327">
        <f t="shared" si="971"/>
        <v>7451521.9607053362</v>
      </c>
      <c r="S327">
        <f t="shared" si="972"/>
        <v>74.515219607053368</v>
      </c>
      <c r="T327">
        <f t="shared" si="973"/>
        <v>7.4515219607053373E-2</v>
      </c>
    </row>
    <row r="328" spans="1:20" x14ac:dyDescent="0.25">
      <c r="A328" s="5">
        <v>44265</v>
      </c>
      <c r="B328">
        <v>0.95289999999999997</v>
      </c>
      <c r="C328">
        <v>1.0636000000000001</v>
      </c>
      <c r="D328">
        <v>0.73640000000000005</v>
      </c>
      <c r="E328">
        <v>1.0024</v>
      </c>
      <c r="F328">
        <v>6218962.6699999999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0.62591687041564714</v>
      </c>
      <c r="Q328">
        <f t="shared" si="970"/>
        <v>3892553.6516381367</v>
      </c>
      <c r="R328">
        <f t="shared" si="971"/>
        <v>9783186.2717944421</v>
      </c>
      <c r="S328">
        <f t="shared" si="972"/>
        <v>97.831862717944418</v>
      </c>
      <c r="T328">
        <f t="shared" si="973"/>
        <v>9.7831862717944418E-2</v>
      </c>
    </row>
    <row r="329" spans="1:20" x14ac:dyDescent="0.25">
      <c r="A329" s="5">
        <v>44264</v>
      </c>
      <c r="B329">
        <v>0.77949999999999997</v>
      </c>
      <c r="C329">
        <v>0.96</v>
      </c>
      <c r="D329">
        <v>0.76459999999999995</v>
      </c>
      <c r="E329">
        <v>0.95220000000000005</v>
      </c>
      <c r="F329">
        <v>2528459.3199999998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0.92016376663254951</v>
      </c>
      <c r="Q329">
        <f t="shared" si="970"/>
        <v>2326596.6516683749</v>
      </c>
      <c r="R329">
        <f t="shared" si="971"/>
        <v>5890632.6201563049</v>
      </c>
      <c r="S329">
        <f t="shared" si="972"/>
        <v>58.906326201563047</v>
      </c>
      <c r="T329">
        <f t="shared" si="973"/>
        <v>5.8906326201563046E-2</v>
      </c>
    </row>
    <row r="330" spans="1:20" x14ac:dyDescent="0.25">
      <c r="A330" s="5">
        <v>44263</v>
      </c>
      <c r="B330">
        <v>0.75</v>
      </c>
      <c r="C330">
        <v>0.79800000000000004</v>
      </c>
      <c r="D330">
        <v>0.69199999999999995</v>
      </c>
      <c r="E330">
        <v>0.77929999999999999</v>
      </c>
      <c r="F330">
        <v>1172359.33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0.64716981132075413</v>
      </c>
      <c r="Q330">
        <f t="shared" si="970"/>
        <v>758715.56639622583</v>
      </c>
      <c r="R330">
        <f t="shared" si="971"/>
        <v>3564035.9684879296</v>
      </c>
      <c r="S330">
        <f t="shared" si="972"/>
        <v>35.640359684879293</v>
      </c>
      <c r="T330">
        <f t="shared" si="973"/>
        <v>3.5640359684879296E-2</v>
      </c>
    </row>
    <row r="331" spans="1:20" x14ac:dyDescent="0.25">
      <c r="A331" s="5">
        <v>44262</v>
      </c>
      <c r="B331">
        <v>0.71930000000000005</v>
      </c>
      <c r="C331">
        <v>0.75849999999999995</v>
      </c>
      <c r="D331">
        <v>0.66100000000000003</v>
      </c>
      <c r="E331">
        <v>0.75</v>
      </c>
      <c r="F331">
        <v>1425481.7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0.82564102564102648</v>
      </c>
      <c r="Q331">
        <f t="shared" si="970"/>
        <v>1176936.1728205141</v>
      </c>
      <c r="R331">
        <f t="shared" si="971"/>
        <v>2805320.4020917038</v>
      </c>
      <c r="S331">
        <f t="shared" si="972"/>
        <v>28.05320402091704</v>
      </c>
      <c r="T331">
        <f t="shared" si="973"/>
        <v>2.8053204020917041E-2</v>
      </c>
    </row>
    <row r="332" spans="1:20" x14ac:dyDescent="0.25">
      <c r="A332" s="5">
        <v>44261</v>
      </c>
      <c r="B332">
        <v>0.56830000000000003</v>
      </c>
      <c r="C332">
        <v>0.76</v>
      </c>
      <c r="D332">
        <v>0.56740000000000002</v>
      </c>
      <c r="E332">
        <v>0.71550000000000002</v>
      </c>
      <c r="F332">
        <v>4650849.51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0.53790238836967819</v>
      </c>
      <c r="Q332">
        <f t="shared" si="970"/>
        <v>2501703.0593769476</v>
      </c>
      <c r="R332">
        <f t="shared" si="971"/>
        <v>1628384.2292711898</v>
      </c>
      <c r="S332">
        <f t="shared" si="972"/>
        <v>16.283842292711899</v>
      </c>
      <c r="T332">
        <f t="shared" si="973"/>
        <v>1.62838422927119E-2</v>
      </c>
    </row>
    <row r="333" spans="1:20" x14ac:dyDescent="0.25">
      <c r="A333" s="5">
        <v>44260</v>
      </c>
      <c r="B333">
        <v>0.57469999999999999</v>
      </c>
      <c r="C333">
        <v>0.58479999999999999</v>
      </c>
      <c r="D333">
        <v>0.52210000000000001</v>
      </c>
      <c r="E333">
        <v>0.57150000000000001</v>
      </c>
      <c r="F333">
        <v>1736433.32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0.57575757575757625</v>
      </c>
      <c r="Q333">
        <f t="shared" si="970"/>
        <v>999764.63878787972</v>
      </c>
      <c r="R333">
        <f t="shared" si="971"/>
        <v>-873318.83010575792</v>
      </c>
      <c r="S333">
        <f t="shared" si="972"/>
        <v>-8.733188301057579</v>
      </c>
      <c r="T333">
        <f t="shared" si="973"/>
        <v>-8.7331883010575793E-3</v>
      </c>
    </row>
    <row r="334" spans="1:20" x14ac:dyDescent="0.25">
      <c r="A334" s="5">
        <v>44259</v>
      </c>
      <c r="B334">
        <v>0.54600000000000004</v>
      </c>
      <c r="C334">
        <v>0.62909999999999999</v>
      </c>
      <c r="D334">
        <v>0.52029999999999998</v>
      </c>
      <c r="E334">
        <v>0.57799999999999996</v>
      </c>
      <c r="F334">
        <v>3806650.49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6.066176470588179E-2</v>
      </c>
      <c r="Q334">
        <f t="shared" si="970"/>
        <v>230918.13634190965</v>
      </c>
      <c r="R334">
        <f t="shared" si="971"/>
        <v>-1873083.4688936376</v>
      </c>
      <c r="S334">
        <f t="shared" si="972"/>
        <v>-18.730834688936376</v>
      </c>
      <c r="T334">
        <f t="shared" si="973"/>
        <v>-1.8730834688936375E-2</v>
      </c>
    </row>
    <row r="335" spans="1:20" x14ac:dyDescent="0.25">
      <c r="A335" s="5">
        <v>44258</v>
      </c>
      <c r="B335">
        <v>0.53620000000000001</v>
      </c>
      <c r="C335">
        <v>0.57289999999999996</v>
      </c>
      <c r="D335">
        <v>0.51519999999999999</v>
      </c>
      <c r="E335">
        <v>0.54649999999999999</v>
      </c>
      <c r="F335">
        <v>2458066.48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8.4922010398613829E-2</v>
      </c>
      <c r="Q335">
        <f t="shared" si="970"/>
        <v>208743.9471750441</v>
      </c>
      <c r="R335">
        <f t="shared" si="971"/>
        <v>-2104001.6052355473</v>
      </c>
      <c r="S335">
        <f t="shared" si="972"/>
        <v>-21.040016052355472</v>
      </c>
      <c r="T335">
        <f t="shared" si="973"/>
        <v>-2.1040016052355472E-2</v>
      </c>
    </row>
    <row r="336" spans="1:20" x14ac:dyDescent="0.25">
      <c r="A336" s="5">
        <v>44257</v>
      </c>
      <c r="B336">
        <v>0.55840000000000001</v>
      </c>
      <c r="C336">
        <v>0.57999999999999996</v>
      </c>
      <c r="D336">
        <v>0.5101</v>
      </c>
      <c r="E336">
        <v>0.5373</v>
      </c>
      <c r="F336">
        <v>1625968.41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-0.22174535050071484</v>
      </c>
      <c r="Q336">
        <f t="shared" si="970"/>
        <v>-360550.93497854</v>
      </c>
      <c r="R336">
        <f t="shared" si="971"/>
        <v>-2312745.5524105914</v>
      </c>
      <c r="S336">
        <f t="shared" si="972"/>
        <v>-23.127455524105915</v>
      </c>
      <c r="T336">
        <f t="shared" si="973"/>
        <v>-2.3127455524105917E-2</v>
      </c>
    </row>
    <row r="337" spans="1:20" x14ac:dyDescent="0.25">
      <c r="A337" s="5">
        <v>44256</v>
      </c>
      <c r="B337">
        <v>0.5202</v>
      </c>
      <c r="C337">
        <v>0.57999999999999996</v>
      </c>
      <c r="D337">
        <v>0.5202</v>
      </c>
      <c r="E337">
        <v>0.55379999999999996</v>
      </c>
      <c r="F337">
        <v>1198490.74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0.12374581939799276</v>
      </c>
      <c r="Q337">
        <f t="shared" si="970"/>
        <v>148308.21866220669</v>
      </c>
      <c r="R337">
        <f t="shared" si="971"/>
        <v>-1952194.6174320516</v>
      </c>
      <c r="S337">
        <f t="shared" si="972"/>
        <v>-19.521946174320515</v>
      </c>
      <c r="T337">
        <f t="shared" si="973"/>
        <v>-1.9521946174320515E-2</v>
      </c>
    </row>
    <row r="338" spans="1:20" x14ac:dyDescent="0.25">
      <c r="A338" s="5">
        <v>44255</v>
      </c>
      <c r="B338">
        <v>0.52980000000000005</v>
      </c>
      <c r="C338">
        <v>0.53890000000000005</v>
      </c>
      <c r="D338">
        <v>0.48699999999999999</v>
      </c>
      <c r="E338">
        <v>0.5202</v>
      </c>
      <c r="F338">
        <v>1528303.69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0.27938342967244589</v>
      </c>
      <c r="Q338">
        <f t="shared" si="970"/>
        <v>426982.72649325454</v>
      </c>
      <c r="R338">
        <f t="shared" si="971"/>
        <v>-2100502.8360942584</v>
      </c>
      <c r="S338">
        <f t="shared" si="972"/>
        <v>-21.005028360942582</v>
      </c>
      <c r="T338">
        <f t="shared" si="973"/>
        <v>-2.1005028360942583E-2</v>
      </c>
    </row>
    <row r="339" spans="1:20" x14ac:dyDescent="0.25">
      <c r="A339" s="5">
        <v>44254</v>
      </c>
      <c r="B339">
        <v>0.52329999999999999</v>
      </c>
      <c r="C339">
        <v>0.59360000000000002</v>
      </c>
      <c r="D339">
        <v>0.5121</v>
      </c>
      <c r="E339">
        <v>0.53200000000000003</v>
      </c>
      <c r="F339">
        <v>1454225.99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-0.51165644171779079</v>
      </c>
      <c r="Q339">
        <f t="shared" si="970"/>
        <v>-744064.09549693158</v>
      </c>
      <c r="R339">
        <f t="shared" si="971"/>
        <v>-2527485.5625875127</v>
      </c>
      <c r="S339">
        <f t="shared" si="972"/>
        <v>-25.274855625875126</v>
      </c>
      <c r="T339">
        <f t="shared" si="973"/>
        <v>-2.5274855625875125E-2</v>
      </c>
    </row>
    <row r="340" spans="1:20" x14ac:dyDescent="0.25">
      <c r="A340" s="5">
        <v>44253</v>
      </c>
      <c r="B340">
        <v>0.5575</v>
      </c>
      <c r="C340">
        <v>0.56740000000000002</v>
      </c>
      <c r="D340">
        <v>0.503</v>
      </c>
      <c r="E340">
        <v>0.5232</v>
      </c>
      <c r="F340">
        <v>1874138.51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-0.37267080745341641</v>
      </c>
      <c r="Q340">
        <f t="shared" si="970"/>
        <v>-698436.71180124278</v>
      </c>
      <c r="R340">
        <f t="shared" si="971"/>
        <v>-1783421.4670905813</v>
      </c>
      <c r="S340">
        <f t="shared" si="972"/>
        <v>-17.834214670905812</v>
      </c>
      <c r="T340">
        <f t="shared" si="973"/>
        <v>-1.7834214670905811E-2</v>
      </c>
    </row>
    <row r="341" spans="1:20" x14ac:dyDescent="0.25">
      <c r="A341" s="5">
        <v>44252</v>
      </c>
      <c r="B341">
        <v>0.63460000000000005</v>
      </c>
      <c r="C341">
        <v>0.68300000000000005</v>
      </c>
      <c r="D341">
        <v>0.53380000000000005</v>
      </c>
      <c r="E341">
        <v>0.55759999999999998</v>
      </c>
      <c r="F341">
        <v>2273058.56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-0.68096514745308401</v>
      </c>
      <c r="Q341">
        <f t="shared" si="970"/>
        <v>-1547873.6574798948</v>
      </c>
      <c r="R341">
        <f t="shared" si="971"/>
        <v>-1084984.7552893385</v>
      </c>
      <c r="S341">
        <f t="shared" si="972"/>
        <v>-10.849847552893385</v>
      </c>
      <c r="T341">
        <f t="shared" si="973"/>
        <v>-1.0849847552893385E-2</v>
      </c>
    </row>
    <row r="342" spans="1:20" x14ac:dyDescent="0.25">
      <c r="A342" s="5">
        <v>44251</v>
      </c>
      <c r="B342">
        <v>0.57420000000000004</v>
      </c>
      <c r="C342">
        <v>0.65480000000000005</v>
      </c>
      <c r="D342">
        <v>0.55489999999999995</v>
      </c>
      <c r="E342">
        <v>0.62929999999999997</v>
      </c>
      <c r="F342">
        <v>3238456.3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0.48948948948948845</v>
      </c>
      <c r="Q342">
        <f t="shared" si="970"/>
        <v>1585190.3210210176</v>
      </c>
      <c r="R342">
        <f t="shared" si="971"/>
        <v>462888.90219055628</v>
      </c>
      <c r="S342">
        <f t="shared" si="972"/>
        <v>4.6288890219055627</v>
      </c>
      <c r="T342">
        <f t="shared" si="973"/>
        <v>4.628889021905563E-3</v>
      </c>
    </row>
    <row r="343" spans="1:20" x14ac:dyDescent="0.25">
      <c r="A343" s="5">
        <v>44250</v>
      </c>
      <c r="B343">
        <v>0.71919999999999995</v>
      </c>
      <c r="C343">
        <v>0.71919999999999995</v>
      </c>
      <c r="D343">
        <v>0.4758</v>
      </c>
      <c r="E343">
        <v>0.57620000000000005</v>
      </c>
      <c r="F343">
        <v>3865431.84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-0.17502054231717284</v>
      </c>
      <c r="Q343">
        <f t="shared" si="970"/>
        <v>-676529.97692686727</v>
      </c>
      <c r="R343">
        <f t="shared" si="971"/>
        <v>-1122301.4188304613</v>
      </c>
      <c r="S343">
        <f t="shared" si="972"/>
        <v>-11.223014188304614</v>
      </c>
      <c r="T343">
        <f t="shared" si="973"/>
        <v>-1.1223014188304613E-2</v>
      </c>
    </row>
    <row r="344" spans="1:20" x14ac:dyDescent="0.25">
      <c r="A344" s="5">
        <v>44249</v>
      </c>
      <c r="B344">
        <v>0.78759999999999997</v>
      </c>
      <c r="C344">
        <v>0.80769999999999997</v>
      </c>
      <c r="D344">
        <v>0.59699999999999998</v>
      </c>
      <c r="E344">
        <v>0.72209999999999996</v>
      </c>
      <c r="F344">
        <v>3564007.19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0.187470336971998</v>
      </c>
      <c r="Q344">
        <f t="shared" si="970"/>
        <v>668145.62887992372</v>
      </c>
      <c r="R344">
        <f t="shared" si="971"/>
        <v>-445771.44190359407</v>
      </c>
      <c r="S344">
        <f t="shared" si="972"/>
        <v>-4.4577144190359403</v>
      </c>
      <c r="T344">
        <f t="shared" si="973"/>
        <v>-4.4577144190359403E-3</v>
      </c>
    </row>
    <row r="345" spans="1:20" x14ac:dyDescent="0.25">
      <c r="A345" s="5">
        <v>44248</v>
      </c>
      <c r="B345">
        <v>0.78110000000000002</v>
      </c>
      <c r="C345">
        <v>0.85009999999999997</v>
      </c>
      <c r="D345">
        <v>0.74990000000000001</v>
      </c>
      <c r="E345">
        <v>0.78820000000000001</v>
      </c>
      <c r="F345">
        <v>2373351.6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-0.23552894211576811</v>
      </c>
      <c r="Q345">
        <f t="shared" si="970"/>
        <v>-558992.99161676562</v>
      </c>
      <c r="R345">
        <f t="shared" si="971"/>
        <v>-1113917.0707835178</v>
      </c>
      <c r="S345">
        <f t="shared" si="972"/>
        <v>-11.139170707835177</v>
      </c>
      <c r="T345">
        <f t="shared" si="973"/>
        <v>-1.1139170707835178E-2</v>
      </c>
    </row>
    <row r="346" spans="1:20" x14ac:dyDescent="0.25">
      <c r="A346" s="5">
        <v>44247</v>
      </c>
      <c r="B346">
        <v>0.89049999999999996</v>
      </c>
      <c r="C346">
        <v>0.92700000000000005</v>
      </c>
      <c r="D346">
        <v>0.74</v>
      </c>
      <c r="E346">
        <v>0.77380000000000004</v>
      </c>
      <c r="F346">
        <v>2495236.0699999998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-0.63850267379679104</v>
      </c>
      <c r="Q346">
        <f t="shared" si="970"/>
        <v>-1593214.9024491967</v>
      </c>
      <c r="R346">
        <f t="shared" si="971"/>
        <v>-554924.07916675205</v>
      </c>
      <c r="S346">
        <f t="shared" si="972"/>
        <v>-5.5492407916675202</v>
      </c>
      <c r="T346">
        <f t="shared" si="973"/>
        <v>-5.5492407916675202E-3</v>
      </c>
    </row>
    <row r="347" spans="1:20" x14ac:dyDescent="0.25">
      <c r="A347" s="5">
        <v>44246</v>
      </c>
      <c r="B347">
        <v>0.7621</v>
      </c>
      <c r="C347">
        <v>0.94399999999999995</v>
      </c>
      <c r="D347">
        <v>0.73780000000000001</v>
      </c>
      <c r="E347">
        <v>0.89049999999999996</v>
      </c>
      <c r="F347">
        <v>4254438.46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0.48108632395732293</v>
      </c>
      <c r="Q347">
        <f t="shared" si="970"/>
        <v>2046752.1592240541</v>
      </c>
      <c r="R347">
        <f t="shared" si="971"/>
        <v>1038290.8232824446</v>
      </c>
      <c r="S347">
        <f t="shared" si="972"/>
        <v>10.382908232824446</v>
      </c>
      <c r="T347">
        <f t="shared" si="973"/>
        <v>1.0382908232824447E-2</v>
      </c>
    </row>
    <row r="348" spans="1:20" x14ac:dyDescent="0.25">
      <c r="A348" s="5">
        <v>44245</v>
      </c>
      <c r="B348">
        <v>0.80600000000000005</v>
      </c>
      <c r="C348">
        <v>0.83169999999999999</v>
      </c>
      <c r="D348">
        <v>0.75770000000000004</v>
      </c>
      <c r="E348">
        <v>0.76570000000000005</v>
      </c>
      <c r="F348">
        <v>1997660.1599999999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-0.78378378378378344</v>
      </c>
      <c r="Q348">
        <f t="shared" si="970"/>
        <v>-1565733.6389189181</v>
      </c>
      <c r="R348">
        <f t="shared" si="971"/>
        <v>-1008461.3359416095</v>
      </c>
      <c r="S348">
        <f t="shared" si="972"/>
        <v>-10.084613359416094</v>
      </c>
      <c r="T348">
        <f t="shared" si="973"/>
        <v>-1.0084613359416095E-2</v>
      </c>
    </row>
    <row r="349" spans="1:20" x14ac:dyDescent="0.25">
      <c r="A349" s="5">
        <v>44244</v>
      </c>
      <c r="B349">
        <v>0.71840000000000004</v>
      </c>
      <c r="C349">
        <v>0.86860000000000004</v>
      </c>
      <c r="D349">
        <v>0.65</v>
      </c>
      <c r="E349">
        <v>0.80600000000000005</v>
      </c>
      <c r="F349">
        <v>4171381.55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0.42726440988106146</v>
      </c>
      <c r="Q349">
        <f t="shared" si="970"/>
        <v>1782282.8763494974</v>
      </c>
      <c r="R349">
        <f t="shared" si="971"/>
        <v>557272.30297730863</v>
      </c>
      <c r="S349">
        <f t="shared" si="972"/>
        <v>5.5727230297730861</v>
      </c>
      <c r="T349">
        <f t="shared" si="973"/>
        <v>5.5727230297730858E-3</v>
      </c>
    </row>
    <row r="350" spans="1:20" x14ac:dyDescent="0.25">
      <c r="A350" s="5">
        <v>44243</v>
      </c>
      <c r="B350">
        <v>0.73029999999999995</v>
      </c>
      <c r="C350">
        <v>0.81020000000000003</v>
      </c>
      <c r="D350">
        <v>0.68230000000000002</v>
      </c>
      <c r="E350">
        <v>0.7177</v>
      </c>
      <c r="F350">
        <v>3190146.5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-0.4464425332290855</v>
      </c>
      <c r="Q350">
        <f t="shared" si="970"/>
        <v>-1424217.0848319009</v>
      </c>
      <c r="R350">
        <f t="shared" si="971"/>
        <v>-1225010.5733721887</v>
      </c>
      <c r="S350">
        <f t="shared" si="972"/>
        <v>-12.250105733721886</v>
      </c>
      <c r="T350">
        <f t="shared" si="973"/>
        <v>-1.2250105733721886E-2</v>
      </c>
    </row>
    <row r="351" spans="1:20" x14ac:dyDescent="0.25">
      <c r="A351" s="5">
        <v>44242</v>
      </c>
      <c r="B351">
        <v>0.80930000000000002</v>
      </c>
      <c r="C351">
        <v>0.89680000000000004</v>
      </c>
      <c r="D351">
        <v>0.6401</v>
      </c>
      <c r="E351">
        <v>0.72870000000000001</v>
      </c>
      <c r="F351">
        <v>5767291.2199999997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-0.30970003895597975</v>
      </c>
      <c r="Q351">
        <f t="shared" si="970"/>
        <v>-1786130.3155044799</v>
      </c>
      <c r="R351">
        <f t="shared" si="971"/>
        <v>199206.51145971217</v>
      </c>
      <c r="S351">
        <f t="shared" si="972"/>
        <v>1.9920651145971218</v>
      </c>
      <c r="T351">
        <f t="shared" si="973"/>
        <v>1.9920651145971216E-3</v>
      </c>
    </row>
    <row r="352" spans="1:20" x14ac:dyDescent="0.25">
      <c r="A352" s="5">
        <v>44241</v>
      </c>
      <c r="B352">
        <v>0.63219999999999998</v>
      </c>
      <c r="C352">
        <v>0.81289999999999996</v>
      </c>
      <c r="D352">
        <v>0.62</v>
      </c>
      <c r="E352">
        <v>0.80920000000000003</v>
      </c>
      <c r="F352">
        <v>4989905.41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0.96163815448418943</v>
      </c>
      <c r="Q352">
        <f t="shared" si="970"/>
        <v>4798483.4295230731</v>
      </c>
      <c r="R352">
        <f t="shared" si="971"/>
        <v>1985336.8269641921</v>
      </c>
      <c r="S352">
        <f t="shared" si="972"/>
        <v>19.853368269641923</v>
      </c>
      <c r="T352">
        <f t="shared" si="973"/>
        <v>1.9853368269641923E-2</v>
      </c>
    </row>
    <row r="353" spans="1:20" x14ac:dyDescent="0.25">
      <c r="A353" s="5">
        <v>44240</v>
      </c>
      <c r="B353">
        <v>0.60250000000000004</v>
      </c>
      <c r="C353">
        <v>0.63819999999999999</v>
      </c>
      <c r="D353">
        <v>0.55049999999999999</v>
      </c>
      <c r="E353">
        <v>0.63219999999999998</v>
      </c>
      <c r="F353">
        <v>5216046.87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0.86316989737742289</v>
      </c>
      <c r="Q353">
        <f t="shared" si="970"/>
        <v>4502334.6414937284</v>
      </c>
      <c r="R353">
        <f t="shared" si="971"/>
        <v>-2813146.602558881</v>
      </c>
      <c r="S353">
        <f t="shared" si="972"/>
        <v>-28.131466025588811</v>
      </c>
      <c r="T353">
        <f t="shared" si="973"/>
        <v>-2.813146602558881E-2</v>
      </c>
    </row>
    <row r="354" spans="1:20" x14ac:dyDescent="0.25">
      <c r="A354" s="5">
        <v>44239</v>
      </c>
      <c r="B354">
        <v>0.51590000000000003</v>
      </c>
      <c r="C354">
        <v>0.63100000000000001</v>
      </c>
      <c r="D354">
        <v>0.47810000000000002</v>
      </c>
      <c r="E354">
        <v>0.60250000000000004</v>
      </c>
      <c r="F354">
        <v>6202009.7599999998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0.62720732504905197</v>
      </c>
      <c r="Q354">
        <f t="shared" si="970"/>
        <v>3889945.9514977126</v>
      </c>
      <c r="R354">
        <f t="shared" si="971"/>
        <v>-7315481.2440526094</v>
      </c>
      <c r="S354">
        <f t="shared" si="972"/>
        <v>-73.154812440526101</v>
      </c>
      <c r="T354">
        <f t="shared" si="973"/>
        <v>-7.3154812440526101E-2</v>
      </c>
    </row>
    <row r="355" spans="1:20" x14ac:dyDescent="0.25">
      <c r="A355" s="5">
        <v>44238</v>
      </c>
      <c r="B355">
        <v>0.46829999999999999</v>
      </c>
      <c r="C355">
        <v>0.53</v>
      </c>
      <c r="D355">
        <v>0.43</v>
      </c>
      <c r="E355">
        <v>0.51590000000000003</v>
      </c>
      <c r="F355">
        <v>5627431.4400000004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0.71800000000000008</v>
      </c>
      <c r="Q355">
        <f t="shared" si="970"/>
        <v>4040495.7739200005</v>
      </c>
      <c r="R355">
        <f t="shared" si="971"/>
        <v>-11205427.195550323</v>
      </c>
      <c r="S355">
        <f t="shared" si="972"/>
        <v>-112.05427195550322</v>
      </c>
      <c r="T355">
        <f t="shared" si="973"/>
        <v>-0.11205427195550323</v>
      </c>
    </row>
    <row r="356" spans="1:20" x14ac:dyDescent="0.25">
      <c r="A356" s="5">
        <v>44237</v>
      </c>
      <c r="B356">
        <v>0.58989999999999998</v>
      </c>
      <c r="C356">
        <v>0.62</v>
      </c>
      <c r="D356">
        <v>0.43909999999999999</v>
      </c>
      <c r="E356">
        <v>0.46829999999999999</v>
      </c>
      <c r="F356">
        <v>6335571.6699999999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-0.6771697070204532</v>
      </c>
      <c r="Q356">
        <f t="shared" si="970"/>
        <v>-4290257.2115809834</v>
      </c>
      <c r="R356">
        <f t="shared" si="971"/>
        <v>-15245922.969470322</v>
      </c>
      <c r="S356">
        <f t="shared" si="972"/>
        <v>-152.45922969470323</v>
      </c>
      <c r="T356">
        <f t="shared" si="973"/>
        <v>-0.15245922969470321</v>
      </c>
    </row>
    <row r="357" spans="1:20" x14ac:dyDescent="0.25">
      <c r="A357" s="5">
        <v>44236</v>
      </c>
      <c r="B357">
        <v>0.54449999999999998</v>
      </c>
      <c r="C357">
        <v>0.63449999999999995</v>
      </c>
      <c r="D357">
        <v>0.53</v>
      </c>
      <c r="E357">
        <v>0.59199999999999997</v>
      </c>
      <c r="F357">
        <v>2612713.5699999998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0.18660287081339688</v>
      </c>
      <c r="Q357">
        <f t="shared" si="970"/>
        <v>487539.85277511895</v>
      </c>
      <c r="R357">
        <f t="shared" si="971"/>
        <v>-10955665.75788934</v>
      </c>
      <c r="S357">
        <f t="shared" si="972"/>
        <v>-109.55665757889339</v>
      </c>
      <c r="T357">
        <f t="shared" si="973"/>
        <v>-0.10955665757889339</v>
      </c>
    </row>
    <row r="358" spans="1:20" x14ac:dyDescent="0.25">
      <c r="A358" s="5">
        <v>44235</v>
      </c>
      <c r="B358">
        <v>0.54259999999999997</v>
      </c>
      <c r="C358">
        <v>0.56569999999999998</v>
      </c>
      <c r="D358">
        <v>0.53069999999999995</v>
      </c>
      <c r="E358">
        <v>0.54269999999999996</v>
      </c>
      <c r="F358">
        <v>1733722.22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-0.31428571428571428</v>
      </c>
      <c r="Q358">
        <f t="shared" si="970"/>
        <v>-544884.12628571421</v>
      </c>
      <c r="R358">
        <f t="shared" si="971"/>
        <v>-11443205.610664459</v>
      </c>
      <c r="S358">
        <f t="shared" si="972"/>
        <v>-114.43205610664459</v>
      </c>
      <c r="T358">
        <f t="shared" si="973"/>
        <v>-0.1144320561066446</v>
      </c>
    </row>
    <row r="359" spans="1:20" x14ac:dyDescent="0.25">
      <c r="A359" s="5">
        <v>44234</v>
      </c>
      <c r="B359">
        <v>0.56369999999999998</v>
      </c>
      <c r="C359">
        <v>0.57050000000000001</v>
      </c>
      <c r="D359">
        <v>0.53</v>
      </c>
      <c r="E359">
        <v>0.54049999999999998</v>
      </c>
      <c r="F359">
        <v>1365825.29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-0.48148148148148351</v>
      </c>
      <c r="Q359">
        <f t="shared" si="970"/>
        <v>-657619.58407407685</v>
      </c>
      <c r="R359">
        <f t="shared" si="971"/>
        <v>-10898321.484378744</v>
      </c>
      <c r="S359">
        <f t="shared" si="972"/>
        <v>-108.98321484378744</v>
      </c>
      <c r="T359">
        <f t="shared" si="973"/>
        <v>-0.10898321484378744</v>
      </c>
    </row>
    <row r="360" spans="1:20" x14ac:dyDescent="0.25">
      <c r="A360" s="5">
        <v>44233</v>
      </c>
      <c r="B360">
        <v>0.63200000000000001</v>
      </c>
      <c r="C360">
        <v>0.63849999999999996</v>
      </c>
      <c r="D360">
        <v>0.53500000000000003</v>
      </c>
      <c r="E360">
        <v>0.56379999999999997</v>
      </c>
      <c r="F360">
        <v>1886891.46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-0.44347826086956604</v>
      </c>
      <c r="Q360">
        <f t="shared" si="970"/>
        <v>-836795.34313043638</v>
      </c>
      <c r="R360">
        <f t="shared" si="971"/>
        <v>-10240701.900304668</v>
      </c>
      <c r="S360">
        <f t="shared" si="972"/>
        <v>-102.40701900304667</v>
      </c>
      <c r="T360">
        <f t="shared" si="973"/>
        <v>-0.10240701900304668</v>
      </c>
    </row>
    <row r="361" spans="1:20" x14ac:dyDescent="0.25">
      <c r="A361" s="5">
        <v>44232</v>
      </c>
      <c r="B361">
        <v>0.53549999999999998</v>
      </c>
      <c r="C361">
        <v>0.65880000000000005</v>
      </c>
      <c r="D361">
        <v>0.53449999999999998</v>
      </c>
      <c r="E361">
        <v>0.63700000000000001</v>
      </c>
      <c r="F361">
        <v>2193463.36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0.64923572003217977</v>
      </c>
      <c r="Q361">
        <f t="shared" si="970"/>
        <v>1424074.7638938043</v>
      </c>
      <c r="R361">
        <f t="shared" si="971"/>
        <v>-9403906.5571742319</v>
      </c>
      <c r="S361">
        <f t="shared" si="972"/>
        <v>-94.039065571742313</v>
      </c>
      <c r="T361">
        <f t="shared" si="973"/>
        <v>-9.4039065571742311E-2</v>
      </c>
    </row>
    <row r="362" spans="1:20" x14ac:dyDescent="0.25">
      <c r="A362" s="5">
        <v>44231</v>
      </c>
      <c r="B362">
        <v>0.56759999999999999</v>
      </c>
      <c r="C362">
        <v>0.61970000000000003</v>
      </c>
      <c r="D362">
        <v>0.53</v>
      </c>
      <c r="E362">
        <v>0.53500000000000003</v>
      </c>
      <c r="F362">
        <v>1855869.57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-0.88851727982162754</v>
      </c>
      <c r="Q362">
        <f t="shared" si="970"/>
        <v>-1648972.1820401337</v>
      </c>
      <c r="R362">
        <f t="shared" si="971"/>
        <v>-10827981.321068035</v>
      </c>
      <c r="S362">
        <f t="shared" si="972"/>
        <v>-108.27981321068036</v>
      </c>
      <c r="T362">
        <f t="shared" si="973"/>
        <v>-0.10827981321068036</v>
      </c>
    </row>
    <row r="363" spans="1:20" x14ac:dyDescent="0.25">
      <c r="A363" s="5">
        <v>44230</v>
      </c>
      <c r="B363">
        <v>0.55200000000000005</v>
      </c>
      <c r="C363">
        <v>0.75</v>
      </c>
      <c r="D363">
        <v>0.54379999999999995</v>
      </c>
      <c r="E363">
        <v>0.56759999999999999</v>
      </c>
      <c r="F363">
        <v>3155981.51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-0.76915615906886481</v>
      </c>
      <c r="Q363">
        <f t="shared" si="970"/>
        <v>-2427442.6163239558</v>
      </c>
      <c r="R363">
        <f t="shared" si="971"/>
        <v>-9179009.139027901</v>
      </c>
      <c r="S363">
        <f t="shared" si="972"/>
        <v>-91.790091390279017</v>
      </c>
      <c r="T363">
        <f t="shared" si="973"/>
        <v>-9.1790091390279022E-2</v>
      </c>
    </row>
    <row r="364" spans="1:20" x14ac:dyDescent="0.25">
      <c r="A364" s="5">
        <v>44229</v>
      </c>
      <c r="B364">
        <v>0.56479999999999997</v>
      </c>
      <c r="C364">
        <v>0.61499999999999999</v>
      </c>
      <c r="D364">
        <v>0.54100000000000004</v>
      </c>
      <c r="E364">
        <v>0.55200000000000005</v>
      </c>
      <c r="F364">
        <v>1232478.8899999999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-0.7027027027027023</v>
      </c>
      <c r="Q364">
        <f t="shared" si="970"/>
        <v>-866066.24702702649</v>
      </c>
      <c r="R364">
        <f t="shared" si="971"/>
        <v>-6751566.5227039447</v>
      </c>
      <c r="S364">
        <f t="shared" si="972"/>
        <v>-67.515665227039449</v>
      </c>
      <c r="T364">
        <f t="shared" si="973"/>
        <v>-6.7515665227039445E-2</v>
      </c>
    </row>
    <row r="365" spans="1:20" x14ac:dyDescent="0.25">
      <c r="A365" s="5">
        <v>44228</v>
      </c>
      <c r="B365">
        <v>0.55149999999999999</v>
      </c>
      <c r="C365">
        <v>0.59809999999999997</v>
      </c>
      <c r="D365">
        <v>0.53059999999999996</v>
      </c>
      <c r="E365">
        <v>0.56530000000000002</v>
      </c>
      <c r="F365">
        <v>971638.15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2.814814814814998E-2</v>
      </c>
      <c r="Q365">
        <f t="shared" si="970"/>
        <v>27349.814592594372</v>
      </c>
      <c r="R365">
        <f t="shared" si="971"/>
        <v>-5885500.2756769182</v>
      </c>
      <c r="S365">
        <f t="shared" si="972"/>
        <v>-58.855002756769181</v>
      </c>
      <c r="T365">
        <f t="shared" si="973"/>
        <v>-5.8855002756769179E-2</v>
      </c>
    </row>
    <row r="366" spans="1:20" x14ac:dyDescent="0.25">
      <c r="A366" s="5">
        <v>44227</v>
      </c>
      <c r="B366">
        <v>0.56689999999999996</v>
      </c>
      <c r="C366">
        <v>0.57999999999999996</v>
      </c>
      <c r="D366">
        <v>0.51890000000000003</v>
      </c>
      <c r="E366">
        <v>0.55169999999999997</v>
      </c>
      <c r="F366">
        <v>647676.18000000005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7.3649754500817566E-2</v>
      </c>
      <c r="Q366">
        <f t="shared" si="970"/>
        <v>47701.19165302733</v>
      </c>
      <c r="R366">
        <f t="shared" si="971"/>
        <v>-5912850.0902695125</v>
      </c>
      <c r="S366">
        <f t="shared" si="972"/>
        <v>-59.128500902695123</v>
      </c>
      <c r="T366">
        <f t="shared" si="973"/>
        <v>-5.9128500902695121E-2</v>
      </c>
    </row>
    <row r="367" spans="1:20" x14ac:dyDescent="0.25">
      <c r="A367" s="5">
        <v>44226</v>
      </c>
      <c r="B367">
        <v>0.58430000000000004</v>
      </c>
      <c r="C367">
        <v>0.60370000000000001</v>
      </c>
      <c r="D367">
        <v>0.54800000000000004</v>
      </c>
      <c r="E367">
        <v>0.56830000000000003</v>
      </c>
      <c r="F367">
        <v>683073.51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-0.2710951526032318</v>
      </c>
      <c r="Q367">
        <f t="shared" si="970"/>
        <v>-185177.9174326752</v>
      </c>
      <c r="R367">
        <f t="shared" si="971"/>
        <v>-5960551.2819225397</v>
      </c>
      <c r="S367">
        <f t="shared" si="972"/>
        <v>-59.605512819225396</v>
      </c>
      <c r="T367">
        <f t="shared" si="973"/>
        <v>-5.9605512819225395E-2</v>
      </c>
    </row>
    <row r="368" spans="1:20" x14ac:dyDescent="0.25">
      <c r="A368" s="5">
        <v>44225</v>
      </c>
      <c r="B368">
        <v>0.60360000000000003</v>
      </c>
      <c r="C368">
        <v>0.65580000000000005</v>
      </c>
      <c r="D368">
        <v>0.56610000000000005</v>
      </c>
      <c r="E368">
        <v>0.58430000000000004</v>
      </c>
      <c r="F368">
        <v>1171905.1599999999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-0.59420289855072483</v>
      </c>
      <c r="Q368">
        <f t="shared" si="970"/>
        <v>-696349.44289855089</v>
      </c>
      <c r="R368">
        <f t="shared" si="971"/>
        <v>-5775373.3644898646</v>
      </c>
      <c r="S368">
        <f t="shared" si="972"/>
        <v>-57.753733644898645</v>
      </c>
      <c r="T368">
        <f t="shared" si="973"/>
        <v>-5.7753733644898643E-2</v>
      </c>
    </row>
    <row r="369" spans="1:20" x14ac:dyDescent="0.25">
      <c r="A369" s="5">
        <v>44224</v>
      </c>
      <c r="B369">
        <v>0.59</v>
      </c>
      <c r="C369">
        <v>0.63500000000000001</v>
      </c>
      <c r="D369">
        <v>0.57830000000000004</v>
      </c>
      <c r="E369">
        <v>0.60629999999999995</v>
      </c>
      <c r="F369">
        <v>666123.52000000002</v>
      </c>
      <c r="G369">
        <v>0</v>
      </c>
      <c r="L369" t="s">
        <v>7</v>
      </c>
      <c r="M369" t="s">
        <v>8</v>
      </c>
      <c r="N369" t="s">
        <v>7</v>
      </c>
      <c r="P369">
        <f t="shared" si="969"/>
        <v>-1.2345679012348242E-2</v>
      </c>
      <c r="Q369">
        <f t="shared" si="970"/>
        <v>-8223.7471604955354</v>
      </c>
      <c r="R369">
        <f t="shared" si="971"/>
        <v>-5079023.9215913136</v>
      </c>
      <c r="S369">
        <f t="shared" si="972"/>
        <v>-50.790239215913132</v>
      </c>
      <c r="T369">
        <f t="shared" si="973"/>
        <v>-5.0790239215913136E-2</v>
      </c>
    </row>
    <row r="370" spans="1:20" x14ac:dyDescent="0.25">
      <c r="A370" s="5">
        <v>44223</v>
      </c>
      <c r="B370">
        <v>0.61360000000000003</v>
      </c>
      <c r="C370">
        <v>0.64</v>
      </c>
      <c r="D370">
        <v>0.54</v>
      </c>
      <c r="E370">
        <v>0.59289999999999998</v>
      </c>
      <c r="F370">
        <v>898847.78</v>
      </c>
      <c r="G370">
        <v>0</v>
      </c>
      <c r="L370" t="s">
        <v>8</v>
      </c>
      <c r="M370" t="s">
        <v>8</v>
      </c>
      <c r="N370" t="s">
        <v>7</v>
      </c>
      <c r="P370">
        <f t="shared" si="969"/>
        <v>5.7999999999999177E-2</v>
      </c>
      <c r="Q370">
        <f t="shared" si="970"/>
        <v>52133.171239999261</v>
      </c>
      <c r="R370">
        <f t="shared" si="971"/>
        <v>-5070800.1744308183</v>
      </c>
      <c r="S370">
        <f t="shared" si="972"/>
        <v>-50.708001744308184</v>
      </c>
      <c r="T370">
        <f t="shared" si="973"/>
        <v>-5.0708001744308187E-2</v>
      </c>
    </row>
    <row r="371" spans="1:20" x14ac:dyDescent="0.25">
      <c r="A371" s="5">
        <v>44222</v>
      </c>
      <c r="B371">
        <v>0.52600000000000002</v>
      </c>
      <c r="C371">
        <v>0.62580000000000002</v>
      </c>
      <c r="D371">
        <v>0.51339999999999997</v>
      </c>
      <c r="E371">
        <v>0.61270000000000002</v>
      </c>
      <c r="F371">
        <v>814292.99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0.76690391459074747</v>
      </c>
      <c r="Q371">
        <f t="shared" si="970"/>
        <v>624484.48165480443</v>
      </c>
      <c r="R371">
        <f t="shared" si="971"/>
        <v>-5122933.3456708174</v>
      </c>
      <c r="S371">
        <f t="shared" si="972"/>
        <v>-51.229333456708176</v>
      </c>
      <c r="T371">
        <f t="shared" si="973"/>
        <v>-5.1229333456708173E-2</v>
      </c>
    </row>
    <row r="372" spans="1:20" x14ac:dyDescent="0.25">
      <c r="A372" s="5">
        <v>44221</v>
      </c>
      <c r="B372">
        <v>0.55820000000000003</v>
      </c>
      <c r="C372">
        <v>0.56899999999999995</v>
      </c>
      <c r="D372">
        <v>0.51500000000000001</v>
      </c>
      <c r="E372">
        <v>0.52669999999999995</v>
      </c>
      <c r="F372">
        <v>600356.24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-0.56666666666666865</v>
      </c>
      <c r="Q372">
        <f t="shared" si="970"/>
        <v>-340201.8693333345</v>
      </c>
      <c r="R372">
        <f t="shared" si="971"/>
        <v>-5747417.8273256216</v>
      </c>
      <c r="S372">
        <f t="shared" si="972"/>
        <v>-57.474178273256214</v>
      </c>
      <c r="T372">
        <f t="shared" si="973"/>
        <v>-5.7474178273256217E-2</v>
      </c>
    </row>
    <row r="373" spans="1:20" x14ac:dyDescent="0.25">
      <c r="A373" s="5">
        <v>44220</v>
      </c>
      <c r="B373">
        <v>0.5575</v>
      </c>
      <c r="C373">
        <v>0.59140000000000004</v>
      </c>
      <c r="D373">
        <v>0.53790000000000004</v>
      </c>
      <c r="E373">
        <v>0.55510000000000004</v>
      </c>
      <c r="F373">
        <v>451812.28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-0.3570093457943927</v>
      </c>
      <c r="Q373">
        <f t="shared" si="970"/>
        <v>-161301.206504673</v>
      </c>
      <c r="R373">
        <f t="shared" si="971"/>
        <v>-5407215.9579922874</v>
      </c>
      <c r="S373">
        <f t="shared" si="972"/>
        <v>-54.072159579922875</v>
      </c>
      <c r="T373">
        <f t="shared" si="973"/>
        <v>-5.4072159579922875E-2</v>
      </c>
    </row>
    <row r="374" spans="1:20" x14ac:dyDescent="0.25">
      <c r="A374" s="5">
        <v>44219</v>
      </c>
      <c r="B374">
        <v>0.55679999999999996</v>
      </c>
      <c r="C374">
        <v>0.58250000000000002</v>
      </c>
      <c r="D374">
        <v>0.52780000000000005</v>
      </c>
      <c r="E374">
        <v>0.56000000000000005</v>
      </c>
      <c r="F374">
        <v>632761.39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0.17733089579524766</v>
      </c>
      <c r="Q374">
        <f t="shared" si="970"/>
        <v>112208.14411334606</v>
      </c>
      <c r="R374">
        <f t="shared" si="971"/>
        <v>-5245914.7514876146</v>
      </c>
      <c r="S374">
        <f t="shared" si="972"/>
        <v>-52.459147514876143</v>
      </c>
      <c r="T374">
        <f t="shared" si="973"/>
        <v>-5.2459147514876146E-2</v>
      </c>
    </row>
    <row r="375" spans="1:20" x14ac:dyDescent="0.25">
      <c r="A375" s="5">
        <v>44218</v>
      </c>
      <c r="B375">
        <v>0.5524</v>
      </c>
      <c r="C375">
        <v>0.58550000000000002</v>
      </c>
      <c r="D375">
        <v>0.50690000000000002</v>
      </c>
      <c r="E375">
        <v>0.56130000000000002</v>
      </c>
      <c r="F375">
        <v>823733.48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0.38422391857506366</v>
      </c>
      <c r="Q375">
        <f t="shared" si="970"/>
        <v>316498.10554707382</v>
      </c>
      <c r="R375">
        <f t="shared" si="971"/>
        <v>-5358122.8956009606</v>
      </c>
      <c r="S375">
        <f t="shared" si="972"/>
        <v>-53.581228956009603</v>
      </c>
      <c r="T375">
        <f t="shared" si="973"/>
        <v>-5.3581228956009606E-2</v>
      </c>
    </row>
    <row r="376" spans="1:20" x14ac:dyDescent="0.25">
      <c r="A376" s="5">
        <v>44217</v>
      </c>
      <c r="B376">
        <v>0.622</v>
      </c>
      <c r="C376">
        <v>0.63190000000000002</v>
      </c>
      <c r="D376">
        <v>0.53600000000000003</v>
      </c>
      <c r="E376">
        <v>0.5524</v>
      </c>
      <c r="F376">
        <v>943615.62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-0.65797705943691398</v>
      </c>
      <c r="Q376">
        <f t="shared" si="970"/>
        <v>-620877.43088634044</v>
      </c>
      <c r="R376">
        <f t="shared" si="971"/>
        <v>-5674621.0011480348</v>
      </c>
      <c r="S376">
        <f t="shared" si="972"/>
        <v>-56.74621001148035</v>
      </c>
      <c r="T376">
        <f t="shared" si="973"/>
        <v>-5.674621001148035E-2</v>
      </c>
    </row>
    <row r="377" spans="1:20" x14ac:dyDescent="0.25">
      <c r="A377" s="5">
        <v>44216</v>
      </c>
      <c r="B377">
        <v>0.61419999999999997</v>
      </c>
      <c r="C377">
        <v>0.63180000000000003</v>
      </c>
      <c r="D377">
        <v>0.57899999999999996</v>
      </c>
      <c r="E377">
        <v>0.62490000000000001</v>
      </c>
      <c r="F377">
        <v>765112.5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0.73863636363636331</v>
      </c>
      <c r="Q377">
        <f t="shared" si="970"/>
        <v>565139.91477272706</v>
      </c>
      <c r="R377">
        <f t="shared" si="971"/>
        <v>-5053743.5702616945</v>
      </c>
      <c r="S377">
        <f t="shared" si="972"/>
        <v>-50.537435702616946</v>
      </c>
      <c r="T377">
        <f t="shared" si="973"/>
        <v>-5.0537435702616949E-2</v>
      </c>
    </row>
    <row r="378" spans="1:20" x14ac:dyDescent="0.25">
      <c r="A378" s="5">
        <v>44215</v>
      </c>
      <c r="B378">
        <v>0.64800000000000002</v>
      </c>
      <c r="C378">
        <v>0.67500000000000004</v>
      </c>
      <c r="D378">
        <v>0.60680000000000001</v>
      </c>
      <c r="E378">
        <v>0.61429999999999996</v>
      </c>
      <c r="F378">
        <v>911408.07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-0.78005865102639449</v>
      </c>
      <c r="Q378">
        <f t="shared" si="970"/>
        <v>-710951.74961876962</v>
      </c>
      <c r="R378">
        <f t="shared" si="971"/>
        <v>-5618883.485034422</v>
      </c>
      <c r="S378">
        <f t="shared" si="972"/>
        <v>-56.188834850344222</v>
      </c>
      <c r="T378">
        <f t="shared" si="973"/>
        <v>-5.6188834850344219E-2</v>
      </c>
    </row>
    <row r="379" spans="1:20" x14ac:dyDescent="0.25">
      <c r="A379" s="5">
        <v>44214</v>
      </c>
      <c r="B379">
        <v>0.62119999999999997</v>
      </c>
      <c r="C379">
        <v>0.66569999999999996</v>
      </c>
      <c r="D379">
        <v>0.59509999999999996</v>
      </c>
      <c r="E379">
        <v>0.64800000000000002</v>
      </c>
      <c r="F379">
        <v>797648.06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0.4985835694051009</v>
      </c>
      <c r="Q379">
        <f t="shared" si="970"/>
        <v>397694.21688385413</v>
      </c>
      <c r="R379">
        <f t="shared" si="971"/>
        <v>-4907931.7354156524</v>
      </c>
      <c r="S379">
        <f t="shared" si="972"/>
        <v>-49.079317354156522</v>
      </c>
      <c r="T379">
        <f t="shared" si="973"/>
        <v>-4.9079317354156521E-2</v>
      </c>
    </row>
    <row r="380" spans="1:20" x14ac:dyDescent="0.25">
      <c r="A380" s="5">
        <v>44213</v>
      </c>
      <c r="B380">
        <v>0.58609999999999995</v>
      </c>
      <c r="C380">
        <v>0.63300000000000001</v>
      </c>
      <c r="D380">
        <v>0.58520000000000005</v>
      </c>
      <c r="E380">
        <v>0.62119999999999997</v>
      </c>
      <c r="F380">
        <v>628937.97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0.50627615062761322</v>
      </c>
      <c r="Q380">
        <f t="shared" si="970"/>
        <v>318416.29443514528</v>
      </c>
      <c r="R380">
        <f t="shared" si="971"/>
        <v>-5305625.9522995064</v>
      </c>
      <c r="S380">
        <f t="shared" si="972"/>
        <v>-53.056259522995063</v>
      </c>
      <c r="T380">
        <f t="shared" si="973"/>
        <v>-5.3056259522995065E-2</v>
      </c>
    </row>
    <row r="381" spans="1:20" x14ac:dyDescent="0.25">
      <c r="A381" s="5">
        <v>44212</v>
      </c>
      <c r="B381">
        <v>0.58950000000000002</v>
      </c>
      <c r="C381">
        <v>0.63400000000000001</v>
      </c>
      <c r="D381">
        <v>0.57999999999999996</v>
      </c>
      <c r="E381">
        <v>0.5857</v>
      </c>
      <c r="F381">
        <v>767662.03</v>
      </c>
      <c r="G381">
        <v>0</v>
      </c>
      <c r="L381" t="s">
        <v>8</v>
      </c>
      <c r="M381" t="s">
        <v>7</v>
      </c>
      <c r="N381" t="s">
        <v>7</v>
      </c>
      <c r="P381">
        <f t="shared" si="969"/>
        <v>-0.78888888888888764</v>
      </c>
      <c r="Q381">
        <f t="shared" si="970"/>
        <v>-605600.04588888795</v>
      </c>
      <c r="R381">
        <f t="shared" si="971"/>
        <v>-5624042.2467346517</v>
      </c>
      <c r="S381">
        <f t="shared" si="972"/>
        <v>-56.240422467346519</v>
      </c>
      <c r="T381">
        <f t="shared" si="973"/>
        <v>-5.6240422467346521E-2</v>
      </c>
    </row>
    <row r="382" spans="1:20" x14ac:dyDescent="0.25">
      <c r="A382" s="5">
        <v>44211</v>
      </c>
      <c r="B382">
        <v>0.61119999999999997</v>
      </c>
      <c r="C382">
        <v>0.63870000000000005</v>
      </c>
      <c r="D382">
        <v>0.55000000000000004</v>
      </c>
      <c r="E382">
        <v>0.58950000000000002</v>
      </c>
      <c r="F382">
        <v>650758.80000000005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-0.1093573844419396</v>
      </c>
      <c r="Q382">
        <f t="shared" si="970"/>
        <v>-71165.280270575284</v>
      </c>
      <c r="R382">
        <f t="shared" si="971"/>
        <v>-5018442.200845764</v>
      </c>
      <c r="S382">
        <f t="shared" si="972"/>
        <v>-50.184422008457638</v>
      </c>
      <c r="T382">
        <f t="shared" si="973"/>
        <v>-5.0184422008457637E-2</v>
      </c>
    </row>
    <row r="383" spans="1:20" x14ac:dyDescent="0.25">
      <c r="A383" s="5">
        <v>44210</v>
      </c>
      <c r="B383">
        <v>0.64029999999999998</v>
      </c>
      <c r="C383">
        <v>0.66790000000000005</v>
      </c>
      <c r="D383">
        <v>0.59289999999999998</v>
      </c>
      <c r="E383">
        <v>0.61699999999999999</v>
      </c>
      <c r="F383">
        <v>613601.51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-0.35733333333333361</v>
      </c>
      <c r="Q383">
        <f t="shared" si="970"/>
        <v>-219260.27290666685</v>
      </c>
      <c r="R383">
        <f t="shared" si="971"/>
        <v>-4947276.9205751885</v>
      </c>
      <c r="S383">
        <f t="shared" si="972"/>
        <v>-49.472769205751888</v>
      </c>
      <c r="T383">
        <f t="shared" si="973"/>
        <v>-4.9472769205751888E-2</v>
      </c>
    </row>
    <row r="384" spans="1:20" x14ac:dyDescent="0.25">
      <c r="A384" s="5">
        <v>44209</v>
      </c>
      <c r="B384">
        <v>0.58589999999999998</v>
      </c>
      <c r="C384">
        <v>0.64500000000000002</v>
      </c>
      <c r="D384">
        <v>0.55689999999999995</v>
      </c>
      <c r="E384">
        <v>0.64029999999999998</v>
      </c>
      <c r="F384">
        <v>516941.31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0.89330306469920473</v>
      </c>
      <c r="Q384">
        <f t="shared" si="970"/>
        <v>461785.25649262167</v>
      </c>
      <c r="R384">
        <f t="shared" si="971"/>
        <v>-4728016.6476685219</v>
      </c>
      <c r="S384">
        <f t="shared" si="972"/>
        <v>-47.280166476685217</v>
      </c>
      <c r="T384">
        <f t="shared" si="973"/>
        <v>-4.7280166476685218E-2</v>
      </c>
    </row>
    <row r="385" spans="1:20" x14ac:dyDescent="0.25">
      <c r="A385" s="5">
        <v>44208</v>
      </c>
      <c r="B385">
        <v>0.64290000000000003</v>
      </c>
      <c r="C385">
        <v>0.6583</v>
      </c>
      <c r="D385">
        <v>0.54</v>
      </c>
      <c r="E385">
        <v>0.58579999999999999</v>
      </c>
      <c r="F385">
        <v>784283.24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-0.22569737954353394</v>
      </c>
      <c r="Q385">
        <f t="shared" si="970"/>
        <v>-177010.67208791251</v>
      </c>
      <c r="R385">
        <f t="shared" si="971"/>
        <v>-5189801.9041611431</v>
      </c>
      <c r="S385">
        <f t="shared" si="972"/>
        <v>-51.898019041611434</v>
      </c>
      <c r="T385">
        <f t="shared" si="973"/>
        <v>-5.1898019041611433E-2</v>
      </c>
    </row>
    <row r="386" spans="1:20" x14ac:dyDescent="0.25">
      <c r="A386" s="5">
        <v>44207</v>
      </c>
      <c r="B386">
        <v>0.64710000000000001</v>
      </c>
      <c r="C386">
        <v>0.65149999999999997</v>
      </c>
      <c r="D386">
        <v>0.49959999999999999</v>
      </c>
      <c r="E386">
        <v>0.64029999999999998</v>
      </c>
      <c r="F386">
        <v>1731813.26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0.85253456221198176</v>
      </c>
      <c r="Q386">
        <f t="shared" si="970"/>
        <v>1476430.659447005</v>
      </c>
      <c r="R386">
        <f t="shared" si="971"/>
        <v>-5012791.2320732307</v>
      </c>
      <c r="S386">
        <f t="shared" si="972"/>
        <v>-50.127912320732307</v>
      </c>
      <c r="T386">
        <f t="shared" si="973"/>
        <v>-5.0127912320732305E-2</v>
      </c>
    </row>
    <row r="387" spans="1:20" x14ac:dyDescent="0.25">
      <c r="A387" s="5">
        <v>44206</v>
      </c>
      <c r="B387">
        <v>0.65669999999999995</v>
      </c>
      <c r="C387">
        <v>0.76970000000000005</v>
      </c>
      <c r="D387">
        <v>0.57999999999999996</v>
      </c>
      <c r="E387">
        <v>0.6472</v>
      </c>
      <c r="F387">
        <v>1934358.17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-0.29151291512915123</v>
      </c>
      <c r="Q387">
        <f t="shared" si="970"/>
        <v>-563890.38904059026</v>
      </c>
      <c r="R387">
        <f t="shared" si="971"/>
        <v>-6489221.8915202357</v>
      </c>
      <c r="S387">
        <f t="shared" si="972"/>
        <v>-64.892218915202363</v>
      </c>
      <c r="T387">
        <f t="shared" si="973"/>
        <v>-6.489221891520236E-2</v>
      </c>
    </row>
    <row r="388" spans="1:20" x14ac:dyDescent="0.25">
      <c r="A388" s="5">
        <v>44205</v>
      </c>
      <c r="B388">
        <v>0.56710000000000005</v>
      </c>
      <c r="C388">
        <v>0.65800000000000003</v>
      </c>
      <c r="D388">
        <v>0.52459999999999996</v>
      </c>
      <c r="E388">
        <v>0.65529999999999999</v>
      </c>
      <c r="F388">
        <v>1152167.73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0.95952023988005941</v>
      </c>
      <c r="Q388">
        <f t="shared" si="970"/>
        <v>1105528.2566716636</v>
      </c>
      <c r="R388">
        <f t="shared" si="971"/>
        <v>-5925331.5024796454</v>
      </c>
      <c r="S388">
        <f t="shared" si="972"/>
        <v>-59.253315024796457</v>
      </c>
      <c r="T388">
        <f t="shared" si="973"/>
        <v>-5.9253315024796457E-2</v>
      </c>
    </row>
    <row r="389" spans="1:20" x14ac:dyDescent="0.25">
      <c r="A389" s="5">
        <v>44204</v>
      </c>
      <c r="B389">
        <v>0.57379999999999998</v>
      </c>
      <c r="C389">
        <v>0.64890000000000003</v>
      </c>
      <c r="D389">
        <v>0.47499999999999998</v>
      </c>
      <c r="E389">
        <v>0.56710000000000005</v>
      </c>
      <c r="F389">
        <v>1358008.01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5.9229442208166096E-2</v>
      </c>
      <c r="Q389">
        <f t="shared" si="970"/>
        <v>80434.056946521639</v>
      </c>
      <c r="R389">
        <f t="shared" si="971"/>
        <v>-7030859.7591513088</v>
      </c>
      <c r="S389">
        <f t="shared" si="972"/>
        <v>-70.308597591513092</v>
      </c>
      <c r="T389">
        <f t="shared" si="973"/>
        <v>-7.0308597591513089E-2</v>
      </c>
    </row>
    <row r="390" spans="1:20" x14ac:dyDescent="0.25">
      <c r="A390" s="5">
        <v>44203</v>
      </c>
      <c r="B390">
        <v>0.62360000000000004</v>
      </c>
      <c r="C390">
        <v>0.65990000000000004</v>
      </c>
      <c r="D390">
        <v>0.52500000000000002</v>
      </c>
      <c r="E390">
        <v>0.56640000000000001</v>
      </c>
      <c r="F390">
        <v>1048374.91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-0.38621200889547835</v>
      </c>
      <c r="Q390">
        <f t="shared" ref="Q390:Q453" si="975">F390*P390</f>
        <v>-404894.98006671632</v>
      </c>
      <c r="R390">
        <f t="shared" ref="R390:R453" si="976">R391+Q390</f>
        <v>-7111293.8160978304</v>
      </c>
      <c r="S390">
        <f t="shared" ref="S390:S453" si="977">R390/100000</f>
        <v>-71.112938160978302</v>
      </c>
      <c r="T390">
        <f t="shared" ref="T390:T453" si="978">S390/1000</f>
        <v>-7.1112938160978301E-2</v>
      </c>
    </row>
    <row r="391" spans="1:20" x14ac:dyDescent="0.25">
      <c r="A391" s="5">
        <v>44202</v>
      </c>
      <c r="B391">
        <v>0.64680000000000004</v>
      </c>
      <c r="C391">
        <v>0.68500000000000005</v>
      </c>
      <c r="D391">
        <v>0.61499999999999999</v>
      </c>
      <c r="E391">
        <v>0.62580000000000002</v>
      </c>
      <c r="F391">
        <v>850529.15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-0.69142857142857084</v>
      </c>
      <c r="Q391">
        <f t="shared" si="975"/>
        <v>-588080.15514285665</v>
      </c>
      <c r="R391">
        <f t="shared" si="976"/>
        <v>-6706398.8360311138</v>
      </c>
      <c r="S391">
        <f t="shared" si="977"/>
        <v>-67.063988360311143</v>
      </c>
      <c r="T391">
        <f t="shared" si="978"/>
        <v>-6.7063988360311147E-2</v>
      </c>
    </row>
    <row r="392" spans="1:20" x14ac:dyDescent="0.25">
      <c r="A392" s="5">
        <v>44201</v>
      </c>
      <c r="B392">
        <v>0.62</v>
      </c>
      <c r="C392">
        <v>0.7</v>
      </c>
      <c r="D392">
        <v>0.58050000000000002</v>
      </c>
      <c r="E392">
        <v>0.64710000000000001</v>
      </c>
      <c r="F392">
        <v>1245038.9099999999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0.11464435146443558</v>
      </c>
      <c r="Q392">
        <f t="shared" si="975"/>
        <v>142736.67838493775</v>
      </c>
      <c r="R392">
        <f t="shared" si="976"/>
        <v>-6118318.680888257</v>
      </c>
      <c r="S392">
        <f t="shared" si="977"/>
        <v>-61.183186808882567</v>
      </c>
      <c r="T392">
        <f t="shared" si="978"/>
        <v>-6.1183186808882566E-2</v>
      </c>
    </row>
    <row r="393" spans="1:20" x14ac:dyDescent="0.25">
      <c r="A393" s="5">
        <v>44200</v>
      </c>
      <c r="B393">
        <v>0.58430000000000004</v>
      </c>
      <c r="C393">
        <v>0.66269999999999996</v>
      </c>
      <c r="D393">
        <v>0.55249999999999999</v>
      </c>
      <c r="E393">
        <v>0.62</v>
      </c>
      <c r="F393">
        <v>1090029.42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0.22504537205081718</v>
      </c>
      <c r="Q393">
        <f t="shared" si="975"/>
        <v>245306.07637023643</v>
      </c>
      <c r="R393">
        <f t="shared" si="976"/>
        <v>-6261055.3592731943</v>
      </c>
      <c r="S393">
        <f t="shared" si="977"/>
        <v>-62.610553592731947</v>
      </c>
      <c r="T393">
        <f t="shared" si="978"/>
        <v>-6.2610553592731946E-2</v>
      </c>
    </row>
    <row r="394" spans="1:20" x14ac:dyDescent="0.25">
      <c r="A394" s="5">
        <v>44199</v>
      </c>
      <c r="B394">
        <v>0.55879999999999996</v>
      </c>
      <c r="C394">
        <v>0.61860000000000004</v>
      </c>
      <c r="D394">
        <v>0.54610000000000003</v>
      </c>
      <c r="E394">
        <v>0.58430000000000004</v>
      </c>
      <c r="F394">
        <v>1197952.54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5.3793103448276057E-2</v>
      </c>
      <c r="Q394">
        <f t="shared" si="975"/>
        <v>64441.58491034506</v>
      </c>
      <c r="R394">
        <f t="shared" si="976"/>
        <v>-6506361.4356434308</v>
      </c>
      <c r="S394">
        <f t="shared" si="977"/>
        <v>-65.063614356434314</v>
      </c>
      <c r="T394">
        <f t="shared" si="978"/>
        <v>-6.5063614356434318E-2</v>
      </c>
    </row>
    <row r="395" spans="1:20" x14ac:dyDescent="0.25">
      <c r="A395" s="5">
        <v>44198</v>
      </c>
      <c r="B395">
        <v>0.60350000000000004</v>
      </c>
      <c r="C395">
        <v>0.61050000000000004</v>
      </c>
      <c r="D395">
        <v>0.54410000000000003</v>
      </c>
      <c r="E395">
        <v>0.55269999999999997</v>
      </c>
      <c r="F395">
        <v>772548.22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-0.74096385542168863</v>
      </c>
      <c r="Q395">
        <f t="shared" si="975"/>
        <v>-572430.30759036285</v>
      </c>
      <c r="R395">
        <f t="shared" si="976"/>
        <v>-6570803.0205537761</v>
      </c>
      <c r="S395">
        <f t="shared" si="977"/>
        <v>-65.708030205537767</v>
      </c>
      <c r="T395">
        <f t="shared" si="978"/>
        <v>-6.5708030205537768E-2</v>
      </c>
    </row>
    <row r="396" spans="1:20" x14ac:dyDescent="0.25">
      <c r="A396" s="5">
        <v>44197</v>
      </c>
      <c r="B396">
        <v>0.56220000000000003</v>
      </c>
      <c r="C396">
        <v>0.66</v>
      </c>
      <c r="D396">
        <v>0.54530000000000001</v>
      </c>
      <c r="E396">
        <v>0.6</v>
      </c>
      <c r="F396">
        <v>1071588.51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-4.6207497820401754E-2</v>
      </c>
      <c r="Q396">
        <f t="shared" si="975"/>
        <v>-49515.423740192564</v>
      </c>
      <c r="R396">
        <f t="shared" si="976"/>
        <v>-5998372.7129634134</v>
      </c>
      <c r="S396">
        <f t="shared" si="977"/>
        <v>-59.983727129634133</v>
      </c>
      <c r="T396">
        <f t="shared" si="978"/>
        <v>-5.998372712963413E-2</v>
      </c>
    </row>
    <row r="397" spans="1:20" x14ac:dyDescent="0.25">
      <c r="A397" s="5">
        <v>44196</v>
      </c>
      <c r="B397">
        <v>0.53720000000000001</v>
      </c>
      <c r="C397">
        <v>0.57999999999999996</v>
      </c>
      <c r="D397">
        <v>0.49580000000000002</v>
      </c>
      <c r="E397">
        <v>0.56689999999999996</v>
      </c>
      <c r="F397">
        <v>362587.42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0.68883610451306387</v>
      </c>
      <c r="Q397">
        <f t="shared" si="975"/>
        <v>249763.30593824218</v>
      </c>
      <c r="R397">
        <f t="shared" si="976"/>
        <v>-5948857.2892232211</v>
      </c>
      <c r="S397">
        <f t="shared" si="977"/>
        <v>-59.488572892232213</v>
      </c>
      <c r="T397">
        <f t="shared" si="978"/>
        <v>-5.9488572892232215E-2</v>
      </c>
    </row>
    <row r="398" spans="1:20" x14ac:dyDescent="0.25">
      <c r="A398" s="5">
        <v>44195</v>
      </c>
      <c r="B398">
        <v>0.56499999999999995</v>
      </c>
      <c r="C398">
        <v>0.59340000000000004</v>
      </c>
      <c r="D398">
        <v>0.48</v>
      </c>
      <c r="E398">
        <v>0.53720000000000001</v>
      </c>
      <c r="F398">
        <v>736910.27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8.818342151675488E-3</v>
      </c>
      <c r="Q398">
        <f t="shared" si="975"/>
        <v>6498.3268959435645</v>
      </c>
      <c r="R398">
        <f t="shared" si="976"/>
        <v>-6198620.5951614631</v>
      </c>
      <c r="S398">
        <f t="shared" si="977"/>
        <v>-61.986205951614629</v>
      </c>
      <c r="T398">
        <f t="shared" si="978"/>
        <v>-6.198620595161463E-2</v>
      </c>
    </row>
    <row r="399" spans="1:20" x14ac:dyDescent="0.25">
      <c r="A399" s="5">
        <v>44194</v>
      </c>
      <c r="B399">
        <v>0.56330000000000002</v>
      </c>
      <c r="C399">
        <v>0.625</v>
      </c>
      <c r="D399">
        <v>0.50129999999999997</v>
      </c>
      <c r="E399">
        <v>0.55769999999999997</v>
      </c>
      <c r="F399">
        <v>885566.69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-8.8116410670978321E-2</v>
      </c>
      <c r="Q399">
        <f t="shared" si="975"/>
        <v>-78032.958132578948</v>
      </c>
      <c r="R399">
        <f t="shared" si="976"/>
        <v>-6205118.922057407</v>
      </c>
      <c r="S399">
        <f t="shared" si="977"/>
        <v>-62.051189220574066</v>
      </c>
      <c r="T399">
        <f t="shared" si="978"/>
        <v>-6.2051189220574066E-2</v>
      </c>
    </row>
    <row r="400" spans="1:20" x14ac:dyDescent="0.25">
      <c r="A400" s="5">
        <v>44193</v>
      </c>
      <c r="B400">
        <v>0.51119999999999999</v>
      </c>
      <c r="C400">
        <v>0.6532</v>
      </c>
      <c r="D400">
        <v>0.45760000000000001</v>
      </c>
      <c r="E400">
        <v>0.56200000000000006</v>
      </c>
      <c r="F400">
        <v>2107406.6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6.7484662576687629E-2</v>
      </c>
      <c r="Q400">
        <f t="shared" si="975"/>
        <v>142217.62331288453</v>
      </c>
      <c r="R400">
        <f t="shared" si="976"/>
        <v>-6127085.963924828</v>
      </c>
      <c r="S400">
        <f t="shared" si="977"/>
        <v>-61.270859639248279</v>
      </c>
      <c r="T400">
        <f t="shared" si="978"/>
        <v>-6.1270859639248276E-2</v>
      </c>
    </row>
    <row r="401" spans="1:20" x14ac:dyDescent="0.25">
      <c r="A401" s="5">
        <v>44192</v>
      </c>
      <c r="B401">
        <v>0.41220000000000001</v>
      </c>
      <c r="C401">
        <v>0.56000000000000005</v>
      </c>
      <c r="D401">
        <v>0.35</v>
      </c>
      <c r="E401">
        <v>0.49769999999999998</v>
      </c>
      <c r="F401">
        <v>1081573.99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0.40666666666666612</v>
      </c>
      <c r="Q401">
        <f t="shared" si="975"/>
        <v>439840.08926666609</v>
      </c>
      <c r="R401">
        <f t="shared" si="976"/>
        <v>-6269303.5872377129</v>
      </c>
      <c r="S401">
        <f t="shared" si="977"/>
        <v>-62.693035872377131</v>
      </c>
      <c r="T401">
        <f t="shared" si="978"/>
        <v>-6.2693035872377137E-2</v>
      </c>
    </row>
    <row r="402" spans="1:20" x14ac:dyDescent="0.25">
      <c r="A402" s="5">
        <v>44191</v>
      </c>
      <c r="B402">
        <v>0.41870000000000002</v>
      </c>
      <c r="C402">
        <v>0.4556</v>
      </c>
      <c r="D402">
        <v>0.39579999999999999</v>
      </c>
      <c r="E402">
        <v>0.40770000000000001</v>
      </c>
      <c r="F402">
        <v>512876.22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-0.60200668896321008</v>
      </c>
      <c r="Q402">
        <f t="shared" si="975"/>
        <v>-308754.91505016689</v>
      </c>
      <c r="R402">
        <f t="shared" si="976"/>
        <v>-6709143.6765043791</v>
      </c>
      <c r="S402">
        <f t="shared" si="977"/>
        <v>-67.091436765043795</v>
      </c>
      <c r="T402">
        <f t="shared" si="978"/>
        <v>-6.7091436765043796E-2</v>
      </c>
    </row>
    <row r="403" spans="1:20" x14ac:dyDescent="0.25">
      <c r="A403" s="5">
        <v>44190</v>
      </c>
      <c r="B403">
        <v>0.4194</v>
      </c>
      <c r="C403">
        <v>0.4451</v>
      </c>
      <c r="D403">
        <v>0.41</v>
      </c>
      <c r="E403">
        <v>0.4259</v>
      </c>
      <c r="F403">
        <v>329292.03000000003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-9.40170940170931E-2</v>
      </c>
      <c r="Q403">
        <f t="shared" si="975"/>
        <v>-30959.079743589446</v>
      </c>
      <c r="R403">
        <f t="shared" si="976"/>
        <v>-6400388.7614542125</v>
      </c>
      <c r="S403">
        <f t="shared" si="977"/>
        <v>-64.003887614542123</v>
      </c>
      <c r="T403">
        <f t="shared" si="978"/>
        <v>-6.4003887614542121E-2</v>
      </c>
    </row>
    <row r="404" spans="1:20" x14ac:dyDescent="0.25">
      <c r="A404" s="5">
        <v>44189</v>
      </c>
      <c r="B404">
        <v>0.42220000000000002</v>
      </c>
      <c r="C404">
        <v>0.42780000000000001</v>
      </c>
      <c r="D404">
        <v>0.37</v>
      </c>
      <c r="E404">
        <v>0.41110000000000002</v>
      </c>
      <c r="F404">
        <v>354542.75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0.4221453287197236</v>
      </c>
      <c r="Q404">
        <f t="shared" si="975"/>
        <v>149668.56574394478</v>
      </c>
      <c r="R404">
        <f t="shared" si="976"/>
        <v>-6369429.6817106232</v>
      </c>
      <c r="S404">
        <f t="shared" si="977"/>
        <v>-63.694296817106235</v>
      </c>
      <c r="T404">
        <f t="shared" si="978"/>
        <v>-6.3694296817106241E-2</v>
      </c>
    </row>
    <row r="405" spans="1:20" x14ac:dyDescent="0.25">
      <c r="A405" s="5">
        <v>44188</v>
      </c>
      <c r="B405">
        <v>0.48209999999999997</v>
      </c>
      <c r="C405">
        <v>0.49</v>
      </c>
      <c r="D405">
        <v>0.38769999999999999</v>
      </c>
      <c r="E405">
        <v>0.42409999999999998</v>
      </c>
      <c r="F405">
        <v>1009135.63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-0.2883675464320628</v>
      </c>
      <c r="Q405">
        <f t="shared" si="975"/>
        <v>-291001.96564027393</v>
      </c>
      <c r="R405">
        <f t="shared" si="976"/>
        <v>-6519098.2474545678</v>
      </c>
      <c r="S405">
        <f t="shared" si="977"/>
        <v>-65.190982474545677</v>
      </c>
      <c r="T405">
        <f t="shared" si="978"/>
        <v>-6.5190982474545675E-2</v>
      </c>
    </row>
    <row r="406" spans="1:20" x14ac:dyDescent="0.25">
      <c r="A406" s="5">
        <v>44187</v>
      </c>
      <c r="B406">
        <v>0.40400000000000003</v>
      </c>
      <c r="C406">
        <v>0.52800000000000002</v>
      </c>
      <c r="D406">
        <v>0.35499999999999998</v>
      </c>
      <c r="E406">
        <v>0.47760000000000002</v>
      </c>
      <c r="F406">
        <v>2302096.13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0.41734104046242787</v>
      </c>
      <c r="Q406">
        <f t="shared" si="975"/>
        <v>960759.19413872855</v>
      </c>
      <c r="R406">
        <f t="shared" si="976"/>
        <v>-6228096.2818142939</v>
      </c>
      <c r="S406">
        <f t="shared" si="977"/>
        <v>-62.280962818142939</v>
      </c>
      <c r="T406">
        <f t="shared" si="978"/>
        <v>-6.2280962818142938E-2</v>
      </c>
    </row>
    <row r="407" spans="1:20" x14ac:dyDescent="0.25">
      <c r="A407" s="5">
        <v>44186</v>
      </c>
      <c r="B407">
        <v>0.50219999999999998</v>
      </c>
      <c r="C407">
        <v>0.56189999999999996</v>
      </c>
      <c r="D407">
        <v>0.35899999999999999</v>
      </c>
      <c r="E407">
        <v>0.40050000000000002</v>
      </c>
      <c r="F407">
        <v>2872026.79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-0.59093149334647566</v>
      </c>
      <c r="Q407">
        <f t="shared" si="975"/>
        <v>-1697171.0799457848</v>
      </c>
      <c r="R407">
        <f t="shared" si="976"/>
        <v>-7188855.4759530229</v>
      </c>
      <c r="S407">
        <f t="shared" si="977"/>
        <v>-71.888554759530223</v>
      </c>
      <c r="T407">
        <f t="shared" si="978"/>
        <v>-7.1888554759530224E-2</v>
      </c>
    </row>
    <row r="408" spans="1:20" x14ac:dyDescent="0.25">
      <c r="A408" s="5">
        <v>44185</v>
      </c>
      <c r="B408">
        <v>0.61140000000000005</v>
      </c>
      <c r="C408">
        <v>0.61850000000000005</v>
      </c>
      <c r="D408">
        <v>0.45710000000000001</v>
      </c>
      <c r="E408">
        <v>0.50390000000000001</v>
      </c>
      <c r="F408">
        <v>2832686.13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-0.42007434944237926</v>
      </c>
      <c r="Q408">
        <f t="shared" si="975"/>
        <v>-1189938.7832342009</v>
      </c>
      <c r="R408">
        <f t="shared" si="976"/>
        <v>-5491684.396007238</v>
      </c>
      <c r="S408">
        <f t="shared" si="977"/>
        <v>-54.916843960072377</v>
      </c>
      <c r="T408">
        <f t="shared" si="978"/>
        <v>-5.4916843960072376E-2</v>
      </c>
    </row>
    <row r="409" spans="1:20" x14ac:dyDescent="0.25">
      <c r="A409" s="5">
        <v>44184</v>
      </c>
      <c r="B409">
        <v>0.76329999999999998</v>
      </c>
      <c r="C409">
        <v>0.78500000000000003</v>
      </c>
      <c r="D409">
        <v>0.59799999999999998</v>
      </c>
      <c r="E409">
        <v>0.61240000000000006</v>
      </c>
      <c r="F409">
        <v>2513959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-0.84598930481283341</v>
      </c>
      <c r="Q409">
        <f t="shared" si="975"/>
        <v>-2126782.426737966</v>
      </c>
      <c r="R409">
        <f t="shared" si="976"/>
        <v>-4301745.6127730366</v>
      </c>
      <c r="S409">
        <f t="shared" si="977"/>
        <v>-43.017456127730362</v>
      </c>
      <c r="T409">
        <f t="shared" si="978"/>
        <v>-4.3017456127730364E-2</v>
      </c>
    </row>
    <row r="410" spans="1:20" x14ac:dyDescent="0.25">
      <c r="A410" s="5">
        <v>44183</v>
      </c>
      <c r="B410">
        <v>0.73609999999999998</v>
      </c>
      <c r="C410">
        <v>0.89</v>
      </c>
      <c r="D410">
        <v>0.70020000000000004</v>
      </c>
      <c r="E410">
        <v>0.76429999999999998</v>
      </c>
      <c r="F410">
        <v>1242656.9099999999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-0.32455216016859911</v>
      </c>
      <c r="Q410">
        <f t="shared" si="975"/>
        <v>-403306.98448893643</v>
      </c>
      <c r="R410">
        <f t="shared" si="976"/>
        <v>-2174963.186035071</v>
      </c>
      <c r="S410">
        <f t="shared" si="977"/>
        <v>-21.749631860350711</v>
      </c>
      <c r="T410">
        <f t="shared" si="978"/>
        <v>-2.1749631860350709E-2</v>
      </c>
    </row>
    <row r="411" spans="1:20" x14ac:dyDescent="0.25">
      <c r="A411" s="5">
        <v>44182</v>
      </c>
      <c r="B411">
        <v>0.90969999999999995</v>
      </c>
      <c r="C411">
        <v>0.96189999999999998</v>
      </c>
      <c r="D411">
        <v>0.68259999999999998</v>
      </c>
      <c r="E411">
        <v>0.73170000000000002</v>
      </c>
      <c r="F411">
        <v>1035666.13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-0.64840673111349778</v>
      </c>
      <c r="Q411">
        <f t="shared" si="975"/>
        <v>-671532.88987826684</v>
      </c>
      <c r="R411">
        <f t="shared" si="976"/>
        <v>-1771656.2015461344</v>
      </c>
      <c r="S411">
        <f t="shared" si="977"/>
        <v>-17.716562015461346</v>
      </c>
      <c r="T411">
        <f t="shared" si="978"/>
        <v>-1.7716562015461346E-2</v>
      </c>
    </row>
    <row r="412" spans="1:20" x14ac:dyDescent="0.25">
      <c r="A412" s="5">
        <v>44181</v>
      </c>
      <c r="B412">
        <v>0.70809999999999995</v>
      </c>
      <c r="C412">
        <v>0.93989999999999996</v>
      </c>
      <c r="D412">
        <v>0.68979999999999997</v>
      </c>
      <c r="E412">
        <v>0.90990000000000004</v>
      </c>
      <c r="F412">
        <v>467585.28000000003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0.76009596161535453</v>
      </c>
      <c r="Q412">
        <f t="shared" si="975"/>
        <v>355409.68303878483</v>
      </c>
      <c r="R412">
        <f t="shared" si="976"/>
        <v>-1100123.3116678675</v>
      </c>
      <c r="S412">
        <f t="shared" si="977"/>
        <v>-11.001233116678675</v>
      </c>
      <c r="T412">
        <f t="shared" si="978"/>
        <v>-1.1001233116678675E-2</v>
      </c>
    </row>
    <row r="413" spans="1:20" x14ac:dyDescent="0.25">
      <c r="A413" s="5">
        <v>44180</v>
      </c>
      <c r="B413">
        <v>0.70660000000000001</v>
      </c>
      <c r="C413">
        <v>0.75209999999999999</v>
      </c>
      <c r="D413">
        <v>0.68459999999999999</v>
      </c>
      <c r="E413">
        <v>0.71109999999999995</v>
      </c>
      <c r="F413">
        <v>315564.90000000002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-0.21481481481481582</v>
      </c>
      <c r="Q413">
        <f t="shared" si="975"/>
        <v>-67788.015555555874</v>
      </c>
      <c r="R413">
        <f t="shared" si="976"/>
        <v>-1455532.9947066524</v>
      </c>
      <c r="S413">
        <f t="shared" si="977"/>
        <v>-14.555329947066523</v>
      </c>
      <c r="T413">
        <f t="shared" si="978"/>
        <v>-1.4555329947066523E-2</v>
      </c>
    </row>
    <row r="414" spans="1:20" x14ac:dyDescent="0.25">
      <c r="A414" s="5">
        <v>44179</v>
      </c>
      <c r="B414">
        <v>0.72619999999999996</v>
      </c>
      <c r="C414">
        <v>0.78869999999999996</v>
      </c>
      <c r="D414">
        <v>0.67549999999999999</v>
      </c>
      <c r="E414">
        <v>0.69779999999999998</v>
      </c>
      <c r="F414">
        <v>214312.06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-0.60600706713780927</v>
      </c>
      <c r="Q414">
        <f t="shared" si="975"/>
        <v>-129874.62293286221</v>
      </c>
      <c r="R414">
        <f t="shared" si="976"/>
        <v>-1387744.9791510964</v>
      </c>
      <c r="S414">
        <f t="shared" si="977"/>
        <v>-13.877449791510964</v>
      </c>
      <c r="T414">
        <f t="shared" si="978"/>
        <v>-1.3877449791510964E-2</v>
      </c>
    </row>
    <row r="415" spans="1:20" x14ac:dyDescent="0.25">
      <c r="A415" s="5">
        <v>44178</v>
      </c>
      <c r="B415">
        <v>0.73980000000000001</v>
      </c>
      <c r="C415">
        <v>0.79</v>
      </c>
      <c r="D415">
        <v>0.70199999999999996</v>
      </c>
      <c r="E415">
        <v>0.73119999999999996</v>
      </c>
      <c r="F415">
        <v>239571.54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-0.33636363636363686</v>
      </c>
      <c r="Q415">
        <f t="shared" si="975"/>
        <v>-80583.15436363648</v>
      </c>
      <c r="R415">
        <f t="shared" si="976"/>
        <v>-1257870.3562182342</v>
      </c>
      <c r="S415">
        <f t="shared" si="977"/>
        <v>-12.578703562182342</v>
      </c>
      <c r="T415">
        <f t="shared" si="978"/>
        <v>-1.2578703562182342E-2</v>
      </c>
    </row>
    <row r="416" spans="1:20" x14ac:dyDescent="0.25">
      <c r="A416" s="5">
        <v>44177</v>
      </c>
      <c r="B416">
        <v>0.62339999999999995</v>
      </c>
      <c r="C416">
        <v>0.81</v>
      </c>
      <c r="D416">
        <v>0.61950000000000005</v>
      </c>
      <c r="E416">
        <v>0.73980000000000001</v>
      </c>
      <c r="F416">
        <v>298833.93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0.26299212598425153</v>
      </c>
      <c r="Q416">
        <f t="shared" si="975"/>
        <v>78590.970566928998</v>
      </c>
      <c r="R416">
        <f t="shared" si="976"/>
        <v>-1177287.2018545978</v>
      </c>
      <c r="S416">
        <f t="shared" si="977"/>
        <v>-11.772872018545979</v>
      </c>
      <c r="T416">
        <f t="shared" si="978"/>
        <v>-1.1772872018545979E-2</v>
      </c>
    </row>
    <row r="417" spans="1:20" x14ac:dyDescent="0.25">
      <c r="A417" s="5">
        <v>44176</v>
      </c>
      <c r="B417">
        <v>0.66500000000000004</v>
      </c>
      <c r="C417">
        <v>0.66500000000000004</v>
      </c>
      <c r="D417">
        <v>0.58350000000000002</v>
      </c>
      <c r="E417">
        <v>0.62339999999999995</v>
      </c>
      <c r="F417">
        <v>217002.91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-2.0858895705523257E-2</v>
      </c>
      <c r="Q417">
        <f t="shared" si="975"/>
        <v>-4526.4410674850496</v>
      </c>
      <c r="R417">
        <f t="shared" si="976"/>
        <v>-1255878.1724215269</v>
      </c>
      <c r="S417">
        <f t="shared" si="977"/>
        <v>-12.558781724215269</v>
      </c>
      <c r="T417">
        <f t="shared" si="978"/>
        <v>-1.2558781724215269E-2</v>
      </c>
    </row>
    <row r="418" spans="1:20" x14ac:dyDescent="0.25">
      <c r="A418" s="5">
        <v>44175</v>
      </c>
      <c r="B418">
        <v>0.70679999999999998</v>
      </c>
      <c r="C418">
        <v>0.76739999999999997</v>
      </c>
      <c r="D418">
        <v>0.65</v>
      </c>
      <c r="E418">
        <v>0.66500000000000004</v>
      </c>
      <c r="F418">
        <v>147519.35999999999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-0.74446337308347499</v>
      </c>
      <c r="Q418">
        <f t="shared" si="975"/>
        <v>-109822.76034071545</v>
      </c>
      <c r="R418">
        <f t="shared" si="976"/>
        <v>-1251351.7313540417</v>
      </c>
      <c r="S418">
        <f t="shared" si="977"/>
        <v>-12.513517313540417</v>
      </c>
      <c r="T418">
        <f t="shared" si="978"/>
        <v>-1.2513517313540418E-2</v>
      </c>
    </row>
    <row r="419" spans="1:20" x14ac:dyDescent="0.25">
      <c r="A419" s="5">
        <v>44174</v>
      </c>
      <c r="B419">
        <v>0.62129999999999996</v>
      </c>
      <c r="C419">
        <v>0.75749999999999995</v>
      </c>
      <c r="D419">
        <v>0.58009999999999995</v>
      </c>
      <c r="E419">
        <v>0.70669999999999999</v>
      </c>
      <c r="F419">
        <v>317865.81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0.42728297632469048</v>
      </c>
      <c r="Q419">
        <f t="shared" si="975"/>
        <v>135818.64936865857</v>
      </c>
      <c r="R419">
        <f t="shared" si="976"/>
        <v>-1141528.9710133262</v>
      </c>
      <c r="S419">
        <f t="shared" si="977"/>
        <v>-11.415289710133262</v>
      </c>
      <c r="T419">
        <f t="shared" si="978"/>
        <v>-1.1415289710133262E-2</v>
      </c>
    </row>
    <row r="420" spans="1:20" x14ac:dyDescent="0.25">
      <c r="A420" s="5">
        <v>44173</v>
      </c>
      <c r="B420">
        <v>0.71730000000000005</v>
      </c>
      <c r="C420">
        <v>0.75</v>
      </c>
      <c r="D420">
        <v>0.59050000000000002</v>
      </c>
      <c r="E420">
        <v>0.62839999999999996</v>
      </c>
      <c r="F420">
        <v>425633.32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-0.52476489028213247</v>
      </c>
      <c r="Q420">
        <f t="shared" si="975"/>
        <v>-223357.42247021978</v>
      </c>
      <c r="R420">
        <f t="shared" si="976"/>
        <v>-1277347.6203819849</v>
      </c>
      <c r="S420">
        <f t="shared" si="977"/>
        <v>-12.773476203819849</v>
      </c>
      <c r="T420">
        <f t="shared" si="978"/>
        <v>-1.2773476203819849E-2</v>
      </c>
    </row>
    <row r="421" spans="1:20" x14ac:dyDescent="0.25">
      <c r="A421" s="5">
        <v>44172</v>
      </c>
      <c r="B421">
        <v>0.74060000000000004</v>
      </c>
      <c r="C421">
        <v>0.75149999999999995</v>
      </c>
      <c r="D421">
        <v>0.69940000000000002</v>
      </c>
      <c r="E421">
        <v>0.71160000000000001</v>
      </c>
      <c r="F421">
        <v>154958.16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-0.53166986564299401</v>
      </c>
      <c r="Q421">
        <f t="shared" si="975"/>
        <v>-82386.584107485571</v>
      </c>
      <c r="R421">
        <f t="shared" si="976"/>
        <v>-1053990.197911765</v>
      </c>
      <c r="S421">
        <f t="shared" si="977"/>
        <v>-10.53990197911765</v>
      </c>
      <c r="T421">
        <f t="shared" si="978"/>
        <v>-1.0539901979117649E-2</v>
      </c>
    </row>
    <row r="422" spans="1:20" x14ac:dyDescent="0.25">
      <c r="A422" s="5">
        <v>44171</v>
      </c>
      <c r="B422">
        <v>0.7702</v>
      </c>
      <c r="C422">
        <v>0.84570000000000001</v>
      </c>
      <c r="D422">
        <v>0.61750000000000005</v>
      </c>
      <c r="E422">
        <v>0.74080000000000001</v>
      </c>
      <c r="F422">
        <v>361253.55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8.0631025416301377E-2</v>
      </c>
      <c r="Q422">
        <f t="shared" si="975"/>
        <v>29128.244171779101</v>
      </c>
      <c r="R422">
        <f t="shared" si="976"/>
        <v>-971603.61380427936</v>
      </c>
      <c r="S422">
        <f t="shared" si="977"/>
        <v>-9.716036138042794</v>
      </c>
      <c r="T422">
        <f t="shared" si="978"/>
        <v>-9.7160361380427933E-3</v>
      </c>
    </row>
    <row r="423" spans="1:20" x14ac:dyDescent="0.25">
      <c r="A423" s="5">
        <v>44170</v>
      </c>
      <c r="B423">
        <v>0.58779999999999999</v>
      </c>
      <c r="C423">
        <v>0.7702</v>
      </c>
      <c r="D423">
        <v>0.58089999999999997</v>
      </c>
      <c r="E423">
        <v>0.75860000000000005</v>
      </c>
      <c r="F423">
        <v>327111.8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0.87744321183306984</v>
      </c>
      <c r="Q423">
        <f t="shared" si="975"/>
        <v>287022.02842049679</v>
      </c>
      <c r="R423">
        <f t="shared" si="976"/>
        <v>-1000731.8579760585</v>
      </c>
      <c r="S423">
        <f t="shared" si="977"/>
        <v>-10.007318579760584</v>
      </c>
      <c r="T423">
        <f t="shared" si="978"/>
        <v>-1.0007318579760584E-2</v>
      </c>
    </row>
    <row r="424" spans="1:20" x14ac:dyDescent="0.25">
      <c r="A424" s="5">
        <v>44169</v>
      </c>
      <c r="B424">
        <v>0.65290000000000004</v>
      </c>
      <c r="C424">
        <v>0.68</v>
      </c>
      <c r="D424">
        <v>0.56799999999999995</v>
      </c>
      <c r="E424">
        <v>0.58089999999999997</v>
      </c>
      <c r="F424">
        <v>364103.09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-0.76964285714285696</v>
      </c>
      <c r="Q424">
        <f t="shared" si="975"/>
        <v>-280229.34248214279</v>
      </c>
      <c r="R424">
        <f t="shared" si="976"/>
        <v>-1287753.8863965552</v>
      </c>
      <c r="S424">
        <f t="shared" si="977"/>
        <v>-12.877538863965553</v>
      </c>
      <c r="T424">
        <f t="shared" si="978"/>
        <v>-1.2877538863965553E-2</v>
      </c>
    </row>
    <row r="425" spans="1:20" x14ac:dyDescent="0.25">
      <c r="A425" s="5">
        <v>44168</v>
      </c>
      <c r="B425">
        <v>0.58679999999999999</v>
      </c>
      <c r="C425">
        <v>0.67</v>
      </c>
      <c r="D425">
        <v>0.57499999999999996</v>
      </c>
      <c r="E425">
        <v>0.65290000000000004</v>
      </c>
      <c r="F425">
        <v>259516.57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0.64000000000000024</v>
      </c>
      <c r="Q425">
        <f t="shared" si="975"/>
        <v>166090.60480000006</v>
      </c>
      <c r="R425">
        <f t="shared" si="976"/>
        <v>-1007524.5439144124</v>
      </c>
      <c r="S425">
        <f t="shared" si="977"/>
        <v>-10.075245439144124</v>
      </c>
      <c r="T425">
        <f t="shared" si="978"/>
        <v>-1.0075245439144124E-2</v>
      </c>
    </row>
    <row r="426" spans="1:20" x14ac:dyDescent="0.25">
      <c r="A426" s="5">
        <v>44167</v>
      </c>
      <c r="B426">
        <v>0.54069999999999996</v>
      </c>
      <c r="C426">
        <v>0.61</v>
      </c>
      <c r="D426">
        <v>0.5302</v>
      </c>
      <c r="E426">
        <v>0.58189999999999997</v>
      </c>
      <c r="F426">
        <v>220294.07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0.2957393483709268</v>
      </c>
      <c r="Q426">
        <f t="shared" si="975"/>
        <v>65149.624711779339</v>
      </c>
      <c r="R426">
        <f t="shared" si="976"/>
        <v>-1173615.1487144125</v>
      </c>
      <c r="S426">
        <f t="shared" si="977"/>
        <v>-11.736151487144125</v>
      </c>
      <c r="T426">
        <f t="shared" si="978"/>
        <v>-1.1736151487144126E-2</v>
      </c>
    </row>
    <row r="427" spans="1:20" x14ac:dyDescent="0.25">
      <c r="A427" s="5">
        <v>44166</v>
      </c>
      <c r="B427">
        <v>0.51080000000000003</v>
      </c>
      <c r="C427">
        <v>0.59840000000000004</v>
      </c>
      <c r="D427">
        <v>0.4864</v>
      </c>
      <c r="E427">
        <v>0.54600000000000004</v>
      </c>
      <c r="F427">
        <v>327287.64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6.4285714285714612E-2</v>
      </c>
      <c r="Q427">
        <f t="shared" si="975"/>
        <v>21039.919714285821</v>
      </c>
      <c r="R427">
        <f t="shared" si="976"/>
        <v>-1238764.7734261919</v>
      </c>
      <c r="S427">
        <f t="shared" si="977"/>
        <v>-12.387647734261918</v>
      </c>
      <c r="T427">
        <f t="shared" si="978"/>
        <v>-1.2387647734261919E-2</v>
      </c>
    </row>
    <row r="428" spans="1:20" x14ac:dyDescent="0.25">
      <c r="A428" s="5">
        <v>44165</v>
      </c>
      <c r="B428">
        <v>0.47960000000000003</v>
      </c>
      <c r="C428">
        <v>0.52</v>
      </c>
      <c r="D428">
        <v>0.47510000000000002</v>
      </c>
      <c r="E428">
        <v>0.51800000000000002</v>
      </c>
      <c r="F428">
        <v>205233.9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0.91091314031180393</v>
      </c>
      <c r="Q428">
        <f t="shared" si="975"/>
        <v>186950.25634743873</v>
      </c>
      <c r="R428">
        <f t="shared" si="976"/>
        <v>-1259804.6931404776</v>
      </c>
      <c r="S428">
        <f t="shared" si="977"/>
        <v>-12.598046931404776</v>
      </c>
      <c r="T428">
        <f t="shared" si="978"/>
        <v>-1.2598046931404776E-2</v>
      </c>
    </row>
    <row r="429" spans="1:20" x14ac:dyDescent="0.25">
      <c r="A429" s="5">
        <v>44164</v>
      </c>
      <c r="B429">
        <v>0.48620000000000002</v>
      </c>
      <c r="C429">
        <v>0.4955</v>
      </c>
      <c r="D429">
        <v>0.46800000000000003</v>
      </c>
      <c r="E429">
        <v>0.47</v>
      </c>
      <c r="F429">
        <v>119778.5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-0.85454545454545827</v>
      </c>
      <c r="Q429">
        <f t="shared" si="975"/>
        <v>-102356.17272727318</v>
      </c>
      <c r="R429">
        <f t="shared" si="976"/>
        <v>-1446754.9494879164</v>
      </c>
      <c r="S429">
        <f t="shared" si="977"/>
        <v>-14.467549494879163</v>
      </c>
      <c r="T429">
        <f t="shared" si="978"/>
        <v>-1.4467549494879163E-2</v>
      </c>
    </row>
    <row r="430" spans="1:20" x14ac:dyDescent="0.25">
      <c r="A430" s="5">
        <v>44163</v>
      </c>
      <c r="B430">
        <v>0.48609999999999998</v>
      </c>
      <c r="C430">
        <v>0.51800000000000002</v>
      </c>
      <c r="D430">
        <v>0.46870000000000001</v>
      </c>
      <c r="E430">
        <v>0.4924</v>
      </c>
      <c r="F430">
        <v>145671.04999999999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-3.8539553752535746E-2</v>
      </c>
      <c r="Q430">
        <f t="shared" si="975"/>
        <v>-5614.0972616633217</v>
      </c>
      <c r="R430">
        <f t="shared" si="976"/>
        <v>-1344398.7767606433</v>
      </c>
      <c r="S430">
        <f t="shared" si="977"/>
        <v>-13.443987767606433</v>
      </c>
      <c r="T430">
        <f t="shared" si="978"/>
        <v>-1.3443987767606434E-2</v>
      </c>
    </row>
    <row r="431" spans="1:20" x14ac:dyDescent="0.25">
      <c r="A431" s="5">
        <v>44162</v>
      </c>
      <c r="B431">
        <v>0.4703</v>
      </c>
      <c r="C431">
        <v>0.50760000000000005</v>
      </c>
      <c r="D431">
        <v>0.45100000000000001</v>
      </c>
      <c r="E431">
        <v>0.48709999999999998</v>
      </c>
      <c r="F431">
        <v>136237.70000000001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0.27561837455830179</v>
      </c>
      <c r="Q431">
        <f t="shared" si="975"/>
        <v>37549.613427561555</v>
      </c>
      <c r="R431">
        <f t="shared" si="976"/>
        <v>-1338784.6794989801</v>
      </c>
      <c r="S431">
        <f t="shared" si="977"/>
        <v>-13.3878467949898</v>
      </c>
      <c r="T431">
        <f t="shared" si="978"/>
        <v>-1.33878467949898E-2</v>
      </c>
    </row>
    <row r="432" spans="1:20" x14ac:dyDescent="0.25">
      <c r="A432" s="5">
        <v>44161</v>
      </c>
      <c r="B432">
        <v>0.53449999999999998</v>
      </c>
      <c r="C432">
        <v>0.54100000000000004</v>
      </c>
      <c r="D432">
        <v>0.42549999999999999</v>
      </c>
      <c r="E432">
        <v>0.47170000000000001</v>
      </c>
      <c r="F432">
        <v>295566.06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</v>
      </c>
      <c r="Q432">
        <f t="shared" si="975"/>
        <v>-59113.212</v>
      </c>
      <c r="R432">
        <f t="shared" si="976"/>
        <v>-1376334.2929265415</v>
      </c>
      <c r="S432">
        <f t="shared" si="977"/>
        <v>-13.763342929265415</v>
      </c>
      <c r="T432">
        <f t="shared" si="978"/>
        <v>-1.3763342929265414E-2</v>
      </c>
    </row>
    <row r="433" spans="1:20" x14ac:dyDescent="0.25">
      <c r="A433" s="5">
        <v>44160</v>
      </c>
      <c r="B433">
        <v>0.53600000000000003</v>
      </c>
      <c r="C433">
        <v>0.5635</v>
      </c>
      <c r="D433">
        <v>0.51039999999999996</v>
      </c>
      <c r="E433">
        <v>0.53449999999999998</v>
      </c>
      <c r="F433">
        <v>160943.22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-9.2278719397363693E-2</v>
      </c>
      <c r="Q433">
        <f t="shared" si="975"/>
        <v>-14851.634237288172</v>
      </c>
      <c r="R433">
        <f t="shared" si="976"/>
        <v>-1317221.0809265415</v>
      </c>
      <c r="S433">
        <f t="shared" si="977"/>
        <v>-13.172210809265415</v>
      </c>
      <c r="T433">
        <f t="shared" si="978"/>
        <v>-1.3172210809265415E-2</v>
      </c>
    </row>
    <row r="434" spans="1:20" x14ac:dyDescent="0.25">
      <c r="A434" s="5">
        <v>44159</v>
      </c>
      <c r="B434">
        <v>0.5585</v>
      </c>
      <c r="C434">
        <v>0.58730000000000004</v>
      </c>
      <c r="D434">
        <v>0.50739999999999996</v>
      </c>
      <c r="E434">
        <v>0.5323</v>
      </c>
      <c r="F434">
        <v>221104.66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-0.37672090112640783</v>
      </c>
      <c r="Q434">
        <f t="shared" si="975"/>
        <v>-83294.746758448018</v>
      </c>
      <c r="R434">
        <f t="shared" si="976"/>
        <v>-1302369.4466892532</v>
      </c>
      <c r="S434">
        <f t="shared" si="977"/>
        <v>-13.023694466892533</v>
      </c>
      <c r="T434">
        <f t="shared" si="978"/>
        <v>-1.3023694466892532E-2</v>
      </c>
    </row>
    <row r="435" spans="1:20" x14ac:dyDescent="0.25">
      <c r="A435" s="5">
        <v>44158</v>
      </c>
      <c r="B435">
        <v>0.55369999999999997</v>
      </c>
      <c r="C435">
        <v>0.6</v>
      </c>
      <c r="D435">
        <v>0.49270000000000003</v>
      </c>
      <c r="E435">
        <v>0.56830000000000003</v>
      </c>
      <c r="F435">
        <v>150914.94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0.40913327120223736</v>
      </c>
      <c r="Q435">
        <f t="shared" si="975"/>
        <v>61744.323075489381</v>
      </c>
      <c r="R435">
        <f t="shared" si="976"/>
        <v>-1219074.6999308052</v>
      </c>
      <c r="S435">
        <f t="shared" si="977"/>
        <v>-12.190746999308052</v>
      </c>
      <c r="T435">
        <f t="shared" si="978"/>
        <v>-1.2190746999308052E-2</v>
      </c>
    </row>
    <row r="436" spans="1:20" x14ac:dyDescent="0.25">
      <c r="A436" s="5">
        <v>44157</v>
      </c>
      <c r="B436">
        <v>0.55969999999999998</v>
      </c>
      <c r="C436">
        <v>0.59760000000000002</v>
      </c>
      <c r="D436">
        <v>0.48920000000000002</v>
      </c>
      <c r="E436">
        <v>0.56740000000000002</v>
      </c>
      <c r="F436">
        <v>241883.94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0.44280442804428033</v>
      </c>
      <c r="Q436">
        <f t="shared" si="975"/>
        <v>107107.27970479702</v>
      </c>
      <c r="R436">
        <f t="shared" si="976"/>
        <v>-1280819.0230062946</v>
      </c>
      <c r="S436">
        <f t="shared" si="977"/>
        <v>-12.808190230062946</v>
      </c>
      <c r="T436">
        <f t="shared" si="978"/>
        <v>-1.2808190230062947E-2</v>
      </c>
    </row>
    <row r="437" spans="1:20" x14ac:dyDescent="0.25">
      <c r="A437" s="5">
        <v>44156</v>
      </c>
      <c r="B437">
        <v>0.59179999999999999</v>
      </c>
      <c r="C437">
        <v>0.62670000000000003</v>
      </c>
      <c r="D437">
        <v>0.53600000000000003</v>
      </c>
      <c r="E437">
        <v>0.55959999999999999</v>
      </c>
      <c r="F437">
        <v>163629.51999999999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-0.47960308710033178</v>
      </c>
      <c r="Q437">
        <f t="shared" si="975"/>
        <v>-78477.22293274547</v>
      </c>
      <c r="R437">
        <f t="shared" si="976"/>
        <v>-1387926.3027110917</v>
      </c>
      <c r="S437">
        <f t="shared" si="977"/>
        <v>-13.879263027110918</v>
      </c>
      <c r="T437">
        <f t="shared" si="978"/>
        <v>-1.3879263027110917E-2</v>
      </c>
    </row>
    <row r="438" spans="1:20" x14ac:dyDescent="0.25">
      <c r="A438" s="5">
        <v>44155</v>
      </c>
      <c r="B438">
        <v>0.60019999999999996</v>
      </c>
      <c r="C438">
        <v>0.63360000000000005</v>
      </c>
      <c r="D438">
        <v>0.56499999999999995</v>
      </c>
      <c r="E438">
        <v>0.59209999999999996</v>
      </c>
      <c r="F438">
        <v>136797.93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-0.20991253644314953</v>
      </c>
      <c r="Q438">
        <f t="shared" si="975"/>
        <v>-28715.600466472417</v>
      </c>
      <c r="R438">
        <f t="shared" si="976"/>
        <v>-1309449.0797783462</v>
      </c>
      <c r="S438">
        <f t="shared" si="977"/>
        <v>-13.094490797783463</v>
      </c>
      <c r="T438">
        <f t="shared" si="978"/>
        <v>-1.3094490797783463E-2</v>
      </c>
    </row>
    <row r="439" spans="1:20" x14ac:dyDescent="0.25">
      <c r="A439" s="5">
        <v>44154</v>
      </c>
      <c r="B439">
        <v>0.58940000000000003</v>
      </c>
      <c r="C439">
        <v>0.65</v>
      </c>
      <c r="D439">
        <v>0.55069999999999997</v>
      </c>
      <c r="E439">
        <v>0.60409999999999997</v>
      </c>
      <c r="F439">
        <v>184711.55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7.5528700906343879E-2</v>
      </c>
      <c r="Q439">
        <f t="shared" si="975"/>
        <v>13951.023413897183</v>
      </c>
      <c r="R439">
        <f t="shared" si="976"/>
        <v>-1280733.4793118739</v>
      </c>
      <c r="S439">
        <f t="shared" si="977"/>
        <v>-12.80733479311874</v>
      </c>
      <c r="T439">
        <f t="shared" si="978"/>
        <v>-1.2807334793118739E-2</v>
      </c>
    </row>
    <row r="440" spans="1:20" x14ac:dyDescent="0.25">
      <c r="A440" s="5">
        <v>44153</v>
      </c>
      <c r="B440">
        <v>0.57850000000000001</v>
      </c>
      <c r="C440">
        <v>0.65</v>
      </c>
      <c r="D440">
        <v>0.53190000000000004</v>
      </c>
      <c r="E440">
        <v>0.58899999999999997</v>
      </c>
      <c r="F440">
        <v>337052.04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-3.3022861981372789E-2</v>
      </c>
      <c r="Q440">
        <f t="shared" si="975"/>
        <v>-11130.42299746014</v>
      </c>
      <c r="R440">
        <f t="shared" si="976"/>
        <v>-1294684.5027257712</v>
      </c>
      <c r="S440">
        <f t="shared" si="977"/>
        <v>-12.946845027257712</v>
      </c>
      <c r="T440">
        <f t="shared" si="978"/>
        <v>-1.2946845027257712E-2</v>
      </c>
    </row>
    <row r="441" spans="1:20" x14ac:dyDescent="0.25">
      <c r="A441" s="5">
        <v>44152</v>
      </c>
      <c r="B441">
        <v>0.51300000000000001</v>
      </c>
      <c r="C441">
        <v>0.58879999999999999</v>
      </c>
      <c r="D441">
        <v>0.45</v>
      </c>
      <c r="E441">
        <v>0.57769999999999999</v>
      </c>
      <c r="F441">
        <v>222855.31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0.84005763688760804</v>
      </c>
      <c r="Q441">
        <f t="shared" si="975"/>
        <v>187211.30508645534</v>
      </c>
      <c r="R441">
        <f t="shared" si="976"/>
        <v>-1283554.0797283109</v>
      </c>
      <c r="S441">
        <f t="shared" si="977"/>
        <v>-12.835540797283109</v>
      </c>
      <c r="T441">
        <f t="shared" si="978"/>
        <v>-1.2835540797283109E-2</v>
      </c>
    </row>
    <row r="442" spans="1:20" x14ac:dyDescent="0.25">
      <c r="A442" s="5">
        <v>44151</v>
      </c>
      <c r="B442">
        <v>0.48330000000000001</v>
      </c>
      <c r="C442">
        <v>0.57440000000000002</v>
      </c>
      <c r="D442">
        <v>0.46050000000000002</v>
      </c>
      <c r="E442">
        <v>0.50619999999999998</v>
      </c>
      <c r="F442">
        <v>171043.12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-0.19754170324846423</v>
      </c>
      <c r="Q442">
        <f t="shared" si="975"/>
        <v>-33788.149253731455</v>
      </c>
      <c r="R442">
        <f t="shared" si="976"/>
        <v>-1470765.3848147662</v>
      </c>
      <c r="S442">
        <f t="shared" si="977"/>
        <v>-14.707653848147663</v>
      </c>
      <c r="T442">
        <f t="shared" si="978"/>
        <v>-1.4707653848147663E-2</v>
      </c>
    </row>
    <row r="443" spans="1:20" x14ac:dyDescent="0.25">
      <c r="A443" s="5">
        <v>44150</v>
      </c>
      <c r="B443">
        <v>0.54459999999999997</v>
      </c>
      <c r="C443">
        <v>0.54459999999999997</v>
      </c>
      <c r="D443">
        <v>0.44740000000000002</v>
      </c>
      <c r="E443">
        <v>0.47170000000000001</v>
      </c>
      <c r="F443">
        <v>155112.45000000001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-0.5</v>
      </c>
      <c r="Q443">
        <f t="shared" si="975"/>
        <v>-77556.225000000006</v>
      </c>
      <c r="R443">
        <f t="shared" si="976"/>
        <v>-1436977.2355610349</v>
      </c>
      <c r="S443">
        <f t="shared" si="977"/>
        <v>-14.369772355610349</v>
      </c>
      <c r="T443">
        <f t="shared" si="978"/>
        <v>-1.436977235561035E-2</v>
      </c>
    </row>
    <row r="444" spans="1:20" x14ac:dyDescent="0.25">
      <c r="A444" s="5">
        <v>44149</v>
      </c>
      <c r="B444">
        <v>0.5363</v>
      </c>
      <c r="C444">
        <v>0.56000000000000005</v>
      </c>
      <c r="D444">
        <v>0.47</v>
      </c>
      <c r="E444">
        <v>0.52529999999999999</v>
      </c>
      <c r="F444">
        <v>244250.19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0.22888888888888814</v>
      </c>
      <c r="Q444">
        <f t="shared" si="975"/>
        <v>55906.15459999982</v>
      </c>
      <c r="R444">
        <f t="shared" si="976"/>
        <v>-1359421.0105610348</v>
      </c>
      <c r="S444">
        <f t="shared" si="977"/>
        <v>-13.594210105610347</v>
      </c>
      <c r="T444">
        <f t="shared" si="978"/>
        <v>-1.3594210105610348E-2</v>
      </c>
    </row>
    <row r="445" spans="1:20" x14ac:dyDescent="0.25">
      <c r="A445" s="5">
        <v>44148</v>
      </c>
      <c r="B445">
        <v>0.40260000000000001</v>
      </c>
      <c r="C445">
        <v>0.54</v>
      </c>
      <c r="D445">
        <v>0.38379999999999997</v>
      </c>
      <c r="E445">
        <v>0.51300000000000001</v>
      </c>
      <c r="F445">
        <v>281193.67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0.65428937259923159</v>
      </c>
      <c r="Q445">
        <f t="shared" si="975"/>
        <v>183982.02992317535</v>
      </c>
      <c r="R445">
        <f t="shared" si="976"/>
        <v>-1415327.1651610346</v>
      </c>
      <c r="S445">
        <f t="shared" si="977"/>
        <v>-14.153271651610346</v>
      </c>
      <c r="T445">
        <f t="shared" si="978"/>
        <v>-1.4153271651610346E-2</v>
      </c>
    </row>
    <row r="446" spans="1:20" x14ac:dyDescent="0.25">
      <c r="A446" s="5">
        <v>44147</v>
      </c>
      <c r="B446">
        <v>0.39939999999999998</v>
      </c>
      <c r="C446">
        <v>0.43740000000000001</v>
      </c>
      <c r="D446">
        <v>0.37590000000000001</v>
      </c>
      <c r="E446">
        <v>0.39489999999999997</v>
      </c>
      <c r="F446">
        <v>147634.12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-0.38211382113821263</v>
      </c>
      <c r="Q446">
        <f t="shared" si="975"/>
        <v>-56413.037723577421</v>
      </c>
      <c r="R446">
        <f t="shared" si="976"/>
        <v>-1599309.1950842098</v>
      </c>
      <c r="S446">
        <f t="shared" si="977"/>
        <v>-15.993091950842098</v>
      </c>
      <c r="T446">
        <f t="shared" si="978"/>
        <v>-1.5993091950842097E-2</v>
      </c>
    </row>
    <row r="447" spans="1:20" x14ac:dyDescent="0.25">
      <c r="A447" s="5">
        <v>44146</v>
      </c>
      <c r="B447">
        <v>0.36980000000000002</v>
      </c>
      <c r="C447">
        <v>0.438</v>
      </c>
      <c r="D447">
        <v>0.35970000000000002</v>
      </c>
      <c r="E447">
        <v>0.41220000000000001</v>
      </c>
      <c r="F447">
        <v>155954.71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0.34099616858237558</v>
      </c>
      <c r="Q447">
        <f t="shared" si="975"/>
        <v>53179.95858237549</v>
      </c>
      <c r="R447">
        <f t="shared" si="976"/>
        <v>-1542896.1573606324</v>
      </c>
      <c r="S447">
        <f t="shared" si="977"/>
        <v>-15.428961573606324</v>
      </c>
      <c r="T447">
        <f t="shared" si="978"/>
        <v>-1.5428961573606324E-2</v>
      </c>
    </row>
    <row r="448" spans="1:20" x14ac:dyDescent="0.25">
      <c r="A448" s="5">
        <v>44145</v>
      </c>
      <c r="B448">
        <v>0.36449999999999999</v>
      </c>
      <c r="C448">
        <v>0.4889</v>
      </c>
      <c r="D448">
        <v>0.35520000000000002</v>
      </c>
      <c r="E448">
        <v>0.36659999999999998</v>
      </c>
      <c r="F448">
        <v>190522.36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-0.82946896035901319</v>
      </c>
      <c r="Q448">
        <f t="shared" si="975"/>
        <v>-158032.38387434563</v>
      </c>
      <c r="R448">
        <f t="shared" si="976"/>
        <v>-1596076.1159430079</v>
      </c>
      <c r="S448">
        <f t="shared" si="977"/>
        <v>-15.96076115943008</v>
      </c>
      <c r="T448">
        <f t="shared" si="978"/>
        <v>-1.5960761159430081E-2</v>
      </c>
    </row>
    <row r="449" spans="1:20" x14ac:dyDescent="0.25">
      <c r="A449" s="5">
        <v>44144</v>
      </c>
      <c r="B449">
        <v>0.34499999999999997</v>
      </c>
      <c r="C449">
        <v>0.37480000000000002</v>
      </c>
      <c r="D449">
        <v>0.34</v>
      </c>
      <c r="E449">
        <v>0.36</v>
      </c>
      <c r="F449">
        <v>138742.87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0.14942528735631974</v>
      </c>
      <c r="Q449">
        <f t="shared" si="975"/>
        <v>20731.693218390512</v>
      </c>
      <c r="R449">
        <f t="shared" si="976"/>
        <v>-1438043.7320686623</v>
      </c>
      <c r="S449">
        <f t="shared" si="977"/>
        <v>-14.380437320686623</v>
      </c>
      <c r="T449">
        <f t="shared" si="978"/>
        <v>-1.4380437320686622E-2</v>
      </c>
    </row>
    <row r="450" spans="1:20" x14ac:dyDescent="0.25">
      <c r="A450" s="5">
        <v>44143</v>
      </c>
      <c r="B450">
        <v>0.33579999999999999</v>
      </c>
      <c r="C450">
        <v>0.35780000000000001</v>
      </c>
      <c r="D450">
        <v>0.33100000000000002</v>
      </c>
      <c r="E450">
        <v>0.34499999999999997</v>
      </c>
      <c r="F450">
        <v>97268.28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4.4776119402982227E-2</v>
      </c>
      <c r="Q450">
        <f t="shared" si="975"/>
        <v>4355.2961194027084</v>
      </c>
      <c r="R450">
        <f t="shared" si="976"/>
        <v>-1458775.4252870528</v>
      </c>
      <c r="S450">
        <f t="shared" si="977"/>
        <v>-14.587754252870528</v>
      </c>
      <c r="T450">
        <f t="shared" si="978"/>
        <v>-1.4587754252870528E-2</v>
      </c>
    </row>
    <row r="451" spans="1:20" x14ac:dyDescent="0.25">
      <c r="A451" s="5">
        <v>44142</v>
      </c>
      <c r="B451">
        <v>0.3513</v>
      </c>
      <c r="C451">
        <v>0.39360000000000001</v>
      </c>
      <c r="D451">
        <v>0.312</v>
      </c>
      <c r="E451">
        <v>0.33090000000000003</v>
      </c>
      <c r="F451">
        <v>207636.54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-0.53676470588235226</v>
      </c>
      <c r="Q451">
        <f t="shared" si="975"/>
        <v>-111451.96632352927</v>
      </c>
      <c r="R451">
        <f t="shared" si="976"/>
        <v>-1463130.7214064554</v>
      </c>
      <c r="S451">
        <f t="shared" si="977"/>
        <v>-14.631307214064554</v>
      </c>
      <c r="T451">
        <f t="shared" si="978"/>
        <v>-1.4631307214064554E-2</v>
      </c>
    </row>
    <row r="452" spans="1:20" x14ac:dyDescent="0.25">
      <c r="A452" s="5">
        <v>44141</v>
      </c>
      <c r="B452">
        <v>0.32050000000000001</v>
      </c>
      <c r="C452">
        <v>0.36030000000000001</v>
      </c>
      <c r="D452">
        <v>0.31159999999999999</v>
      </c>
      <c r="E452">
        <v>0.3468</v>
      </c>
      <c r="F452">
        <v>104722.65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0.44558521560574921</v>
      </c>
      <c r="Q452">
        <f t="shared" si="975"/>
        <v>46662.864579055407</v>
      </c>
      <c r="R452">
        <f t="shared" si="976"/>
        <v>-1351678.755082926</v>
      </c>
      <c r="S452">
        <f t="shared" si="977"/>
        <v>-13.51678755082926</v>
      </c>
      <c r="T452">
        <f t="shared" si="978"/>
        <v>-1.351678755082926E-2</v>
      </c>
    </row>
    <row r="453" spans="1:20" x14ac:dyDescent="0.25">
      <c r="A453" s="5">
        <v>44140</v>
      </c>
      <c r="B453">
        <v>0.33019999999999999</v>
      </c>
      <c r="C453">
        <v>0.34599999999999997</v>
      </c>
      <c r="D453">
        <v>0.30690000000000001</v>
      </c>
      <c r="E453">
        <v>0.32429999999999998</v>
      </c>
      <c r="F453">
        <v>151463.79999999999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-0.10997442455243042</v>
      </c>
      <c r="Q453">
        <f t="shared" si="975"/>
        <v>-16657.144245524411</v>
      </c>
      <c r="R453">
        <f t="shared" si="976"/>
        <v>-1398341.6196619815</v>
      </c>
      <c r="S453">
        <f t="shared" si="977"/>
        <v>-13.983416196619816</v>
      </c>
      <c r="T453">
        <f t="shared" si="978"/>
        <v>-1.3983416196619816E-2</v>
      </c>
    </row>
    <row r="454" spans="1:20" x14ac:dyDescent="0.25">
      <c r="A454" s="5">
        <v>44139</v>
      </c>
      <c r="B454">
        <v>0.32840000000000003</v>
      </c>
      <c r="C454">
        <v>0.34210000000000002</v>
      </c>
      <c r="D454">
        <v>0.30859999999999999</v>
      </c>
      <c r="E454">
        <v>0.32440000000000002</v>
      </c>
      <c r="F454">
        <v>42276.29</v>
      </c>
      <c r="G454">
        <v>0</v>
      </c>
      <c r="L454" t="s">
        <v>8</v>
      </c>
      <c r="M454" t="s">
        <v>7</v>
      </c>
      <c r="N454" t="s">
        <v>8</v>
      </c>
      <c r="P454">
        <f t="shared" ref="P454:P517" si="979">IF(C454=D454,0,((E454-D454)-(C454-E454))/(C454-D454))</f>
        <v>-5.6716417910446439E-2</v>
      </c>
      <c r="Q454">
        <f t="shared" ref="Q454:Q517" si="980">F454*P454</f>
        <v>-2397.7597313432279</v>
      </c>
      <c r="R454">
        <f t="shared" ref="R454:R517" si="981">R455+Q454</f>
        <v>-1381684.475416457</v>
      </c>
      <c r="S454">
        <f t="shared" ref="S454:S517" si="982">R454/100000</f>
        <v>-13.81684475416457</v>
      </c>
      <c r="T454">
        <f t="shared" ref="T454:T517" si="983">S454/1000</f>
        <v>-1.3816844754164571E-2</v>
      </c>
    </row>
    <row r="455" spans="1:20" x14ac:dyDescent="0.25">
      <c r="A455" s="5">
        <v>44138</v>
      </c>
      <c r="B455">
        <v>0.34670000000000001</v>
      </c>
      <c r="C455">
        <v>0.36499999999999999</v>
      </c>
      <c r="D455">
        <v>0.31</v>
      </c>
      <c r="E455">
        <v>0.32850000000000001</v>
      </c>
      <c r="F455">
        <v>68089.289999999994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-0.3272727272727266</v>
      </c>
      <c r="Q455">
        <f t="shared" si="980"/>
        <v>-22283.767636363587</v>
      </c>
      <c r="R455">
        <f t="shared" si="981"/>
        <v>-1379286.7156851138</v>
      </c>
      <c r="S455">
        <f t="shared" si="982"/>
        <v>-13.792867156851138</v>
      </c>
      <c r="T455">
        <f t="shared" si="983"/>
        <v>-1.3792867156851138E-2</v>
      </c>
    </row>
    <row r="456" spans="1:20" x14ac:dyDescent="0.25">
      <c r="A456" s="5">
        <v>44137</v>
      </c>
      <c r="B456">
        <v>0.35699999999999998</v>
      </c>
      <c r="C456">
        <v>0.3947</v>
      </c>
      <c r="D456">
        <v>0.3347</v>
      </c>
      <c r="E456">
        <v>0.34449999999999997</v>
      </c>
      <c r="F456">
        <v>56914.96</v>
      </c>
      <c r="G456">
        <v>0</v>
      </c>
      <c r="L456" t="s">
        <v>8</v>
      </c>
      <c r="M456" t="s">
        <v>8</v>
      </c>
      <c r="N456" t="s">
        <v>8</v>
      </c>
      <c r="P456">
        <f t="shared" si="979"/>
        <v>-0.67333333333333412</v>
      </c>
      <c r="Q456">
        <f t="shared" si="980"/>
        <v>-38322.739733333379</v>
      </c>
      <c r="R456">
        <f t="shared" si="981"/>
        <v>-1357002.9480487502</v>
      </c>
      <c r="S456">
        <f t="shared" si="982"/>
        <v>-13.570029480487502</v>
      </c>
      <c r="T456">
        <f t="shared" si="983"/>
        <v>-1.3570029480487501E-2</v>
      </c>
    </row>
    <row r="457" spans="1:20" x14ac:dyDescent="0.25">
      <c r="A457" s="5">
        <v>44136</v>
      </c>
      <c r="B457">
        <v>0.33069999999999999</v>
      </c>
      <c r="C457">
        <v>0.374</v>
      </c>
      <c r="D457">
        <v>0.3256</v>
      </c>
      <c r="E457">
        <v>0.35339999999999999</v>
      </c>
      <c r="F457">
        <v>35728.65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0.14876033057851207</v>
      </c>
      <c r="Q457">
        <f t="shared" si="980"/>
        <v>5315.0057851239553</v>
      </c>
      <c r="R457">
        <f t="shared" si="981"/>
        <v>-1318680.2083154167</v>
      </c>
      <c r="S457">
        <f t="shared" si="982"/>
        <v>-13.186802083154166</v>
      </c>
      <c r="T457">
        <f t="shared" si="983"/>
        <v>-1.3186802083154167E-2</v>
      </c>
    </row>
    <row r="458" spans="1:20" x14ac:dyDescent="0.25">
      <c r="A458" s="5">
        <v>44135</v>
      </c>
      <c r="B458">
        <v>0.3619</v>
      </c>
      <c r="C458">
        <v>0.372</v>
      </c>
      <c r="D458">
        <v>0.3301</v>
      </c>
      <c r="E458">
        <v>0.3362</v>
      </c>
      <c r="F458">
        <v>85069.71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-0.70883054892601449</v>
      </c>
      <c r="Q458">
        <f t="shared" si="980"/>
        <v>-60300.00923627687</v>
      </c>
      <c r="R458">
        <f t="shared" si="981"/>
        <v>-1323995.2141005406</v>
      </c>
      <c r="S458">
        <f t="shared" si="982"/>
        <v>-13.239952141005405</v>
      </c>
      <c r="T458">
        <f t="shared" si="983"/>
        <v>-1.3239952141005405E-2</v>
      </c>
    </row>
    <row r="459" spans="1:20" x14ac:dyDescent="0.25">
      <c r="A459" s="5">
        <v>44134</v>
      </c>
      <c r="B459">
        <v>0.33710000000000001</v>
      </c>
      <c r="C459">
        <v>0.37919999999999998</v>
      </c>
      <c r="D459">
        <v>0.3019</v>
      </c>
      <c r="E459">
        <v>0.37419999999999998</v>
      </c>
      <c r="F459">
        <v>122964.69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0.87063389391979285</v>
      </c>
      <c r="Q459">
        <f t="shared" si="980"/>
        <v>107057.22686934021</v>
      </c>
      <c r="R459">
        <f t="shared" si="981"/>
        <v>-1263695.2048642638</v>
      </c>
      <c r="S459">
        <f t="shared" si="982"/>
        <v>-12.636952048642637</v>
      </c>
      <c r="T459">
        <f t="shared" si="983"/>
        <v>-1.2636952048642637E-2</v>
      </c>
    </row>
    <row r="460" spans="1:20" x14ac:dyDescent="0.25">
      <c r="A460" s="5">
        <v>44133</v>
      </c>
      <c r="B460">
        <v>0.34110000000000001</v>
      </c>
      <c r="C460">
        <v>0.35699999999999998</v>
      </c>
      <c r="D460">
        <v>0.32500000000000001</v>
      </c>
      <c r="E460">
        <v>0.33779999999999999</v>
      </c>
      <c r="F460">
        <v>80778.539999999994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-0.2000000000000007</v>
      </c>
      <c r="Q460">
        <f t="shared" si="980"/>
        <v>-16155.708000000055</v>
      </c>
      <c r="R460">
        <f t="shared" si="981"/>
        <v>-1370752.4317336041</v>
      </c>
      <c r="S460">
        <f t="shared" si="982"/>
        <v>-13.707524317336041</v>
      </c>
      <c r="T460">
        <f t="shared" si="983"/>
        <v>-1.3707524317336042E-2</v>
      </c>
    </row>
    <row r="461" spans="1:20" x14ac:dyDescent="0.25">
      <c r="A461" s="5">
        <v>44132</v>
      </c>
      <c r="B461">
        <v>0.37540000000000001</v>
      </c>
      <c r="C461">
        <v>0.37790000000000001</v>
      </c>
      <c r="D461">
        <v>0.33210000000000001</v>
      </c>
      <c r="E461">
        <v>0.33639999999999998</v>
      </c>
      <c r="F461">
        <v>87135.63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-0.8122270742358092</v>
      </c>
      <c r="Q461">
        <f t="shared" si="980"/>
        <v>-70773.91781659401</v>
      </c>
      <c r="R461">
        <f t="shared" si="981"/>
        <v>-1354596.723733604</v>
      </c>
      <c r="S461">
        <f t="shared" si="982"/>
        <v>-13.54596723733604</v>
      </c>
      <c r="T461">
        <f t="shared" si="983"/>
        <v>-1.354596723733604E-2</v>
      </c>
    </row>
    <row r="462" spans="1:20" x14ac:dyDescent="0.25">
      <c r="A462" s="5">
        <v>44131</v>
      </c>
      <c r="B462">
        <v>0.32600000000000001</v>
      </c>
      <c r="C462">
        <v>0.376</v>
      </c>
      <c r="D462">
        <v>0.32600000000000001</v>
      </c>
      <c r="E462">
        <v>0.36049999999999999</v>
      </c>
      <c r="F462">
        <v>93969.98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0.37999999999999934</v>
      </c>
      <c r="Q462">
        <f t="shared" si="980"/>
        <v>35708.592399999936</v>
      </c>
      <c r="R462">
        <f t="shared" si="981"/>
        <v>-1283822.8059170099</v>
      </c>
      <c r="S462">
        <f t="shared" si="982"/>
        <v>-12.838228059170099</v>
      </c>
      <c r="T462">
        <f t="shared" si="983"/>
        <v>-1.28382280591701E-2</v>
      </c>
    </row>
    <row r="463" spans="1:20" x14ac:dyDescent="0.25">
      <c r="A463" s="5">
        <v>44130</v>
      </c>
      <c r="B463">
        <v>0.33789999999999998</v>
      </c>
      <c r="C463">
        <v>0.33979999999999999</v>
      </c>
      <c r="D463">
        <v>0.28360000000000002</v>
      </c>
      <c r="E463">
        <v>0.32219999999999999</v>
      </c>
      <c r="F463">
        <v>84029.67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0.37366548042704578</v>
      </c>
      <c r="Q463">
        <f t="shared" si="980"/>
        <v>31398.987010676115</v>
      </c>
      <c r="R463">
        <f t="shared" si="981"/>
        <v>-1319531.3983170099</v>
      </c>
      <c r="S463">
        <f t="shared" si="982"/>
        <v>-13.195313983170099</v>
      </c>
      <c r="T463">
        <f t="shared" si="983"/>
        <v>-1.3195313983170099E-2</v>
      </c>
    </row>
    <row r="464" spans="1:20" x14ac:dyDescent="0.25">
      <c r="A464" s="5">
        <v>44129</v>
      </c>
      <c r="B464">
        <v>0.35580000000000001</v>
      </c>
      <c r="C464">
        <v>0.35799999999999998</v>
      </c>
      <c r="D464">
        <v>0.33429999999999999</v>
      </c>
      <c r="E464">
        <v>0.33789999999999998</v>
      </c>
      <c r="F464">
        <v>68749.3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-0.69620253164557022</v>
      </c>
      <c r="Q464">
        <f t="shared" si="980"/>
        <v>-47863.436708860805</v>
      </c>
      <c r="R464">
        <f t="shared" si="981"/>
        <v>-1350930.3853276861</v>
      </c>
      <c r="S464">
        <f t="shared" si="982"/>
        <v>-13.509303853276862</v>
      </c>
      <c r="T464">
        <f t="shared" si="983"/>
        <v>-1.3509303853276861E-2</v>
      </c>
    </row>
    <row r="465" spans="1:20" x14ac:dyDescent="0.25">
      <c r="A465" s="5">
        <v>44128</v>
      </c>
      <c r="B465">
        <v>0.34849999999999998</v>
      </c>
      <c r="C465">
        <v>0.37959999999999999</v>
      </c>
      <c r="D465">
        <v>0.3427</v>
      </c>
      <c r="E465">
        <v>0.36020000000000002</v>
      </c>
      <c r="F465">
        <v>42533.45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-5.1490514905147909E-2</v>
      </c>
      <c r="Q465">
        <f t="shared" si="980"/>
        <v>-2190.0692411923633</v>
      </c>
      <c r="R465">
        <f t="shared" si="981"/>
        <v>-1303066.9486188253</v>
      </c>
      <c r="S465">
        <f t="shared" si="982"/>
        <v>-13.030669486188254</v>
      </c>
      <c r="T465">
        <f t="shared" si="983"/>
        <v>-1.3030669486188255E-2</v>
      </c>
    </row>
    <row r="466" spans="1:20" x14ac:dyDescent="0.25">
      <c r="A466" s="5">
        <v>44127</v>
      </c>
      <c r="B466">
        <v>0.3609</v>
      </c>
      <c r="C466">
        <v>0.37930000000000003</v>
      </c>
      <c r="D466">
        <v>0.33689999999999998</v>
      </c>
      <c r="E466">
        <v>0.35</v>
      </c>
      <c r="F466">
        <v>93143.95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-0.3820754716981139</v>
      </c>
      <c r="Q466">
        <f t="shared" si="980"/>
        <v>-35588.018632075538</v>
      </c>
      <c r="R466">
        <f t="shared" si="981"/>
        <v>-1300876.8793776329</v>
      </c>
      <c r="S466">
        <f t="shared" si="982"/>
        <v>-13.008768793776328</v>
      </c>
      <c r="T466">
        <f t="shared" si="983"/>
        <v>-1.3008768793776328E-2</v>
      </c>
    </row>
    <row r="467" spans="1:20" x14ac:dyDescent="0.25">
      <c r="A467" s="5">
        <v>44126</v>
      </c>
      <c r="B467">
        <v>0.34439999999999998</v>
      </c>
      <c r="C467">
        <v>0.40350000000000003</v>
      </c>
      <c r="D467">
        <v>0.32219999999999999</v>
      </c>
      <c r="E467">
        <v>0.36299999999999999</v>
      </c>
      <c r="F467">
        <v>109541.31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3.6900369003685955E-3</v>
      </c>
      <c r="Q467">
        <f t="shared" si="980"/>
        <v>404.2114760147154</v>
      </c>
      <c r="R467">
        <f t="shared" si="981"/>
        <v>-1265288.8607455574</v>
      </c>
      <c r="S467">
        <f t="shared" si="982"/>
        <v>-12.652888607455573</v>
      </c>
      <c r="T467">
        <f t="shared" si="983"/>
        <v>-1.2652888607455573E-2</v>
      </c>
    </row>
    <row r="468" spans="1:20" x14ac:dyDescent="0.25">
      <c r="A468" s="5">
        <v>44125</v>
      </c>
      <c r="B468">
        <v>0.36420000000000002</v>
      </c>
      <c r="C468">
        <v>0.433</v>
      </c>
      <c r="D468">
        <v>0.32600000000000001</v>
      </c>
      <c r="E468">
        <v>0.34</v>
      </c>
      <c r="F468">
        <v>215561.09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-0.73831775700934554</v>
      </c>
      <c r="Q468">
        <f t="shared" si="980"/>
        <v>-159152.58046728966</v>
      </c>
      <c r="R468">
        <f t="shared" si="981"/>
        <v>-1265693.072221572</v>
      </c>
      <c r="S468">
        <f t="shared" si="982"/>
        <v>-12.656930722215721</v>
      </c>
      <c r="T468">
        <f t="shared" si="983"/>
        <v>-1.2656930722215722E-2</v>
      </c>
    </row>
    <row r="469" spans="1:20" x14ac:dyDescent="0.25">
      <c r="A469" s="5">
        <v>44124</v>
      </c>
      <c r="B469">
        <v>0.44640000000000002</v>
      </c>
      <c r="C469">
        <v>0.45</v>
      </c>
      <c r="D469">
        <v>0.36749999999999999</v>
      </c>
      <c r="E469">
        <v>0.36749999999999999</v>
      </c>
      <c r="F469">
        <v>48852.47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-1</v>
      </c>
      <c r="Q469">
        <f t="shared" si="980"/>
        <v>-48852.47</v>
      </c>
      <c r="R469">
        <f t="shared" si="981"/>
        <v>-1106540.4917542823</v>
      </c>
      <c r="S469">
        <f t="shared" si="982"/>
        <v>-11.065404917542823</v>
      </c>
      <c r="T469">
        <f t="shared" si="983"/>
        <v>-1.1065404917542824E-2</v>
      </c>
    </row>
    <row r="470" spans="1:20" x14ac:dyDescent="0.25">
      <c r="A470" s="5">
        <v>44123</v>
      </c>
      <c r="B470">
        <v>0.4138</v>
      </c>
      <c r="C470">
        <v>0.48499999999999999</v>
      </c>
      <c r="D470">
        <v>0.4138</v>
      </c>
      <c r="E470">
        <v>0.44950000000000001</v>
      </c>
      <c r="F470">
        <v>38415.65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2.8089887640454147E-3</v>
      </c>
      <c r="Q470">
        <f t="shared" si="980"/>
        <v>107.90912921350125</v>
      </c>
      <c r="R470">
        <f t="shared" si="981"/>
        <v>-1057688.0217542823</v>
      </c>
      <c r="S470">
        <f t="shared" si="982"/>
        <v>-10.576880217542824</v>
      </c>
      <c r="T470">
        <f t="shared" si="983"/>
        <v>-1.0576880217542824E-2</v>
      </c>
    </row>
    <row r="471" spans="1:20" x14ac:dyDescent="0.25">
      <c r="A471" s="5">
        <v>44122</v>
      </c>
      <c r="B471">
        <v>0.4199</v>
      </c>
      <c r="C471">
        <v>0.44140000000000001</v>
      </c>
      <c r="D471">
        <v>0.40710000000000002</v>
      </c>
      <c r="E471">
        <v>0.4128</v>
      </c>
      <c r="F471">
        <v>23615.25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-0.66763848396501557</v>
      </c>
      <c r="Q471">
        <f t="shared" si="980"/>
        <v>-15766.449708454835</v>
      </c>
      <c r="R471">
        <f t="shared" si="981"/>
        <v>-1057795.9308834958</v>
      </c>
      <c r="S471">
        <f t="shared" si="982"/>
        <v>-10.577959308834957</v>
      </c>
      <c r="T471">
        <f t="shared" si="983"/>
        <v>-1.0577959308834957E-2</v>
      </c>
    </row>
    <row r="472" spans="1:20" x14ac:dyDescent="0.25">
      <c r="A472" s="5">
        <v>44121</v>
      </c>
      <c r="B472">
        <v>0.4088</v>
      </c>
      <c r="C472">
        <v>0.42</v>
      </c>
      <c r="D472">
        <v>0.37669999999999998</v>
      </c>
      <c r="E472">
        <v>0.4199</v>
      </c>
      <c r="F472">
        <v>43800.63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0.99538106235565871</v>
      </c>
      <c r="Q472">
        <f t="shared" si="980"/>
        <v>43598.31762124713</v>
      </c>
      <c r="R472">
        <f t="shared" si="981"/>
        <v>-1042029.4811750411</v>
      </c>
      <c r="S472">
        <f t="shared" si="982"/>
        <v>-10.420294811750411</v>
      </c>
      <c r="T472">
        <f t="shared" si="983"/>
        <v>-1.0420294811750412E-2</v>
      </c>
    </row>
    <row r="473" spans="1:20" x14ac:dyDescent="0.25">
      <c r="A473" s="5">
        <v>44120</v>
      </c>
      <c r="B473">
        <v>0.42859999999999998</v>
      </c>
      <c r="C473">
        <v>0.44669999999999999</v>
      </c>
      <c r="D473">
        <v>0.37290000000000001</v>
      </c>
      <c r="E473">
        <v>0.4204</v>
      </c>
      <c r="F473">
        <v>92216.59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0.28726287262872635</v>
      </c>
      <c r="Q473">
        <f t="shared" si="980"/>
        <v>26490.402547425478</v>
      </c>
      <c r="R473">
        <f t="shared" si="981"/>
        <v>-1085627.7987962882</v>
      </c>
      <c r="S473">
        <f t="shared" si="982"/>
        <v>-10.856277987962882</v>
      </c>
      <c r="T473">
        <f t="shared" si="983"/>
        <v>-1.0856277987962881E-2</v>
      </c>
    </row>
    <row r="474" spans="1:20" x14ac:dyDescent="0.25">
      <c r="A474" s="5">
        <v>44119</v>
      </c>
      <c r="B474">
        <v>0.45400000000000001</v>
      </c>
      <c r="C474">
        <v>0.45400000000000001</v>
      </c>
      <c r="D474">
        <v>0.4</v>
      </c>
      <c r="E474">
        <v>0.4284</v>
      </c>
      <c r="F474">
        <v>83018.880000000005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5.1851851851851288E-2</v>
      </c>
      <c r="Q474">
        <f t="shared" si="980"/>
        <v>4304.6826666666202</v>
      </c>
      <c r="R474">
        <f t="shared" si="981"/>
        <v>-1112118.2013437138</v>
      </c>
      <c r="S474">
        <f t="shared" si="982"/>
        <v>-11.121182013437139</v>
      </c>
      <c r="T474">
        <f t="shared" si="983"/>
        <v>-1.1121182013437139E-2</v>
      </c>
    </row>
    <row r="475" spans="1:20" x14ac:dyDescent="0.25">
      <c r="A475" s="5">
        <v>44118</v>
      </c>
      <c r="B475">
        <v>0.43890000000000001</v>
      </c>
      <c r="C475">
        <v>0.5</v>
      </c>
      <c r="D475">
        <v>0.42399999999999999</v>
      </c>
      <c r="E475">
        <v>0.45550000000000002</v>
      </c>
      <c r="F475">
        <v>190730.15</v>
      </c>
      <c r="G475">
        <v>0</v>
      </c>
      <c r="L475" t="s">
        <v>8</v>
      </c>
      <c r="M475" t="s">
        <v>7</v>
      </c>
      <c r="N475" t="s">
        <v>7</v>
      </c>
      <c r="P475">
        <f t="shared" si="979"/>
        <v>-0.17105263157894676</v>
      </c>
      <c r="Q475">
        <f t="shared" si="980"/>
        <v>-32624.894078947251</v>
      </c>
      <c r="R475">
        <f t="shared" si="981"/>
        <v>-1116422.8840103804</v>
      </c>
      <c r="S475">
        <f t="shared" si="982"/>
        <v>-11.164228840103803</v>
      </c>
      <c r="T475">
        <f t="shared" si="983"/>
        <v>-1.1164228840103802E-2</v>
      </c>
    </row>
    <row r="476" spans="1:20" x14ac:dyDescent="0.25">
      <c r="A476" s="5">
        <v>44117</v>
      </c>
      <c r="B476">
        <v>0.45100000000000001</v>
      </c>
      <c r="C476">
        <v>0.46479999999999999</v>
      </c>
      <c r="D476">
        <v>0.41799999999999998</v>
      </c>
      <c r="E476">
        <v>0.43309999999999998</v>
      </c>
      <c r="F476">
        <v>39130.050000000003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-0.35470085470085472</v>
      </c>
      <c r="Q476">
        <f t="shared" si="980"/>
        <v>-13879.462179487182</v>
      </c>
      <c r="R476">
        <f t="shared" si="981"/>
        <v>-1083797.9899314332</v>
      </c>
      <c r="S476">
        <f t="shared" si="982"/>
        <v>-10.837979899314332</v>
      </c>
      <c r="T476">
        <f t="shared" si="983"/>
        <v>-1.0837979899314332E-2</v>
      </c>
    </row>
    <row r="477" spans="1:20" x14ac:dyDescent="0.25">
      <c r="A477" s="5">
        <v>44116</v>
      </c>
      <c r="B477">
        <v>0.4703</v>
      </c>
      <c r="C477">
        <v>0.51290000000000002</v>
      </c>
      <c r="D477">
        <v>0.45</v>
      </c>
      <c r="E477">
        <v>0.46460000000000001</v>
      </c>
      <c r="F477">
        <v>67344.39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-0.53577106518282991</v>
      </c>
      <c r="Q477">
        <f t="shared" si="980"/>
        <v>-36081.175564387915</v>
      </c>
      <c r="R477">
        <f t="shared" si="981"/>
        <v>-1069918.5277519461</v>
      </c>
      <c r="S477">
        <f t="shared" si="982"/>
        <v>-10.699185277519462</v>
      </c>
      <c r="T477">
        <f t="shared" si="983"/>
        <v>-1.0699185277519462E-2</v>
      </c>
    </row>
    <row r="478" spans="1:20" x14ac:dyDescent="0.25">
      <c r="A478" s="5">
        <v>44115</v>
      </c>
      <c r="B478">
        <v>0.43290000000000001</v>
      </c>
      <c r="C478">
        <v>0.48</v>
      </c>
      <c r="D478">
        <v>0.40579999999999999</v>
      </c>
      <c r="E478">
        <v>0.46410000000000001</v>
      </c>
      <c r="F478">
        <v>71566.789999999994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0.57142857142857217</v>
      </c>
      <c r="Q478">
        <f t="shared" si="980"/>
        <v>40895.308571428621</v>
      </c>
      <c r="R478">
        <f t="shared" si="981"/>
        <v>-1033837.3521875582</v>
      </c>
      <c r="S478">
        <f t="shared" si="982"/>
        <v>-10.338373521875582</v>
      </c>
      <c r="T478">
        <f t="shared" si="983"/>
        <v>-1.0338373521875582E-2</v>
      </c>
    </row>
    <row r="479" spans="1:20" x14ac:dyDescent="0.25">
      <c r="A479" s="5">
        <v>44114</v>
      </c>
      <c r="B479">
        <v>0.50409999999999999</v>
      </c>
      <c r="C479">
        <v>0.51959999999999995</v>
      </c>
      <c r="D479">
        <v>0.41499999999999998</v>
      </c>
      <c r="E479">
        <v>0.43319999999999997</v>
      </c>
      <c r="F479">
        <v>442379.62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-0.65200764818355639</v>
      </c>
      <c r="Q479">
        <f t="shared" si="980"/>
        <v>-288434.89564053534</v>
      </c>
      <c r="R479">
        <f t="shared" si="981"/>
        <v>-1074732.6607589868</v>
      </c>
      <c r="S479">
        <f t="shared" si="982"/>
        <v>-10.747326607589869</v>
      </c>
      <c r="T479">
        <f t="shared" si="983"/>
        <v>-1.0747326607589869E-2</v>
      </c>
    </row>
    <row r="480" spans="1:20" x14ac:dyDescent="0.25">
      <c r="A480" s="5">
        <v>44113</v>
      </c>
      <c r="B480">
        <v>0.52429999999999999</v>
      </c>
      <c r="C480">
        <v>0.75</v>
      </c>
      <c r="D480">
        <v>0.45029999999999998</v>
      </c>
      <c r="E480">
        <v>0.50480000000000003</v>
      </c>
      <c r="F480">
        <v>1235728.58</v>
      </c>
      <c r="G480">
        <v>0</v>
      </c>
      <c r="P480">
        <f t="shared" si="979"/>
        <v>-0.63630296963630262</v>
      </c>
      <c r="Q480">
        <f t="shared" si="980"/>
        <v>-786297.76511845144</v>
      </c>
      <c r="R480">
        <f t="shared" si="981"/>
        <v>-786297.76511845144</v>
      </c>
      <c r="S480">
        <f t="shared" si="982"/>
        <v>-7.8629776511845142</v>
      </c>
      <c r="T480">
        <f t="shared" si="983"/>
        <v>-7.8629776511845145E-3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V628" sqref="IV62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$A$627</v>
      </c>
      <c r="D111" s="1" t="str">
        <f>ADDRESS(C121-1,D121,1,1)</f>
        <v>$IV$627</v>
      </c>
      <c r="E111"/>
    </row>
    <row r="112" spans="1:5" x14ac:dyDescent="0.25">
      <c r="A112" s="7">
        <v>12164.144957890772</v>
      </c>
      <c r="C112" s="1" t="str">
        <f>ADDRESS(C121,1,1,1)</f>
        <v>$A$628</v>
      </c>
      <c r="D112" s="1" t="str">
        <f>ADDRESS(C121,D121-1,1,1)</f>
        <v>$IU$628</v>
      </c>
      <c r="E112"/>
    </row>
    <row r="113" spans="1:5" x14ac:dyDescent="0.25">
      <c r="A113" s="7">
        <v>11925.63231165762</v>
      </c>
      <c r="C113" s="1" t="str">
        <f>ADDRESS(C121+1,1,1,1)</f>
        <v>$A$629</v>
      </c>
      <c r="D113" s="1" t="str">
        <f>ADDRESS(C121-1,D121+1,1,1)</f>
        <v>$IW$627</v>
      </c>
    </row>
    <row r="114" spans="1:5" x14ac:dyDescent="0.25">
      <c r="A114" s="7">
        <v>11691.796383978059</v>
      </c>
      <c r="C114" s="1" t="str">
        <f>ADDRESS(C121,D121,1,1)</f>
        <v>$IV$628</v>
      </c>
      <c r="D114" s="1" t="str">
        <f>ADDRESS(C121+1,D121+1,1,1)</f>
        <v>$IW$629</v>
      </c>
    </row>
    <row r="115" spans="1:5" x14ac:dyDescent="0.25">
      <c r="A115" s="7">
        <v>11462.545474488292</v>
      </c>
      <c r="C115" s="1" t="str">
        <f>ADDRESS(C121+1,D121,1,1)</f>
        <v>$IV$629</v>
      </c>
    </row>
    <row r="116" spans="1:5" x14ac:dyDescent="0.25">
      <c r="A116" s="7">
        <v>11237.789680870874</v>
      </c>
      <c r="C116" s="1">
        <f>C117-1</f>
        <v>627</v>
      </c>
    </row>
    <row r="117" spans="1:5" x14ac:dyDescent="0.25">
      <c r="A117" s="7">
        <v>11017.440863598895</v>
      </c>
      <c r="C117" s="1">
        <f>C121</f>
        <v>628</v>
      </c>
      <c r="D117" s="1">
        <f>D121</f>
        <v>256</v>
      </c>
    </row>
    <row r="118" spans="1:5" x14ac:dyDescent="0.25">
      <c r="A118" s="7">
        <v>10801.412611371465</v>
      </c>
      <c r="C118" s="1">
        <f>C117+1</f>
        <v>629</v>
      </c>
      <c r="D118" s="1">
        <f>D117+1</f>
        <v>257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628</v>
      </c>
      <c r="D121" s="19">
        <v>256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R628</v>
      </c>
      <c r="D123" s="1" t="str">
        <f>"C"&amp;D121</f>
        <v>C256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0.44401021096591808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184" x14ac:dyDescent="0.25">
      <c r="A545" s="7">
        <v>2.2972444660248938</v>
      </c>
      <c r="B545"/>
      <c r="C545"/>
      <c r="D545"/>
      <c r="E545"/>
    </row>
    <row r="546" spans="1:184" x14ac:dyDescent="0.25">
      <c r="A546" s="7">
        <v>2.252200456887151</v>
      </c>
      <c r="B546"/>
      <c r="C546"/>
      <c r="D546"/>
      <c r="E546"/>
    </row>
    <row r="547" spans="1:184" x14ac:dyDescent="0.25">
      <c r="A547" s="7">
        <v>2.208039663614854</v>
      </c>
      <c r="B547"/>
      <c r="C547"/>
      <c r="D547"/>
      <c r="E547"/>
    </row>
    <row r="548" spans="1:184" x14ac:dyDescent="0.25">
      <c r="A548" s="7">
        <v>2.1647447682498568</v>
      </c>
      <c r="B548"/>
      <c r="C548"/>
      <c r="D548"/>
      <c r="E548"/>
    </row>
    <row r="549" spans="1:184" x14ac:dyDescent="0.25">
      <c r="A549" s="7">
        <v>2.1222987924018204</v>
      </c>
      <c r="B549"/>
      <c r="C549"/>
      <c r="D549"/>
      <c r="E549"/>
    </row>
    <row r="550" spans="1:184" x14ac:dyDescent="0.25">
      <c r="A550" s="7">
        <v>2.0806850905900198</v>
      </c>
      <c r="B550"/>
      <c r="C550"/>
      <c r="D550"/>
      <c r="E550"/>
    </row>
    <row r="551" spans="1:184" x14ac:dyDescent="0.25">
      <c r="A551" s="7">
        <v>2.0398873437157055</v>
      </c>
      <c r="B551"/>
      <c r="C551"/>
      <c r="D551"/>
      <c r="E551"/>
    </row>
    <row r="552" spans="1:184" x14ac:dyDescent="0.25">
      <c r="A552" s="7">
        <v>1.9998895526624565</v>
      </c>
      <c r="B552"/>
      <c r="C552"/>
      <c r="D552"/>
      <c r="E552"/>
    </row>
    <row r="553" spans="1:184" x14ac:dyDescent="0.25">
      <c r="A553" s="7">
        <v>1.9606760320220162</v>
      </c>
      <c r="B553"/>
      <c r="C553"/>
      <c r="D553"/>
      <c r="E553"/>
    </row>
    <row r="554" spans="1:184" x14ac:dyDescent="0.25">
      <c r="A554" s="7">
        <v>1.9222314039431532</v>
      </c>
      <c r="B554"/>
      <c r="C554"/>
      <c r="D554"/>
      <c r="E554"/>
    </row>
    <row r="555" spans="1:184" x14ac:dyDescent="0.25">
      <c r="A555" s="7">
        <v>1.8845405921011305</v>
      </c>
      <c r="B555"/>
      <c r="C555"/>
      <c r="D555"/>
      <c r="E555"/>
    </row>
    <row r="556" spans="1:184" x14ac:dyDescent="0.25">
      <c r="A556" s="7">
        <v>1.8475888157854219</v>
      </c>
      <c r="B556"/>
      <c r="C556"/>
      <c r="D556"/>
      <c r="E556"/>
      <c r="DU556" s="27" t="s">
        <v>8</v>
      </c>
      <c r="GA556" s="27" t="s">
        <v>8</v>
      </c>
    </row>
    <row r="557" spans="1:184" x14ac:dyDescent="0.25">
      <c r="A557" s="7">
        <v>1.8113615841033548</v>
      </c>
      <c r="B557"/>
      <c r="C557"/>
      <c r="D557"/>
      <c r="E557"/>
      <c r="DU557" s="27" t="s">
        <v>8</v>
      </c>
      <c r="DV557" s="27" t="s">
        <v>7</v>
      </c>
      <c r="GA557" s="27" t="s">
        <v>8</v>
      </c>
      <c r="GB557" s="27" t="s">
        <v>7</v>
      </c>
    </row>
    <row r="558" spans="1:184" x14ac:dyDescent="0.25">
      <c r="A558" s="7">
        <v>1.7758446902974065</v>
      </c>
      <c r="B558"/>
      <c r="C558"/>
      <c r="D558"/>
      <c r="E558"/>
      <c r="DU558" s="27" t="s">
        <v>8</v>
      </c>
      <c r="DV558" s="27" t="s">
        <v>7</v>
      </c>
      <c r="GA558" s="27" t="s">
        <v>8</v>
      </c>
      <c r="GB558" s="27" t="s">
        <v>7</v>
      </c>
    </row>
    <row r="559" spans="1:184" x14ac:dyDescent="0.25">
      <c r="A559" s="7">
        <v>1.7410242061739281</v>
      </c>
      <c r="B559"/>
      <c r="C559"/>
      <c r="D559"/>
      <c r="E559"/>
      <c r="DU559" s="27" t="s">
        <v>8</v>
      </c>
      <c r="DV559" s="27" t="s">
        <v>7</v>
      </c>
      <c r="GA559" s="27" t="s">
        <v>8</v>
      </c>
      <c r="GB559" s="27" t="s">
        <v>7</v>
      </c>
    </row>
    <row r="560" spans="1:184" x14ac:dyDescent="0.25">
      <c r="A560" s="7">
        <v>1.7068864766411058</v>
      </c>
      <c r="B560"/>
      <c r="C560"/>
      <c r="D560"/>
      <c r="E560"/>
      <c r="DU560" s="27" t="s">
        <v>8</v>
      </c>
      <c r="DV560" s="27" t="s">
        <v>7</v>
      </c>
      <c r="GA560" s="27" t="s">
        <v>8</v>
      </c>
      <c r="GB560" s="27" t="s">
        <v>7</v>
      </c>
    </row>
    <row r="561" spans="1:230" x14ac:dyDescent="0.25">
      <c r="A561" s="7">
        <v>1.6734181143540252</v>
      </c>
      <c r="B561"/>
      <c r="C561"/>
      <c r="D561"/>
      <c r="E561"/>
      <c r="CS561" s="27" t="s">
        <v>8</v>
      </c>
      <c r="DU561" s="27" t="s">
        <v>8</v>
      </c>
      <c r="DV561" s="27" t="s">
        <v>7</v>
      </c>
      <c r="GA561" s="27" t="s">
        <v>8</v>
      </c>
      <c r="GB561" s="27" t="s">
        <v>7</v>
      </c>
    </row>
    <row r="562" spans="1:230" x14ac:dyDescent="0.25">
      <c r="A562" s="7">
        <v>1.6406059944647307</v>
      </c>
      <c r="B562"/>
      <c r="C562"/>
      <c r="D562"/>
      <c r="E562"/>
      <c r="CS562" s="27" t="s">
        <v>8</v>
      </c>
      <c r="CT562" s="27" t="s">
        <v>7</v>
      </c>
      <c r="DU562" s="27" t="s">
        <v>8</v>
      </c>
      <c r="DV562" s="27" t="s">
        <v>7</v>
      </c>
      <c r="GA562" s="27" t="s">
        <v>8</v>
      </c>
      <c r="GB562" s="27" t="s">
        <v>7</v>
      </c>
    </row>
    <row r="563" spans="1:230" x14ac:dyDescent="0.25">
      <c r="A563" s="7">
        <v>1.6084372494752261</v>
      </c>
      <c r="B563"/>
      <c r="C563"/>
      <c r="D563"/>
      <c r="E563"/>
      <c r="CS563" s="27" t="s">
        <v>8</v>
      </c>
      <c r="CT563" s="27" t="s">
        <v>7</v>
      </c>
      <c r="CU563" s="27" t="s">
        <v>8</v>
      </c>
      <c r="CW563" s="27" t="s">
        <v>8</v>
      </c>
      <c r="DU563" s="27" t="s">
        <v>8</v>
      </c>
      <c r="DV563" s="27" t="s">
        <v>7</v>
      </c>
      <c r="GA563" s="27" t="s">
        <v>8</v>
      </c>
      <c r="GB563" s="27" t="s">
        <v>7</v>
      </c>
    </row>
    <row r="564" spans="1:230" x14ac:dyDescent="0.25">
      <c r="A564" s="7">
        <v>1.5768992641913981</v>
      </c>
      <c r="B564"/>
      <c r="C564"/>
      <c r="D564"/>
      <c r="E564"/>
      <c r="CS564" s="27" t="s">
        <v>8</v>
      </c>
      <c r="CT564" s="27" t="s">
        <v>7</v>
      </c>
      <c r="CU564" s="27" t="s">
        <v>8</v>
      </c>
      <c r="CV564" s="27" t="s">
        <v>7</v>
      </c>
      <c r="CW564" s="27" t="s">
        <v>8</v>
      </c>
      <c r="CX564" s="27" t="s">
        <v>7</v>
      </c>
      <c r="DU564" s="27" t="s">
        <v>8</v>
      </c>
      <c r="DV564" s="27" t="s">
        <v>7</v>
      </c>
      <c r="GA564" s="27" t="s">
        <v>8</v>
      </c>
      <c r="GB564" s="27" t="s">
        <v>7</v>
      </c>
    </row>
    <row r="565" spans="1:230" x14ac:dyDescent="0.25">
      <c r="A565" s="7">
        <v>1.5459796707758806</v>
      </c>
      <c r="B565"/>
      <c r="C565"/>
      <c r="D565"/>
      <c r="E565"/>
      <c r="CS565" s="27" t="s">
        <v>8</v>
      </c>
      <c r="CT565" s="27" t="s">
        <v>7</v>
      </c>
      <c r="CU565" s="27" t="s">
        <v>8</v>
      </c>
      <c r="CV565" s="27" t="s">
        <v>7</v>
      </c>
      <c r="CW565" s="27" t="s">
        <v>8</v>
      </c>
      <c r="CX565" s="27" t="s">
        <v>7</v>
      </c>
      <c r="DU565" s="27" t="s">
        <v>8</v>
      </c>
      <c r="DV565" s="27" t="s">
        <v>7</v>
      </c>
      <c r="GA565" s="27" t="s">
        <v>8</v>
      </c>
      <c r="GB565" s="27" t="s">
        <v>7</v>
      </c>
    </row>
    <row r="566" spans="1:230" x14ac:dyDescent="0.25">
      <c r="A566" s="7">
        <v>1.5156663438979221</v>
      </c>
      <c r="B566"/>
      <c r="C566"/>
      <c r="D566"/>
      <c r="E566"/>
      <c r="CS566" s="27" t="s">
        <v>8</v>
      </c>
      <c r="CT566" s="27" t="s">
        <v>7</v>
      </c>
      <c r="CU566" s="27" t="s">
        <v>8</v>
      </c>
      <c r="CV566" s="27" t="s">
        <v>7</v>
      </c>
      <c r="CW566" s="27" t="s">
        <v>8</v>
      </c>
      <c r="CX566" s="27" t="s">
        <v>7</v>
      </c>
      <c r="DU566" s="27" t="s">
        <v>8</v>
      </c>
      <c r="DV566" s="27" t="s">
        <v>7</v>
      </c>
      <c r="GA566" s="27" t="s">
        <v>8</v>
      </c>
      <c r="GB566" s="27" t="s">
        <v>7</v>
      </c>
    </row>
    <row r="567" spans="1:230" x14ac:dyDescent="0.25">
      <c r="A567" s="7">
        <v>1.4859473959783549</v>
      </c>
      <c r="B567"/>
      <c r="C567"/>
      <c r="D567"/>
      <c r="E567"/>
      <c r="CS567" s="27" t="s">
        <v>8</v>
      </c>
      <c r="CT567" s="27" t="s">
        <v>7</v>
      </c>
      <c r="CU567" s="27" t="s">
        <v>8</v>
      </c>
      <c r="CV567" s="27" t="s">
        <v>7</v>
      </c>
      <c r="CW567" s="27" t="s">
        <v>8</v>
      </c>
      <c r="CX567" s="27" t="s">
        <v>7</v>
      </c>
      <c r="DU567" s="27" t="s">
        <v>8</v>
      </c>
      <c r="DV567" s="27" t="s">
        <v>7</v>
      </c>
      <c r="GA567" s="27" t="s">
        <v>8</v>
      </c>
      <c r="GB567" s="27" t="s">
        <v>7</v>
      </c>
    </row>
    <row r="568" spans="1:230" x14ac:dyDescent="0.25">
      <c r="A568" s="7">
        <v>1.4568111725277988</v>
      </c>
      <c r="B568"/>
      <c r="C568"/>
      <c r="D568"/>
      <c r="E568"/>
      <c r="CM568" s="27" t="s">
        <v>8</v>
      </c>
      <c r="CS568" s="27" t="s">
        <v>8</v>
      </c>
      <c r="CT568" s="27" t="s">
        <v>7</v>
      </c>
      <c r="CU568" s="27" t="s">
        <v>8</v>
      </c>
      <c r="CV568" s="27" t="s">
        <v>7</v>
      </c>
      <c r="CW568" s="27" t="s">
        <v>8</v>
      </c>
      <c r="CX568" s="27" t="s">
        <v>7</v>
      </c>
      <c r="DS568" s="27" t="s">
        <v>8</v>
      </c>
      <c r="DU568" s="27" t="s">
        <v>8</v>
      </c>
      <c r="DV568" s="27" t="s">
        <v>7</v>
      </c>
      <c r="GA568" s="27" t="s">
        <v>8</v>
      </c>
      <c r="GB568" s="27" t="s">
        <v>7</v>
      </c>
    </row>
    <row r="569" spans="1:230" x14ac:dyDescent="0.25">
      <c r="A569" s="7">
        <v>1.4282462475762734</v>
      </c>
      <c r="B569"/>
      <c r="C569"/>
      <c r="D569"/>
      <c r="E569"/>
      <c r="CM569" s="27" t="s">
        <v>8</v>
      </c>
      <c r="CN569" s="27" t="s">
        <v>7</v>
      </c>
      <c r="CS569" s="27" t="s">
        <v>8</v>
      </c>
      <c r="CT569" s="27" t="s">
        <v>7</v>
      </c>
      <c r="CU569" s="27" t="s">
        <v>8</v>
      </c>
      <c r="CV569" s="27" t="s">
        <v>7</v>
      </c>
      <c r="CW569" s="27" t="s">
        <v>8</v>
      </c>
      <c r="CX569" s="27" t="s">
        <v>7</v>
      </c>
      <c r="DS569" s="27" t="s">
        <v>8</v>
      </c>
      <c r="DT569" s="27" t="s">
        <v>7</v>
      </c>
      <c r="DU569" s="27" t="s">
        <v>8</v>
      </c>
      <c r="DV569" s="27" t="s">
        <v>7</v>
      </c>
      <c r="GA569" s="27" t="s">
        <v>8</v>
      </c>
      <c r="GB569" s="27" t="s">
        <v>7</v>
      </c>
    </row>
    <row r="570" spans="1:230" x14ac:dyDescent="0.25">
      <c r="A570" s="7">
        <v>1.4002414191924248</v>
      </c>
      <c r="B570"/>
      <c r="C570"/>
      <c r="D570"/>
      <c r="E570"/>
      <c r="CM570" s="27" t="s">
        <v>8</v>
      </c>
      <c r="CN570" s="27" t="s">
        <v>7</v>
      </c>
      <c r="CS570" s="27" t="s">
        <v>8</v>
      </c>
      <c r="CT570" s="27" t="s">
        <v>7</v>
      </c>
      <c r="CU570" s="27" t="s">
        <v>8</v>
      </c>
      <c r="CV570" s="27" t="s">
        <v>7</v>
      </c>
      <c r="CW570" s="27" t="s">
        <v>8</v>
      </c>
      <c r="CX570" s="27" t="s">
        <v>7</v>
      </c>
      <c r="DC570" s="27" t="s">
        <v>8</v>
      </c>
      <c r="DS570" s="27" t="s">
        <v>8</v>
      </c>
      <c r="DT570" s="27" t="s">
        <v>7</v>
      </c>
      <c r="DU570" s="27" t="s">
        <v>8</v>
      </c>
      <c r="DV570" s="27" t="s">
        <v>7</v>
      </c>
      <c r="GA570" s="27" t="s">
        <v>8</v>
      </c>
      <c r="GB570" s="27" t="s">
        <v>7</v>
      </c>
      <c r="GU570" s="27" t="s">
        <v>8</v>
      </c>
    </row>
    <row r="571" spans="1:230" x14ac:dyDescent="0.25">
      <c r="A571" s="7">
        <v>1.3727857050906125</v>
      </c>
      <c r="B571"/>
      <c r="C571"/>
      <c r="D571"/>
      <c r="E571"/>
      <c r="CM571" s="27" t="s">
        <v>8</v>
      </c>
      <c r="CN571" s="27" t="s">
        <v>7</v>
      </c>
      <c r="CQ571" s="27" t="s">
        <v>8</v>
      </c>
      <c r="CS571" s="27" t="s">
        <v>8</v>
      </c>
      <c r="CT571" s="27" t="s">
        <v>7</v>
      </c>
      <c r="CV571" s="27" t="s">
        <v>7</v>
      </c>
      <c r="CW571" s="27" t="s">
        <v>8</v>
      </c>
      <c r="CX571" s="27" t="s">
        <v>7</v>
      </c>
      <c r="CY571" s="27" t="s">
        <v>8</v>
      </c>
      <c r="DA571" s="27" t="s">
        <v>8</v>
      </c>
      <c r="DC571" s="27" t="s">
        <v>8</v>
      </c>
      <c r="DD571" s="27" t="s">
        <v>7</v>
      </c>
      <c r="DQ571" s="27" t="s">
        <v>8</v>
      </c>
      <c r="DS571" s="27" t="s">
        <v>8</v>
      </c>
      <c r="DT571" s="27" t="s">
        <v>7</v>
      </c>
      <c r="DU571" s="27" t="s">
        <v>8</v>
      </c>
      <c r="DV571" s="27" t="s">
        <v>7</v>
      </c>
      <c r="GA571" s="27" t="s">
        <v>8</v>
      </c>
      <c r="GB571" s="27" t="s">
        <v>7</v>
      </c>
      <c r="GU571" s="27" t="s">
        <v>8</v>
      </c>
      <c r="GV571" s="27" t="s">
        <v>7</v>
      </c>
    </row>
    <row r="572" spans="1:230" x14ac:dyDescent="0.25">
      <c r="A572" s="7">
        <v>1.3458683383241299</v>
      </c>
      <c r="B572"/>
      <c r="C572"/>
      <c r="D572"/>
      <c r="E572"/>
      <c r="CM572" s="27" t="s">
        <v>8</v>
      </c>
      <c r="CN572" s="27" t="s">
        <v>7</v>
      </c>
      <c r="CQ572" s="27" t="s">
        <v>8</v>
      </c>
      <c r="CR572" s="27" t="s">
        <v>7</v>
      </c>
      <c r="CS572" s="27" t="s">
        <v>8</v>
      </c>
      <c r="CV572" s="27" t="s">
        <v>7</v>
      </c>
      <c r="CW572" s="27" t="s">
        <v>8</v>
      </c>
      <c r="CX572" s="27" t="s">
        <v>7</v>
      </c>
      <c r="CY572" s="27" t="s">
        <v>8</v>
      </c>
      <c r="CZ572" s="27" t="s">
        <v>7</v>
      </c>
      <c r="DA572" s="27" t="s">
        <v>8</v>
      </c>
      <c r="DB572" s="27" t="s">
        <v>7</v>
      </c>
      <c r="DC572" s="27" t="s">
        <v>8</v>
      </c>
      <c r="DD572" s="27" t="s">
        <v>7</v>
      </c>
      <c r="DQ572" s="27" t="s">
        <v>8</v>
      </c>
      <c r="DR572" s="27" t="s">
        <v>7</v>
      </c>
      <c r="DS572" s="27" t="s">
        <v>8</v>
      </c>
      <c r="DT572" s="27" t="s">
        <v>7</v>
      </c>
      <c r="DU572" s="27" t="s">
        <v>8</v>
      </c>
      <c r="DV572" s="27" t="s">
        <v>7</v>
      </c>
      <c r="GA572" s="27" t="s">
        <v>8</v>
      </c>
      <c r="GB572" s="27" t="s">
        <v>7</v>
      </c>
      <c r="GC572" s="27" t="s">
        <v>8</v>
      </c>
      <c r="GU572" s="27" t="s">
        <v>8</v>
      </c>
      <c r="GV572" s="27" t="s">
        <v>7</v>
      </c>
    </row>
    <row r="573" spans="1:230" x14ac:dyDescent="0.25">
      <c r="A573" s="7">
        <v>1.3194787630628724</v>
      </c>
      <c r="B573"/>
      <c r="C573"/>
      <c r="D573"/>
      <c r="E573"/>
      <c r="CM573" s="27" t="s">
        <v>8</v>
      </c>
      <c r="CN573" s="27" t="s">
        <v>7</v>
      </c>
      <c r="CQ573" s="27" t="s">
        <v>8</v>
      </c>
      <c r="CR573" s="27" t="s">
        <v>7</v>
      </c>
      <c r="CS573" s="27" t="s">
        <v>8</v>
      </c>
      <c r="CV573" s="27" t="s">
        <v>7</v>
      </c>
      <c r="CW573" s="27" t="s">
        <v>8</v>
      </c>
      <c r="CX573" s="27" t="s">
        <v>7</v>
      </c>
      <c r="CY573" s="27" t="s">
        <v>8</v>
      </c>
      <c r="CZ573" s="27" t="s">
        <v>7</v>
      </c>
      <c r="DA573" s="27" t="s">
        <v>8</v>
      </c>
      <c r="DB573" s="27" t="s">
        <v>7</v>
      </c>
      <c r="DC573" s="27" t="s">
        <v>8</v>
      </c>
      <c r="DD573" s="27" t="s">
        <v>7</v>
      </c>
      <c r="DQ573" s="27" t="s">
        <v>8</v>
      </c>
      <c r="DR573" s="27" t="s">
        <v>7</v>
      </c>
      <c r="DS573" s="27" t="s">
        <v>8</v>
      </c>
      <c r="DT573" s="27" t="s">
        <v>7</v>
      </c>
      <c r="DU573" s="27" t="s">
        <v>8</v>
      </c>
      <c r="DV573" s="27" t="s">
        <v>7</v>
      </c>
      <c r="DW573" s="27" t="s">
        <v>8</v>
      </c>
      <c r="GA573" s="27" t="s">
        <v>8</v>
      </c>
      <c r="GB573" s="27" t="s">
        <v>7</v>
      </c>
      <c r="GC573" s="27" t="s">
        <v>8</v>
      </c>
      <c r="GD573" s="27" t="s">
        <v>7</v>
      </c>
      <c r="GU573" s="27" t="s">
        <v>8</v>
      </c>
      <c r="GV573" s="27" t="s">
        <v>7</v>
      </c>
    </row>
    <row r="574" spans="1:230" x14ac:dyDescent="0.25">
      <c r="A574" s="7">
        <v>1.2936066304537963</v>
      </c>
      <c r="B574"/>
      <c r="C574"/>
      <c r="D574"/>
      <c r="E574"/>
      <c r="CM574" s="27" t="s">
        <v>8</v>
      </c>
      <c r="CN574" s="27" t="s">
        <v>7</v>
      </c>
      <c r="CQ574" s="27" t="s">
        <v>8</v>
      </c>
      <c r="CR574" s="27" t="s">
        <v>7</v>
      </c>
      <c r="CS574" s="27" t="s">
        <v>8</v>
      </c>
      <c r="CV574" s="27" t="s">
        <v>7</v>
      </c>
      <c r="CW574" s="27" t="s">
        <v>8</v>
      </c>
      <c r="CX574" s="27" t="s">
        <v>7</v>
      </c>
      <c r="CY574" s="27" t="s">
        <v>8</v>
      </c>
      <c r="CZ574" s="27" t="s">
        <v>7</v>
      </c>
      <c r="DA574" s="27" t="s">
        <v>8</v>
      </c>
      <c r="DB574" s="27" t="s">
        <v>7</v>
      </c>
      <c r="DC574" s="27" t="s">
        <v>8</v>
      </c>
      <c r="DD574" s="27" t="s">
        <v>7</v>
      </c>
      <c r="DE574" s="27" t="s">
        <v>8</v>
      </c>
      <c r="DQ574" s="27" t="s">
        <v>8</v>
      </c>
      <c r="DR574" s="27" t="s">
        <v>7</v>
      </c>
      <c r="DS574" s="27" t="s">
        <v>8</v>
      </c>
      <c r="DT574" s="27" t="s">
        <v>7</v>
      </c>
      <c r="DU574" s="27" t="s">
        <v>8</v>
      </c>
      <c r="DV574" s="27" t="s">
        <v>7</v>
      </c>
      <c r="DW574" s="27" t="s">
        <v>8</v>
      </c>
      <c r="DX574" s="27" t="s">
        <v>7</v>
      </c>
      <c r="GA574" s="27" t="s">
        <v>8</v>
      </c>
      <c r="GB574" s="27" t="s">
        <v>7</v>
      </c>
      <c r="GC574" s="27" t="s">
        <v>8</v>
      </c>
      <c r="GD574" s="27" t="s">
        <v>7</v>
      </c>
      <c r="GU574" s="27" t="s">
        <v>8</v>
      </c>
      <c r="GV574" s="27" t="s">
        <v>7</v>
      </c>
      <c r="HU574" s="27" t="s">
        <v>8</v>
      </c>
    </row>
    <row r="575" spans="1:230" x14ac:dyDescent="0.25">
      <c r="A575" s="7">
        <v>1.2682417945625455</v>
      </c>
      <c r="B575"/>
      <c r="C575"/>
      <c r="D575"/>
      <c r="E575"/>
      <c r="CM575" s="27" t="s">
        <v>8</v>
      </c>
      <c r="CN575" s="27" t="s">
        <v>7</v>
      </c>
      <c r="CQ575" s="27" t="s">
        <v>8</v>
      </c>
      <c r="CR575" s="27" t="s">
        <v>7</v>
      </c>
      <c r="CS575" s="27" t="s">
        <v>8</v>
      </c>
      <c r="CV575" s="27" t="s">
        <v>7</v>
      </c>
      <c r="CX575" s="27" t="s">
        <v>7</v>
      </c>
      <c r="CY575" s="27" t="s">
        <v>8</v>
      </c>
      <c r="CZ575" s="27" t="s">
        <v>7</v>
      </c>
      <c r="DA575" s="27" t="s">
        <v>8</v>
      </c>
      <c r="DB575" s="27" t="s">
        <v>7</v>
      </c>
      <c r="DC575" s="27" t="s">
        <v>8</v>
      </c>
      <c r="DD575" s="27" t="s">
        <v>7</v>
      </c>
      <c r="DE575" s="27" t="s">
        <v>8</v>
      </c>
      <c r="DF575" s="27" t="s">
        <v>7</v>
      </c>
      <c r="DQ575" s="27" t="s">
        <v>8</v>
      </c>
      <c r="DR575" s="27" t="s">
        <v>7</v>
      </c>
      <c r="DS575" s="27" t="s">
        <v>8</v>
      </c>
      <c r="DT575" s="27" t="s">
        <v>7</v>
      </c>
      <c r="DU575" s="27" t="s">
        <v>8</v>
      </c>
      <c r="DV575" s="27" t="s">
        <v>7</v>
      </c>
      <c r="DW575" s="27" t="s">
        <v>8</v>
      </c>
      <c r="DX575" s="27" t="s">
        <v>7</v>
      </c>
      <c r="GA575" s="27" t="s">
        <v>8</v>
      </c>
      <c r="GB575" s="27" t="s">
        <v>7</v>
      </c>
      <c r="GC575" s="27" t="s">
        <v>8</v>
      </c>
      <c r="GD575" s="27" t="s">
        <v>7</v>
      </c>
      <c r="GU575" s="27" t="s">
        <v>8</v>
      </c>
      <c r="GV575" s="27" t="s">
        <v>7</v>
      </c>
      <c r="HU575" s="27" t="s">
        <v>8</v>
      </c>
      <c r="HV575" s="27" t="s">
        <v>7</v>
      </c>
    </row>
    <row r="576" spans="1:230" x14ac:dyDescent="0.25">
      <c r="A576" s="7">
        <v>1.2433743083946525</v>
      </c>
      <c r="B576"/>
      <c r="C576"/>
      <c r="D576"/>
      <c r="E576"/>
      <c r="CM576" s="27" t="s">
        <v>8</v>
      </c>
      <c r="CN576" s="27" t="s">
        <v>7</v>
      </c>
      <c r="CQ576" s="27" t="s">
        <v>8</v>
      </c>
      <c r="CR576" s="27" t="s">
        <v>7</v>
      </c>
      <c r="CS576" s="27" t="s">
        <v>8</v>
      </c>
      <c r="CX576" s="27" t="s">
        <v>7</v>
      </c>
      <c r="CY576" s="27" t="s">
        <v>8</v>
      </c>
      <c r="CZ576" s="27" t="s">
        <v>7</v>
      </c>
      <c r="DB576" s="27" t="s">
        <v>7</v>
      </c>
      <c r="DC576" s="27" t="s">
        <v>8</v>
      </c>
      <c r="DD576" s="27" t="s">
        <v>7</v>
      </c>
      <c r="DE576" s="27" t="s">
        <v>8</v>
      </c>
      <c r="DF576" s="27" t="s">
        <v>7</v>
      </c>
      <c r="DQ576" s="27" t="s">
        <v>8</v>
      </c>
      <c r="DR576" s="27" t="s">
        <v>7</v>
      </c>
      <c r="DS576" s="27" t="s">
        <v>8</v>
      </c>
      <c r="DT576" s="27" t="s">
        <v>7</v>
      </c>
      <c r="DU576" s="27" t="s">
        <v>8</v>
      </c>
      <c r="DV576" s="27" t="s">
        <v>7</v>
      </c>
      <c r="DW576" s="27" t="s">
        <v>8</v>
      </c>
      <c r="DX576" s="27" t="s">
        <v>7</v>
      </c>
      <c r="GA576" s="27" t="s">
        <v>8</v>
      </c>
      <c r="GB576" s="27" t="s">
        <v>7</v>
      </c>
      <c r="GC576" s="27" t="s">
        <v>8</v>
      </c>
      <c r="GD576" s="27" t="s">
        <v>7</v>
      </c>
      <c r="GU576" s="27" t="s">
        <v>8</v>
      </c>
      <c r="GV576" s="27" t="s">
        <v>7</v>
      </c>
      <c r="GY576" s="27" t="s">
        <v>8</v>
      </c>
      <c r="HG576" s="27" t="s">
        <v>8</v>
      </c>
      <c r="HU576" s="27" t="s">
        <v>8</v>
      </c>
      <c r="HV576" s="27" t="s">
        <v>7</v>
      </c>
    </row>
    <row r="577" spans="1:246" x14ac:dyDescent="0.25">
      <c r="A577" s="7">
        <v>1.2189944199947573</v>
      </c>
      <c r="B577"/>
      <c r="C577"/>
      <c r="D577"/>
      <c r="E577"/>
      <c r="CM577" s="27" t="s">
        <v>8</v>
      </c>
      <c r="CN577" s="27" t="s">
        <v>7</v>
      </c>
      <c r="CQ577" s="27" t="s">
        <v>8</v>
      </c>
      <c r="CR577" s="27" t="s">
        <v>7</v>
      </c>
      <c r="CS577" s="27" t="s">
        <v>8</v>
      </c>
      <c r="CX577" s="27" t="s">
        <v>7</v>
      </c>
      <c r="CY577" s="27" t="s">
        <v>8</v>
      </c>
      <c r="DB577" s="27" t="s">
        <v>7</v>
      </c>
      <c r="DC577" s="27" t="s">
        <v>8</v>
      </c>
      <c r="DD577" s="27" t="s">
        <v>7</v>
      </c>
      <c r="DE577" s="27" t="s">
        <v>8</v>
      </c>
      <c r="DF577" s="27" t="s">
        <v>7</v>
      </c>
      <c r="DQ577" s="27" t="s">
        <v>8</v>
      </c>
      <c r="DR577" s="27" t="s">
        <v>7</v>
      </c>
      <c r="DS577" s="27" t="s">
        <v>8</v>
      </c>
      <c r="DT577" s="27" t="s">
        <v>7</v>
      </c>
      <c r="DU577" s="27" t="s">
        <v>8</v>
      </c>
      <c r="DV577" s="27" t="s">
        <v>7</v>
      </c>
      <c r="DW577" s="27" t="s">
        <v>8</v>
      </c>
      <c r="DX577" s="27" t="s">
        <v>7</v>
      </c>
      <c r="GA577" s="27" t="s">
        <v>8</v>
      </c>
      <c r="GB577" s="27" t="s">
        <v>7</v>
      </c>
      <c r="GC577" s="27" t="s">
        <v>8</v>
      </c>
      <c r="GD577" s="27" t="s">
        <v>7</v>
      </c>
      <c r="GU577" s="27" t="s">
        <v>8</v>
      </c>
      <c r="GV577" s="27" t="s">
        <v>7</v>
      </c>
      <c r="GY577" s="27" t="s">
        <v>8</v>
      </c>
      <c r="GZ577" s="27" t="s">
        <v>7</v>
      </c>
      <c r="HG577" s="27" t="s">
        <v>8</v>
      </c>
      <c r="HH577" s="27" t="s">
        <v>7</v>
      </c>
      <c r="HU577" s="27" t="s">
        <v>8</v>
      </c>
      <c r="HV577" s="27" t="s">
        <v>7</v>
      </c>
    </row>
    <row r="578" spans="1:246" x14ac:dyDescent="0.25">
      <c r="A578" s="7">
        <v>1.1950925686223111</v>
      </c>
      <c r="B578"/>
      <c r="C578"/>
      <c r="D578"/>
      <c r="E578"/>
      <c r="CM578" s="27" t="s">
        <v>8</v>
      </c>
      <c r="CN578" s="27" t="s">
        <v>7</v>
      </c>
      <c r="CQ578" s="27" t="s">
        <v>8</v>
      </c>
      <c r="CR578" s="27" t="s">
        <v>7</v>
      </c>
      <c r="CS578" s="27" t="s">
        <v>8</v>
      </c>
      <c r="CX578" s="27" t="s">
        <v>7</v>
      </c>
      <c r="DB578" s="27" t="s">
        <v>7</v>
      </c>
      <c r="DD578" s="27" t="s">
        <v>7</v>
      </c>
      <c r="DE578" s="27" t="s">
        <v>8</v>
      </c>
      <c r="DF578" s="27" t="s">
        <v>7</v>
      </c>
      <c r="DG578" s="27" t="s">
        <v>8</v>
      </c>
      <c r="DQ578" s="27" t="s">
        <v>8</v>
      </c>
      <c r="DR578" s="27" t="s">
        <v>7</v>
      </c>
      <c r="DS578" s="27" t="s">
        <v>8</v>
      </c>
      <c r="DT578" s="27" t="s">
        <v>7</v>
      </c>
      <c r="DU578" s="27" t="s">
        <v>8</v>
      </c>
      <c r="DV578" s="27" t="s">
        <v>7</v>
      </c>
      <c r="DW578" s="27" t="s">
        <v>8</v>
      </c>
      <c r="DX578" s="27" t="s">
        <v>7</v>
      </c>
      <c r="GA578" s="27" t="s">
        <v>8</v>
      </c>
      <c r="GB578" s="27" t="s">
        <v>7</v>
      </c>
      <c r="GC578" s="27" t="s">
        <v>8</v>
      </c>
      <c r="GD578" s="27" t="s">
        <v>7</v>
      </c>
      <c r="GU578" s="27" t="s">
        <v>8</v>
      </c>
      <c r="GV578" s="27" t="s">
        <v>7</v>
      </c>
      <c r="GY578" s="27" t="s">
        <v>8</v>
      </c>
      <c r="GZ578" s="27" t="s">
        <v>7</v>
      </c>
      <c r="HG578" s="27" t="s">
        <v>8</v>
      </c>
      <c r="HH578" s="27" t="s">
        <v>7</v>
      </c>
      <c r="HU578" s="27" t="s">
        <v>8</v>
      </c>
      <c r="HV578" s="27" t="s">
        <v>7</v>
      </c>
    </row>
    <row r="579" spans="1:246" x14ac:dyDescent="0.25">
      <c r="A579" s="7">
        <v>1.1716593810022657</v>
      </c>
      <c r="B579"/>
      <c r="C579"/>
      <c r="D579"/>
      <c r="E579"/>
      <c r="CM579" s="27" t="s">
        <v>8</v>
      </c>
      <c r="CN579" s="27" t="s">
        <v>7</v>
      </c>
      <c r="CQ579" s="27" t="s">
        <v>8</v>
      </c>
      <c r="CR579" s="27" t="s">
        <v>7</v>
      </c>
      <c r="CS579" s="27" t="s">
        <v>8</v>
      </c>
      <c r="DD579" s="27" t="s">
        <v>7</v>
      </c>
      <c r="DE579" s="27" t="s">
        <v>8</v>
      </c>
      <c r="DF579" s="27" t="s">
        <v>7</v>
      </c>
      <c r="DG579" s="27" t="s">
        <v>8</v>
      </c>
      <c r="DH579" s="27" t="s">
        <v>7</v>
      </c>
      <c r="DQ579" s="27" t="s">
        <v>8</v>
      </c>
      <c r="DR579" s="27" t="s">
        <v>7</v>
      </c>
      <c r="DS579" s="27" t="s">
        <v>8</v>
      </c>
      <c r="DT579" s="27" t="s">
        <v>7</v>
      </c>
      <c r="DU579" s="27" t="s">
        <v>8</v>
      </c>
      <c r="DV579" s="27" t="s">
        <v>7</v>
      </c>
      <c r="DW579" s="27" t="s">
        <v>8</v>
      </c>
      <c r="DX579" s="27" t="s">
        <v>7</v>
      </c>
      <c r="GA579" s="27" t="s">
        <v>8</v>
      </c>
      <c r="GB579" s="27" t="s">
        <v>7</v>
      </c>
      <c r="GC579" s="27" t="s">
        <v>8</v>
      </c>
      <c r="GD579" s="27" t="s">
        <v>7</v>
      </c>
      <c r="GE579" s="27" t="s">
        <v>8</v>
      </c>
      <c r="GU579" s="27" t="s">
        <v>8</v>
      </c>
      <c r="GV579" s="27" t="s">
        <v>7</v>
      </c>
      <c r="GW579" s="27" t="s">
        <v>8</v>
      </c>
      <c r="GY579" s="27" t="s">
        <v>8</v>
      </c>
      <c r="GZ579" s="27" t="s">
        <v>7</v>
      </c>
      <c r="HA579" s="27" t="s">
        <v>8</v>
      </c>
      <c r="HG579" s="27" t="s">
        <v>8</v>
      </c>
      <c r="HH579" s="27" t="s">
        <v>7</v>
      </c>
      <c r="HU579" s="27" t="s">
        <v>8</v>
      </c>
      <c r="HV579" s="27" t="s">
        <v>7</v>
      </c>
    </row>
    <row r="580" spans="1:246" x14ac:dyDescent="0.25">
      <c r="A580" s="7">
        <v>1.14868566764928</v>
      </c>
      <c r="B580"/>
      <c r="C580"/>
      <c r="D580"/>
      <c r="E580"/>
      <c r="CK580" s="27" t="s">
        <v>8</v>
      </c>
      <c r="CM580" s="27" t="s">
        <v>8</v>
      </c>
      <c r="CN580" s="27" t="s">
        <v>7</v>
      </c>
      <c r="CO580" s="27" t="s">
        <v>8</v>
      </c>
      <c r="CQ580" s="27" t="s">
        <v>8</v>
      </c>
      <c r="CR580" s="27" t="s">
        <v>7</v>
      </c>
      <c r="CS580" s="27" t="s">
        <v>8</v>
      </c>
      <c r="DD580" s="27" t="s">
        <v>7</v>
      </c>
      <c r="DF580" s="27" t="s">
        <v>7</v>
      </c>
      <c r="DG580" s="27" t="s">
        <v>8</v>
      </c>
      <c r="DH580" s="27" t="s">
        <v>7</v>
      </c>
      <c r="DO580" s="27" t="s">
        <v>8</v>
      </c>
      <c r="DQ580" s="27" t="s">
        <v>8</v>
      </c>
      <c r="DR580" s="27" t="s">
        <v>7</v>
      </c>
      <c r="DS580" s="27" t="s">
        <v>8</v>
      </c>
      <c r="DT580" s="27" t="s">
        <v>7</v>
      </c>
      <c r="DV580" s="27" t="s">
        <v>7</v>
      </c>
      <c r="DW580" s="27" t="s">
        <v>8</v>
      </c>
      <c r="DX580" s="27" t="s">
        <v>7</v>
      </c>
      <c r="GA580" s="27" t="s">
        <v>8</v>
      </c>
      <c r="GB580" s="27" t="s">
        <v>7</v>
      </c>
      <c r="GC580" s="27" t="s">
        <v>8</v>
      </c>
      <c r="GD580" s="27" t="s">
        <v>7</v>
      </c>
      <c r="GE580" s="27" t="s">
        <v>8</v>
      </c>
      <c r="GF580" s="27" t="s">
        <v>7</v>
      </c>
      <c r="GG580" s="27" t="s">
        <v>8</v>
      </c>
      <c r="GU580" s="27" t="s">
        <v>8</v>
      </c>
      <c r="GV580" s="27" t="s">
        <v>7</v>
      </c>
      <c r="GW580" s="27" t="s">
        <v>8</v>
      </c>
      <c r="GX580" s="27" t="s">
        <v>7</v>
      </c>
      <c r="GY580" s="27" t="s">
        <v>8</v>
      </c>
      <c r="GZ580" s="27" t="s">
        <v>7</v>
      </c>
      <c r="HA580" s="27" t="s">
        <v>8</v>
      </c>
      <c r="HB580" s="27" t="s">
        <v>7</v>
      </c>
      <c r="HG580" s="27" t="s">
        <v>8</v>
      </c>
      <c r="HH580" s="27" t="s">
        <v>7</v>
      </c>
      <c r="HU580" s="27" t="s">
        <v>8</v>
      </c>
      <c r="HV580" s="27" t="s">
        <v>7</v>
      </c>
    </row>
    <row r="581" spans="1:246" x14ac:dyDescent="0.25">
      <c r="A581" s="7">
        <v>1.1261624192640001</v>
      </c>
      <c r="B581"/>
      <c r="C581"/>
      <c r="D581"/>
      <c r="E581"/>
      <c r="CK581" s="27" t="s">
        <v>8</v>
      </c>
      <c r="CL581" s="27" t="s">
        <v>7</v>
      </c>
      <c r="CM581" s="27" t="s">
        <v>8</v>
      </c>
      <c r="CN581" s="27" t="s">
        <v>7</v>
      </c>
      <c r="CO581" s="27" t="s">
        <v>8</v>
      </c>
      <c r="CP581" s="27" t="s">
        <v>7</v>
      </c>
      <c r="CQ581" s="27" t="s">
        <v>8</v>
      </c>
      <c r="CR581" s="27" t="s">
        <v>7</v>
      </c>
      <c r="CS581" s="27" t="s">
        <v>8</v>
      </c>
      <c r="DF581" s="27" t="s">
        <v>7</v>
      </c>
      <c r="DG581" s="27" t="s">
        <v>8</v>
      </c>
      <c r="DH581" s="27" t="s">
        <v>7</v>
      </c>
      <c r="DO581" s="27" t="s">
        <v>8</v>
      </c>
      <c r="DP581" s="27" t="s">
        <v>7</v>
      </c>
      <c r="DQ581" s="27" t="s">
        <v>8</v>
      </c>
      <c r="DR581" s="27" t="s">
        <v>7</v>
      </c>
      <c r="DV581" s="27" t="s">
        <v>7</v>
      </c>
      <c r="DW581" s="27" t="s">
        <v>8</v>
      </c>
      <c r="DX581" s="27" t="s">
        <v>7</v>
      </c>
      <c r="GA581" s="27" t="s">
        <v>8</v>
      </c>
      <c r="GB581" s="27" t="s">
        <v>7</v>
      </c>
      <c r="GC581" s="27" t="s">
        <v>8</v>
      </c>
      <c r="GD581" s="27" t="s">
        <v>7</v>
      </c>
      <c r="GE581" s="27" t="s">
        <v>8</v>
      </c>
      <c r="GF581" s="27" t="s">
        <v>7</v>
      </c>
      <c r="GG581" s="27" t="s">
        <v>8</v>
      </c>
      <c r="GH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GY581" s="27" t="s">
        <v>8</v>
      </c>
      <c r="GZ581" s="27" t="s">
        <v>7</v>
      </c>
      <c r="HA581" s="27" t="s">
        <v>8</v>
      </c>
      <c r="HB581" s="27" t="s">
        <v>7</v>
      </c>
      <c r="HG581" s="27" t="s">
        <v>8</v>
      </c>
      <c r="HH581" s="27" t="s">
        <v>7</v>
      </c>
      <c r="HM581" s="27" t="s">
        <v>8</v>
      </c>
      <c r="HU581" s="27" t="s">
        <v>8</v>
      </c>
      <c r="HV581" s="27" t="s">
        <v>7</v>
      </c>
    </row>
    <row r="582" spans="1:246" x14ac:dyDescent="0.25">
      <c r="A582" s="7">
        <v>1.1040808032</v>
      </c>
      <c r="B582"/>
      <c r="C582"/>
      <c r="D582"/>
      <c r="E582"/>
      <c r="CK582" s="27" t="s">
        <v>8</v>
      </c>
      <c r="CL582" s="27" t="s">
        <v>7</v>
      </c>
      <c r="CM582" s="27" t="s">
        <v>8</v>
      </c>
      <c r="CN582" s="27" t="s">
        <v>7</v>
      </c>
      <c r="CO582" s="27" t="s">
        <v>8</v>
      </c>
      <c r="CP582" s="27" t="s">
        <v>7</v>
      </c>
      <c r="CQ582" s="27" t="s">
        <v>8</v>
      </c>
      <c r="CR582" s="27" t="s">
        <v>7</v>
      </c>
      <c r="CS582" s="27" t="s">
        <v>8</v>
      </c>
      <c r="DF582" s="27" t="s">
        <v>7</v>
      </c>
      <c r="DH582" s="27" t="s">
        <v>7</v>
      </c>
      <c r="DO582" s="27" t="s">
        <v>8</v>
      </c>
      <c r="DP582" s="27" t="s">
        <v>7</v>
      </c>
      <c r="DQ582" s="27" t="s">
        <v>8</v>
      </c>
      <c r="DV582" s="27" t="s">
        <v>7</v>
      </c>
      <c r="DW582" s="27" t="s">
        <v>8</v>
      </c>
      <c r="DX582" s="27" t="s">
        <v>7</v>
      </c>
      <c r="GA582" s="27" t="s">
        <v>8</v>
      </c>
      <c r="GB582" s="27" t="s">
        <v>7</v>
      </c>
      <c r="GC582" s="27" t="s">
        <v>8</v>
      </c>
      <c r="GD582" s="27" t="s">
        <v>7</v>
      </c>
      <c r="GE582" s="27" t="s">
        <v>8</v>
      </c>
      <c r="GF582" s="27" t="s">
        <v>7</v>
      </c>
      <c r="GG582" s="27" t="s">
        <v>8</v>
      </c>
      <c r="GH582" s="27" t="s">
        <v>7</v>
      </c>
      <c r="GU582" s="27" t="s">
        <v>8</v>
      </c>
      <c r="GV582" s="27" t="s">
        <v>7</v>
      </c>
      <c r="GW582" s="27" t="s">
        <v>8</v>
      </c>
      <c r="GX582" s="27" t="s">
        <v>7</v>
      </c>
      <c r="GY582" s="27" t="s">
        <v>8</v>
      </c>
      <c r="GZ582" s="27" t="s">
        <v>7</v>
      </c>
      <c r="HA582" s="27" t="s">
        <v>8</v>
      </c>
      <c r="HB582" s="27" t="s">
        <v>7</v>
      </c>
      <c r="HG582" s="27" t="s">
        <v>8</v>
      </c>
      <c r="HH582" s="27" t="s">
        <v>7</v>
      </c>
      <c r="HM582" s="27" t="s">
        <v>8</v>
      </c>
      <c r="HN582" s="27" t="s">
        <v>7</v>
      </c>
      <c r="HU582" s="27" t="s">
        <v>8</v>
      </c>
      <c r="HV582" s="27" t="s">
        <v>7</v>
      </c>
    </row>
    <row r="583" spans="1:246" x14ac:dyDescent="0.25">
      <c r="A583" s="7">
        <v>1.08243216</v>
      </c>
      <c r="B583"/>
      <c r="C583"/>
      <c r="D583"/>
      <c r="E583"/>
      <c r="CK583" s="27" t="s">
        <v>8</v>
      </c>
      <c r="CL583" s="27" t="s">
        <v>7</v>
      </c>
      <c r="CM583" s="27" t="s">
        <v>8</v>
      </c>
      <c r="CN583" s="27" t="s">
        <v>7</v>
      </c>
      <c r="CO583" s="27" t="s">
        <v>8</v>
      </c>
      <c r="CP583" s="27" t="s">
        <v>7</v>
      </c>
      <c r="CQ583" s="27" t="s">
        <v>8</v>
      </c>
      <c r="CR583" s="27" t="s">
        <v>7</v>
      </c>
      <c r="CS583" s="27" t="s">
        <v>8</v>
      </c>
      <c r="DH583" s="27" t="s">
        <v>7</v>
      </c>
      <c r="DI583" s="27" t="s">
        <v>8</v>
      </c>
      <c r="DO583" s="27" t="s">
        <v>8</v>
      </c>
      <c r="DP583" s="27" t="s">
        <v>7</v>
      </c>
      <c r="DQ583" s="27" t="s">
        <v>8</v>
      </c>
      <c r="DV583" s="27" t="s">
        <v>7</v>
      </c>
      <c r="DW583" s="27" t="s">
        <v>8</v>
      </c>
      <c r="DX583" s="27" t="s">
        <v>7</v>
      </c>
      <c r="GA583" s="27" t="s">
        <v>8</v>
      </c>
      <c r="GB583" s="27" t="s">
        <v>7</v>
      </c>
      <c r="GC583" s="27" t="s">
        <v>8</v>
      </c>
      <c r="GD583" s="27" t="s">
        <v>7</v>
      </c>
      <c r="GE583" s="27" t="s">
        <v>8</v>
      </c>
      <c r="GF583" s="27" t="s">
        <v>7</v>
      </c>
      <c r="GG583" s="27" t="s">
        <v>8</v>
      </c>
      <c r="GH583" s="27" t="s">
        <v>7</v>
      </c>
      <c r="GU583" s="27" t="s">
        <v>8</v>
      </c>
      <c r="GV583" s="27" t="s">
        <v>7</v>
      </c>
      <c r="GW583" s="27" t="s">
        <v>8</v>
      </c>
      <c r="GX583" s="27" t="s">
        <v>7</v>
      </c>
      <c r="GY583" s="27" t="s">
        <v>8</v>
      </c>
      <c r="GZ583" s="27" t="s">
        <v>7</v>
      </c>
      <c r="HA583" s="27" t="s">
        <v>8</v>
      </c>
      <c r="HB583" s="27" t="s">
        <v>7</v>
      </c>
      <c r="HG583" s="27" t="s">
        <v>8</v>
      </c>
      <c r="HH583" s="27" t="s">
        <v>7</v>
      </c>
      <c r="HM583" s="27" t="s">
        <v>8</v>
      </c>
      <c r="HN583" s="27" t="s">
        <v>7</v>
      </c>
      <c r="HO583" s="27" t="s">
        <v>8</v>
      </c>
      <c r="HU583" s="27" t="s">
        <v>8</v>
      </c>
      <c r="HV583" s="27" t="s">
        <v>7</v>
      </c>
    </row>
    <row r="584" spans="1:246" x14ac:dyDescent="0.25">
      <c r="A584" s="7">
        <v>1.0612079999999999</v>
      </c>
      <c r="B584"/>
      <c r="C584"/>
      <c r="D584"/>
      <c r="E584"/>
      <c r="CK584" s="27" t="s">
        <v>8</v>
      </c>
      <c r="CL584" s="27" t="s">
        <v>7</v>
      </c>
      <c r="CM584" s="27" t="s">
        <v>8</v>
      </c>
      <c r="CN584" s="27" t="s">
        <v>7</v>
      </c>
      <c r="CO584" s="27" t="s">
        <v>8</v>
      </c>
      <c r="CP584" s="27" t="s">
        <v>7</v>
      </c>
      <c r="CQ584" s="27" t="s">
        <v>8</v>
      </c>
      <c r="CR584" s="27" t="s">
        <v>7</v>
      </c>
      <c r="CS584" s="27" t="s">
        <v>8</v>
      </c>
      <c r="DH584" s="27" t="s">
        <v>7</v>
      </c>
      <c r="DI584" s="27" t="s">
        <v>8</v>
      </c>
      <c r="DJ584" s="27" t="s">
        <v>7</v>
      </c>
      <c r="DO584" s="27" t="s">
        <v>8</v>
      </c>
      <c r="DP584" s="27" t="s">
        <v>7</v>
      </c>
      <c r="DQ584" s="27" t="s">
        <v>8</v>
      </c>
      <c r="DV584" s="27" t="s">
        <v>7</v>
      </c>
      <c r="DW584" s="27" t="s">
        <v>8</v>
      </c>
      <c r="DX584" s="27" t="s">
        <v>7</v>
      </c>
      <c r="GA584" s="27" t="s">
        <v>8</v>
      </c>
      <c r="GB584" s="27" t="s">
        <v>7</v>
      </c>
      <c r="GC584" s="27" t="s">
        <v>8</v>
      </c>
      <c r="GD584" s="27" t="s">
        <v>7</v>
      </c>
      <c r="GE584" s="27" t="s">
        <v>8</v>
      </c>
      <c r="GF584" s="27" t="s">
        <v>7</v>
      </c>
      <c r="GG584" s="27" t="s">
        <v>8</v>
      </c>
      <c r="GH584" s="27" t="s">
        <v>7</v>
      </c>
      <c r="GU584" s="27" t="s">
        <v>8</v>
      </c>
      <c r="GV584" s="27" t="s">
        <v>7</v>
      </c>
      <c r="GW584" s="27" t="s">
        <v>8</v>
      </c>
      <c r="GX584" s="27" t="s">
        <v>7</v>
      </c>
      <c r="GY584" s="27" t="s">
        <v>8</v>
      </c>
      <c r="GZ584" s="27" t="s">
        <v>7</v>
      </c>
      <c r="HA584" s="27" t="s">
        <v>8</v>
      </c>
      <c r="HB584" s="27" t="s">
        <v>7</v>
      </c>
      <c r="HG584" s="27" t="s">
        <v>8</v>
      </c>
      <c r="HH584" s="27" t="s">
        <v>7</v>
      </c>
      <c r="HI584" s="27" t="s">
        <v>8</v>
      </c>
      <c r="HK584" s="27" t="s">
        <v>8</v>
      </c>
      <c r="HM584" s="27" t="s">
        <v>8</v>
      </c>
      <c r="HN584" s="27" t="s">
        <v>7</v>
      </c>
      <c r="HO584" s="27" t="s">
        <v>8</v>
      </c>
      <c r="HP584" s="27" t="s">
        <v>7</v>
      </c>
      <c r="HU584" s="27" t="s">
        <v>8</v>
      </c>
      <c r="HV584" s="27" t="s">
        <v>7</v>
      </c>
    </row>
    <row r="585" spans="1:246" x14ac:dyDescent="0.25">
      <c r="A585" s="7">
        <v>1.0404</v>
      </c>
      <c r="B585"/>
      <c r="C585"/>
      <c r="D585"/>
      <c r="E585"/>
      <c r="CK585" s="27" t="s">
        <v>8</v>
      </c>
      <c r="CL585" s="27" t="s">
        <v>7</v>
      </c>
      <c r="CM585" s="27" t="s">
        <v>8</v>
      </c>
      <c r="CN585" s="27" t="s">
        <v>7</v>
      </c>
      <c r="CO585" s="27" t="s">
        <v>8</v>
      </c>
      <c r="CP585" s="27" t="s">
        <v>7</v>
      </c>
      <c r="CQ585" s="27" t="s">
        <v>8</v>
      </c>
      <c r="CR585" s="27" t="s">
        <v>7</v>
      </c>
      <c r="CS585" s="27" t="s">
        <v>8</v>
      </c>
      <c r="DH585" s="27" t="s">
        <v>7</v>
      </c>
      <c r="DI585" s="27" t="s">
        <v>8</v>
      </c>
      <c r="DJ585" s="27" t="s">
        <v>7</v>
      </c>
      <c r="DO585" s="27" t="s">
        <v>8</v>
      </c>
      <c r="DP585" s="27" t="s">
        <v>7</v>
      </c>
      <c r="DQ585" s="27" t="s">
        <v>8</v>
      </c>
      <c r="DV585" s="27" t="s">
        <v>7</v>
      </c>
      <c r="DW585" s="27" t="s">
        <v>8</v>
      </c>
      <c r="DX585" s="27" t="s">
        <v>7</v>
      </c>
      <c r="GA585" s="27" t="s">
        <v>8</v>
      </c>
      <c r="GB585" s="27" t="s">
        <v>7</v>
      </c>
      <c r="GC585" s="27" t="s">
        <v>8</v>
      </c>
      <c r="GD585" s="27" t="s">
        <v>7</v>
      </c>
      <c r="GE585" s="27" t="s">
        <v>8</v>
      </c>
      <c r="GF585" s="27" t="s">
        <v>7</v>
      </c>
      <c r="GG585" s="27" t="s">
        <v>8</v>
      </c>
      <c r="GH585" s="27" t="s">
        <v>7</v>
      </c>
      <c r="GU585" s="27" t="s">
        <v>8</v>
      </c>
      <c r="GV585" s="27" t="s">
        <v>7</v>
      </c>
      <c r="GW585" s="27" t="s">
        <v>8</v>
      </c>
      <c r="GX585" s="27" t="s">
        <v>7</v>
      </c>
      <c r="GY585" s="27" t="s">
        <v>8</v>
      </c>
      <c r="GZ585" s="27" t="s">
        <v>7</v>
      </c>
      <c r="HA585" s="27" t="s">
        <v>8</v>
      </c>
      <c r="HB585" s="27" t="s">
        <v>7</v>
      </c>
      <c r="HG585" s="27" t="s">
        <v>8</v>
      </c>
      <c r="HH585" s="27" t="s">
        <v>7</v>
      </c>
      <c r="HI585" s="27" t="s">
        <v>8</v>
      </c>
      <c r="HJ585" s="27" t="s">
        <v>7</v>
      </c>
      <c r="HK585" s="27" t="s">
        <v>8</v>
      </c>
      <c r="HL585" s="27" t="s">
        <v>7</v>
      </c>
      <c r="HM585" s="27" t="s">
        <v>8</v>
      </c>
      <c r="HN585" s="27" t="s">
        <v>7</v>
      </c>
      <c r="HO585" s="27" t="s">
        <v>8</v>
      </c>
      <c r="HP585" s="27" t="s">
        <v>7</v>
      </c>
      <c r="HU585" s="27" t="s">
        <v>8</v>
      </c>
      <c r="HV585" s="27" t="s">
        <v>7</v>
      </c>
    </row>
    <row r="586" spans="1:246" x14ac:dyDescent="0.25">
      <c r="A586" s="7">
        <v>1.02</v>
      </c>
      <c r="B586"/>
      <c r="C586"/>
      <c r="D586"/>
      <c r="E586"/>
      <c r="CK586" s="27" t="s">
        <v>8</v>
      </c>
      <c r="CL586" s="27" t="s">
        <v>7</v>
      </c>
      <c r="CM586" s="27" t="s">
        <v>8</v>
      </c>
      <c r="CN586" s="27" t="s">
        <v>7</v>
      </c>
      <c r="CP586" s="27" t="s">
        <v>7</v>
      </c>
      <c r="CR586" s="27" t="s">
        <v>7</v>
      </c>
      <c r="CS586" s="27" t="s">
        <v>8</v>
      </c>
      <c r="DH586" s="27" t="s">
        <v>7</v>
      </c>
      <c r="DI586" s="27" t="s">
        <v>8</v>
      </c>
      <c r="DJ586" s="27" t="s">
        <v>7</v>
      </c>
      <c r="DO586" s="27" t="s">
        <v>8</v>
      </c>
      <c r="DP586" s="27" t="s">
        <v>7</v>
      </c>
      <c r="DQ586" s="27" t="s">
        <v>8</v>
      </c>
      <c r="DV586" s="27" t="s">
        <v>7</v>
      </c>
      <c r="DW586" s="27" t="s">
        <v>8</v>
      </c>
      <c r="DX586" s="27" t="s">
        <v>7</v>
      </c>
      <c r="GA586" s="27" t="s">
        <v>8</v>
      </c>
      <c r="GB586" s="27" t="s">
        <v>7</v>
      </c>
      <c r="GC586" s="27" t="s">
        <v>8</v>
      </c>
      <c r="GD586" s="27" t="s">
        <v>7</v>
      </c>
      <c r="GE586" s="27" t="s">
        <v>8</v>
      </c>
      <c r="GF586" s="27" t="s">
        <v>7</v>
      </c>
      <c r="GG586" s="27" t="s">
        <v>8</v>
      </c>
      <c r="GH586" s="27" t="s">
        <v>7</v>
      </c>
      <c r="GM586" s="27" t="s">
        <v>8</v>
      </c>
      <c r="GU586" s="27" t="s">
        <v>8</v>
      </c>
      <c r="GV586" s="27" t="s">
        <v>7</v>
      </c>
      <c r="GW586" s="27" t="s">
        <v>8</v>
      </c>
      <c r="GX586" s="27" t="s">
        <v>7</v>
      </c>
      <c r="GY586" s="27" t="s">
        <v>8</v>
      </c>
      <c r="GZ586" s="27" t="s">
        <v>7</v>
      </c>
      <c r="HB586" s="27" t="s">
        <v>7</v>
      </c>
      <c r="HC586" s="27" t="s">
        <v>8</v>
      </c>
      <c r="HE586" s="27" t="s">
        <v>8</v>
      </c>
      <c r="HG586" s="27" t="s">
        <v>8</v>
      </c>
      <c r="HH586" s="27" t="s">
        <v>7</v>
      </c>
      <c r="HI586" s="27" t="s">
        <v>8</v>
      </c>
      <c r="HJ586" s="27" t="s">
        <v>7</v>
      </c>
      <c r="HK586" s="27" t="s">
        <v>8</v>
      </c>
      <c r="HL586" s="27" t="s">
        <v>7</v>
      </c>
      <c r="HM586" s="27" t="s">
        <v>8</v>
      </c>
      <c r="HN586" s="27" t="s">
        <v>7</v>
      </c>
      <c r="HO586" s="27" t="s">
        <v>8</v>
      </c>
      <c r="HP586" s="27" t="s">
        <v>7</v>
      </c>
      <c r="HU586" s="27" t="s">
        <v>8</v>
      </c>
      <c r="HV586" s="27" t="s">
        <v>7</v>
      </c>
    </row>
    <row r="587" spans="1:246" x14ac:dyDescent="0.25">
      <c r="A587" s="7">
        <v>1</v>
      </c>
      <c r="B587"/>
      <c r="C587"/>
      <c r="D587"/>
      <c r="E587" s="29" t="s">
        <v>8</v>
      </c>
      <c r="CK587" s="27" t="s">
        <v>8</v>
      </c>
      <c r="CL587" s="27" t="s">
        <v>7</v>
      </c>
      <c r="CM587" s="27" t="s">
        <v>8</v>
      </c>
      <c r="CR587" s="27" t="s">
        <v>7</v>
      </c>
      <c r="CS587" s="27" t="s">
        <v>8</v>
      </c>
      <c r="DH587" s="27" t="s">
        <v>7</v>
      </c>
      <c r="DI587" s="27" t="s">
        <v>8</v>
      </c>
      <c r="DJ587" s="27" t="s">
        <v>7</v>
      </c>
      <c r="DO587" s="27" t="s">
        <v>8</v>
      </c>
      <c r="DP587" s="27" t="s">
        <v>7</v>
      </c>
      <c r="DQ587" s="27" t="s">
        <v>8</v>
      </c>
      <c r="DV587" s="27" t="s">
        <v>7</v>
      </c>
      <c r="DW587" s="27" t="s">
        <v>8</v>
      </c>
      <c r="DX587" s="27" t="s">
        <v>7</v>
      </c>
      <c r="GA587" s="27" t="s">
        <v>8</v>
      </c>
      <c r="GB587" s="27" t="s">
        <v>7</v>
      </c>
      <c r="GC587" s="27" t="s">
        <v>8</v>
      </c>
      <c r="GD587" s="27" t="s">
        <v>7</v>
      </c>
      <c r="GE587" s="27" t="s">
        <v>8</v>
      </c>
      <c r="GF587" s="27" t="s">
        <v>7</v>
      </c>
      <c r="GG587" s="27" t="s">
        <v>8</v>
      </c>
      <c r="GH587" s="27" t="s">
        <v>7</v>
      </c>
      <c r="GM587" s="27" t="s">
        <v>8</v>
      </c>
      <c r="GN587" s="27" t="s">
        <v>7</v>
      </c>
      <c r="GU587" s="27" t="s">
        <v>8</v>
      </c>
      <c r="GV587" s="27" t="s">
        <v>7</v>
      </c>
      <c r="GW587" s="27" t="s">
        <v>8</v>
      </c>
      <c r="GX587" s="27" t="s">
        <v>7</v>
      </c>
      <c r="GY587" s="27" t="s">
        <v>8</v>
      </c>
      <c r="HB587" s="27" t="s">
        <v>7</v>
      </c>
      <c r="HC587" s="27" t="s">
        <v>8</v>
      </c>
      <c r="HD587" s="27" t="s">
        <v>7</v>
      </c>
      <c r="HE587" s="27" t="s">
        <v>8</v>
      </c>
      <c r="HF587" s="27" t="s">
        <v>7</v>
      </c>
      <c r="HG587" s="27" t="s">
        <v>8</v>
      </c>
      <c r="HH587" s="27" t="s">
        <v>7</v>
      </c>
      <c r="HI587" s="27" t="s">
        <v>8</v>
      </c>
      <c r="HJ587" s="27" t="s">
        <v>7</v>
      </c>
      <c r="HL587" s="27" t="s">
        <v>7</v>
      </c>
      <c r="HM587" s="27" t="s">
        <v>8</v>
      </c>
      <c r="HN587" s="27" t="s">
        <v>7</v>
      </c>
      <c r="HO587" s="27" t="s">
        <v>8</v>
      </c>
      <c r="HP587" s="27" t="s">
        <v>7</v>
      </c>
      <c r="HU587" s="27" t="s">
        <v>8</v>
      </c>
      <c r="HV587" s="27" t="s">
        <v>7</v>
      </c>
    </row>
    <row r="588" spans="1:246" x14ac:dyDescent="0.25">
      <c r="A588" s="7">
        <v>0.98039215686274506</v>
      </c>
      <c r="B588"/>
      <c r="C588"/>
      <c r="D588"/>
      <c r="E588"/>
      <c r="F588" s="27" t="s">
        <v>7</v>
      </c>
      <c r="CK588" s="27" t="s">
        <v>8</v>
      </c>
      <c r="CL588" s="27" t="s">
        <v>7</v>
      </c>
      <c r="CM588" s="27" t="s">
        <v>8</v>
      </c>
      <c r="CR588" s="27" t="s">
        <v>7</v>
      </c>
      <c r="CS588" s="27" t="s">
        <v>8</v>
      </c>
      <c r="DH588" s="27" t="s">
        <v>7</v>
      </c>
      <c r="DI588" s="27" t="s">
        <v>8</v>
      </c>
      <c r="DJ588" s="27" t="s">
        <v>7</v>
      </c>
      <c r="DM588" s="27" t="s">
        <v>8</v>
      </c>
      <c r="DO588" s="27" t="s">
        <v>8</v>
      </c>
      <c r="DP588" s="27" t="s">
        <v>7</v>
      </c>
      <c r="DQ588" s="27" t="s">
        <v>8</v>
      </c>
      <c r="DV588" s="27" t="s">
        <v>7</v>
      </c>
      <c r="DX588" s="27" t="s">
        <v>7</v>
      </c>
      <c r="GA588" s="27" t="s">
        <v>8</v>
      </c>
      <c r="GB588" s="27" t="s">
        <v>7</v>
      </c>
      <c r="GC588" s="27" t="s">
        <v>8</v>
      </c>
      <c r="GD588" s="27" t="s">
        <v>7</v>
      </c>
      <c r="GE588" s="27" t="s">
        <v>8</v>
      </c>
      <c r="GF588" s="27" t="s">
        <v>7</v>
      </c>
      <c r="GG588" s="27" t="s">
        <v>8</v>
      </c>
      <c r="GH588" s="27" t="s">
        <v>7</v>
      </c>
      <c r="GM588" s="27" t="s">
        <v>8</v>
      </c>
      <c r="GN588" s="27" t="s">
        <v>7</v>
      </c>
      <c r="GS588" s="27" t="s">
        <v>8</v>
      </c>
      <c r="GU588" s="27" t="s">
        <v>8</v>
      </c>
      <c r="GV588" s="27" t="s">
        <v>7</v>
      </c>
      <c r="GW588" s="27" t="s">
        <v>8</v>
      </c>
      <c r="GX588" s="27" t="s">
        <v>7</v>
      </c>
      <c r="HB588" s="27" t="s">
        <v>7</v>
      </c>
      <c r="HC588" s="27" t="s">
        <v>8</v>
      </c>
      <c r="HD588" s="27" t="s">
        <v>7</v>
      </c>
      <c r="HE588" s="27" t="s">
        <v>8</v>
      </c>
      <c r="HF588" s="27" t="s">
        <v>7</v>
      </c>
      <c r="HG588" s="27" t="s">
        <v>8</v>
      </c>
      <c r="HH588" s="27" t="s">
        <v>7</v>
      </c>
      <c r="HI588" s="27" t="s">
        <v>8</v>
      </c>
      <c r="HL588" s="27" t="s">
        <v>7</v>
      </c>
      <c r="HM588" s="27" t="s">
        <v>8</v>
      </c>
      <c r="HN588" s="27" t="s">
        <v>7</v>
      </c>
      <c r="HO588" s="27" t="s">
        <v>8</v>
      </c>
      <c r="HP588" s="27" t="s">
        <v>7</v>
      </c>
      <c r="HU588" s="27" t="s">
        <v>8</v>
      </c>
      <c r="HV588" s="27" t="s">
        <v>7</v>
      </c>
    </row>
    <row r="589" spans="1:246" x14ac:dyDescent="0.25">
      <c r="A589" s="7">
        <v>0.96116878123798544</v>
      </c>
      <c r="B589"/>
      <c r="C589"/>
      <c r="D589"/>
      <c r="E589"/>
      <c r="F589" s="27" t="s">
        <v>7</v>
      </c>
      <c r="AQ589" s="27" t="s">
        <v>8</v>
      </c>
      <c r="CK589" s="27" t="s">
        <v>8</v>
      </c>
      <c r="CL589" s="27" t="s">
        <v>7</v>
      </c>
      <c r="CM589" s="27" t="s">
        <v>8</v>
      </c>
      <c r="CR589" s="27" t="s">
        <v>7</v>
      </c>
      <c r="CS589" s="27" t="s">
        <v>8</v>
      </c>
      <c r="DH589" s="27" t="s">
        <v>7</v>
      </c>
      <c r="DI589" s="27" t="s">
        <v>8</v>
      </c>
      <c r="DJ589" s="27" t="s">
        <v>7</v>
      </c>
      <c r="DM589" s="27" t="s">
        <v>8</v>
      </c>
      <c r="DN589" s="27" t="s">
        <v>7</v>
      </c>
      <c r="DO589" s="27" t="s">
        <v>8</v>
      </c>
      <c r="DP589" s="27" t="s">
        <v>7</v>
      </c>
      <c r="DQ589" s="27" t="s">
        <v>8</v>
      </c>
      <c r="DX589" s="27" t="s">
        <v>7</v>
      </c>
      <c r="DY589" s="27" t="s">
        <v>8</v>
      </c>
      <c r="GA589" s="27" t="s">
        <v>8</v>
      </c>
      <c r="GB589" s="27" t="s">
        <v>7</v>
      </c>
      <c r="GC589" s="27" t="s">
        <v>8</v>
      </c>
      <c r="GD589" s="27" t="s">
        <v>7</v>
      </c>
      <c r="GE589" s="27" t="s">
        <v>8</v>
      </c>
      <c r="GF589" s="27" t="s">
        <v>7</v>
      </c>
      <c r="GG589" s="27" t="s">
        <v>8</v>
      </c>
      <c r="GH589" s="27" t="s">
        <v>7</v>
      </c>
      <c r="GM589" s="27" t="s">
        <v>8</v>
      </c>
      <c r="GN589" s="27" t="s">
        <v>7</v>
      </c>
      <c r="GS589" s="27" t="s">
        <v>8</v>
      </c>
      <c r="GT589" s="27" t="s">
        <v>7</v>
      </c>
      <c r="GU589" s="27" t="s">
        <v>8</v>
      </c>
      <c r="GV589" s="27" t="s">
        <v>7</v>
      </c>
      <c r="GW589" s="27" t="s">
        <v>8</v>
      </c>
      <c r="HB589" s="27" t="s">
        <v>7</v>
      </c>
      <c r="HC589" s="27" t="s">
        <v>8</v>
      </c>
      <c r="HD589" s="27" t="s">
        <v>7</v>
      </c>
      <c r="HF589" s="27" t="s">
        <v>7</v>
      </c>
      <c r="HH589" s="27" t="s">
        <v>7</v>
      </c>
      <c r="HI589" s="27" t="s">
        <v>8</v>
      </c>
      <c r="HL589" s="27" t="s">
        <v>7</v>
      </c>
      <c r="HM589" s="27" t="s">
        <v>8</v>
      </c>
      <c r="HN589" s="27" t="s">
        <v>7</v>
      </c>
      <c r="HO589" s="27" t="s">
        <v>8</v>
      </c>
      <c r="HP589" s="27" t="s">
        <v>7</v>
      </c>
      <c r="HU589" s="27" t="s">
        <v>8</v>
      </c>
      <c r="HV589" s="27" t="s">
        <v>7</v>
      </c>
      <c r="IK589" s="27" t="s">
        <v>8</v>
      </c>
    </row>
    <row r="590" spans="1:246" x14ac:dyDescent="0.25">
      <c r="A590" s="7">
        <v>0.94232233454704462</v>
      </c>
      <c r="B590"/>
      <c r="C590"/>
      <c r="D590"/>
      <c r="E590"/>
      <c r="F590" s="27" t="s">
        <v>7</v>
      </c>
      <c r="AQ590" s="27" t="s">
        <v>8</v>
      </c>
      <c r="AR590" s="27" t="s">
        <v>7</v>
      </c>
      <c r="BW590" s="27" t="s">
        <v>8</v>
      </c>
      <c r="CK590" s="27" t="s">
        <v>8</v>
      </c>
      <c r="CL590" s="27" t="s">
        <v>7</v>
      </c>
      <c r="CM590" s="27" t="s">
        <v>8</v>
      </c>
      <c r="CR590" s="27" t="s">
        <v>7</v>
      </c>
      <c r="DH590" s="27" t="s">
        <v>7</v>
      </c>
      <c r="DI590" s="27" t="s">
        <v>8</v>
      </c>
      <c r="DJ590" s="27" t="s">
        <v>7</v>
      </c>
      <c r="DM590" s="27" t="s">
        <v>8</v>
      </c>
      <c r="DN590" s="27" t="s">
        <v>7</v>
      </c>
      <c r="DO590" s="27" t="s">
        <v>8</v>
      </c>
      <c r="DP590" s="27" t="s">
        <v>7</v>
      </c>
      <c r="DX590" s="27" t="s">
        <v>7</v>
      </c>
      <c r="DY590" s="27" t="s">
        <v>8</v>
      </c>
      <c r="DZ590" s="27" t="s">
        <v>7</v>
      </c>
      <c r="GA590" s="27" t="s">
        <v>8</v>
      </c>
      <c r="GB590" s="27" t="s">
        <v>7</v>
      </c>
      <c r="GC590" s="27" t="s">
        <v>8</v>
      </c>
      <c r="GD590" s="27" t="s">
        <v>7</v>
      </c>
      <c r="GE590" s="27" t="s">
        <v>8</v>
      </c>
      <c r="GF590" s="27" t="s">
        <v>7</v>
      </c>
      <c r="GG590" s="27" t="s">
        <v>8</v>
      </c>
      <c r="GH590" s="27" t="s">
        <v>7</v>
      </c>
      <c r="GM590" s="27" t="s">
        <v>8</v>
      </c>
      <c r="GN590" s="27" t="s">
        <v>7</v>
      </c>
      <c r="GO590" s="27" t="s">
        <v>8</v>
      </c>
      <c r="GS590" s="27" t="s">
        <v>8</v>
      </c>
      <c r="GT590" s="27" t="s">
        <v>7</v>
      </c>
      <c r="GU590" s="27" t="s">
        <v>8</v>
      </c>
      <c r="GV590" s="27" t="s">
        <v>7</v>
      </c>
      <c r="GW590" s="27" t="s">
        <v>8</v>
      </c>
      <c r="HB590" s="27" t="s">
        <v>7</v>
      </c>
      <c r="HC590" s="27" t="s">
        <v>8</v>
      </c>
      <c r="HH590" s="27" t="s">
        <v>7</v>
      </c>
      <c r="HL590" s="27" t="s">
        <v>7</v>
      </c>
      <c r="HN590" s="27" t="s">
        <v>7</v>
      </c>
      <c r="HO590" s="27" t="s">
        <v>8</v>
      </c>
      <c r="HP590" s="27" t="s">
        <v>7</v>
      </c>
      <c r="HQ590" s="27" t="s">
        <v>8</v>
      </c>
      <c r="HS590" s="27" t="s">
        <v>8</v>
      </c>
      <c r="HU590" s="27" t="s">
        <v>8</v>
      </c>
      <c r="HV590" s="27" t="s">
        <v>7</v>
      </c>
      <c r="IK590" s="27" t="s">
        <v>8</v>
      </c>
      <c r="IL590" s="27" t="s">
        <v>7</v>
      </c>
    </row>
    <row r="591" spans="1:246" x14ac:dyDescent="0.25">
      <c r="A591" s="7">
        <v>0.92384542602651432</v>
      </c>
      <c r="B591"/>
      <c r="C591"/>
      <c r="D591"/>
      <c r="E591"/>
      <c r="F591" s="27" t="s">
        <v>7</v>
      </c>
      <c r="AQ591" s="27" t="s">
        <v>8</v>
      </c>
      <c r="AR591" s="27" t="s">
        <v>7</v>
      </c>
      <c r="BW591" s="27" t="s">
        <v>8</v>
      </c>
      <c r="BX591" s="27" t="s">
        <v>7</v>
      </c>
      <c r="CK591" s="27" t="s">
        <v>8</v>
      </c>
      <c r="CL591" s="27" t="s">
        <v>7</v>
      </c>
      <c r="CM591" s="27" t="s">
        <v>8</v>
      </c>
      <c r="DH591" s="27" t="s">
        <v>7</v>
      </c>
      <c r="DI591" s="27" t="s">
        <v>8</v>
      </c>
      <c r="DJ591" s="27" t="s">
        <v>7</v>
      </c>
      <c r="DM591" s="27" t="s">
        <v>8</v>
      </c>
      <c r="DN591" s="27" t="s">
        <v>7</v>
      </c>
      <c r="DO591" s="27" t="s">
        <v>8</v>
      </c>
      <c r="DX591" s="27" t="s">
        <v>7</v>
      </c>
      <c r="DY591" s="27" t="s">
        <v>8</v>
      </c>
      <c r="DZ591" s="27" t="s">
        <v>7</v>
      </c>
      <c r="GA591" s="27" t="s">
        <v>8</v>
      </c>
      <c r="GB591" s="27" t="s">
        <v>7</v>
      </c>
      <c r="GC591" s="27" t="s">
        <v>8</v>
      </c>
      <c r="GD591" s="27" t="s">
        <v>7</v>
      </c>
      <c r="GF591" s="27" t="s">
        <v>7</v>
      </c>
      <c r="GG591" s="27" t="s">
        <v>8</v>
      </c>
      <c r="GH591" s="27" t="s">
        <v>7</v>
      </c>
      <c r="GM591" s="27" t="s">
        <v>8</v>
      </c>
      <c r="GN591" s="27" t="s">
        <v>7</v>
      </c>
      <c r="GO591" s="27" t="s">
        <v>8</v>
      </c>
      <c r="GP591" s="27" t="s">
        <v>7</v>
      </c>
      <c r="GS591" s="27" t="s">
        <v>8</v>
      </c>
      <c r="GT591" s="27" t="s">
        <v>7</v>
      </c>
      <c r="GU591" s="27" t="s">
        <v>8</v>
      </c>
      <c r="GV591" s="27" t="s">
        <v>7</v>
      </c>
      <c r="HB591" s="27" t="s">
        <v>7</v>
      </c>
      <c r="HC591" s="27" t="s">
        <v>8</v>
      </c>
      <c r="HN591" s="27" t="s">
        <v>7</v>
      </c>
      <c r="HO591" s="27" t="s">
        <v>8</v>
      </c>
      <c r="HP591" s="27" t="s">
        <v>7</v>
      </c>
      <c r="HQ591" s="27" t="s">
        <v>8</v>
      </c>
      <c r="HR591" s="27" t="s">
        <v>7</v>
      </c>
      <c r="HS591" s="27" t="s">
        <v>8</v>
      </c>
      <c r="HT591" s="27" t="s">
        <v>7</v>
      </c>
      <c r="HU591" s="27" t="s">
        <v>8</v>
      </c>
      <c r="HV591" s="27" t="s">
        <v>7</v>
      </c>
      <c r="IE591" s="27" t="s">
        <v>8</v>
      </c>
      <c r="IK591" s="27" t="s">
        <v>8</v>
      </c>
      <c r="IL591" s="27" t="s">
        <v>7</v>
      </c>
    </row>
    <row r="592" spans="1:246" x14ac:dyDescent="0.25">
      <c r="A592" s="7">
        <v>0.90573080982991594</v>
      </c>
      <c r="B592"/>
      <c r="C592"/>
      <c r="D592"/>
      <c r="E592"/>
      <c r="F592" s="27" t="s">
        <v>7</v>
      </c>
      <c r="AQ592" s="27" t="s">
        <v>8</v>
      </c>
      <c r="AR592" s="27" t="s">
        <v>7</v>
      </c>
      <c r="BW592" s="27" t="s">
        <v>8</v>
      </c>
      <c r="BX592" s="27" t="s">
        <v>7</v>
      </c>
      <c r="CK592" s="27" t="s">
        <v>8</v>
      </c>
      <c r="CL592" s="27" t="s">
        <v>7</v>
      </c>
      <c r="CM592" s="27" t="s">
        <v>8</v>
      </c>
      <c r="DH592" s="27" t="s">
        <v>7</v>
      </c>
      <c r="DI592" s="27" t="s">
        <v>8</v>
      </c>
      <c r="DJ592" s="27" t="s">
        <v>7</v>
      </c>
      <c r="DM592" s="27" t="s">
        <v>8</v>
      </c>
      <c r="DN592" s="27" t="s">
        <v>7</v>
      </c>
      <c r="DO592" s="27" t="s">
        <v>8</v>
      </c>
      <c r="DX592" s="27" t="s">
        <v>7</v>
      </c>
      <c r="DY592" s="27" t="s">
        <v>8</v>
      </c>
      <c r="DZ592" s="27" t="s">
        <v>7</v>
      </c>
      <c r="GA592" s="27" t="s">
        <v>8</v>
      </c>
      <c r="GB592" s="27" t="s">
        <v>7</v>
      </c>
      <c r="GC592" s="27" t="s">
        <v>8</v>
      </c>
      <c r="GF592" s="27" t="s">
        <v>7</v>
      </c>
      <c r="GG592" s="27" t="s">
        <v>8</v>
      </c>
      <c r="GH592" s="27" t="s">
        <v>7</v>
      </c>
      <c r="GI592" s="27" t="s">
        <v>8</v>
      </c>
      <c r="GM592" s="27" t="s">
        <v>8</v>
      </c>
      <c r="GN592" s="27" t="s">
        <v>7</v>
      </c>
      <c r="GO592" s="27" t="s">
        <v>8</v>
      </c>
      <c r="GP592" s="27" t="s">
        <v>7</v>
      </c>
      <c r="GS592" s="27" t="s">
        <v>8</v>
      </c>
      <c r="GT592" s="27" t="s">
        <v>7</v>
      </c>
      <c r="GU592" s="27" t="s">
        <v>8</v>
      </c>
      <c r="HB592" s="27" t="s">
        <v>7</v>
      </c>
      <c r="HC592" s="27" t="s">
        <v>8</v>
      </c>
      <c r="HN592" s="27" t="s">
        <v>7</v>
      </c>
      <c r="HO592" s="27" t="s">
        <v>8</v>
      </c>
      <c r="HP592" s="27" t="s">
        <v>7</v>
      </c>
      <c r="HQ592" s="27" t="s">
        <v>8</v>
      </c>
      <c r="HR592" s="27" t="s">
        <v>7</v>
      </c>
      <c r="HS592" s="27" t="s">
        <v>8</v>
      </c>
      <c r="HT592" s="27" t="s">
        <v>7</v>
      </c>
      <c r="HU592" s="27" t="s">
        <v>8</v>
      </c>
      <c r="HV592" s="27" t="s">
        <v>7</v>
      </c>
      <c r="IE592" s="27" t="s">
        <v>8</v>
      </c>
      <c r="IF592" s="27" t="s">
        <v>7</v>
      </c>
      <c r="IG592" s="27" t="s">
        <v>8</v>
      </c>
      <c r="II592" s="27" t="s">
        <v>8</v>
      </c>
      <c r="IK592" s="27" t="s">
        <v>8</v>
      </c>
      <c r="IL592" s="27" t="s">
        <v>7</v>
      </c>
    </row>
    <row r="593" spans="1:252" x14ac:dyDescent="0.25">
      <c r="A593" s="7">
        <v>0.8879713821861922</v>
      </c>
      <c r="B593"/>
      <c r="C593"/>
      <c r="D593"/>
      <c r="E593"/>
      <c r="F593" s="27" t="s">
        <v>7</v>
      </c>
      <c r="AQ593" s="27" t="s">
        <v>8</v>
      </c>
      <c r="AR593" s="27" t="s">
        <v>7</v>
      </c>
      <c r="BU593" s="27" t="s">
        <v>8</v>
      </c>
      <c r="BW593" s="27" t="s">
        <v>8</v>
      </c>
      <c r="BX593" s="27" t="s">
        <v>7</v>
      </c>
      <c r="CK593" s="27" t="s">
        <v>8</v>
      </c>
      <c r="CL593" s="27" t="s">
        <v>7</v>
      </c>
      <c r="CM593" s="27" t="s">
        <v>8</v>
      </c>
      <c r="DH593" s="27" t="s">
        <v>7</v>
      </c>
      <c r="DI593" s="27" t="s">
        <v>8</v>
      </c>
      <c r="DJ593" s="27" t="s">
        <v>7</v>
      </c>
      <c r="DM593" s="27" t="s">
        <v>8</v>
      </c>
      <c r="DN593" s="27" t="s">
        <v>7</v>
      </c>
      <c r="DO593" s="27" t="s">
        <v>8</v>
      </c>
      <c r="DX593" s="27" t="s">
        <v>7</v>
      </c>
      <c r="DY593" s="27" t="s">
        <v>8</v>
      </c>
      <c r="DZ593" s="27" t="s">
        <v>7</v>
      </c>
      <c r="GA593" s="27" t="s">
        <v>8</v>
      </c>
      <c r="GB593" s="27" t="s">
        <v>7</v>
      </c>
      <c r="GC593" s="27" t="s">
        <v>8</v>
      </c>
      <c r="GF593" s="27" t="s">
        <v>7</v>
      </c>
      <c r="GG593" s="27" t="s">
        <v>8</v>
      </c>
      <c r="GH593" s="27" t="s">
        <v>7</v>
      </c>
      <c r="GI593" s="27" t="s">
        <v>8</v>
      </c>
      <c r="GJ593" s="27" t="s">
        <v>7</v>
      </c>
      <c r="GK593" s="27" t="s">
        <v>8</v>
      </c>
      <c r="GM593" s="27" t="s">
        <v>8</v>
      </c>
      <c r="GN593" s="27" t="s">
        <v>7</v>
      </c>
      <c r="GO593" s="27" t="s">
        <v>8</v>
      </c>
      <c r="GP593" s="27" t="s">
        <v>7</v>
      </c>
      <c r="GQ593" s="27" t="s">
        <v>8</v>
      </c>
      <c r="GS593" s="27" t="s">
        <v>8</v>
      </c>
      <c r="GT593" s="27" t="s">
        <v>7</v>
      </c>
      <c r="GU593" s="27" t="s">
        <v>8</v>
      </c>
      <c r="HB593" s="27" t="s">
        <v>7</v>
      </c>
      <c r="HN593" s="27" t="s">
        <v>7</v>
      </c>
      <c r="HO593" s="27" t="s">
        <v>8</v>
      </c>
      <c r="HP593" s="27" t="s">
        <v>7</v>
      </c>
      <c r="HQ593" s="27" t="s">
        <v>8</v>
      </c>
      <c r="HR593" s="27" t="s">
        <v>7</v>
      </c>
      <c r="HS593" s="27" t="s">
        <v>8</v>
      </c>
      <c r="HT593" s="27" t="s">
        <v>7</v>
      </c>
      <c r="HU593" s="27" t="s">
        <v>8</v>
      </c>
      <c r="HV593" s="27" t="s">
        <v>7</v>
      </c>
      <c r="IE593" s="27" t="s">
        <v>8</v>
      </c>
      <c r="IF593" s="27" t="s">
        <v>7</v>
      </c>
      <c r="IG593" s="27" t="s">
        <v>8</v>
      </c>
      <c r="IH593" s="27" t="s">
        <v>7</v>
      </c>
      <c r="II593" s="27" t="s">
        <v>8</v>
      </c>
      <c r="IJ593" s="27" t="s">
        <v>7</v>
      </c>
      <c r="IK593" s="27" t="s">
        <v>8</v>
      </c>
      <c r="IL593" s="27" t="s">
        <v>7</v>
      </c>
    </row>
    <row r="594" spans="1:252" x14ac:dyDescent="0.25">
      <c r="A594" s="7">
        <v>0.87056017861391399</v>
      </c>
      <c r="B594"/>
      <c r="C594"/>
      <c r="D594"/>
      <c r="E594"/>
      <c r="F594" s="27" t="s">
        <v>7</v>
      </c>
      <c r="AQ594" s="27" t="s">
        <v>8</v>
      </c>
      <c r="AR594" s="27" t="s">
        <v>7</v>
      </c>
      <c r="BU594" s="27" t="s">
        <v>8</v>
      </c>
      <c r="BV594" s="27" t="s">
        <v>7</v>
      </c>
      <c r="BW594" s="27" t="s">
        <v>8</v>
      </c>
      <c r="BX594" s="27" t="s">
        <v>7</v>
      </c>
      <c r="CK594" s="27" t="s">
        <v>8</v>
      </c>
      <c r="CL594" s="27" t="s">
        <v>7</v>
      </c>
      <c r="CM594" s="27" t="s">
        <v>8</v>
      </c>
      <c r="DH594" s="27" t="s">
        <v>7</v>
      </c>
      <c r="DI594" s="27" t="s">
        <v>8</v>
      </c>
      <c r="DJ594" s="27" t="s">
        <v>7</v>
      </c>
      <c r="DM594" s="27" t="s">
        <v>8</v>
      </c>
      <c r="DN594" s="27" t="s">
        <v>7</v>
      </c>
      <c r="DO594" s="27" t="s">
        <v>8</v>
      </c>
      <c r="DX594" s="27" t="s">
        <v>7</v>
      </c>
      <c r="DY594" s="27" t="s">
        <v>8</v>
      </c>
      <c r="DZ594" s="27" t="s">
        <v>7</v>
      </c>
      <c r="GA594" s="27" t="s">
        <v>8</v>
      </c>
      <c r="GB594" s="27" t="s">
        <v>7</v>
      </c>
      <c r="GC594" s="27" t="s">
        <v>8</v>
      </c>
      <c r="GF594" s="27" t="s">
        <v>7</v>
      </c>
      <c r="GG594" s="27" t="s">
        <v>8</v>
      </c>
      <c r="GH594" s="27" t="s">
        <v>7</v>
      </c>
      <c r="GI594" s="27" t="s">
        <v>8</v>
      </c>
      <c r="GJ594" s="27" t="s">
        <v>7</v>
      </c>
      <c r="GK594" s="27" t="s">
        <v>8</v>
      </c>
      <c r="GL594" s="27" t="s">
        <v>7</v>
      </c>
      <c r="GM594" s="27" t="s">
        <v>8</v>
      </c>
      <c r="GN594" s="27" t="s">
        <v>7</v>
      </c>
      <c r="GP594" s="27" t="s">
        <v>7</v>
      </c>
      <c r="GQ594" s="27" t="s">
        <v>8</v>
      </c>
      <c r="GR594" s="27" t="s">
        <v>7</v>
      </c>
      <c r="GS594" s="27" t="s">
        <v>8</v>
      </c>
      <c r="GT594" s="27" t="s">
        <v>7</v>
      </c>
      <c r="GU594" s="27" t="s">
        <v>8</v>
      </c>
      <c r="HN594" s="27" t="s">
        <v>7</v>
      </c>
      <c r="HO594" s="27" t="s">
        <v>8</v>
      </c>
      <c r="HP594" s="27" t="s">
        <v>7</v>
      </c>
      <c r="HQ594" s="27" t="s">
        <v>8</v>
      </c>
      <c r="HR594" s="27" t="s">
        <v>7</v>
      </c>
      <c r="HS594" s="27" t="s">
        <v>8</v>
      </c>
      <c r="HT594" s="27" t="s">
        <v>7</v>
      </c>
      <c r="HU594" s="27" t="s">
        <v>8</v>
      </c>
      <c r="HV594" s="27" t="s">
        <v>7</v>
      </c>
      <c r="IC594" s="27" t="s">
        <v>8</v>
      </c>
      <c r="IE594" s="27" t="s">
        <v>8</v>
      </c>
      <c r="IF594" s="27" t="s">
        <v>7</v>
      </c>
      <c r="IG594" s="27" t="s">
        <v>8</v>
      </c>
      <c r="IH594" s="27" t="s">
        <v>7</v>
      </c>
      <c r="II594" s="27" t="s">
        <v>8</v>
      </c>
      <c r="IJ594" s="27" t="s">
        <v>7</v>
      </c>
      <c r="IK594" s="27" t="s">
        <v>8</v>
      </c>
      <c r="IL594" s="27" t="s">
        <v>7</v>
      </c>
    </row>
    <row r="595" spans="1:252" x14ac:dyDescent="0.25">
      <c r="A595" s="7">
        <v>0.85349037119011173</v>
      </c>
      <c r="B595"/>
      <c r="C595"/>
      <c r="D595"/>
      <c r="E595"/>
      <c r="F595" s="27" t="s">
        <v>7</v>
      </c>
      <c r="AQ595" s="27" t="s">
        <v>8</v>
      </c>
      <c r="AR595" s="27" t="s">
        <v>7</v>
      </c>
      <c r="BU595" s="27" t="s">
        <v>8</v>
      </c>
      <c r="BV595" s="27" t="s">
        <v>7</v>
      </c>
      <c r="BW595" s="27" t="s">
        <v>8</v>
      </c>
      <c r="BX595" s="27" t="s">
        <v>7</v>
      </c>
      <c r="CK595" s="27" t="s">
        <v>8</v>
      </c>
      <c r="CL595" s="27" t="s">
        <v>7</v>
      </c>
      <c r="CM595" s="27" t="s">
        <v>8</v>
      </c>
      <c r="DH595" s="27" t="s">
        <v>7</v>
      </c>
      <c r="DI595" s="27" t="s">
        <v>8</v>
      </c>
      <c r="DJ595" s="27" t="s">
        <v>7</v>
      </c>
      <c r="DM595" s="27" t="s">
        <v>8</v>
      </c>
      <c r="DN595" s="27" t="s">
        <v>7</v>
      </c>
      <c r="DO595" s="27" t="s">
        <v>8</v>
      </c>
      <c r="DX595" s="27" t="s">
        <v>7</v>
      </c>
      <c r="DZ595" s="27" t="s">
        <v>7</v>
      </c>
      <c r="GA595" s="27" t="s">
        <v>8</v>
      </c>
      <c r="GB595" s="27" t="s">
        <v>7</v>
      </c>
      <c r="GC595" s="27" t="s">
        <v>8</v>
      </c>
      <c r="GF595" s="27" t="s">
        <v>7</v>
      </c>
      <c r="GH595" s="27" t="s">
        <v>7</v>
      </c>
      <c r="GI595" s="27" t="s">
        <v>8</v>
      </c>
      <c r="GJ595" s="27" t="s">
        <v>7</v>
      </c>
      <c r="GK595" s="27" t="s">
        <v>8</v>
      </c>
      <c r="GL595" s="27" t="s">
        <v>7</v>
      </c>
      <c r="GM595" s="27" t="s">
        <v>8</v>
      </c>
      <c r="GP595" s="27" t="s">
        <v>7</v>
      </c>
      <c r="GQ595" s="27" t="s">
        <v>8</v>
      </c>
      <c r="GR595" s="27" t="s">
        <v>7</v>
      </c>
      <c r="GS595" s="27" t="s">
        <v>8</v>
      </c>
      <c r="GT595" s="27" t="s">
        <v>7</v>
      </c>
      <c r="HN595" s="27" t="s">
        <v>7</v>
      </c>
      <c r="HP595" s="27" t="s">
        <v>7</v>
      </c>
      <c r="HQ595" s="27" t="s">
        <v>8</v>
      </c>
      <c r="HR595" s="27" t="s">
        <v>7</v>
      </c>
      <c r="HS595" s="27" t="s">
        <v>8</v>
      </c>
      <c r="HT595" s="27" t="s">
        <v>7</v>
      </c>
      <c r="HU595" s="27" t="s">
        <v>8</v>
      </c>
      <c r="HV595" s="27" t="s">
        <v>7</v>
      </c>
      <c r="HW595" s="27" t="s">
        <v>8</v>
      </c>
      <c r="IC595" s="27" t="s">
        <v>8</v>
      </c>
      <c r="ID595" s="27" t="s">
        <v>7</v>
      </c>
      <c r="IE595" s="27" t="s">
        <v>8</v>
      </c>
      <c r="IF595" s="27" t="s">
        <v>7</v>
      </c>
      <c r="IG595" s="27" t="s">
        <v>8</v>
      </c>
      <c r="IH595" s="27" t="s">
        <v>7</v>
      </c>
      <c r="II595" s="27" t="s">
        <v>8</v>
      </c>
      <c r="IJ595" s="27" t="s">
        <v>7</v>
      </c>
      <c r="IK595" s="27" t="s">
        <v>8</v>
      </c>
      <c r="IL595" s="27" t="s">
        <v>7</v>
      </c>
    </row>
    <row r="596" spans="1:252" x14ac:dyDescent="0.25">
      <c r="A596" s="7">
        <v>0.83675526587265858</v>
      </c>
      <c r="B596"/>
      <c r="C596"/>
      <c r="D596"/>
      <c r="E596"/>
      <c r="F596" s="27" t="s">
        <v>7</v>
      </c>
      <c r="AK596" s="27" t="s">
        <v>8</v>
      </c>
      <c r="AQ596" s="27" t="s">
        <v>8</v>
      </c>
      <c r="AR596" s="27" t="s">
        <v>7</v>
      </c>
      <c r="BU596" s="27" t="s">
        <v>8</v>
      </c>
      <c r="BV596" s="27" t="s">
        <v>7</v>
      </c>
      <c r="BW596" s="27" t="s">
        <v>8</v>
      </c>
      <c r="BX596" s="27" t="s">
        <v>7</v>
      </c>
      <c r="BY596" s="27" t="s">
        <v>8</v>
      </c>
      <c r="CK596" s="27" t="s">
        <v>8</v>
      </c>
      <c r="CL596" s="27" t="s">
        <v>7</v>
      </c>
      <c r="DH596" s="27" t="s">
        <v>7</v>
      </c>
      <c r="DI596" s="27" t="s">
        <v>8</v>
      </c>
      <c r="DJ596" s="27" t="s">
        <v>7</v>
      </c>
      <c r="DM596" s="27" t="s">
        <v>8</v>
      </c>
      <c r="DN596" s="27" t="s">
        <v>7</v>
      </c>
      <c r="DO596" s="27" t="s">
        <v>8</v>
      </c>
      <c r="DZ596" s="27" t="s">
        <v>7</v>
      </c>
      <c r="GA596" s="27" t="s">
        <v>8</v>
      </c>
      <c r="GB596" s="27" t="s">
        <v>7</v>
      </c>
      <c r="GC596" s="27" t="s">
        <v>8</v>
      </c>
      <c r="GH596" s="27" t="s">
        <v>7</v>
      </c>
      <c r="GI596" s="27" t="s">
        <v>8</v>
      </c>
      <c r="GJ596" s="27" t="s">
        <v>7</v>
      </c>
      <c r="GK596" s="27" t="s">
        <v>8</v>
      </c>
      <c r="GL596" s="27" t="s">
        <v>7</v>
      </c>
      <c r="GM596" s="27" t="s">
        <v>8</v>
      </c>
      <c r="GP596" s="27" t="s">
        <v>7</v>
      </c>
      <c r="GR596" s="27" t="s">
        <v>7</v>
      </c>
      <c r="GS596" s="27" t="s">
        <v>8</v>
      </c>
      <c r="HP596" s="27" t="s">
        <v>7</v>
      </c>
      <c r="HQ596" s="27" t="s">
        <v>8</v>
      </c>
      <c r="HR596" s="27" t="s">
        <v>7</v>
      </c>
      <c r="HT596" s="27" t="s">
        <v>7</v>
      </c>
      <c r="HU596" s="27" t="s">
        <v>8</v>
      </c>
      <c r="HV596" s="27" t="s">
        <v>7</v>
      </c>
      <c r="HW596" s="27" t="s">
        <v>8</v>
      </c>
      <c r="HX596" s="27" t="s">
        <v>7</v>
      </c>
      <c r="IC596" s="27" t="s">
        <v>8</v>
      </c>
      <c r="ID596" s="27" t="s">
        <v>7</v>
      </c>
      <c r="IE596" s="27" t="s">
        <v>8</v>
      </c>
      <c r="IF596" s="27" t="s">
        <v>7</v>
      </c>
      <c r="IH596" s="27" t="s">
        <v>7</v>
      </c>
      <c r="II596" s="27" t="s">
        <v>8</v>
      </c>
      <c r="IJ596" s="27" t="s">
        <v>7</v>
      </c>
      <c r="IK596" s="27" t="s">
        <v>8</v>
      </c>
      <c r="IL596" s="27" t="s">
        <v>7</v>
      </c>
    </row>
    <row r="597" spans="1:252" x14ac:dyDescent="0.25">
      <c r="A597" s="7">
        <v>0.82034829987515545</v>
      </c>
      <c r="B597"/>
      <c r="C597"/>
      <c r="D597"/>
      <c r="E597"/>
      <c r="F597" s="27" t="s">
        <v>7</v>
      </c>
      <c r="AK597" s="27" t="s">
        <v>8</v>
      </c>
      <c r="AL597" s="27" t="s">
        <v>7</v>
      </c>
      <c r="AQ597" s="27" t="s">
        <v>8</v>
      </c>
      <c r="AR597" s="27" t="s">
        <v>7</v>
      </c>
      <c r="BU597" s="27" t="s">
        <v>8</v>
      </c>
      <c r="BV597" s="27" t="s">
        <v>7</v>
      </c>
      <c r="BW597" s="27" t="s">
        <v>8</v>
      </c>
      <c r="BX597" s="27" t="s">
        <v>7</v>
      </c>
      <c r="BY597" s="27" t="s">
        <v>8</v>
      </c>
      <c r="BZ597" s="27" t="s">
        <v>7</v>
      </c>
      <c r="CK597" s="27" t="s">
        <v>8</v>
      </c>
      <c r="DH597" s="27" t="s">
        <v>7</v>
      </c>
      <c r="DI597" s="27" t="s">
        <v>8</v>
      </c>
      <c r="DJ597" s="27" t="s">
        <v>7</v>
      </c>
      <c r="DM597" s="27" t="s">
        <v>8</v>
      </c>
      <c r="DN597" s="27" t="s">
        <v>7</v>
      </c>
      <c r="DZ597" s="27" t="s">
        <v>7</v>
      </c>
      <c r="GA597" s="27" t="s">
        <v>8</v>
      </c>
      <c r="GB597" s="27" t="s">
        <v>7</v>
      </c>
      <c r="GC597" s="27" t="s">
        <v>8</v>
      </c>
      <c r="GH597" s="27" t="s">
        <v>7</v>
      </c>
      <c r="GI597" s="27" t="s">
        <v>8</v>
      </c>
      <c r="GJ597" s="27" t="s">
        <v>7</v>
      </c>
      <c r="GK597" s="27" t="s">
        <v>8</v>
      </c>
      <c r="GL597" s="27" t="s">
        <v>7</v>
      </c>
      <c r="GM597" s="27" t="s">
        <v>8</v>
      </c>
      <c r="GR597" s="27" t="s">
        <v>7</v>
      </c>
      <c r="HP597" s="27" t="s">
        <v>7</v>
      </c>
      <c r="HT597" s="27" t="s">
        <v>7</v>
      </c>
      <c r="HU597" s="27" t="s">
        <v>8</v>
      </c>
      <c r="HV597" s="27" t="s">
        <v>7</v>
      </c>
      <c r="HW597" s="27" t="s">
        <v>8</v>
      </c>
      <c r="HX597" s="27" t="s">
        <v>7</v>
      </c>
      <c r="IC597" s="27" t="s">
        <v>8</v>
      </c>
      <c r="ID597" s="27" t="s">
        <v>7</v>
      </c>
      <c r="IE597" s="27" t="s">
        <v>8</v>
      </c>
      <c r="IH597" s="27" t="s">
        <v>7</v>
      </c>
      <c r="II597" s="27" t="s">
        <v>8</v>
      </c>
      <c r="IJ597" s="27" t="s">
        <v>7</v>
      </c>
      <c r="IL597" s="27" t="s">
        <v>7</v>
      </c>
    </row>
    <row r="598" spans="1:252" x14ac:dyDescent="0.25">
      <c r="A598" s="7">
        <v>0.80426303909328967</v>
      </c>
      <c r="B598"/>
      <c r="C598"/>
      <c r="D598"/>
      <c r="E598"/>
      <c r="F598" s="27" t="s">
        <v>7</v>
      </c>
      <c r="AK598" s="27" t="s">
        <v>8</v>
      </c>
      <c r="AL598" s="27" t="s">
        <v>7</v>
      </c>
      <c r="AO598" s="27" t="s">
        <v>8</v>
      </c>
      <c r="AQ598" s="27" t="s">
        <v>8</v>
      </c>
      <c r="AR598" s="27" t="s">
        <v>7</v>
      </c>
      <c r="BU598" s="27" t="s">
        <v>8</v>
      </c>
      <c r="BV598" s="27" t="s">
        <v>7</v>
      </c>
      <c r="BW598" s="27" t="s">
        <v>8</v>
      </c>
      <c r="BX598" s="27" t="s">
        <v>7</v>
      </c>
      <c r="BY598" s="27" t="s">
        <v>8</v>
      </c>
      <c r="BZ598" s="27" t="s">
        <v>7</v>
      </c>
      <c r="CK598" s="27" t="s">
        <v>8</v>
      </c>
      <c r="DH598" s="27" t="s">
        <v>7</v>
      </c>
      <c r="DI598" s="27" t="s">
        <v>8</v>
      </c>
      <c r="DJ598" s="27" t="s">
        <v>7</v>
      </c>
      <c r="DM598" s="27" t="s">
        <v>8</v>
      </c>
      <c r="DZ598" s="27" t="s">
        <v>7</v>
      </c>
      <c r="GA598" s="27" t="s">
        <v>8</v>
      </c>
      <c r="GB598" s="27" t="s">
        <v>7</v>
      </c>
      <c r="GC598" s="27" t="s">
        <v>8</v>
      </c>
      <c r="GH598" s="27" t="s">
        <v>7</v>
      </c>
      <c r="GI598" s="27" t="s">
        <v>8</v>
      </c>
      <c r="GJ598" s="27" t="s">
        <v>7</v>
      </c>
      <c r="GK598" s="27" t="s">
        <v>8</v>
      </c>
      <c r="GL598" s="27" t="s">
        <v>7</v>
      </c>
      <c r="GM598" s="27" t="s">
        <v>8</v>
      </c>
      <c r="HT598" s="27" t="s">
        <v>7</v>
      </c>
      <c r="HU598" s="27" t="s">
        <v>8</v>
      </c>
      <c r="HV598" s="27" t="s">
        <v>7</v>
      </c>
      <c r="HW598" s="27" t="s">
        <v>8</v>
      </c>
      <c r="HX598" s="27" t="s">
        <v>7</v>
      </c>
      <c r="HY598" s="27" t="s">
        <v>8</v>
      </c>
      <c r="IC598" s="27" t="s">
        <v>8</v>
      </c>
      <c r="ID598" s="27" t="s">
        <v>7</v>
      </c>
      <c r="IE598" s="27" t="s">
        <v>8</v>
      </c>
      <c r="IH598" s="27" t="s">
        <v>7</v>
      </c>
      <c r="II598" s="27" t="s">
        <v>8</v>
      </c>
      <c r="IL598" s="27" t="s">
        <v>7</v>
      </c>
    </row>
    <row r="599" spans="1:252" x14ac:dyDescent="0.25">
      <c r="A599" s="7">
        <v>0.78849317558165644</v>
      </c>
      <c r="B599"/>
      <c r="C599"/>
      <c r="D599"/>
      <c r="E599"/>
      <c r="F599" s="27" t="s">
        <v>7</v>
      </c>
      <c r="AK599" s="27" t="s">
        <v>8</v>
      </c>
      <c r="AL599" s="27" t="s">
        <v>7</v>
      </c>
      <c r="AO599" s="27" t="s">
        <v>8</v>
      </c>
      <c r="AP599" s="27" t="s">
        <v>7</v>
      </c>
      <c r="AQ599" s="27" t="s">
        <v>8</v>
      </c>
      <c r="AR599" s="27" t="s">
        <v>7</v>
      </c>
      <c r="BU599" s="27" t="s">
        <v>8</v>
      </c>
      <c r="BV599" s="27" t="s">
        <v>7</v>
      </c>
      <c r="BW599" s="27" t="s">
        <v>8</v>
      </c>
      <c r="BX599" s="27" t="s">
        <v>7</v>
      </c>
      <c r="BY599" s="27" t="s">
        <v>8</v>
      </c>
      <c r="BZ599" s="27" t="s">
        <v>7</v>
      </c>
      <c r="CK599" s="27" t="s">
        <v>8</v>
      </c>
      <c r="DH599" s="27" t="s">
        <v>7</v>
      </c>
      <c r="DI599" s="27" t="s">
        <v>8</v>
      </c>
      <c r="DJ599" s="27" t="s">
        <v>7</v>
      </c>
      <c r="DM599" s="27" t="s">
        <v>8</v>
      </c>
      <c r="DZ599" s="27" t="s">
        <v>7</v>
      </c>
      <c r="GA599" s="27" t="s">
        <v>8</v>
      </c>
      <c r="GB599" s="27" t="s">
        <v>7</v>
      </c>
      <c r="GC599" s="27" t="s">
        <v>8</v>
      </c>
      <c r="GH599" s="27" t="s">
        <v>7</v>
      </c>
      <c r="GI599" s="27" t="s">
        <v>8</v>
      </c>
      <c r="GJ599" s="27" t="s">
        <v>7</v>
      </c>
      <c r="GK599" s="27" t="s">
        <v>8</v>
      </c>
      <c r="GL599" s="27" t="s">
        <v>7</v>
      </c>
      <c r="GM599" s="27" t="s">
        <v>8</v>
      </c>
      <c r="HT599" s="27" t="s">
        <v>7</v>
      </c>
      <c r="HU599" s="27" t="s">
        <v>8</v>
      </c>
      <c r="HV599" s="27" t="s">
        <v>7</v>
      </c>
      <c r="HX599" s="27" t="s">
        <v>7</v>
      </c>
      <c r="HY599" s="27" t="s">
        <v>8</v>
      </c>
      <c r="HZ599" s="27" t="s">
        <v>7</v>
      </c>
      <c r="IC599" s="27" t="s">
        <v>8</v>
      </c>
      <c r="ID599" s="27" t="s">
        <v>7</v>
      </c>
      <c r="IE599" s="27" t="s">
        <v>8</v>
      </c>
      <c r="IH599" s="27" t="s">
        <v>7</v>
      </c>
      <c r="II599" s="27" t="s">
        <v>8</v>
      </c>
      <c r="IL599" s="27" t="s">
        <v>7</v>
      </c>
      <c r="IM599" s="27" t="s">
        <v>8</v>
      </c>
    </row>
    <row r="600" spans="1:252" x14ac:dyDescent="0.25">
      <c r="A600" s="7">
        <v>0.77303252508005538</v>
      </c>
      <c r="B600"/>
      <c r="C600"/>
      <c r="D600"/>
      <c r="E600"/>
      <c r="F600" s="27" t="s">
        <v>7</v>
      </c>
      <c r="AK600" s="27" t="s">
        <v>8</v>
      </c>
      <c r="AL600" s="27" t="s">
        <v>7</v>
      </c>
      <c r="AO600" s="27" t="s">
        <v>8</v>
      </c>
      <c r="AP600" s="27" t="s">
        <v>7</v>
      </c>
      <c r="AQ600" s="27" t="s">
        <v>8</v>
      </c>
      <c r="AR600" s="27" t="s">
        <v>7</v>
      </c>
      <c r="BU600" s="27" t="s">
        <v>8</v>
      </c>
      <c r="BV600" s="27" t="s">
        <v>7</v>
      </c>
      <c r="BW600" s="27" t="s">
        <v>8</v>
      </c>
      <c r="BX600" s="27" t="s">
        <v>7</v>
      </c>
      <c r="BY600" s="27" t="s">
        <v>8</v>
      </c>
      <c r="BZ600" s="27" t="s">
        <v>7</v>
      </c>
      <c r="CK600" s="27" t="s">
        <v>8</v>
      </c>
      <c r="DH600" s="27" t="s">
        <v>7</v>
      </c>
      <c r="DI600" s="27" t="s">
        <v>8</v>
      </c>
      <c r="DJ600" s="27" t="s">
        <v>7</v>
      </c>
      <c r="DM600" s="27" t="s">
        <v>8</v>
      </c>
      <c r="DZ600" s="27" t="s">
        <v>7</v>
      </c>
      <c r="EA600" s="27" t="s">
        <v>8</v>
      </c>
      <c r="GA600" s="27" t="s">
        <v>8</v>
      </c>
      <c r="GB600" s="27" t="s">
        <v>7</v>
      </c>
      <c r="GH600" s="27" t="s">
        <v>7</v>
      </c>
      <c r="GI600" s="27" t="s">
        <v>8</v>
      </c>
      <c r="GJ600" s="27" t="s">
        <v>7</v>
      </c>
      <c r="GK600" s="27" t="s">
        <v>8</v>
      </c>
      <c r="GL600" s="27" t="s">
        <v>7</v>
      </c>
      <c r="GM600" s="27" t="s">
        <v>8</v>
      </c>
      <c r="HT600" s="27" t="s">
        <v>7</v>
      </c>
      <c r="HU600" s="27" t="s">
        <v>8</v>
      </c>
      <c r="HX600" s="27" t="s">
        <v>7</v>
      </c>
      <c r="HY600" s="27" t="s">
        <v>8</v>
      </c>
      <c r="HZ600" s="27" t="s">
        <v>7</v>
      </c>
      <c r="IA600" s="27" t="s">
        <v>8</v>
      </c>
      <c r="IC600" s="27" t="s">
        <v>8</v>
      </c>
      <c r="ID600" s="27" t="s">
        <v>7</v>
      </c>
      <c r="IE600" s="27" t="s">
        <v>8</v>
      </c>
      <c r="IH600" s="27" t="s">
        <v>7</v>
      </c>
      <c r="IL600" s="27" t="s">
        <v>7</v>
      </c>
      <c r="IM600" s="27" t="s">
        <v>8</v>
      </c>
      <c r="IN600" s="27" t="s">
        <v>7</v>
      </c>
    </row>
    <row r="601" spans="1:252" x14ac:dyDescent="0.25">
      <c r="A601" s="7">
        <v>0.75787502458828959</v>
      </c>
      <c r="B601"/>
      <c r="C601"/>
      <c r="D601"/>
      <c r="E601"/>
      <c r="F601" s="27" t="s">
        <v>7</v>
      </c>
      <c r="AK601" s="27" t="s">
        <v>8</v>
      </c>
      <c r="AL601" s="27" t="s">
        <v>7</v>
      </c>
      <c r="AM601" s="27" t="s">
        <v>8</v>
      </c>
      <c r="AO601" s="27" t="s">
        <v>8</v>
      </c>
      <c r="AP601" s="27" t="s">
        <v>7</v>
      </c>
      <c r="AQ601" s="27" t="s">
        <v>8</v>
      </c>
      <c r="AR601" s="27" t="s">
        <v>7</v>
      </c>
      <c r="BA601" s="27" t="s">
        <v>8</v>
      </c>
      <c r="BU601" s="27" t="s">
        <v>8</v>
      </c>
      <c r="BV601" s="27" t="s">
        <v>7</v>
      </c>
      <c r="BW601" s="27" t="s">
        <v>8</v>
      </c>
      <c r="BX601" s="27" t="s">
        <v>7</v>
      </c>
      <c r="BY601" s="27" t="s">
        <v>8</v>
      </c>
      <c r="BZ601" s="27" t="s">
        <v>7</v>
      </c>
      <c r="CI601" s="27" t="s">
        <v>8</v>
      </c>
      <c r="CK601" s="27" t="s">
        <v>8</v>
      </c>
      <c r="DH601" s="27" t="s">
        <v>7</v>
      </c>
      <c r="DI601" s="27" t="s">
        <v>8</v>
      </c>
      <c r="DJ601" s="27" t="s">
        <v>7</v>
      </c>
      <c r="DK601" s="27" t="s">
        <v>8</v>
      </c>
      <c r="DM601" s="27" t="s">
        <v>8</v>
      </c>
      <c r="DZ601" s="27" t="s">
        <v>7</v>
      </c>
      <c r="EA601" s="27" t="s">
        <v>8</v>
      </c>
      <c r="EB601" s="27" t="s">
        <v>7</v>
      </c>
      <c r="GA601" s="27" t="s">
        <v>8</v>
      </c>
      <c r="GH601" s="27" t="s">
        <v>7</v>
      </c>
      <c r="GI601" s="27" t="s">
        <v>8</v>
      </c>
      <c r="GJ601" s="27" t="s">
        <v>7</v>
      </c>
      <c r="GK601" s="27" t="s">
        <v>8</v>
      </c>
      <c r="GL601" s="27" t="s">
        <v>7</v>
      </c>
      <c r="GM601" s="27" t="s">
        <v>8</v>
      </c>
      <c r="HT601" s="27" t="s">
        <v>7</v>
      </c>
      <c r="HU601" s="27" t="s">
        <v>8</v>
      </c>
      <c r="HX601" s="27" t="s">
        <v>7</v>
      </c>
      <c r="HY601" s="27" t="s">
        <v>8</v>
      </c>
      <c r="HZ601" s="27" t="s">
        <v>7</v>
      </c>
      <c r="IA601" s="27" t="s">
        <v>8</v>
      </c>
      <c r="IB601" s="27" t="s">
        <v>7</v>
      </c>
      <c r="IC601" s="27" t="s">
        <v>8</v>
      </c>
      <c r="ID601" s="27" t="s">
        <v>7</v>
      </c>
      <c r="IL601" s="27" t="s">
        <v>7</v>
      </c>
      <c r="IM601" s="27" t="s">
        <v>8</v>
      </c>
      <c r="IN601" s="27" t="s">
        <v>7</v>
      </c>
      <c r="IO601" s="27" t="s">
        <v>8</v>
      </c>
      <c r="IQ601" s="27" t="s">
        <v>8</v>
      </c>
    </row>
    <row r="602" spans="1:252" x14ac:dyDescent="0.25">
      <c r="A602" s="7">
        <v>0.74301472998851925</v>
      </c>
      <c r="B602"/>
      <c r="C602"/>
      <c r="D602"/>
      <c r="E602"/>
      <c r="F602" s="27" t="s">
        <v>7</v>
      </c>
      <c r="AK602" s="27" t="s">
        <v>8</v>
      </c>
      <c r="AL602" s="27" t="s">
        <v>7</v>
      </c>
      <c r="AM602" s="27" t="s">
        <v>8</v>
      </c>
      <c r="AN602" s="27" t="s">
        <v>7</v>
      </c>
      <c r="AO602" s="27" t="s">
        <v>8</v>
      </c>
      <c r="AP602" s="27" t="s">
        <v>7</v>
      </c>
      <c r="AQ602" s="27" t="s">
        <v>8</v>
      </c>
      <c r="AR602" s="27" t="s">
        <v>7</v>
      </c>
      <c r="BA602" s="27" t="s">
        <v>8</v>
      </c>
      <c r="BB602" s="27" t="s">
        <v>7</v>
      </c>
      <c r="BO602" s="27" t="s">
        <v>8</v>
      </c>
      <c r="BU602" s="27" t="s">
        <v>8</v>
      </c>
      <c r="BV602" s="27" t="s">
        <v>7</v>
      </c>
      <c r="BW602" s="27" t="s">
        <v>8</v>
      </c>
      <c r="BX602" s="27" t="s">
        <v>7</v>
      </c>
      <c r="BZ602" s="27" t="s">
        <v>7</v>
      </c>
      <c r="CI602" s="27" t="s">
        <v>8</v>
      </c>
      <c r="CJ602" s="27" t="s">
        <v>7</v>
      </c>
      <c r="CK602" s="27" t="s">
        <v>8</v>
      </c>
      <c r="DH602" s="27" t="s">
        <v>7</v>
      </c>
      <c r="DI602" s="27" t="s">
        <v>8</v>
      </c>
      <c r="DJ602" s="27" t="s">
        <v>7</v>
      </c>
      <c r="DK602" s="27" t="s">
        <v>8</v>
      </c>
      <c r="DL602" s="27" t="s">
        <v>7</v>
      </c>
      <c r="DM602" s="27" t="s">
        <v>8</v>
      </c>
      <c r="DZ602" s="27" t="s">
        <v>7</v>
      </c>
      <c r="EA602" s="27" t="s">
        <v>8</v>
      </c>
      <c r="EB602" s="27" t="s">
        <v>7</v>
      </c>
      <c r="GA602" s="27" t="s">
        <v>8</v>
      </c>
      <c r="GH602" s="27" t="s">
        <v>7</v>
      </c>
      <c r="GI602" s="27" t="s">
        <v>8</v>
      </c>
      <c r="GJ602" s="27" t="s">
        <v>7</v>
      </c>
      <c r="GK602" s="27" t="s">
        <v>8</v>
      </c>
      <c r="GL602" s="27" t="s">
        <v>7</v>
      </c>
      <c r="HT602" s="27" t="s">
        <v>7</v>
      </c>
      <c r="HU602" s="27" t="s">
        <v>8</v>
      </c>
      <c r="HX602" s="27" t="s">
        <v>7</v>
      </c>
      <c r="HY602" s="27" t="s">
        <v>8</v>
      </c>
      <c r="HZ602" s="27" t="s">
        <v>7</v>
      </c>
      <c r="IA602" s="27" t="s">
        <v>8</v>
      </c>
      <c r="IB602" s="27" t="s">
        <v>7</v>
      </c>
      <c r="IC602" s="27" t="s">
        <v>8</v>
      </c>
      <c r="IL602" s="27" t="s">
        <v>7</v>
      </c>
      <c r="IM602" s="27" t="s">
        <v>8</v>
      </c>
      <c r="IN602" s="27" t="s">
        <v>7</v>
      </c>
      <c r="IO602" s="27" t="s">
        <v>8</v>
      </c>
      <c r="IP602" s="27" t="s">
        <v>7</v>
      </c>
      <c r="IQ602" s="27" t="s">
        <v>8</v>
      </c>
      <c r="IR602" s="27" t="s">
        <v>7</v>
      </c>
    </row>
    <row r="603" spans="1:252" x14ac:dyDescent="0.25">
      <c r="A603" s="7">
        <v>0.72844581371423456</v>
      </c>
      <c r="B603"/>
      <c r="C603"/>
      <c r="D603"/>
      <c r="E603"/>
      <c r="F603" s="27" t="s">
        <v>7</v>
      </c>
      <c r="AK603" s="27" t="s">
        <v>8</v>
      </c>
      <c r="AL603" s="27" t="s">
        <v>7</v>
      </c>
      <c r="AM603" s="27" t="s">
        <v>8</v>
      </c>
      <c r="AN603" s="27" t="s">
        <v>7</v>
      </c>
      <c r="AO603" s="27" t="s">
        <v>8</v>
      </c>
      <c r="AP603" s="27" t="s">
        <v>7</v>
      </c>
      <c r="AQ603" s="27" t="s">
        <v>8</v>
      </c>
      <c r="AR603" s="27" t="s">
        <v>7</v>
      </c>
      <c r="BA603" s="27" t="s">
        <v>8</v>
      </c>
      <c r="BB603" s="27" t="s">
        <v>7</v>
      </c>
      <c r="BO603" s="27" t="s">
        <v>8</v>
      </c>
      <c r="BP603" s="27" t="s">
        <v>7</v>
      </c>
      <c r="BU603" s="27" t="s">
        <v>8</v>
      </c>
      <c r="BV603" s="27" t="s">
        <v>7</v>
      </c>
      <c r="BW603" s="27" t="s">
        <v>8</v>
      </c>
      <c r="BZ603" s="27" t="s">
        <v>7</v>
      </c>
      <c r="CI603" s="27" t="s">
        <v>8</v>
      </c>
      <c r="CJ603" s="27" t="s">
        <v>7</v>
      </c>
      <c r="CK603" s="27" t="s">
        <v>8</v>
      </c>
      <c r="DH603" s="27" t="s">
        <v>7</v>
      </c>
      <c r="DI603" s="27" t="s">
        <v>8</v>
      </c>
      <c r="DJ603" s="27" t="s">
        <v>7</v>
      </c>
      <c r="DK603" s="27" t="s">
        <v>8</v>
      </c>
      <c r="DL603" s="27" t="s">
        <v>7</v>
      </c>
      <c r="DM603" s="27" t="s">
        <v>8</v>
      </c>
      <c r="DZ603" s="27" t="s">
        <v>7</v>
      </c>
      <c r="EA603" s="27" t="s">
        <v>8</v>
      </c>
      <c r="EB603" s="27" t="s">
        <v>7</v>
      </c>
      <c r="GA603" s="27" t="s">
        <v>8</v>
      </c>
      <c r="GH603" s="27" t="s">
        <v>7</v>
      </c>
      <c r="GI603" s="27" t="s">
        <v>8</v>
      </c>
      <c r="GJ603" s="27" t="s">
        <v>7</v>
      </c>
      <c r="GK603" s="27" t="s">
        <v>8</v>
      </c>
      <c r="HT603" s="27" t="s">
        <v>7</v>
      </c>
      <c r="HU603" s="27" t="s">
        <v>8</v>
      </c>
      <c r="HX603" s="27" t="s">
        <v>7</v>
      </c>
      <c r="HY603" s="27" t="s">
        <v>8</v>
      </c>
      <c r="HZ603" s="27" t="s">
        <v>7</v>
      </c>
      <c r="IA603" s="27" t="s">
        <v>8</v>
      </c>
      <c r="IB603" s="27" t="s">
        <v>7</v>
      </c>
      <c r="IC603" s="27" t="s">
        <v>8</v>
      </c>
      <c r="IL603" s="27" t="s">
        <v>7</v>
      </c>
      <c r="IM603" s="27" t="s">
        <v>8</v>
      </c>
      <c r="IN603" s="27" t="s">
        <v>7</v>
      </c>
      <c r="IO603" s="27" t="s">
        <v>8</v>
      </c>
      <c r="IP603" s="27" t="s">
        <v>7</v>
      </c>
      <c r="IQ603" s="27" t="s">
        <v>8</v>
      </c>
      <c r="IR603" s="27" t="s">
        <v>7</v>
      </c>
    </row>
    <row r="604" spans="1:252" x14ac:dyDescent="0.25">
      <c r="A604" s="7">
        <v>0.71416256246493581</v>
      </c>
      <c r="B604"/>
      <c r="C604"/>
      <c r="D604"/>
      <c r="E604"/>
      <c r="F604" s="27" t="s">
        <v>7</v>
      </c>
      <c r="AK604" s="27" t="s">
        <v>8</v>
      </c>
      <c r="AL604" s="27" t="s">
        <v>7</v>
      </c>
      <c r="AM604" s="27" t="s">
        <v>8</v>
      </c>
      <c r="AN604" s="27" t="s">
        <v>7</v>
      </c>
      <c r="AO604" s="27" t="s">
        <v>8</v>
      </c>
      <c r="AP604" s="27" t="s">
        <v>7</v>
      </c>
      <c r="AQ604" s="27" t="s">
        <v>8</v>
      </c>
      <c r="AR604" s="27" t="s">
        <v>7</v>
      </c>
      <c r="BA604" s="27" t="s">
        <v>8</v>
      </c>
      <c r="BB604" s="27" t="s">
        <v>7</v>
      </c>
      <c r="BO604" s="27" t="s">
        <v>8</v>
      </c>
      <c r="BP604" s="27" t="s">
        <v>7</v>
      </c>
      <c r="BU604" s="27" t="s">
        <v>8</v>
      </c>
      <c r="BV604" s="27" t="s">
        <v>7</v>
      </c>
      <c r="BW604" s="27" t="s">
        <v>8</v>
      </c>
      <c r="BZ604" s="27" t="s">
        <v>7</v>
      </c>
      <c r="CI604" s="27" t="s">
        <v>8</v>
      </c>
      <c r="CJ604" s="27" t="s">
        <v>7</v>
      </c>
      <c r="CK604" s="27" t="s">
        <v>8</v>
      </c>
      <c r="DH604" s="27" t="s">
        <v>7</v>
      </c>
      <c r="DJ604" s="27" t="s">
        <v>7</v>
      </c>
      <c r="DK604" s="27" t="s">
        <v>8</v>
      </c>
      <c r="DL604" s="27" t="s">
        <v>7</v>
      </c>
      <c r="DM604" s="27" t="s">
        <v>8</v>
      </c>
      <c r="DZ604" s="27" t="s">
        <v>7</v>
      </c>
      <c r="EA604" s="27" t="s">
        <v>8</v>
      </c>
      <c r="EB604" s="27" t="s">
        <v>7</v>
      </c>
      <c r="GA604" s="27" t="s">
        <v>8</v>
      </c>
      <c r="GH604" s="27" t="s">
        <v>7</v>
      </c>
      <c r="GI604" s="27" t="s">
        <v>8</v>
      </c>
      <c r="GJ604" s="27" t="s">
        <v>7</v>
      </c>
      <c r="HT604" s="27" t="s">
        <v>7</v>
      </c>
      <c r="HU604" s="27" t="s">
        <v>8</v>
      </c>
      <c r="HX604" s="27" t="s">
        <v>7</v>
      </c>
      <c r="HZ604" s="27" t="s">
        <v>7</v>
      </c>
      <c r="IA604" s="27" t="s">
        <v>8</v>
      </c>
      <c r="IB604" s="27" t="s">
        <v>7</v>
      </c>
      <c r="IC604" s="27" t="s">
        <v>8</v>
      </c>
      <c r="IL604" s="27" t="s">
        <v>7</v>
      </c>
      <c r="IN604" s="27" t="s">
        <v>7</v>
      </c>
      <c r="IO604" s="27" t="s">
        <v>8</v>
      </c>
      <c r="IP604" s="27" t="s">
        <v>7</v>
      </c>
      <c r="IQ604" s="27" t="s">
        <v>8</v>
      </c>
      <c r="IR604" s="27" t="s">
        <v>7</v>
      </c>
    </row>
    <row r="605" spans="1:252" x14ac:dyDescent="0.25">
      <c r="A605" s="7">
        <v>0.7001593749656233</v>
      </c>
      <c r="B605"/>
      <c r="C605"/>
      <c r="D605"/>
      <c r="E605"/>
      <c r="F605" s="27" t="s">
        <v>7</v>
      </c>
      <c r="AK605" s="27" t="s">
        <v>8</v>
      </c>
      <c r="AL605" s="27" t="s">
        <v>7</v>
      </c>
      <c r="AM605" s="27" t="s">
        <v>8</v>
      </c>
      <c r="AN605" s="27" t="s">
        <v>7</v>
      </c>
      <c r="AO605" s="27" t="s">
        <v>8</v>
      </c>
      <c r="AP605" s="27" t="s">
        <v>7</v>
      </c>
      <c r="AQ605" s="27" t="s">
        <v>8</v>
      </c>
      <c r="AR605" s="27" t="s">
        <v>7</v>
      </c>
      <c r="BA605" s="27" t="s">
        <v>8</v>
      </c>
      <c r="BB605" s="27" t="s">
        <v>7</v>
      </c>
      <c r="BO605" s="27" t="s">
        <v>8</v>
      </c>
      <c r="BP605" s="27" t="s">
        <v>7</v>
      </c>
      <c r="BU605" s="27" t="s">
        <v>8</v>
      </c>
      <c r="BV605" s="27" t="s">
        <v>7</v>
      </c>
      <c r="BW605" s="27" t="s">
        <v>8</v>
      </c>
      <c r="BZ605" s="27" t="s">
        <v>7</v>
      </c>
      <c r="CI605" s="27" t="s">
        <v>8</v>
      </c>
      <c r="CJ605" s="27" t="s">
        <v>7</v>
      </c>
      <c r="CK605" s="27" t="s">
        <v>8</v>
      </c>
      <c r="DJ605" s="27" t="s">
        <v>7</v>
      </c>
      <c r="DK605" s="27" t="s">
        <v>8</v>
      </c>
      <c r="DL605" s="27" t="s">
        <v>7</v>
      </c>
      <c r="DM605" s="27" t="s">
        <v>8</v>
      </c>
      <c r="DZ605" s="27" t="s">
        <v>7</v>
      </c>
      <c r="EA605" s="27" t="s">
        <v>8</v>
      </c>
      <c r="EB605" s="27" t="s">
        <v>7</v>
      </c>
      <c r="GA605" s="27" t="s">
        <v>8</v>
      </c>
      <c r="GH605" s="27" t="s">
        <v>7</v>
      </c>
      <c r="GI605" s="27" t="s">
        <v>8</v>
      </c>
      <c r="HT605" s="27" t="s">
        <v>7</v>
      </c>
      <c r="HU605" s="27" t="s">
        <v>8</v>
      </c>
      <c r="HZ605" s="27" t="s">
        <v>7</v>
      </c>
      <c r="IB605" s="27" t="s">
        <v>7</v>
      </c>
      <c r="IN605" s="27" t="s">
        <v>7</v>
      </c>
      <c r="IO605" s="27" t="s">
        <v>8</v>
      </c>
      <c r="IP605" s="27" t="s">
        <v>7</v>
      </c>
      <c r="IR605" s="27" t="s">
        <v>7</v>
      </c>
    </row>
    <row r="606" spans="1:252" x14ac:dyDescent="0.25">
      <c r="A606" s="7">
        <v>0.68643075977021883</v>
      </c>
      <c r="B606"/>
      <c r="C606"/>
      <c r="D606"/>
      <c r="E606"/>
      <c r="F606" s="27" t="s">
        <v>7</v>
      </c>
      <c r="AK606" s="27" t="s">
        <v>8</v>
      </c>
      <c r="AL606" s="27" t="s">
        <v>7</v>
      </c>
      <c r="AM606" s="27" t="s">
        <v>8</v>
      </c>
      <c r="AN606" s="27" t="s">
        <v>7</v>
      </c>
      <c r="AO606" s="27" t="s">
        <v>8</v>
      </c>
      <c r="AP606" s="27" t="s">
        <v>7</v>
      </c>
      <c r="AR606" s="27" t="s">
        <v>7</v>
      </c>
      <c r="AY606" s="27" t="s">
        <v>8</v>
      </c>
      <c r="BA606" s="27" t="s">
        <v>8</v>
      </c>
      <c r="BB606" s="27" t="s">
        <v>7</v>
      </c>
      <c r="BO606" s="27" t="s">
        <v>8</v>
      </c>
      <c r="BP606" s="27" t="s">
        <v>7</v>
      </c>
      <c r="BU606" s="27" t="s">
        <v>8</v>
      </c>
      <c r="BV606" s="27" t="s">
        <v>7</v>
      </c>
      <c r="BW606" s="27" t="s">
        <v>8</v>
      </c>
      <c r="BZ606" s="27" t="s">
        <v>7</v>
      </c>
      <c r="CI606" s="27" t="s">
        <v>8</v>
      </c>
      <c r="CJ606" s="27" t="s">
        <v>7</v>
      </c>
      <c r="CK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Z606" s="27" t="s">
        <v>7</v>
      </c>
      <c r="EA606" s="27" t="s">
        <v>8</v>
      </c>
      <c r="EB606" s="27" t="s">
        <v>7</v>
      </c>
      <c r="GA606" s="27" t="s">
        <v>8</v>
      </c>
      <c r="GH606" s="27" t="s">
        <v>7</v>
      </c>
      <c r="GI606" s="27" t="s">
        <v>8</v>
      </c>
      <c r="HT606" s="27" t="s">
        <v>7</v>
      </c>
      <c r="HU606" s="27" t="s">
        <v>8</v>
      </c>
      <c r="IN606" s="27" t="s">
        <v>7</v>
      </c>
      <c r="IR606" s="27" t="s">
        <v>7</v>
      </c>
    </row>
    <row r="607" spans="1:252" x14ac:dyDescent="0.25">
      <c r="A607" s="7">
        <v>0.67297133310805768</v>
      </c>
      <c r="B607"/>
      <c r="C607"/>
      <c r="D607"/>
      <c r="E607"/>
      <c r="F607" s="27" t="s">
        <v>7</v>
      </c>
      <c r="AK607" s="27" t="s">
        <v>8</v>
      </c>
      <c r="AL607" s="27" t="s">
        <v>7</v>
      </c>
      <c r="AM607" s="27" t="s">
        <v>8</v>
      </c>
      <c r="AN607" s="27" t="s">
        <v>7</v>
      </c>
      <c r="AO607" s="27" t="s">
        <v>8</v>
      </c>
      <c r="AR607" s="27" t="s">
        <v>7</v>
      </c>
      <c r="AY607" s="27" t="s">
        <v>8</v>
      </c>
      <c r="AZ607" s="27" t="s">
        <v>7</v>
      </c>
      <c r="BA607" s="27" t="s">
        <v>8</v>
      </c>
      <c r="BB607" s="27" t="s">
        <v>7</v>
      </c>
      <c r="BI607" s="27" t="s">
        <v>8</v>
      </c>
      <c r="BO607" s="27" t="s">
        <v>8</v>
      </c>
      <c r="BP607" s="27" t="s">
        <v>7</v>
      </c>
      <c r="BU607" s="27" t="s">
        <v>8</v>
      </c>
      <c r="BV607" s="27" t="s">
        <v>7</v>
      </c>
      <c r="BW607" s="27" t="s">
        <v>8</v>
      </c>
      <c r="BZ607" s="27" t="s">
        <v>7</v>
      </c>
      <c r="CA607" s="27" t="s">
        <v>8</v>
      </c>
      <c r="CI607" s="27" t="s">
        <v>8</v>
      </c>
      <c r="CJ607" s="27" t="s">
        <v>7</v>
      </c>
      <c r="DJ607" s="27" t="s">
        <v>7</v>
      </c>
      <c r="DK607" s="27" t="s">
        <v>8</v>
      </c>
      <c r="DL607" s="27" t="s">
        <v>7</v>
      </c>
      <c r="DM607" s="27" t="s">
        <v>8</v>
      </c>
      <c r="DZ607" s="27" t="s">
        <v>7</v>
      </c>
      <c r="EA607" s="27" t="s">
        <v>8</v>
      </c>
      <c r="EB607" s="27" t="s">
        <v>7</v>
      </c>
      <c r="GA607" s="27" t="s">
        <v>8</v>
      </c>
      <c r="GH607" s="27" t="s">
        <v>7</v>
      </c>
      <c r="HT607" s="27" t="s">
        <v>7</v>
      </c>
      <c r="HU607" s="27" t="s">
        <v>8</v>
      </c>
      <c r="IR607" s="27" t="s">
        <v>7</v>
      </c>
    </row>
    <row r="608" spans="1:252" x14ac:dyDescent="0.25">
      <c r="A608" s="7">
        <v>0.65977581677260566</v>
      </c>
      <c r="B608"/>
      <c r="C608"/>
      <c r="D608"/>
      <c r="E608"/>
      <c r="F608" s="27" t="s">
        <v>7</v>
      </c>
      <c r="AK608" s="27" t="s">
        <v>8</v>
      </c>
      <c r="AL608" s="27" t="s">
        <v>7</v>
      </c>
      <c r="AM608" s="27" t="s">
        <v>8</v>
      </c>
      <c r="AN608" s="27" t="s">
        <v>7</v>
      </c>
      <c r="AO608" s="27" t="s">
        <v>8</v>
      </c>
      <c r="AR608" s="27" t="s">
        <v>7</v>
      </c>
      <c r="AW608" s="27" t="s">
        <v>8</v>
      </c>
      <c r="AY608" s="27" t="s">
        <v>8</v>
      </c>
      <c r="AZ608" s="27" t="s">
        <v>7</v>
      </c>
      <c r="BA608" s="27" t="s">
        <v>8</v>
      </c>
      <c r="BB608" s="27" t="s">
        <v>7</v>
      </c>
      <c r="BE608" s="27" t="s">
        <v>8</v>
      </c>
      <c r="BI608" s="27" t="s">
        <v>8</v>
      </c>
      <c r="BJ608" s="27" t="s">
        <v>7</v>
      </c>
      <c r="BO608" s="27" t="s">
        <v>8</v>
      </c>
      <c r="BP608" s="27" t="s">
        <v>7</v>
      </c>
      <c r="BU608" s="27" t="s">
        <v>8</v>
      </c>
      <c r="BV608" s="27" t="s">
        <v>7</v>
      </c>
      <c r="BZ608" s="27" t="s">
        <v>7</v>
      </c>
      <c r="CA608" s="27" t="s">
        <v>8</v>
      </c>
      <c r="CB608" s="27" t="s">
        <v>7</v>
      </c>
      <c r="CI608" s="27" t="s">
        <v>8</v>
      </c>
      <c r="DJ608" s="27" t="s">
        <v>7</v>
      </c>
      <c r="DK608" s="27" t="s">
        <v>8</v>
      </c>
      <c r="DL608" s="27" t="s">
        <v>7</v>
      </c>
      <c r="DM608" s="27" t="s">
        <v>8</v>
      </c>
      <c r="DZ608" s="27" t="s">
        <v>7</v>
      </c>
      <c r="EA608" s="27" t="s">
        <v>8</v>
      </c>
      <c r="EB608" s="27" t="s">
        <v>7</v>
      </c>
      <c r="EC608" s="27" t="s">
        <v>8</v>
      </c>
      <c r="GA608" s="27" t="s">
        <v>8</v>
      </c>
      <c r="HT608" s="27" t="s">
        <v>7</v>
      </c>
      <c r="HU608" s="27" t="s">
        <v>8</v>
      </c>
      <c r="IR608" s="27" t="s">
        <v>7</v>
      </c>
    </row>
    <row r="609" spans="1:256" x14ac:dyDescent="0.25">
      <c r="A609" s="7">
        <v>0.64683903605157422</v>
      </c>
      <c r="B609"/>
      <c r="C609"/>
      <c r="D609"/>
      <c r="E609"/>
      <c r="F609" s="27" t="s">
        <v>7</v>
      </c>
      <c r="AA609" s="27" t="s">
        <v>8</v>
      </c>
      <c r="AK609" s="27" t="s">
        <v>8</v>
      </c>
      <c r="AL609" s="27" t="s">
        <v>7</v>
      </c>
      <c r="AM609" s="27" t="s">
        <v>8</v>
      </c>
      <c r="AN609" s="27" t="s">
        <v>7</v>
      </c>
      <c r="AO609" s="27" t="s">
        <v>8</v>
      </c>
      <c r="AR609" s="27" t="s">
        <v>7</v>
      </c>
      <c r="AU609" s="27" t="s">
        <v>8</v>
      </c>
      <c r="AW609" s="27" t="s">
        <v>8</v>
      </c>
      <c r="AX609" s="27" t="s">
        <v>7</v>
      </c>
      <c r="AY609" s="27" t="s">
        <v>8</v>
      </c>
      <c r="AZ609" s="27" t="s">
        <v>7</v>
      </c>
      <c r="BA609" s="27" t="s">
        <v>8</v>
      </c>
      <c r="BB609" s="27" t="s">
        <v>7</v>
      </c>
      <c r="BC609" s="27" t="s">
        <v>8</v>
      </c>
      <c r="BE609" s="27" t="s">
        <v>8</v>
      </c>
      <c r="BF609" s="27" t="s">
        <v>7</v>
      </c>
      <c r="BI609" s="27" t="s">
        <v>8</v>
      </c>
      <c r="BJ609" s="27" t="s">
        <v>7</v>
      </c>
      <c r="BO609" s="27" t="s">
        <v>8</v>
      </c>
      <c r="BP609" s="27" t="s">
        <v>7</v>
      </c>
      <c r="BQ609" s="27" t="s">
        <v>8</v>
      </c>
      <c r="BU609" s="27" t="s">
        <v>8</v>
      </c>
      <c r="BZ609" s="27" t="s">
        <v>7</v>
      </c>
      <c r="CA609" s="27" t="s">
        <v>8</v>
      </c>
      <c r="CB609" s="27" t="s">
        <v>7</v>
      </c>
      <c r="CI609" s="27" t="s">
        <v>8</v>
      </c>
      <c r="DJ609" s="27" t="s">
        <v>7</v>
      </c>
      <c r="DL609" s="27" t="s">
        <v>7</v>
      </c>
      <c r="DZ609" s="27" t="s">
        <v>7</v>
      </c>
      <c r="EA609" s="27" t="s">
        <v>8</v>
      </c>
      <c r="EB609" s="27" t="s">
        <v>7</v>
      </c>
      <c r="EC609" s="27" t="s">
        <v>8</v>
      </c>
      <c r="ED609" s="27" t="s">
        <v>7</v>
      </c>
      <c r="FW609" s="27" t="s">
        <v>8</v>
      </c>
      <c r="GA609" s="27" t="s">
        <v>8</v>
      </c>
      <c r="HT609" s="27" t="s">
        <v>7</v>
      </c>
      <c r="HU609" s="27" t="s">
        <v>8</v>
      </c>
      <c r="IR609" s="27" t="s">
        <v>7</v>
      </c>
    </row>
    <row r="610" spans="1:256" x14ac:dyDescent="0.25">
      <c r="A610" s="7">
        <v>0.63415591769762181</v>
      </c>
      <c r="B610"/>
      <c r="C610"/>
      <c r="D610"/>
      <c r="E610"/>
      <c r="F610" s="27" t="s">
        <v>7</v>
      </c>
      <c r="AA610" s="27" t="s">
        <v>8</v>
      </c>
      <c r="AB610" s="27" t="s">
        <v>7</v>
      </c>
      <c r="AK610" s="27" t="s">
        <v>8</v>
      </c>
      <c r="AL610" s="27" t="s">
        <v>7</v>
      </c>
      <c r="AM610" s="27" t="s">
        <v>8</v>
      </c>
      <c r="AN610" s="27" t="s">
        <v>7</v>
      </c>
      <c r="AO610" s="27" t="s">
        <v>8</v>
      </c>
      <c r="AR610" s="27" t="s">
        <v>7</v>
      </c>
      <c r="AU610" s="27" t="s">
        <v>8</v>
      </c>
      <c r="AV610" s="27" t="s">
        <v>7</v>
      </c>
      <c r="AW610" s="27" t="s">
        <v>8</v>
      </c>
      <c r="AX610" s="27" t="s">
        <v>7</v>
      </c>
      <c r="AY610" s="27" t="s">
        <v>8</v>
      </c>
      <c r="AZ610" s="27" t="s">
        <v>7</v>
      </c>
      <c r="BA610" s="27" t="s">
        <v>8</v>
      </c>
      <c r="BB610" s="27" t="s">
        <v>7</v>
      </c>
      <c r="BC610" s="27" t="s">
        <v>8</v>
      </c>
      <c r="BD610" s="27" t="s">
        <v>7</v>
      </c>
      <c r="BE610" s="27" t="s">
        <v>8</v>
      </c>
      <c r="BF610" s="27" t="s">
        <v>7</v>
      </c>
      <c r="BI610" s="27" t="s">
        <v>8</v>
      </c>
      <c r="BJ610" s="27" t="s">
        <v>7</v>
      </c>
      <c r="BM610" s="27" t="s">
        <v>8</v>
      </c>
      <c r="BO610" s="27" t="s">
        <v>8</v>
      </c>
      <c r="BP610" s="27" t="s">
        <v>7</v>
      </c>
      <c r="BQ610" s="27" t="s">
        <v>8</v>
      </c>
      <c r="BR610" s="27" t="s">
        <v>7</v>
      </c>
      <c r="BS610" s="27" t="s">
        <v>8</v>
      </c>
      <c r="BU610" s="27" t="s">
        <v>8</v>
      </c>
      <c r="BZ610" s="27" t="s">
        <v>7</v>
      </c>
      <c r="CA610" s="27" t="s">
        <v>8</v>
      </c>
      <c r="CB610" s="27" t="s">
        <v>7</v>
      </c>
      <c r="CI610" s="27" t="s">
        <v>8</v>
      </c>
      <c r="DZ610" s="27" t="s">
        <v>7</v>
      </c>
      <c r="EA610" s="27" t="s">
        <v>8</v>
      </c>
      <c r="EB610" s="27" t="s">
        <v>7</v>
      </c>
      <c r="EC610" s="27" t="s">
        <v>8</v>
      </c>
      <c r="ED610" s="27" t="s">
        <v>7</v>
      </c>
      <c r="FW610" s="27" t="s">
        <v>8</v>
      </c>
      <c r="FX610" s="27" t="s">
        <v>7</v>
      </c>
      <c r="GA610" s="27" t="s">
        <v>8</v>
      </c>
      <c r="HT610" s="27" t="s">
        <v>7</v>
      </c>
      <c r="HU610" s="27" t="s">
        <v>8</v>
      </c>
      <c r="IR610" s="27" t="s">
        <v>7</v>
      </c>
    </row>
    <row r="611" spans="1:256" x14ac:dyDescent="0.25">
      <c r="A611" s="7">
        <v>0.62172148793884496</v>
      </c>
      <c r="B611"/>
      <c r="C611"/>
      <c r="D611"/>
      <c r="E611"/>
      <c r="F611" s="27" t="s">
        <v>7</v>
      </c>
      <c r="AA611" s="27" t="s">
        <v>8</v>
      </c>
      <c r="AB611" s="27" t="s">
        <v>7</v>
      </c>
      <c r="AC611" s="27" t="s">
        <v>8</v>
      </c>
      <c r="AK611" s="27" t="s">
        <v>8</v>
      </c>
      <c r="AL611" s="27" t="s">
        <v>7</v>
      </c>
      <c r="AM611" s="27" t="s">
        <v>8</v>
      </c>
      <c r="AN611" s="27" t="s">
        <v>7</v>
      </c>
      <c r="AO611" s="27" t="s">
        <v>8</v>
      </c>
      <c r="AR611" s="27" t="s">
        <v>7</v>
      </c>
      <c r="AU611" s="27" t="s">
        <v>8</v>
      </c>
      <c r="AV611" s="27" t="s">
        <v>7</v>
      </c>
      <c r="AW611" s="27" t="s">
        <v>8</v>
      </c>
      <c r="AX611" s="27" t="s">
        <v>7</v>
      </c>
      <c r="AY611" s="27" t="s">
        <v>8</v>
      </c>
      <c r="AZ611" s="27" t="s">
        <v>7</v>
      </c>
      <c r="BA611" s="27" t="s">
        <v>8</v>
      </c>
      <c r="BB611" s="27" t="s">
        <v>7</v>
      </c>
      <c r="BC611" s="27" t="s">
        <v>8</v>
      </c>
      <c r="BD611" s="27" t="s">
        <v>7</v>
      </c>
      <c r="BE611" s="27" t="s">
        <v>8</v>
      </c>
      <c r="BF611" s="27" t="s">
        <v>7</v>
      </c>
      <c r="BG611" s="27" t="s">
        <v>8</v>
      </c>
      <c r="BI611" s="27" t="s">
        <v>8</v>
      </c>
      <c r="BJ611" s="27" t="s">
        <v>7</v>
      </c>
      <c r="BM611" s="27" t="s">
        <v>8</v>
      </c>
      <c r="BN611" s="27" t="s">
        <v>7</v>
      </c>
      <c r="BO611" s="27" t="s">
        <v>8</v>
      </c>
      <c r="BP611" s="27" t="s">
        <v>7</v>
      </c>
      <c r="BQ611" s="27" t="s">
        <v>8</v>
      </c>
      <c r="BR611" s="27" t="s">
        <v>7</v>
      </c>
      <c r="BS611" s="27" t="s">
        <v>8</v>
      </c>
      <c r="BT611" s="27" t="s">
        <v>7</v>
      </c>
      <c r="BU611" s="27" t="s">
        <v>8</v>
      </c>
      <c r="BZ611" s="27" t="s">
        <v>7</v>
      </c>
      <c r="CA611" s="27" t="s">
        <v>8</v>
      </c>
      <c r="CB611" s="27" t="s">
        <v>7</v>
      </c>
      <c r="CG611" s="27" t="s">
        <v>8</v>
      </c>
      <c r="CI611" s="27" t="s">
        <v>8</v>
      </c>
      <c r="DZ611" s="27" t="s">
        <v>7</v>
      </c>
      <c r="EA611" s="27" t="s">
        <v>8</v>
      </c>
      <c r="EB611" s="27" t="s">
        <v>7</v>
      </c>
      <c r="EC611" s="27" t="s">
        <v>8</v>
      </c>
      <c r="ED611" s="27" t="s">
        <v>7</v>
      </c>
      <c r="FS611" s="27" t="s">
        <v>8</v>
      </c>
      <c r="FW611" s="27" t="s">
        <v>8</v>
      </c>
      <c r="FX611" s="27" t="s">
        <v>7</v>
      </c>
      <c r="GA611" s="27" t="s">
        <v>8</v>
      </c>
      <c r="HT611" s="27" t="s">
        <v>7</v>
      </c>
      <c r="IR611" s="27" t="s">
        <v>7</v>
      </c>
    </row>
    <row r="612" spans="1:256" x14ac:dyDescent="0.25">
      <c r="A612" s="7">
        <v>0.60953087052827937</v>
      </c>
      <c r="B612"/>
      <c r="C612"/>
      <c r="D612"/>
      <c r="E612"/>
      <c r="F612" s="27" t="s">
        <v>7</v>
      </c>
      <c r="AA612" s="27" t="s">
        <v>8</v>
      </c>
      <c r="AB612" s="27" t="s">
        <v>7</v>
      </c>
      <c r="AC612" s="27" t="s">
        <v>8</v>
      </c>
      <c r="AD612" s="27" t="s">
        <v>7</v>
      </c>
      <c r="AK612" s="27" t="s">
        <v>8</v>
      </c>
      <c r="AL612" s="27" t="s">
        <v>7</v>
      </c>
      <c r="AM612" s="27" t="s">
        <v>8</v>
      </c>
      <c r="AN612" s="27" t="s">
        <v>7</v>
      </c>
      <c r="AO612" s="27" t="s">
        <v>8</v>
      </c>
      <c r="AR612" s="27" t="s">
        <v>7</v>
      </c>
      <c r="AU612" s="27" t="s">
        <v>8</v>
      </c>
      <c r="AV612" s="27" t="s">
        <v>7</v>
      </c>
      <c r="AW612" s="27" t="s">
        <v>8</v>
      </c>
      <c r="AX612" s="27" t="s">
        <v>7</v>
      </c>
      <c r="AY612" s="27" t="s">
        <v>8</v>
      </c>
      <c r="AZ612" s="27" t="s">
        <v>7</v>
      </c>
      <c r="BA612" s="27" t="s">
        <v>8</v>
      </c>
      <c r="BB612" s="27" t="s">
        <v>7</v>
      </c>
      <c r="BC612" s="27" t="s">
        <v>8</v>
      </c>
      <c r="BD612" s="27" t="s">
        <v>7</v>
      </c>
      <c r="BE612" s="27" t="s">
        <v>8</v>
      </c>
      <c r="BF612" s="27" t="s">
        <v>7</v>
      </c>
      <c r="BG612" s="27" t="s">
        <v>8</v>
      </c>
      <c r="BH612" s="27" t="s">
        <v>7</v>
      </c>
      <c r="BI612" s="27" t="s">
        <v>8</v>
      </c>
      <c r="BJ612" s="27" t="s">
        <v>7</v>
      </c>
      <c r="BM612" s="27" t="s">
        <v>8</v>
      </c>
      <c r="BN612" s="27" t="s">
        <v>7</v>
      </c>
      <c r="BO612" s="27" t="s">
        <v>8</v>
      </c>
      <c r="BP612" s="27" t="s">
        <v>7</v>
      </c>
      <c r="BQ612" s="27" t="s">
        <v>8</v>
      </c>
      <c r="BR612" s="27" t="s">
        <v>7</v>
      </c>
      <c r="BS612" s="27" t="s">
        <v>8</v>
      </c>
      <c r="BT612" s="27" t="s">
        <v>7</v>
      </c>
      <c r="BU612" s="27" t="s">
        <v>8</v>
      </c>
      <c r="BZ612" s="27" t="s">
        <v>7</v>
      </c>
      <c r="CA612" s="27" t="s">
        <v>8</v>
      </c>
      <c r="CB612" s="27" t="s">
        <v>7</v>
      </c>
      <c r="CG612" s="27" t="s">
        <v>8</v>
      </c>
      <c r="CH612" s="27" t="s">
        <v>7</v>
      </c>
      <c r="CI612" s="27" t="s">
        <v>8</v>
      </c>
      <c r="DZ612" s="27" t="s">
        <v>7</v>
      </c>
      <c r="EA612" s="27" t="s">
        <v>8</v>
      </c>
      <c r="EB612" s="27" t="s">
        <v>7</v>
      </c>
      <c r="EC612" s="27" t="s">
        <v>8</v>
      </c>
      <c r="ED612" s="27" t="s">
        <v>7</v>
      </c>
      <c r="FS612" s="27" t="s">
        <v>8</v>
      </c>
      <c r="FT612" s="27" t="s">
        <v>7</v>
      </c>
      <c r="FW612" s="27" t="s">
        <v>8</v>
      </c>
      <c r="FX612" s="27" t="s">
        <v>7</v>
      </c>
      <c r="GA612" s="27" t="s">
        <v>8</v>
      </c>
      <c r="IR612" s="27" t="s">
        <v>7</v>
      </c>
    </row>
    <row r="613" spans="1:256" x14ac:dyDescent="0.25">
      <c r="A613" s="7">
        <v>0.59757928483164646</v>
      </c>
      <c r="B613"/>
      <c r="C613"/>
      <c r="D613"/>
      <c r="E613"/>
      <c r="F613" s="27" t="s">
        <v>7</v>
      </c>
      <c r="AA613" s="27" t="s">
        <v>8</v>
      </c>
      <c r="AB613" s="27" t="s">
        <v>7</v>
      </c>
      <c r="AC613" s="27" t="s">
        <v>8</v>
      </c>
      <c r="AD613" s="27" t="s">
        <v>7</v>
      </c>
      <c r="AE613" s="27" t="s">
        <v>8</v>
      </c>
      <c r="AK613" s="27" t="s">
        <v>8</v>
      </c>
      <c r="AL613" s="27" t="s">
        <v>7</v>
      </c>
      <c r="AM613" s="27" t="s">
        <v>8</v>
      </c>
      <c r="AN613" s="27" t="s">
        <v>7</v>
      </c>
      <c r="AO613" s="27" t="s">
        <v>8</v>
      </c>
      <c r="AR613" s="27" t="s">
        <v>7</v>
      </c>
      <c r="AU613" s="27" t="s">
        <v>8</v>
      </c>
      <c r="AV613" s="27" t="s">
        <v>7</v>
      </c>
      <c r="AW613" s="27" t="s">
        <v>8</v>
      </c>
      <c r="AX613" s="27" t="s">
        <v>7</v>
      </c>
      <c r="AY613" s="27" t="s">
        <v>8</v>
      </c>
      <c r="AZ613" s="27" t="s">
        <v>7</v>
      </c>
      <c r="BA613" s="27" t="s">
        <v>8</v>
      </c>
      <c r="BB613" s="27" t="s">
        <v>7</v>
      </c>
      <c r="BC613" s="27" t="s">
        <v>8</v>
      </c>
      <c r="BD613" s="27" t="s">
        <v>7</v>
      </c>
      <c r="BE613" s="27" t="s">
        <v>8</v>
      </c>
      <c r="BF613" s="27" t="s">
        <v>7</v>
      </c>
      <c r="BG613" s="27" t="s">
        <v>8</v>
      </c>
      <c r="BH613" s="27" t="s">
        <v>7</v>
      </c>
      <c r="BI613" s="27" t="s">
        <v>8</v>
      </c>
      <c r="BJ613" s="27" t="s">
        <v>7</v>
      </c>
      <c r="BM613" s="27" t="s">
        <v>8</v>
      </c>
      <c r="BN613" s="27" t="s">
        <v>7</v>
      </c>
      <c r="BO613" s="27" t="s">
        <v>8</v>
      </c>
      <c r="BP613" s="27" t="s">
        <v>7</v>
      </c>
      <c r="BQ613" s="27" t="s">
        <v>8</v>
      </c>
      <c r="BR613" s="27" t="s">
        <v>7</v>
      </c>
      <c r="BS613" s="27" t="s">
        <v>8</v>
      </c>
      <c r="BT613" s="27" t="s">
        <v>7</v>
      </c>
      <c r="BU613" s="27" t="s">
        <v>8</v>
      </c>
      <c r="BZ613" s="27" t="s">
        <v>7</v>
      </c>
      <c r="CA613" s="27" t="s">
        <v>8</v>
      </c>
      <c r="CB613" s="27" t="s">
        <v>7</v>
      </c>
      <c r="CG613" s="27" t="s">
        <v>8</v>
      </c>
      <c r="CH613" s="27" t="s">
        <v>7</v>
      </c>
      <c r="CI613" s="27" t="s">
        <v>8</v>
      </c>
      <c r="DZ613" s="27" t="s">
        <v>7</v>
      </c>
      <c r="EA613" s="27" t="s">
        <v>8</v>
      </c>
      <c r="EB613" s="27" t="s">
        <v>7</v>
      </c>
      <c r="EC613" s="27" t="s">
        <v>8</v>
      </c>
      <c r="ED613" s="27" t="s">
        <v>7</v>
      </c>
      <c r="FS613" s="27" t="s">
        <v>8</v>
      </c>
      <c r="FT613" s="27" t="s">
        <v>7</v>
      </c>
      <c r="FW613" s="27" t="s">
        <v>8</v>
      </c>
      <c r="FX613" s="27" t="s">
        <v>7</v>
      </c>
      <c r="GA613" s="27" t="s">
        <v>8</v>
      </c>
      <c r="IR613" s="27" t="s">
        <v>7</v>
      </c>
    </row>
    <row r="614" spans="1:256" x14ac:dyDescent="0.25">
      <c r="A614" s="7">
        <v>0.58586204395259456</v>
      </c>
      <c r="B614"/>
      <c r="C614"/>
      <c r="D614"/>
      <c r="E614"/>
      <c r="F614" s="27" t="s">
        <v>7</v>
      </c>
      <c r="AA614" s="27" t="s">
        <v>8</v>
      </c>
      <c r="AB614" s="27" t="s">
        <v>7</v>
      </c>
      <c r="AC614" s="27" t="s">
        <v>8</v>
      </c>
      <c r="AD614" s="27" t="s">
        <v>7</v>
      </c>
      <c r="AE614" s="27" t="s">
        <v>8</v>
      </c>
      <c r="AF614" s="27" t="s">
        <v>7</v>
      </c>
      <c r="AK614" s="27" t="s">
        <v>8</v>
      </c>
      <c r="AL614" s="27" t="s">
        <v>7</v>
      </c>
      <c r="AN614" s="27" t="s">
        <v>7</v>
      </c>
      <c r="AR614" s="27" t="s">
        <v>7</v>
      </c>
      <c r="AU614" s="27" t="s">
        <v>8</v>
      </c>
      <c r="AV614" s="27" t="s">
        <v>7</v>
      </c>
      <c r="AW614" s="27" t="s">
        <v>8</v>
      </c>
      <c r="AX614" s="27" t="s">
        <v>7</v>
      </c>
      <c r="AY614" s="27" t="s">
        <v>8</v>
      </c>
      <c r="AZ614" s="27" t="s">
        <v>7</v>
      </c>
      <c r="BA614" s="27" t="s">
        <v>8</v>
      </c>
      <c r="BB614" s="27" t="s">
        <v>7</v>
      </c>
      <c r="BC614" s="27" t="s">
        <v>8</v>
      </c>
      <c r="BD614" s="27" t="s">
        <v>7</v>
      </c>
      <c r="BE614" s="27" t="s">
        <v>8</v>
      </c>
      <c r="BF614" s="27" t="s">
        <v>7</v>
      </c>
      <c r="BG614" s="27" t="s">
        <v>8</v>
      </c>
      <c r="BH614" s="27" t="s">
        <v>7</v>
      </c>
      <c r="BJ614" s="27" t="s">
        <v>7</v>
      </c>
      <c r="BK614" s="27" t="s">
        <v>8</v>
      </c>
      <c r="BM614" s="27" t="s">
        <v>8</v>
      </c>
      <c r="BN614" s="27" t="s">
        <v>7</v>
      </c>
      <c r="BO614" s="27" t="s">
        <v>8</v>
      </c>
      <c r="BP614" s="27" t="s">
        <v>7</v>
      </c>
      <c r="BQ614" s="27" t="s">
        <v>8</v>
      </c>
      <c r="BR614" s="27" t="s">
        <v>7</v>
      </c>
      <c r="BS614" s="27" t="s">
        <v>8</v>
      </c>
      <c r="BT614" s="27" t="s">
        <v>7</v>
      </c>
      <c r="BU614" s="27" t="s">
        <v>8</v>
      </c>
      <c r="BZ614" s="27" t="s">
        <v>7</v>
      </c>
      <c r="CA614" s="27" t="s">
        <v>8</v>
      </c>
      <c r="CB614" s="27" t="s">
        <v>7</v>
      </c>
      <c r="CC614" s="27" t="s">
        <v>8</v>
      </c>
      <c r="CG614" s="27" t="s">
        <v>8</v>
      </c>
      <c r="CH614" s="27" t="s">
        <v>7</v>
      </c>
      <c r="CI614" s="27" t="s">
        <v>8</v>
      </c>
      <c r="DZ614" s="27" t="s">
        <v>7</v>
      </c>
      <c r="EA614" s="27" t="s">
        <v>8</v>
      </c>
      <c r="EB614" s="27" t="s">
        <v>7</v>
      </c>
      <c r="EC614" s="27" t="s">
        <v>8</v>
      </c>
      <c r="ED614" s="27" t="s">
        <v>7</v>
      </c>
      <c r="EK614" s="27" t="s">
        <v>8</v>
      </c>
      <c r="FS614" s="27" t="s">
        <v>8</v>
      </c>
      <c r="FT614" s="27" t="s">
        <v>7</v>
      </c>
      <c r="FW614" s="27" t="s">
        <v>8</v>
      </c>
      <c r="FX614" s="27" t="s">
        <v>7</v>
      </c>
      <c r="FY614" s="27" t="s">
        <v>8</v>
      </c>
      <c r="GA614" s="27" t="s">
        <v>8</v>
      </c>
      <c r="IR614" s="27" t="s">
        <v>7</v>
      </c>
    </row>
    <row r="615" spans="1:256" x14ac:dyDescent="0.25">
      <c r="A615" s="7">
        <v>0.57437455289470052</v>
      </c>
      <c r="B615"/>
      <c r="C615"/>
      <c r="D615"/>
      <c r="E615"/>
      <c r="F615" s="27" t="s">
        <v>7</v>
      </c>
      <c r="AA615" s="27" t="s">
        <v>8</v>
      </c>
      <c r="AB615" s="27" t="s">
        <v>7</v>
      </c>
      <c r="AC615" s="27" t="s">
        <v>8</v>
      </c>
      <c r="AD615" s="27" t="s">
        <v>7</v>
      </c>
      <c r="AE615" s="27" t="s">
        <v>8</v>
      </c>
      <c r="AF615" s="27" t="s">
        <v>7</v>
      </c>
      <c r="AK615" s="27" t="s">
        <v>8</v>
      </c>
      <c r="AR615" s="27" t="s">
        <v>7</v>
      </c>
      <c r="AU615" s="27" t="s">
        <v>8</v>
      </c>
      <c r="AV615" s="27" t="s">
        <v>7</v>
      </c>
      <c r="AW615" s="27" t="s">
        <v>8</v>
      </c>
      <c r="AX615" s="27" t="s">
        <v>7</v>
      </c>
      <c r="AY615" s="27" t="s">
        <v>8</v>
      </c>
      <c r="AZ615" s="27" t="s">
        <v>7</v>
      </c>
      <c r="BA615" s="27" t="s">
        <v>8</v>
      </c>
      <c r="BB615" s="27" t="s">
        <v>7</v>
      </c>
      <c r="BC615" s="27" t="s">
        <v>8</v>
      </c>
      <c r="BD615" s="27" t="s">
        <v>7</v>
      </c>
      <c r="BE615" s="27" t="s">
        <v>8</v>
      </c>
      <c r="BF615" s="27" t="s">
        <v>7</v>
      </c>
      <c r="BG615" s="27" t="s">
        <v>8</v>
      </c>
      <c r="BJ615" s="27" t="s">
        <v>7</v>
      </c>
      <c r="BK615" s="27" t="s">
        <v>8</v>
      </c>
      <c r="BL615" s="27" t="s">
        <v>7</v>
      </c>
      <c r="BM615" s="27" t="s">
        <v>8</v>
      </c>
      <c r="BN615" s="27" t="s">
        <v>7</v>
      </c>
      <c r="BO615" s="27" t="s">
        <v>8</v>
      </c>
      <c r="BP615" s="27" t="s">
        <v>7</v>
      </c>
      <c r="BQ615" s="27" t="s">
        <v>8</v>
      </c>
      <c r="BR615" s="27" t="s">
        <v>7</v>
      </c>
      <c r="BS615" s="27" t="s">
        <v>8</v>
      </c>
      <c r="BT615" s="27" t="s">
        <v>7</v>
      </c>
      <c r="BU615" s="27" t="s">
        <v>8</v>
      </c>
      <c r="BZ615" s="27" t="s">
        <v>7</v>
      </c>
      <c r="CA615" s="27" t="s">
        <v>8</v>
      </c>
      <c r="CB615" s="27" t="s">
        <v>7</v>
      </c>
      <c r="CC615" s="27" t="s">
        <v>8</v>
      </c>
      <c r="CD615" s="27" t="s">
        <v>7</v>
      </c>
      <c r="CE615" s="27" t="s">
        <v>8</v>
      </c>
      <c r="CG615" s="27" t="s">
        <v>8</v>
      </c>
      <c r="CH615" s="27" t="s">
        <v>7</v>
      </c>
      <c r="CI615" s="27" t="s">
        <v>8</v>
      </c>
      <c r="DZ615" s="27" t="s">
        <v>7</v>
      </c>
      <c r="EA615" s="27" t="s">
        <v>8</v>
      </c>
      <c r="EB615" s="27" t="s">
        <v>7</v>
      </c>
      <c r="EC615" s="27" t="s">
        <v>8</v>
      </c>
      <c r="ED615" s="27" t="s">
        <v>7</v>
      </c>
      <c r="EI615" s="27" t="s">
        <v>8</v>
      </c>
      <c r="EK615" s="27" t="s">
        <v>8</v>
      </c>
      <c r="EL615" s="27" t="s">
        <v>7</v>
      </c>
      <c r="FS615" s="27" t="s">
        <v>8</v>
      </c>
      <c r="FT615" s="27" t="s">
        <v>7</v>
      </c>
      <c r="FU615" s="27" t="s">
        <v>8</v>
      </c>
      <c r="FW615" s="27" t="s">
        <v>8</v>
      </c>
      <c r="FX615" s="27" t="s">
        <v>7</v>
      </c>
      <c r="FY615" s="27" t="s">
        <v>8</v>
      </c>
      <c r="FZ615" s="27" t="s">
        <v>7</v>
      </c>
      <c r="GA615" s="27" t="s">
        <v>8</v>
      </c>
      <c r="IR615" s="27" t="s">
        <v>7</v>
      </c>
    </row>
    <row r="616" spans="1:256" x14ac:dyDescent="0.25">
      <c r="A616" s="7">
        <v>0.56311230675951029</v>
      </c>
      <c r="B616"/>
      <c r="C616"/>
      <c r="D616"/>
      <c r="E616"/>
      <c r="F616" s="27" t="s">
        <v>7</v>
      </c>
      <c r="AA616" s="27" t="s">
        <v>8</v>
      </c>
      <c r="AB616" s="27" t="s">
        <v>7</v>
      </c>
      <c r="AC616" s="27" t="s">
        <v>8</v>
      </c>
      <c r="AD616" s="27" t="s">
        <v>7</v>
      </c>
      <c r="AE616" s="27" t="s">
        <v>8</v>
      </c>
      <c r="AF616" s="27" t="s">
        <v>7</v>
      </c>
      <c r="AG616" s="27" t="s">
        <v>8</v>
      </c>
      <c r="AK616" s="27" t="s">
        <v>8</v>
      </c>
      <c r="AR616" s="27" t="s">
        <v>7</v>
      </c>
      <c r="AU616" s="27" t="s">
        <v>8</v>
      </c>
      <c r="AV616" s="27" t="s">
        <v>7</v>
      </c>
      <c r="AW616" s="27" t="s">
        <v>8</v>
      </c>
      <c r="AX616" s="27" t="s">
        <v>7</v>
      </c>
      <c r="AY616" s="27" t="s">
        <v>8</v>
      </c>
      <c r="AZ616" s="27" t="s">
        <v>7</v>
      </c>
      <c r="BA616" s="27" t="s">
        <v>8</v>
      </c>
      <c r="BB616" s="27" t="s">
        <v>7</v>
      </c>
      <c r="BC616" s="27" t="s">
        <v>8</v>
      </c>
      <c r="BD616" s="27" t="s">
        <v>7</v>
      </c>
      <c r="BF616" s="27" t="s">
        <v>7</v>
      </c>
      <c r="BG616" s="27" t="s">
        <v>8</v>
      </c>
      <c r="BJ616" s="27" t="s">
        <v>7</v>
      </c>
      <c r="BK616" s="27" t="s">
        <v>8</v>
      </c>
      <c r="BL616" s="27" t="s">
        <v>7</v>
      </c>
      <c r="BM616" s="27" t="s">
        <v>8</v>
      </c>
      <c r="BN616" s="27" t="s">
        <v>7</v>
      </c>
      <c r="BO616" s="27" t="s">
        <v>8</v>
      </c>
      <c r="BP616" s="27" t="s">
        <v>7</v>
      </c>
      <c r="BQ616" s="27" t="s">
        <v>8</v>
      </c>
      <c r="BR616" s="27" t="s">
        <v>7</v>
      </c>
      <c r="BS616" s="27" t="s">
        <v>8</v>
      </c>
      <c r="BT616" s="27" t="s">
        <v>7</v>
      </c>
      <c r="BU616" s="27" t="s">
        <v>8</v>
      </c>
      <c r="BZ616" s="27" t="s">
        <v>7</v>
      </c>
      <c r="CA616" s="27" t="s">
        <v>8</v>
      </c>
      <c r="CB616" s="27" t="s">
        <v>7</v>
      </c>
      <c r="CC616" s="27" t="s">
        <v>8</v>
      </c>
      <c r="CD616" s="27" t="s">
        <v>7</v>
      </c>
      <c r="CE616" s="27" t="s">
        <v>8</v>
      </c>
      <c r="CF616" s="27" t="s">
        <v>7</v>
      </c>
      <c r="CG616" s="27" t="s">
        <v>8</v>
      </c>
      <c r="CH616" s="27" t="s">
        <v>7</v>
      </c>
      <c r="CI616" s="27" t="s">
        <v>8</v>
      </c>
      <c r="DZ616" s="27" t="s">
        <v>7</v>
      </c>
      <c r="EA616" s="27" t="s">
        <v>8</v>
      </c>
      <c r="EB616" s="27" t="s">
        <v>7</v>
      </c>
      <c r="EC616" s="27" t="s">
        <v>8</v>
      </c>
      <c r="ED616" s="27" t="s">
        <v>7</v>
      </c>
      <c r="EI616" s="27" t="s">
        <v>8</v>
      </c>
      <c r="EJ616" s="27" t="s">
        <v>7</v>
      </c>
      <c r="EK616" s="27" t="s">
        <v>8</v>
      </c>
      <c r="EL616" s="27" t="s">
        <v>7</v>
      </c>
      <c r="EM616" s="27" t="s">
        <v>8</v>
      </c>
      <c r="FS616" s="27" t="s">
        <v>8</v>
      </c>
      <c r="FT616" s="27" t="s">
        <v>7</v>
      </c>
      <c r="FU616" s="27" t="s">
        <v>8</v>
      </c>
      <c r="FV616" s="27" t="s">
        <v>7</v>
      </c>
      <c r="FW616" s="27" t="s">
        <v>8</v>
      </c>
      <c r="FX616" s="27" t="s">
        <v>7</v>
      </c>
      <c r="FY616" s="27" t="s">
        <v>8</v>
      </c>
      <c r="FZ616" s="27" t="s">
        <v>7</v>
      </c>
      <c r="GA616" s="27" t="s">
        <v>8</v>
      </c>
      <c r="IR616" s="27" t="s">
        <v>7</v>
      </c>
    </row>
    <row r="617" spans="1:256" x14ac:dyDescent="0.25">
      <c r="A617" s="7">
        <v>0.55207088897991208</v>
      </c>
      <c r="B617"/>
      <c r="C617"/>
      <c r="D617"/>
      <c r="E617"/>
      <c r="F617" s="27" t="s">
        <v>7</v>
      </c>
      <c r="Y617" s="27" t="s">
        <v>8</v>
      </c>
      <c r="AA617" s="27" t="s">
        <v>8</v>
      </c>
      <c r="AB617" s="27" t="s">
        <v>7</v>
      </c>
      <c r="AD617" s="27" t="s">
        <v>7</v>
      </c>
      <c r="AE617" s="27" t="s">
        <v>8</v>
      </c>
      <c r="AF617" s="27" t="s">
        <v>7</v>
      </c>
      <c r="AG617" s="27" t="s">
        <v>8</v>
      </c>
      <c r="AH617" s="27" t="s">
        <v>7</v>
      </c>
      <c r="AK617" s="27" t="s">
        <v>8</v>
      </c>
      <c r="AR617" s="27" t="s">
        <v>7</v>
      </c>
      <c r="AU617" s="27" t="s">
        <v>8</v>
      </c>
      <c r="AV617" s="27" t="s">
        <v>7</v>
      </c>
      <c r="AW617" s="27" t="s">
        <v>8</v>
      </c>
      <c r="AX617" s="27" t="s">
        <v>7</v>
      </c>
      <c r="AZ617" s="27" t="s">
        <v>7</v>
      </c>
      <c r="BA617" s="27" t="s">
        <v>8</v>
      </c>
      <c r="BB617" s="27" t="s">
        <v>7</v>
      </c>
      <c r="BC617" s="27" t="s">
        <v>8</v>
      </c>
      <c r="BF617" s="27" t="s">
        <v>7</v>
      </c>
      <c r="BJ617" s="27" t="s">
        <v>7</v>
      </c>
      <c r="BK617" s="27" t="s">
        <v>8</v>
      </c>
      <c r="BL617" s="27" t="s">
        <v>7</v>
      </c>
      <c r="BM617" s="27" t="s">
        <v>8</v>
      </c>
      <c r="BN617" s="27" t="s">
        <v>7</v>
      </c>
      <c r="BO617" s="27" t="s">
        <v>8</v>
      </c>
      <c r="BP617" s="27" t="s">
        <v>7</v>
      </c>
      <c r="BQ617" s="27" t="s">
        <v>8</v>
      </c>
      <c r="BR617" s="27" t="s">
        <v>7</v>
      </c>
      <c r="BS617" s="27" t="s">
        <v>8</v>
      </c>
      <c r="BT617" s="27" t="s">
        <v>7</v>
      </c>
      <c r="BU617" s="27" t="s">
        <v>8</v>
      </c>
      <c r="BZ617" s="27" t="s">
        <v>7</v>
      </c>
      <c r="CA617" s="27" t="s">
        <v>8</v>
      </c>
      <c r="CB617" s="27" t="s">
        <v>7</v>
      </c>
      <c r="CC617" s="27" t="s">
        <v>8</v>
      </c>
      <c r="CD617" s="27" t="s">
        <v>7</v>
      </c>
      <c r="CE617" s="27" t="s">
        <v>8</v>
      </c>
      <c r="CF617" s="27" t="s">
        <v>7</v>
      </c>
      <c r="CG617" s="27" t="s">
        <v>8</v>
      </c>
      <c r="CH617" s="27" t="s">
        <v>7</v>
      </c>
      <c r="CI617" s="27" t="s">
        <v>8</v>
      </c>
      <c r="DZ617" s="27" t="s">
        <v>7</v>
      </c>
      <c r="EA617" s="27" t="s">
        <v>8</v>
      </c>
      <c r="EB617" s="27" t="s">
        <v>7</v>
      </c>
      <c r="EC617" s="27" t="s">
        <v>8</v>
      </c>
      <c r="ED617" s="27" t="s">
        <v>7</v>
      </c>
      <c r="EG617" s="27" t="s">
        <v>8</v>
      </c>
      <c r="EI617" s="27" t="s">
        <v>8</v>
      </c>
      <c r="EJ617" s="27" t="s">
        <v>7</v>
      </c>
      <c r="EK617" s="27" t="s">
        <v>8</v>
      </c>
      <c r="EL617" s="27" t="s">
        <v>7</v>
      </c>
      <c r="EM617" s="27" t="s">
        <v>8</v>
      </c>
      <c r="EN617" s="27" t="s">
        <v>7</v>
      </c>
      <c r="EO617" s="27" t="s">
        <v>8</v>
      </c>
      <c r="FS617" s="27" t="s">
        <v>8</v>
      </c>
      <c r="FT617" s="27" t="s">
        <v>7</v>
      </c>
      <c r="FU617" s="27" t="s">
        <v>8</v>
      </c>
      <c r="FV617" s="27" t="s">
        <v>7</v>
      </c>
      <c r="FW617" s="27" t="s">
        <v>8</v>
      </c>
      <c r="FX617" s="27" t="s">
        <v>7</v>
      </c>
      <c r="FY617" s="27" t="s">
        <v>8</v>
      </c>
      <c r="FZ617" s="27" t="s">
        <v>7</v>
      </c>
      <c r="GA617" s="27" t="s">
        <v>8</v>
      </c>
      <c r="IR617" s="27" t="s">
        <v>7</v>
      </c>
    </row>
    <row r="618" spans="1:256" x14ac:dyDescent="0.25">
      <c r="A618" s="7">
        <v>0.54124596958814908</v>
      </c>
      <c r="B618"/>
      <c r="C618"/>
      <c r="D618"/>
      <c r="E618"/>
      <c r="F618" s="27" t="s">
        <v>7</v>
      </c>
      <c r="Y618" s="27" t="s">
        <v>8</v>
      </c>
      <c r="Z618" s="27" t="s">
        <v>7</v>
      </c>
      <c r="AA618" s="27" t="s">
        <v>8</v>
      </c>
      <c r="AD618" s="27" t="s">
        <v>7</v>
      </c>
      <c r="AE618" s="27" t="s">
        <v>8</v>
      </c>
      <c r="AF618" s="27" t="s">
        <v>7</v>
      </c>
      <c r="AG618" s="27" t="s">
        <v>8</v>
      </c>
      <c r="AH618" s="27" t="s">
        <v>7</v>
      </c>
      <c r="AK618" s="27" t="s">
        <v>8</v>
      </c>
      <c r="AR618" s="27" t="s">
        <v>7</v>
      </c>
      <c r="AU618" s="27" t="s">
        <v>8</v>
      </c>
      <c r="AV618" s="27" t="s">
        <v>7</v>
      </c>
      <c r="AW618" s="27" t="s">
        <v>8</v>
      </c>
      <c r="AZ618" s="27" t="s">
        <v>7</v>
      </c>
      <c r="BA618" s="27" t="s">
        <v>8</v>
      </c>
      <c r="BB618" s="27" t="s">
        <v>7</v>
      </c>
      <c r="BC618" s="27" t="s">
        <v>8</v>
      </c>
      <c r="BJ618" s="27" t="s">
        <v>7</v>
      </c>
      <c r="BK618" s="27" t="s">
        <v>8</v>
      </c>
      <c r="BL618" s="27" t="s">
        <v>7</v>
      </c>
      <c r="BM618" s="27" t="s">
        <v>8</v>
      </c>
      <c r="BN618" s="27" t="s">
        <v>7</v>
      </c>
      <c r="BO618" s="27" t="s">
        <v>8</v>
      </c>
      <c r="BP618" s="27" t="s">
        <v>7</v>
      </c>
      <c r="BQ618" s="27" t="s">
        <v>8</v>
      </c>
      <c r="BR618" s="27" t="s">
        <v>7</v>
      </c>
      <c r="BS618" s="27" t="s">
        <v>8</v>
      </c>
      <c r="BT618" s="27" t="s">
        <v>7</v>
      </c>
      <c r="BU618" s="27" t="s">
        <v>8</v>
      </c>
      <c r="BZ618" s="27" t="s">
        <v>7</v>
      </c>
      <c r="CA618" s="27" t="s">
        <v>8</v>
      </c>
      <c r="CB618" s="27" t="s">
        <v>7</v>
      </c>
      <c r="CC618" s="27" t="s">
        <v>8</v>
      </c>
      <c r="CD618" s="27" t="s">
        <v>7</v>
      </c>
      <c r="CE618" s="27" t="s">
        <v>8</v>
      </c>
      <c r="CF618" s="27" t="s">
        <v>7</v>
      </c>
      <c r="CG618" s="27" t="s">
        <v>8</v>
      </c>
      <c r="CH618" s="27" t="s">
        <v>7</v>
      </c>
      <c r="CI618" s="27" t="s">
        <v>8</v>
      </c>
      <c r="DZ618" s="27" t="s">
        <v>7</v>
      </c>
      <c r="EA618" s="27" t="s">
        <v>8</v>
      </c>
      <c r="EB618" s="27" t="s">
        <v>7</v>
      </c>
      <c r="EC618" s="27" t="s">
        <v>8</v>
      </c>
      <c r="ED618" s="27" t="s">
        <v>7</v>
      </c>
      <c r="EG618" s="27" t="s">
        <v>8</v>
      </c>
      <c r="EH618" s="27" t="s">
        <v>7</v>
      </c>
      <c r="EI618" s="27" t="s">
        <v>8</v>
      </c>
      <c r="EJ618" s="27" t="s">
        <v>7</v>
      </c>
      <c r="EK618" s="27" t="s">
        <v>8</v>
      </c>
      <c r="EL618" s="27" t="s">
        <v>7</v>
      </c>
      <c r="EM618" s="27" t="s">
        <v>8</v>
      </c>
      <c r="EN618" s="27" t="s">
        <v>7</v>
      </c>
      <c r="EO618" s="27" t="s">
        <v>8</v>
      </c>
      <c r="EP618" s="27" t="s">
        <v>7</v>
      </c>
      <c r="FQ618" s="27" t="s">
        <v>8</v>
      </c>
      <c r="FS618" s="27" t="s">
        <v>8</v>
      </c>
      <c r="FT618" s="27" t="s">
        <v>7</v>
      </c>
      <c r="FU618" s="27" t="s">
        <v>8</v>
      </c>
      <c r="FV618" s="27" t="s">
        <v>7</v>
      </c>
      <c r="FW618" s="27" t="s">
        <v>8</v>
      </c>
      <c r="FX618" s="27" t="s">
        <v>7</v>
      </c>
      <c r="FY618" s="27" t="s">
        <v>8</v>
      </c>
      <c r="FZ618" s="27" t="s">
        <v>7</v>
      </c>
      <c r="GA618" s="27" t="s">
        <v>8</v>
      </c>
      <c r="IR618" s="27" t="s">
        <v>7</v>
      </c>
    </row>
    <row r="619" spans="1:256" x14ac:dyDescent="0.25">
      <c r="A619" s="7">
        <v>0.53063330351779314</v>
      </c>
      <c r="B619"/>
      <c r="C619"/>
      <c r="D619"/>
      <c r="E619"/>
      <c r="F619" s="27" t="s">
        <v>7</v>
      </c>
      <c r="Y619" s="27" t="s">
        <v>8</v>
      </c>
      <c r="Z619" s="27" t="s">
        <v>7</v>
      </c>
      <c r="AA619" s="27" t="s">
        <v>8</v>
      </c>
      <c r="AD619" s="27" t="s">
        <v>7</v>
      </c>
      <c r="AE619" s="27" t="s">
        <v>8</v>
      </c>
      <c r="AF619" s="27" t="s">
        <v>7</v>
      </c>
      <c r="AG619" s="27" t="s">
        <v>8</v>
      </c>
      <c r="AH619" s="27" t="s">
        <v>7</v>
      </c>
      <c r="AK619" s="27" t="s">
        <v>8</v>
      </c>
      <c r="AR619" s="27" t="s">
        <v>7</v>
      </c>
      <c r="AU619" s="27" t="s">
        <v>8</v>
      </c>
      <c r="AV619" s="27" t="s">
        <v>7</v>
      </c>
      <c r="AW619" s="27" t="s">
        <v>8</v>
      </c>
      <c r="AZ619" s="27" t="s">
        <v>7</v>
      </c>
      <c r="BA619" s="27" t="s">
        <v>8</v>
      </c>
      <c r="BB619" s="27" t="s">
        <v>7</v>
      </c>
      <c r="BC619" s="27" t="s">
        <v>8</v>
      </c>
      <c r="BJ619" s="27" t="s">
        <v>7</v>
      </c>
      <c r="BK619" s="27" t="s">
        <v>8</v>
      </c>
      <c r="BL619" s="27" t="s">
        <v>7</v>
      </c>
      <c r="BM619" s="27" t="s">
        <v>8</v>
      </c>
      <c r="BN619" s="27" t="s">
        <v>7</v>
      </c>
      <c r="BO619" s="27" t="s">
        <v>8</v>
      </c>
      <c r="BP619" s="27" t="s">
        <v>7</v>
      </c>
      <c r="BR619" s="27" t="s">
        <v>7</v>
      </c>
      <c r="BT619" s="27" t="s">
        <v>7</v>
      </c>
      <c r="BU619" s="27" t="s">
        <v>8</v>
      </c>
      <c r="BZ619" s="27" t="s">
        <v>7</v>
      </c>
      <c r="CA619" s="27" t="s">
        <v>8</v>
      </c>
      <c r="CB619" s="27" t="s">
        <v>7</v>
      </c>
      <c r="CC619" s="27" t="s">
        <v>8</v>
      </c>
      <c r="CD619" s="27" t="s">
        <v>7</v>
      </c>
      <c r="CE619" s="27" t="s">
        <v>8</v>
      </c>
      <c r="CF619" s="27" t="s">
        <v>7</v>
      </c>
      <c r="CG619" s="27" t="s">
        <v>8</v>
      </c>
      <c r="CH619" s="27" t="s">
        <v>7</v>
      </c>
      <c r="DZ619" s="27" t="s">
        <v>7</v>
      </c>
      <c r="EA619" s="27" t="s">
        <v>8</v>
      </c>
      <c r="EB619" s="27" t="s">
        <v>7</v>
      </c>
      <c r="EC619" s="27" t="s">
        <v>8</v>
      </c>
      <c r="ED619" s="27" t="s">
        <v>7</v>
      </c>
      <c r="EG619" s="27" t="s">
        <v>8</v>
      </c>
      <c r="EH619" s="27" t="s">
        <v>7</v>
      </c>
      <c r="EI619" s="27" t="s">
        <v>8</v>
      </c>
      <c r="EJ619" s="27" t="s">
        <v>7</v>
      </c>
      <c r="EK619" s="27" t="s">
        <v>8</v>
      </c>
      <c r="EL619" s="27" t="s">
        <v>7</v>
      </c>
      <c r="EM619" s="27" t="s">
        <v>8</v>
      </c>
      <c r="EN619" s="27" t="s">
        <v>7</v>
      </c>
      <c r="EO619" s="27" t="s">
        <v>8</v>
      </c>
      <c r="EP619" s="27" t="s">
        <v>7</v>
      </c>
      <c r="FO619" s="27" t="s">
        <v>8</v>
      </c>
      <c r="FQ619" s="27" t="s">
        <v>8</v>
      </c>
      <c r="FR619" s="27" t="s">
        <v>7</v>
      </c>
      <c r="FS619" s="27" t="s">
        <v>8</v>
      </c>
      <c r="FT619" s="27" t="s">
        <v>7</v>
      </c>
      <c r="FV619" s="27" t="s">
        <v>7</v>
      </c>
      <c r="FW619" s="27" t="s">
        <v>8</v>
      </c>
      <c r="FX619" s="27" t="s">
        <v>7</v>
      </c>
      <c r="FY619" s="27" t="s">
        <v>8</v>
      </c>
      <c r="FZ619" s="27" t="s">
        <v>7</v>
      </c>
      <c r="GA619" s="27" t="s">
        <v>8</v>
      </c>
      <c r="IR619" s="27" t="s">
        <v>7</v>
      </c>
    </row>
    <row r="620" spans="1:256" x14ac:dyDescent="0.25">
      <c r="A620" s="7">
        <v>0.52022872893901284</v>
      </c>
      <c r="B620"/>
      <c r="C620"/>
      <c r="D620"/>
      <c r="E620"/>
      <c r="F620" s="27" t="s">
        <v>7</v>
      </c>
      <c r="Y620" s="27" t="s">
        <v>8</v>
      </c>
      <c r="Z620" s="27" t="s">
        <v>7</v>
      </c>
      <c r="AA620" s="27" t="s">
        <v>8</v>
      </c>
      <c r="AD620" s="27" t="s">
        <v>7</v>
      </c>
      <c r="AE620" s="27" t="s">
        <v>8</v>
      </c>
      <c r="AF620" s="27" t="s">
        <v>7</v>
      </c>
      <c r="AG620" s="27" t="s">
        <v>8</v>
      </c>
      <c r="AH620" s="27" t="s">
        <v>7</v>
      </c>
      <c r="AK620" s="27" t="s">
        <v>8</v>
      </c>
      <c r="AR620" s="27" t="s">
        <v>7</v>
      </c>
      <c r="AU620" s="27" t="s">
        <v>8</v>
      </c>
      <c r="AV620" s="27" t="s">
        <v>7</v>
      </c>
      <c r="AW620" s="27" t="s">
        <v>8</v>
      </c>
      <c r="AZ620" s="27" t="s">
        <v>7</v>
      </c>
      <c r="BA620" s="27" t="s">
        <v>8</v>
      </c>
      <c r="BB620" s="27" t="s">
        <v>7</v>
      </c>
      <c r="BC620" s="27" t="s">
        <v>8</v>
      </c>
      <c r="BJ620" s="27" t="s">
        <v>7</v>
      </c>
      <c r="BK620" s="27" t="s">
        <v>8</v>
      </c>
      <c r="BL620" s="27" t="s">
        <v>7</v>
      </c>
      <c r="BN620" s="27" t="s">
        <v>7</v>
      </c>
      <c r="BT620" s="27" t="s">
        <v>7</v>
      </c>
      <c r="BU620" s="27" t="s">
        <v>8</v>
      </c>
      <c r="BZ620" s="27" t="s">
        <v>7</v>
      </c>
      <c r="CA620" s="27" t="s">
        <v>8</v>
      </c>
      <c r="CB620" s="27" t="s">
        <v>7</v>
      </c>
      <c r="CC620" s="27" t="s">
        <v>8</v>
      </c>
      <c r="CD620" s="27" t="s">
        <v>7</v>
      </c>
      <c r="CE620" s="27" t="s">
        <v>8</v>
      </c>
      <c r="CF620" s="27" t="s">
        <v>7</v>
      </c>
      <c r="DZ620" s="27" t="s">
        <v>7</v>
      </c>
      <c r="EA620" s="27" t="s">
        <v>8</v>
      </c>
      <c r="EB620" s="27" t="s">
        <v>7</v>
      </c>
      <c r="EC620" s="27" t="s">
        <v>8</v>
      </c>
      <c r="ED620" s="27" t="s">
        <v>7</v>
      </c>
      <c r="EE620" s="27" t="s">
        <v>8</v>
      </c>
      <c r="EG620" s="27" t="s">
        <v>8</v>
      </c>
      <c r="EH620" s="27" t="s">
        <v>7</v>
      </c>
      <c r="EI620" s="27" t="s">
        <v>8</v>
      </c>
      <c r="EJ620" s="27" t="s">
        <v>7</v>
      </c>
      <c r="EK620" s="27" t="s">
        <v>8</v>
      </c>
      <c r="EL620" s="27" t="s">
        <v>7</v>
      </c>
      <c r="EM620" s="27" t="s">
        <v>8</v>
      </c>
      <c r="EN620" s="27" t="s">
        <v>7</v>
      </c>
      <c r="EO620" s="27" t="s">
        <v>8</v>
      </c>
      <c r="EP620" s="27" t="s">
        <v>7</v>
      </c>
      <c r="FO620" s="27" t="s">
        <v>8</v>
      </c>
      <c r="FP620" s="27" t="s">
        <v>7</v>
      </c>
      <c r="FQ620" s="27" t="s">
        <v>8</v>
      </c>
      <c r="FR620" s="27" t="s">
        <v>7</v>
      </c>
      <c r="FS620" s="27" t="s">
        <v>8</v>
      </c>
      <c r="FV620" s="27" t="s">
        <v>7</v>
      </c>
      <c r="FW620" s="27" t="s">
        <v>8</v>
      </c>
      <c r="FX620" s="27" t="s">
        <v>7</v>
      </c>
      <c r="FY620" s="27" t="s">
        <v>8</v>
      </c>
      <c r="FZ620" s="27" t="s">
        <v>7</v>
      </c>
      <c r="IR620" s="27" t="s">
        <v>7</v>
      </c>
      <c r="IS620" s="27" t="s">
        <v>8</v>
      </c>
    </row>
    <row r="621" spans="1:256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Y621" s="27" t="s">
        <v>8</v>
      </c>
      <c r="Z621" s="27" t="s">
        <v>7</v>
      </c>
      <c r="AA621" s="27" t="s">
        <v>8</v>
      </c>
      <c r="AD621" s="27" t="s">
        <v>7</v>
      </c>
      <c r="AE621" s="27" t="s">
        <v>8</v>
      </c>
      <c r="AF621" s="27" t="s">
        <v>7</v>
      </c>
      <c r="AH621" s="27" t="s">
        <v>7</v>
      </c>
      <c r="AI621" s="27" t="s">
        <v>8</v>
      </c>
      <c r="AK621" s="27" t="s">
        <v>8</v>
      </c>
      <c r="AR621" s="27" t="s">
        <v>7</v>
      </c>
      <c r="AU621" s="27" t="s">
        <v>8</v>
      </c>
      <c r="AV621" s="27" t="s">
        <v>7</v>
      </c>
      <c r="AW621" s="27" t="s">
        <v>8</v>
      </c>
      <c r="AZ621" s="27" t="s">
        <v>7</v>
      </c>
      <c r="BA621" s="27" t="s">
        <v>8</v>
      </c>
      <c r="BB621" s="27" t="s">
        <v>7</v>
      </c>
      <c r="BC621" s="27" t="s">
        <v>8</v>
      </c>
      <c r="BJ621" s="27" t="s">
        <v>7</v>
      </c>
      <c r="BT621" s="27" t="s">
        <v>7</v>
      </c>
      <c r="BU621" s="27" t="s">
        <v>8</v>
      </c>
      <c r="BZ621" s="27" t="s">
        <v>7</v>
      </c>
      <c r="CA621" s="27" t="s">
        <v>8</v>
      </c>
      <c r="CB621" s="27" t="s">
        <v>7</v>
      </c>
      <c r="CD621" s="27" t="s">
        <v>7</v>
      </c>
      <c r="CE621" s="27" t="s">
        <v>8</v>
      </c>
      <c r="DZ621" s="27" t="s">
        <v>7</v>
      </c>
      <c r="EA621" s="27" t="s">
        <v>8</v>
      </c>
      <c r="EB621" s="27" t="s">
        <v>7</v>
      </c>
      <c r="EC621" s="27" t="s">
        <v>8</v>
      </c>
      <c r="ED621" s="27" t="s">
        <v>7</v>
      </c>
      <c r="EE621" s="27" t="s">
        <v>8</v>
      </c>
      <c r="EF621" s="27" t="s">
        <v>7</v>
      </c>
      <c r="EG621" s="27" t="s">
        <v>8</v>
      </c>
      <c r="EH621" s="27" t="s">
        <v>7</v>
      </c>
      <c r="EI621" s="27" t="s">
        <v>8</v>
      </c>
      <c r="EJ621" s="27" t="s">
        <v>7</v>
      </c>
      <c r="EK621" s="27" t="s">
        <v>8</v>
      </c>
      <c r="EL621" s="27" t="s">
        <v>7</v>
      </c>
      <c r="EM621" s="27" t="s">
        <v>8</v>
      </c>
      <c r="EN621" s="27" t="s">
        <v>7</v>
      </c>
      <c r="EO621" s="27" t="s">
        <v>8</v>
      </c>
      <c r="EP621" s="27" t="s">
        <v>7</v>
      </c>
      <c r="FO621" s="27" t="s">
        <v>8</v>
      </c>
      <c r="FP621" s="27" t="s">
        <v>7</v>
      </c>
      <c r="FQ621" s="27" t="s">
        <v>8</v>
      </c>
      <c r="FR621" s="27" t="s">
        <v>7</v>
      </c>
      <c r="FS621" s="27" t="s">
        <v>8</v>
      </c>
      <c r="FV621" s="27" t="s">
        <v>7</v>
      </c>
      <c r="FW621" s="27" t="s">
        <v>8</v>
      </c>
      <c r="FX621" s="27" t="s">
        <v>7</v>
      </c>
      <c r="FY621" s="27" t="s">
        <v>8</v>
      </c>
      <c r="IR621" s="27" t="s">
        <v>7</v>
      </c>
      <c r="IS621" s="27" t="s">
        <v>8</v>
      </c>
      <c r="IT621" s="27" t="s">
        <v>7</v>
      </c>
    </row>
    <row r="622" spans="1:256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Y622" s="27" t="s">
        <v>8</v>
      </c>
      <c r="Z622" s="27" t="s">
        <v>7</v>
      </c>
      <c r="AA622" s="27" t="s">
        <v>8</v>
      </c>
      <c r="AD622" s="27" t="s">
        <v>7</v>
      </c>
      <c r="AE622" s="27" t="s">
        <v>8</v>
      </c>
      <c r="AH622" s="27" t="s">
        <v>7</v>
      </c>
      <c r="AI622" s="27" t="s">
        <v>8</v>
      </c>
      <c r="AJ622" s="27" t="s">
        <v>7</v>
      </c>
      <c r="AK622" s="27" t="s">
        <v>8</v>
      </c>
      <c r="AR622" s="27" t="s">
        <v>7</v>
      </c>
      <c r="AU622" s="27" t="s">
        <v>8</v>
      </c>
      <c r="AV622" s="27" t="s">
        <v>7</v>
      </c>
      <c r="AW622" s="27" t="s">
        <v>8</v>
      </c>
      <c r="AZ622" s="27" t="s">
        <v>7</v>
      </c>
      <c r="BA622" s="27" t="s">
        <v>8</v>
      </c>
      <c r="BB622" s="27" t="s">
        <v>7</v>
      </c>
      <c r="BT622" s="27" t="s">
        <v>7</v>
      </c>
      <c r="BU622" s="27" t="s">
        <v>8</v>
      </c>
      <c r="BZ622" s="27" t="s">
        <v>7</v>
      </c>
      <c r="CA622" s="27" t="s">
        <v>8</v>
      </c>
      <c r="CD622" s="27" t="s">
        <v>7</v>
      </c>
      <c r="CE622" s="27" t="s">
        <v>8</v>
      </c>
      <c r="DZ622" s="27" t="s">
        <v>7</v>
      </c>
      <c r="EA622" s="27" t="s">
        <v>8</v>
      </c>
      <c r="EB622" s="27" t="s">
        <v>7</v>
      </c>
      <c r="EC622" s="27" t="s">
        <v>8</v>
      </c>
      <c r="ED622" s="27" t="s">
        <v>7</v>
      </c>
      <c r="EE622" s="27" t="s">
        <v>8</v>
      </c>
      <c r="EF622" s="27" t="s">
        <v>7</v>
      </c>
      <c r="EG622" s="27" t="s">
        <v>8</v>
      </c>
      <c r="EH622" s="27" t="s">
        <v>7</v>
      </c>
      <c r="EI622" s="27" t="s">
        <v>8</v>
      </c>
      <c r="EJ622" s="27" t="s">
        <v>7</v>
      </c>
      <c r="EK622" s="27" t="s">
        <v>8</v>
      </c>
      <c r="EL622" s="27" t="s">
        <v>7</v>
      </c>
      <c r="EM622" s="27" t="s">
        <v>8</v>
      </c>
      <c r="EN622" s="27" t="s">
        <v>7</v>
      </c>
      <c r="EO622" s="27" t="s">
        <v>8</v>
      </c>
      <c r="EP622" s="27" t="s">
        <v>7</v>
      </c>
      <c r="FO622" s="27" t="s">
        <v>8</v>
      </c>
      <c r="FP622" s="27" t="s">
        <v>7</v>
      </c>
      <c r="FQ622" s="27" t="s">
        <v>8</v>
      </c>
      <c r="FR622" s="27" t="s">
        <v>7</v>
      </c>
      <c r="FS622" s="27" t="s">
        <v>8</v>
      </c>
      <c r="FV622" s="27" t="s">
        <v>7</v>
      </c>
      <c r="FX622" s="27" t="s">
        <v>7</v>
      </c>
      <c r="IR622" s="27" t="s">
        <v>7</v>
      </c>
      <c r="IS622" s="27" t="s">
        <v>8</v>
      </c>
      <c r="IT622" s="27" t="s">
        <v>7</v>
      </c>
      <c r="IU622" s="27" t="s">
        <v>8</v>
      </c>
    </row>
    <row r="623" spans="1:256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I623" s="27" t="s">
        <v>8</v>
      </c>
      <c r="Y623" s="27" t="s">
        <v>8</v>
      </c>
      <c r="Z623" s="27" t="s">
        <v>7</v>
      </c>
      <c r="AA623" s="27" t="s">
        <v>8</v>
      </c>
      <c r="AD623" s="27" t="s">
        <v>7</v>
      </c>
      <c r="AH623" s="27" t="s">
        <v>7</v>
      </c>
      <c r="AI623" s="27" t="s">
        <v>8</v>
      </c>
      <c r="AJ623" s="27" t="s">
        <v>7</v>
      </c>
      <c r="AK623" s="27" t="s">
        <v>8</v>
      </c>
      <c r="AR623" s="27" t="s">
        <v>7</v>
      </c>
      <c r="AU623" s="27" t="s">
        <v>8</v>
      </c>
      <c r="AV623" s="27" t="s">
        <v>7</v>
      </c>
      <c r="AW623" s="27" t="s">
        <v>8</v>
      </c>
      <c r="AZ623" s="27" t="s">
        <v>7</v>
      </c>
      <c r="BA623" s="27" t="s">
        <v>8</v>
      </c>
      <c r="BT623" s="27" t="s">
        <v>7</v>
      </c>
      <c r="BU623" s="27" t="s">
        <v>8</v>
      </c>
      <c r="BZ623" s="27" t="s">
        <v>7</v>
      </c>
      <c r="CA623" s="27" t="s">
        <v>8</v>
      </c>
      <c r="CD623" s="27" t="s">
        <v>7</v>
      </c>
      <c r="DZ623" s="27" t="s">
        <v>7</v>
      </c>
      <c r="EA623" s="27" t="s">
        <v>8</v>
      </c>
      <c r="EB623" s="27" t="s">
        <v>7</v>
      </c>
      <c r="EC623" s="27" t="s">
        <v>8</v>
      </c>
      <c r="ED623" s="27" t="s">
        <v>7</v>
      </c>
      <c r="EE623" s="27" t="s">
        <v>8</v>
      </c>
      <c r="EF623" s="27" t="s">
        <v>7</v>
      </c>
      <c r="EH623" s="27" t="s">
        <v>7</v>
      </c>
      <c r="EI623" s="27" t="s">
        <v>8</v>
      </c>
      <c r="EJ623" s="27" t="s">
        <v>7</v>
      </c>
      <c r="EK623" s="27" t="s">
        <v>8</v>
      </c>
      <c r="EL623" s="27" t="s">
        <v>7</v>
      </c>
      <c r="EM623" s="27" t="s">
        <v>8</v>
      </c>
      <c r="EN623" s="27" t="s">
        <v>7</v>
      </c>
      <c r="EO623" s="27" t="s">
        <v>8</v>
      </c>
      <c r="EP623" s="27" t="s">
        <v>7</v>
      </c>
      <c r="FO623" s="27" t="s">
        <v>8</v>
      </c>
      <c r="FP623" s="27" t="s">
        <v>7</v>
      </c>
      <c r="FQ623" s="27" t="s">
        <v>8</v>
      </c>
      <c r="FR623" s="27" t="s">
        <v>7</v>
      </c>
      <c r="FS623" s="27" t="s">
        <v>8</v>
      </c>
      <c r="IR623" s="27" t="s">
        <v>7</v>
      </c>
      <c r="IS623" s="27" t="s">
        <v>8</v>
      </c>
      <c r="IT623" s="27" t="s">
        <v>7</v>
      </c>
      <c r="IU623" s="27" t="s">
        <v>8</v>
      </c>
      <c r="IV623" s="27" t="s">
        <v>7</v>
      </c>
    </row>
    <row r="624" spans="1:256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I624" s="27" t="s">
        <v>8</v>
      </c>
      <c r="J624" s="27" t="s">
        <v>7</v>
      </c>
      <c r="K624" s="27" t="s">
        <v>8</v>
      </c>
      <c r="W624" s="27" t="s">
        <v>8</v>
      </c>
      <c r="Y624" s="27" t="s">
        <v>8</v>
      </c>
      <c r="Z624" s="27" t="s">
        <v>7</v>
      </c>
      <c r="AA624" s="27" t="s">
        <v>8</v>
      </c>
      <c r="AH624" s="27" t="s">
        <v>7</v>
      </c>
      <c r="AI624" s="27" t="s">
        <v>8</v>
      </c>
      <c r="AJ624" s="27" t="s">
        <v>7</v>
      </c>
      <c r="AK624" s="27" t="s">
        <v>8</v>
      </c>
      <c r="AR624" s="27" t="s">
        <v>7</v>
      </c>
      <c r="AS624" s="27" t="s">
        <v>8</v>
      </c>
      <c r="AU624" s="27" t="s">
        <v>8</v>
      </c>
      <c r="AV624" s="27" t="s">
        <v>7</v>
      </c>
      <c r="AZ624" s="27" t="s">
        <v>7</v>
      </c>
      <c r="BT624" s="27" t="s">
        <v>7</v>
      </c>
      <c r="BU624" s="27" t="s">
        <v>8</v>
      </c>
      <c r="BZ624" s="27" t="s">
        <v>7</v>
      </c>
      <c r="DZ624" s="27" t="s">
        <v>7</v>
      </c>
      <c r="EA624" s="27" t="s">
        <v>8</v>
      </c>
      <c r="EB624" s="27" t="s">
        <v>7</v>
      </c>
      <c r="EC624" s="27" t="s">
        <v>8</v>
      </c>
      <c r="ED624" s="27" t="s">
        <v>7</v>
      </c>
      <c r="EE624" s="27" t="s">
        <v>8</v>
      </c>
      <c r="EH624" s="27" t="s">
        <v>7</v>
      </c>
      <c r="EI624" s="27" t="s">
        <v>8</v>
      </c>
      <c r="EJ624" s="27" t="s">
        <v>7</v>
      </c>
      <c r="EK624" s="27" t="s">
        <v>8</v>
      </c>
      <c r="EL624" s="27" t="s">
        <v>7</v>
      </c>
      <c r="EM624" s="27" t="s">
        <v>8</v>
      </c>
      <c r="EN624" s="27" t="s">
        <v>7</v>
      </c>
      <c r="EO624" s="27" t="s">
        <v>8</v>
      </c>
      <c r="EP624" s="27" t="s">
        <v>7</v>
      </c>
      <c r="FO624" s="27" t="s">
        <v>8</v>
      </c>
      <c r="FP624" s="27" t="s">
        <v>7</v>
      </c>
      <c r="FQ624" s="27" t="s">
        <v>8</v>
      </c>
      <c r="FR624" s="27" t="s">
        <v>7</v>
      </c>
      <c r="FS624" s="27" t="s">
        <v>8</v>
      </c>
      <c r="IR624" s="27" t="s">
        <v>7</v>
      </c>
      <c r="IS624" s="27" t="s">
        <v>8</v>
      </c>
      <c r="IT624" s="27" t="s">
        <v>7</v>
      </c>
      <c r="IU624" s="27" t="s">
        <v>8</v>
      </c>
      <c r="IV624" s="27" t="s">
        <v>7</v>
      </c>
    </row>
    <row r="625" spans="1:256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J625" s="27" t="s">
        <v>7</v>
      </c>
      <c r="K625" s="27" t="s">
        <v>8</v>
      </c>
      <c r="L625" s="27" t="s">
        <v>7</v>
      </c>
      <c r="W625" s="27" t="s">
        <v>8</v>
      </c>
      <c r="X625" s="27" t="s">
        <v>7</v>
      </c>
      <c r="Y625" s="27" t="s">
        <v>8</v>
      </c>
      <c r="Z625" s="27" t="s">
        <v>7</v>
      </c>
      <c r="AA625" s="27" t="s">
        <v>8</v>
      </c>
      <c r="AH625" s="27" t="s">
        <v>7</v>
      </c>
      <c r="AI625" s="27" t="s">
        <v>8</v>
      </c>
      <c r="AJ625" s="27" t="s">
        <v>7</v>
      </c>
      <c r="AR625" s="27" t="s">
        <v>7</v>
      </c>
      <c r="AS625" s="27" t="s">
        <v>8</v>
      </c>
      <c r="AT625" s="27" t="s">
        <v>7</v>
      </c>
      <c r="AU625" s="27" t="s">
        <v>8</v>
      </c>
      <c r="BT625" s="27" t="s">
        <v>7</v>
      </c>
      <c r="BU625" s="27" t="s">
        <v>8</v>
      </c>
      <c r="DZ625" s="27" t="s">
        <v>7</v>
      </c>
      <c r="EA625" s="27" t="s">
        <v>8</v>
      </c>
      <c r="EB625" s="27" t="s">
        <v>7</v>
      </c>
      <c r="EC625" s="27" t="s">
        <v>8</v>
      </c>
      <c r="ED625" s="27" t="s">
        <v>7</v>
      </c>
      <c r="EE625" s="27" t="s">
        <v>8</v>
      </c>
      <c r="EH625" s="27" t="s">
        <v>7</v>
      </c>
      <c r="EI625" s="27" t="s">
        <v>8</v>
      </c>
      <c r="EJ625" s="27" t="s">
        <v>7</v>
      </c>
      <c r="EK625" s="27" t="s">
        <v>8</v>
      </c>
      <c r="EL625" s="27" t="s">
        <v>7</v>
      </c>
      <c r="EM625" s="27" t="s">
        <v>8</v>
      </c>
      <c r="EN625" s="27" t="s">
        <v>7</v>
      </c>
      <c r="EP625" s="27" t="s">
        <v>7</v>
      </c>
      <c r="FO625" s="27" t="s">
        <v>8</v>
      </c>
      <c r="FP625" s="27" t="s">
        <v>7</v>
      </c>
      <c r="FQ625" s="27" t="s">
        <v>8</v>
      </c>
      <c r="FR625" s="27" t="s">
        <v>7</v>
      </c>
      <c r="IR625" s="27" t="s">
        <v>7</v>
      </c>
      <c r="IS625" s="27" t="s">
        <v>8</v>
      </c>
      <c r="IT625" s="27" t="s">
        <v>7</v>
      </c>
      <c r="IU625" s="27" t="s">
        <v>8</v>
      </c>
      <c r="IV625" s="27" t="s">
        <v>7</v>
      </c>
    </row>
    <row r="626" spans="1:256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I626" s="27" t="s">
        <v>8</v>
      </c>
      <c r="J626" s="27" t="s">
        <v>7</v>
      </c>
      <c r="K626" s="27" t="s">
        <v>8</v>
      </c>
      <c r="L626" s="27" t="s">
        <v>7</v>
      </c>
      <c r="W626" s="27" t="s">
        <v>8</v>
      </c>
      <c r="X626" s="27" t="s">
        <v>7</v>
      </c>
      <c r="Y626" s="27" t="s">
        <v>8</v>
      </c>
      <c r="Z626" s="27" t="s">
        <v>7</v>
      </c>
      <c r="AA626" s="27" t="s">
        <v>8</v>
      </c>
      <c r="AH626" s="27" t="s">
        <v>7</v>
      </c>
      <c r="AI626" s="27" t="s">
        <v>8</v>
      </c>
      <c r="AR626" s="27" t="s">
        <v>7</v>
      </c>
      <c r="AS626" s="27" t="s">
        <v>8</v>
      </c>
      <c r="AT626" s="27" t="s">
        <v>7</v>
      </c>
      <c r="AU626" s="27" t="s">
        <v>8</v>
      </c>
      <c r="BT626" s="27" t="s">
        <v>7</v>
      </c>
      <c r="BU626" s="27" t="s">
        <v>8</v>
      </c>
      <c r="DZ626" s="27" t="s">
        <v>7</v>
      </c>
      <c r="EA626" s="27" t="s">
        <v>8</v>
      </c>
      <c r="EB626" s="27" t="s">
        <v>7</v>
      </c>
      <c r="EC626" s="27" t="s">
        <v>8</v>
      </c>
      <c r="ED626" s="27" t="s">
        <v>7</v>
      </c>
      <c r="EE626" s="27" t="s">
        <v>8</v>
      </c>
      <c r="EH626" s="27" t="s">
        <v>7</v>
      </c>
      <c r="EI626" s="27" t="s">
        <v>8</v>
      </c>
      <c r="EJ626" s="27" t="s">
        <v>7</v>
      </c>
      <c r="EK626" s="27" t="s">
        <v>8</v>
      </c>
      <c r="EL626" s="27" t="s">
        <v>7</v>
      </c>
      <c r="EM626" s="27" t="s">
        <v>8</v>
      </c>
      <c r="EP626" s="27" t="s">
        <v>7</v>
      </c>
      <c r="EQ626" s="27" t="s">
        <v>8</v>
      </c>
      <c r="FO626" s="27" t="s">
        <v>8</v>
      </c>
      <c r="FP626" s="27" t="s">
        <v>7</v>
      </c>
      <c r="IR626" s="27" t="s">
        <v>7</v>
      </c>
      <c r="IS626" s="27" t="s">
        <v>8</v>
      </c>
      <c r="IT626" s="27" t="s">
        <v>7</v>
      </c>
      <c r="IU626" s="27" t="s">
        <v>8</v>
      </c>
      <c r="IV626" s="27" t="s">
        <v>7</v>
      </c>
    </row>
    <row r="627" spans="1:256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I627" s="27" t="s">
        <v>8</v>
      </c>
      <c r="J627" s="27" t="s">
        <v>7</v>
      </c>
      <c r="K627" s="27" t="s">
        <v>8</v>
      </c>
      <c r="L627" s="27" t="s">
        <v>7</v>
      </c>
      <c r="W627" s="27" t="s">
        <v>8</v>
      </c>
      <c r="X627" s="27" t="s">
        <v>7</v>
      </c>
      <c r="Y627" s="27" t="s">
        <v>8</v>
      </c>
      <c r="Z627" s="27" t="s">
        <v>7</v>
      </c>
      <c r="AH627" s="27" t="s">
        <v>7</v>
      </c>
      <c r="AI627" s="27" t="s">
        <v>8</v>
      </c>
      <c r="AR627" s="27" t="s">
        <v>7</v>
      </c>
      <c r="AS627" s="27" t="s">
        <v>8</v>
      </c>
      <c r="AT627" s="27" t="s">
        <v>7</v>
      </c>
      <c r="AU627" s="27" t="s">
        <v>8</v>
      </c>
      <c r="BT627" s="27" t="s">
        <v>7</v>
      </c>
      <c r="BU627" s="27" t="s">
        <v>8</v>
      </c>
      <c r="DZ627" s="27" t="s">
        <v>7</v>
      </c>
      <c r="EA627" s="27" t="s">
        <v>8</v>
      </c>
      <c r="EB627" s="27" t="s">
        <v>7</v>
      </c>
      <c r="EC627" s="27" t="s">
        <v>8</v>
      </c>
      <c r="ED627" s="27" t="s">
        <v>7</v>
      </c>
      <c r="EE627" s="27" t="s">
        <v>8</v>
      </c>
      <c r="EH627" s="27" t="s">
        <v>7</v>
      </c>
      <c r="EI627" s="27" t="s">
        <v>8</v>
      </c>
      <c r="EJ627" s="27" t="s">
        <v>7</v>
      </c>
      <c r="EK627" s="27" t="s">
        <v>8</v>
      </c>
      <c r="EL627" s="27" t="s">
        <v>7</v>
      </c>
      <c r="EM627" s="27" t="s">
        <v>8</v>
      </c>
      <c r="EP627" s="27" t="s">
        <v>7</v>
      </c>
      <c r="EQ627" s="27" t="s">
        <v>8</v>
      </c>
      <c r="ER627" s="27" t="s">
        <v>7</v>
      </c>
      <c r="FA627" s="27" t="s">
        <v>8</v>
      </c>
      <c r="FO627" s="27" t="s">
        <v>8</v>
      </c>
      <c r="IR627" s="27" t="s">
        <v>7</v>
      </c>
      <c r="IS627" s="27" t="s">
        <v>8</v>
      </c>
      <c r="IT627" s="27" t="s">
        <v>7</v>
      </c>
      <c r="IU627" s="27" t="s">
        <v>8</v>
      </c>
      <c r="IV627" s="27" t="s">
        <v>7</v>
      </c>
    </row>
    <row r="628" spans="1:256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H628" s="27" t="s">
        <v>7</v>
      </c>
      <c r="I628" s="27" t="s">
        <v>8</v>
      </c>
      <c r="J628" s="27" t="s">
        <v>7</v>
      </c>
      <c r="K628" s="27" t="s">
        <v>8</v>
      </c>
      <c r="L628" s="27" t="s">
        <v>7</v>
      </c>
      <c r="W628" s="27" t="s">
        <v>8</v>
      </c>
      <c r="X628" s="27" t="s">
        <v>7</v>
      </c>
      <c r="Y628" s="27" t="s">
        <v>8</v>
      </c>
      <c r="AH628" s="27" t="s">
        <v>7</v>
      </c>
      <c r="AI628" s="27" t="s">
        <v>8</v>
      </c>
      <c r="AR628" s="27" t="s">
        <v>7</v>
      </c>
      <c r="AS628" s="27" t="s">
        <v>8</v>
      </c>
      <c r="AT628" s="27" t="s">
        <v>7</v>
      </c>
      <c r="AU628" s="27" t="s">
        <v>8</v>
      </c>
      <c r="BT628" s="27" t="s">
        <v>7</v>
      </c>
      <c r="BU628" s="27" t="s">
        <v>8</v>
      </c>
      <c r="DZ628" s="27" t="s">
        <v>7</v>
      </c>
      <c r="EB628" s="27" t="s">
        <v>7</v>
      </c>
      <c r="EC628" s="27" t="s">
        <v>8</v>
      </c>
      <c r="ED628" s="27" t="s">
        <v>7</v>
      </c>
      <c r="EE628" s="27" t="s">
        <v>8</v>
      </c>
      <c r="EH628" s="27" t="s">
        <v>7</v>
      </c>
      <c r="EI628" s="27" t="s">
        <v>8</v>
      </c>
      <c r="EJ628" s="27" t="s">
        <v>7</v>
      </c>
      <c r="EK628" s="27" t="s">
        <v>8</v>
      </c>
      <c r="EL628" s="27" t="s">
        <v>7</v>
      </c>
      <c r="EM628" s="27" t="s">
        <v>8</v>
      </c>
      <c r="EP628" s="27" t="s">
        <v>7</v>
      </c>
      <c r="EQ628" s="27" t="s">
        <v>8</v>
      </c>
      <c r="ER628" s="27" t="s">
        <v>7</v>
      </c>
      <c r="ES628" s="27" t="s">
        <v>8</v>
      </c>
      <c r="FA628" s="27" t="s">
        <v>8</v>
      </c>
      <c r="FB628" s="27" t="s">
        <v>7</v>
      </c>
      <c r="FO628" s="27" t="s">
        <v>8</v>
      </c>
      <c r="IR628" s="27" t="s">
        <v>7</v>
      </c>
      <c r="IS628" s="27" t="s">
        <v>8</v>
      </c>
      <c r="IT628" s="27" t="s">
        <v>7</v>
      </c>
      <c r="IU628" s="27" t="s">
        <v>8</v>
      </c>
      <c r="IV628" s="27" t="s">
        <v>7</v>
      </c>
    </row>
    <row r="629" spans="1:256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I629" s="27" t="s">
        <v>8</v>
      </c>
      <c r="J629" s="27" t="s">
        <v>7</v>
      </c>
      <c r="K629" s="27" t="s">
        <v>8</v>
      </c>
      <c r="L629" s="27" t="s">
        <v>7</v>
      </c>
      <c r="W629" s="27" t="s">
        <v>8</v>
      </c>
      <c r="X629" s="27" t="s">
        <v>7</v>
      </c>
      <c r="Y629" s="27" t="s">
        <v>8</v>
      </c>
      <c r="AH629" s="27" t="s">
        <v>7</v>
      </c>
      <c r="AI629" s="27" t="s">
        <v>8</v>
      </c>
      <c r="AR629" s="27" t="s">
        <v>7</v>
      </c>
      <c r="AS629" s="27" t="s">
        <v>8</v>
      </c>
      <c r="AT629" s="27" t="s">
        <v>7</v>
      </c>
      <c r="AU629" s="27" t="s">
        <v>8</v>
      </c>
      <c r="BT629" s="27" t="s">
        <v>7</v>
      </c>
      <c r="EB629" s="27" t="s">
        <v>7</v>
      </c>
      <c r="EC629" s="27" t="s">
        <v>8</v>
      </c>
      <c r="ED629" s="27" t="s">
        <v>7</v>
      </c>
      <c r="EE629" s="27" t="s">
        <v>8</v>
      </c>
      <c r="EH629" s="27" t="s">
        <v>7</v>
      </c>
      <c r="EI629" s="27" t="s">
        <v>8</v>
      </c>
      <c r="EJ629" s="27" t="s">
        <v>7</v>
      </c>
      <c r="EK629" s="27" t="s">
        <v>8</v>
      </c>
      <c r="EL629" s="27" t="s">
        <v>7</v>
      </c>
      <c r="EM629" s="27" t="s">
        <v>8</v>
      </c>
      <c r="EP629" s="27" t="s">
        <v>7</v>
      </c>
      <c r="EQ629" s="27" t="s">
        <v>8</v>
      </c>
      <c r="ER629" s="27" t="s">
        <v>7</v>
      </c>
      <c r="ES629" s="27" t="s">
        <v>8</v>
      </c>
      <c r="ET629" s="27" t="s">
        <v>7</v>
      </c>
      <c r="FA629" s="27" t="s">
        <v>8</v>
      </c>
      <c r="FB629" s="27" t="s">
        <v>7</v>
      </c>
      <c r="FO629" s="27" t="s">
        <v>8</v>
      </c>
      <c r="IR629" s="27" t="s">
        <v>7</v>
      </c>
      <c r="IS629" s="27" t="s">
        <v>8</v>
      </c>
      <c r="IT629" s="27" t="s">
        <v>7</v>
      </c>
      <c r="IU629" s="27" t="s">
        <v>8</v>
      </c>
    </row>
    <row r="630" spans="1:256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I630" s="27" t="s">
        <v>8</v>
      </c>
      <c r="J630" s="27" t="s">
        <v>7</v>
      </c>
      <c r="K630" s="27" t="s">
        <v>8</v>
      </c>
      <c r="L630" s="27" t="s">
        <v>7</v>
      </c>
      <c r="W630" s="27" t="s">
        <v>8</v>
      </c>
      <c r="X630" s="27" t="s">
        <v>7</v>
      </c>
      <c r="Y630" s="27" t="s">
        <v>8</v>
      </c>
      <c r="AH630" s="27" t="s">
        <v>7</v>
      </c>
      <c r="AR630" s="27" t="s">
        <v>7</v>
      </c>
      <c r="AS630" s="27" t="s">
        <v>8</v>
      </c>
      <c r="AT630" s="27" t="s">
        <v>7</v>
      </c>
      <c r="AU630" s="27" t="s">
        <v>8</v>
      </c>
      <c r="EB630" s="27" t="s">
        <v>7</v>
      </c>
      <c r="EC630" s="27" t="s">
        <v>8</v>
      </c>
      <c r="ED630" s="27" t="s">
        <v>7</v>
      </c>
      <c r="EE630" s="27" t="s">
        <v>8</v>
      </c>
      <c r="EH630" s="27" t="s">
        <v>7</v>
      </c>
      <c r="EJ630" s="27" t="s">
        <v>7</v>
      </c>
      <c r="EK630" s="27" t="s">
        <v>8</v>
      </c>
      <c r="EL630" s="27" t="s">
        <v>7</v>
      </c>
      <c r="EP630" s="27" t="s">
        <v>7</v>
      </c>
      <c r="EQ630" s="27" t="s">
        <v>8</v>
      </c>
      <c r="ER630" s="27" t="s">
        <v>7</v>
      </c>
      <c r="ES630" s="27" t="s">
        <v>8</v>
      </c>
      <c r="ET630" s="27" t="s">
        <v>7</v>
      </c>
      <c r="FA630" s="27" t="s">
        <v>8</v>
      </c>
      <c r="FB630" s="27" t="s">
        <v>7</v>
      </c>
      <c r="FE630" s="27" t="s">
        <v>8</v>
      </c>
      <c r="FM630" s="27" t="s">
        <v>8</v>
      </c>
      <c r="FO630" s="27" t="s">
        <v>8</v>
      </c>
      <c r="IR630" s="27" t="s">
        <v>7</v>
      </c>
      <c r="IS630" s="27" t="s">
        <v>8</v>
      </c>
      <c r="IT630" s="27" t="s">
        <v>7</v>
      </c>
      <c r="IU630" s="27" t="s">
        <v>8</v>
      </c>
    </row>
    <row r="631" spans="1:256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J631" s="27" t="s">
        <v>7</v>
      </c>
      <c r="K631" s="27" t="s">
        <v>8</v>
      </c>
      <c r="L631" s="27" t="s">
        <v>7</v>
      </c>
      <c r="W631" s="27" t="s">
        <v>8</v>
      </c>
      <c r="X631" s="27" t="s">
        <v>7</v>
      </c>
      <c r="Y631" s="27" t="s">
        <v>8</v>
      </c>
      <c r="AR631" s="27" t="s">
        <v>7</v>
      </c>
      <c r="AS631" s="27" t="s">
        <v>8</v>
      </c>
      <c r="AT631" s="27" t="s">
        <v>7</v>
      </c>
      <c r="AU631" s="27" t="s">
        <v>8</v>
      </c>
      <c r="EB631" s="27" t="s">
        <v>7</v>
      </c>
      <c r="EC631" s="27" t="s">
        <v>8</v>
      </c>
      <c r="ED631" s="27" t="s">
        <v>7</v>
      </c>
      <c r="EE631" s="27" t="s">
        <v>8</v>
      </c>
      <c r="EJ631" s="27" t="s">
        <v>7</v>
      </c>
      <c r="EK631" s="27" t="s">
        <v>8</v>
      </c>
      <c r="EP631" s="27" t="s">
        <v>7</v>
      </c>
      <c r="EQ631" s="27" t="s">
        <v>8</v>
      </c>
      <c r="ER631" s="27" t="s">
        <v>7</v>
      </c>
      <c r="ES631" s="27" t="s">
        <v>8</v>
      </c>
      <c r="ET631" s="27" t="s">
        <v>7</v>
      </c>
      <c r="FA631" s="27" t="s">
        <v>8</v>
      </c>
      <c r="FB631" s="27" t="s">
        <v>7</v>
      </c>
      <c r="FE631" s="27" t="s">
        <v>8</v>
      </c>
      <c r="FF631" s="27" t="s">
        <v>7</v>
      </c>
      <c r="FM631" s="27" t="s">
        <v>8</v>
      </c>
      <c r="FN631" s="27" t="s">
        <v>7</v>
      </c>
      <c r="FO631" s="27" t="s">
        <v>8</v>
      </c>
      <c r="IR631" s="27" t="s">
        <v>7</v>
      </c>
      <c r="IS631" s="27" t="s">
        <v>8</v>
      </c>
      <c r="IT631" s="27" t="s">
        <v>7</v>
      </c>
      <c r="IU631" s="27" t="s">
        <v>8</v>
      </c>
    </row>
    <row r="632" spans="1:256" x14ac:dyDescent="0.25">
      <c r="A632" s="7">
        <v>0.41019680250993112</v>
      </c>
      <c r="B632"/>
      <c r="C632"/>
      <c r="D632"/>
      <c r="E632"/>
      <c r="F632" s="27" t="s">
        <v>7</v>
      </c>
      <c r="J632" s="27" t="s">
        <v>7</v>
      </c>
      <c r="K632" s="27" t="s">
        <v>8</v>
      </c>
      <c r="L632" s="27" t="s">
        <v>7</v>
      </c>
      <c r="W632" s="27" t="s">
        <v>8</v>
      </c>
      <c r="X632" s="27" t="s">
        <v>7</v>
      </c>
      <c r="Y632" s="27" t="s">
        <v>8</v>
      </c>
      <c r="AR632" s="27" t="s">
        <v>7</v>
      </c>
      <c r="AS632" s="27" t="s">
        <v>8</v>
      </c>
      <c r="AT632" s="27" t="s">
        <v>7</v>
      </c>
      <c r="AU632" s="27" t="s">
        <v>8</v>
      </c>
      <c r="EB632" s="27" t="s">
        <v>7</v>
      </c>
      <c r="EC632" s="27" t="s">
        <v>8</v>
      </c>
      <c r="ED632" s="27" t="s">
        <v>7</v>
      </c>
      <c r="EJ632" s="27" t="s">
        <v>7</v>
      </c>
      <c r="EK632" s="27" t="s">
        <v>8</v>
      </c>
      <c r="EP632" s="27" t="s">
        <v>7</v>
      </c>
      <c r="EQ632" s="27" t="s">
        <v>8</v>
      </c>
      <c r="ER632" s="27" t="s">
        <v>7</v>
      </c>
      <c r="ES632" s="27" t="s">
        <v>8</v>
      </c>
      <c r="ET632" s="27" t="s">
        <v>7</v>
      </c>
      <c r="EU632" s="27" t="s">
        <v>8</v>
      </c>
      <c r="EW632" s="27" t="s">
        <v>8</v>
      </c>
      <c r="FA632" s="27" t="s">
        <v>8</v>
      </c>
      <c r="FB632" s="27" t="s">
        <v>7</v>
      </c>
      <c r="FE632" s="27" t="s">
        <v>8</v>
      </c>
      <c r="FF632" s="27" t="s">
        <v>7</v>
      </c>
      <c r="FI632" s="27" t="s">
        <v>8</v>
      </c>
      <c r="FK632" s="27" t="s">
        <v>8</v>
      </c>
      <c r="FM632" s="27" t="s">
        <v>8</v>
      </c>
      <c r="FN632" s="27" t="s">
        <v>7</v>
      </c>
      <c r="FO632" s="27" t="s">
        <v>8</v>
      </c>
      <c r="IR632" s="27" t="s">
        <v>7</v>
      </c>
      <c r="IT632" s="27" t="s">
        <v>7</v>
      </c>
      <c r="IU632" s="27" t="s">
        <v>8</v>
      </c>
    </row>
    <row r="633" spans="1:256" x14ac:dyDescent="0.25">
      <c r="A633" s="7">
        <v>0.40215372795091286</v>
      </c>
      <c r="B633"/>
      <c r="C633"/>
      <c r="D633"/>
      <c r="E633"/>
      <c r="J633" s="27" t="s">
        <v>7</v>
      </c>
      <c r="K633" s="27" t="s">
        <v>8</v>
      </c>
      <c r="L633" s="27" t="s">
        <v>7</v>
      </c>
      <c r="W633" s="27" t="s">
        <v>8</v>
      </c>
      <c r="X633" s="27" t="s">
        <v>7</v>
      </c>
      <c r="Y633" s="27" t="s">
        <v>8</v>
      </c>
      <c r="AR633" s="27" t="s">
        <v>7</v>
      </c>
      <c r="AS633" s="27" t="s">
        <v>8</v>
      </c>
      <c r="AT633" s="27" t="s">
        <v>7</v>
      </c>
      <c r="AU633" s="27" t="s">
        <v>8</v>
      </c>
      <c r="EB633" s="27" t="s">
        <v>7</v>
      </c>
      <c r="EC633" s="27" t="s">
        <v>8</v>
      </c>
      <c r="EJ633" s="27" t="s">
        <v>7</v>
      </c>
      <c r="EK633" s="27" t="s">
        <v>8</v>
      </c>
      <c r="EP633" s="27" t="s">
        <v>7</v>
      </c>
      <c r="EQ633" s="27" t="s">
        <v>8</v>
      </c>
      <c r="ER633" s="27" t="s">
        <v>7</v>
      </c>
      <c r="ES633" s="27" t="s">
        <v>8</v>
      </c>
      <c r="ET633" s="27" t="s">
        <v>7</v>
      </c>
      <c r="EU633" s="27" t="s">
        <v>8</v>
      </c>
      <c r="EV633" s="27" t="s">
        <v>7</v>
      </c>
      <c r="EW633" s="27" t="s">
        <v>8</v>
      </c>
      <c r="EX633" s="27" t="s">
        <v>7</v>
      </c>
      <c r="FA633" s="27" t="s">
        <v>8</v>
      </c>
      <c r="FB633" s="27" t="s">
        <v>7</v>
      </c>
      <c r="FE633" s="27" t="s">
        <v>8</v>
      </c>
      <c r="FF633" s="27" t="s">
        <v>7</v>
      </c>
      <c r="FI633" s="27" t="s">
        <v>8</v>
      </c>
      <c r="FJ633" s="27" t="s">
        <v>7</v>
      </c>
      <c r="FK633" s="27" t="s">
        <v>8</v>
      </c>
      <c r="FL633" s="27" t="s">
        <v>7</v>
      </c>
      <c r="FM633" s="27" t="s">
        <v>8</v>
      </c>
      <c r="FN633" s="27" t="s">
        <v>7</v>
      </c>
      <c r="FO633" s="27" t="s">
        <v>8</v>
      </c>
      <c r="IT633" s="27" t="s">
        <v>7</v>
      </c>
    </row>
    <row r="634" spans="1:256" x14ac:dyDescent="0.25">
      <c r="A634" s="7">
        <v>0.39426836073618904</v>
      </c>
      <c r="B634"/>
      <c r="C634"/>
      <c r="D634"/>
      <c r="E634"/>
      <c r="J634" s="27" t="s">
        <v>7</v>
      </c>
      <c r="K634" s="27" t="s">
        <v>8</v>
      </c>
      <c r="L634" s="27" t="s">
        <v>7</v>
      </c>
      <c r="S634" s="27" t="s">
        <v>8</v>
      </c>
      <c r="W634" s="27" t="s">
        <v>8</v>
      </c>
      <c r="X634" s="27" t="s">
        <v>7</v>
      </c>
      <c r="Y634" s="27" t="s">
        <v>8</v>
      </c>
      <c r="AR634" s="27" t="s">
        <v>7</v>
      </c>
      <c r="AS634" s="27" t="s">
        <v>8</v>
      </c>
      <c r="AT634" s="27" t="s">
        <v>7</v>
      </c>
      <c r="AU634" s="27" t="s">
        <v>8</v>
      </c>
      <c r="EB634" s="27" t="s">
        <v>7</v>
      </c>
      <c r="EC634" s="27" t="s">
        <v>8</v>
      </c>
      <c r="EJ634" s="27" t="s">
        <v>7</v>
      </c>
      <c r="EK634" s="27" t="s">
        <v>8</v>
      </c>
      <c r="EP634" s="27" t="s">
        <v>7</v>
      </c>
      <c r="EQ634" s="27" t="s">
        <v>8</v>
      </c>
      <c r="ER634" s="27" t="s">
        <v>7</v>
      </c>
      <c r="ES634" s="27" t="s">
        <v>8</v>
      </c>
      <c r="ET634" s="27" t="s">
        <v>7</v>
      </c>
      <c r="EU634" s="27" t="s">
        <v>8</v>
      </c>
      <c r="EV634" s="27" t="s">
        <v>7</v>
      </c>
      <c r="EW634" s="27" t="s">
        <v>8</v>
      </c>
      <c r="EX634" s="27" t="s">
        <v>7</v>
      </c>
      <c r="FA634" s="27" t="s">
        <v>8</v>
      </c>
      <c r="FB634" s="27" t="s">
        <v>7</v>
      </c>
      <c r="FE634" s="27" t="s">
        <v>8</v>
      </c>
      <c r="FF634" s="27" t="s">
        <v>7</v>
      </c>
      <c r="FI634" s="27" t="s">
        <v>8</v>
      </c>
      <c r="FJ634" s="27" t="s">
        <v>7</v>
      </c>
      <c r="FK634" s="27" t="s">
        <v>8</v>
      </c>
      <c r="FL634" s="27" t="s">
        <v>7</v>
      </c>
      <c r="FM634" s="27" t="s">
        <v>8</v>
      </c>
      <c r="FN634" s="27" t="s">
        <v>7</v>
      </c>
      <c r="FO634" s="27" t="s">
        <v>8</v>
      </c>
    </row>
    <row r="635" spans="1:256" x14ac:dyDescent="0.25">
      <c r="A635" s="7">
        <v>0.38653760856489122</v>
      </c>
      <c r="B635"/>
      <c r="C635"/>
      <c r="D635"/>
      <c r="E635"/>
      <c r="J635" s="27" t="s">
        <v>7</v>
      </c>
      <c r="K635" s="27" t="s">
        <v>8</v>
      </c>
      <c r="L635" s="27" t="s">
        <v>7</v>
      </c>
      <c r="S635" s="27" t="s">
        <v>8</v>
      </c>
      <c r="T635" s="27" t="s">
        <v>7</v>
      </c>
      <c r="U635" s="27" t="s">
        <v>8</v>
      </c>
      <c r="W635" s="27" t="s">
        <v>8</v>
      </c>
      <c r="X635" s="27" t="s">
        <v>7</v>
      </c>
      <c r="Y635" s="27" t="s">
        <v>8</v>
      </c>
      <c r="AR635" s="27" t="s">
        <v>7</v>
      </c>
      <c r="AS635" s="27" t="s">
        <v>8</v>
      </c>
      <c r="AT635" s="27" t="s">
        <v>7</v>
      </c>
      <c r="AU635" s="27" t="s">
        <v>8</v>
      </c>
      <c r="EB635" s="27" t="s">
        <v>7</v>
      </c>
      <c r="EC635" s="27" t="s">
        <v>8</v>
      </c>
      <c r="EJ635" s="27" t="s">
        <v>7</v>
      </c>
      <c r="EK635" s="27" t="s">
        <v>8</v>
      </c>
      <c r="EP635" s="27" t="s">
        <v>7</v>
      </c>
      <c r="EQ635" s="27" t="s">
        <v>8</v>
      </c>
      <c r="ER635" s="27" t="s">
        <v>7</v>
      </c>
      <c r="ES635" s="27" t="s">
        <v>8</v>
      </c>
      <c r="ET635" s="27" t="s">
        <v>7</v>
      </c>
      <c r="EU635" s="27" t="s">
        <v>8</v>
      </c>
      <c r="EV635" s="27" t="s">
        <v>7</v>
      </c>
      <c r="EW635" s="27" t="s">
        <v>8</v>
      </c>
      <c r="EX635" s="27" t="s">
        <v>7</v>
      </c>
      <c r="EY635" s="27" t="s">
        <v>8</v>
      </c>
      <c r="FA635" s="27" t="s">
        <v>8</v>
      </c>
      <c r="FB635" s="27" t="s">
        <v>7</v>
      </c>
      <c r="FE635" s="27" t="s">
        <v>8</v>
      </c>
      <c r="FF635" s="27" t="s">
        <v>7</v>
      </c>
      <c r="FG635" s="27" t="s">
        <v>8</v>
      </c>
      <c r="FI635" s="27" t="s">
        <v>8</v>
      </c>
      <c r="FJ635" s="27" t="s">
        <v>7</v>
      </c>
      <c r="FK635" s="27" t="s">
        <v>8</v>
      </c>
      <c r="FL635" s="27" t="s">
        <v>7</v>
      </c>
      <c r="FN635" s="27" t="s">
        <v>7</v>
      </c>
    </row>
    <row r="636" spans="1:256" x14ac:dyDescent="0.25">
      <c r="A636" s="7">
        <v>0.37895843976950117</v>
      </c>
      <c r="B636"/>
      <c r="C636"/>
      <c r="D636"/>
      <c r="E636"/>
      <c r="J636" s="27" t="s">
        <v>7</v>
      </c>
      <c r="L636" s="27" t="s">
        <v>7</v>
      </c>
      <c r="M636" s="27" t="s">
        <v>8</v>
      </c>
      <c r="S636" s="27" t="s">
        <v>8</v>
      </c>
      <c r="T636" s="27" t="s">
        <v>7</v>
      </c>
      <c r="U636" s="27" t="s">
        <v>8</v>
      </c>
      <c r="V636" s="27" t="s">
        <v>7</v>
      </c>
      <c r="W636" s="27" t="s">
        <v>8</v>
      </c>
      <c r="X636" s="27" t="s">
        <v>7</v>
      </c>
      <c r="Y636" s="27" t="s">
        <v>8</v>
      </c>
      <c r="AR636" s="27" t="s">
        <v>7</v>
      </c>
      <c r="AS636" s="27" t="s">
        <v>8</v>
      </c>
      <c r="AT636" s="27" t="s">
        <v>7</v>
      </c>
      <c r="AU636" s="27" t="s">
        <v>8</v>
      </c>
      <c r="EB636" s="27" t="s">
        <v>7</v>
      </c>
      <c r="EC636" s="27" t="s">
        <v>8</v>
      </c>
      <c r="EJ636" s="27" t="s">
        <v>7</v>
      </c>
      <c r="EK636" s="27" t="s">
        <v>8</v>
      </c>
      <c r="EP636" s="27" t="s">
        <v>7</v>
      </c>
      <c r="EQ636" s="27" t="s">
        <v>8</v>
      </c>
      <c r="ER636" s="27" t="s">
        <v>7</v>
      </c>
      <c r="ES636" s="27" t="s">
        <v>8</v>
      </c>
      <c r="ET636" s="27" t="s">
        <v>7</v>
      </c>
      <c r="EU636" s="27" t="s">
        <v>8</v>
      </c>
      <c r="EV636" s="27" t="s">
        <v>7</v>
      </c>
      <c r="EW636" s="27" t="s">
        <v>8</v>
      </c>
      <c r="EX636" s="27" t="s">
        <v>7</v>
      </c>
      <c r="EY636" s="27" t="s">
        <v>8</v>
      </c>
      <c r="EZ636" s="27" t="s">
        <v>7</v>
      </c>
      <c r="FA636" s="27" t="s">
        <v>8</v>
      </c>
      <c r="FB636" s="27" t="s">
        <v>7</v>
      </c>
      <c r="FE636" s="27" t="s">
        <v>8</v>
      </c>
      <c r="FF636" s="27" t="s">
        <v>7</v>
      </c>
      <c r="FG636" s="27" t="s">
        <v>8</v>
      </c>
      <c r="FH636" s="27" t="s">
        <v>7</v>
      </c>
      <c r="FI636" s="27" t="s">
        <v>8</v>
      </c>
      <c r="FJ636" s="27" t="s">
        <v>7</v>
      </c>
      <c r="FK636" s="27" t="s">
        <v>8</v>
      </c>
    </row>
    <row r="637" spans="1:256" x14ac:dyDescent="0.25">
      <c r="A637" s="7">
        <v>0.37152788212696197</v>
      </c>
      <c r="B637"/>
      <c r="C637"/>
      <c r="D637"/>
      <c r="E637"/>
      <c r="L637" s="27" t="s">
        <v>7</v>
      </c>
      <c r="M637" s="27" t="s">
        <v>8</v>
      </c>
      <c r="N637" s="27" t="s">
        <v>7</v>
      </c>
      <c r="O637" s="27" t="s">
        <v>8</v>
      </c>
      <c r="Q637" s="27" t="s">
        <v>8</v>
      </c>
      <c r="S637" s="27" t="s">
        <v>8</v>
      </c>
      <c r="T637" s="27" t="s">
        <v>7</v>
      </c>
      <c r="U637" s="27" t="s">
        <v>8</v>
      </c>
      <c r="V637" s="27" t="s">
        <v>7</v>
      </c>
      <c r="W637" s="27" t="s">
        <v>8</v>
      </c>
      <c r="X637" s="27" t="s">
        <v>7</v>
      </c>
      <c r="Y637" s="27" t="s">
        <v>8</v>
      </c>
      <c r="AR637" s="27" t="s">
        <v>7</v>
      </c>
      <c r="AS637" s="27" t="s">
        <v>8</v>
      </c>
      <c r="AT637" s="27" t="s">
        <v>7</v>
      </c>
      <c r="EB637" s="27" t="s">
        <v>7</v>
      </c>
      <c r="EC637" s="27" t="s">
        <v>8</v>
      </c>
      <c r="EJ637" s="27" t="s">
        <v>7</v>
      </c>
      <c r="EP637" s="27" t="s">
        <v>7</v>
      </c>
      <c r="EQ637" s="27" t="s">
        <v>8</v>
      </c>
      <c r="ER637" s="27" t="s">
        <v>7</v>
      </c>
      <c r="ES637" s="27" t="s">
        <v>8</v>
      </c>
      <c r="ET637" s="27" t="s">
        <v>7</v>
      </c>
      <c r="EU637" s="27" t="s">
        <v>8</v>
      </c>
      <c r="EV637" s="27" t="s">
        <v>7</v>
      </c>
      <c r="EW637" s="27" t="s">
        <v>8</v>
      </c>
      <c r="EX637" s="27" t="s">
        <v>7</v>
      </c>
      <c r="EY637" s="27" t="s">
        <v>8</v>
      </c>
      <c r="EZ637" s="27" t="s">
        <v>7</v>
      </c>
      <c r="FA637" s="27" t="s">
        <v>8</v>
      </c>
      <c r="FB637" s="27" t="s">
        <v>7</v>
      </c>
      <c r="FE637" s="27" t="s">
        <v>8</v>
      </c>
      <c r="FF637" s="27" t="s">
        <v>7</v>
      </c>
      <c r="FG637" s="27" t="s">
        <v>8</v>
      </c>
      <c r="FH637" s="27" t="s">
        <v>7</v>
      </c>
      <c r="FI637" s="27" t="s">
        <v>8</v>
      </c>
      <c r="FJ637" s="27" t="s">
        <v>7</v>
      </c>
      <c r="FK637" s="27" t="s">
        <v>8</v>
      </c>
    </row>
    <row r="638" spans="1:256" x14ac:dyDescent="0.25">
      <c r="A638" s="7">
        <v>0.36424302169310002</v>
      </c>
      <c r="B638"/>
      <c r="C638"/>
      <c r="D638"/>
      <c r="E638"/>
      <c r="L638" s="27" t="s">
        <v>7</v>
      </c>
      <c r="M638" s="27" t="s">
        <v>8</v>
      </c>
      <c r="N638" s="27" t="s">
        <v>7</v>
      </c>
      <c r="O638" s="27" t="s">
        <v>8</v>
      </c>
      <c r="P638" s="27" t="s">
        <v>7</v>
      </c>
      <c r="Q638" s="27" t="s">
        <v>8</v>
      </c>
      <c r="R638" s="27" t="s">
        <v>7</v>
      </c>
      <c r="S638" s="27" t="s">
        <v>8</v>
      </c>
      <c r="T638" s="27" t="s">
        <v>7</v>
      </c>
      <c r="U638" s="27" t="s">
        <v>8</v>
      </c>
      <c r="V638" s="27" t="s">
        <v>7</v>
      </c>
      <c r="W638" s="27" t="s">
        <v>8</v>
      </c>
      <c r="X638" s="27" t="s">
        <v>7</v>
      </c>
      <c r="AR638" s="27" t="s">
        <v>7</v>
      </c>
      <c r="AS638" s="27" t="s">
        <v>8</v>
      </c>
      <c r="EB638" s="27" t="s">
        <v>7</v>
      </c>
      <c r="EC638" s="27" t="s">
        <v>8</v>
      </c>
      <c r="EP638" s="27" t="s">
        <v>7</v>
      </c>
      <c r="EQ638" s="27" t="s">
        <v>8</v>
      </c>
      <c r="ER638" s="27" t="s">
        <v>7</v>
      </c>
      <c r="ES638" s="27" t="s">
        <v>8</v>
      </c>
      <c r="ET638" s="27" t="s">
        <v>7</v>
      </c>
      <c r="EU638" s="27" t="s">
        <v>8</v>
      </c>
      <c r="EV638" s="27" t="s">
        <v>7</v>
      </c>
      <c r="EW638" s="27" t="s">
        <v>8</v>
      </c>
      <c r="EX638" s="27" t="s">
        <v>7</v>
      </c>
      <c r="EY638" s="27" t="s">
        <v>8</v>
      </c>
      <c r="EZ638" s="27" t="s">
        <v>7</v>
      </c>
      <c r="FA638" s="27" t="s">
        <v>8</v>
      </c>
      <c r="FB638" s="27" t="s">
        <v>7</v>
      </c>
      <c r="FC638" s="27" t="s">
        <v>8</v>
      </c>
      <c r="FE638" s="27" t="s">
        <v>8</v>
      </c>
      <c r="FF638" s="27" t="s">
        <v>7</v>
      </c>
      <c r="FG638" s="27" t="s">
        <v>8</v>
      </c>
      <c r="FH638" s="27" t="s">
        <v>7</v>
      </c>
      <c r="FJ638" s="27" t="s">
        <v>7</v>
      </c>
    </row>
    <row r="639" spans="1:256" x14ac:dyDescent="0.25">
      <c r="A639" s="7">
        <v>0.35710100165990194</v>
      </c>
      <c r="B639"/>
      <c r="C639"/>
      <c r="D639"/>
      <c r="E639"/>
      <c r="L639" s="27" t="s">
        <v>7</v>
      </c>
      <c r="M639" s="27" t="s">
        <v>8</v>
      </c>
      <c r="N639" s="27" t="s">
        <v>7</v>
      </c>
      <c r="O639" s="27" t="s">
        <v>8</v>
      </c>
      <c r="P639" s="27" t="s">
        <v>7</v>
      </c>
      <c r="Q639" s="27" t="s">
        <v>8</v>
      </c>
      <c r="R639" s="27" t="s">
        <v>7</v>
      </c>
      <c r="S639" s="27" t="s">
        <v>8</v>
      </c>
      <c r="T639" s="27" t="s">
        <v>7</v>
      </c>
      <c r="U639" s="27" t="s">
        <v>8</v>
      </c>
      <c r="V639" s="27" t="s">
        <v>7</v>
      </c>
      <c r="W639" s="27" t="s">
        <v>8</v>
      </c>
      <c r="AR639" s="27" t="s">
        <v>7</v>
      </c>
      <c r="EB639" s="27" t="s">
        <v>7</v>
      </c>
      <c r="EC639" s="27" t="s">
        <v>8</v>
      </c>
      <c r="EP639" s="27" t="s">
        <v>7</v>
      </c>
      <c r="EQ639" s="27" t="s">
        <v>8</v>
      </c>
      <c r="ER639" s="27" t="s">
        <v>7</v>
      </c>
      <c r="ES639" s="27" t="s">
        <v>8</v>
      </c>
      <c r="ET639" s="27" t="s">
        <v>7</v>
      </c>
      <c r="EU639" s="27" t="s">
        <v>8</v>
      </c>
      <c r="EV639" s="27" t="s">
        <v>7</v>
      </c>
      <c r="EW639" s="27" t="s">
        <v>8</v>
      </c>
      <c r="EX639" s="27" t="s">
        <v>7</v>
      </c>
      <c r="EY639" s="27" t="s">
        <v>8</v>
      </c>
      <c r="EZ639" s="27" t="s">
        <v>7</v>
      </c>
      <c r="FA639" s="27" t="s">
        <v>8</v>
      </c>
      <c r="FB639" s="27" t="s">
        <v>7</v>
      </c>
      <c r="FC639" s="27" t="s">
        <v>8</v>
      </c>
      <c r="FD639" s="27" t="s">
        <v>7</v>
      </c>
      <c r="FE639" s="27" t="s">
        <v>8</v>
      </c>
      <c r="FF639" s="27" t="s">
        <v>7</v>
      </c>
      <c r="FG639" s="27" t="s">
        <v>8</v>
      </c>
    </row>
    <row r="640" spans="1:256" x14ac:dyDescent="0.25">
      <c r="A640" s="7">
        <v>0.35009902123519804</v>
      </c>
      <c r="B640"/>
      <c r="C640"/>
      <c r="D640"/>
      <c r="E640"/>
      <c r="L640" s="27" t="s">
        <v>7</v>
      </c>
      <c r="M640" s="27" t="s">
        <v>8</v>
      </c>
      <c r="N640" s="27" t="s">
        <v>7</v>
      </c>
      <c r="O640" s="27" t="s">
        <v>8</v>
      </c>
      <c r="P640" s="27" t="s">
        <v>7</v>
      </c>
      <c r="Q640" s="27" t="s">
        <v>8</v>
      </c>
      <c r="R640" s="27" t="s">
        <v>7</v>
      </c>
      <c r="S640" s="27" t="s">
        <v>8</v>
      </c>
      <c r="T640" s="27" t="s">
        <v>7</v>
      </c>
      <c r="U640" s="27" t="s">
        <v>8</v>
      </c>
      <c r="V640" s="27" t="s">
        <v>7</v>
      </c>
      <c r="W640" s="27" t="s">
        <v>8</v>
      </c>
      <c r="EB640" s="27" t="s">
        <v>7</v>
      </c>
      <c r="EC640" s="27" t="s">
        <v>8</v>
      </c>
      <c r="EP640" s="27" t="s">
        <v>7</v>
      </c>
      <c r="EQ640" s="27" t="s">
        <v>8</v>
      </c>
      <c r="ER640" s="27" t="s">
        <v>7</v>
      </c>
      <c r="ES640" s="27" t="s">
        <v>8</v>
      </c>
      <c r="ET640" s="27" t="s">
        <v>7</v>
      </c>
      <c r="EU640" s="27" t="s">
        <v>8</v>
      </c>
      <c r="EV640" s="27" t="s">
        <v>7</v>
      </c>
      <c r="EX640" s="27" t="s">
        <v>7</v>
      </c>
      <c r="EY640" s="27" t="s">
        <v>8</v>
      </c>
      <c r="EZ640" s="27" t="s">
        <v>7</v>
      </c>
      <c r="FA640" s="27" t="s">
        <v>8</v>
      </c>
      <c r="FB640" s="27" t="s">
        <v>7</v>
      </c>
      <c r="FC640" s="27" t="s">
        <v>8</v>
      </c>
      <c r="FD640" s="27" t="s">
        <v>7</v>
      </c>
      <c r="FE640" s="27" t="s">
        <v>8</v>
      </c>
      <c r="FF640" s="27" t="s">
        <v>7</v>
      </c>
      <c r="FG640" s="27" t="s">
        <v>8</v>
      </c>
    </row>
    <row r="641" spans="1:163" x14ac:dyDescent="0.25">
      <c r="A641" s="7">
        <v>0.34323433454431179</v>
      </c>
      <c r="B641"/>
      <c r="C641"/>
      <c r="D641"/>
      <c r="E641"/>
      <c r="L641" s="27" t="s">
        <v>7</v>
      </c>
      <c r="M641" s="27" t="s">
        <v>8</v>
      </c>
      <c r="N641" s="27" t="s">
        <v>7</v>
      </c>
      <c r="O641" s="27" t="s">
        <v>8</v>
      </c>
      <c r="P641" s="27" t="s">
        <v>7</v>
      </c>
      <c r="Q641" s="27" t="s">
        <v>8</v>
      </c>
      <c r="R641" s="27" t="s">
        <v>7</v>
      </c>
      <c r="S641" s="27" t="s">
        <v>8</v>
      </c>
      <c r="T641" s="27" t="s">
        <v>7</v>
      </c>
      <c r="U641" s="27" t="s">
        <v>8</v>
      </c>
      <c r="V641" s="27" t="s">
        <v>7</v>
      </c>
      <c r="W641" s="27" t="s">
        <v>8</v>
      </c>
      <c r="EB641" s="27" t="s">
        <v>7</v>
      </c>
      <c r="EC641" s="27" t="s">
        <v>8</v>
      </c>
      <c r="EP641" s="27" t="s">
        <v>7</v>
      </c>
      <c r="EQ641" s="27" t="s">
        <v>8</v>
      </c>
      <c r="ER641" s="27" t="s">
        <v>7</v>
      </c>
      <c r="ES641" s="27" t="s">
        <v>8</v>
      </c>
      <c r="ET641" s="27" t="s">
        <v>7</v>
      </c>
      <c r="EU641" s="27" t="s">
        <v>8</v>
      </c>
      <c r="EX641" s="27" t="s">
        <v>7</v>
      </c>
      <c r="EY641" s="27" t="s">
        <v>8</v>
      </c>
      <c r="EZ641" s="27" t="s">
        <v>7</v>
      </c>
      <c r="FA641" s="27" t="s">
        <v>8</v>
      </c>
      <c r="FB641" s="27" t="s">
        <v>7</v>
      </c>
      <c r="FC641" s="27" t="s">
        <v>8</v>
      </c>
      <c r="FD641" s="27" t="s">
        <v>7</v>
      </c>
      <c r="FE641" s="27" t="s">
        <v>8</v>
      </c>
      <c r="FF641" s="27" t="s">
        <v>7</v>
      </c>
      <c r="FG641" s="27" t="s">
        <v>8</v>
      </c>
    </row>
    <row r="642" spans="1:163" x14ac:dyDescent="0.25">
      <c r="A642" s="7">
        <v>0.33650424955324681</v>
      </c>
      <c r="B642"/>
      <c r="C642"/>
      <c r="D642"/>
      <c r="E642"/>
      <c r="L642" s="27" t="s">
        <v>7</v>
      </c>
      <c r="M642" s="27" t="s">
        <v>8</v>
      </c>
      <c r="N642" s="27" t="s">
        <v>7</v>
      </c>
      <c r="O642" s="27" t="s">
        <v>8</v>
      </c>
      <c r="P642" s="27" t="s">
        <v>7</v>
      </c>
      <c r="Q642" s="27" t="s">
        <v>8</v>
      </c>
      <c r="R642" s="27" t="s">
        <v>7</v>
      </c>
      <c r="S642" s="27" t="s">
        <v>8</v>
      </c>
      <c r="T642" s="27" t="s">
        <v>7</v>
      </c>
      <c r="U642" s="27" t="s">
        <v>8</v>
      </c>
      <c r="V642" s="27" t="s">
        <v>7</v>
      </c>
      <c r="EB642" s="27" t="s">
        <v>7</v>
      </c>
      <c r="EC642" s="27" t="s">
        <v>8</v>
      </c>
      <c r="EP642" s="27" t="s">
        <v>7</v>
      </c>
      <c r="EQ642" s="27" t="s">
        <v>8</v>
      </c>
      <c r="ER642" s="27" t="s">
        <v>7</v>
      </c>
      <c r="ES642" s="27" t="s">
        <v>8</v>
      </c>
      <c r="ET642" s="27" t="s">
        <v>7</v>
      </c>
      <c r="EX642" s="27" t="s">
        <v>7</v>
      </c>
      <c r="EZ642" s="27" t="s">
        <v>7</v>
      </c>
      <c r="FA642" s="27" t="s">
        <v>8</v>
      </c>
      <c r="FB642" s="27" t="s">
        <v>7</v>
      </c>
      <c r="FC642" s="27" t="s">
        <v>8</v>
      </c>
      <c r="FD642" s="27" t="s">
        <v>7</v>
      </c>
      <c r="FE642" s="27" t="s">
        <v>8</v>
      </c>
      <c r="FF642" s="27" t="s">
        <v>7</v>
      </c>
      <c r="FG642" s="27" t="s">
        <v>8</v>
      </c>
    </row>
    <row r="643" spans="1:163" x14ac:dyDescent="0.25">
      <c r="A643" s="7">
        <v>0.3299061270129871</v>
      </c>
      <c r="B643"/>
      <c r="C643"/>
      <c r="D643"/>
      <c r="E643"/>
      <c r="L643" s="27" t="s">
        <v>7</v>
      </c>
      <c r="M643" s="27" t="s">
        <v>8</v>
      </c>
      <c r="N643" s="27" t="s">
        <v>7</v>
      </c>
      <c r="O643" s="27" t="s">
        <v>8</v>
      </c>
      <c r="P643" s="27" t="s">
        <v>7</v>
      </c>
      <c r="Q643" s="27" t="s">
        <v>8</v>
      </c>
      <c r="R643" s="27" t="s">
        <v>7</v>
      </c>
      <c r="T643" s="27" t="s">
        <v>7</v>
      </c>
      <c r="U643" s="27" t="s">
        <v>8</v>
      </c>
      <c r="EB643" s="27" t="s">
        <v>7</v>
      </c>
      <c r="EP643" s="27" t="s">
        <v>7</v>
      </c>
      <c r="EQ643" s="27" t="s">
        <v>8</v>
      </c>
      <c r="ER643" s="27" t="s">
        <v>7</v>
      </c>
      <c r="ES643" s="27" t="s">
        <v>8</v>
      </c>
      <c r="EZ643" s="27" t="s">
        <v>7</v>
      </c>
      <c r="FB643" s="27" t="s">
        <v>7</v>
      </c>
      <c r="FD643" s="27" t="s">
        <v>7</v>
      </c>
      <c r="FE643" s="27" t="s">
        <v>8</v>
      </c>
      <c r="FF643" s="27" t="s">
        <v>7</v>
      </c>
    </row>
    <row r="644" spans="1:163" x14ac:dyDescent="0.25">
      <c r="A644" s="7">
        <v>0.32343737942449713</v>
      </c>
      <c r="B644"/>
      <c r="C644"/>
      <c r="D644"/>
      <c r="E644"/>
      <c r="L644" s="27" t="s">
        <v>7</v>
      </c>
      <c r="N644" s="27" t="s">
        <v>7</v>
      </c>
      <c r="O644" s="27" t="s">
        <v>8</v>
      </c>
      <c r="P644" s="27" t="s">
        <v>7</v>
      </c>
      <c r="Q644" s="27" t="s">
        <v>8</v>
      </c>
      <c r="T644" s="27" t="s">
        <v>7</v>
      </c>
      <c r="U644" s="27" t="s">
        <v>8</v>
      </c>
      <c r="EP644" s="27" t="s">
        <v>7</v>
      </c>
      <c r="EQ644" s="27" t="s">
        <v>8</v>
      </c>
      <c r="ER644" s="27" t="s">
        <v>7</v>
      </c>
      <c r="ES644" s="27" t="s">
        <v>8</v>
      </c>
      <c r="FD644" s="27" t="s">
        <v>7</v>
      </c>
      <c r="FE644" s="27" t="s">
        <v>8</v>
      </c>
    </row>
    <row r="645" spans="1:163" x14ac:dyDescent="0.25">
      <c r="A645" s="7">
        <v>0.31709547002401678</v>
      </c>
      <c r="B645"/>
      <c r="C645"/>
      <c r="D645"/>
      <c r="E645"/>
      <c r="N645" s="27" t="s">
        <v>7</v>
      </c>
      <c r="O645" s="27" t="s">
        <v>8</v>
      </c>
      <c r="P645" s="27" t="s">
        <v>7</v>
      </c>
      <c r="Q645" s="27" t="s">
        <v>8</v>
      </c>
      <c r="T645" s="27" t="s">
        <v>7</v>
      </c>
      <c r="U645" s="27" t="s">
        <v>8</v>
      </c>
      <c r="EP645" s="27" t="s">
        <v>7</v>
      </c>
      <c r="EQ645" s="27" t="s">
        <v>8</v>
      </c>
      <c r="ER645" s="27" t="s">
        <v>7</v>
      </c>
      <c r="ES645" s="27" t="s">
        <v>8</v>
      </c>
      <c r="FD645" s="27" t="s">
        <v>7</v>
      </c>
      <c r="FE645" s="27" t="s">
        <v>8</v>
      </c>
    </row>
    <row r="646" spans="1:163" x14ac:dyDescent="0.25">
      <c r="A646" s="7">
        <v>0.31087791178825175</v>
      </c>
      <c r="B646"/>
      <c r="C646"/>
      <c r="D646"/>
      <c r="E646"/>
      <c r="N646" s="27" t="s">
        <v>7</v>
      </c>
      <c r="O646" s="27" t="s">
        <v>8</v>
      </c>
      <c r="P646" s="27" t="s">
        <v>7</v>
      </c>
      <c r="Q646" s="27" t="s">
        <v>8</v>
      </c>
      <c r="T646" s="27" t="s">
        <v>7</v>
      </c>
      <c r="EP646" s="27" t="s">
        <v>7</v>
      </c>
      <c r="EQ646" s="27" t="s">
        <v>8</v>
      </c>
      <c r="ER646" s="27" t="s">
        <v>7</v>
      </c>
      <c r="ES646" s="27" t="s">
        <v>8</v>
      </c>
      <c r="FD646" s="27" t="s">
        <v>7</v>
      </c>
      <c r="FE646" s="27" t="s">
        <v>8</v>
      </c>
    </row>
    <row r="647" spans="1:163" x14ac:dyDescent="0.25">
      <c r="A647" s="7">
        <v>0.30478226645907036</v>
      </c>
      <c r="B647"/>
      <c r="C647"/>
      <c r="D647"/>
      <c r="E647"/>
      <c r="N647" s="27" t="s">
        <v>7</v>
      </c>
      <c r="O647" s="27" t="s">
        <v>8</v>
      </c>
      <c r="P647" s="27" t="s">
        <v>7</v>
      </c>
      <c r="EP647" s="27" t="s">
        <v>7</v>
      </c>
      <c r="EQ647" s="27" t="s">
        <v>8</v>
      </c>
      <c r="ER647" s="27" t="s">
        <v>7</v>
      </c>
      <c r="FD647" s="27" t="s">
        <v>7</v>
      </c>
      <c r="FE647" s="27" t="s">
        <v>8</v>
      </c>
    </row>
    <row r="648" spans="1:163" x14ac:dyDescent="0.25">
      <c r="A648" s="7">
        <v>0.29880614358732388</v>
      </c>
      <c r="B648"/>
      <c r="C648"/>
      <c r="D648"/>
      <c r="E648"/>
      <c r="N648" s="27" t="s">
        <v>7</v>
      </c>
      <c r="O648" s="27" t="s">
        <v>8</v>
      </c>
      <c r="EP648" s="27" t="s">
        <v>7</v>
      </c>
      <c r="EQ648" s="27" t="s">
        <v>8</v>
      </c>
      <c r="FD648" s="18" t="s">
        <v>7</v>
      </c>
      <c r="FE648" s="27" t="s">
        <v>8</v>
      </c>
    </row>
    <row r="649" spans="1:163" x14ac:dyDescent="0.25">
      <c r="A649" s="7">
        <v>0.2929471995954156</v>
      </c>
      <c r="B649"/>
      <c r="C649"/>
      <c r="D649"/>
      <c r="E649"/>
      <c r="N649" s="27" t="s">
        <v>7</v>
      </c>
      <c r="O649" s="27" t="s">
        <v>8</v>
      </c>
      <c r="EP649" s="27" t="s">
        <v>7</v>
      </c>
      <c r="FD649" s="27" t="s">
        <v>7</v>
      </c>
      <c r="FE649" s="27" t="s">
        <v>8</v>
      </c>
    </row>
    <row r="650" spans="1:163" x14ac:dyDescent="0.25">
      <c r="A650" s="7">
        <v>0.28720313685825055</v>
      </c>
      <c r="B650"/>
      <c r="C650"/>
      <c r="D650"/>
      <c r="E650"/>
      <c r="N650" s="27" t="s">
        <v>7</v>
      </c>
      <c r="FD650" s="27" t="s">
        <v>7</v>
      </c>
      <c r="FE650" s="27" t="s">
        <v>8</v>
      </c>
    </row>
    <row r="651" spans="1:163" x14ac:dyDescent="0.25">
      <c r="A651" s="7">
        <v>0.28157170280220645</v>
      </c>
      <c r="B651"/>
      <c r="C651"/>
      <c r="D651"/>
      <c r="E651"/>
      <c r="FD651" s="27" t="s">
        <v>7</v>
      </c>
      <c r="FE651" s="27" t="s">
        <v>8</v>
      </c>
    </row>
    <row r="652" spans="1:163" x14ac:dyDescent="0.25">
      <c r="A652" s="7">
        <v>0.27605068902177105</v>
      </c>
      <c r="B652"/>
      <c r="C652"/>
      <c r="D652"/>
      <c r="E652"/>
      <c r="FD652" s="27" t="s">
        <v>7</v>
      </c>
    </row>
    <row r="653" spans="1:163" x14ac:dyDescent="0.25">
      <c r="A653" s="7">
        <v>0.27063793041350104</v>
      </c>
      <c r="B653"/>
      <c r="C653"/>
      <c r="D653"/>
      <c r="E653"/>
    </row>
    <row r="654" spans="1:163" x14ac:dyDescent="0.25">
      <c r="A654" s="7">
        <v>0.26533130432696184</v>
      </c>
      <c r="B654"/>
      <c r="C654"/>
      <c r="D654"/>
      <c r="E654"/>
    </row>
    <row r="655" spans="1:163" x14ac:dyDescent="0.25">
      <c r="A655" s="7">
        <v>0.26012872973231554</v>
      </c>
      <c r="B655"/>
      <c r="C655"/>
      <c r="D655"/>
      <c r="E655"/>
    </row>
    <row r="656" spans="1:163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81" operator="equal">
      <formula>$U$1</formula>
    </cfRule>
    <cfRule type="cellIs" dxfId="89" priority="882" operator="equal">
      <formula>$S$1</formula>
    </cfRule>
  </conditionalFormatting>
  <conditionalFormatting sqref="D27">
    <cfRule type="cellIs" dxfId="88" priority="879" operator="equal">
      <formula>$S$1</formula>
    </cfRule>
    <cfRule type="cellIs" dxfId="87" priority="880" operator="equal">
      <formula>$U$1</formula>
    </cfRule>
  </conditionalFormatting>
  <conditionalFormatting sqref="C164">
    <cfRule type="cellIs" dxfId="86" priority="877" operator="equal">
      <formula>$U$1</formula>
    </cfRule>
    <cfRule type="cellIs" dxfId="85" priority="878" operator="equal">
      <formula>$S$1</formula>
    </cfRule>
  </conditionalFormatting>
  <conditionalFormatting sqref="D164">
    <cfRule type="cellIs" dxfId="84" priority="875" operator="equal">
      <formula>$S$1</formula>
    </cfRule>
    <cfRule type="cellIs" dxfId="83" priority="876" operator="equal">
      <formula>$U$1</formula>
    </cfRule>
  </conditionalFormatting>
  <conditionalFormatting sqref="C55">
    <cfRule type="cellIs" dxfId="82" priority="873" operator="equal">
      <formula>$U$1</formula>
    </cfRule>
    <cfRule type="cellIs" dxfId="81" priority="874" operator="equal">
      <formula>$S$1</formula>
    </cfRule>
  </conditionalFormatting>
  <conditionalFormatting sqref="D55">
    <cfRule type="cellIs" dxfId="80" priority="871" operator="equal">
      <formula>$S$1</formula>
    </cfRule>
    <cfRule type="cellIs" dxfId="79" priority="872" operator="equal">
      <formula>$U$1</formula>
    </cfRule>
  </conditionalFormatting>
  <conditionalFormatting sqref="C89">
    <cfRule type="cellIs" dxfId="78" priority="869" operator="equal">
      <formula>$U$1</formula>
    </cfRule>
    <cfRule type="cellIs" dxfId="77" priority="870" operator="equal">
      <formula>$S$1</formula>
    </cfRule>
  </conditionalFormatting>
  <conditionalFormatting sqref="D89">
    <cfRule type="cellIs" dxfId="76" priority="867" operator="equal">
      <formula>$S$1</formula>
    </cfRule>
    <cfRule type="cellIs" dxfId="75" priority="868" operator="equal">
      <formula>$U$1</formula>
    </cfRule>
  </conditionalFormatting>
  <conditionalFormatting sqref="C136">
    <cfRule type="cellIs" dxfId="74" priority="865" operator="equal">
      <formula>$U$1</formula>
    </cfRule>
    <cfRule type="cellIs" dxfId="73" priority="866" operator="equal">
      <formula>$S$1</formula>
    </cfRule>
  </conditionalFormatting>
  <conditionalFormatting sqref="D136">
    <cfRule type="cellIs" dxfId="72" priority="863" operator="equal">
      <formula>$S$1</formula>
    </cfRule>
    <cfRule type="cellIs" dxfId="71" priority="864" operator="equal">
      <formula>$U$1</formula>
    </cfRule>
  </conditionalFormatting>
  <conditionalFormatting sqref="C1">
    <cfRule type="cellIs" dxfId="70" priority="86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E254" sqref="FE25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$A$253</v>
      </c>
      <c r="D111" s="1" t="str">
        <f>ADDRESS(C121-1,D121,1,1)</f>
        <v>$FE$253</v>
      </c>
      <c r="E111"/>
    </row>
    <row r="112" spans="1:5" x14ac:dyDescent="0.25">
      <c r="A112" s="30">
        <v>515.50191262726139</v>
      </c>
      <c r="C112" s="1" t="str">
        <f>ADDRESS(C121,1,1,1)</f>
        <v>$A$254</v>
      </c>
      <c r="D112" s="1" t="str">
        <f>ADDRESS(C121,D121-1,1,1)</f>
        <v>$FD$254</v>
      </c>
      <c r="E112"/>
    </row>
    <row r="113" spans="1:5" x14ac:dyDescent="0.25">
      <c r="A113" s="30">
        <v>490.95420250215363</v>
      </c>
      <c r="C113" s="1" t="str">
        <f>ADDRESS(C121+1,1,1,1)</f>
        <v>$A$255</v>
      </c>
      <c r="D113" s="1" t="str">
        <f>ADDRESS(C121-1,D121+1,1,1)</f>
        <v>$FF$253</v>
      </c>
    </row>
    <row r="114" spans="1:5" x14ac:dyDescent="0.25">
      <c r="A114" s="30">
        <v>467.57543095443202</v>
      </c>
      <c r="C114" s="1" t="str">
        <f>ADDRESS(C121,D121,1,1)</f>
        <v>$FE$254</v>
      </c>
      <c r="D114" s="1" t="str">
        <f>ADDRESS(C121+1,D121+1,1,1)</f>
        <v>$FF$255</v>
      </c>
    </row>
    <row r="115" spans="1:5" x14ac:dyDescent="0.25">
      <c r="A115" s="30">
        <v>445.30993424231622</v>
      </c>
      <c r="C115" s="1" t="str">
        <f>ADDRESS(C121+1,D121,1,1)</f>
        <v>$FE$255</v>
      </c>
    </row>
    <row r="116" spans="1:5" x14ac:dyDescent="0.25">
      <c r="A116" s="30">
        <v>424.10469927839637</v>
      </c>
      <c r="C116" s="1">
        <f>C117-1</f>
        <v>253</v>
      </c>
    </row>
    <row r="117" spans="1:5" x14ac:dyDescent="0.25">
      <c r="A117" s="30">
        <v>403.9092374079965</v>
      </c>
      <c r="C117" s="1">
        <f>C121</f>
        <v>254</v>
      </c>
      <c r="D117" s="1">
        <f>D121</f>
        <v>161</v>
      </c>
    </row>
    <row r="118" spans="1:5" x14ac:dyDescent="0.25">
      <c r="A118" s="30">
        <v>384.6754641980919</v>
      </c>
      <c r="C118" s="1">
        <f>C117+1</f>
        <v>255</v>
      </c>
      <c r="D118" s="1">
        <f>D117+1</f>
        <v>162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254</v>
      </c>
      <c r="D121" s="19">
        <v>161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R254</v>
      </c>
      <c r="D123" s="1" t="str">
        <f>"C"&amp;D121</f>
        <v>C161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0.50506795299551588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54" x14ac:dyDescent="0.25">
      <c r="A225" s="30">
        <v>2.0789281794113688</v>
      </c>
      <c r="E225"/>
    </row>
    <row r="226" spans="1:154" x14ac:dyDescent="0.25">
      <c r="A226" s="30">
        <v>1.9799315994393987</v>
      </c>
      <c r="E226"/>
    </row>
    <row r="227" spans="1:154" x14ac:dyDescent="0.25">
      <c r="A227" s="30">
        <v>1.8856491423232367</v>
      </c>
      <c r="E227"/>
    </row>
    <row r="228" spans="1:154" x14ac:dyDescent="0.25">
      <c r="A228" s="30">
        <v>1.7958563260221301</v>
      </c>
      <c r="C228" s="7"/>
      <c r="D228"/>
      <c r="E228"/>
      <c r="CM228" s="27" t="s">
        <v>8</v>
      </c>
      <c r="DU228" s="27" t="s">
        <v>8</v>
      </c>
    </row>
    <row r="229" spans="1:154" x14ac:dyDescent="0.25">
      <c r="A229" s="30">
        <v>1.7103393581163142</v>
      </c>
      <c r="E229"/>
      <c r="CM229" s="27" t="s">
        <v>8</v>
      </c>
      <c r="CN229" s="27" t="s">
        <v>7</v>
      </c>
      <c r="DU229" s="27" t="s">
        <v>8</v>
      </c>
      <c r="DV229" s="27" t="s">
        <v>7</v>
      </c>
    </row>
    <row r="230" spans="1:154" x14ac:dyDescent="0.25">
      <c r="A230" s="30">
        <v>1.628894626777442</v>
      </c>
      <c r="E230"/>
      <c r="BU230" s="27" t="s">
        <v>8</v>
      </c>
      <c r="BW230" s="27" t="s">
        <v>8</v>
      </c>
      <c r="CM230" s="27" t="s">
        <v>8</v>
      </c>
      <c r="CN230" s="27" t="s">
        <v>7</v>
      </c>
      <c r="DU230" s="27" t="s">
        <v>8</v>
      </c>
      <c r="DV230" s="27" t="s">
        <v>7</v>
      </c>
    </row>
    <row r="231" spans="1:154" x14ac:dyDescent="0.25">
      <c r="A231" s="30">
        <v>1.5513282159785162</v>
      </c>
      <c r="C231"/>
      <c r="D231"/>
      <c r="E231"/>
      <c r="BU231" s="27" t="s">
        <v>8</v>
      </c>
      <c r="BV231" s="27" t="s">
        <v>7</v>
      </c>
      <c r="BW231" s="27" t="s">
        <v>8</v>
      </c>
      <c r="BX231" s="27" t="s">
        <v>7</v>
      </c>
      <c r="CM231" s="27" t="s">
        <v>8</v>
      </c>
      <c r="CN231" s="27" t="s">
        <v>7</v>
      </c>
      <c r="DU231" s="27" t="s">
        <v>8</v>
      </c>
      <c r="DV231" s="27" t="s">
        <v>7</v>
      </c>
    </row>
    <row r="232" spans="1:154" x14ac:dyDescent="0.25">
      <c r="A232" s="30">
        <v>1.477455443789063</v>
      </c>
      <c r="E232"/>
      <c r="BO232" s="27" t="s">
        <v>8</v>
      </c>
      <c r="BU232" s="27" t="s">
        <v>8</v>
      </c>
      <c r="BV232" s="27" t="s">
        <v>7</v>
      </c>
      <c r="BW232" s="27" t="s">
        <v>8</v>
      </c>
      <c r="BX232" s="27" t="s">
        <v>7</v>
      </c>
      <c r="CM232" s="27" t="s">
        <v>8</v>
      </c>
      <c r="CN232" s="27" t="s">
        <v>7</v>
      </c>
      <c r="DU232" s="27" t="s">
        <v>8</v>
      </c>
      <c r="DV232" s="27" t="s">
        <v>7</v>
      </c>
    </row>
    <row r="233" spans="1:154" x14ac:dyDescent="0.25">
      <c r="A233" s="30">
        <v>1.4071004226562505</v>
      </c>
      <c r="E233"/>
      <c r="BO233" s="27" t="s">
        <v>8</v>
      </c>
      <c r="BP233" s="27" t="s">
        <v>7</v>
      </c>
      <c r="BU233" s="27" t="s">
        <v>8</v>
      </c>
      <c r="BV233" s="27" t="s">
        <v>7</v>
      </c>
      <c r="BW233" s="27" t="s">
        <v>8</v>
      </c>
      <c r="BX233" s="27" t="s">
        <v>7</v>
      </c>
      <c r="BY233" s="27" t="s">
        <v>8</v>
      </c>
      <c r="CK233" s="27" t="s">
        <v>8</v>
      </c>
      <c r="CM233" s="27" t="s">
        <v>8</v>
      </c>
      <c r="CN233" s="27" t="s">
        <v>7</v>
      </c>
      <c r="DU233" s="27" t="s">
        <v>8</v>
      </c>
      <c r="DV233" s="27" t="s">
        <v>7</v>
      </c>
      <c r="EI233" s="27" t="s">
        <v>8</v>
      </c>
    </row>
    <row r="234" spans="1:154" x14ac:dyDescent="0.25">
      <c r="A234" s="30">
        <v>1.3400956406250004</v>
      </c>
      <c r="E234"/>
      <c r="BO234" s="27" t="s">
        <v>8</v>
      </c>
      <c r="BP234" s="27" t="s">
        <v>7</v>
      </c>
      <c r="BS234" s="27" t="s">
        <v>8</v>
      </c>
      <c r="BU234" s="27" t="s">
        <v>8</v>
      </c>
      <c r="BV234" s="27" t="s">
        <v>7</v>
      </c>
      <c r="BW234" s="27" t="s">
        <v>8</v>
      </c>
      <c r="BX234" s="27" t="s">
        <v>7</v>
      </c>
      <c r="BY234" s="27" t="s">
        <v>8</v>
      </c>
      <c r="BZ234" s="27" t="s">
        <v>7</v>
      </c>
      <c r="CI234" s="27" t="s">
        <v>8</v>
      </c>
      <c r="CK234" s="27" t="s">
        <v>8</v>
      </c>
      <c r="CL234" s="27" t="s">
        <v>7</v>
      </c>
      <c r="CM234" s="27" t="s">
        <v>8</v>
      </c>
      <c r="CN234" s="27" t="s">
        <v>7</v>
      </c>
      <c r="DU234" s="27" t="s">
        <v>8</v>
      </c>
      <c r="DV234" s="27" t="s">
        <v>7</v>
      </c>
      <c r="DW234" s="27" t="s">
        <v>8</v>
      </c>
      <c r="EI234" s="27" t="s">
        <v>8</v>
      </c>
      <c r="EJ234" s="27" t="s">
        <v>7</v>
      </c>
    </row>
    <row r="235" spans="1:154" x14ac:dyDescent="0.25">
      <c r="A235" s="30">
        <v>1.2762815625000004</v>
      </c>
      <c r="C235"/>
      <c r="E235"/>
      <c r="BO235" s="27" t="s">
        <v>8</v>
      </c>
      <c r="BP235" s="27" t="s">
        <v>7</v>
      </c>
      <c r="BS235" s="27" t="s">
        <v>8</v>
      </c>
      <c r="BT235" s="27" t="s">
        <v>7</v>
      </c>
      <c r="BU235" s="27" t="s">
        <v>8</v>
      </c>
      <c r="BV235" s="27" t="s">
        <v>7</v>
      </c>
      <c r="BX235" s="27" t="s">
        <v>7</v>
      </c>
      <c r="BY235" s="27" t="s">
        <v>8</v>
      </c>
      <c r="BZ235" s="27" t="s">
        <v>7</v>
      </c>
      <c r="CI235" s="27" t="s">
        <v>8</v>
      </c>
      <c r="CJ235" s="27" t="s">
        <v>7</v>
      </c>
      <c r="CK235" s="27" t="s">
        <v>8</v>
      </c>
      <c r="CL235" s="27" t="s">
        <v>7</v>
      </c>
      <c r="CM235" s="27" t="s">
        <v>8</v>
      </c>
      <c r="CN235" s="27" t="s">
        <v>7</v>
      </c>
      <c r="CO235" s="27" t="s">
        <v>8</v>
      </c>
      <c r="DU235" s="27" t="s">
        <v>8</v>
      </c>
      <c r="DV235" s="27" t="s">
        <v>7</v>
      </c>
      <c r="DW235" s="27" t="s">
        <v>8</v>
      </c>
      <c r="DX235" s="27" t="s">
        <v>7</v>
      </c>
      <c r="EI235" s="27" t="s">
        <v>8</v>
      </c>
      <c r="EJ235" s="27" t="s">
        <v>7</v>
      </c>
      <c r="EW235" s="27" t="s">
        <v>8</v>
      </c>
    </row>
    <row r="236" spans="1:154" x14ac:dyDescent="0.25">
      <c r="A236" s="30">
        <v>1.2155062500000002</v>
      </c>
      <c r="E236"/>
      <c r="BO236" s="27" t="s">
        <v>8</v>
      </c>
      <c r="BP236" s="27" t="s">
        <v>7</v>
      </c>
      <c r="BQ236" s="27" t="s">
        <v>8</v>
      </c>
      <c r="BS236" s="27" t="s">
        <v>8</v>
      </c>
      <c r="BT236" s="27" t="s">
        <v>7</v>
      </c>
      <c r="BU236" s="27" t="s">
        <v>8</v>
      </c>
      <c r="BX236" s="27" t="s">
        <v>7</v>
      </c>
      <c r="BZ236" s="27" t="s">
        <v>7</v>
      </c>
      <c r="CI236" s="27" t="s">
        <v>8</v>
      </c>
      <c r="CJ236" s="27" t="s">
        <v>7</v>
      </c>
      <c r="CK236" s="27" t="s">
        <v>8</v>
      </c>
      <c r="CL236" s="27" t="s">
        <v>7</v>
      </c>
      <c r="CM236" s="27" t="s">
        <v>8</v>
      </c>
      <c r="CN236" s="27" t="s">
        <v>7</v>
      </c>
      <c r="CO236" s="27" t="s">
        <v>8</v>
      </c>
      <c r="CP236" s="27" t="s">
        <v>7</v>
      </c>
      <c r="DU236" s="27" t="s">
        <v>8</v>
      </c>
      <c r="DV236" s="27" t="s">
        <v>7</v>
      </c>
      <c r="DW236" s="27" t="s">
        <v>8</v>
      </c>
      <c r="DX236" s="27" t="s">
        <v>7</v>
      </c>
      <c r="EI236" s="27" t="s">
        <v>8</v>
      </c>
      <c r="EJ236" s="27" t="s">
        <v>7</v>
      </c>
      <c r="EM236" s="27" t="s">
        <v>8</v>
      </c>
      <c r="EO236" s="27" t="s">
        <v>8</v>
      </c>
      <c r="EW236" s="27" t="s">
        <v>8</v>
      </c>
      <c r="EX236" s="27" t="s">
        <v>7</v>
      </c>
    </row>
    <row r="237" spans="1:15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O237" s="27" t="s">
        <v>8</v>
      </c>
      <c r="BP237" s="27" t="s">
        <v>7</v>
      </c>
      <c r="BQ237" s="27" t="s">
        <v>8</v>
      </c>
      <c r="BR237" s="27" t="s">
        <v>7</v>
      </c>
      <c r="BS237" s="27" t="s">
        <v>8</v>
      </c>
      <c r="BT237" s="27" t="s">
        <v>7</v>
      </c>
      <c r="BU237" s="27" t="s">
        <v>8</v>
      </c>
      <c r="BZ237" s="27" t="s">
        <v>7</v>
      </c>
      <c r="CA237" s="27" t="s">
        <v>8</v>
      </c>
      <c r="CG237" s="27" t="s">
        <v>8</v>
      </c>
      <c r="CI237" s="27" t="s">
        <v>8</v>
      </c>
      <c r="CJ237" s="27" t="s">
        <v>7</v>
      </c>
      <c r="CL237" s="27" t="s">
        <v>7</v>
      </c>
      <c r="CN237" s="27" t="s">
        <v>7</v>
      </c>
      <c r="CO237" s="27" t="s">
        <v>8</v>
      </c>
      <c r="CP237" s="27" t="s">
        <v>7</v>
      </c>
      <c r="DU237" s="27" t="s">
        <v>8</v>
      </c>
      <c r="DV237" s="27" t="s">
        <v>7</v>
      </c>
      <c r="DW237" s="27" t="s">
        <v>8</v>
      </c>
      <c r="DX237" s="27" t="s">
        <v>7</v>
      </c>
      <c r="DY237" s="27" t="s">
        <v>8</v>
      </c>
      <c r="EI237" s="27" t="s">
        <v>8</v>
      </c>
      <c r="EJ237" s="27" t="s">
        <v>7</v>
      </c>
      <c r="EK237" s="27" t="s">
        <v>8</v>
      </c>
      <c r="EM237" s="27" t="s">
        <v>8</v>
      </c>
      <c r="EN237" s="27" t="s">
        <v>7</v>
      </c>
      <c r="EO237" s="27" t="s">
        <v>8</v>
      </c>
      <c r="EP237" s="27" t="s">
        <v>7</v>
      </c>
      <c r="EW237" s="27" t="s">
        <v>8</v>
      </c>
      <c r="EX237" s="27" t="s">
        <v>7</v>
      </c>
    </row>
    <row r="238" spans="1:154" x14ac:dyDescent="0.25">
      <c r="A238" s="30">
        <v>1.1025</v>
      </c>
      <c r="E238"/>
      <c r="BM238" s="27" t="s">
        <v>8</v>
      </c>
      <c r="BO238" s="27" t="s">
        <v>8</v>
      </c>
      <c r="BP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BU238" s="27" t="s">
        <v>8</v>
      </c>
      <c r="BZ238" s="27" t="s">
        <v>7</v>
      </c>
      <c r="CA238" s="27" t="s">
        <v>8</v>
      </c>
      <c r="CB238" s="27" t="s">
        <v>7</v>
      </c>
      <c r="CG238" s="27" t="s">
        <v>8</v>
      </c>
      <c r="CH238" s="27" t="s">
        <v>7</v>
      </c>
      <c r="CI238" s="27" t="s">
        <v>8</v>
      </c>
      <c r="CN238" s="27" t="s">
        <v>7</v>
      </c>
      <c r="CO238" s="27" t="s">
        <v>8</v>
      </c>
      <c r="CP238" s="27" t="s">
        <v>7</v>
      </c>
      <c r="DU238" s="27" t="s">
        <v>8</v>
      </c>
      <c r="DV238" s="27" t="s">
        <v>7</v>
      </c>
      <c r="DW238" s="27" t="s">
        <v>8</v>
      </c>
      <c r="DX238" s="27" t="s">
        <v>7</v>
      </c>
      <c r="DY238" s="27" t="s">
        <v>8</v>
      </c>
      <c r="DZ238" s="27" t="s">
        <v>7</v>
      </c>
      <c r="EA238" s="27" t="s">
        <v>8</v>
      </c>
      <c r="EI238" s="27" t="s">
        <v>8</v>
      </c>
      <c r="EJ238" s="27" t="s">
        <v>7</v>
      </c>
      <c r="EK238" s="27" t="s">
        <v>8</v>
      </c>
      <c r="EL238" s="27" t="s">
        <v>7</v>
      </c>
      <c r="EM238" s="27" t="s">
        <v>8</v>
      </c>
      <c r="EN238" s="27" t="s">
        <v>7</v>
      </c>
      <c r="EO238" s="27" t="s">
        <v>8</v>
      </c>
      <c r="EP238" s="27" t="s">
        <v>7</v>
      </c>
      <c r="EQ238" s="27" t="s">
        <v>8</v>
      </c>
      <c r="EW238" s="27" t="s">
        <v>8</v>
      </c>
      <c r="EX238" s="27" t="s">
        <v>7</v>
      </c>
    </row>
    <row r="239" spans="1:154" x14ac:dyDescent="0.25">
      <c r="A239" s="30">
        <v>1.05</v>
      </c>
      <c r="E239"/>
      <c r="BM239" s="27" t="s">
        <v>8</v>
      </c>
      <c r="BN239" s="27" t="s">
        <v>7</v>
      </c>
      <c r="BO239" s="27" t="s">
        <v>8</v>
      </c>
      <c r="BP239" s="27" t="s">
        <v>7</v>
      </c>
      <c r="BR239" s="27" t="s">
        <v>7</v>
      </c>
      <c r="BT239" s="27" t="s">
        <v>7</v>
      </c>
      <c r="BU239" s="27" t="s">
        <v>8</v>
      </c>
      <c r="BZ239" s="27" t="s">
        <v>7</v>
      </c>
      <c r="CA239" s="27" t="s">
        <v>8</v>
      </c>
      <c r="CB239" s="27" t="s">
        <v>7</v>
      </c>
      <c r="CG239" s="27" t="s">
        <v>8</v>
      </c>
      <c r="CH239" s="27" t="s">
        <v>7</v>
      </c>
      <c r="CI239" s="27" t="s">
        <v>8</v>
      </c>
      <c r="CN239" s="27" t="s">
        <v>7</v>
      </c>
      <c r="CO239" s="27" t="s">
        <v>8</v>
      </c>
      <c r="CP239" s="27" t="s">
        <v>7</v>
      </c>
      <c r="DU239" s="27" t="s">
        <v>8</v>
      </c>
      <c r="DV239" s="27" t="s">
        <v>7</v>
      </c>
      <c r="DW239" s="27" t="s">
        <v>8</v>
      </c>
      <c r="DX239" s="27" t="s">
        <v>7</v>
      </c>
      <c r="DY239" s="27" t="s">
        <v>8</v>
      </c>
      <c r="DZ239" s="27" t="s">
        <v>7</v>
      </c>
      <c r="EA239" s="27" t="s">
        <v>8</v>
      </c>
      <c r="EB239" s="27" t="s">
        <v>7</v>
      </c>
      <c r="EI239" s="27" t="s">
        <v>8</v>
      </c>
      <c r="EJ239" s="27" t="s">
        <v>7</v>
      </c>
      <c r="EK239" s="27" t="s">
        <v>8</v>
      </c>
      <c r="EL239" s="27" t="s">
        <v>7</v>
      </c>
      <c r="EM239" s="27" t="s">
        <v>8</v>
      </c>
      <c r="EN239" s="27" t="s">
        <v>7</v>
      </c>
      <c r="EO239" s="27" t="s">
        <v>8</v>
      </c>
      <c r="EP239" s="27" t="s">
        <v>7</v>
      </c>
      <c r="EQ239" s="27" t="s">
        <v>8</v>
      </c>
      <c r="ER239" s="27" t="s">
        <v>7</v>
      </c>
      <c r="ES239" s="27" t="s">
        <v>8</v>
      </c>
      <c r="EW239" s="27" t="s">
        <v>8</v>
      </c>
      <c r="EX239" s="27" t="s">
        <v>7</v>
      </c>
    </row>
    <row r="240" spans="1:154" x14ac:dyDescent="0.25">
      <c r="A240" s="30">
        <v>1</v>
      </c>
      <c r="E240" s="29" t="s">
        <v>8</v>
      </c>
      <c r="BM240" s="27" t="s">
        <v>8</v>
      </c>
      <c r="BN240" s="27" t="s">
        <v>7</v>
      </c>
      <c r="BO240" s="27" t="s">
        <v>8</v>
      </c>
      <c r="BT240" s="27" t="s">
        <v>7</v>
      </c>
      <c r="BU240" s="27" t="s">
        <v>8</v>
      </c>
      <c r="BZ240" s="27" t="s">
        <v>7</v>
      </c>
      <c r="CA240" s="27" t="s">
        <v>8</v>
      </c>
      <c r="CB240" s="27" t="s">
        <v>7</v>
      </c>
      <c r="CG240" s="27" t="s">
        <v>8</v>
      </c>
      <c r="CH240" s="27" t="s">
        <v>7</v>
      </c>
      <c r="CI240" s="27" t="s">
        <v>8</v>
      </c>
      <c r="CN240" s="27" t="s">
        <v>7</v>
      </c>
      <c r="CP240" s="27" t="s">
        <v>7</v>
      </c>
      <c r="DU240" s="27" t="s">
        <v>8</v>
      </c>
      <c r="DV240" s="27" t="s">
        <v>7</v>
      </c>
      <c r="DW240" s="27" t="s">
        <v>8</v>
      </c>
      <c r="DX240" s="27" t="s">
        <v>7</v>
      </c>
      <c r="DY240" s="27" t="s">
        <v>8</v>
      </c>
      <c r="DZ240" s="27" t="s">
        <v>7</v>
      </c>
      <c r="EA240" s="27" t="s">
        <v>8</v>
      </c>
      <c r="EB240" s="27" t="s">
        <v>7</v>
      </c>
      <c r="EG240" s="27" t="s">
        <v>8</v>
      </c>
      <c r="EI240" s="27" t="s">
        <v>8</v>
      </c>
      <c r="EJ240" s="27" t="s">
        <v>7</v>
      </c>
      <c r="EK240" s="27" t="s">
        <v>8</v>
      </c>
      <c r="EL240" s="27" t="s">
        <v>7</v>
      </c>
      <c r="EN240" s="27" t="s">
        <v>7</v>
      </c>
      <c r="EO240" s="27" t="s">
        <v>8</v>
      </c>
      <c r="EP240" s="27" t="s">
        <v>7</v>
      </c>
      <c r="EQ240" s="27" t="s">
        <v>8</v>
      </c>
      <c r="ER240" s="27" t="s">
        <v>7</v>
      </c>
      <c r="ES240" s="27" t="s">
        <v>8</v>
      </c>
      <c r="ET240" s="27" t="s">
        <v>7</v>
      </c>
      <c r="EW240" s="27" t="s">
        <v>8</v>
      </c>
      <c r="EX240" s="27" t="s">
        <v>7</v>
      </c>
    </row>
    <row r="241" spans="1:161" x14ac:dyDescent="0.25">
      <c r="A241" s="30">
        <v>0.952380952380952</v>
      </c>
      <c r="B241"/>
      <c r="C241"/>
      <c r="D241"/>
      <c r="E241"/>
      <c r="F241" s="27" t="s">
        <v>7</v>
      </c>
      <c r="AE241" s="27" t="s">
        <v>8</v>
      </c>
      <c r="BM241" s="27" t="s">
        <v>8</v>
      </c>
      <c r="BN241" s="27" t="s">
        <v>7</v>
      </c>
      <c r="BO241" s="27" t="s">
        <v>8</v>
      </c>
      <c r="BT241" s="27" t="s">
        <v>7</v>
      </c>
      <c r="BZ241" s="27" t="s">
        <v>7</v>
      </c>
      <c r="CA241" s="27" t="s">
        <v>8</v>
      </c>
      <c r="CB241" s="27" t="s">
        <v>7</v>
      </c>
      <c r="CE241" s="27" t="s">
        <v>8</v>
      </c>
      <c r="CG241" s="27" t="s">
        <v>8</v>
      </c>
      <c r="CH241" s="27" t="s">
        <v>7</v>
      </c>
      <c r="CP241" s="27" t="s">
        <v>7</v>
      </c>
      <c r="DU241" s="27" t="s">
        <v>8</v>
      </c>
      <c r="DV241" s="27" t="s">
        <v>7</v>
      </c>
      <c r="DW241" s="27" t="s">
        <v>8</v>
      </c>
      <c r="DX241" s="27" t="s">
        <v>7</v>
      </c>
      <c r="DZ241" s="27" t="s">
        <v>7</v>
      </c>
      <c r="EA241" s="27" t="s">
        <v>8</v>
      </c>
      <c r="EB241" s="27" t="s">
        <v>7</v>
      </c>
      <c r="EG241" s="27" t="s">
        <v>8</v>
      </c>
      <c r="EH241" s="27" t="s">
        <v>7</v>
      </c>
      <c r="EI241" s="27" t="s">
        <v>8</v>
      </c>
      <c r="EJ241" s="27" t="s">
        <v>7</v>
      </c>
      <c r="EN241" s="27" t="s">
        <v>7</v>
      </c>
      <c r="EO241" s="27" t="s">
        <v>8</v>
      </c>
      <c r="EP241" s="27" t="s">
        <v>7</v>
      </c>
      <c r="ER241" s="27" t="s">
        <v>7</v>
      </c>
      <c r="ES241" s="27" t="s">
        <v>8</v>
      </c>
      <c r="ET241" s="27" t="s">
        <v>7</v>
      </c>
      <c r="EU241" s="27" t="s">
        <v>8</v>
      </c>
      <c r="EW241" s="27" t="s">
        <v>8</v>
      </c>
      <c r="EX241" s="27" t="s">
        <v>7</v>
      </c>
      <c r="FA241" s="27" t="s">
        <v>8</v>
      </c>
    </row>
    <row r="242" spans="1:161" x14ac:dyDescent="0.25">
      <c r="A242" s="30">
        <v>0.90702947845804915</v>
      </c>
      <c r="B242"/>
      <c r="C242"/>
      <c r="D242"/>
      <c r="E242"/>
      <c r="F242" s="27" t="s">
        <v>7</v>
      </c>
      <c r="AE242" s="27" t="s">
        <v>8</v>
      </c>
      <c r="AF242" s="27" t="s">
        <v>7</v>
      </c>
      <c r="BE242" s="27" t="s">
        <v>8</v>
      </c>
      <c r="BM242" s="27" t="s">
        <v>8</v>
      </c>
      <c r="BN242" s="27" t="s">
        <v>7</v>
      </c>
      <c r="BO242" s="27" t="s">
        <v>8</v>
      </c>
      <c r="BZ242" s="27" t="s">
        <v>7</v>
      </c>
      <c r="CA242" s="27" t="s">
        <v>8</v>
      </c>
      <c r="CB242" s="27" t="s">
        <v>7</v>
      </c>
      <c r="CE242" s="27" t="s">
        <v>8</v>
      </c>
      <c r="CF242" s="27" t="s">
        <v>7</v>
      </c>
      <c r="CG242" s="27" t="s">
        <v>8</v>
      </c>
      <c r="CP242" s="27" t="s">
        <v>7</v>
      </c>
      <c r="DU242" s="27" t="s">
        <v>8</v>
      </c>
      <c r="DV242" s="27" t="s">
        <v>7</v>
      </c>
      <c r="DW242" s="27" t="s">
        <v>8</v>
      </c>
      <c r="DZ242" s="27" t="s">
        <v>7</v>
      </c>
      <c r="EA242" s="27" t="s">
        <v>8</v>
      </c>
      <c r="EB242" s="27" t="s">
        <v>7</v>
      </c>
      <c r="EC242" s="27" t="s">
        <v>8</v>
      </c>
      <c r="EG242" s="27" t="s">
        <v>8</v>
      </c>
      <c r="EH242" s="27" t="s">
        <v>7</v>
      </c>
      <c r="EI242" s="27" t="s">
        <v>8</v>
      </c>
      <c r="EN242" s="27" t="s">
        <v>7</v>
      </c>
      <c r="ER242" s="27" t="s">
        <v>7</v>
      </c>
      <c r="ES242" s="27" t="s">
        <v>8</v>
      </c>
      <c r="ET242" s="27" t="s">
        <v>7</v>
      </c>
      <c r="EU242" s="27" t="s">
        <v>8</v>
      </c>
      <c r="EV242" s="27" t="s">
        <v>7</v>
      </c>
      <c r="EW242" s="27" t="s">
        <v>8</v>
      </c>
      <c r="EX242" s="27" t="s">
        <v>7</v>
      </c>
      <c r="EY242" s="27" t="s">
        <v>8</v>
      </c>
      <c r="FA242" s="27" t="s">
        <v>8</v>
      </c>
      <c r="FB242" s="27" t="s">
        <v>7</v>
      </c>
    </row>
    <row r="243" spans="1:161" x14ac:dyDescent="0.25">
      <c r="A243" s="30">
        <v>0.86383759853147501</v>
      </c>
      <c r="B243"/>
      <c r="C243"/>
      <c r="D243"/>
      <c r="E243"/>
      <c r="F243" s="27" t="s">
        <v>7</v>
      </c>
      <c r="AE243" s="27" t="s">
        <v>8</v>
      </c>
      <c r="AF243" s="27" t="s">
        <v>7</v>
      </c>
      <c r="BC243" s="27" t="s">
        <v>8</v>
      </c>
      <c r="BE243" s="27" t="s">
        <v>8</v>
      </c>
      <c r="BF243" s="27" t="s">
        <v>7</v>
      </c>
      <c r="BM243" s="27" t="s">
        <v>8</v>
      </c>
      <c r="BN243" s="27" t="s">
        <v>7</v>
      </c>
      <c r="BZ243" s="27" t="s">
        <v>7</v>
      </c>
      <c r="CA243" s="27" t="s">
        <v>8</v>
      </c>
      <c r="CB243" s="27" t="s">
        <v>7</v>
      </c>
      <c r="CE243" s="27" t="s">
        <v>8</v>
      </c>
      <c r="CF243" s="27" t="s">
        <v>7</v>
      </c>
      <c r="CG243" s="27" t="s">
        <v>8</v>
      </c>
      <c r="CP243" s="27" t="s">
        <v>7</v>
      </c>
      <c r="DU243" s="27" t="s">
        <v>8</v>
      </c>
      <c r="DV243" s="27" t="s">
        <v>7</v>
      </c>
      <c r="DW243" s="27" t="s">
        <v>8</v>
      </c>
      <c r="DZ243" s="27" t="s">
        <v>7</v>
      </c>
      <c r="EB243" s="27" t="s">
        <v>7</v>
      </c>
      <c r="EC243" s="27" t="s">
        <v>8</v>
      </c>
      <c r="ED243" s="27" t="s">
        <v>7</v>
      </c>
      <c r="EE243" s="27" t="s">
        <v>8</v>
      </c>
      <c r="EG243" s="27" t="s">
        <v>8</v>
      </c>
      <c r="EH243" s="27" t="s">
        <v>7</v>
      </c>
      <c r="EI243" s="27" t="s">
        <v>8</v>
      </c>
      <c r="ER243" s="27" t="s">
        <v>7</v>
      </c>
      <c r="ET243" s="27" t="s">
        <v>7</v>
      </c>
      <c r="EU243" s="27" t="s">
        <v>8</v>
      </c>
      <c r="EV243" s="27" t="s">
        <v>7</v>
      </c>
      <c r="EW243" s="27" t="s">
        <v>8</v>
      </c>
      <c r="EX243" s="27" t="s">
        <v>7</v>
      </c>
      <c r="EY243" s="27" t="s">
        <v>8</v>
      </c>
      <c r="EZ243" s="27" t="s">
        <v>7</v>
      </c>
      <c r="FA243" s="27" t="s">
        <v>8</v>
      </c>
      <c r="FB243" s="27" t="s">
        <v>7</v>
      </c>
    </row>
    <row r="244" spans="1:161" x14ac:dyDescent="0.25">
      <c r="A244" s="30">
        <v>0.82270247479188063</v>
      </c>
      <c r="B244"/>
      <c r="C244"/>
      <c r="D244"/>
      <c r="E244"/>
      <c r="F244" s="27" t="s">
        <v>7</v>
      </c>
      <c r="Y244" s="27" t="s">
        <v>8</v>
      </c>
      <c r="AE244" s="27" t="s">
        <v>8</v>
      </c>
      <c r="AF244" s="27" t="s">
        <v>7</v>
      </c>
      <c r="BC244" s="27" t="s">
        <v>8</v>
      </c>
      <c r="BD244" s="27" t="s">
        <v>7</v>
      </c>
      <c r="BE244" s="27" t="s">
        <v>8</v>
      </c>
      <c r="BF244" s="27" t="s">
        <v>7</v>
      </c>
      <c r="BM244" s="27" t="s">
        <v>8</v>
      </c>
      <c r="BZ244" s="27" t="s">
        <v>7</v>
      </c>
      <c r="CA244" s="27" t="s">
        <v>8</v>
      </c>
      <c r="CB244" s="27" t="s">
        <v>7</v>
      </c>
      <c r="CE244" s="27" t="s">
        <v>8</v>
      </c>
      <c r="CF244" s="27" t="s">
        <v>7</v>
      </c>
      <c r="CP244" s="27" t="s">
        <v>7</v>
      </c>
      <c r="DU244" s="27" t="s">
        <v>8</v>
      </c>
      <c r="DV244" s="27" t="s">
        <v>7</v>
      </c>
      <c r="DW244" s="27" t="s">
        <v>8</v>
      </c>
      <c r="EB244" s="27" t="s">
        <v>7</v>
      </c>
      <c r="EC244" s="27" t="s">
        <v>8</v>
      </c>
      <c r="ED244" s="27" t="s">
        <v>7</v>
      </c>
      <c r="EE244" s="27" t="s">
        <v>8</v>
      </c>
      <c r="EF244" s="27" t="s">
        <v>7</v>
      </c>
      <c r="EG244" s="27" t="s">
        <v>8</v>
      </c>
      <c r="EH244" s="27" t="s">
        <v>7</v>
      </c>
      <c r="ET244" s="27" t="s">
        <v>7</v>
      </c>
      <c r="EV244" s="27" t="s">
        <v>7</v>
      </c>
      <c r="EW244" s="27" t="s">
        <v>8</v>
      </c>
      <c r="EX244" s="27" t="s">
        <v>7</v>
      </c>
      <c r="EY244" s="27" t="s">
        <v>8</v>
      </c>
      <c r="EZ244" s="27" t="s">
        <v>7</v>
      </c>
      <c r="FA244" s="27" t="s">
        <v>8</v>
      </c>
      <c r="FB244" s="27" t="s">
        <v>7</v>
      </c>
    </row>
    <row r="245" spans="1:161" x14ac:dyDescent="0.25">
      <c r="A245" s="30">
        <v>0.78352616646845741</v>
      </c>
      <c r="B245"/>
      <c r="C245"/>
      <c r="D245"/>
      <c r="E245"/>
      <c r="F245" s="27" t="s">
        <v>7</v>
      </c>
      <c r="Y245" s="27" t="s">
        <v>8</v>
      </c>
      <c r="Z245" s="27" t="s">
        <v>7</v>
      </c>
      <c r="AC245" s="27" t="s">
        <v>8</v>
      </c>
      <c r="AE245" s="27" t="s">
        <v>8</v>
      </c>
      <c r="AF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M245" s="27" t="s">
        <v>8</v>
      </c>
      <c r="BZ245" s="27" t="s">
        <v>7</v>
      </c>
      <c r="CB245" s="27" t="s">
        <v>7</v>
      </c>
      <c r="CE245" s="27" t="s">
        <v>8</v>
      </c>
      <c r="CP245" s="27" t="s">
        <v>7</v>
      </c>
      <c r="DU245" s="27" t="s">
        <v>8</v>
      </c>
      <c r="DV245" s="27" t="s">
        <v>7</v>
      </c>
      <c r="EB245" s="27" t="s">
        <v>7</v>
      </c>
      <c r="EC245" s="27" t="s">
        <v>8</v>
      </c>
      <c r="ED245" s="27" t="s">
        <v>7</v>
      </c>
      <c r="EE245" s="27" t="s">
        <v>8</v>
      </c>
      <c r="EF245" s="27" t="s">
        <v>7</v>
      </c>
      <c r="EG245" s="27" t="s">
        <v>8</v>
      </c>
      <c r="EV245" s="27" t="s">
        <v>7</v>
      </c>
      <c r="EW245" s="27" t="s">
        <v>8</v>
      </c>
      <c r="EX245" s="27" t="s">
        <v>7</v>
      </c>
      <c r="EY245" s="27" t="s">
        <v>8</v>
      </c>
      <c r="EZ245" s="27" t="s">
        <v>7</v>
      </c>
      <c r="FB245" s="27" t="s">
        <v>7</v>
      </c>
    </row>
    <row r="246" spans="1:161" x14ac:dyDescent="0.25">
      <c r="A246" s="30">
        <v>0.74621539663662584</v>
      </c>
      <c r="B246"/>
      <c r="C246"/>
      <c r="D246"/>
      <c r="E246"/>
      <c r="F246" s="27" t="s">
        <v>7</v>
      </c>
      <c r="Y246" s="27" t="s">
        <v>8</v>
      </c>
      <c r="Z246" s="27" t="s">
        <v>7</v>
      </c>
      <c r="AA246" s="27" t="s">
        <v>8</v>
      </c>
      <c r="AC246" s="27" t="s">
        <v>8</v>
      </c>
      <c r="AD246" s="27" t="s">
        <v>7</v>
      </c>
      <c r="AE246" s="27" t="s">
        <v>8</v>
      </c>
      <c r="AF246" s="27" t="s">
        <v>7</v>
      </c>
      <c r="AO246" s="27" t="s">
        <v>8</v>
      </c>
      <c r="AW246" s="27" t="s">
        <v>8</v>
      </c>
      <c r="BC246" s="27" t="s">
        <v>8</v>
      </c>
      <c r="BD246" s="27" t="s">
        <v>7</v>
      </c>
      <c r="BE246" s="27" t="s">
        <v>8</v>
      </c>
      <c r="BF246" s="27" t="s">
        <v>7</v>
      </c>
      <c r="BM246" s="27" t="s">
        <v>8</v>
      </c>
      <c r="CB246" s="27" t="s">
        <v>7</v>
      </c>
      <c r="CC246" s="27" t="s">
        <v>8</v>
      </c>
      <c r="CE246" s="27" t="s">
        <v>8</v>
      </c>
      <c r="CP246" s="27" t="s">
        <v>7</v>
      </c>
      <c r="CQ246" s="27" t="s">
        <v>8</v>
      </c>
      <c r="DU246" s="27" t="s">
        <v>8</v>
      </c>
      <c r="EB246" s="27" t="s">
        <v>7</v>
      </c>
      <c r="EC246" s="27" t="s">
        <v>8</v>
      </c>
      <c r="ED246" s="27" t="s">
        <v>7</v>
      </c>
      <c r="EE246" s="27" t="s">
        <v>8</v>
      </c>
      <c r="EF246" s="27" t="s">
        <v>7</v>
      </c>
      <c r="EV246" s="27" t="s">
        <v>7</v>
      </c>
      <c r="EW246" s="27" t="s">
        <v>8</v>
      </c>
      <c r="EX246" s="27" t="s">
        <v>7</v>
      </c>
      <c r="EY246" s="27" t="s">
        <v>8</v>
      </c>
      <c r="FB246" s="27" t="s">
        <v>7</v>
      </c>
    </row>
    <row r="247" spans="1:161" x14ac:dyDescent="0.25">
      <c r="A247" s="30">
        <v>0.71068133013011958</v>
      </c>
      <c r="B247"/>
      <c r="C247"/>
      <c r="D247"/>
      <c r="E247"/>
      <c r="F247" s="27" t="s">
        <v>7</v>
      </c>
      <c r="Y247" s="27" t="s">
        <v>8</v>
      </c>
      <c r="Z247" s="27" t="s">
        <v>7</v>
      </c>
      <c r="AA247" s="27" t="s">
        <v>8</v>
      </c>
      <c r="AB247" s="27" t="s">
        <v>7</v>
      </c>
      <c r="AC247" s="27" t="s">
        <v>8</v>
      </c>
      <c r="AD247" s="27" t="s">
        <v>7</v>
      </c>
      <c r="AE247" s="27" t="s">
        <v>8</v>
      </c>
      <c r="AF247" s="27" t="s">
        <v>7</v>
      </c>
      <c r="AO247" s="27" t="s">
        <v>8</v>
      </c>
      <c r="AP247" s="27" t="s">
        <v>7</v>
      </c>
      <c r="AW247" s="27" t="s">
        <v>8</v>
      </c>
      <c r="AX247" s="27" t="s">
        <v>7</v>
      </c>
      <c r="BC247" s="27" t="s">
        <v>8</v>
      </c>
      <c r="BD247" s="27" t="s">
        <v>7</v>
      </c>
      <c r="BE247" s="27" t="s">
        <v>8</v>
      </c>
      <c r="BF247" s="27" t="s">
        <v>7</v>
      </c>
      <c r="BM247" s="27" t="s">
        <v>8</v>
      </c>
      <c r="CB247" s="27" t="s">
        <v>7</v>
      </c>
      <c r="CC247" s="27" t="s">
        <v>8</v>
      </c>
      <c r="CD247" s="27" t="s">
        <v>7</v>
      </c>
      <c r="CE247" s="27" t="s">
        <v>8</v>
      </c>
      <c r="CP247" s="27" t="s">
        <v>7</v>
      </c>
      <c r="CQ247" s="27" t="s">
        <v>8</v>
      </c>
      <c r="CR247" s="27" t="s">
        <v>7</v>
      </c>
      <c r="DU247" s="27" t="s">
        <v>8</v>
      </c>
      <c r="EB247" s="27" t="s">
        <v>7</v>
      </c>
      <c r="EC247" s="27" t="s">
        <v>8</v>
      </c>
      <c r="ED247" s="27" t="s">
        <v>7</v>
      </c>
      <c r="EE247" s="27" t="s">
        <v>8</v>
      </c>
      <c r="EV247" s="27" t="s">
        <v>7</v>
      </c>
      <c r="EW247" s="27" t="s">
        <v>8</v>
      </c>
      <c r="EX247" s="27" t="s">
        <v>7</v>
      </c>
      <c r="FB247" s="27" t="s">
        <v>7</v>
      </c>
    </row>
    <row r="248" spans="1:161" x14ac:dyDescent="0.25">
      <c r="A248" s="30">
        <v>0.676839362028685</v>
      </c>
      <c r="B248"/>
      <c r="C248"/>
      <c r="D248"/>
      <c r="E248"/>
      <c r="F248" s="27" t="s">
        <v>7</v>
      </c>
      <c r="Y248" s="27" t="s">
        <v>8</v>
      </c>
      <c r="Z248" s="27" t="s">
        <v>7</v>
      </c>
      <c r="AA248" s="27" t="s">
        <v>8</v>
      </c>
      <c r="AB248" s="27" t="s">
        <v>7</v>
      </c>
      <c r="AC248" s="27" t="s">
        <v>8</v>
      </c>
      <c r="AD248" s="27" t="s">
        <v>7</v>
      </c>
      <c r="AF248" s="27" t="s">
        <v>7</v>
      </c>
      <c r="AM248" s="27" t="s">
        <v>8</v>
      </c>
      <c r="AO248" s="27" t="s">
        <v>8</v>
      </c>
      <c r="AP248" s="27" t="s">
        <v>7</v>
      </c>
      <c r="AW248" s="27" t="s">
        <v>8</v>
      </c>
      <c r="AX248" s="27" t="s">
        <v>7</v>
      </c>
      <c r="BC248" s="27" t="s">
        <v>8</v>
      </c>
      <c r="BD248" s="27" t="s">
        <v>7</v>
      </c>
      <c r="BF248" s="27" t="s">
        <v>7</v>
      </c>
      <c r="BG248" s="27" t="s">
        <v>8</v>
      </c>
      <c r="BM248" s="27" t="s">
        <v>8</v>
      </c>
      <c r="CB248" s="27" t="s">
        <v>7</v>
      </c>
      <c r="CC248" s="27" t="s">
        <v>8</v>
      </c>
      <c r="CD248" s="27" t="s">
        <v>7</v>
      </c>
      <c r="CE248" s="27" t="s">
        <v>8</v>
      </c>
      <c r="CP248" s="27" t="s">
        <v>7</v>
      </c>
      <c r="CQ248" s="27" t="s">
        <v>8</v>
      </c>
      <c r="CR248" s="27" t="s">
        <v>7</v>
      </c>
      <c r="DU248" s="27" t="s">
        <v>8</v>
      </c>
      <c r="EB248" s="27" t="s">
        <v>7</v>
      </c>
      <c r="ED248" s="27" t="s">
        <v>7</v>
      </c>
      <c r="EV248" s="27" t="s">
        <v>7</v>
      </c>
      <c r="EW248" s="27" t="s">
        <v>8</v>
      </c>
      <c r="FB248" s="27" t="s">
        <v>7</v>
      </c>
    </row>
    <row r="249" spans="1:161" x14ac:dyDescent="0.25">
      <c r="A249" s="30">
        <v>0.64460891621779492</v>
      </c>
      <c r="B249"/>
      <c r="C249"/>
      <c r="D249"/>
      <c r="E249"/>
      <c r="F249" s="27" t="s">
        <v>7</v>
      </c>
      <c r="U249" s="27" t="s">
        <v>8</v>
      </c>
      <c r="Y249" s="27" t="s">
        <v>8</v>
      </c>
      <c r="Z249" s="27" t="s">
        <v>7</v>
      </c>
      <c r="AA249" s="27" t="s">
        <v>8</v>
      </c>
      <c r="AB249" s="27" t="s">
        <v>7</v>
      </c>
      <c r="AC249" s="27" t="s">
        <v>8</v>
      </c>
      <c r="AF249" s="27" t="s">
        <v>7</v>
      </c>
      <c r="AI249" s="27" t="s">
        <v>8</v>
      </c>
      <c r="AK249" s="27" t="s">
        <v>8</v>
      </c>
      <c r="AM249" s="27" t="s">
        <v>8</v>
      </c>
      <c r="AN249" s="27" t="s">
        <v>7</v>
      </c>
      <c r="AO249" s="27" t="s">
        <v>8</v>
      </c>
      <c r="AP249" s="27" t="s">
        <v>7</v>
      </c>
      <c r="AQ249" s="27" t="s">
        <v>8</v>
      </c>
      <c r="AS249" s="27" t="s">
        <v>8</v>
      </c>
      <c r="AU249" s="27" t="s">
        <v>8</v>
      </c>
      <c r="AW249" s="27" t="s">
        <v>8</v>
      </c>
      <c r="AX249" s="27" t="s">
        <v>7</v>
      </c>
      <c r="AY249" s="27" t="s">
        <v>8</v>
      </c>
      <c r="BC249" s="27" t="s">
        <v>8</v>
      </c>
      <c r="BF249" s="27" t="s">
        <v>7</v>
      </c>
      <c r="BG249" s="27" t="s">
        <v>8</v>
      </c>
      <c r="BH249" s="27" t="s">
        <v>7</v>
      </c>
      <c r="BM249" s="27" t="s">
        <v>8</v>
      </c>
      <c r="CB249" s="27" t="s">
        <v>7</v>
      </c>
      <c r="CD249" s="27" t="s">
        <v>7</v>
      </c>
      <c r="CP249" s="27" t="s">
        <v>7</v>
      </c>
      <c r="CQ249" s="27" t="s">
        <v>8</v>
      </c>
      <c r="CR249" s="27" t="s">
        <v>7</v>
      </c>
      <c r="CS249" s="27" t="s">
        <v>8</v>
      </c>
      <c r="DS249" s="27" t="s">
        <v>8</v>
      </c>
      <c r="DU249" s="27" t="s">
        <v>8</v>
      </c>
      <c r="EV249" s="27" t="s">
        <v>7</v>
      </c>
      <c r="FB249" s="27" t="s">
        <v>7</v>
      </c>
    </row>
    <row r="250" spans="1:161" x14ac:dyDescent="0.25">
      <c r="A250" s="30">
        <v>0.61391325354075688</v>
      </c>
      <c r="B250"/>
      <c r="C250"/>
      <c r="D250"/>
      <c r="E250"/>
      <c r="F250" s="27" t="s">
        <v>7</v>
      </c>
      <c r="U250" s="27" t="s">
        <v>8</v>
      </c>
      <c r="V250" s="27" t="s">
        <v>7</v>
      </c>
      <c r="Y250" s="27" t="s">
        <v>8</v>
      </c>
      <c r="Z250" s="27" t="s">
        <v>7</v>
      </c>
      <c r="AA250" s="27" t="s">
        <v>8</v>
      </c>
      <c r="AB250" s="27" t="s">
        <v>7</v>
      </c>
      <c r="AC250" s="27" t="s">
        <v>8</v>
      </c>
      <c r="AF250" s="27" t="s">
        <v>7</v>
      </c>
      <c r="AI250" s="27" t="s">
        <v>8</v>
      </c>
      <c r="AJ250" s="27" t="s">
        <v>7</v>
      </c>
      <c r="AK250" s="27" t="s">
        <v>8</v>
      </c>
      <c r="AL250" s="27" t="s">
        <v>7</v>
      </c>
      <c r="AM250" s="27" t="s">
        <v>8</v>
      </c>
      <c r="AN250" s="27" t="s">
        <v>7</v>
      </c>
      <c r="AO250" s="27" t="s">
        <v>8</v>
      </c>
      <c r="AP250" s="27" t="s">
        <v>7</v>
      </c>
      <c r="AQ250" s="27" t="s">
        <v>8</v>
      </c>
      <c r="AR250" s="27" t="s">
        <v>7</v>
      </c>
      <c r="AS250" s="27" t="s">
        <v>8</v>
      </c>
      <c r="AT250" s="27" t="s">
        <v>7</v>
      </c>
      <c r="AU250" s="27" t="s">
        <v>8</v>
      </c>
      <c r="AV250" s="27" t="s">
        <v>7</v>
      </c>
      <c r="AW250" s="27" t="s">
        <v>8</v>
      </c>
      <c r="AX250" s="27" t="s">
        <v>7</v>
      </c>
      <c r="AY250" s="27" t="s">
        <v>8</v>
      </c>
      <c r="AZ250" s="27" t="s">
        <v>7</v>
      </c>
      <c r="BA250" s="27" t="s">
        <v>8</v>
      </c>
      <c r="BC250" s="27" t="s">
        <v>8</v>
      </c>
      <c r="BF250" s="27" t="s">
        <v>7</v>
      </c>
      <c r="BG250" s="27" t="s">
        <v>8</v>
      </c>
      <c r="BH250" s="27" t="s">
        <v>7</v>
      </c>
      <c r="BK250" s="27" t="s">
        <v>8</v>
      </c>
      <c r="BM250" s="27" t="s">
        <v>8</v>
      </c>
      <c r="CP250" s="27" t="s">
        <v>7</v>
      </c>
      <c r="CQ250" s="27" t="s">
        <v>8</v>
      </c>
      <c r="CR250" s="27" t="s">
        <v>7</v>
      </c>
      <c r="CS250" s="27" t="s">
        <v>8</v>
      </c>
      <c r="CT250" s="27" t="s">
        <v>7</v>
      </c>
      <c r="DQ250" s="27" t="s">
        <v>8</v>
      </c>
      <c r="DS250" s="27" t="s">
        <v>8</v>
      </c>
      <c r="DT250" s="27" t="s">
        <v>7</v>
      </c>
      <c r="DU250" s="27" t="s">
        <v>8</v>
      </c>
      <c r="FB250" s="27" t="s">
        <v>7</v>
      </c>
    </row>
    <row r="251" spans="1:161" x14ac:dyDescent="0.25">
      <c r="A251" s="30">
        <v>0.58467928908643485</v>
      </c>
      <c r="B251"/>
      <c r="C251"/>
      <c r="D251"/>
      <c r="E251"/>
      <c r="F251" s="27" t="s">
        <v>7</v>
      </c>
      <c r="U251" s="27" t="s">
        <v>8</v>
      </c>
      <c r="V251" s="27" t="s">
        <v>7</v>
      </c>
      <c r="W251" s="27" t="s">
        <v>8</v>
      </c>
      <c r="Y251" s="27" t="s">
        <v>8</v>
      </c>
      <c r="Z251" s="27" t="s">
        <v>7</v>
      </c>
      <c r="AB251" s="27" t="s">
        <v>7</v>
      </c>
      <c r="AF251" s="27" t="s">
        <v>7</v>
      </c>
      <c r="AI251" s="27" t="s">
        <v>8</v>
      </c>
      <c r="AJ251" s="27" t="s">
        <v>7</v>
      </c>
      <c r="AK251" s="27" t="s">
        <v>8</v>
      </c>
      <c r="AL251" s="27" t="s">
        <v>7</v>
      </c>
      <c r="AM251" s="27" t="s">
        <v>8</v>
      </c>
      <c r="AN251" s="27" t="s">
        <v>7</v>
      </c>
      <c r="AO251" s="27" t="s">
        <v>8</v>
      </c>
      <c r="AP251" s="27" t="s">
        <v>7</v>
      </c>
      <c r="AQ251" s="27" t="s">
        <v>8</v>
      </c>
      <c r="AR251" s="27" t="s">
        <v>7</v>
      </c>
      <c r="AS251" s="27" t="s">
        <v>8</v>
      </c>
      <c r="AT251" s="27" t="s">
        <v>7</v>
      </c>
      <c r="AU251" s="27" t="s">
        <v>8</v>
      </c>
      <c r="AV251" s="27" t="s">
        <v>7</v>
      </c>
      <c r="AW251" s="27" t="s">
        <v>8</v>
      </c>
      <c r="AX251" s="27" t="s">
        <v>7</v>
      </c>
      <c r="AY251" s="27" t="s">
        <v>8</v>
      </c>
      <c r="AZ251" s="27" t="s">
        <v>7</v>
      </c>
      <c r="BA251" s="27" t="s">
        <v>8</v>
      </c>
      <c r="BB251" s="27" t="s">
        <v>7</v>
      </c>
      <c r="BC251" s="27" t="s">
        <v>8</v>
      </c>
      <c r="BF251" s="27" t="s">
        <v>7</v>
      </c>
      <c r="BG251" s="27" t="s">
        <v>8</v>
      </c>
      <c r="BH251" s="27" t="s">
        <v>7</v>
      </c>
      <c r="BI251" s="27" t="s">
        <v>8</v>
      </c>
      <c r="BK251" s="27" t="s">
        <v>8</v>
      </c>
      <c r="BL251" s="27" t="s">
        <v>7</v>
      </c>
      <c r="BM251" s="27" t="s">
        <v>8</v>
      </c>
      <c r="CP251" s="27" t="s">
        <v>7</v>
      </c>
      <c r="CQ251" s="27" t="s">
        <v>8</v>
      </c>
      <c r="CR251" s="27" t="s">
        <v>7</v>
      </c>
      <c r="CS251" s="27" t="s">
        <v>8</v>
      </c>
      <c r="CT251" s="27" t="s">
        <v>7</v>
      </c>
      <c r="CY251" s="27" t="s">
        <v>8</v>
      </c>
      <c r="DQ251" s="27" t="s">
        <v>8</v>
      </c>
      <c r="DR251" s="27" t="s">
        <v>7</v>
      </c>
      <c r="DS251" s="27" t="s">
        <v>8</v>
      </c>
      <c r="DT251" s="27" t="s">
        <v>7</v>
      </c>
      <c r="DU251" s="27" t="s">
        <v>8</v>
      </c>
      <c r="FB251" s="27" t="s">
        <v>7</v>
      </c>
    </row>
    <row r="252" spans="1:161" x14ac:dyDescent="0.25">
      <c r="A252" s="30">
        <v>0.55683741817755672</v>
      </c>
      <c r="B252"/>
      <c r="C252"/>
      <c r="D252"/>
      <c r="E252"/>
      <c r="F252" s="27" t="s">
        <v>7</v>
      </c>
      <c r="S252" s="27" t="s">
        <v>8</v>
      </c>
      <c r="U252" s="27" t="s">
        <v>8</v>
      </c>
      <c r="V252" s="27" t="s">
        <v>7</v>
      </c>
      <c r="W252" s="27" t="s">
        <v>8</v>
      </c>
      <c r="X252" s="27" t="s">
        <v>7</v>
      </c>
      <c r="Y252" s="27" t="s">
        <v>8</v>
      </c>
      <c r="AF252" s="27" t="s">
        <v>7</v>
      </c>
      <c r="AI252" s="27" t="s">
        <v>8</v>
      </c>
      <c r="AJ252" s="27" t="s">
        <v>7</v>
      </c>
      <c r="AK252" s="27" t="s">
        <v>8</v>
      </c>
      <c r="AL252" s="27" t="s">
        <v>7</v>
      </c>
      <c r="AN252" s="27" t="s">
        <v>7</v>
      </c>
      <c r="AO252" s="27" t="s">
        <v>8</v>
      </c>
      <c r="AP252" s="27" t="s">
        <v>7</v>
      </c>
      <c r="AQ252" s="27" t="s">
        <v>8</v>
      </c>
      <c r="AR252" s="27" t="s">
        <v>7</v>
      </c>
      <c r="AT252" s="27" t="s">
        <v>7</v>
      </c>
      <c r="AU252" s="27" t="s">
        <v>8</v>
      </c>
      <c r="AV252" s="27" t="s">
        <v>7</v>
      </c>
      <c r="AW252" s="27" t="s">
        <v>8</v>
      </c>
      <c r="AX252" s="27" t="s">
        <v>7</v>
      </c>
      <c r="AY252" s="27" t="s">
        <v>8</v>
      </c>
      <c r="AZ252" s="27" t="s">
        <v>7</v>
      </c>
      <c r="BA252" s="27" t="s">
        <v>8</v>
      </c>
      <c r="BB252" s="27" t="s">
        <v>7</v>
      </c>
      <c r="BC252" s="27" t="s">
        <v>8</v>
      </c>
      <c r="BF252" s="27" t="s">
        <v>7</v>
      </c>
      <c r="BG252" s="27" t="s">
        <v>8</v>
      </c>
      <c r="BH252" s="27" t="s">
        <v>7</v>
      </c>
      <c r="BI252" s="27" t="s">
        <v>8</v>
      </c>
      <c r="BJ252" s="27" t="s">
        <v>7</v>
      </c>
      <c r="BK252" s="27" t="s">
        <v>8</v>
      </c>
      <c r="BL252" s="27" t="s">
        <v>7</v>
      </c>
      <c r="BM252" s="27" t="s">
        <v>8</v>
      </c>
      <c r="CP252" s="27" t="s">
        <v>7</v>
      </c>
      <c r="CQ252" s="27" t="s">
        <v>8</v>
      </c>
      <c r="CR252" s="27" t="s">
        <v>7</v>
      </c>
      <c r="CS252" s="27" t="s">
        <v>8</v>
      </c>
      <c r="CT252" s="27" t="s">
        <v>7</v>
      </c>
      <c r="CU252" s="27" t="s">
        <v>8</v>
      </c>
      <c r="CW252" s="27" t="s">
        <v>8</v>
      </c>
      <c r="CY252" s="27" t="s">
        <v>8</v>
      </c>
      <c r="CZ252" s="27" t="s">
        <v>7</v>
      </c>
      <c r="DA252" s="27" t="s">
        <v>8</v>
      </c>
      <c r="DQ252" s="27" t="s">
        <v>8</v>
      </c>
      <c r="DR252" s="27" t="s">
        <v>7</v>
      </c>
      <c r="DS252" s="27" t="s">
        <v>8</v>
      </c>
      <c r="DT252" s="27" t="s">
        <v>7</v>
      </c>
      <c r="DU252" s="27" t="s">
        <v>8</v>
      </c>
      <c r="FB252" s="27" t="s">
        <v>7</v>
      </c>
    </row>
    <row r="253" spans="1:161" x14ac:dyDescent="0.25">
      <c r="A253" s="30">
        <v>0.53032135064529184</v>
      </c>
      <c r="B253"/>
      <c r="C253"/>
      <c r="D253"/>
      <c r="E253"/>
      <c r="F253" s="27" t="s">
        <v>7</v>
      </c>
      <c r="S253" s="27" t="s">
        <v>8</v>
      </c>
      <c r="T253" s="27" t="s">
        <v>7</v>
      </c>
      <c r="U253" s="27" t="s">
        <v>8</v>
      </c>
      <c r="V253" s="27" t="s">
        <v>7</v>
      </c>
      <c r="W253" s="27" t="s">
        <v>8</v>
      </c>
      <c r="X253" s="27" t="s">
        <v>7</v>
      </c>
      <c r="Y253" s="27" t="s">
        <v>8</v>
      </c>
      <c r="AF253" s="27" t="s">
        <v>7</v>
      </c>
      <c r="AI253" s="27" t="s">
        <v>8</v>
      </c>
      <c r="AJ253" s="27" t="s">
        <v>7</v>
      </c>
      <c r="AK253" s="27" t="s">
        <v>8</v>
      </c>
      <c r="AN253" s="27" t="s">
        <v>7</v>
      </c>
      <c r="AO253" s="27" t="s">
        <v>8</v>
      </c>
      <c r="AP253" s="27" t="s">
        <v>7</v>
      </c>
      <c r="AQ253" s="27" t="s">
        <v>8</v>
      </c>
      <c r="AT253" s="27" t="s">
        <v>7</v>
      </c>
      <c r="AV253" s="27" t="s">
        <v>7</v>
      </c>
      <c r="AX253" s="27" t="s">
        <v>7</v>
      </c>
      <c r="AZ253" s="27" t="s">
        <v>7</v>
      </c>
      <c r="BB253" s="27" t="s">
        <v>7</v>
      </c>
      <c r="BC253" s="27" t="s">
        <v>8</v>
      </c>
      <c r="BF253" s="27" t="s">
        <v>7</v>
      </c>
      <c r="BG253" s="27" t="s">
        <v>8</v>
      </c>
      <c r="BH253" s="27" t="s">
        <v>7</v>
      </c>
      <c r="BI253" s="27" t="s">
        <v>8</v>
      </c>
      <c r="BJ253" s="27" t="s">
        <v>7</v>
      </c>
      <c r="BK253" s="27" t="s">
        <v>8</v>
      </c>
      <c r="BL253" s="27" t="s">
        <v>7</v>
      </c>
      <c r="CP253" s="27" t="s">
        <v>7</v>
      </c>
      <c r="CQ253" s="27" t="s">
        <v>8</v>
      </c>
      <c r="CR253" s="27" t="s">
        <v>7</v>
      </c>
      <c r="CS253" s="27" t="s">
        <v>8</v>
      </c>
      <c r="CT253" s="27" t="s">
        <v>7</v>
      </c>
      <c r="CU253" s="27" t="s">
        <v>8</v>
      </c>
      <c r="CV253" s="27" t="s">
        <v>7</v>
      </c>
      <c r="CW253" s="27" t="s">
        <v>8</v>
      </c>
      <c r="CX253" s="27" t="s">
        <v>7</v>
      </c>
      <c r="CY253" s="27" t="s">
        <v>8</v>
      </c>
      <c r="CZ253" s="27" t="s">
        <v>7</v>
      </c>
      <c r="DA253" s="27" t="s">
        <v>8</v>
      </c>
      <c r="DB253" s="27" t="s">
        <v>7</v>
      </c>
      <c r="DO253" s="27" t="s">
        <v>8</v>
      </c>
      <c r="DQ253" s="27" t="s">
        <v>8</v>
      </c>
      <c r="DR253" s="27" t="s">
        <v>7</v>
      </c>
      <c r="DS253" s="27" t="s">
        <v>8</v>
      </c>
      <c r="DT253" s="27" t="s">
        <v>7</v>
      </c>
      <c r="DU253" s="27" t="s">
        <v>8</v>
      </c>
      <c r="FB253" s="27" t="s">
        <v>7</v>
      </c>
    </row>
    <row r="254" spans="1:161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S254" s="27" t="s">
        <v>8</v>
      </c>
      <c r="T254" s="27" t="s">
        <v>7</v>
      </c>
      <c r="U254" s="27" t="s">
        <v>8</v>
      </c>
      <c r="V254" s="27" t="s">
        <v>7</v>
      </c>
      <c r="X254" s="27" t="s">
        <v>7</v>
      </c>
      <c r="Y254" s="27" t="s">
        <v>8</v>
      </c>
      <c r="AF254" s="27" t="s">
        <v>7</v>
      </c>
      <c r="AI254" s="27" t="s">
        <v>8</v>
      </c>
      <c r="AJ254" s="27" t="s">
        <v>7</v>
      </c>
      <c r="AK254" s="27" t="s">
        <v>8</v>
      </c>
      <c r="AN254" s="27" t="s">
        <v>7</v>
      </c>
      <c r="AO254" s="27" t="s">
        <v>8</v>
      </c>
      <c r="AP254" s="27" t="s">
        <v>7</v>
      </c>
      <c r="BB254" s="27" t="s">
        <v>7</v>
      </c>
      <c r="BC254" s="27" t="s">
        <v>8</v>
      </c>
      <c r="BF254" s="27" t="s">
        <v>7</v>
      </c>
      <c r="BG254" s="27" t="s">
        <v>8</v>
      </c>
      <c r="BH254" s="27" t="s">
        <v>7</v>
      </c>
      <c r="BJ254" s="27" t="s">
        <v>7</v>
      </c>
      <c r="CP254" s="27" t="s">
        <v>7</v>
      </c>
      <c r="CQ254" s="27" t="s">
        <v>8</v>
      </c>
      <c r="CR254" s="27" t="s">
        <v>7</v>
      </c>
      <c r="CS254" s="27" t="s">
        <v>8</v>
      </c>
      <c r="CT254" s="27" t="s">
        <v>7</v>
      </c>
      <c r="CU254" s="27" t="s">
        <v>8</v>
      </c>
      <c r="CV254" s="27" t="s">
        <v>7</v>
      </c>
      <c r="CW254" s="27" t="s">
        <v>8</v>
      </c>
      <c r="CX254" s="27" t="s">
        <v>7</v>
      </c>
      <c r="CY254" s="27" t="s">
        <v>8</v>
      </c>
      <c r="CZ254" s="27" t="s">
        <v>7</v>
      </c>
      <c r="DA254" s="27" t="s">
        <v>8</v>
      </c>
      <c r="DB254" s="27" t="s">
        <v>7</v>
      </c>
      <c r="DO254" s="27" t="s">
        <v>8</v>
      </c>
      <c r="DP254" s="27" t="s">
        <v>7</v>
      </c>
      <c r="DQ254" s="27" t="s">
        <v>8</v>
      </c>
      <c r="DR254" s="27" t="s">
        <v>7</v>
      </c>
      <c r="DT254" s="27" t="s">
        <v>7</v>
      </c>
      <c r="FB254" s="27" t="s">
        <v>7</v>
      </c>
      <c r="FC254" s="27" t="s">
        <v>8</v>
      </c>
      <c r="FE254" s="27" t="s">
        <v>8</v>
      </c>
    </row>
    <row r="255" spans="1:161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I255" s="27" t="s">
        <v>8</v>
      </c>
      <c r="Q255" s="27" t="s">
        <v>8</v>
      </c>
      <c r="S255" s="27" t="s">
        <v>8</v>
      </c>
      <c r="T255" s="27" t="s">
        <v>7</v>
      </c>
      <c r="U255" s="27" t="s">
        <v>8</v>
      </c>
      <c r="X255" s="27" t="s">
        <v>7</v>
      </c>
      <c r="Y255" s="27" t="s">
        <v>8</v>
      </c>
      <c r="AF255" s="27" t="s">
        <v>7</v>
      </c>
      <c r="AG255" s="27" t="s">
        <v>8</v>
      </c>
      <c r="AI255" s="27" t="s">
        <v>8</v>
      </c>
      <c r="AJ255" s="27" t="s">
        <v>7</v>
      </c>
      <c r="AN255" s="27" t="s">
        <v>7</v>
      </c>
      <c r="BB255" s="27" t="s">
        <v>7</v>
      </c>
      <c r="BC255" s="27" t="s">
        <v>8</v>
      </c>
      <c r="BF255" s="27" t="s">
        <v>7</v>
      </c>
      <c r="CP255" s="27" t="s">
        <v>7</v>
      </c>
      <c r="CQ255" s="27" t="s">
        <v>8</v>
      </c>
      <c r="CR255" s="27" t="s">
        <v>7</v>
      </c>
      <c r="CS255" s="27" t="s">
        <v>8</v>
      </c>
      <c r="CT255" s="27" t="s">
        <v>7</v>
      </c>
      <c r="CU255" s="27" t="s">
        <v>8</v>
      </c>
      <c r="CV255" s="27" t="s">
        <v>7</v>
      </c>
      <c r="CW255" s="27" t="s">
        <v>8</v>
      </c>
      <c r="CX255" s="27" t="s">
        <v>7</v>
      </c>
      <c r="CY255" s="27" t="s">
        <v>8</v>
      </c>
      <c r="CZ255" s="27" t="s">
        <v>7</v>
      </c>
      <c r="DA255" s="27" t="s">
        <v>8</v>
      </c>
      <c r="DB255" s="27" t="s">
        <v>7</v>
      </c>
      <c r="DO255" s="27" t="s">
        <v>8</v>
      </c>
      <c r="DP255" s="27" t="s">
        <v>7</v>
      </c>
      <c r="DQ255" s="27" t="s">
        <v>8</v>
      </c>
      <c r="FB255" s="27" t="s">
        <v>7</v>
      </c>
      <c r="FC255" s="27" t="s">
        <v>8</v>
      </c>
      <c r="FD255" s="27" t="s">
        <v>7</v>
      </c>
      <c r="FE255" s="27" t="s">
        <v>8</v>
      </c>
    </row>
    <row r="256" spans="1:161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I256" s="27" t="s">
        <v>8</v>
      </c>
      <c r="J256" s="27" t="s">
        <v>7</v>
      </c>
      <c r="Q256" s="27" t="s">
        <v>8</v>
      </c>
      <c r="R256" s="27" t="s">
        <v>7</v>
      </c>
      <c r="S256" s="27" t="s">
        <v>8</v>
      </c>
      <c r="T256" s="27" t="s">
        <v>7</v>
      </c>
      <c r="X256" s="27" t="s">
        <v>7</v>
      </c>
      <c r="Y256" s="27" t="s">
        <v>8</v>
      </c>
      <c r="AF256" s="27" t="s">
        <v>7</v>
      </c>
      <c r="AG256" s="27" t="s">
        <v>8</v>
      </c>
      <c r="AH256" s="27" t="s">
        <v>7</v>
      </c>
      <c r="AI256" s="27" t="s">
        <v>8</v>
      </c>
      <c r="BB256" s="27" t="s">
        <v>7</v>
      </c>
      <c r="BC256" s="27" t="s">
        <v>8</v>
      </c>
      <c r="CP256" s="27" t="s">
        <v>7</v>
      </c>
      <c r="CR256" s="27" t="s">
        <v>7</v>
      </c>
      <c r="CS256" s="27" t="s">
        <v>8</v>
      </c>
      <c r="CT256" s="27" t="s">
        <v>7</v>
      </c>
      <c r="CU256" s="27" t="s">
        <v>8</v>
      </c>
      <c r="CV256" s="27" t="s">
        <v>7</v>
      </c>
      <c r="CW256" s="27" t="s">
        <v>8</v>
      </c>
      <c r="CX256" s="27" t="s">
        <v>7</v>
      </c>
      <c r="CY256" s="27" t="s">
        <v>8</v>
      </c>
      <c r="CZ256" s="27" t="s">
        <v>7</v>
      </c>
      <c r="DA256" s="27" t="s">
        <v>8</v>
      </c>
      <c r="DB256" s="27" t="s">
        <v>7</v>
      </c>
      <c r="DC256" s="27" t="s">
        <v>8</v>
      </c>
      <c r="DK256" s="27" t="s">
        <v>8</v>
      </c>
      <c r="DO256" s="27" t="s">
        <v>8</v>
      </c>
      <c r="DP256" s="27" t="s">
        <v>7</v>
      </c>
      <c r="FB256" s="27" t="s">
        <v>7</v>
      </c>
      <c r="FC256" s="27" t="s">
        <v>8</v>
      </c>
      <c r="FD256" s="27" t="s">
        <v>7</v>
      </c>
      <c r="FE256" s="27" t="s">
        <v>8</v>
      </c>
    </row>
    <row r="257" spans="1:161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H257" s="27" t="s">
        <v>7</v>
      </c>
      <c r="I257" s="27" t="s">
        <v>8</v>
      </c>
      <c r="J257" s="27" t="s">
        <v>7</v>
      </c>
      <c r="Q257" s="27" t="s">
        <v>8</v>
      </c>
      <c r="R257" s="27" t="s">
        <v>7</v>
      </c>
      <c r="S257" s="27" t="s">
        <v>8</v>
      </c>
      <c r="X257" s="27" t="s">
        <v>7</v>
      </c>
      <c r="AF257" s="27" t="s">
        <v>7</v>
      </c>
      <c r="AG257" s="27" t="s">
        <v>8</v>
      </c>
      <c r="AH257" s="27" t="s">
        <v>7</v>
      </c>
      <c r="AI257" s="27" t="s">
        <v>8</v>
      </c>
      <c r="BB257" s="27" t="s">
        <v>7</v>
      </c>
      <c r="CR257" s="27" t="s">
        <v>7</v>
      </c>
      <c r="CS257" s="27" t="s">
        <v>8</v>
      </c>
      <c r="CT257" s="27" t="s">
        <v>7</v>
      </c>
      <c r="CU257" s="27" t="s">
        <v>8</v>
      </c>
      <c r="CV257" s="27" t="s">
        <v>7</v>
      </c>
      <c r="CX257" s="27" t="s">
        <v>7</v>
      </c>
      <c r="CY257" s="27" t="s">
        <v>8</v>
      </c>
      <c r="CZ257" s="27" t="s">
        <v>7</v>
      </c>
      <c r="DB257" s="27" t="s">
        <v>7</v>
      </c>
      <c r="DC257" s="27" t="s">
        <v>8</v>
      </c>
      <c r="DD257" s="27" t="s">
        <v>7</v>
      </c>
      <c r="DE257" s="27" t="s">
        <v>8</v>
      </c>
      <c r="DK257" s="27" t="s">
        <v>8</v>
      </c>
      <c r="DL257" s="27" t="s">
        <v>7</v>
      </c>
      <c r="DO257" s="27" t="s">
        <v>8</v>
      </c>
      <c r="FB257" s="27" t="s">
        <v>7</v>
      </c>
      <c r="FC257" s="27" t="s">
        <v>8</v>
      </c>
      <c r="FD257" s="27" t="s">
        <v>7</v>
      </c>
      <c r="FE257" s="27" t="s">
        <v>8</v>
      </c>
    </row>
    <row r="258" spans="1:161" x14ac:dyDescent="0.25">
      <c r="A258" s="30">
        <v>0.41552065486748019</v>
      </c>
      <c r="B258"/>
      <c r="C258"/>
      <c r="D258"/>
      <c r="E258"/>
      <c r="F258" s="27" t="s">
        <v>7</v>
      </c>
      <c r="H258" s="27" t="s">
        <v>7</v>
      </c>
      <c r="I258" s="27" t="s">
        <v>8</v>
      </c>
      <c r="J258" s="27" t="s">
        <v>7</v>
      </c>
      <c r="Q258" s="27" t="s">
        <v>8</v>
      </c>
      <c r="R258" s="27" t="s">
        <v>7</v>
      </c>
      <c r="S258" s="27" t="s">
        <v>8</v>
      </c>
      <c r="AF258" s="27" t="s">
        <v>7</v>
      </c>
      <c r="AG258" s="27" t="s">
        <v>8</v>
      </c>
      <c r="AH258" s="27" t="s">
        <v>7</v>
      </c>
      <c r="AI258" s="27" t="s">
        <v>8</v>
      </c>
      <c r="CR258" s="27" t="s">
        <v>7</v>
      </c>
      <c r="CS258" s="27" t="s">
        <v>8</v>
      </c>
      <c r="CT258" s="27" t="s">
        <v>7</v>
      </c>
      <c r="CX258" s="27" t="s">
        <v>7</v>
      </c>
      <c r="CY258" s="27" t="s">
        <v>8</v>
      </c>
      <c r="DB258" s="27" t="s">
        <v>7</v>
      </c>
      <c r="DC258" s="27" t="s">
        <v>8</v>
      </c>
      <c r="DD258" s="27" t="s">
        <v>7</v>
      </c>
      <c r="DE258" s="27" t="s">
        <v>8</v>
      </c>
      <c r="DF258" s="27" t="s">
        <v>7</v>
      </c>
      <c r="DG258" s="27" t="s">
        <v>8</v>
      </c>
      <c r="DI258" s="27" t="s">
        <v>8</v>
      </c>
      <c r="DK258" s="27" t="s">
        <v>8</v>
      </c>
      <c r="DL258" s="27" t="s">
        <v>7</v>
      </c>
      <c r="DM258" s="27" t="s">
        <v>8</v>
      </c>
      <c r="DO258" s="27" t="s">
        <v>8</v>
      </c>
      <c r="FB258" s="27" t="s">
        <v>7</v>
      </c>
      <c r="FD258" s="27" t="s">
        <v>7</v>
      </c>
    </row>
    <row r="259" spans="1:161" x14ac:dyDescent="0.25">
      <c r="A259" s="30">
        <v>0.39573395701664765</v>
      </c>
      <c r="B259"/>
      <c r="C259"/>
      <c r="D259"/>
      <c r="E259"/>
      <c r="H259" s="27" t="s">
        <v>7</v>
      </c>
      <c r="I259" s="27" t="s">
        <v>8</v>
      </c>
      <c r="J259" s="27" t="s">
        <v>7</v>
      </c>
      <c r="Q259" s="27" t="s">
        <v>8</v>
      </c>
      <c r="R259" s="27" t="s">
        <v>7</v>
      </c>
      <c r="S259" s="27" t="s">
        <v>8</v>
      </c>
      <c r="AF259" s="27" t="s">
        <v>7</v>
      </c>
      <c r="AG259" s="27" t="s">
        <v>8</v>
      </c>
      <c r="AH259" s="27" t="s">
        <v>7</v>
      </c>
      <c r="AI259" s="27" t="s">
        <v>8</v>
      </c>
      <c r="CR259" s="27" t="s">
        <v>7</v>
      </c>
      <c r="CS259" s="27" t="s">
        <v>8</v>
      </c>
      <c r="CX259" s="27" t="s">
        <v>7</v>
      </c>
      <c r="CY259" s="27" t="s">
        <v>8</v>
      </c>
      <c r="DB259" s="27" t="s">
        <v>7</v>
      </c>
      <c r="DC259" s="27" t="s">
        <v>8</v>
      </c>
      <c r="DD259" s="27" t="s">
        <v>7</v>
      </c>
      <c r="DE259" s="27" t="s">
        <v>8</v>
      </c>
      <c r="DF259" s="27" t="s">
        <v>7</v>
      </c>
      <c r="DG259" s="27" t="s">
        <v>8</v>
      </c>
      <c r="DH259" s="27" t="s">
        <v>7</v>
      </c>
      <c r="DI259" s="27" t="s">
        <v>8</v>
      </c>
      <c r="DJ259" s="27" t="s">
        <v>7</v>
      </c>
      <c r="DK259" s="27" t="s">
        <v>8</v>
      </c>
      <c r="DL259" s="27" t="s">
        <v>7</v>
      </c>
      <c r="DM259" s="27" t="s">
        <v>8</v>
      </c>
      <c r="DN259" s="27" t="s">
        <v>7</v>
      </c>
      <c r="DO259" s="27" t="s">
        <v>8</v>
      </c>
    </row>
    <row r="260" spans="1:161" x14ac:dyDescent="0.25">
      <c r="A260" s="30">
        <v>0.37688948287299762</v>
      </c>
      <c r="B260"/>
      <c r="C260"/>
      <c r="D260"/>
      <c r="E260"/>
      <c r="H260" s="27" t="s">
        <v>7</v>
      </c>
      <c r="J260" s="27" t="s">
        <v>7</v>
      </c>
      <c r="K260" s="27" t="s">
        <v>8</v>
      </c>
      <c r="M260" s="27" t="s">
        <v>8</v>
      </c>
      <c r="O260" s="27" t="s">
        <v>8</v>
      </c>
      <c r="Q260" s="27" t="s">
        <v>8</v>
      </c>
      <c r="R260" s="27" t="s">
        <v>7</v>
      </c>
      <c r="AF260" s="27" t="s">
        <v>7</v>
      </c>
      <c r="AG260" s="27" t="s">
        <v>8</v>
      </c>
      <c r="AH260" s="27" t="s">
        <v>7</v>
      </c>
      <c r="CR260" s="27" t="s">
        <v>7</v>
      </c>
      <c r="CS260" s="27" t="s">
        <v>8</v>
      </c>
      <c r="CX260" s="27" t="s">
        <v>7</v>
      </c>
      <c r="DB260" s="27" t="s">
        <v>7</v>
      </c>
      <c r="DC260" s="27" t="s">
        <v>8</v>
      </c>
      <c r="DD260" s="27" t="s">
        <v>7</v>
      </c>
      <c r="DE260" s="27" t="s">
        <v>8</v>
      </c>
      <c r="DF260" s="27" t="s">
        <v>7</v>
      </c>
      <c r="DG260" s="27" t="s">
        <v>8</v>
      </c>
      <c r="DH260" s="27" t="s">
        <v>7</v>
      </c>
      <c r="DI260" s="27" t="s">
        <v>8</v>
      </c>
      <c r="DJ260" s="27" t="s">
        <v>7</v>
      </c>
      <c r="DK260" s="27" t="s">
        <v>8</v>
      </c>
      <c r="DL260" s="27" t="s">
        <v>7</v>
      </c>
      <c r="DM260" s="27" t="s">
        <v>8</v>
      </c>
      <c r="DN260" s="27" t="s">
        <v>7</v>
      </c>
      <c r="DO260" s="27" t="s">
        <v>8</v>
      </c>
    </row>
    <row r="261" spans="1:161" x14ac:dyDescent="0.25">
      <c r="A261" s="30">
        <v>0.35894236464094997</v>
      </c>
      <c r="B261"/>
      <c r="C261"/>
      <c r="D261"/>
      <c r="E261"/>
      <c r="J261" s="27" t="s">
        <v>7</v>
      </c>
      <c r="K261" s="27" t="s">
        <v>8</v>
      </c>
      <c r="L261" s="27" t="s">
        <v>7</v>
      </c>
      <c r="M261" s="27" t="s">
        <v>8</v>
      </c>
      <c r="N261" s="27" t="s">
        <v>7</v>
      </c>
      <c r="O261" s="27" t="s">
        <v>8</v>
      </c>
      <c r="P261" s="27" t="s">
        <v>7</v>
      </c>
      <c r="Q261" s="27" t="s">
        <v>8</v>
      </c>
      <c r="AF261" s="27" t="s">
        <v>7</v>
      </c>
      <c r="CR261" s="27" t="s">
        <v>7</v>
      </c>
      <c r="CS261" s="27" t="s">
        <v>8</v>
      </c>
      <c r="DB261" s="27" t="s">
        <v>7</v>
      </c>
      <c r="DC261" s="27" t="s">
        <v>8</v>
      </c>
      <c r="DD261" s="27" t="s">
        <v>7</v>
      </c>
      <c r="DE261" s="27" t="s">
        <v>8</v>
      </c>
      <c r="DF261" s="27" t="s">
        <v>7</v>
      </c>
      <c r="DG261" s="27" t="s">
        <v>8</v>
      </c>
      <c r="DH261" s="27" t="s">
        <v>7</v>
      </c>
      <c r="DJ261" s="27" t="s">
        <v>7</v>
      </c>
      <c r="DK261" s="27" t="s">
        <v>8</v>
      </c>
      <c r="DL261" s="27" t="s">
        <v>7</v>
      </c>
      <c r="DM261" s="27" t="s">
        <v>8</v>
      </c>
      <c r="DN261" s="27" t="s">
        <v>7</v>
      </c>
      <c r="DO261" s="27" t="s">
        <v>8</v>
      </c>
    </row>
    <row r="262" spans="1:161" x14ac:dyDescent="0.25">
      <c r="A262" s="30">
        <v>0.34184987108661891</v>
      </c>
      <c r="B262"/>
      <c r="C262"/>
      <c r="D262"/>
      <c r="E262"/>
      <c r="J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O262" s="27" t="s">
        <v>8</v>
      </c>
      <c r="P262" s="27" t="s">
        <v>7</v>
      </c>
      <c r="Q262" s="27" t="s">
        <v>8</v>
      </c>
      <c r="CR262" s="27" t="s">
        <v>7</v>
      </c>
      <c r="DB262" s="27" t="s">
        <v>7</v>
      </c>
      <c r="DC262" s="27" t="s">
        <v>8</v>
      </c>
      <c r="DD262" s="27" t="s">
        <v>7</v>
      </c>
      <c r="DE262" s="27" t="s">
        <v>8</v>
      </c>
      <c r="DF262" s="27" t="s">
        <v>7</v>
      </c>
      <c r="DJ262" s="27" t="s">
        <v>7</v>
      </c>
      <c r="DL262" s="27" t="s">
        <v>7</v>
      </c>
      <c r="DM262" s="27" t="s">
        <v>8</v>
      </c>
      <c r="DN262" s="27" t="s">
        <v>7</v>
      </c>
    </row>
    <row r="263" spans="1:161" x14ac:dyDescent="0.25">
      <c r="A263" s="30">
        <v>0.32557130579677979</v>
      </c>
      <c r="B263"/>
      <c r="C263"/>
      <c r="D263"/>
      <c r="E263"/>
      <c r="J263" s="27" t="s">
        <v>7</v>
      </c>
      <c r="L263" s="27" t="s">
        <v>7</v>
      </c>
      <c r="M263" s="27" t="s">
        <v>8</v>
      </c>
      <c r="N263" s="27" t="s">
        <v>7</v>
      </c>
      <c r="O263" s="27" t="s">
        <v>8</v>
      </c>
      <c r="P263" s="27" t="s">
        <v>7</v>
      </c>
      <c r="Q263" s="27" t="s">
        <v>8</v>
      </c>
      <c r="DB263" s="27" t="s">
        <v>7</v>
      </c>
      <c r="DC263" s="27" t="s">
        <v>8</v>
      </c>
      <c r="DD263" s="27" t="s">
        <v>7</v>
      </c>
      <c r="DE263" s="27" t="s">
        <v>8</v>
      </c>
      <c r="DL263" s="27" t="s">
        <v>7</v>
      </c>
      <c r="DM263" s="27" t="s">
        <v>8</v>
      </c>
    </row>
    <row r="264" spans="1:161" x14ac:dyDescent="0.25">
      <c r="A264" s="30">
        <v>0.3100679102826473</v>
      </c>
      <c r="B264"/>
      <c r="C264"/>
      <c r="D264"/>
      <c r="E264"/>
      <c r="L264" s="27" t="s">
        <v>7</v>
      </c>
      <c r="M264" s="27" t="s">
        <v>8</v>
      </c>
      <c r="N264" s="27" t="s">
        <v>7</v>
      </c>
      <c r="P264" s="27" t="s">
        <v>7</v>
      </c>
      <c r="DB264" s="27" t="s">
        <v>7</v>
      </c>
      <c r="DC264" s="27" t="s">
        <v>8</v>
      </c>
      <c r="DD264" s="27" t="s">
        <v>7</v>
      </c>
      <c r="DL264" s="18" t="s">
        <v>7</v>
      </c>
      <c r="DM264" s="27" t="s">
        <v>8</v>
      </c>
    </row>
    <row r="265" spans="1:161" x14ac:dyDescent="0.25">
      <c r="A265" s="30">
        <v>0.2953027716977592</v>
      </c>
      <c r="B265"/>
      <c r="C265"/>
      <c r="D265"/>
      <c r="E265"/>
      <c r="L265" s="27" t="s">
        <v>7</v>
      </c>
      <c r="DB265" s="27" t="s">
        <v>7</v>
      </c>
      <c r="DL265" s="27" t="s">
        <v>7</v>
      </c>
      <c r="DM265" s="27" t="s">
        <v>8</v>
      </c>
    </row>
    <row r="266" spans="1:161" x14ac:dyDescent="0.25">
      <c r="A266" s="30">
        <v>0.28124073495024676</v>
      </c>
      <c r="B266"/>
      <c r="C266"/>
      <c r="D266"/>
      <c r="E266"/>
      <c r="DL266" s="27" t="s">
        <v>7</v>
      </c>
    </row>
    <row r="267" spans="1:161" x14ac:dyDescent="0.25">
      <c r="A267" s="30">
        <v>0.26784831900023492</v>
      </c>
      <c r="B267"/>
      <c r="C267"/>
      <c r="D267"/>
      <c r="E267"/>
    </row>
    <row r="268" spans="1:161" x14ac:dyDescent="0.25">
      <c r="A268" s="30">
        <v>0.25509363714308075</v>
      </c>
      <c r="B268"/>
      <c r="C268"/>
      <c r="D268"/>
      <c r="E268"/>
    </row>
    <row r="269" spans="1:161" x14ac:dyDescent="0.25">
      <c r="A269" s="30">
        <v>0.24294632108864825</v>
      </c>
      <c r="B269"/>
      <c r="C269"/>
      <c r="D269"/>
      <c r="E269"/>
    </row>
    <row r="270" spans="1:161" x14ac:dyDescent="0.25">
      <c r="A270" s="30">
        <v>0.23137744865585538</v>
      </c>
      <c r="B270"/>
      <c r="C270"/>
      <c r="D270"/>
      <c r="E270"/>
    </row>
    <row r="271" spans="1:161" x14ac:dyDescent="0.25">
      <c r="A271" s="30">
        <v>0.22035947491033836</v>
      </c>
      <c r="B271"/>
      <c r="C271"/>
      <c r="D271"/>
      <c r="E271"/>
    </row>
    <row r="272" spans="1:161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96" operator="equal">
      <formula>$U$1</formula>
    </cfRule>
    <cfRule type="cellIs" dxfId="67" priority="897" operator="equal">
      <formula>$S$1</formula>
    </cfRule>
  </conditionalFormatting>
  <conditionalFormatting sqref="D136">
    <cfRule type="cellIs" dxfId="66" priority="894" operator="equal">
      <formula>$S$1</formula>
    </cfRule>
    <cfRule type="cellIs" dxfId="65" priority="895" operator="equal">
      <formula>$U$1</formula>
    </cfRule>
  </conditionalFormatting>
  <conditionalFormatting sqref="C162">
    <cfRule type="cellIs" dxfId="64" priority="892" operator="equal">
      <formula>$U$1</formula>
    </cfRule>
    <cfRule type="cellIs" dxfId="63" priority="893" operator="equal">
      <formula>$S$1</formula>
    </cfRule>
  </conditionalFormatting>
  <conditionalFormatting sqref="D162">
    <cfRule type="cellIs" dxfId="62" priority="890" operator="equal">
      <formula>$S$1</formula>
    </cfRule>
    <cfRule type="cellIs" dxfId="61" priority="891" operator="equal">
      <formula>$U$1</formula>
    </cfRule>
  </conditionalFormatting>
  <conditionalFormatting sqref="C187">
    <cfRule type="cellIs" dxfId="60" priority="888" operator="equal">
      <formula>$U$1</formula>
    </cfRule>
    <cfRule type="cellIs" dxfId="59" priority="889" operator="equal">
      <formula>$S$1</formula>
    </cfRule>
  </conditionalFormatting>
  <conditionalFormatting sqref="D187">
    <cfRule type="cellIs" dxfId="58" priority="886" operator="equal">
      <formula>$S$1</formula>
    </cfRule>
    <cfRule type="cellIs" dxfId="57" priority="887" operator="equal">
      <formula>$U$1</formula>
    </cfRule>
  </conditionalFormatting>
  <conditionalFormatting sqref="C212">
    <cfRule type="cellIs" dxfId="56" priority="884" operator="equal">
      <formula>$U$1</formula>
    </cfRule>
    <cfRule type="cellIs" dxfId="55" priority="885" operator="equal">
      <formula>$S$1</formula>
    </cfRule>
  </conditionalFormatting>
  <conditionalFormatting sqref="D212">
    <cfRule type="cellIs" dxfId="54" priority="882" operator="equal">
      <formula>$S$1</formula>
    </cfRule>
    <cfRule type="cellIs" dxfId="53" priority="883" operator="equal">
      <formula>$U$1</formula>
    </cfRule>
  </conditionalFormatting>
  <conditionalFormatting sqref="C237">
    <cfRule type="cellIs" dxfId="52" priority="880" operator="equal">
      <formula>$U$1</formula>
    </cfRule>
    <cfRule type="cellIs" dxfId="51" priority="881" operator="equal">
      <formula>$S$1</formula>
    </cfRule>
  </conditionalFormatting>
  <conditionalFormatting sqref="D237">
    <cfRule type="cellIs" dxfId="50" priority="878" operator="equal">
      <formula>$S$1</formula>
    </cfRule>
    <cfRule type="cellIs" dxfId="49" priority="879" operator="equal">
      <formula>$U$1</formula>
    </cfRule>
  </conditionalFormatting>
  <conditionalFormatting sqref="C106">
    <cfRule type="cellIs" dxfId="48" priority="876" operator="equal">
      <formula>$U$1</formula>
    </cfRule>
    <cfRule type="cellIs" dxfId="47" priority="877" operator="equal">
      <formula>$S$1</formula>
    </cfRule>
  </conditionalFormatting>
  <conditionalFormatting sqref="D106">
    <cfRule type="cellIs" dxfId="46" priority="874" operator="equal">
      <formula>$S$1</formula>
    </cfRule>
    <cfRule type="cellIs" dxfId="45" priority="875" operator="equal">
      <formula>$U$1</formula>
    </cfRule>
  </conditionalFormatting>
  <conditionalFormatting sqref="C81">
    <cfRule type="cellIs" dxfId="44" priority="872" operator="equal">
      <formula>$U$1</formula>
    </cfRule>
    <cfRule type="cellIs" dxfId="43" priority="873" operator="equal">
      <formula>$S$1</formula>
    </cfRule>
  </conditionalFormatting>
  <conditionalFormatting sqref="D81">
    <cfRule type="cellIs" dxfId="42" priority="870" operator="equal">
      <formula>$S$1</formula>
    </cfRule>
    <cfRule type="cellIs" dxfId="41" priority="871" operator="equal">
      <formula>$U$1</formula>
    </cfRule>
  </conditionalFormatting>
  <conditionalFormatting sqref="C56">
    <cfRule type="cellIs" dxfId="40" priority="868" operator="equal">
      <formula>$U$1</formula>
    </cfRule>
    <cfRule type="cellIs" dxfId="39" priority="869" operator="equal">
      <formula>$S$1</formula>
    </cfRule>
  </conditionalFormatting>
  <conditionalFormatting sqref="D56">
    <cfRule type="cellIs" dxfId="38" priority="866" operator="equal">
      <formula>$S$1</formula>
    </cfRule>
    <cfRule type="cellIs" dxfId="37" priority="867" operator="equal">
      <formula>$U$1</formula>
    </cfRule>
  </conditionalFormatting>
  <conditionalFormatting sqref="C31">
    <cfRule type="cellIs" dxfId="36" priority="864" operator="equal">
      <formula>$U$1</formula>
    </cfRule>
    <cfRule type="cellIs" dxfId="35" priority="865" operator="equal">
      <formula>$S$1</formula>
    </cfRule>
  </conditionalFormatting>
  <conditionalFormatting sqref="D31">
    <cfRule type="cellIs" dxfId="34" priority="862" operator="equal">
      <formula>$S$1</formula>
    </cfRule>
    <cfRule type="cellIs" dxfId="33" priority="86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F130" sqref="BF13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$A$129</v>
      </c>
      <c r="D111" s="1" t="str">
        <f>ADDRESS(C121-1,D121,1,1)</f>
        <v>$BF$129</v>
      </c>
      <c r="E111"/>
    </row>
    <row r="112" spans="1:5" x14ac:dyDescent="0.25">
      <c r="A112" s="30">
        <v>2.3579476910000019</v>
      </c>
      <c r="C112" s="1" t="str">
        <f>ADDRESS(C121,1,1,1)</f>
        <v>$A$130</v>
      </c>
      <c r="D112" s="1" t="str">
        <f>ADDRESS(C121,D121-1,1,1)</f>
        <v>$BE$130</v>
      </c>
      <c r="E112"/>
    </row>
    <row r="113" spans="1:58" x14ac:dyDescent="0.25">
      <c r="A113" s="30">
        <v>2.1435888100000016</v>
      </c>
      <c r="C113" s="1" t="str">
        <f>ADDRESS(C121+1,1,1,1)</f>
        <v>$A$131</v>
      </c>
      <c r="D113" s="1" t="str">
        <f>ADDRESS(C121-1,D121+1,1,1)</f>
        <v>$BG$129</v>
      </c>
    </row>
    <row r="114" spans="1:58" x14ac:dyDescent="0.25">
      <c r="A114" s="30">
        <v>1.9487171000000014</v>
      </c>
      <c r="C114" s="1" t="str">
        <f>ADDRESS(C121,D121,1,1)</f>
        <v>$BF$130</v>
      </c>
      <c r="D114" s="1" t="str">
        <f>ADDRESS(C121+1,D121+1,1,1)</f>
        <v>$BG$131</v>
      </c>
    </row>
    <row r="115" spans="1:58" x14ac:dyDescent="0.25">
      <c r="A115" s="30">
        <v>1.7715610000000011</v>
      </c>
      <c r="C115" s="1" t="str">
        <f>ADDRESS(C121+1,D121,1,1)</f>
        <v>$BF$131</v>
      </c>
      <c r="AE115" s="27" t="s">
        <v>8</v>
      </c>
      <c r="AU115" s="27" t="s">
        <v>8</v>
      </c>
    </row>
    <row r="116" spans="1:58" x14ac:dyDescent="0.25">
      <c r="A116" s="30">
        <v>1.6105100000000008</v>
      </c>
      <c r="C116" s="1">
        <f>C117-1</f>
        <v>129</v>
      </c>
      <c r="AA116" s="27" t="s">
        <v>8</v>
      </c>
      <c r="AE116" s="27" t="s">
        <v>8</v>
      </c>
      <c r="AF116" s="27" t="s">
        <v>7</v>
      </c>
      <c r="AU116" s="27" t="s">
        <v>8</v>
      </c>
      <c r="AV116" s="27" t="s">
        <v>7</v>
      </c>
    </row>
    <row r="117" spans="1:58" x14ac:dyDescent="0.25">
      <c r="A117" s="30">
        <v>1.4641000000000006</v>
      </c>
      <c r="C117" s="1">
        <f>C121</f>
        <v>130</v>
      </c>
      <c r="D117" s="1">
        <f>D121</f>
        <v>58</v>
      </c>
      <c r="Y117" s="27" t="s">
        <v>8</v>
      </c>
      <c r="AA117" s="27" t="s">
        <v>8</v>
      </c>
      <c r="AB117" s="27" t="s">
        <v>7</v>
      </c>
      <c r="AE117" s="27" t="s">
        <v>8</v>
      </c>
      <c r="AF117" s="27" t="s">
        <v>7</v>
      </c>
      <c r="AU117" s="27" t="s">
        <v>8</v>
      </c>
      <c r="AV117" s="27" t="s">
        <v>7</v>
      </c>
    </row>
    <row r="118" spans="1:58" x14ac:dyDescent="0.25">
      <c r="A118" s="30">
        <v>1.3310000000000004</v>
      </c>
      <c r="C118" s="1">
        <f>C117+1</f>
        <v>131</v>
      </c>
      <c r="D118" s="1">
        <f>D117+1</f>
        <v>59</v>
      </c>
      <c r="Y118" s="27" t="s">
        <v>8</v>
      </c>
      <c r="Z118" s="27" t="s">
        <v>7</v>
      </c>
      <c r="AA118" s="27" t="s">
        <v>8</v>
      </c>
      <c r="AB118" s="27" t="s">
        <v>7</v>
      </c>
      <c r="AE118" s="27" t="s">
        <v>8</v>
      </c>
      <c r="AF118" s="27" t="s">
        <v>7</v>
      </c>
      <c r="AU118" s="27" t="s">
        <v>8</v>
      </c>
      <c r="AV118" s="27" t="s">
        <v>7</v>
      </c>
      <c r="AW118" s="27" t="s">
        <v>8</v>
      </c>
      <c r="BA118" s="27" t="s">
        <v>8</v>
      </c>
    </row>
    <row r="119" spans="1:58" x14ac:dyDescent="0.25">
      <c r="A119" s="30">
        <v>1.2100000000000002</v>
      </c>
      <c r="Y119" s="27" t="s">
        <v>8</v>
      </c>
      <c r="Z119" s="27" t="s">
        <v>7</v>
      </c>
      <c r="AA119" s="27" t="s">
        <v>8</v>
      </c>
      <c r="AB119" s="27" t="s">
        <v>7</v>
      </c>
      <c r="AE119" s="27" t="s">
        <v>8</v>
      </c>
      <c r="AF119" s="27" t="s">
        <v>7</v>
      </c>
      <c r="AU119" s="27" t="s">
        <v>8</v>
      </c>
      <c r="AV119" s="27" t="s">
        <v>7</v>
      </c>
      <c r="AW119" s="27" t="s">
        <v>8</v>
      </c>
      <c r="AX119" s="27" t="s">
        <v>7</v>
      </c>
      <c r="BA119" s="27" t="s">
        <v>8</v>
      </c>
      <c r="BB119" s="27" t="s">
        <v>7</v>
      </c>
      <c r="BC119" s="27" t="s">
        <v>8</v>
      </c>
      <c r="BE119" s="27" t="s">
        <v>8</v>
      </c>
    </row>
    <row r="120" spans="1:58" x14ac:dyDescent="0.25">
      <c r="A120" s="30">
        <v>1.1000000000000001</v>
      </c>
      <c r="C120" s="1" t="s">
        <v>9</v>
      </c>
      <c r="W120" s="27" t="s">
        <v>8</v>
      </c>
      <c r="Y120" s="27" t="s">
        <v>8</v>
      </c>
      <c r="Z120" s="27" t="s">
        <v>7</v>
      </c>
      <c r="AA120" s="27" t="s">
        <v>8</v>
      </c>
      <c r="AB120" s="27" t="s">
        <v>7</v>
      </c>
      <c r="AE120" s="27" t="s">
        <v>8</v>
      </c>
      <c r="AF120" s="27" t="s">
        <v>7</v>
      </c>
      <c r="AU120" s="27" t="s">
        <v>8</v>
      </c>
      <c r="AV120" s="27" t="s">
        <v>7</v>
      </c>
      <c r="AW120" s="27" t="s">
        <v>8</v>
      </c>
      <c r="AX120" s="27" t="s">
        <v>7</v>
      </c>
      <c r="BA120" s="27" t="s">
        <v>8</v>
      </c>
      <c r="BB120" s="27" t="s">
        <v>7</v>
      </c>
      <c r="BC120" s="27" t="s">
        <v>8</v>
      </c>
      <c r="BD120" s="27" t="s">
        <v>7</v>
      </c>
      <c r="BE120" s="27" t="s">
        <v>8</v>
      </c>
      <c r="BF120" s="27" t="s">
        <v>7</v>
      </c>
    </row>
    <row r="121" spans="1:58" x14ac:dyDescent="0.25">
      <c r="A121" s="30">
        <v>1</v>
      </c>
      <c r="C121" s="18">
        <v>130</v>
      </c>
      <c r="D121" s="19">
        <v>58</v>
      </c>
      <c r="E121" s="18" t="s">
        <v>8</v>
      </c>
      <c r="W121" s="27" t="s">
        <v>8</v>
      </c>
      <c r="X121" s="27" t="s">
        <v>7</v>
      </c>
      <c r="Y121" s="27" t="s">
        <v>8</v>
      </c>
      <c r="Z121" s="27" t="s">
        <v>7</v>
      </c>
      <c r="AB121" s="27" t="s">
        <v>7</v>
      </c>
      <c r="AC121" s="27" t="s">
        <v>8</v>
      </c>
      <c r="AE121" s="27" t="s">
        <v>8</v>
      </c>
      <c r="AF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  <c r="BA121" s="27" t="s">
        <v>8</v>
      </c>
      <c r="BB121" s="27" t="s">
        <v>7</v>
      </c>
      <c r="BC121" s="27" t="s">
        <v>8</v>
      </c>
      <c r="BD121" s="27" t="s">
        <v>7</v>
      </c>
      <c r="BE121" s="27" t="s">
        <v>8</v>
      </c>
      <c r="BF121" s="27" t="s">
        <v>7</v>
      </c>
    </row>
    <row r="122" spans="1:58" x14ac:dyDescent="0.25">
      <c r="A122" s="30">
        <v>0.90909090909090895</v>
      </c>
      <c r="C122" s="1" t="str">
        <f>INDEX(1:1048576,C117,D117)</f>
        <v>O</v>
      </c>
      <c r="F122" s="27" t="s">
        <v>7</v>
      </c>
      <c r="K122" s="27" t="s">
        <v>8</v>
      </c>
      <c r="U122" s="27" t="s">
        <v>8</v>
      </c>
      <c r="W122" s="27" t="s">
        <v>8</v>
      </c>
      <c r="X122" s="27" t="s">
        <v>7</v>
      </c>
      <c r="Y122" s="27" t="s">
        <v>8</v>
      </c>
      <c r="AB122" s="27" t="s">
        <v>7</v>
      </c>
      <c r="AC122" s="27" t="s">
        <v>8</v>
      </c>
      <c r="AD122" s="27" t="s">
        <v>7</v>
      </c>
      <c r="AE122" s="27" t="s">
        <v>8</v>
      </c>
      <c r="AF122" s="27" t="s">
        <v>7</v>
      </c>
      <c r="AU122" s="27" t="s">
        <v>8</v>
      </c>
      <c r="AV122" s="27" t="s">
        <v>7</v>
      </c>
      <c r="AW122" s="27" t="s">
        <v>8</v>
      </c>
      <c r="AX122" s="27" t="s">
        <v>7</v>
      </c>
      <c r="AY122" s="27" t="s">
        <v>8</v>
      </c>
      <c r="BA122" s="27" t="s">
        <v>8</v>
      </c>
      <c r="BB122" s="27" t="s">
        <v>7</v>
      </c>
      <c r="BD122" s="27" t="s">
        <v>7</v>
      </c>
      <c r="BE122" s="27" t="s">
        <v>8</v>
      </c>
      <c r="BF122" s="27" t="s">
        <v>7</v>
      </c>
    </row>
    <row r="123" spans="1:58" x14ac:dyDescent="0.25">
      <c r="A123" s="30">
        <v>0.82644628099173523</v>
      </c>
      <c r="C123" s="1" t="str">
        <f>"R"&amp;C121</f>
        <v>R130</v>
      </c>
      <c r="D123" s="1" t="str">
        <f>"C"&amp;D121</f>
        <v>C58</v>
      </c>
      <c r="F123" s="27" t="s">
        <v>7</v>
      </c>
      <c r="I123" s="27" t="s">
        <v>8</v>
      </c>
      <c r="K123" s="27" t="s">
        <v>8</v>
      </c>
      <c r="L123" s="27" t="s">
        <v>7</v>
      </c>
      <c r="U123" s="27" t="s">
        <v>8</v>
      </c>
      <c r="V123" s="27" t="s">
        <v>7</v>
      </c>
      <c r="W123" s="27" t="s">
        <v>8</v>
      </c>
      <c r="X123" s="27" t="s">
        <v>7</v>
      </c>
      <c r="AB123" s="27" t="s">
        <v>7</v>
      </c>
      <c r="AC123" s="27" t="s">
        <v>8</v>
      </c>
      <c r="AD123" s="27" t="s">
        <v>7</v>
      </c>
      <c r="AE123" s="27" t="s">
        <v>8</v>
      </c>
      <c r="AF123" s="27" t="s">
        <v>7</v>
      </c>
      <c r="AU123" s="27" t="s">
        <v>8</v>
      </c>
      <c r="AV123" s="27" t="s">
        <v>7</v>
      </c>
      <c r="AX123" s="27" t="s">
        <v>7</v>
      </c>
      <c r="AY123" s="27" t="s">
        <v>8</v>
      </c>
      <c r="AZ123" s="27" t="s">
        <v>7</v>
      </c>
      <c r="BA123" s="27" t="s">
        <v>8</v>
      </c>
      <c r="BD123" s="27" t="s">
        <v>7</v>
      </c>
      <c r="BE123" s="27" t="s">
        <v>8</v>
      </c>
      <c r="BF123" s="27" t="s">
        <v>7</v>
      </c>
    </row>
    <row r="124" spans="1:5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I124" s="27" t="s">
        <v>8</v>
      </c>
      <c r="J124" s="27" t="s">
        <v>7</v>
      </c>
      <c r="K124" s="27" t="s">
        <v>8</v>
      </c>
      <c r="L124" s="27" t="s">
        <v>7</v>
      </c>
      <c r="Q124" s="27" t="s">
        <v>8</v>
      </c>
      <c r="U124" s="27" t="s">
        <v>8</v>
      </c>
      <c r="V124" s="27" t="s">
        <v>7</v>
      </c>
      <c r="W124" s="27" t="s">
        <v>8</v>
      </c>
      <c r="AB124" s="27" t="s">
        <v>7</v>
      </c>
      <c r="AD124" s="27" t="s">
        <v>7</v>
      </c>
      <c r="AE124" s="27" t="s">
        <v>8</v>
      </c>
      <c r="AF124" s="27" t="s">
        <v>7</v>
      </c>
      <c r="AG124" s="27" t="s">
        <v>8</v>
      </c>
      <c r="AU124" s="27" t="s">
        <v>8</v>
      </c>
      <c r="AX124" s="27" t="s">
        <v>7</v>
      </c>
      <c r="AY124" s="27" t="s">
        <v>8</v>
      </c>
      <c r="AZ124" s="27" t="s">
        <v>7</v>
      </c>
      <c r="BA124" s="27" t="s">
        <v>8</v>
      </c>
      <c r="BD124" s="27" t="s">
        <v>7</v>
      </c>
      <c r="BE124" s="27" t="s">
        <v>8</v>
      </c>
      <c r="BF124" s="27" t="s">
        <v>7</v>
      </c>
    </row>
    <row r="125" spans="1:58" x14ac:dyDescent="0.25">
      <c r="A125" s="30">
        <v>0.68301345536507019</v>
      </c>
      <c r="F125" s="27" t="s">
        <v>7</v>
      </c>
      <c r="I125" s="27" t="s">
        <v>8</v>
      </c>
      <c r="J125" s="27" t="s">
        <v>7</v>
      </c>
      <c r="K125" s="27" t="s">
        <v>8</v>
      </c>
      <c r="L125" s="27" t="s">
        <v>7</v>
      </c>
      <c r="O125" s="27" t="s">
        <v>8</v>
      </c>
      <c r="Q125" s="27" t="s">
        <v>8</v>
      </c>
      <c r="R125" s="27" t="s">
        <v>7</v>
      </c>
      <c r="S125" s="27" t="s">
        <v>8</v>
      </c>
      <c r="U125" s="27" t="s">
        <v>8</v>
      </c>
      <c r="V125" s="27" t="s">
        <v>7</v>
      </c>
      <c r="W125" s="27" t="s">
        <v>8</v>
      </c>
      <c r="AD125" s="27" t="s">
        <v>7</v>
      </c>
      <c r="AF125" s="27" t="s">
        <v>7</v>
      </c>
      <c r="AG125" s="27" t="s">
        <v>8</v>
      </c>
      <c r="AH125" s="27" t="s">
        <v>7</v>
      </c>
      <c r="AU125" s="27" t="s">
        <v>8</v>
      </c>
      <c r="AX125" s="27" t="s">
        <v>7</v>
      </c>
      <c r="AZ125" s="27" t="s">
        <v>7</v>
      </c>
      <c r="BD125" s="27" t="s">
        <v>7</v>
      </c>
      <c r="BE125" s="27" t="s">
        <v>8</v>
      </c>
      <c r="BF125" s="27" t="s">
        <v>7</v>
      </c>
    </row>
    <row r="126" spans="1:5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I126" s="27" t="s">
        <v>8</v>
      </c>
      <c r="J126" s="27" t="s">
        <v>7</v>
      </c>
      <c r="L126" s="27" t="s">
        <v>7</v>
      </c>
      <c r="O126" s="27" t="s">
        <v>8</v>
      </c>
      <c r="P126" s="27" t="s">
        <v>7</v>
      </c>
      <c r="Q126" s="27" t="s">
        <v>8</v>
      </c>
      <c r="R126" s="27" t="s">
        <v>7</v>
      </c>
      <c r="S126" s="27" t="s">
        <v>8</v>
      </c>
      <c r="T126" s="27" t="s">
        <v>7</v>
      </c>
      <c r="U126" s="27" t="s">
        <v>8</v>
      </c>
      <c r="V126" s="27" t="s">
        <v>7</v>
      </c>
      <c r="W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U126" s="27" t="s">
        <v>8</v>
      </c>
      <c r="BD126" s="27" t="s">
        <v>7</v>
      </c>
      <c r="BF126" s="27" t="s">
        <v>7</v>
      </c>
    </row>
    <row r="127" spans="1:58" x14ac:dyDescent="0.25">
      <c r="A127" s="30">
        <v>0.56447393005377677</v>
      </c>
      <c r="C127" s="30">
        <v>0.42409761837248428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L127" s="27" t="s">
        <v>7</v>
      </c>
      <c r="O127" s="27" t="s">
        <v>8</v>
      </c>
      <c r="P127" s="27" t="s">
        <v>7</v>
      </c>
      <c r="Q127" s="27" t="s">
        <v>8</v>
      </c>
      <c r="R127" s="27" t="s">
        <v>7</v>
      </c>
      <c r="S127" s="27" t="s">
        <v>8</v>
      </c>
      <c r="T127" s="27" t="s">
        <v>7</v>
      </c>
      <c r="U127" s="27" t="s">
        <v>8</v>
      </c>
      <c r="V127" s="27" t="s">
        <v>7</v>
      </c>
      <c r="W127" s="27" t="s">
        <v>8</v>
      </c>
      <c r="AF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  <c r="AM127" s="27" t="s">
        <v>8</v>
      </c>
      <c r="AO127" s="27" t="s">
        <v>8</v>
      </c>
      <c r="AU127" s="27" t="s">
        <v>8</v>
      </c>
      <c r="BF127" s="27" t="s">
        <v>7</v>
      </c>
    </row>
    <row r="128" spans="1:58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L128" s="27" t="s">
        <v>7</v>
      </c>
      <c r="M128" s="27" t="s">
        <v>8</v>
      </c>
      <c r="O128" s="27" t="s">
        <v>8</v>
      </c>
      <c r="P128" s="27" t="s">
        <v>7</v>
      </c>
      <c r="R128" s="27" t="s">
        <v>7</v>
      </c>
      <c r="T128" s="27" t="s">
        <v>7</v>
      </c>
      <c r="U128" s="27" t="s">
        <v>8</v>
      </c>
      <c r="V128" s="27" t="s">
        <v>7</v>
      </c>
      <c r="A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K128" s="27" t="s">
        <v>8</v>
      </c>
      <c r="AL128" s="27" t="s">
        <v>7</v>
      </c>
      <c r="AM128" s="27" t="s">
        <v>8</v>
      </c>
      <c r="AN128" s="27" t="s">
        <v>7</v>
      </c>
      <c r="AO128" s="27" t="s">
        <v>8</v>
      </c>
      <c r="AP128" s="27" t="s">
        <v>7</v>
      </c>
      <c r="AU128" s="27" t="s">
        <v>8</v>
      </c>
      <c r="BF128" s="27" t="s">
        <v>7</v>
      </c>
    </row>
    <row r="129" spans="1:5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L129" s="27" t="s">
        <v>7</v>
      </c>
      <c r="M129" s="27" t="s">
        <v>8</v>
      </c>
      <c r="N129" s="27" t="s">
        <v>7</v>
      </c>
      <c r="O129" s="27" t="s">
        <v>8</v>
      </c>
      <c r="T129" s="27" t="s">
        <v>7</v>
      </c>
      <c r="AF129" s="27" t="s">
        <v>7</v>
      </c>
      <c r="AH129" s="27" t="s">
        <v>7</v>
      </c>
      <c r="AI129" s="27" t="s">
        <v>8</v>
      </c>
      <c r="AJ129" s="27" t="s">
        <v>7</v>
      </c>
      <c r="AK129" s="27" t="s">
        <v>8</v>
      </c>
      <c r="AL129" s="27" t="s">
        <v>7</v>
      </c>
      <c r="AM129" s="27" t="s">
        <v>8</v>
      </c>
      <c r="AN129" s="27" t="s">
        <v>7</v>
      </c>
      <c r="AO129" s="27" t="s">
        <v>8</v>
      </c>
      <c r="AP129" s="27" t="s">
        <v>7</v>
      </c>
      <c r="AQ129" s="27" t="s">
        <v>8</v>
      </c>
      <c r="AU129" s="27" t="s">
        <v>8</v>
      </c>
      <c r="BF129" s="27" t="s">
        <v>7</v>
      </c>
    </row>
    <row r="130" spans="1:58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L130" s="27" t="s">
        <v>7</v>
      </c>
      <c r="M130" s="27" t="s">
        <v>8</v>
      </c>
      <c r="N130" s="27" t="s">
        <v>7</v>
      </c>
      <c r="O130" s="27" t="s">
        <v>8</v>
      </c>
      <c r="AH130" s="27" t="s">
        <v>7</v>
      </c>
      <c r="AI130" s="27" t="s">
        <v>8</v>
      </c>
      <c r="AJ130" s="27" t="s">
        <v>7</v>
      </c>
      <c r="AL130" s="27" t="s">
        <v>7</v>
      </c>
      <c r="AM130" s="27" t="s">
        <v>8</v>
      </c>
      <c r="AN130" s="27" t="s">
        <v>7</v>
      </c>
      <c r="AP130" s="27" t="s">
        <v>7</v>
      </c>
      <c r="AQ130" s="27" t="s">
        <v>8</v>
      </c>
      <c r="AR130" s="27" t="s">
        <v>7</v>
      </c>
      <c r="AS130" s="27" t="s">
        <v>8</v>
      </c>
      <c r="AU130" s="27" t="s">
        <v>8</v>
      </c>
      <c r="BF130" s="27" t="s">
        <v>7</v>
      </c>
    </row>
    <row r="131" spans="1:58" x14ac:dyDescent="0.25">
      <c r="A131" s="30">
        <v>0.38554328942953109</v>
      </c>
      <c r="E131"/>
      <c r="F131" s="27" t="s">
        <v>7</v>
      </c>
      <c r="G131" s="27" t="s">
        <v>8</v>
      </c>
      <c r="L131" s="27" t="s">
        <v>7</v>
      </c>
      <c r="N131" s="27" t="s">
        <v>7</v>
      </c>
      <c r="O131" s="27" t="s">
        <v>8</v>
      </c>
      <c r="AH131" s="27" t="s">
        <v>7</v>
      </c>
      <c r="AI131" s="27" t="s">
        <v>8</v>
      </c>
      <c r="AL131" s="27" t="s">
        <v>7</v>
      </c>
      <c r="AP131" s="27" t="s">
        <v>7</v>
      </c>
      <c r="AQ131" s="27" t="s">
        <v>8</v>
      </c>
      <c r="AR131" s="27" t="s">
        <v>7</v>
      </c>
      <c r="AS131" s="27" t="s">
        <v>8</v>
      </c>
      <c r="AT131" s="27" t="s">
        <v>7</v>
      </c>
      <c r="AU131" s="27" t="s">
        <v>8</v>
      </c>
    </row>
    <row r="132" spans="1:58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N132" s="27" t="s">
        <v>7</v>
      </c>
      <c r="AH132" s="27" t="s">
        <v>7</v>
      </c>
      <c r="AP132" s="27" t="s">
        <v>7</v>
      </c>
      <c r="AQ132" s="27" t="s">
        <v>8</v>
      </c>
      <c r="AR132" s="27" t="s">
        <v>7</v>
      </c>
      <c r="AS132" s="27" t="s">
        <v>8</v>
      </c>
      <c r="AT132" s="27" t="s">
        <v>7</v>
      </c>
      <c r="AU132" s="27" t="s">
        <v>8</v>
      </c>
    </row>
    <row r="133" spans="1:58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AP133" s="27" t="s">
        <v>7</v>
      </c>
      <c r="AQ133" s="27" t="s">
        <v>8</v>
      </c>
      <c r="AR133" s="27" t="s">
        <v>7</v>
      </c>
      <c r="AT133" s="18" t="s">
        <v>7</v>
      </c>
      <c r="AU133" s="27" t="s">
        <v>8</v>
      </c>
    </row>
    <row r="134" spans="1:58" x14ac:dyDescent="0.25">
      <c r="A134" s="30">
        <v>0.28966437973668741</v>
      </c>
      <c r="C134"/>
      <c r="D134"/>
      <c r="E134"/>
      <c r="F134" s="27" t="s">
        <v>7</v>
      </c>
      <c r="AP134" s="27" t="s">
        <v>7</v>
      </c>
      <c r="AT134" s="27" t="s">
        <v>7</v>
      </c>
    </row>
    <row r="135" spans="1:58" x14ac:dyDescent="0.25">
      <c r="A135" s="30">
        <v>0.2633312543060794</v>
      </c>
      <c r="C135" s="1" t="s">
        <v>14</v>
      </c>
      <c r="E135"/>
    </row>
    <row r="136" spans="1:5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8" x14ac:dyDescent="0.25">
      <c r="A137" s="30">
        <v>0.2176291357901482</v>
      </c>
      <c r="E137"/>
    </row>
    <row r="138" spans="1:5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8" x14ac:dyDescent="0.25">
      <c r="A139" s="30">
        <v>0.17985878990921333</v>
      </c>
      <c r="E139"/>
    </row>
    <row r="140" spans="1:58" x14ac:dyDescent="0.25">
      <c r="A140" s="30">
        <v>0.16350799082655756</v>
      </c>
      <c r="C140" s="1">
        <v>0</v>
      </c>
      <c r="E140"/>
    </row>
    <row r="141" spans="1:58" x14ac:dyDescent="0.25">
      <c r="A141" s="30">
        <v>0.14864362802414322</v>
      </c>
      <c r="C141" s="1">
        <v>1</v>
      </c>
      <c r="E141"/>
    </row>
    <row r="142" spans="1:58" x14ac:dyDescent="0.25">
      <c r="A142" s="30">
        <v>0.13513057093103928</v>
      </c>
      <c r="C142" s="1">
        <v>2</v>
      </c>
      <c r="E142"/>
    </row>
    <row r="143" spans="1:58" x14ac:dyDescent="0.25">
      <c r="A143" s="30">
        <v>0.12284597357367205</v>
      </c>
      <c r="C143" s="1">
        <v>3</v>
      </c>
      <c r="E143"/>
    </row>
    <row r="144" spans="1:58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80" operator="equal">
      <formula>$U$1</formula>
    </cfRule>
    <cfRule type="cellIs" dxfId="30" priority="881" operator="equal">
      <formula>$S$1</formula>
    </cfRule>
  </conditionalFormatting>
  <conditionalFormatting sqref="D136">
    <cfRule type="cellIs" dxfId="29" priority="878" operator="equal">
      <formula>$S$1</formula>
    </cfRule>
    <cfRule type="cellIs" dxfId="28" priority="879" operator="equal">
      <formula>$U$1</formula>
    </cfRule>
  </conditionalFormatting>
  <conditionalFormatting sqref="C102">
    <cfRule type="cellIs" dxfId="27" priority="876" operator="equal">
      <formula>$U$1</formula>
    </cfRule>
    <cfRule type="cellIs" dxfId="26" priority="877" operator="equal">
      <formula>$S$1</formula>
    </cfRule>
  </conditionalFormatting>
  <conditionalFormatting sqref="D102">
    <cfRule type="cellIs" dxfId="25" priority="874" operator="equal">
      <formula>$S$1</formula>
    </cfRule>
    <cfRule type="cellIs" dxfId="24" priority="875" operator="equal">
      <formula>$U$1</formula>
    </cfRule>
  </conditionalFormatting>
  <conditionalFormatting sqref="C77">
    <cfRule type="cellIs" dxfId="23" priority="872" operator="equal">
      <formula>$U$1</formula>
    </cfRule>
    <cfRule type="cellIs" dxfId="22" priority="873" operator="equal">
      <formula>$S$1</formula>
    </cfRule>
  </conditionalFormatting>
  <conditionalFormatting sqref="D77">
    <cfRule type="cellIs" dxfId="21" priority="870" operator="equal">
      <formula>$S$1</formula>
    </cfRule>
    <cfRule type="cellIs" dxfId="20" priority="871" operator="equal">
      <formula>$U$1</formula>
    </cfRule>
  </conditionalFormatting>
  <conditionalFormatting sqref="C52">
    <cfRule type="cellIs" dxfId="19" priority="868" operator="equal">
      <formula>$U$1</formula>
    </cfRule>
    <cfRule type="cellIs" dxfId="18" priority="869" operator="equal">
      <formula>$S$1</formula>
    </cfRule>
  </conditionalFormatting>
  <conditionalFormatting sqref="D52">
    <cfRule type="cellIs" dxfId="17" priority="866" operator="equal">
      <formula>$S$1</formula>
    </cfRule>
    <cfRule type="cellIs" dxfId="16" priority="867" operator="equal">
      <formula>$U$1</formula>
    </cfRule>
  </conditionalFormatting>
  <conditionalFormatting sqref="C26">
    <cfRule type="cellIs" dxfId="15" priority="864" operator="equal">
      <formula>$U$1</formula>
    </cfRule>
    <cfRule type="cellIs" dxfId="14" priority="865" operator="equal">
      <formula>$S$1</formula>
    </cfRule>
  </conditionalFormatting>
  <conditionalFormatting sqref="D26">
    <cfRule type="cellIs" dxfId="13" priority="862" operator="equal">
      <formula>$S$1</formula>
    </cfRule>
    <cfRule type="cellIs" dxfId="12" priority="86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2022-01-28T01:22:48Z</dcterms:modified>
</cp:coreProperties>
</file>